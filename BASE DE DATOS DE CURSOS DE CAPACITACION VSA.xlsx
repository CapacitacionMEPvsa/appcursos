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sanchez\Videos\BASE DE LA APP DE CURSO\"/>
    </mc:Choice>
  </mc:AlternateContent>
  <xr:revisionPtr revIDLastSave="0" documentId="13_ncr:1_{2E8BFFC7-69E7-4AE4-88E2-9D535F2368CC}" xr6:coauthVersionLast="47" xr6:coauthVersionMax="47" xr10:uidLastSave="{00000000-0000-0000-0000-000000000000}"/>
  <bookViews>
    <workbookView xWindow="-108" yWindow="-108" windowWidth="23256" windowHeight="12456" tabRatio="607" xr2:uid="{96ADC98F-4FF7-49FA-9411-02ECB981DDC6}"/>
  </bookViews>
  <sheets>
    <sheet name="Hoja1" sheetId="1" r:id="rId1"/>
  </sheets>
  <definedNames>
    <definedName name="_xlnm._FilterDatabase" localSheetId="0" hidden="1">Hoja1!$A$3:$PZ$240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M178" i="1" l="1"/>
  <c r="BM50" i="1"/>
  <c r="BM40" i="1"/>
  <c r="AF73" i="1" l="1"/>
  <c r="AF84" i="1"/>
  <c r="AF85" i="1"/>
  <c r="AF88" i="1"/>
  <c r="AF92" i="1"/>
  <c r="AF94" i="1"/>
  <c r="AF98" i="1"/>
  <c r="AF104" i="1"/>
  <c r="AF105" i="1"/>
  <c r="AF106" i="1"/>
  <c r="AF109" i="1"/>
  <c r="AF119" i="1"/>
  <c r="AF120" i="1"/>
  <c r="AF131" i="1"/>
  <c r="AF133" i="1"/>
  <c r="AF135" i="1"/>
  <c r="AF136" i="1"/>
  <c r="AF139" i="1"/>
  <c r="AF141" i="1"/>
  <c r="AF146" i="1"/>
  <c r="AF153" i="1"/>
  <c r="AF155" i="1"/>
  <c r="AF158" i="1"/>
  <c r="AF163" i="1"/>
  <c r="AF165" i="1"/>
  <c r="AF172" i="1"/>
  <c r="AF176" i="1"/>
  <c r="AF179" i="1"/>
  <c r="AF190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3" i="1"/>
  <c r="AF214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40" i="1"/>
  <c r="CI109" i="1"/>
  <c r="PX240" i="1"/>
  <c r="PY240" i="1" s="1"/>
  <c r="PZ240" i="1" s="1"/>
  <c r="PU240" i="1"/>
  <c r="PP240" i="1"/>
  <c r="PK240" i="1"/>
  <c r="PF240" i="1"/>
  <c r="PA240" i="1"/>
  <c r="OV240" i="1"/>
  <c r="OQ240" i="1"/>
  <c r="OL240" i="1"/>
  <c r="OG240" i="1"/>
  <c r="OB240" i="1"/>
  <c r="NW240" i="1"/>
  <c r="NR240" i="1"/>
  <c r="NM240" i="1"/>
  <c r="NH240" i="1"/>
  <c r="NC240" i="1"/>
  <c r="MX240" i="1"/>
  <c r="MS240" i="1"/>
  <c r="MN240" i="1"/>
  <c r="MI240" i="1"/>
  <c r="MD240" i="1"/>
  <c r="LY240" i="1"/>
  <c r="LT240" i="1"/>
  <c r="LO240" i="1"/>
  <c r="LJ240" i="1"/>
  <c r="LE240" i="1"/>
  <c r="KZ240" i="1"/>
  <c r="KU240" i="1"/>
  <c r="KP240" i="1"/>
  <c r="KK240" i="1"/>
  <c r="KF240" i="1"/>
  <c r="JB240" i="1"/>
  <c r="IW240" i="1"/>
  <c r="IR240" i="1"/>
  <c r="IM240" i="1"/>
  <c r="IH240" i="1"/>
  <c r="IC240" i="1"/>
  <c r="HX240" i="1"/>
  <c r="HS240" i="1"/>
  <c r="HN240" i="1"/>
  <c r="HI240" i="1"/>
  <c r="HD240" i="1"/>
  <c r="GY240" i="1"/>
  <c r="GT240" i="1"/>
  <c r="GO240" i="1"/>
  <c r="GJ240" i="1"/>
  <c r="GE240" i="1"/>
  <c r="FZ240" i="1"/>
  <c r="FU240" i="1"/>
  <c r="FP240" i="1"/>
  <c r="FK240" i="1"/>
  <c r="FF240" i="1"/>
  <c r="FA240" i="1"/>
  <c r="EV240" i="1"/>
  <c r="EQ240" i="1"/>
  <c r="EL240" i="1"/>
  <c r="EG240" i="1"/>
  <c r="EB240" i="1"/>
  <c r="DW240" i="1"/>
  <c r="DR240" i="1"/>
  <c r="DM240" i="1"/>
  <c r="DH240" i="1"/>
  <c r="DC240" i="1"/>
  <c r="CX240" i="1"/>
  <c r="CS240" i="1"/>
  <c r="CN240" i="1"/>
  <c r="CI240" i="1"/>
  <c r="CD240" i="1"/>
  <c r="BY240" i="1"/>
  <c r="BT240" i="1"/>
  <c r="BO240" i="1"/>
  <c r="BJ240" i="1"/>
  <c r="BE240" i="1"/>
  <c r="AZ240" i="1"/>
  <c r="AU240" i="1"/>
  <c r="AP240" i="1"/>
  <c r="AK240" i="1"/>
  <c r="Z240" i="1"/>
  <c r="T240" i="1"/>
  <c r="O240" i="1"/>
  <c r="J240" i="1"/>
  <c r="PX239" i="1"/>
  <c r="PY239" i="1" s="1"/>
  <c r="PZ239" i="1" s="1"/>
  <c r="PU239" i="1"/>
  <c r="PP239" i="1"/>
  <c r="PK239" i="1"/>
  <c r="PF239" i="1"/>
  <c r="PA239" i="1"/>
  <c r="OV239" i="1"/>
  <c r="OQ239" i="1"/>
  <c r="OL239" i="1"/>
  <c r="OG239" i="1"/>
  <c r="OB239" i="1"/>
  <c r="NW239" i="1"/>
  <c r="NR239" i="1"/>
  <c r="NM239" i="1"/>
  <c r="NH239" i="1"/>
  <c r="NC239" i="1"/>
  <c r="MX239" i="1"/>
  <c r="MS239" i="1"/>
  <c r="MN239" i="1"/>
  <c r="MI239" i="1"/>
  <c r="MD239" i="1"/>
  <c r="LY239" i="1"/>
  <c r="LT239" i="1"/>
  <c r="LO239" i="1"/>
  <c r="LJ239" i="1"/>
  <c r="LE239" i="1"/>
  <c r="KZ239" i="1"/>
  <c r="KU239" i="1"/>
  <c r="KP239" i="1"/>
  <c r="KK239" i="1"/>
  <c r="KF239" i="1"/>
  <c r="JB239" i="1"/>
  <c r="IW239" i="1"/>
  <c r="IR239" i="1"/>
  <c r="IM239" i="1"/>
  <c r="IH239" i="1"/>
  <c r="IC239" i="1"/>
  <c r="HX239" i="1"/>
  <c r="HS239" i="1"/>
  <c r="HN239" i="1"/>
  <c r="HI239" i="1"/>
  <c r="HD239" i="1"/>
  <c r="GY239" i="1"/>
  <c r="GT239" i="1"/>
  <c r="GO239" i="1"/>
  <c r="GJ239" i="1"/>
  <c r="GE239" i="1"/>
  <c r="FZ239" i="1"/>
  <c r="FU239" i="1"/>
  <c r="FP239" i="1"/>
  <c r="FK239" i="1"/>
  <c r="FF239" i="1"/>
  <c r="FA239" i="1"/>
  <c r="EV239" i="1"/>
  <c r="EQ239" i="1"/>
  <c r="EL239" i="1"/>
  <c r="EG239" i="1"/>
  <c r="EB239" i="1"/>
  <c r="DW239" i="1"/>
  <c r="DR239" i="1"/>
  <c r="DM239" i="1"/>
  <c r="DH239" i="1"/>
  <c r="DC239" i="1"/>
  <c r="CX239" i="1"/>
  <c r="CS239" i="1"/>
  <c r="CN239" i="1"/>
  <c r="CG239" i="1"/>
  <c r="CH239" i="1" s="1"/>
  <c r="CI239" i="1" s="1"/>
  <c r="CD239" i="1"/>
  <c r="BY239" i="1"/>
  <c r="BT239" i="1"/>
  <c r="BO239" i="1"/>
  <c r="BJ239" i="1"/>
  <c r="BE239" i="1"/>
  <c r="AZ239" i="1"/>
  <c r="AU239" i="1"/>
  <c r="AP239" i="1"/>
  <c r="AK239" i="1"/>
  <c r="AD239" i="1"/>
  <c r="AE239" i="1" s="1"/>
  <c r="AF239" i="1" s="1"/>
  <c r="X239" i="1"/>
  <c r="Y239" i="1" s="1"/>
  <c r="Z239" i="1" s="1"/>
  <c r="T239" i="1"/>
  <c r="O239" i="1"/>
  <c r="J239" i="1"/>
  <c r="PZ238" i="1"/>
  <c r="PU238" i="1"/>
  <c r="PP238" i="1"/>
  <c r="PK238" i="1"/>
  <c r="PF238" i="1"/>
  <c r="PA238" i="1"/>
  <c r="OV238" i="1"/>
  <c r="OQ238" i="1"/>
  <c r="OL238" i="1"/>
  <c r="OG238" i="1"/>
  <c r="OB238" i="1"/>
  <c r="NW238" i="1"/>
  <c r="NR238" i="1"/>
  <c r="NM238" i="1"/>
  <c r="NH238" i="1"/>
  <c r="NC238" i="1"/>
  <c r="MX238" i="1"/>
  <c r="MS238" i="1"/>
  <c r="MN238" i="1"/>
  <c r="MI238" i="1"/>
  <c r="MD238" i="1"/>
  <c r="LY238" i="1"/>
  <c r="LT238" i="1"/>
  <c r="LO238" i="1"/>
  <c r="LJ238" i="1"/>
  <c r="LE238" i="1"/>
  <c r="KZ238" i="1"/>
  <c r="KU238" i="1"/>
  <c r="KP238" i="1"/>
  <c r="KK238" i="1"/>
  <c r="KF238" i="1"/>
  <c r="JB238" i="1"/>
  <c r="IW238" i="1"/>
  <c r="IR238" i="1"/>
  <c r="IM238" i="1"/>
  <c r="IH238" i="1"/>
  <c r="IC238" i="1"/>
  <c r="HX238" i="1"/>
  <c r="HS238" i="1"/>
  <c r="HN238" i="1"/>
  <c r="HI238" i="1"/>
  <c r="HD238" i="1"/>
  <c r="GY238" i="1"/>
  <c r="GT238" i="1"/>
  <c r="GM238" i="1"/>
  <c r="GN238" i="1" s="1"/>
  <c r="GO238" i="1" s="1"/>
  <c r="GH238" i="1"/>
  <c r="GI238" i="1" s="1"/>
  <c r="GJ238" i="1" s="1"/>
  <c r="GC238" i="1"/>
  <c r="GD238" i="1" s="1"/>
  <c r="GE238" i="1" s="1"/>
  <c r="FX238" i="1"/>
  <c r="FY238" i="1" s="1"/>
  <c r="FZ238" i="1" s="1"/>
  <c r="FS238" i="1"/>
  <c r="FT238" i="1" s="1"/>
  <c r="FU238" i="1" s="1"/>
  <c r="FN238" i="1"/>
  <c r="FO238" i="1" s="1"/>
  <c r="FP238" i="1" s="1"/>
  <c r="FI238" i="1"/>
  <c r="FJ238" i="1" s="1"/>
  <c r="FK238" i="1" s="1"/>
  <c r="FD238" i="1"/>
  <c r="FE238" i="1" s="1"/>
  <c r="FF238" i="1" s="1"/>
  <c r="EY238" i="1"/>
  <c r="EZ238" i="1" s="1"/>
  <c r="FA238" i="1" s="1"/>
  <c r="ET238" i="1"/>
  <c r="EU238" i="1" s="1"/>
  <c r="EV238" i="1" s="1"/>
  <c r="EO238" i="1"/>
  <c r="EP238" i="1" s="1"/>
  <c r="EQ238" i="1" s="1"/>
  <c r="EJ238" i="1"/>
  <c r="EK238" i="1" s="1"/>
  <c r="EL238" i="1" s="1"/>
  <c r="EE238" i="1"/>
  <c r="EF238" i="1" s="1"/>
  <c r="EG238" i="1" s="1"/>
  <c r="DZ238" i="1"/>
  <c r="EA238" i="1" s="1"/>
  <c r="EB238" i="1" s="1"/>
  <c r="DU238" i="1"/>
  <c r="DV238" i="1" s="1"/>
  <c r="DW238" i="1" s="1"/>
  <c r="DP238" i="1"/>
  <c r="DQ238" i="1" s="1"/>
  <c r="DR238" i="1" s="1"/>
  <c r="DK238" i="1"/>
  <c r="DL238" i="1" s="1"/>
  <c r="DM238" i="1" s="1"/>
  <c r="DF238" i="1"/>
  <c r="DG238" i="1" s="1"/>
  <c r="DH238" i="1" s="1"/>
  <c r="DA238" i="1"/>
  <c r="DB238" i="1" s="1"/>
  <c r="DC238" i="1" s="1"/>
  <c r="CV238" i="1"/>
  <c r="CW238" i="1" s="1"/>
  <c r="CX238" i="1" s="1"/>
  <c r="CQ238" i="1"/>
  <c r="CR238" i="1" s="1"/>
  <c r="CS238" i="1" s="1"/>
  <c r="CL238" i="1"/>
  <c r="CM238" i="1" s="1"/>
  <c r="CN238" i="1" s="1"/>
  <c r="CG238" i="1"/>
  <c r="CH238" i="1" s="1"/>
  <c r="CI238" i="1" s="1"/>
  <c r="CB238" i="1"/>
  <c r="CC238" i="1" s="1"/>
  <c r="CD238" i="1" s="1"/>
  <c r="BW238" i="1"/>
  <c r="BX238" i="1" s="1"/>
  <c r="BY238" i="1" s="1"/>
  <c r="BR238" i="1"/>
  <c r="BS238" i="1" s="1"/>
  <c r="BT238" i="1" s="1"/>
  <c r="BM238" i="1"/>
  <c r="BN238" i="1" s="1"/>
  <c r="BO238" i="1" s="1"/>
  <c r="BH238" i="1"/>
  <c r="BI238" i="1" s="1"/>
  <c r="BJ238" i="1" s="1"/>
  <c r="BC238" i="1"/>
  <c r="BD238" i="1" s="1"/>
  <c r="BE238" i="1" s="1"/>
  <c r="AX238" i="1"/>
  <c r="AY238" i="1" s="1"/>
  <c r="AZ238" i="1" s="1"/>
  <c r="AS238" i="1"/>
  <c r="AT238" i="1" s="1"/>
  <c r="AU238" i="1" s="1"/>
  <c r="AN238" i="1"/>
  <c r="AO238" i="1" s="1"/>
  <c r="AP238" i="1" s="1"/>
  <c r="AI238" i="1"/>
  <c r="AJ238" i="1" s="1"/>
  <c r="AK238" i="1" s="1"/>
  <c r="X238" i="1"/>
  <c r="Y238" i="1" s="1"/>
  <c r="Z238" i="1" s="1"/>
  <c r="T238" i="1"/>
  <c r="O238" i="1"/>
  <c r="H238" i="1"/>
  <c r="I238" i="1" s="1"/>
  <c r="J238" i="1" s="1"/>
  <c r="PX237" i="1"/>
  <c r="PY237" i="1" s="1"/>
  <c r="PZ237" i="1" s="1"/>
  <c r="PU237" i="1"/>
  <c r="PP237" i="1"/>
  <c r="PK237" i="1"/>
  <c r="PF237" i="1"/>
  <c r="PA237" i="1"/>
  <c r="OV237" i="1"/>
  <c r="OQ237" i="1"/>
  <c r="OL237" i="1"/>
  <c r="OG237" i="1"/>
  <c r="OB237" i="1"/>
  <c r="NW237" i="1"/>
  <c r="NR237" i="1"/>
  <c r="NM237" i="1"/>
  <c r="NH237" i="1"/>
  <c r="NC237" i="1"/>
  <c r="MX237" i="1"/>
  <c r="MS237" i="1"/>
  <c r="MN237" i="1"/>
  <c r="MI237" i="1"/>
  <c r="MD237" i="1"/>
  <c r="LY237" i="1"/>
  <c r="LT237" i="1"/>
  <c r="LO237" i="1"/>
  <c r="LJ237" i="1"/>
  <c r="LE237" i="1"/>
  <c r="KZ237" i="1"/>
  <c r="KU237" i="1"/>
  <c r="KP237" i="1"/>
  <c r="KK237" i="1"/>
  <c r="KF237" i="1"/>
  <c r="JB237" i="1"/>
  <c r="IW237" i="1"/>
  <c r="IR237" i="1"/>
  <c r="IM237" i="1"/>
  <c r="IH237" i="1"/>
  <c r="IC237" i="1"/>
  <c r="HX237" i="1"/>
  <c r="HS237" i="1"/>
  <c r="HN237" i="1"/>
  <c r="HI237" i="1"/>
  <c r="HD237" i="1"/>
  <c r="GY237" i="1"/>
  <c r="GT237" i="1"/>
  <c r="GO237" i="1"/>
  <c r="GJ237" i="1"/>
  <c r="GE237" i="1"/>
  <c r="FZ237" i="1"/>
  <c r="FU237" i="1"/>
  <c r="FP237" i="1"/>
  <c r="FK237" i="1"/>
  <c r="FF237" i="1"/>
  <c r="FA237" i="1"/>
  <c r="EV237" i="1"/>
  <c r="EQ237" i="1"/>
  <c r="EL237" i="1"/>
  <c r="EG237" i="1"/>
  <c r="EB237" i="1"/>
  <c r="DW237" i="1"/>
  <c r="DR237" i="1"/>
  <c r="DM237" i="1"/>
  <c r="DH237" i="1"/>
  <c r="DC237" i="1"/>
  <c r="CX237" i="1"/>
  <c r="CS237" i="1"/>
  <c r="CN237" i="1"/>
  <c r="CI237" i="1"/>
  <c r="CD237" i="1"/>
  <c r="BY237" i="1"/>
  <c r="BT237" i="1"/>
  <c r="BO237" i="1"/>
  <c r="BJ237" i="1"/>
  <c r="BE237" i="1"/>
  <c r="AZ237" i="1"/>
  <c r="AU237" i="1"/>
  <c r="AP237" i="1"/>
  <c r="AK237" i="1"/>
  <c r="Z237" i="1"/>
  <c r="T237" i="1"/>
  <c r="O237" i="1"/>
  <c r="J237" i="1"/>
  <c r="PZ236" i="1"/>
  <c r="PU236" i="1"/>
  <c r="PP236" i="1"/>
  <c r="PK236" i="1"/>
  <c r="PF236" i="1"/>
  <c r="PA236" i="1"/>
  <c r="OV236" i="1"/>
  <c r="OQ236" i="1"/>
  <c r="OL236" i="1"/>
  <c r="OG236" i="1"/>
  <c r="OB236" i="1"/>
  <c r="NW236" i="1"/>
  <c r="NR236" i="1"/>
  <c r="NM236" i="1"/>
  <c r="NH236" i="1"/>
  <c r="NC236" i="1"/>
  <c r="MX236" i="1"/>
  <c r="MS236" i="1"/>
  <c r="MN236" i="1"/>
  <c r="MI236" i="1"/>
  <c r="MD236" i="1"/>
  <c r="LY236" i="1"/>
  <c r="LT236" i="1"/>
  <c r="LO236" i="1"/>
  <c r="LJ236" i="1"/>
  <c r="LE236" i="1"/>
  <c r="KZ236" i="1"/>
  <c r="KU236" i="1"/>
  <c r="KP236" i="1"/>
  <c r="KK236" i="1"/>
  <c r="KF236" i="1"/>
  <c r="JB236" i="1"/>
  <c r="IW236" i="1"/>
  <c r="IR236" i="1"/>
  <c r="IM236" i="1"/>
  <c r="IH236" i="1"/>
  <c r="IC236" i="1"/>
  <c r="HX236" i="1"/>
  <c r="HS236" i="1"/>
  <c r="HN236" i="1"/>
  <c r="HI236" i="1"/>
  <c r="HD236" i="1"/>
  <c r="GY236" i="1"/>
  <c r="GT236" i="1"/>
  <c r="GO236" i="1"/>
  <c r="GJ236" i="1"/>
  <c r="GE236" i="1"/>
  <c r="FZ236" i="1"/>
  <c r="FU236" i="1"/>
  <c r="FP236" i="1"/>
  <c r="FK236" i="1"/>
  <c r="FF236" i="1"/>
  <c r="FA236" i="1"/>
  <c r="EV236" i="1"/>
  <c r="EQ236" i="1"/>
  <c r="EL236" i="1"/>
  <c r="EG236" i="1"/>
  <c r="EB236" i="1"/>
  <c r="DW236" i="1"/>
  <c r="DR236" i="1"/>
  <c r="DM236" i="1"/>
  <c r="DH236" i="1"/>
  <c r="DC236" i="1"/>
  <c r="CX236" i="1"/>
  <c r="CS236" i="1"/>
  <c r="CN236" i="1"/>
  <c r="CI236" i="1"/>
  <c r="CD236" i="1"/>
  <c r="BY236" i="1"/>
  <c r="BT236" i="1"/>
  <c r="BO236" i="1"/>
  <c r="BJ236" i="1"/>
  <c r="BE236" i="1"/>
  <c r="AZ236" i="1"/>
  <c r="AU236" i="1"/>
  <c r="AP236" i="1"/>
  <c r="AK236" i="1"/>
  <c r="X236" i="1"/>
  <c r="Y236" i="1" s="1"/>
  <c r="Z236" i="1" s="1"/>
  <c r="T236" i="1"/>
  <c r="O236" i="1"/>
  <c r="J236" i="1"/>
  <c r="PZ235" i="1"/>
  <c r="PU235" i="1"/>
  <c r="PN235" i="1"/>
  <c r="PO235" i="1" s="1"/>
  <c r="PP235" i="1" s="1"/>
  <c r="PK235" i="1"/>
  <c r="PF235" i="1"/>
  <c r="PA235" i="1"/>
  <c r="OV235" i="1"/>
  <c r="OQ235" i="1"/>
  <c r="OL235" i="1"/>
  <c r="OG235" i="1"/>
  <c r="OB235" i="1"/>
  <c r="NW235" i="1"/>
  <c r="NR235" i="1"/>
  <c r="NM235" i="1"/>
  <c r="NH235" i="1"/>
  <c r="NC235" i="1"/>
  <c r="MX235" i="1"/>
  <c r="MS235" i="1"/>
  <c r="MN235" i="1"/>
  <c r="MI235" i="1"/>
  <c r="MD235" i="1"/>
  <c r="LY235" i="1"/>
  <c r="LT235" i="1"/>
  <c r="LO235" i="1"/>
  <c r="LJ235" i="1"/>
  <c r="LE235" i="1"/>
  <c r="KZ235" i="1"/>
  <c r="KU235" i="1"/>
  <c r="KP235" i="1"/>
  <c r="KK235" i="1"/>
  <c r="KF235" i="1"/>
  <c r="JB235" i="1"/>
  <c r="IW235" i="1"/>
  <c r="IR235" i="1"/>
  <c r="IM235" i="1"/>
  <c r="IH235" i="1"/>
  <c r="IC235" i="1"/>
  <c r="HX235" i="1"/>
  <c r="HS235" i="1"/>
  <c r="HN235" i="1"/>
  <c r="HI235" i="1"/>
  <c r="HD235" i="1"/>
  <c r="GY235" i="1"/>
  <c r="GT235" i="1"/>
  <c r="GO235" i="1"/>
  <c r="GJ235" i="1"/>
  <c r="GE235" i="1"/>
  <c r="FZ235" i="1"/>
  <c r="FU235" i="1"/>
  <c r="FP235" i="1"/>
  <c r="FK235" i="1"/>
  <c r="FF235" i="1"/>
  <c r="FA235" i="1"/>
  <c r="EV235" i="1"/>
  <c r="EQ235" i="1"/>
  <c r="EL235" i="1"/>
  <c r="EG235" i="1"/>
  <c r="EB235" i="1"/>
  <c r="DW235" i="1"/>
  <c r="DR235" i="1"/>
  <c r="DM235" i="1"/>
  <c r="DH235" i="1"/>
  <c r="DC235" i="1"/>
  <c r="CX235" i="1"/>
  <c r="CS235" i="1"/>
  <c r="CN235" i="1"/>
  <c r="CI235" i="1"/>
  <c r="CD235" i="1"/>
  <c r="BY235" i="1"/>
  <c r="BT235" i="1"/>
  <c r="BO235" i="1"/>
  <c r="BJ235" i="1"/>
  <c r="BE235" i="1"/>
  <c r="AZ235" i="1"/>
  <c r="AU235" i="1"/>
  <c r="AP235" i="1"/>
  <c r="AK235" i="1"/>
  <c r="Z235" i="1"/>
  <c r="T235" i="1"/>
  <c r="O235" i="1"/>
  <c r="J235" i="1"/>
  <c r="PZ234" i="1"/>
  <c r="PU234" i="1"/>
  <c r="PN234" i="1"/>
  <c r="PO234" i="1" s="1"/>
  <c r="PP234" i="1" s="1"/>
  <c r="PK234" i="1"/>
  <c r="PF234" i="1"/>
  <c r="PA234" i="1"/>
  <c r="OV234" i="1"/>
  <c r="OQ234" i="1"/>
  <c r="OL234" i="1"/>
  <c r="OG234" i="1"/>
  <c r="OB234" i="1"/>
  <c r="NW234" i="1"/>
  <c r="NR234" i="1"/>
  <c r="NM234" i="1"/>
  <c r="NH234" i="1"/>
  <c r="NC234" i="1"/>
  <c r="MX234" i="1"/>
  <c r="MS234" i="1"/>
  <c r="MN234" i="1"/>
  <c r="MI234" i="1"/>
  <c r="MD234" i="1"/>
  <c r="LY234" i="1"/>
  <c r="LT234" i="1"/>
  <c r="LO234" i="1"/>
  <c r="LJ234" i="1"/>
  <c r="LE234" i="1"/>
  <c r="KZ234" i="1"/>
  <c r="KU234" i="1"/>
  <c r="KP234" i="1"/>
  <c r="KK234" i="1"/>
  <c r="KF234" i="1"/>
  <c r="JB234" i="1"/>
  <c r="IW234" i="1"/>
  <c r="IR234" i="1"/>
  <c r="IM234" i="1"/>
  <c r="IH234" i="1"/>
  <c r="IC234" i="1"/>
  <c r="HX234" i="1"/>
  <c r="HS234" i="1"/>
  <c r="HN234" i="1"/>
  <c r="HI234" i="1"/>
  <c r="HD234" i="1"/>
  <c r="GY234" i="1"/>
  <c r="GT234" i="1"/>
  <c r="GO234" i="1"/>
  <c r="GJ234" i="1"/>
  <c r="GE234" i="1"/>
  <c r="FZ234" i="1"/>
  <c r="FU234" i="1"/>
  <c r="FP234" i="1"/>
  <c r="FK234" i="1"/>
  <c r="FF234" i="1"/>
  <c r="FA234" i="1"/>
  <c r="EV234" i="1"/>
  <c r="EQ234" i="1"/>
  <c r="EL234" i="1"/>
  <c r="EG234" i="1"/>
  <c r="EB234" i="1"/>
  <c r="DW234" i="1"/>
  <c r="DR234" i="1"/>
  <c r="DM234" i="1"/>
  <c r="DH234" i="1"/>
  <c r="DC234" i="1"/>
  <c r="CX234" i="1"/>
  <c r="CS234" i="1"/>
  <c r="CN234" i="1"/>
  <c r="CI234" i="1"/>
  <c r="CD234" i="1"/>
  <c r="BY234" i="1"/>
  <c r="BT234" i="1"/>
  <c r="BO234" i="1"/>
  <c r="BJ234" i="1"/>
  <c r="BE234" i="1"/>
  <c r="AZ234" i="1"/>
  <c r="AU234" i="1"/>
  <c r="AP234" i="1"/>
  <c r="AK234" i="1"/>
  <c r="Z234" i="1"/>
  <c r="T234" i="1"/>
  <c r="O234" i="1"/>
  <c r="J234" i="1"/>
  <c r="PZ233" i="1"/>
  <c r="PU233" i="1"/>
  <c r="PP233" i="1"/>
  <c r="PK233" i="1"/>
  <c r="PF233" i="1"/>
  <c r="PA233" i="1"/>
  <c r="OV233" i="1"/>
  <c r="OQ233" i="1"/>
  <c r="OL233" i="1"/>
  <c r="OG233" i="1"/>
  <c r="OB233" i="1"/>
  <c r="NW233" i="1"/>
  <c r="NR233" i="1"/>
  <c r="NM233" i="1"/>
  <c r="NH233" i="1"/>
  <c r="NC233" i="1"/>
  <c r="MX233" i="1"/>
  <c r="MS233" i="1"/>
  <c r="MN233" i="1"/>
  <c r="MI233" i="1"/>
  <c r="MD233" i="1"/>
  <c r="LY233" i="1"/>
  <c r="LT233" i="1"/>
  <c r="LO233" i="1"/>
  <c r="LJ233" i="1"/>
  <c r="LE233" i="1"/>
  <c r="KZ233" i="1"/>
  <c r="KU233" i="1"/>
  <c r="KP233" i="1"/>
  <c r="KK233" i="1"/>
  <c r="KF233" i="1"/>
  <c r="JB233" i="1"/>
  <c r="IW233" i="1"/>
  <c r="IR233" i="1"/>
  <c r="IM233" i="1"/>
  <c r="IH233" i="1"/>
  <c r="IC233" i="1"/>
  <c r="HX233" i="1"/>
  <c r="HS233" i="1"/>
  <c r="HN233" i="1"/>
  <c r="HI233" i="1"/>
  <c r="HD233" i="1"/>
  <c r="GY233" i="1"/>
  <c r="GT233" i="1"/>
  <c r="GO233" i="1"/>
  <c r="GH233" i="1"/>
  <c r="GI233" i="1" s="1"/>
  <c r="GJ233" i="1" s="1"/>
  <c r="GC233" i="1"/>
  <c r="GD233" i="1" s="1"/>
  <c r="GE233" i="1" s="1"/>
  <c r="FZ233" i="1"/>
  <c r="FU233" i="1"/>
  <c r="FN233" i="1"/>
  <c r="FO233" i="1" s="1"/>
  <c r="FP233" i="1" s="1"/>
  <c r="FK233" i="1"/>
  <c r="FD233" i="1"/>
  <c r="FE233" i="1" s="1"/>
  <c r="FF233" i="1" s="1"/>
  <c r="FA233" i="1"/>
  <c r="EV233" i="1"/>
  <c r="EQ233" i="1"/>
  <c r="EJ233" i="1"/>
  <c r="EK233" i="1" s="1"/>
  <c r="EL233" i="1" s="1"/>
  <c r="EE233" i="1"/>
  <c r="EF233" i="1" s="1"/>
  <c r="EG233" i="1" s="1"/>
  <c r="DZ233" i="1"/>
  <c r="EA233" i="1" s="1"/>
  <c r="EB233" i="1" s="1"/>
  <c r="DU233" i="1"/>
  <c r="DV233" i="1" s="1"/>
  <c r="DW233" i="1" s="1"/>
  <c r="DP233" i="1"/>
  <c r="DQ233" i="1" s="1"/>
  <c r="DR233" i="1" s="1"/>
  <c r="DK233" i="1"/>
  <c r="DL233" i="1" s="1"/>
  <c r="DM233" i="1" s="1"/>
  <c r="DF233" i="1"/>
  <c r="DG233" i="1" s="1"/>
  <c r="DH233" i="1" s="1"/>
  <c r="DA233" i="1"/>
  <c r="DB233" i="1" s="1"/>
  <c r="DC233" i="1" s="1"/>
  <c r="CV233" i="1"/>
  <c r="CW233" i="1" s="1"/>
  <c r="CX233" i="1" s="1"/>
  <c r="CQ233" i="1"/>
  <c r="CR233" i="1" s="1"/>
  <c r="CS233" i="1" s="1"/>
  <c r="CL233" i="1"/>
  <c r="CM233" i="1" s="1"/>
  <c r="CN233" i="1" s="1"/>
  <c r="CG233" i="1"/>
  <c r="CH233" i="1" s="1"/>
  <c r="CI233" i="1" s="1"/>
  <c r="CB233" i="1"/>
  <c r="CC233" i="1" s="1"/>
  <c r="CD233" i="1" s="1"/>
  <c r="BW233" i="1"/>
  <c r="BX233" i="1" s="1"/>
  <c r="BY233" i="1" s="1"/>
  <c r="BR233" i="1"/>
  <c r="BS233" i="1" s="1"/>
  <c r="BT233" i="1" s="1"/>
  <c r="BM233" i="1"/>
  <c r="BN233" i="1" s="1"/>
  <c r="BO233" i="1" s="1"/>
  <c r="BH233" i="1"/>
  <c r="BI233" i="1" s="1"/>
  <c r="BJ233" i="1" s="1"/>
  <c r="BC233" i="1"/>
  <c r="BD233" i="1" s="1"/>
  <c r="BE233" i="1" s="1"/>
  <c r="AX233" i="1"/>
  <c r="AY233" i="1" s="1"/>
  <c r="AZ233" i="1" s="1"/>
  <c r="AS233" i="1"/>
  <c r="AT233" i="1" s="1"/>
  <c r="AU233" i="1" s="1"/>
  <c r="AN233" i="1"/>
  <c r="AO233" i="1" s="1"/>
  <c r="AP233" i="1" s="1"/>
  <c r="AI233" i="1"/>
  <c r="AJ233" i="1" s="1"/>
  <c r="AK233" i="1" s="1"/>
  <c r="Z233" i="1"/>
  <c r="T233" i="1"/>
  <c r="O233" i="1"/>
  <c r="J233" i="1"/>
  <c r="PZ232" i="1"/>
  <c r="PU232" i="1"/>
  <c r="PP232" i="1"/>
  <c r="PK232" i="1"/>
  <c r="PF232" i="1"/>
  <c r="PA232" i="1"/>
  <c r="OV232" i="1"/>
  <c r="OQ232" i="1"/>
  <c r="OL232" i="1"/>
  <c r="OG232" i="1"/>
  <c r="OB232" i="1"/>
  <c r="NW232" i="1"/>
  <c r="NR232" i="1"/>
  <c r="NM232" i="1"/>
  <c r="NH232" i="1"/>
  <c r="NC232" i="1"/>
  <c r="MX232" i="1"/>
  <c r="MS232" i="1"/>
  <c r="MN232" i="1"/>
  <c r="MI232" i="1"/>
  <c r="MD232" i="1"/>
  <c r="LY232" i="1"/>
  <c r="LT232" i="1"/>
  <c r="LO232" i="1"/>
  <c r="LJ232" i="1"/>
  <c r="LE232" i="1"/>
  <c r="KZ232" i="1"/>
  <c r="KU232" i="1"/>
  <c r="KP232" i="1"/>
  <c r="KK232" i="1"/>
  <c r="KF232" i="1"/>
  <c r="JB232" i="1"/>
  <c r="IW232" i="1"/>
  <c r="IR232" i="1"/>
  <c r="IM232" i="1"/>
  <c r="IH232" i="1"/>
  <c r="IC232" i="1"/>
  <c r="HX232" i="1"/>
  <c r="HS232" i="1"/>
  <c r="HN232" i="1"/>
  <c r="HI232" i="1"/>
  <c r="HD232" i="1"/>
  <c r="GY232" i="1"/>
  <c r="GT232" i="1"/>
  <c r="GO232" i="1"/>
  <c r="GJ232" i="1"/>
  <c r="GE232" i="1"/>
  <c r="FZ232" i="1"/>
  <c r="FU232" i="1"/>
  <c r="FP232" i="1"/>
  <c r="FK232" i="1"/>
  <c r="FF232" i="1"/>
  <c r="FA232" i="1"/>
  <c r="EV232" i="1"/>
  <c r="EQ232" i="1"/>
  <c r="EL232" i="1"/>
  <c r="EG232" i="1"/>
  <c r="EB232" i="1"/>
  <c r="DW232" i="1"/>
  <c r="DR232" i="1"/>
  <c r="DM232" i="1"/>
  <c r="DH232" i="1"/>
  <c r="DC232" i="1"/>
  <c r="CX232" i="1"/>
  <c r="CS232" i="1"/>
  <c r="CN232" i="1"/>
  <c r="CI232" i="1"/>
  <c r="CD232" i="1"/>
  <c r="BY232" i="1"/>
  <c r="BT232" i="1"/>
  <c r="BO232" i="1"/>
  <c r="BJ232" i="1"/>
  <c r="BE232" i="1"/>
  <c r="AZ232" i="1"/>
  <c r="AU232" i="1"/>
  <c r="AP232" i="1"/>
  <c r="AK232" i="1"/>
  <c r="Z232" i="1"/>
  <c r="T232" i="1"/>
  <c r="O232" i="1"/>
  <c r="J232" i="1"/>
  <c r="PZ231" i="1"/>
  <c r="PS231" i="1"/>
  <c r="PT231" i="1" s="1"/>
  <c r="PU231" i="1" s="1"/>
  <c r="PN231" i="1"/>
  <c r="PO231" i="1" s="1"/>
  <c r="PP231" i="1" s="1"/>
  <c r="PI231" i="1"/>
  <c r="PJ231" i="1" s="1"/>
  <c r="PK231" i="1" s="1"/>
  <c r="PD231" i="1"/>
  <c r="PE231" i="1" s="1"/>
  <c r="PF231" i="1" s="1"/>
  <c r="OY231" i="1"/>
  <c r="OZ231" i="1" s="1"/>
  <c r="PA231" i="1" s="1"/>
  <c r="OV231" i="1"/>
  <c r="OQ231" i="1"/>
  <c r="OL231" i="1"/>
  <c r="OG231" i="1"/>
  <c r="OB231" i="1"/>
  <c r="NW231" i="1"/>
  <c r="NP231" i="1"/>
  <c r="NQ231" i="1" s="1"/>
  <c r="NR231" i="1" s="1"/>
  <c r="NK231" i="1"/>
  <c r="NL231" i="1" s="1"/>
  <c r="NM231" i="1" s="1"/>
  <c r="NF231" i="1"/>
  <c r="NG231" i="1" s="1"/>
  <c r="NH231" i="1" s="1"/>
  <c r="NA231" i="1"/>
  <c r="NB231" i="1" s="1"/>
  <c r="NC231" i="1" s="1"/>
  <c r="MX231" i="1"/>
  <c r="MS231" i="1"/>
  <c r="MN231" i="1"/>
  <c r="MI231" i="1"/>
  <c r="MD231" i="1"/>
  <c r="LY231" i="1"/>
  <c r="LT231" i="1"/>
  <c r="LO231" i="1"/>
  <c r="LJ231" i="1"/>
  <c r="LC231" i="1"/>
  <c r="LD231" i="1" s="1"/>
  <c r="LE231" i="1" s="1"/>
  <c r="KZ231" i="1"/>
  <c r="KS231" i="1"/>
  <c r="KT231" i="1" s="1"/>
  <c r="KU231" i="1" s="1"/>
  <c r="KN231" i="1"/>
  <c r="KO231" i="1" s="1"/>
  <c r="KP231" i="1" s="1"/>
  <c r="KK231" i="1"/>
  <c r="KD231" i="1"/>
  <c r="KE231" i="1" s="1"/>
  <c r="KF231" i="1" s="1"/>
  <c r="JB231" i="1"/>
  <c r="IW231" i="1"/>
  <c r="IR231" i="1"/>
  <c r="IM231" i="1"/>
  <c r="IH231" i="1"/>
  <c r="IC231" i="1"/>
  <c r="HX231" i="1"/>
  <c r="HS231" i="1"/>
  <c r="HN231" i="1"/>
  <c r="HI231" i="1"/>
  <c r="HD231" i="1"/>
  <c r="GY231" i="1"/>
  <c r="GT231" i="1"/>
  <c r="GM231" i="1"/>
  <c r="GN231" i="1" s="1"/>
  <c r="GO231" i="1" s="1"/>
  <c r="GH231" i="1"/>
  <c r="GI231" i="1" s="1"/>
  <c r="GJ231" i="1" s="1"/>
  <c r="GE231" i="1"/>
  <c r="GC231" i="1"/>
  <c r="FZ231" i="1"/>
  <c r="FX231" i="1"/>
  <c r="FS231" i="1"/>
  <c r="FT231" i="1" s="1"/>
  <c r="FU231" i="1" s="1"/>
  <c r="FP231" i="1"/>
  <c r="FN231" i="1"/>
  <c r="FI231" i="1"/>
  <c r="FJ231" i="1" s="1"/>
  <c r="FK231" i="1" s="1"/>
  <c r="FF231" i="1"/>
  <c r="FD231" i="1"/>
  <c r="FA231" i="1"/>
  <c r="EY231" i="1"/>
  <c r="ET231" i="1"/>
  <c r="EU231" i="1" s="1"/>
  <c r="EV231" i="1" s="1"/>
  <c r="EO231" i="1"/>
  <c r="EP231" i="1" s="1"/>
  <c r="EQ231" i="1" s="1"/>
  <c r="EJ231" i="1"/>
  <c r="EK231" i="1" s="1"/>
  <c r="EL231" i="1" s="1"/>
  <c r="EE231" i="1"/>
  <c r="EF231" i="1" s="1"/>
  <c r="EG231" i="1" s="1"/>
  <c r="DZ231" i="1"/>
  <c r="EA231" i="1" s="1"/>
  <c r="EB231" i="1" s="1"/>
  <c r="DU231" i="1"/>
  <c r="DV231" i="1" s="1"/>
  <c r="DW231" i="1" s="1"/>
  <c r="DP231" i="1"/>
  <c r="DQ231" i="1" s="1"/>
  <c r="DR231" i="1" s="1"/>
  <c r="DK231" i="1"/>
  <c r="DL231" i="1" s="1"/>
  <c r="DM231" i="1" s="1"/>
  <c r="DF231" i="1"/>
  <c r="DG231" i="1" s="1"/>
  <c r="DH231" i="1" s="1"/>
  <c r="DA231" i="1"/>
  <c r="DB231" i="1" s="1"/>
  <c r="DC231" i="1" s="1"/>
  <c r="CV231" i="1"/>
  <c r="CW231" i="1" s="1"/>
  <c r="CX231" i="1" s="1"/>
  <c r="CQ231" i="1"/>
  <c r="CR231" i="1" s="1"/>
  <c r="CS231" i="1" s="1"/>
  <c r="CL231" i="1"/>
  <c r="CM231" i="1" s="1"/>
  <c r="CN231" i="1" s="1"/>
  <c r="CG231" i="1"/>
  <c r="CH231" i="1" s="1"/>
  <c r="CI231" i="1" s="1"/>
  <c r="CB231" i="1"/>
  <c r="CC231" i="1" s="1"/>
  <c r="CD231" i="1" s="1"/>
  <c r="BW231" i="1"/>
  <c r="BX231" i="1" s="1"/>
  <c r="BY231" i="1" s="1"/>
  <c r="BR231" i="1"/>
  <c r="BS231" i="1" s="1"/>
  <c r="BT231" i="1" s="1"/>
  <c r="BM231" i="1"/>
  <c r="BN231" i="1" s="1"/>
  <c r="BO231" i="1" s="1"/>
  <c r="BH231" i="1"/>
  <c r="BI231" i="1" s="1"/>
  <c r="BJ231" i="1" s="1"/>
  <c r="BC231" i="1"/>
  <c r="BD231" i="1" s="1"/>
  <c r="BE231" i="1" s="1"/>
  <c r="AX231" i="1"/>
  <c r="AY231" i="1" s="1"/>
  <c r="AZ231" i="1" s="1"/>
  <c r="AS231" i="1"/>
  <c r="AT231" i="1" s="1"/>
  <c r="AU231" i="1" s="1"/>
  <c r="AN231" i="1"/>
  <c r="AO231" i="1" s="1"/>
  <c r="AP231" i="1" s="1"/>
  <c r="AI231" i="1"/>
  <c r="AJ231" i="1" s="1"/>
  <c r="AK231" i="1" s="1"/>
  <c r="X231" i="1"/>
  <c r="Y231" i="1" s="1"/>
  <c r="Z231" i="1" s="1"/>
  <c r="T231" i="1"/>
  <c r="O231" i="1"/>
  <c r="J231" i="1"/>
  <c r="PX230" i="1"/>
  <c r="PY230" i="1" s="1"/>
  <c r="PZ230" i="1" s="1"/>
  <c r="PU230" i="1"/>
  <c r="PP230" i="1"/>
  <c r="PK230" i="1"/>
  <c r="PF230" i="1"/>
  <c r="PA230" i="1"/>
  <c r="OV230" i="1"/>
  <c r="OQ230" i="1"/>
  <c r="OL230" i="1"/>
  <c r="OG230" i="1"/>
  <c r="OB230" i="1"/>
  <c r="NW230" i="1"/>
  <c r="NR230" i="1"/>
  <c r="NM230" i="1"/>
  <c r="NH230" i="1"/>
  <c r="NC230" i="1"/>
  <c r="MX230" i="1"/>
  <c r="MS230" i="1"/>
  <c r="MN230" i="1"/>
  <c r="MI230" i="1"/>
  <c r="MD230" i="1"/>
  <c r="LY230" i="1"/>
  <c r="LT230" i="1"/>
  <c r="LO230" i="1"/>
  <c r="LJ230" i="1"/>
  <c r="LE230" i="1"/>
  <c r="KZ230" i="1"/>
  <c r="KU230" i="1"/>
  <c r="KP230" i="1"/>
  <c r="KK230" i="1"/>
  <c r="KF230" i="1"/>
  <c r="JB230" i="1"/>
  <c r="IW230" i="1"/>
  <c r="IR230" i="1"/>
  <c r="IM230" i="1"/>
  <c r="IH230" i="1"/>
  <c r="IC230" i="1"/>
  <c r="HX230" i="1"/>
  <c r="HS230" i="1"/>
  <c r="HN230" i="1"/>
  <c r="HI230" i="1"/>
  <c r="HD230" i="1"/>
  <c r="GY230" i="1"/>
  <c r="GT230" i="1"/>
  <c r="GO230" i="1"/>
  <c r="GJ230" i="1"/>
  <c r="GE230" i="1"/>
  <c r="FZ230" i="1"/>
  <c r="FU230" i="1"/>
  <c r="FP230" i="1"/>
  <c r="FK230" i="1"/>
  <c r="FF230" i="1"/>
  <c r="FA230" i="1"/>
  <c r="EV230" i="1"/>
  <c r="EQ230" i="1"/>
  <c r="EL230" i="1"/>
  <c r="EG230" i="1"/>
  <c r="EB230" i="1"/>
  <c r="DW230" i="1"/>
  <c r="DR230" i="1"/>
  <c r="DM230" i="1"/>
  <c r="DH230" i="1"/>
  <c r="DC230" i="1"/>
  <c r="CX230" i="1"/>
  <c r="CS230" i="1"/>
  <c r="CN230" i="1"/>
  <c r="CI230" i="1"/>
  <c r="CD230" i="1"/>
  <c r="BY230" i="1"/>
  <c r="BT230" i="1"/>
  <c r="BO230" i="1"/>
  <c r="BJ230" i="1"/>
  <c r="BE230" i="1"/>
  <c r="AZ230" i="1"/>
  <c r="AU230" i="1"/>
  <c r="AP230" i="1"/>
  <c r="AK230" i="1"/>
  <c r="Z230" i="1"/>
  <c r="T230" i="1"/>
  <c r="O230" i="1"/>
  <c r="J230" i="1"/>
  <c r="PZ229" i="1"/>
  <c r="PU229" i="1"/>
  <c r="PP229" i="1"/>
  <c r="PK229" i="1"/>
  <c r="PF229" i="1"/>
  <c r="PA229" i="1"/>
  <c r="OV229" i="1"/>
  <c r="OQ229" i="1"/>
  <c r="OL229" i="1"/>
  <c r="OG229" i="1"/>
  <c r="OB229" i="1"/>
  <c r="NW229" i="1"/>
  <c r="NR229" i="1"/>
  <c r="NM229" i="1"/>
  <c r="NH229" i="1"/>
  <c r="NC229" i="1"/>
  <c r="MX229" i="1"/>
  <c r="MS229" i="1"/>
  <c r="MN229" i="1"/>
  <c r="MI229" i="1"/>
  <c r="MD229" i="1"/>
  <c r="LY229" i="1"/>
  <c r="LT229" i="1"/>
  <c r="LO229" i="1"/>
  <c r="LJ229" i="1"/>
  <c r="LE229" i="1"/>
  <c r="KZ229" i="1"/>
  <c r="KU229" i="1"/>
  <c r="KP229" i="1"/>
  <c r="KK229" i="1"/>
  <c r="KF229" i="1"/>
  <c r="JB229" i="1"/>
  <c r="IW229" i="1"/>
  <c r="IR229" i="1"/>
  <c r="IM229" i="1"/>
  <c r="IH229" i="1"/>
  <c r="IC229" i="1"/>
  <c r="HX229" i="1"/>
  <c r="HS229" i="1"/>
  <c r="HN229" i="1"/>
  <c r="HI229" i="1"/>
  <c r="HD229" i="1"/>
  <c r="GY229" i="1"/>
  <c r="GT229" i="1"/>
  <c r="GO229" i="1"/>
  <c r="GJ229" i="1"/>
  <c r="GE229" i="1"/>
  <c r="FZ229" i="1"/>
  <c r="FU229" i="1"/>
  <c r="FP229" i="1"/>
  <c r="FK229" i="1"/>
  <c r="FF229" i="1"/>
  <c r="FA229" i="1"/>
  <c r="EV229" i="1"/>
  <c r="EQ229" i="1"/>
  <c r="EL229" i="1"/>
  <c r="EG229" i="1"/>
  <c r="EB229" i="1"/>
  <c r="DW229" i="1"/>
  <c r="DR229" i="1"/>
  <c r="DM229" i="1"/>
  <c r="DH229" i="1"/>
  <c r="DC229" i="1"/>
  <c r="CX229" i="1"/>
  <c r="CS229" i="1"/>
  <c r="CN229" i="1"/>
  <c r="CI229" i="1"/>
  <c r="CD229" i="1"/>
  <c r="BY229" i="1"/>
  <c r="BT229" i="1"/>
  <c r="BO229" i="1"/>
  <c r="BJ229" i="1"/>
  <c r="BE229" i="1"/>
  <c r="AZ229" i="1"/>
  <c r="AU229" i="1"/>
  <c r="AP229" i="1"/>
  <c r="AK229" i="1"/>
  <c r="Z229" i="1"/>
  <c r="T229" i="1"/>
  <c r="O229" i="1"/>
  <c r="J229" i="1"/>
  <c r="PZ228" i="1"/>
  <c r="PU228" i="1"/>
  <c r="PP228" i="1"/>
  <c r="PK228" i="1"/>
  <c r="PF228" i="1"/>
  <c r="PA228" i="1"/>
  <c r="OV228" i="1"/>
  <c r="OQ228" i="1"/>
  <c r="OL228" i="1"/>
  <c r="OG228" i="1"/>
  <c r="OB228" i="1"/>
  <c r="NW228" i="1"/>
  <c r="NR228" i="1"/>
  <c r="NM228" i="1"/>
  <c r="NH228" i="1"/>
  <c r="NC228" i="1"/>
  <c r="MX228" i="1"/>
  <c r="MS228" i="1"/>
  <c r="MN228" i="1"/>
  <c r="MI228" i="1"/>
  <c r="MD228" i="1"/>
  <c r="LY228" i="1"/>
  <c r="LT228" i="1"/>
  <c r="LO228" i="1"/>
  <c r="LJ228" i="1"/>
  <c r="LE228" i="1"/>
  <c r="KZ228" i="1"/>
  <c r="KU228" i="1"/>
  <c r="KP228" i="1"/>
  <c r="KK228" i="1"/>
  <c r="KF228" i="1"/>
  <c r="JB228" i="1"/>
  <c r="IW228" i="1"/>
  <c r="IR228" i="1"/>
  <c r="IM228" i="1"/>
  <c r="IH228" i="1"/>
  <c r="IC228" i="1"/>
  <c r="HX228" i="1"/>
  <c r="HS228" i="1"/>
  <c r="HN228" i="1"/>
  <c r="HI228" i="1"/>
  <c r="HD228" i="1"/>
  <c r="GY228" i="1"/>
  <c r="GT228" i="1"/>
  <c r="GO228" i="1"/>
  <c r="GJ228" i="1"/>
  <c r="GE228" i="1"/>
  <c r="FZ228" i="1"/>
  <c r="FU228" i="1"/>
  <c r="FP228" i="1"/>
  <c r="FK228" i="1"/>
  <c r="FF228" i="1"/>
  <c r="FA228" i="1"/>
  <c r="EV228" i="1"/>
  <c r="EQ228" i="1"/>
  <c r="EL228" i="1"/>
  <c r="EG228" i="1"/>
  <c r="EB228" i="1"/>
  <c r="DW228" i="1"/>
  <c r="DR228" i="1"/>
  <c r="DM228" i="1"/>
  <c r="DH228" i="1"/>
  <c r="DC228" i="1"/>
  <c r="CX228" i="1"/>
  <c r="CS228" i="1"/>
  <c r="CN228" i="1"/>
  <c r="CI228" i="1"/>
  <c r="CD228" i="1"/>
  <c r="BY228" i="1"/>
  <c r="BT228" i="1"/>
  <c r="BO228" i="1"/>
  <c r="BJ228" i="1"/>
  <c r="BE228" i="1"/>
  <c r="AZ228" i="1"/>
  <c r="AU228" i="1"/>
  <c r="AP228" i="1"/>
  <c r="AK228" i="1"/>
  <c r="Z228" i="1"/>
  <c r="T228" i="1"/>
  <c r="O228" i="1"/>
  <c r="J228" i="1"/>
  <c r="PZ227" i="1"/>
  <c r="PU227" i="1"/>
  <c r="PP227" i="1"/>
  <c r="PK227" i="1"/>
  <c r="PF227" i="1"/>
  <c r="PA227" i="1"/>
  <c r="OV227" i="1"/>
  <c r="OQ227" i="1"/>
  <c r="OL227" i="1"/>
  <c r="OG227" i="1"/>
  <c r="OB227" i="1"/>
  <c r="NW227" i="1"/>
  <c r="NR227" i="1"/>
  <c r="NM227" i="1"/>
  <c r="NH227" i="1"/>
  <c r="NC227" i="1"/>
  <c r="MX227" i="1"/>
  <c r="MS227" i="1"/>
  <c r="MN227" i="1"/>
  <c r="MI227" i="1"/>
  <c r="MD227" i="1"/>
  <c r="LY227" i="1"/>
  <c r="LT227" i="1"/>
  <c r="LO227" i="1"/>
  <c r="LJ227" i="1"/>
  <c r="LE227" i="1"/>
  <c r="KZ227" i="1"/>
  <c r="KU227" i="1"/>
  <c r="KP227" i="1"/>
  <c r="KK227" i="1"/>
  <c r="KF227" i="1"/>
  <c r="JB227" i="1"/>
  <c r="IW227" i="1"/>
  <c r="IR227" i="1"/>
  <c r="IM227" i="1"/>
  <c r="IH227" i="1"/>
  <c r="IC227" i="1"/>
  <c r="HX227" i="1"/>
  <c r="HS227" i="1"/>
  <c r="HN227" i="1"/>
  <c r="HI227" i="1"/>
  <c r="HD227" i="1"/>
  <c r="GY227" i="1"/>
  <c r="GT227" i="1"/>
  <c r="GO227" i="1"/>
  <c r="GJ227" i="1"/>
  <c r="GE227" i="1"/>
  <c r="FZ227" i="1"/>
  <c r="FU227" i="1"/>
  <c r="FP227" i="1"/>
  <c r="FK227" i="1"/>
  <c r="FF227" i="1"/>
  <c r="FA227" i="1"/>
  <c r="EV227" i="1"/>
  <c r="EQ227" i="1"/>
  <c r="EL227" i="1"/>
  <c r="EG227" i="1"/>
  <c r="EB227" i="1"/>
  <c r="DW227" i="1"/>
  <c r="DR227" i="1"/>
  <c r="DM227" i="1"/>
  <c r="DH227" i="1"/>
  <c r="DC227" i="1"/>
  <c r="CX227" i="1"/>
  <c r="CS227" i="1"/>
  <c r="CN227" i="1"/>
  <c r="CI227" i="1"/>
  <c r="CD227" i="1"/>
  <c r="BY227" i="1"/>
  <c r="BT227" i="1"/>
  <c r="BO227" i="1"/>
  <c r="BJ227" i="1"/>
  <c r="BE227" i="1"/>
  <c r="AZ227" i="1"/>
  <c r="AU227" i="1"/>
  <c r="AP227" i="1"/>
  <c r="AK227" i="1"/>
  <c r="Z227" i="1"/>
  <c r="T227" i="1"/>
  <c r="O227" i="1"/>
  <c r="J227" i="1"/>
  <c r="PZ226" i="1"/>
  <c r="PU226" i="1"/>
  <c r="PP226" i="1"/>
  <c r="PK226" i="1"/>
  <c r="PF226" i="1"/>
  <c r="OY226" i="1"/>
  <c r="OZ226" i="1" s="1"/>
  <c r="PA226" i="1" s="1"/>
  <c r="OV226" i="1"/>
  <c r="OQ226" i="1"/>
  <c r="OL226" i="1"/>
  <c r="OG226" i="1"/>
  <c r="OB226" i="1"/>
  <c r="NW226" i="1"/>
  <c r="NR226" i="1"/>
  <c r="NM226" i="1"/>
  <c r="NH226" i="1"/>
  <c r="NC226" i="1"/>
  <c r="MX226" i="1"/>
  <c r="MS226" i="1"/>
  <c r="MN226" i="1"/>
  <c r="MI226" i="1"/>
  <c r="MD226" i="1"/>
  <c r="LY226" i="1"/>
  <c r="LT226" i="1"/>
  <c r="LO226" i="1"/>
  <c r="LJ226" i="1"/>
  <c r="LE226" i="1"/>
  <c r="KZ226" i="1"/>
  <c r="KU226" i="1"/>
  <c r="KP226" i="1"/>
  <c r="KK226" i="1"/>
  <c r="KF226" i="1"/>
  <c r="JB226" i="1"/>
  <c r="IW226" i="1"/>
  <c r="IR226" i="1"/>
  <c r="IM226" i="1"/>
  <c r="IH226" i="1"/>
  <c r="IC226" i="1"/>
  <c r="HX226" i="1"/>
  <c r="HS226" i="1"/>
  <c r="HN226" i="1"/>
  <c r="HI226" i="1"/>
  <c r="HD226" i="1"/>
  <c r="GY226" i="1"/>
  <c r="GT226" i="1"/>
  <c r="GO226" i="1"/>
  <c r="GJ226" i="1"/>
  <c r="GE226" i="1"/>
  <c r="FZ226" i="1"/>
  <c r="FU226" i="1"/>
  <c r="FP226" i="1"/>
  <c r="FK226" i="1"/>
  <c r="FF226" i="1"/>
  <c r="FA226" i="1"/>
  <c r="EV226" i="1"/>
  <c r="EQ226" i="1"/>
  <c r="EL226" i="1"/>
  <c r="EG226" i="1"/>
  <c r="EB226" i="1"/>
  <c r="DW226" i="1"/>
  <c r="DR226" i="1"/>
  <c r="DM226" i="1"/>
  <c r="DH226" i="1"/>
  <c r="DC226" i="1"/>
  <c r="CX226" i="1"/>
  <c r="CS226" i="1"/>
  <c r="CN226" i="1"/>
  <c r="CI226" i="1"/>
  <c r="CD226" i="1"/>
  <c r="BY226" i="1"/>
  <c r="BT226" i="1"/>
  <c r="BO226" i="1"/>
  <c r="BJ226" i="1"/>
  <c r="BE226" i="1"/>
  <c r="AZ226" i="1"/>
  <c r="AU226" i="1"/>
  <c r="AP226" i="1"/>
  <c r="AK226" i="1"/>
  <c r="Z226" i="1"/>
  <c r="T226" i="1"/>
  <c r="O226" i="1"/>
  <c r="J226" i="1"/>
  <c r="PX225" i="1"/>
  <c r="PY225" i="1" s="1"/>
  <c r="PZ225" i="1" s="1"/>
  <c r="PU225" i="1"/>
  <c r="PP225" i="1"/>
  <c r="PK225" i="1"/>
  <c r="PF225" i="1"/>
  <c r="PA225" i="1"/>
  <c r="OV225" i="1"/>
  <c r="OQ225" i="1"/>
  <c r="OL225" i="1"/>
  <c r="OG225" i="1"/>
  <c r="OB225" i="1"/>
  <c r="NW225" i="1"/>
  <c r="NR225" i="1"/>
  <c r="NM225" i="1"/>
  <c r="NH225" i="1"/>
  <c r="NC225" i="1"/>
  <c r="MX225" i="1"/>
  <c r="MS225" i="1"/>
  <c r="MN225" i="1"/>
  <c r="MI225" i="1"/>
  <c r="MD225" i="1"/>
  <c r="LY225" i="1"/>
  <c r="LT225" i="1"/>
  <c r="LO225" i="1"/>
  <c r="LJ225" i="1"/>
  <c r="LE225" i="1"/>
  <c r="KZ225" i="1"/>
  <c r="KU225" i="1"/>
  <c r="KP225" i="1"/>
  <c r="KK225" i="1"/>
  <c r="KF225" i="1"/>
  <c r="JB225" i="1"/>
  <c r="IW225" i="1"/>
  <c r="IR225" i="1"/>
  <c r="IM225" i="1"/>
  <c r="IH225" i="1"/>
  <c r="IC225" i="1"/>
  <c r="HX225" i="1"/>
  <c r="HS225" i="1"/>
  <c r="HN225" i="1"/>
  <c r="HI225" i="1"/>
  <c r="HD225" i="1"/>
  <c r="GY225" i="1"/>
  <c r="GT225" i="1"/>
  <c r="GO225" i="1"/>
  <c r="GJ225" i="1"/>
  <c r="GE225" i="1"/>
  <c r="FZ225" i="1"/>
  <c r="FU225" i="1"/>
  <c r="FP225" i="1"/>
  <c r="FK225" i="1"/>
  <c r="FF225" i="1"/>
  <c r="FA225" i="1"/>
  <c r="EV225" i="1"/>
  <c r="EQ225" i="1"/>
  <c r="EL225" i="1"/>
  <c r="EG225" i="1"/>
  <c r="EB225" i="1"/>
  <c r="DW225" i="1"/>
  <c r="DR225" i="1"/>
  <c r="DM225" i="1"/>
  <c r="DH225" i="1"/>
  <c r="DC225" i="1"/>
  <c r="CX225" i="1"/>
  <c r="CS225" i="1"/>
  <c r="CN225" i="1"/>
  <c r="CI225" i="1"/>
  <c r="CD225" i="1"/>
  <c r="BY225" i="1"/>
  <c r="BT225" i="1"/>
  <c r="BO225" i="1"/>
  <c r="BJ225" i="1"/>
  <c r="BE225" i="1"/>
  <c r="AZ225" i="1"/>
  <c r="AU225" i="1"/>
  <c r="AP225" i="1"/>
  <c r="AK225" i="1"/>
  <c r="Z225" i="1"/>
  <c r="T225" i="1"/>
  <c r="O225" i="1"/>
  <c r="J225" i="1"/>
  <c r="PZ224" i="1"/>
  <c r="PU224" i="1"/>
  <c r="PP224" i="1"/>
  <c r="PK224" i="1"/>
  <c r="PF224" i="1"/>
  <c r="PA224" i="1"/>
  <c r="OV224" i="1"/>
  <c r="OQ224" i="1"/>
  <c r="OL224" i="1"/>
  <c r="OG224" i="1"/>
  <c r="OB224" i="1"/>
  <c r="NW224" i="1"/>
  <c r="NR224" i="1"/>
  <c r="NM224" i="1"/>
  <c r="NH224" i="1"/>
  <c r="NC224" i="1"/>
  <c r="MX224" i="1"/>
  <c r="MS224" i="1"/>
  <c r="MN224" i="1"/>
  <c r="MI224" i="1"/>
  <c r="MD224" i="1"/>
  <c r="LY224" i="1"/>
  <c r="LT224" i="1"/>
  <c r="LO224" i="1"/>
  <c r="LJ224" i="1"/>
  <c r="LE224" i="1"/>
  <c r="KZ224" i="1"/>
  <c r="KU224" i="1"/>
  <c r="KP224" i="1"/>
  <c r="KK224" i="1"/>
  <c r="KF224" i="1"/>
  <c r="JB224" i="1"/>
  <c r="IW224" i="1"/>
  <c r="IR224" i="1"/>
  <c r="IM224" i="1"/>
  <c r="IH224" i="1"/>
  <c r="IC224" i="1"/>
  <c r="HX224" i="1"/>
  <c r="HS224" i="1"/>
  <c r="HN224" i="1"/>
  <c r="HI224" i="1"/>
  <c r="HD224" i="1"/>
  <c r="GY224" i="1"/>
  <c r="GT224" i="1"/>
  <c r="GO224" i="1"/>
  <c r="GJ224" i="1"/>
  <c r="GE224" i="1"/>
  <c r="FZ224" i="1"/>
  <c r="FU224" i="1"/>
  <c r="FP224" i="1"/>
  <c r="FK224" i="1"/>
  <c r="FF224" i="1"/>
  <c r="FA224" i="1"/>
  <c r="EV224" i="1"/>
  <c r="EQ224" i="1"/>
  <c r="EL224" i="1"/>
  <c r="EG224" i="1"/>
  <c r="EB224" i="1"/>
  <c r="DW224" i="1"/>
  <c r="DR224" i="1"/>
  <c r="DM224" i="1"/>
  <c r="DH224" i="1"/>
  <c r="DC224" i="1"/>
  <c r="CX224" i="1"/>
  <c r="CS224" i="1"/>
  <c r="CN224" i="1"/>
  <c r="CI224" i="1"/>
  <c r="CD224" i="1"/>
  <c r="BY224" i="1"/>
  <c r="BT224" i="1"/>
  <c r="BO224" i="1"/>
  <c r="BJ224" i="1"/>
  <c r="BE224" i="1"/>
  <c r="AZ224" i="1"/>
  <c r="AU224" i="1"/>
  <c r="AP224" i="1"/>
  <c r="AK224" i="1"/>
  <c r="Z224" i="1"/>
  <c r="T224" i="1"/>
  <c r="O224" i="1"/>
  <c r="J224" i="1"/>
  <c r="PX223" i="1"/>
  <c r="PY223" i="1" s="1"/>
  <c r="PZ223" i="1" s="1"/>
  <c r="PU223" i="1"/>
  <c r="PP223" i="1"/>
  <c r="PK223" i="1"/>
  <c r="PF223" i="1"/>
  <c r="OY223" i="1"/>
  <c r="OZ223" i="1" s="1"/>
  <c r="PA223" i="1" s="1"/>
  <c r="OV223" i="1"/>
  <c r="OQ223" i="1"/>
  <c r="OL223" i="1"/>
  <c r="OG223" i="1"/>
  <c r="OB223" i="1"/>
  <c r="NW223" i="1"/>
  <c r="NR223" i="1"/>
  <c r="NM223" i="1"/>
  <c r="NH223" i="1"/>
  <c r="NC223" i="1"/>
  <c r="MX223" i="1"/>
  <c r="MS223" i="1"/>
  <c r="MN223" i="1"/>
  <c r="MI223" i="1"/>
  <c r="MD223" i="1"/>
  <c r="LY223" i="1"/>
  <c r="LT223" i="1"/>
  <c r="LO223" i="1"/>
  <c r="LJ223" i="1"/>
  <c r="LE223" i="1"/>
  <c r="KZ223" i="1"/>
  <c r="KU223" i="1"/>
  <c r="KP223" i="1"/>
  <c r="KK223" i="1"/>
  <c r="KF223" i="1"/>
  <c r="JB223" i="1"/>
  <c r="IW223" i="1"/>
  <c r="IR223" i="1"/>
  <c r="IM223" i="1"/>
  <c r="IH223" i="1"/>
  <c r="IC223" i="1"/>
  <c r="HX223" i="1"/>
  <c r="HS223" i="1"/>
  <c r="HN223" i="1"/>
  <c r="HI223" i="1"/>
  <c r="HD223" i="1"/>
  <c r="GY223" i="1"/>
  <c r="GT223" i="1"/>
  <c r="GO223" i="1"/>
  <c r="GJ223" i="1"/>
  <c r="GE223" i="1"/>
  <c r="FZ223" i="1"/>
  <c r="FU223" i="1"/>
  <c r="FP223" i="1"/>
  <c r="FK223" i="1"/>
  <c r="FF223" i="1"/>
  <c r="FA223" i="1"/>
  <c r="EV223" i="1"/>
  <c r="EQ223" i="1"/>
  <c r="EL223" i="1"/>
  <c r="EG223" i="1"/>
  <c r="EB223" i="1"/>
  <c r="DW223" i="1"/>
  <c r="DR223" i="1"/>
  <c r="DM223" i="1"/>
  <c r="DH223" i="1"/>
  <c r="DC223" i="1"/>
  <c r="CX223" i="1"/>
  <c r="CS223" i="1"/>
  <c r="CN223" i="1"/>
  <c r="CI223" i="1"/>
  <c r="CD223" i="1"/>
  <c r="BY223" i="1"/>
  <c r="BT223" i="1"/>
  <c r="BO223" i="1"/>
  <c r="BJ223" i="1"/>
  <c r="BE223" i="1"/>
  <c r="AZ223" i="1"/>
  <c r="AU223" i="1"/>
  <c r="AP223" i="1"/>
  <c r="AK223" i="1"/>
  <c r="Z223" i="1"/>
  <c r="T223" i="1"/>
  <c r="O223" i="1"/>
  <c r="J223" i="1"/>
  <c r="PZ222" i="1"/>
  <c r="PU222" i="1"/>
  <c r="PP222" i="1"/>
  <c r="PK222" i="1"/>
  <c r="PF222" i="1"/>
  <c r="PA222" i="1"/>
  <c r="OV222" i="1"/>
  <c r="OQ222" i="1"/>
  <c r="OL222" i="1"/>
  <c r="OG222" i="1"/>
  <c r="OB222" i="1"/>
  <c r="NW222" i="1"/>
  <c r="NR222" i="1"/>
  <c r="NM222" i="1"/>
  <c r="NH222" i="1"/>
  <c r="NC222" i="1"/>
  <c r="MX222" i="1"/>
  <c r="MS222" i="1"/>
  <c r="MN222" i="1"/>
  <c r="MI222" i="1"/>
  <c r="MD222" i="1"/>
  <c r="LY222" i="1"/>
  <c r="LT222" i="1"/>
  <c r="LO222" i="1"/>
  <c r="LJ222" i="1"/>
  <c r="LE222" i="1"/>
  <c r="KZ222" i="1"/>
  <c r="KU222" i="1"/>
  <c r="KP222" i="1"/>
  <c r="KK222" i="1"/>
  <c r="KF222" i="1"/>
  <c r="JB222" i="1"/>
  <c r="IW222" i="1"/>
  <c r="IR222" i="1"/>
  <c r="IM222" i="1"/>
  <c r="IH222" i="1"/>
  <c r="IC222" i="1"/>
  <c r="HX222" i="1"/>
  <c r="HS222" i="1"/>
  <c r="HN222" i="1"/>
  <c r="HI222" i="1"/>
  <c r="HD222" i="1"/>
  <c r="GY222" i="1"/>
  <c r="GT222" i="1"/>
  <c r="GO222" i="1"/>
  <c r="GJ222" i="1"/>
  <c r="GE222" i="1"/>
  <c r="FZ222" i="1"/>
  <c r="FU222" i="1"/>
  <c r="FP222" i="1"/>
  <c r="FK222" i="1"/>
  <c r="FF222" i="1"/>
  <c r="FA222" i="1"/>
  <c r="EV222" i="1"/>
  <c r="EQ222" i="1"/>
  <c r="EL222" i="1"/>
  <c r="EG222" i="1"/>
  <c r="EB222" i="1"/>
  <c r="DW222" i="1"/>
  <c r="DR222" i="1"/>
  <c r="DM222" i="1"/>
  <c r="DH222" i="1"/>
  <c r="DC222" i="1"/>
  <c r="CX222" i="1"/>
  <c r="CS222" i="1"/>
  <c r="CN222" i="1"/>
  <c r="CI222" i="1"/>
  <c r="CD222" i="1"/>
  <c r="BY222" i="1"/>
  <c r="BT222" i="1"/>
  <c r="BO222" i="1"/>
  <c r="BJ222" i="1"/>
  <c r="BE222" i="1"/>
  <c r="AZ222" i="1"/>
  <c r="AU222" i="1"/>
  <c r="AP222" i="1"/>
  <c r="AK222" i="1"/>
  <c r="Z222" i="1"/>
  <c r="T222" i="1"/>
  <c r="O222" i="1"/>
  <c r="J222" i="1"/>
  <c r="PZ221" i="1"/>
  <c r="PS221" i="1"/>
  <c r="PT221" i="1" s="1"/>
  <c r="PU221" i="1" s="1"/>
  <c r="PN221" i="1"/>
  <c r="PO221" i="1" s="1"/>
  <c r="PP221" i="1" s="1"/>
  <c r="PI221" i="1"/>
  <c r="PJ221" i="1" s="1"/>
  <c r="PK221" i="1" s="1"/>
  <c r="PD221" i="1"/>
  <c r="PE221" i="1" s="1"/>
  <c r="PF221" i="1" s="1"/>
  <c r="OY221" i="1"/>
  <c r="OZ221" i="1" s="1"/>
  <c r="PA221" i="1" s="1"/>
  <c r="OV221" i="1"/>
  <c r="OQ221" i="1"/>
  <c r="OL221" i="1"/>
  <c r="OG221" i="1"/>
  <c r="OB221" i="1"/>
  <c r="NW221" i="1"/>
  <c r="NR221" i="1"/>
  <c r="NM221" i="1"/>
  <c r="NH221" i="1"/>
  <c r="NC221" i="1"/>
  <c r="MX221" i="1"/>
  <c r="MS221" i="1"/>
  <c r="MN221" i="1"/>
  <c r="MI221" i="1"/>
  <c r="MD221" i="1"/>
  <c r="LY221" i="1"/>
  <c r="LT221" i="1"/>
  <c r="LO221" i="1"/>
  <c r="LJ221" i="1"/>
  <c r="LE221" i="1"/>
  <c r="KZ221" i="1"/>
  <c r="KU221" i="1"/>
  <c r="KP221" i="1"/>
  <c r="KK221" i="1"/>
  <c r="KF221" i="1"/>
  <c r="JB221" i="1"/>
  <c r="IW221" i="1"/>
  <c r="IR221" i="1"/>
  <c r="IM221" i="1"/>
  <c r="IH221" i="1"/>
  <c r="IC221" i="1"/>
  <c r="HX221" i="1"/>
  <c r="HS221" i="1"/>
  <c r="HN221" i="1"/>
  <c r="HI221" i="1"/>
  <c r="HD221" i="1"/>
  <c r="GY221" i="1"/>
  <c r="GT221" i="1"/>
  <c r="GM221" i="1"/>
  <c r="GN221" i="1" s="1"/>
  <c r="GO221" i="1" s="1"/>
  <c r="GH221" i="1"/>
  <c r="GI221" i="1" s="1"/>
  <c r="GJ221" i="1" s="1"/>
  <c r="GC221" i="1"/>
  <c r="GD221" i="1" s="1"/>
  <c r="GE221" i="1" s="1"/>
  <c r="FX221" i="1"/>
  <c r="FY221" i="1" s="1"/>
  <c r="FZ221" i="1" s="1"/>
  <c r="FS221" i="1"/>
  <c r="FT221" i="1" s="1"/>
  <c r="FU221" i="1" s="1"/>
  <c r="FN221" i="1"/>
  <c r="FO221" i="1" s="1"/>
  <c r="FP221" i="1" s="1"/>
  <c r="FI221" i="1"/>
  <c r="FJ221" i="1" s="1"/>
  <c r="FK221" i="1" s="1"/>
  <c r="FD221" i="1"/>
  <c r="FE221" i="1" s="1"/>
  <c r="FF221" i="1" s="1"/>
  <c r="EY221" i="1"/>
  <c r="EZ221" i="1" s="1"/>
  <c r="FA221" i="1" s="1"/>
  <c r="ET221" i="1"/>
  <c r="EU221" i="1" s="1"/>
  <c r="EV221" i="1" s="1"/>
  <c r="EO221" i="1"/>
  <c r="EP221" i="1" s="1"/>
  <c r="EQ221" i="1" s="1"/>
  <c r="EJ221" i="1"/>
  <c r="EK221" i="1" s="1"/>
  <c r="EL221" i="1" s="1"/>
  <c r="EE221" i="1"/>
  <c r="EF221" i="1" s="1"/>
  <c r="EG221" i="1" s="1"/>
  <c r="DZ221" i="1"/>
  <c r="EA221" i="1" s="1"/>
  <c r="EB221" i="1" s="1"/>
  <c r="DU221" i="1"/>
  <c r="DV221" i="1" s="1"/>
  <c r="DW221" i="1" s="1"/>
  <c r="DP221" i="1"/>
  <c r="DQ221" i="1" s="1"/>
  <c r="DR221" i="1" s="1"/>
  <c r="DK221" i="1"/>
  <c r="DL221" i="1" s="1"/>
  <c r="DM221" i="1" s="1"/>
  <c r="DF221" i="1"/>
  <c r="DG221" i="1" s="1"/>
  <c r="DH221" i="1" s="1"/>
  <c r="DA221" i="1"/>
  <c r="DB221" i="1" s="1"/>
  <c r="DC221" i="1" s="1"/>
  <c r="CV221" i="1"/>
  <c r="CW221" i="1" s="1"/>
  <c r="CX221" i="1" s="1"/>
  <c r="CQ221" i="1"/>
  <c r="CR221" i="1" s="1"/>
  <c r="CS221" i="1" s="1"/>
  <c r="CL221" i="1"/>
  <c r="CM221" i="1" s="1"/>
  <c r="CN221" i="1" s="1"/>
  <c r="CI221" i="1"/>
  <c r="CB221" i="1"/>
  <c r="CC221" i="1" s="1"/>
  <c r="CD221" i="1" s="1"/>
  <c r="BW221" i="1"/>
  <c r="BX221" i="1" s="1"/>
  <c r="BY221" i="1" s="1"/>
  <c r="BR221" i="1"/>
  <c r="BS221" i="1" s="1"/>
  <c r="BT221" i="1" s="1"/>
  <c r="BM221" i="1"/>
  <c r="BN221" i="1" s="1"/>
  <c r="BO221" i="1" s="1"/>
  <c r="BH221" i="1"/>
  <c r="BI221" i="1" s="1"/>
  <c r="BJ221" i="1" s="1"/>
  <c r="BC221" i="1"/>
  <c r="BD221" i="1" s="1"/>
  <c r="BE221" i="1" s="1"/>
  <c r="AX221" i="1"/>
  <c r="AY221" i="1" s="1"/>
  <c r="AZ221" i="1" s="1"/>
  <c r="AS221" i="1"/>
  <c r="AT221" i="1" s="1"/>
  <c r="AU221" i="1" s="1"/>
  <c r="AN221" i="1"/>
  <c r="AO221" i="1" s="1"/>
  <c r="AP221" i="1" s="1"/>
  <c r="AI221" i="1"/>
  <c r="AJ221" i="1" s="1"/>
  <c r="AK221" i="1" s="1"/>
  <c r="X221" i="1"/>
  <c r="Y221" i="1" s="1"/>
  <c r="Z221" i="1" s="1"/>
  <c r="T221" i="1"/>
  <c r="O221" i="1"/>
  <c r="J221" i="1"/>
  <c r="PZ220" i="1"/>
  <c r="PU220" i="1"/>
  <c r="PP220" i="1"/>
  <c r="PK220" i="1"/>
  <c r="PF220" i="1"/>
  <c r="OY220" i="1"/>
  <c r="OZ220" i="1" s="1"/>
  <c r="PA220" i="1" s="1"/>
  <c r="OV220" i="1"/>
  <c r="OQ220" i="1"/>
  <c r="OL220" i="1"/>
  <c r="OG220" i="1"/>
  <c r="OB220" i="1"/>
  <c r="NW220" i="1"/>
  <c r="NR220" i="1"/>
  <c r="NM220" i="1"/>
  <c r="NH220" i="1"/>
  <c r="NC220" i="1"/>
  <c r="MX220" i="1"/>
  <c r="MS220" i="1"/>
  <c r="MN220" i="1"/>
  <c r="MI220" i="1"/>
  <c r="MD220" i="1"/>
  <c r="LY220" i="1"/>
  <c r="LT220" i="1"/>
  <c r="LO220" i="1"/>
  <c r="LJ220" i="1"/>
  <c r="LE220" i="1"/>
  <c r="KZ220" i="1"/>
  <c r="KU220" i="1"/>
  <c r="KP220" i="1"/>
  <c r="KK220" i="1"/>
  <c r="KF220" i="1"/>
  <c r="JB220" i="1"/>
  <c r="IW220" i="1"/>
  <c r="IR220" i="1"/>
  <c r="IM220" i="1"/>
  <c r="IH220" i="1"/>
  <c r="IC220" i="1"/>
  <c r="HX220" i="1"/>
  <c r="HS220" i="1"/>
  <c r="HN220" i="1"/>
  <c r="HI220" i="1"/>
  <c r="HD220" i="1"/>
  <c r="GY220" i="1"/>
  <c r="GT220" i="1"/>
  <c r="GO220" i="1"/>
  <c r="GJ220" i="1"/>
  <c r="GE220" i="1"/>
  <c r="FZ220" i="1"/>
  <c r="FU220" i="1"/>
  <c r="FP220" i="1"/>
  <c r="FK220" i="1"/>
  <c r="FF220" i="1"/>
  <c r="FA220" i="1"/>
  <c r="EV220" i="1"/>
  <c r="EQ220" i="1"/>
  <c r="EL220" i="1"/>
  <c r="EG220" i="1"/>
  <c r="EB220" i="1"/>
  <c r="DW220" i="1"/>
  <c r="DR220" i="1"/>
  <c r="DM220" i="1"/>
  <c r="DH220" i="1"/>
  <c r="DC220" i="1"/>
  <c r="CX220" i="1"/>
  <c r="CS220" i="1"/>
  <c r="CN220" i="1"/>
  <c r="CI220" i="1"/>
  <c r="CD220" i="1"/>
  <c r="BY220" i="1"/>
  <c r="BT220" i="1"/>
  <c r="BO220" i="1"/>
  <c r="BJ220" i="1"/>
  <c r="BE220" i="1"/>
  <c r="AZ220" i="1"/>
  <c r="AU220" i="1"/>
  <c r="AP220" i="1"/>
  <c r="AK220" i="1"/>
  <c r="Z220" i="1"/>
  <c r="T220" i="1"/>
  <c r="O220" i="1"/>
  <c r="J220" i="1"/>
  <c r="PZ219" i="1"/>
  <c r="PU219" i="1"/>
  <c r="PP219" i="1"/>
  <c r="PK219" i="1"/>
  <c r="PF219" i="1"/>
  <c r="PA219" i="1"/>
  <c r="OV219" i="1"/>
  <c r="OQ219" i="1"/>
  <c r="OL219" i="1"/>
  <c r="OG219" i="1"/>
  <c r="OB219" i="1"/>
  <c r="NW219" i="1"/>
  <c r="NR219" i="1"/>
  <c r="NM219" i="1"/>
  <c r="NH219" i="1"/>
  <c r="NC219" i="1"/>
  <c r="MX219" i="1"/>
  <c r="MS219" i="1"/>
  <c r="MN219" i="1"/>
  <c r="MI219" i="1"/>
  <c r="MD219" i="1"/>
  <c r="LY219" i="1"/>
  <c r="LT219" i="1"/>
  <c r="LO219" i="1"/>
  <c r="LJ219" i="1"/>
  <c r="LE219" i="1"/>
  <c r="KZ219" i="1"/>
  <c r="KU219" i="1"/>
  <c r="KP219" i="1"/>
  <c r="KK219" i="1"/>
  <c r="KF219" i="1"/>
  <c r="JB219" i="1"/>
  <c r="IW219" i="1"/>
  <c r="IR219" i="1"/>
  <c r="IM219" i="1"/>
  <c r="IH219" i="1"/>
  <c r="IC219" i="1"/>
  <c r="HX219" i="1"/>
  <c r="HS219" i="1"/>
  <c r="HN219" i="1"/>
  <c r="HI219" i="1"/>
  <c r="HD219" i="1"/>
  <c r="GY219" i="1"/>
  <c r="GT219" i="1"/>
  <c r="GO219" i="1"/>
  <c r="GJ219" i="1"/>
  <c r="GE219" i="1"/>
  <c r="FZ219" i="1"/>
  <c r="FU219" i="1"/>
  <c r="FP219" i="1"/>
  <c r="FK219" i="1"/>
  <c r="FF219" i="1"/>
  <c r="FA219" i="1"/>
  <c r="EV219" i="1"/>
  <c r="EQ219" i="1"/>
  <c r="EL219" i="1"/>
  <c r="EG219" i="1"/>
  <c r="EB219" i="1"/>
  <c r="DW219" i="1"/>
  <c r="DR219" i="1"/>
  <c r="DM219" i="1"/>
  <c r="DH219" i="1"/>
  <c r="DC219" i="1"/>
  <c r="CX219" i="1"/>
  <c r="CS219" i="1"/>
  <c r="CN219" i="1"/>
  <c r="CI219" i="1"/>
  <c r="CD219" i="1"/>
  <c r="BY219" i="1"/>
  <c r="BT219" i="1"/>
  <c r="BO219" i="1"/>
  <c r="BJ219" i="1"/>
  <c r="BE219" i="1"/>
  <c r="AZ219" i="1"/>
  <c r="AU219" i="1"/>
  <c r="AP219" i="1"/>
  <c r="AK219" i="1"/>
  <c r="Z219" i="1"/>
  <c r="T219" i="1"/>
  <c r="O219" i="1"/>
  <c r="J219" i="1"/>
  <c r="PZ218" i="1"/>
  <c r="PU218" i="1"/>
  <c r="PP218" i="1"/>
  <c r="PK218" i="1"/>
  <c r="PF218" i="1"/>
  <c r="PA218" i="1"/>
  <c r="OV218" i="1"/>
  <c r="OQ218" i="1"/>
  <c r="OL218" i="1"/>
  <c r="OG218" i="1"/>
  <c r="OB218" i="1"/>
  <c r="NW218" i="1"/>
  <c r="NR218" i="1"/>
  <c r="NM218" i="1"/>
  <c r="NH218" i="1"/>
  <c r="NC218" i="1"/>
  <c r="MX218" i="1"/>
  <c r="MS218" i="1"/>
  <c r="MN218" i="1"/>
  <c r="MI218" i="1"/>
  <c r="MD218" i="1"/>
  <c r="LY218" i="1"/>
  <c r="LT218" i="1"/>
  <c r="LO218" i="1"/>
  <c r="LJ218" i="1"/>
  <c r="LE218" i="1"/>
  <c r="KZ218" i="1"/>
  <c r="KU218" i="1"/>
  <c r="KP218" i="1"/>
  <c r="KK218" i="1"/>
  <c r="KF218" i="1"/>
  <c r="JB218" i="1"/>
  <c r="IW218" i="1"/>
  <c r="IR218" i="1"/>
  <c r="IM218" i="1"/>
  <c r="IH218" i="1"/>
  <c r="IC218" i="1"/>
  <c r="HX218" i="1"/>
  <c r="HS218" i="1"/>
  <c r="HN218" i="1"/>
  <c r="HI218" i="1"/>
  <c r="HD218" i="1"/>
  <c r="GY218" i="1"/>
  <c r="GT218" i="1"/>
  <c r="GO218" i="1"/>
  <c r="GJ218" i="1"/>
  <c r="GE218" i="1"/>
  <c r="FZ218" i="1"/>
  <c r="FU218" i="1"/>
  <c r="FP218" i="1"/>
  <c r="FK218" i="1"/>
  <c r="FF218" i="1"/>
  <c r="FA218" i="1"/>
  <c r="EV218" i="1"/>
  <c r="EQ218" i="1"/>
  <c r="EL218" i="1"/>
  <c r="EG218" i="1"/>
  <c r="EB218" i="1"/>
  <c r="DW218" i="1"/>
  <c r="DR218" i="1"/>
  <c r="DM218" i="1"/>
  <c r="DH218" i="1"/>
  <c r="DC218" i="1"/>
  <c r="CX218" i="1"/>
  <c r="CS218" i="1"/>
  <c r="CN218" i="1"/>
  <c r="CI218" i="1"/>
  <c r="CD218" i="1"/>
  <c r="BY218" i="1"/>
  <c r="BT218" i="1"/>
  <c r="BO218" i="1"/>
  <c r="BJ218" i="1"/>
  <c r="BE218" i="1"/>
  <c r="AZ218" i="1"/>
  <c r="AU218" i="1"/>
  <c r="AP218" i="1"/>
  <c r="AK218" i="1"/>
  <c r="Z218" i="1"/>
  <c r="T218" i="1"/>
  <c r="O218" i="1"/>
  <c r="J218" i="1"/>
  <c r="PZ217" i="1"/>
  <c r="PU217" i="1"/>
  <c r="PP217" i="1"/>
  <c r="PK217" i="1"/>
  <c r="PF217" i="1"/>
  <c r="PA217" i="1"/>
  <c r="OV217" i="1"/>
  <c r="OQ217" i="1"/>
  <c r="OL217" i="1"/>
  <c r="OG217" i="1"/>
  <c r="OB217" i="1"/>
  <c r="NW217" i="1"/>
  <c r="NR217" i="1"/>
  <c r="NM217" i="1"/>
  <c r="NH217" i="1"/>
  <c r="NC217" i="1"/>
  <c r="MX217" i="1"/>
  <c r="MS217" i="1"/>
  <c r="MN217" i="1"/>
  <c r="MI217" i="1"/>
  <c r="MD217" i="1"/>
  <c r="LY217" i="1"/>
  <c r="LT217" i="1"/>
  <c r="LO217" i="1"/>
  <c r="LJ217" i="1"/>
  <c r="LE217" i="1"/>
  <c r="KZ217" i="1"/>
  <c r="KU217" i="1"/>
  <c r="KP217" i="1"/>
  <c r="KK217" i="1"/>
  <c r="KF217" i="1"/>
  <c r="JB217" i="1"/>
  <c r="IW217" i="1"/>
  <c r="IR217" i="1"/>
  <c r="IM217" i="1"/>
  <c r="IH217" i="1"/>
  <c r="IC217" i="1"/>
  <c r="HX217" i="1"/>
  <c r="HS217" i="1"/>
  <c r="HN217" i="1"/>
  <c r="HI217" i="1"/>
  <c r="HD217" i="1"/>
  <c r="GY217" i="1"/>
  <c r="GT217" i="1"/>
  <c r="GO217" i="1"/>
  <c r="GJ217" i="1"/>
  <c r="GE217" i="1"/>
  <c r="FZ217" i="1"/>
  <c r="FU217" i="1"/>
  <c r="FP217" i="1"/>
  <c r="FK217" i="1"/>
  <c r="FF217" i="1"/>
  <c r="FA217" i="1"/>
  <c r="EV217" i="1"/>
  <c r="EQ217" i="1"/>
  <c r="EL217" i="1"/>
  <c r="EG217" i="1"/>
  <c r="EB217" i="1"/>
  <c r="DW217" i="1"/>
  <c r="DR217" i="1"/>
  <c r="DM217" i="1"/>
  <c r="DH217" i="1"/>
  <c r="DC217" i="1"/>
  <c r="CX217" i="1"/>
  <c r="CS217" i="1"/>
  <c r="CN217" i="1"/>
  <c r="CI217" i="1"/>
  <c r="CD217" i="1"/>
  <c r="BY217" i="1"/>
  <c r="BT217" i="1"/>
  <c r="BO217" i="1"/>
  <c r="BJ217" i="1"/>
  <c r="BE217" i="1"/>
  <c r="AZ217" i="1"/>
  <c r="AU217" i="1"/>
  <c r="AP217" i="1"/>
  <c r="AK217" i="1"/>
  <c r="Z217" i="1"/>
  <c r="T217" i="1"/>
  <c r="O217" i="1"/>
  <c r="J217" i="1"/>
  <c r="PZ216" i="1"/>
  <c r="PU216" i="1"/>
  <c r="PP216" i="1"/>
  <c r="PK216" i="1"/>
  <c r="PF216" i="1"/>
  <c r="PA216" i="1"/>
  <c r="OV216" i="1"/>
  <c r="OQ216" i="1"/>
  <c r="OL216" i="1"/>
  <c r="OG216" i="1"/>
  <c r="OB216" i="1"/>
  <c r="NW216" i="1"/>
  <c r="NR216" i="1"/>
  <c r="NM216" i="1"/>
  <c r="NH216" i="1"/>
  <c r="NC216" i="1"/>
  <c r="MX216" i="1"/>
  <c r="MS216" i="1"/>
  <c r="MN216" i="1"/>
  <c r="MI216" i="1"/>
  <c r="MD216" i="1"/>
  <c r="LY216" i="1"/>
  <c r="LT216" i="1"/>
  <c r="LO216" i="1"/>
  <c r="LJ216" i="1"/>
  <c r="LE216" i="1"/>
  <c r="KZ216" i="1"/>
  <c r="KU216" i="1"/>
  <c r="KP216" i="1"/>
  <c r="KK216" i="1"/>
  <c r="KF216" i="1"/>
  <c r="JB216" i="1"/>
  <c r="IW216" i="1"/>
  <c r="IR216" i="1"/>
  <c r="IM216" i="1"/>
  <c r="IH216" i="1"/>
  <c r="IC216" i="1"/>
  <c r="HX216" i="1"/>
  <c r="HS216" i="1"/>
  <c r="HN216" i="1"/>
  <c r="HI216" i="1"/>
  <c r="HD216" i="1"/>
  <c r="GY216" i="1"/>
  <c r="GT216" i="1"/>
  <c r="GO216" i="1"/>
  <c r="GJ216" i="1"/>
  <c r="GE216" i="1"/>
  <c r="FZ216" i="1"/>
  <c r="FU216" i="1"/>
  <c r="FP216" i="1"/>
  <c r="FK216" i="1"/>
  <c r="FF216" i="1"/>
  <c r="FA216" i="1"/>
  <c r="EV216" i="1"/>
  <c r="EQ216" i="1"/>
  <c r="EL216" i="1"/>
  <c r="EG216" i="1"/>
  <c r="EB216" i="1"/>
  <c r="DW216" i="1"/>
  <c r="DR216" i="1"/>
  <c r="DM216" i="1"/>
  <c r="DH216" i="1"/>
  <c r="DC216" i="1"/>
  <c r="CX216" i="1"/>
  <c r="CS216" i="1"/>
  <c r="CN216" i="1"/>
  <c r="CI216" i="1"/>
  <c r="CD216" i="1"/>
  <c r="BY216" i="1"/>
  <c r="BT216" i="1"/>
  <c r="BO216" i="1"/>
  <c r="BJ216" i="1"/>
  <c r="BE216" i="1"/>
  <c r="AZ216" i="1"/>
  <c r="AU216" i="1"/>
  <c r="AP216" i="1"/>
  <c r="AK216" i="1"/>
  <c r="Z216" i="1"/>
  <c r="T216" i="1"/>
  <c r="O216" i="1"/>
  <c r="J216" i="1"/>
  <c r="PZ215" i="1"/>
  <c r="PU215" i="1"/>
  <c r="PP215" i="1"/>
  <c r="PK215" i="1"/>
  <c r="PF215" i="1"/>
  <c r="PA215" i="1"/>
  <c r="OV215" i="1"/>
  <c r="OQ215" i="1"/>
  <c r="OL215" i="1"/>
  <c r="OG215" i="1"/>
  <c r="OB215" i="1"/>
  <c r="NW215" i="1"/>
  <c r="NR215" i="1"/>
  <c r="NM215" i="1"/>
  <c r="NH215" i="1"/>
  <c r="NC215" i="1"/>
  <c r="MX215" i="1"/>
  <c r="MS215" i="1"/>
  <c r="MN215" i="1"/>
  <c r="MI215" i="1"/>
  <c r="MD215" i="1"/>
  <c r="LY215" i="1"/>
  <c r="LT215" i="1"/>
  <c r="LO215" i="1"/>
  <c r="LJ215" i="1"/>
  <c r="LE215" i="1"/>
  <c r="KZ215" i="1"/>
  <c r="KU215" i="1"/>
  <c r="KP215" i="1"/>
  <c r="KK215" i="1"/>
  <c r="KF215" i="1"/>
  <c r="JB215" i="1"/>
  <c r="IW215" i="1"/>
  <c r="IR215" i="1"/>
  <c r="IM215" i="1"/>
  <c r="IH215" i="1"/>
  <c r="IC215" i="1"/>
  <c r="HX215" i="1"/>
  <c r="HS215" i="1"/>
  <c r="HN215" i="1"/>
  <c r="HI215" i="1"/>
  <c r="HD215" i="1"/>
  <c r="GY215" i="1"/>
  <c r="GT215" i="1"/>
  <c r="GO215" i="1"/>
  <c r="GJ215" i="1"/>
  <c r="GE215" i="1"/>
  <c r="FZ215" i="1"/>
  <c r="FU215" i="1"/>
  <c r="FP215" i="1"/>
  <c r="FK215" i="1"/>
  <c r="FF215" i="1"/>
  <c r="FA215" i="1"/>
  <c r="EV215" i="1"/>
  <c r="EQ215" i="1"/>
  <c r="EL215" i="1"/>
  <c r="EG215" i="1"/>
  <c r="EB215" i="1"/>
  <c r="DW215" i="1"/>
  <c r="DR215" i="1"/>
  <c r="DM215" i="1"/>
  <c r="DH215" i="1"/>
  <c r="DC215" i="1"/>
  <c r="CX215" i="1"/>
  <c r="CS215" i="1"/>
  <c r="CN215" i="1"/>
  <c r="CG215" i="1"/>
  <c r="CH215" i="1" s="1"/>
  <c r="CI215" i="1" s="1"/>
  <c r="CD215" i="1"/>
  <c r="BY215" i="1"/>
  <c r="BT215" i="1"/>
  <c r="BO215" i="1"/>
  <c r="BJ215" i="1"/>
  <c r="BE215" i="1"/>
  <c r="AZ215" i="1"/>
  <c r="AU215" i="1"/>
  <c r="AP215" i="1"/>
  <c r="AK215" i="1"/>
  <c r="AD215" i="1"/>
  <c r="AE215" i="1" s="1"/>
  <c r="AF215" i="1" s="1"/>
  <c r="X215" i="1"/>
  <c r="Y215" i="1" s="1"/>
  <c r="Z215" i="1" s="1"/>
  <c r="T215" i="1"/>
  <c r="O215" i="1"/>
  <c r="J215" i="1"/>
  <c r="PZ214" i="1"/>
  <c r="PU214" i="1"/>
  <c r="PP214" i="1"/>
  <c r="PK214" i="1"/>
  <c r="PF214" i="1"/>
  <c r="PA214" i="1"/>
  <c r="OV214" i="1"/>
  <c r="OQ214" i="1"/>
  <c r="OL214" i="1"/>
  <c r="OG214" i="1"/>
  <c r="OB214" i="1"/>
  <c r="NW214" i="1"/>
  <c r="NR214" i="1"/>
  <c r="NM214" i="1"/>
  <c r="NH214" i="1"/>
  <c r="NC214" i="1"/>
  <c r="MX214" i="1"/>
  <c r="MS214" i="1"/>
  <c r="MN214" i="1"/>
  <c r="MI214" i="1"/>
  <c r="MD214" i="1"/>
  <c r="LY214" i="1"/>
  <c r="LT214" i="1"/>
  <c r="LO214" i="1"/>
  <c r="LJ214" i="1"/>
  <c r="LE214" i="1"/>
  <c r="KZ214" i="1"/>
  <c r="KU214" i="1"/>
  <c r="KP214" i="1"/>
  <c r="KK214" i="1"/>
  <c r="KF214" i="1"/>
  <c r="JB214" i="1"/>
  <c r="IW214" i="1"/>
  <c r="IR214" i="1"/>
  <c r="IM214" i="1"/>
  <c r="IH214" i="1"/>
  <c r="IC214" i="1"/>
  <c r="HX214" i="1"/>
  <c r="HS214" i="1"/>
  <c r="HN214" i="1"/>
  <c r="HI214" i="1"/>
  <c r="HD214" i="1"/>
  <c r="GY214" i="1"/>
  <c r="GT214" i="1"/>
  <c r="GO214" i="1"/>
  <c r="GJ214" i="1"/>
  <c r="GE214" i="1"/>
  <c r="FZ214" i="1"/>
  <c r="FU214" i="1"/>
  <c r="FP214" i="1"/>
  <c r="FK214" i="1"/>
  <c r="FF214" i="1"/>
  <c r="FA214" i="1"/>
  <c r="EV214" i="1"/>
  <c r="EQ214" i="1"/>
  <c r="EL214" i="1"/>
  <c r="EG214" i="1"/>
  <c r="EB214" i="1"/>
  <c r="DW214" i="1"/>
  <c r="DR214" i="1"/>
  <c r="DM214" i="1"/>
  <c r="DH214" i="1"/>
  <c r="DC214" i="1"/>
  <c r="CX214" i="1"/>
  <c r="CS214" i="1"/>
  <c r="CN214" i="1"/>
  <c r="CI214" i="1"/>
  <c r="CD214" i="1"/>
  <c r="BY214" i="1"/>
  <c r="BT214" i="1"/>
  <c r="BO214" i="1"/>
  <c r="BJ214" i="1"/>
  <c r="BE214" i="1"/>
  <c r="AZ214" i="1"/>
  <c r="AU214" i="1"/>
  <c r="AP214" i="1"/>
  <c r="AK214" i="1"/>
  <c r="Z214" i="1"/>
  <c r="T214" i="1"/>
  <c r="O214" i="1"/>
  <c r="J214" i="1"/>
  <c r="PZ213" i="1"/>
  <c r="PU213" i="1"/>
  <c r="PN213" i="1"/>
  <c r="PO213" i="1" s="1"/>
  <c r="PP213" i="1" s="1"/>
  <c r="PK213" i="1"/>
  <c r="PF213" i="1"/>
  <c r="PA213" i="1"/>
  <c r="OV213" i="1"/>
  <c r="OQ213" i="1"/>
  <c r="OL213" i="1"/>
  <c r="OG213" i="1"/>
  <c r="OB213" i="1"/>
  <c r="NW213" i="1"/>
  <c r="NR213" i="1"/>
  <c r="NM213" i="1"/>
  <c r="NH213" i="1"/>
  <c r="NC213" i="1"/>
  <c r="MX213" i="1"/>
  <c r="MS213" i="1"/>
  <c r="MN213" i="1"/>
  <c r="MI213" i="1"/>
  <c r="MD213" i="1"/>
  <c r="LY213" i="1"/>
  <c r="LT213" i="1"/>
  <c r="LO213" i="1"/>
  <c r="LJ213" i="1"/>
  <c r="LE213" i="1"/>
  <c r="KZ213" i="1"/>
  <c r="KU213" i="1"/>
  <c r="KP213" i="1"/>
  <c r="KK213" i="1"/>
  <c r="KF213" i="1"/>
  <c r="JB213" i="1"/>
  <c r="IW213" i="1"/>
  <c r="IR213" i="1"/>
  <c r="IM213" i="1"/>
  <c r="IH213" i="1"/>
  <c r="IC213" i="1"/>
  <c r="HX213" i="1"/>
  <c r="HS213" i="1"/>
  <c r="HN213" i="1"/>
  <c r="HI213" i="1"/>
  <c r="HD213" i="1"/>
  <c r="GY213" i="1"/>
  <c r="GT213" i="1"/>
  <c r="GO213" i="1"/>
  <c r="GJ213" i="1"/>
  <c r="GE213" i="1"/>
  <c r="FZ213" i="1"/>
  <c r="FU213" i="1"/>
  <c r="FP213" i="1"/>
  <c r="FK213" i="1"/>
  <c r="FF213" i="1"/>
  <c r="FA213" i="1"/>
  <c r="EV213" i="1"/>
  <c r="EQ213" i="1"/>
  <c r="EL213" i="1"/>
  <c r="EG213" i="1"/>
  <c r="EB213" i="1"/>
  <c r="DW213" i="1"/>
  <c r="DR213" i="1"/>
  <c r="DM213" i="1"/>
  <c r="DH213" i="1"/>
  <c r="DC213" i="1"/>
  <c r="CX213" i="1"/>
  <c r="CS213" i="1"/>
  <c r="CN213" i="1"/>
  <c r="CI213" i="1"/>
  <c r="CD213" i="1"/>
  <c r="BY213" i="1"/>
  <c r="BT213" i="1"/>
  <c r="BO213" i="1"/>
  <c r="BJ213" i="1"/>
  <c r="BE213" i="1"/>
  <c r="AZ213" i="1"/>
  <c r="AU213" i="1"/>
  <c r="AP213" i="1"/>
  <c r="AK213" i="1"/>
  <c r="Z213" i="1"/>
  <c r="T213" i="1"/>
  <c r="O213" i="1"/>
  <c r="J213" i="1"/>
  <c r="PZ212" i="1"/>
  <c r="PU212" i="1"/>
  <c r="PP212" i="1"/>
  <c r="PK212" i="1"/>
  <c r="PF212" i="1"/>
  <c r="PA212" i="1"/>
  <c r="OV212" i="1"/>
  <c r="OQ212" i="1"/>
  <c r="OL212" i="1"/>
  <c r="OG212" i="1"/>
  <c r="OB212" i="1"/>
  <c r="NW212" i="1"/>
  <c r="NR212" i="1"/>
  <c r="NM212" i="1"/>
  <c r="NH212" i="1"/>
  <c r="NC212" i="1"/>
  <c r="MX212" i="1"/>
  <c r="MS212" i="1"/>
  <c r="MN212" i="1"/>
  <c r="MI212" i="1"/>
  <c r="MD212" i="1"/>
  <c r="LY212" i="1"/>
  <c r="LT212" i="1"/>
  <c r="LO212" i="1"/>
  <c r="LJ212" i="1"/>
  <c r="LE212" i="1"/>
  <c r="KZ212" i="1"/>
  <c r="KS212" i="1"/>
  <c r="KT212" i="1" s="1"/>
  <c r="KU212" i="1" s="1"/>
  <c r="KP212" i="1"/>
  <c r="KK212" i="1"/>
  <c r="KF212" i="1"/>
  <c r="JB212" i="1"/>
  <c r="IW212" i="1"/>
  <c r="IR212" i="1"/>
  <c r="IM212" i="1"/>
  <c r="IH212" i="1"/>
  <c r="IC212" i="1"/>
  <c r="HX212" i="1"/>
  <c r="HS212" i="1"/>
  <c r="HN212" i="1"/>
  <c r="HI212" i="1"/>
  <c r="HD212" i="1"/>
  <c r="GY212" i="1"/>
  <c r="GT212" i="1"/>
  <c r="GO212" i="1"/>
  <c r="GJ212" i="1"/>
  <c r="GE212" i="1"/>
  <c r="FZ212" i="1"/>
  <c r="FU212" i="1"/>
  <c r="FP212" i="1"/>
  <c r="FK212" i="1"/>
  <c r="FF212" i="1"/>
  <c r="FA212" i="1"/>
  <c r="EV212" i="1"/>
  <c r="EQ212" i="1"/>
  <c r="EL212" i="1"/>
  <c r="EG212" i="1"/>
  <c r="EB212" i="1"/>
  <c r="DW212" i="1"/>
  <c r="DR212" i="1"/>
  <c r="DM212" i="1"/>
  <c r="DH212" i="1"/>
  <c r="DC212" i="1"/>
  <c r="CX212" i="1"/>
  <c r="CS212" i="1"/>
  <c r="CN212" i="1"/>
  <c r="CG212" i="1"/>
  <c r="CH212" i="1" s="1"/>
  <c r="CI212" i="1" s="1"/>
  <c r="CD212" i="1"/>
  <c r="BY212" i="1"/>
  <c r="BT212" i="1"/>
  <c r="BO212" i="1"/>
  <c r="BJ212" i="1"/>
  <c r="BE212" i="1"/>
  <c r="AZ212" i="1"/>
  <c r="AU212" i="1"/>
  <c r="AP212" i="1"/>
  <c r="AK212" i="1"/>
  <c r="AD212" i="1"/>
  <c r="AE212" i="1" s="1"/>
  <c r="AF212" i="1" s="1"/>
  <c r="X212" i="1"/>
  <c r="Y212" i="1" s="1"/>
  <c r="Z212" i="1" s="1"/>
  <c r="T212" i="1"/>
  <c r="O212" i="1"/>
  <c r="J212" i="1"/>
  <c r="PX211" i="1"/>
  <c r="PY211" i="1" s="1"/>
  <c r="PZ211" i="1" s="1"/>
  <c r="PU211" i="1"/>
  <c r="PP211" i="1"/>
  <c r="PK211" i="1"/>
  <c r="PF211" i="1"/>
  <c r="PA211" i="1"/>
  <c r="OV211" i="1"/>
  <c r="OQ211" i="1"/>
  <c r="OL211" i="1"/>
  <c r="OG211" i="1"/>
  <c r="OB211" i="1"/>
  <c r="NW211" i="1"/>
  <c r="NR211" i="1"/>
  <c r="NM211" i="1"/>
  <c r="NH211" i="1"/>
  <c r="NC211" i="1"/>
  <c r="MX211" i="1"/>
  <c r="MS211" i="1"/>
  <c r="MN211" i="1"/>
  <c r="MI211" i="1"/>
  <c r="MD211" i="1"/>
  <c r="LY211" i="1"/>
  <c r="LT211" i="1"/>
  <c r="LO211" i="1"/>
  <c r="LJ211" i="1"/>
  <c r="LE211" i="1"/>
  <c r="KZ211" i="1"/>
  <c r="KU211" i="1"/>
  <c r="KP211" i="1"/>
  <c r="KK211" i="1"/>
  <c r="KF211" i="1"/>
  <c r="JB211" i="1"/>
  <c r="IW211" i="1"/>
  <c r="IR211" i="1"/>
  <c r="IM211" i="1"/>
  <c r="IH211" i="1"/>
  <c r="IC211" i="1"/>
  <c r="HX211" i="1"/>
  <c r="HS211" i="1"/>
  <c r="HN211" i="1"/>
  <c r="HI211" i="1"/>
  <c r="HD211" i="1"/>
  <c r="GY211" i="1"/>
  <c r="GT211" i="1"/>
  <c r="GO211" i="1"/>
  <c r="GJ211" i="1"/>
  <c r="GE211" i="1"/>
  <c r="FZ211" i="1"/>
  <c r="FU211" i="1"/>
  <c r="FP211" i="1"/>
  <c r="FK211" i="1"/>
  <c r="FF211" i="1"/>
  <c r="FA211" i="1"/>
  <c r="EV211" i="1"/>
  <c r="EQ211" i="1"/>
  <c r="EL211" i="1"/>
  <c r="EG211" i="1"/>
  <c r="EB211" i="1"/>
  <c r="DW211" i="1"/>
  <c r="DR211" i="1"/>
  <c r="DM211" i="1"/>
  <c r="DH211" i="1"/>
  <c r="DC211" i="1"/>
  <c r="CX211" i="1"/>
  <c r="CS211" i="1"/>
  <c r="CN211" i="1"/>
  <c r="CI211" i="1"/>
  <c r="CD211" i="1"/>
  <c r="BY211" i="1"/>
  <c r="BT211" i="1"/>
  <c r="BO211" i="1"/>
  <c r="BJ211" i="1"/>
  <c r="BE211" i="1"/>
  <c r="AZ211" i="1"/>
  <c r="AU211" i="1"/>
  <c r="AP211" i="1"/>
  <c r="AK211" i="1"/>
  <c r="Z211" i="1"/>
  <c r="T211" i="1"/>
  <c r="O211" i="1"/>
  <c r="J211" i="1"/>
  <c r="PZ210" i="1"/>
  <c r="PU210" i="1"/>
  <c r="PP210" i="1"/>
  <c r="PK210" i="1"/>
  <c r="PF210" i="1"/>
  <c r="PA210" i="1"/>
  <c r="OV210" i="1"/>
  <c r="OQ210" i="1"/>
  <c r="OL210" i="1"/>
  <c r="OG210" i="1"/>
  <c r="OB210" i="1"/>
  <c r="NW210" i="1"/>
  <c r="NR210" i="1"/>
  <c r="NM210" i="1"/>
  <c r="NH210" i="1"/>
  <c r="NC210" i="1"/>
  <c r="MX210" i="1"/>
  <c r="MS210" i="1"/>
  <c r="MN210" i="1"/>
  <c r="MI210" i="1"/>
  <c r="MD210" i="1"/>
  <c r="LY210" i="1"/>
  <c r="LT210" i="1"/>
  <c r="LO210" i="1"/>
  <c r="LJ210" i="1"/>
  <c r="LE210" i="1"/>
  <c r="KZ210" i="1"/>
  <c r="KU210" i="1"/>
  <c r="KP210" i="1"/>
  <c r="KK210" i="1"/>
  <c r="KF210" i="1"/>
  <c r="JB210" i="1"/>
  <c r="IW210" i="1"/>
  <c r="IR210" i="1"/>
  <c r="IM210" i="1"/>
  <c r="IH210" i="1"/>
  <c r="IC210" i="1"/>
  <c r="HX210" i="1"/>
  <c r="HS210" i="1"/>
  <c r="HN210" i="1"/>
  <c r="HI210" i="1"/>
  <c r="HD210" i="1"/>
  <c r="GY210" i="1"/>
  <c r="GT210" i="1"/>
  <c r="GO210" i="1"/>
  <c r="GJ210" i="1"/>
  <c r="GE210" i="1"/>
  <c r="FZ210" i="1"/>
  <c r="FU210" i="1"/>
  <c r="FP210" i="1"/>
  <c r="FK210" i="1"/>
  <c r="FF210" i="1"/>
  <c r="FA210" i="1"/>
  <c r="EV210" i="1"/>
  <c r="EQ210" i="1"/>
  <c r="EL210" i="1"/>
  <c r="EG210" i="1"/>
  <c r="EB210" i="1"/>
  <c r="DW210" i="1"/>
  <c r="DR210" i="1"/>
  <c r="DM210" i="1"/>
  <c r="DH210" i="1"/>
  <c r="DC210" i="1"/>
  <c r="CX210" i="1"/>
  <c r="CS210" i="1"/>
  <c r="CN210" i="1"/>
  <c r="CI210" i="1"/>
  <c r="CD210" i="1"/>
  <c r="BY210" i="1"/>
  <c r="BT210" i="1"/>
  <c r="BO210" i="1"/>
  <c r="BJ210" i="1"/>
  <c r="BE210" i="1"/>
  <c r="AZ210" i="1"/>
  <c r="AU210" i="1"/>
  <c r="AP210" i="1"/>
  <c r="AK210" i="1"/>
  <c r="Z210" i="1"/>
  <c r="T210" i="1"/>
  <c r="O210" i="1"/>
  <c r="J210" i="1"/>
  <c r="PZ209" i="1"/>
  <c r="PU209" i="1"/>
  <c r="PP209" i="1"/>
  <c r="PK209" i="1"/>
  <c r="PF209" i="1"/>
  <c r="PA209" i="1"/>
  <c r="OV209" i="1"/>
  <c r="OQ209" i="1"/>
  <c r="OL209" i="1"/>
  <c r="OG209" i="1"/>
  <c r="OB209" i="1"/>
  <c r="NW209" i="1"/>
  <c r="NR209" i="1"/>
  <c r="NM209" i="1"/>
  <c r="NH209" i="1"/>
  <c r="NC209" i="1"/>
  <c r="MX209" i="1"/>
  <c r="MS209" i="1"/>
  <c r="MN209" i="1"/>
  <c r="MI209" i="1"/>
  <c r="MD209" i="1"/>
  <c r="LY209" i="1"/>
  <c r="LT209" i="1"/>
  <c r="LO209" i="1"/>
  <c r="LJ209" i="1"/>
  <c r="LE209" i="1"/>
  <c r="KZ209" i="1"/>
  <c r="KU209" i="1"/>
  <c r="KP209" i="1"/>
  <c r="KK209" i="1"/>
  <c r="KF209" i="1"/>
  <c r="JB209" i="1"/>
  <c r="IW209" i="1"/>
  <c r="IR209" i="1"/>
  <c r="IM209" i="1"/>
  <c r="IH209" i="1"/>
  <c r="IC209" i="1"/>
  <c r="HX209" i="1"/>
  <c r="HS209" i="1"/>
  <c r="HN209" i="1"/>
  <c r="HI209" i="1"/>
  <c r="HD209" i="1"/>
  <c r="GY209" i="1"/>
  <c r="GT209" i="1"/>
  <c r="GO209" i="1"/>
  <c r="GJ209" i="1"/>
  <c r="GE209" i="1"/>
  <c r="FZ209" i="1"/>
  <c r="FU209" i="1"/>
  <c r="FP209" i="1"/>
  <c r="FK209" i="1"/>
  <c r="FF209" i="1"/>
  <c r="FA209" i="1"/>
  <c r="EV209" i="1"/>
  <c r="EQ209" i="1"/>
  <c r="EL209" i="1"/>
  <c r="EG209" i="1"/>
  <c r="EB209" i="1"/>
  <c r="DW209" i="1"/>
  <c r="DR209" i="1"/>
  <c r="DM209" i="1"/>
  <c r="DH209" i="1"/>
  <c r="DC209" i="1"/>
  <c r="CX209" i="1"/>
  <c r="CS209" i="1"/>
  <c r="CN209" i="1"/>
  <c r="CI209" i="1"/>
  <c r="CD209" i="1"/>
  <c r="BY209" i="1"/>
  <c r="BT209" i="1"/>
  <c r="BO209" i="1"/>
  <c r="BJ209" i="1"/>
  <c r="BE209" i="1"/>
  <c r="AZ209" i="1"/>
  <c r="AU209" i="1"/>
  <c r="AP209" i="1"/>
  <c r="AK209" i="1"/>
  <c r="Z209" i="1"/>
  <c r="T209" i="1"/>
  <c r="O209" i="1"/>
  <c r="J209" i="1"/>
  <c r="PX208" i="1"/>
  <c r="PY208" i="1" s="1"/>
  <c r="PZ208" i="1" s="1"/>
  <c r="PU208" i="1"/>
  <c r="PP208" i="1"/>
  <c r="PK208" i="1"/>
  <c r="PF208" i="1"/>
  <c r="PA208" i="1"/>
  <c r="OV208" i="1"/>
  <c r="OQ208" i="1"/>
  <c r="OL208" i="1"/>
  <c r="OG208" i="1"/>
  <c r="OB208" i="1"/>
  <c r="NW208" i="1"/>
  <c r="NR208" i="1"/>
  <c r="NM208" i="1"/>
  <c r="NH208" i="1"/>
  <c r="NC208" i="1"/>
  <c r="MX208" i="1"/>
  <c r="MS208" i="1"/>
  <c r="MN208" i="1"/>
  <c r="MI208" i="1"/>
  <c r="MD208" i="1"/>
  <c r="LY208" i="1"/>
  <c r="LT208" i="1"/>
  <c r="LO208" i="1"/>
  <c r="LJ208" i="1"/>
  <c r="LE208" i="1"/>
  <c r="KZ208" i="1"/>
  <c r="KS208" i="1"/>
  <c r="KT208" i="1" s="1"/>
  <c r="KU208" i="1" s="1"/>
  <c r="KP208" i="1"/>
  <c r="KK208" i="1"/>
  <c r="KF208" i="1"/>
  <c r="JB208" i="1"/>
  <c r="IW208" i="1"/>
  <c r="IR208" i="1"/>
  <c r="IM208" i="1"/>
  <c r="IH208" i="1"/>
  <c r="IC208" i="1"/>
  <c r="HX208" i="1"/>
  <c r="HS208" i="1"/>
  <c r="HN208" i="1"/>
  <c r="HI208" i="1"/>
  <c r="HD208" i="1"/>
  <c r="GY208" i="1"/>
  <c r="GT208" i="1"/>
  <c r="GO208" i="1"/>
  <c r="GJ208" i="1"/>
  <c r="GE208" i="1"/>
  <c r="FZ208" i="1"/>
  <c r="FU208" i="1"/>
  <c r="FP208" i="1"/>
  <c r="FK208" i="1"/>
  <c r="FF208" i="1"/>
  <c r="FA208" i="1"/>
  <c r="EV208" i="1"/>
  <c r="EQ208" i="1"/>
  <c r="EL208" i="1"/>
  <c r="EG208" i="1"/>
  <c r="EB208" i="1"/>
  <c r="DW208" i="1"/>
  <c r="DR208" i="1"/>
  <c r="DM208" i="1"/>
  <c r="DH208" i="1"/>
  <c r="DC208" i="1"/>
  <c r="CX208" i="1"/>
  <c r="CS208" i="1"/>
  <c r="CN208" i="1"/>
  <c r="CI208" i="1"/>
  <c r="CD208" i="1"/>
  <c r="BY208" i="1"/>
  <c r="BT208" i="1"/>
  <c r="BO208" i="1"/>
  <c r="BJ208" i="1"/>
  <c r="BE208" i="1"/>
  <c r="AZ208" i="1"/>
  <c r="AU208" i="1"/>
  <c r="AP208" i="1"/>
  <c r="AK208" i="1"/>
  <c r="Z208" i="1"/>
  <c r="T208" i="1"/>
  <c r="O208" i="1"/>
  <c r="J208" i="1"/>
  <c r="PZ207" i="1"/>
  <c r="PU207" i="1"/>
  <c r="PP207" i="1"/>
  <c r="PK207" i="1"/>
  <c r="PF207" i="1"/>
  <c r="PA207" i="1"/>
  <c r="OV207" i="1"/>
  <c r="OQ207" i="1"/>
  <c r="OL207" i="1"/>
  <c r="OG207" i="1"/>
  <c r="OB207" i="1"/>
  <c r="NW207" i="1"/>
  <c r="NR207" i="1"/>
  <c r="NM207" i="1"/>
  <c r="NH207" i="1"/>
  <c r="NC207" i="1"/>
  <c r="MX207" i="1"/>
  <c r="MS207" i="1"/>
  <c r="MN207" i="1"/>
  <c r="MI207" i="1"/>
  <c r="MD207" i="1"/>
  <c r="LY207" i="1"/>
  <c r="LT207" i="1"/>
  <c r="LO207" i="1"/>
  <c r="LJ207" i="1"/>
  <c r="LE207" i="1"/>
  <c r="KZ207" i="1"/>
  <c r="KU207" i="1"/>
  <c r="KP207" i="1"/>
  <c r="KK207" i="1"/>
  <c r="KF207" i="1"/>
  <c r="JB207" i="1"/>
  <c r="IW207" i="1"/>
  <c r="IR207" i="1"/>
  <c r="IM207" i="1"/>
  <c r="IH207" i="1"/>
  <c r="IC207" i="1"/>
  <c r="HX207" i="1"/>
  <c r="HS207" i="1"/>
  <c r="HN207" i="1"/>
  <c r="HI207" i="1"/>
  <c r="HD207" i="1"/>
  <c r="GY207" i="1"/>
  <c r="GT207" i="1"/>
  <c r="GO207" i="1"/>
  <c r="GJ207" i="1"/>
  <c r="GE207" i="1"/>
  <c r="FZ207" i="1"/>
  <c r="FU207" i="1"/>
  <c r="FP207" i="1"/>
  <c r="FK207" i="1"/>
  <c r="FF207" i="1"/>
  <c r="FA207" i="1"/>
  <c r="EV207" i="1"/>
  <c r="EQ207" i="1"/>
  <c r="EL207" i="1"/>
  <c r="EG207" i="1"/>
  <c r="EB207" i="1"/>
  <c r="DW207" i="1"/>
  <c r="DR207" i="1"/>
  <c r="DM207" i="1"/>
  <c r="DH207" i="1"/>
  <c r="DC207" i="1"/>
  <c r="CX207" i="1"/>
  <c r="CS207" i="1"/>
  <c r="CN207" i="1"/>
  <c r="CI207" i="1"/>
  <c r="CD207" i="1"/>
  <c r="BY207" i="1"/>
  <c r="BT207" i="1"/>
  <c r="BO207" i="1"/>
  <c r="BJ207" i="1"/>
  <c r="BE207" i="1"/>
  <c r="AZ207" i="1"/>
  <c r="AU207" i="1"/>
  <c r="AP207" i="1"/>
  <c r="AK207" i="1"/>
  <c r="Z207" i="1"/>
  <c r="T207" i="1"/>
  <c r="O207" i="1"/>
  <c r="J207" i="1"/>
  <c r="PZ206" i="1"/>
  <c r="PU206" i="1"/>
  <c r="PP206" i="1"/>
  <c r="PK206" i="1"/>
  <c r="PF206" i="1"/>
  <c r="PA206" i="1"/>
  <c r="OV206" i="1"/>
  <c r="OQ206" i="1"/>
  <c r="OL206" i="1"/>
  <c r="OG206" i="1"/>
  <c r="OB206" i="1"/>
  <c r="NW206" i="1"/>
  <c r="NR206" i="1"/>
  <c r="NK206" i="1"/>
  <c r="NL206" i="1" s="1"/>
  <c r="NM206" i="1" s="1"/>
  <c r="NH206" i="1"/>
  <c r="NC206" i="1"/>
  <c r="MX206" i="1"/>
  <c r="MS206" i="1"/>
  <c r="MN206" i="1"/>
  <c r="MI206" i="1"/>
  <c r="MD206" i="1"/>
  <c r="LY206" i="1"/>
  <c r="LT206" i="1"/>
  <c r="LO206" i="1"/>
  <c r="LJ206" i="1"/>
  <c r="LE206" i="1"/>
  <c r="KZ206" i="1"/>
  <c r="KU206" i="1"/>
  <c r="KP206" i="1"/>
  <c r="KK206" i="1"/>
  <c r="KF206" i="1"/>
  <c r="JB206" i="1"/>
  <c r="IW206" i="1"/>
  <c r="IR206" i="1"/>
  <c r="IM206" i="1"/>
  <c r="IH206" i="1"/>
  <c r="IC206" i="1"/>
  <c r="HX206" i="1"/>
  <c r="HS206" i="1"/>
  <c r="HN206" i="1"/>
  <c r="HI206" i="1"/>
  <c r="HD206" i="1"/>
  <c r="GY206" i="1"/>
  <c r="GT206" i="1"/>
  <c r="GO206" i="1"/>
  <c r="GJ206" i="1"/>
  <c r="GE206" i="1"/>
  <c r="FZ206" i="1"/>
  <c r="FU206" i="1"/>
  <c r="FP206" i="1"/>
  <c r="FK206" i="1"/>
  <c r="FF206" i="1"/>
  <c r="FA206" i="1"/>
  <c r="EV206" i="1"/>
  <c r="EQ206" i="1"/>
  <c r="EL206" i="1"/>
  <c r="EG206" i="1"/>
  <c r="EB206" i="1"/>
  <c r="DW206" i="1"/>
  <c r="DR206" i="1"/>
  <c r="DM206" i="1"/>
  <c r="DH206" i="1"/>
  <c r="DC206" i="1"/>
  <c r="CX206" i="1"/>
  <c r="CS206" i="1"/>
  <c r="CN206" i="1"/>
  <c r="CG206" i="1"/>
  <c r="CH206" i="1" s="1"/>
  <c r="CI206" i="1" s="1"/>
  <c r="CD206" i="1"/>
  <c r="BY206" i="1"/>
  <c r="BT206" i="1"/>
  <c r="BO206" i="1"/>
  <c r="BJ206" i="1"/>
  <c r="BE206" i="1"/>
  <c r="AZ206" i="1"/>
  <c r="AU206" i="1"/>
  <c r="AP206" i="1"/>
  <c r="AK206" i="1"/>
  <c r="Z206" i="1"/>
  <c r="T206" i="1"/>
  <c r="O206" i="1"/>
  <c r="J206" i="1"/>
  <c r="PX205" i="1"/>
  <c r="PY205" i="1" s="1"/>
  <c r="PZ205" i="1" s="1"/>
  <c r="PU205" i="1"/>
  <c r="PP205" i="1"/>
  <c r="PK205" i="1"/>
  <c r="PF205" i="1"/>
  <c r="PA205" i="1"/>
  <c r="OV205" i="1"/>
  <c r="OQ205" i="1"/>
  <c r="OL205" i="1"/>
  <c r="OG205" i="1"/>
  <c r="OB205" i="1"/>
  <c r="NW205" i="1"/>
  <c r="NR205" i="1"/>
  <c r="NM205" i="1"/>
  <c r="NH205" i="1"/>
  <c r="NC205" i="1"/>
  <c r="MX205" i="1"/>
  <c r="MS205" i="1"/>
  <c r="MN205" i="1"/>
  <c r="MI205" i="1"/>
  <c r="MD205" i="1"/>
  <c r="LY205" i="1"/>
  <c r="LT205" i="1"/>
  <c r="LO205" i="1"/>
  <c r="LJ205" i="1"/>
  <c r="LE205" i="1"/>
  <c r="KZ205" i="1"/>
  <c r="KU205" i="1"/>
  <c r="KP205" i="1"/>
  <c r="KK205" i="1"/>
  <c r="KF205" i="1"/>
  <c r="JB205" i="1"/>
  <c r="IW205" i="1"/>
  <c r="IR205" i="1"/>
  <c r="IM205" i="1"/>
  <c r="IH205" i="1"/>
  <c r="IC205" i="1"/>
  <c r="HX205" i="1"/>
  <c r="HS205" i="1"/>
  <c r="HN205" i="1"/>
  <c r="HI205" i="1"/>
  <c r="HD205" i="1"/>
  <c r="GY205" i="1"/>
  <c r="GT205" i="1"/>
  <c r="GO205" i="1"/>
  <c r="GJ205" i="1"/>
  <c r="GE205" i="1"/>
  <c r="FZ205" i="1"/>
  <c r="FU205" i="1"/>
  <c r="FP205" i="1"/>
  <c r="FK205" i="1"/>
  <c r="FF205" i="1"/>
  <c r="FA205" i="1"/>
  <c r="EV205" i="1"/>
  <c r="EQ205" i="1"/>
  <c r="EL205" i="1"/>
  <c r="EG205" i="1"/>
  <c r="EB205" i="1"/>
  <c r="DW205" i="1"/>
  <c r="DR205" i="1"/>
  <c r="DM205" i="1"/>
  <c r="DH205" i="1"/>
  <c r="DC205" i="1"/>
  <c r="CX205" i="1"/>
  <c r="CS205" i="1"/>
  <c r="CN205" i="1"/>
  <c r="CI205" i="1"/>
  <c r="CD205" i="1"/>
  <c r="BY205" i="1"/>
  <c r="BT205" i="1"/>
  <c r="BO205" i="1"/>
  <c r="BJ205" i="1"/>
  <c r="BE205" i="1"/>
  <c r="AZ205" i="1"/>
  <c r="AU205" i="1"/>
  <c r="AP205" i="1"/>
  <c r="AK205" i="1"/>
  <c r="Z205" i="1"/>
  <c r="T205" i="1"/>
  <c r="O205" i="1"/>
  <c r="J205" i="1"/>
  <c r="PZ204" i="1"/>
  <c r="PU204" i="1"/>
  <c r="PP204" i="1"/>
  <c r="PK204" i="1"/>
  <c r="PF204" i="1"/>
  <c r="OY204" i="1"/>
  <c r="OZ204" i="1" s="1"/>
  <c r="PA204" i="1" s="1"/>
  <c r="OV204" i="1"/>
  <c r="OQ204" i="1"/>
  <c r="OL204" i="1"/>
  <c r="OG204" i="1"/>
  <c r="OB204" i="1"/>
  <c r="NW204" i="1"/>
  <c r="NR204" i="1"/>
  <c r="NM204" i="1"/>
  <c r="NH204" i="1"/>
  <c r="NC204" i="1"/>
  <c r="MX204" i="1"/>
  <c r="MS204" i="1"/>
  <c r="MN204" i="1"/>
  <c r="MI204" i="1"/>
  <c r="MD204" i="1"/>
  <c r="LY204" i="1"/>
  <c r="LT204" i="1"/>
  <c r="LO204" i="1"/>
  <c r="LJ204" i="1"/>
  <c r="LE204" i="1"/>
  <c r="KZ204" i="1"/>
  <c r="KU204" i="1"/>
  <c r="KP204" i="1"/>
  <c r="KK204" i="1"/>
  <c r="KF204" i="1"/>
  <c r="JB204" i="1"/>
  <c r="IW204" i="1"/>
  <c r="IR204" i="1"/>
  <c r="IM204" i="1"/>
  <c r="IH204" i="1"/>
  <c r="IC204" i="1"/>
  <c r="HX204" i="1"/>
  <c r="HS204" i="1"/>
  <c r="HN204" i="1"/>
  <c r="HI204" i="1"/>
  <c r="HD204" i="1"/>
  <c r="GY204" i="1"/>
  <c r="GT204" i="1"/>
  <c r="GO204" i="1"/>
  <c r="GJ204" i="1"/>
  <c r="GE204" i="1"/>
  <c r="FZ204" i="1"/>
  <c r="FU204" i="1"/>
  <c r="FP204" i="1"/>
  <c r="FK204" i="1"/>
  <c r="FF204" i="1"/>
  <c r="FA204" i="1"/>
  <c r="EV204" i="1"/>
  <c r="EQ204" i="1"/>
  <c r="EL204" i="1"/>
  <c r="EG204" i="1"/>
  <c r="EB204" i="1"/>
  <c r="DW204" i="1"/>
  <c r="DR204" i="1"/>
  <c r="DM204" i="1"/>
  <c r="DH204" i="1"/>
  <c r="DC204" i="1"/>
  <c r="CX204" i="1"/>
  <c r="CS204" i="1"/>
  <c r="CN204" i="1"/>
  <c r="CI204" i="1"/>
  <c r="CD204" i="1"/>
  <c r="BY204" i="1"/>
  <c r="BT204" i="1"/>
  <c r="BO204" i="1"/>
  <c r="BJ204" i="1"/>
  <c r="BE204" i="1"/>
  <c r="AZ204" i="1"/>
  <c r="AU204" i="1"/>
  <c r="AP204" i="1"/>
  <c r="AK204" i="1"/>
  <c r="Z204" i="1"/>
  <c r="T204" i="1"/>
  <c r="O204" i="1"/>
  <c r="J204" i="1"/>
  <c r="PX203" i="1"/>
  <c r="PY203" i="1" s="1"/>
  <c r="PZ203" i="1" s="1"/>
  <c r="PU203" i="1"/>
  <c r="PP203" i="1"/>
  <c r="PK203" i="1"/>
  <c r="PF203" i="1"/>
  <c r="PA203" i="1"/>
  <c r="OV203" i="1"/>
  <c r="OQ203" i="1"/>
  <c r="OL203" i="1"/>
  <c r="OG203" i="1"/>
  <c r="OB203" i="1"/>
  <c r="NW203" i="1"/>
  <c r="NR203" i="1"/>
  <c r="NM203" i="1"/>
  <c r="NH203" i="1"/>
  <c r="NC203" i="1"/>
  <c r="MX203" i="1"/>
  <c r="MS203" i="1"/>
  <c r="MN203" i="1"/>
  <c r="MI203" i="1"/>
  <c r="MD203" i="1"/>
  <c r="LY203" i="1"/>
  <c r="LT203" i="1"/>
  <c r="LO203" i="1"/>
  <c r="LJ203" i="1"/>
  <c r="LE203" i="1"/>
  <c r="KZ203" i="1"/>
  <c r="KU203" i="1"/>
  <c r="KP203" i="1"/>
  <c r="KK203" i="1"/>
  <c r="KF203" i="1"/>
  <c r="JB203" i="1"/>
  <c r="IW203" i="1"/>
  <c r="IR203" i="1"/>
  <c r="IM203" i="1"/>
  <c r="IH203" i="1"/>
  <c r="IC203" i="1"/>
  <c r="HX203" i="1"/>
  <c r="HS203" i="1"/>
  <c r="HN203" i="1"/>
  <c r="HI203" i="1"/>
  <c r="HD203" i="1"/>
  <c r="GY203" i="1"/>
  <c r="GT203" i="1"/>
  <c r="GO203" i="1"/>
  <c r="GJ203" i="1"/>
  <c r="GE203" i="1"/>
  <c r="FZ203" i="1"/>
  <c r="FU203" i="1"/>
  <c r="FP203" i="1"/>
  <c r="FK203" i="1"/>
  <c r="FF203" i="1"/>
  <c r="FA203" i="1"/>
  <c r="EV203" i="1"/>
  <c r="EQ203" i="1"/>
  <c r="EL203" i="1"/>
  <c r="EG203" i="1"/>
  <c r="EB203" i="1"/>
  <c r="DW203" i="1"/>
  <c r="DR203" i="1"/>
  <c r="DM203" i="1"/>
  <c r="DH203" i="1"/>
  <c r="DC203" i="1"/>
  <c r="CX203" i="1"/>
  <c r="CS203" i="1"/>
  <c r="CN203" i="1"/>
  <c r="CI203" i="1"/>
  <c r="CD203" i="1"/>
  <c r="BY203" i="1"/>
  <c r="BT203" i="1"/>
  <c r="BO203" i="1"/>
  <c r="BJ203" i="1"/>
  <c r="BE203" i="1"/>
  <c r="AZ203" i="1"/>
  <c r="AU203" i="1"/>
  <c r="AP203" i="1"/>
  <c r="AK203" i="1"/>
  <c r="Z203" i="1"/>
  <c r="T203" i="1"/>
  <c r="O203" i="1"/>
  <c r="J203" i="1"/>
  <c r="PZ202" i="1"/>
  <c r="PU202" i="1"/>
  <c r="PP202" i="1"/>
  <c r="PK202" i="1"/>
  <c r="PF202" i="1"/>
  <c r="PA202" i="1"/>
  <c r="OV202" i="1"/>
  <c r="OQ202" i="1"/>
  <c r="OL202" i="1"/>
  <c r="OG202" i="1"/>
  <c r="OB202" i="1"/>
  <c r="NW202" i="1"/>
  <c r="NR202" i="1"/>
  <c r="NM202" i="1"/>
  <c r="NH202" i="1"/>
  <c r="NC202" i="1"/>
  <c r="MX202" i="1"/>
  <c r="MS202" i="1"/>
  <c r="MN202" i="1"/>
  <c r="MI202" i="1"/>
  <c r="MD202" i="1"/>
  <c r="LY202" i="1"/>
  <c r="LT202" i="1"/>
  <c r="LO202" i="1"/>
  <c r="LJ202" i="1"/>
  <c r="LE202" i="1"/>
  <c r="KZ202" i="1"/>
  <c r="KU202" i="1"/>
  <c r="KP202" i="1"/>
  <c r="KK202" i="1"/>
  <c r="KF202" i="1"/>
  <c r="JB202" i="1"/>
  <c r="IW202" i="1"/>
  <c r="IR202" i="1"/>
  <c r="IM202" i="1"/>
  <c r="IH202" i="1"/>
  <c r="IC202" i="1"/>
  <c r="HX202" i="1"/>
  <c r="HS202" i="1"/>
  <c r="HN202" i="1"/>
  <c r="HI202" i="1"/>
  <c r="HD202" i="1"/>
  <c r="GY202" i="1"/>
  <c r="GT202" i="1"/>
  <c r="GO202" i="1"/>
  <c r="GJ202" i="1"/>
  <c r="GE202" i="1"/>
  <c r="FZ202" i="1"/>
  <c r="FU202" i="1"/>
  <c r="FP202" i="1"/>
  <c r="FK202" i="1"/>
  <c r="FF202" i="1"/>
  <c r="FA202" i="1"/>
  <c r="EV202" i="1"/>
  <c r="EQ202" i="1"/>
  <c r="EL202" i="1"/>
  <c r="EG202" i="1"/>
  <c r="EB202" i="1"/>
  <c r="DW202" i="1"/>
  <c r="DR202" i="1"/>
  <c r="DM202" i="1"/>
  <c r="DH202" i="1"/>
  <c r="DC202" i="1"/>
  <c r="CX202" i="1"/>
  <c r="CS202" i="1"/>
  <c r="CN202" i="1"/>
  <c r="CI202" i="1"/>
  <c r="CD202" i="1"/>
  <c r="BY202" i="1"/>
  <c r="BT202" i="1"/>
  <c r="BO202" i="1"/>
  <c r="BJ202" i="1"/>
  <c r="BE202" i="1"/>
  <c r="AZ202" i="1"/>
  <c r="AU202" i="1"/>
  <c r="AP202" i="1"/>
  <c r="AK202" i="1"/>
  <c r="X202" i="1"/>
  <c r="Y202" i="1" s="1"/>
  <c r="Z202" i="1" s="1"/>
  <c r="T202" i="1"/>
  <c r="O202" i="1"/>
  <c r="J202" i="1"/>
  <c r="PZ201" i="1"/>
  <c r="PU201" i="1"/>
  <c r="PP201" i="1"/>
  <c r="PK201" i="1"/>
  <c r="PF201" i="1"/>
  <c r="PA201" i="1"/>
  <c r="OV201" i="1"/>
  <c r="OQ201" i="1"/>
  <c r="OL201" i="1"/>
  <c r="OG201" i="1"/>
  <c r="OB201" i="1"/>
  <c r="NW201" i="1"/>
  <c r="NR201" i="1"/>
  <c r="NM201" i="1"/>
  <c r="NH201" i="1"/>
  <c r="NC201" i="1"/>
  <c r="MX201" i="1"/>
  <c r="MS201" i="1"/>
  <c r="MN201" i="1"/>
  <c r="MI201" i="1"/>
  <c r="MD201" i="1"/>
  <c r="LY201" i="1"/>
  <c r="LT201" i="1"/>
  <c r="LO201" i="1"/>
  <c r="LJ201" i="1"/>
  <c r="LE201" i="1"/>
  <c r="KZ201" i="1"/>
  <c r="KU201" i="1"/>
  <c r="KP201" i="1"/>
  <c r="KK201" i="1"/>
  <c r="KF201" i="1"/>
  <c r="JB201" i="1"/>
  <c r="IW201" i="1"/>
  <c r="IR201" i="1"/>
  <c r="IM201" i="1"/>
  <c r="IH201" i="1"/>
  <c r="IC201" i="1"/>
  <c r="HX201" i="1"/>
  <c r="HS201" i="1"/>
  <c r="HN201" i="1"/>
  <c r="HI201" i="1"/>
  <c r="HD201" i="1"/>
  <c r="GY201" i="1"/>
  <c r="GT201" i="1"/>
  <c r="GO201" i="1"/>
  <c r="GJ201" i="1"/>
  <c r="GE201" i="1"/>
  <c r="FZ201" i="1"/>
  <c r="FU201" i="1"/>
  <c r="FP201" i="1"/>
  <c r="FK201" i="1"/>
  <c r="FF201" i="1"/>
  <c r="FA201" i="1"/>
  <c r="EV201" i="1"/>
  <c r="EQ201" i="1"/>
  <c r="EL201" i="1"/>
  <c r="EG201" i="1"/>
  <c r="EB201" i="1"/>
  <c r="DW201" i="1"/>
  <c r="DR201" i="1"/>
  <c r="DM201" i="1"/>
  <c r="DH201" i="1"/>
  <c r="DC201" i="1"/>
  <c r="CX201" i="1"/>
  <c r="CS201" i="1"/>
  <c r="CN201" i="1"/>
  <c r="CI201" i="1"/>
  <c r="CD201" i="1"/>
  <c r="BY201" i="1"/>
  <c r="BT201" i="1"/>
  <c r="BO201" i="1"/>
  <c r="BJ201" i="1"/>
  <c r="BE201" i="1"/>
  <c r="AZ201" i="1"/>
  <c r="AU201" i="1"/>
  <c r="AP201" i="1"/>
  <c r="AK201" i="1"/>
  <c r="Z201" i="1"/>
  <c r="T201" i="1"/>
  <c r="O201" i="1"/>
  <c r="J201" i="1"/>
  <c r="PZ200" i="1"/>
  <c r="PU200" i="1"/>
  <c r="PP200" i="1"/>
  <c r="PK200" i="1"/>
  <c r="PF200" i="1"/>
  <c r="PA200" i="1"/>
  <c r="OV200" i="1"/>
  <c r="OQ200" i="1"/>
  <c r="OL200" i="1"/>
  <c r="OG200" i="1"/>
  <c r="OB200" i="1"/>
  <c r="NW200" i="1"/>
  <c r="NR200" i="1"/>
  <c r="NM200" i="1"/>
  <c r="NH200" i="1"/>
  <c r="NC200" i="1"/>
  <c r="MX200" i="1"/>
  <c r="MS200" i="1"/>
  <c r="MN200" i="1"/>
  <c r="MI200" i="1"/>
  <c r="MD200" i="1"/>
  <c r="LY200" i="1"/>
  <c r="LT200" i="1"/>
  <c r="LO200" i="1"/>
  <c r="LJ200" i="1"/>
  <c r="LE200" i="1"/>
  <c r="KZ200" i="1"/>
  <c r="KS200" i="1"/>
  <c r="KT200" i="1" s="1"/>
  <c r="KU200" i="1" s="1"/>
  <c r="KN200" i="1"/>
  <c r="KO200" i="1" s="1"/>
  <c r="KP200" i="1" s="1"/>
  <c r="KK200" i="1"/>
  <c r="KF200" i="1"/>
  <c r="JB200" i="1"/>
  <c r="IW200" i="1"/>
  <c r="IR200" i="1"/>
  <c r="IM200" i="1"/>
  <c r="IH200" i="1"/>
  <c r="IC200" i="1"/>
  <c r="HX200" i="1"/>
  <c r="HS200" i="1"/>
  <c r="HN200" i="1"/>
  <c r="HI200" i="1"/>
  <c r="HD200" i="1"/>
  <c r="GY200" i="1"/>
  <c r="GT200" i="1"/>
  <c r="GO200" i="1"/>
  <c r="GJ200" i="1"/>
  <c r="GE200" i="1"/>
  <c r="FZ200" i="1"/>
  <c r="FU200" i="1"/>
  <c r="FP200" i="1"/>
  <c r="FK200" i="1"/>
  <c r="FF200" i="1"/>
  <c r="FA200" i="1"/>
  <c r="EV200" i="1"/>
  <c r="EQ200" i="1"/>
  <c r="EL200" i="1"/>
  <c r="EG200" i="1"/>
  <c r="EB200" i="1"/>
  <c r="DW200" i="1"/>
  <c r="DR200" i="1"/>
  <c r="DM200" i="1"/>
  <c r="DH200" i="1"/>
  <c r="DC200" i="1"/>
  <c r="CX200" i="1"/>
  <c r="CS200" i="1"/>
  <c r="CN200" i="1"/>
  <c r="CI200" i="1"/>
  <c r="CD200" i="1"/>
  <c r="BY200" i="1"/>
  <c r="BT200" i="1"/>
  <c r="BO200" i="1"/>
  <c r="BJ200" i="1"/>
  <c r="BE200" i="1"/>
  <c r="AZ200" i="1"/>
  <c r="AU200" i="1"/>
  <c r="AP200" i="1"/>
  <c r="AK200" i="1"/>
  <c r="Z200" i="1"/>
  <c r="R200" i="1"/>
  <c r="S200" i="1" s="1"/>
  <c r="T200" i="1" s="1"/>
  <c r="O200" i="1"/>
  <c r="J200" i="1"/>
  <c r="PZ199" i="1"/>
  <c r="PU199" i="1"/>
  <c r="PP199" i="1"/>
  <c r="PK199" i="1"/>
  <c r="PF199" i="1"/>
  <c r="PA199" i="1"/>
  <c r="OV199" i="1"/>
  <c r="OQ199" i="1"/>
  <c r="OL199" i="1"/>
  <c r="OG199" i="1"/>
  <c r="OB199" i="1"/>
  <c r="NW199" i="1"/>
  <c r="NR199" i="1"/>
  <c r="NM199" i="1"/>
  <c r="NH199" i="1"/>
  <c r="NC199" i="1"/>
  <c r="MX199" i="1"/>
  <c r="MS199" i="1"/>
  <c r="MN199" i="1"/>
  <c r="MI199" i="1"/>
  <c r="MD199" i="1"/>
  <c r="LY199" i="1"/>
  <c r="LT199" i="1"/>
  <c r="LO199" i="1"/>
  <c r="LJ199" i="1"/>
  <c r="LE199" i="1"/>
  <c r="KZ199" i="1"/>
  <c r="KU199" i="1"/>
  <c r="KP199" i="1"/>
  <c r="KK199" i="1"/>
  <c r="KF199" i="1"/>
  <c r="JB199" i="1"/>
  <c r="IW199" i="1"/>
  <c r="IR199" i="1"/>
  <c r="IM199" i="1"/>
  <c r="IH199" i="1"/>
  <c r="IC199" i="1"/>
  <c r="HX199" i="1"/>
  <c r="HS199" i="1"/>
  <c r="HN199" i="1"/>
  <c r="HI199" i="1"/>
  <c r="HD199" i="1"/>
  <c r="GY199" i="1"/>
  <c r="GT199" i="1"/>
  <c r="GO199" i="1"/>
  <c r="GJ199" i="1"/>
  <c r="GE199" i="1"/>
  <c r="FZ199" i="1"/>
  <c r="FU199" i="1"/>
  <c r="FP199" i="1"/>
  <c r="FK199" i="1"/>
  <c r="FF199" i="1"/>
  <c r="FA199" i="1"/>
  <c r="EV199" i="1"/>
  <c r="EQ199" i="1"/>
  <c r="EL199" i="1"/>
  <c r="EG199" i="1"/>
  <c r="EB199" i="1"/>
  <c r="DW199" i="1"/>
  <c r="DR199" i="1"/>
  <c r="DM199" i="1"/>
  <c r="DH199" i="1"/>
  <c r="DC199" i="1"/>
  <c r="CX199" i="1"/>
  <c r="CS199" i="1"/>
  <c r="CN199" i="1"/>
  <c r="CI199" i="1"/>
  <c r="CD199" i="1"/>
  <c r="BY199" i="1"/>
  <c r="BT199" i="1"/>
  <c r="BO199" i="1"/>
  <c r="BJ199" i="1"/>
  <c r="BE199" i="1"/>
  <c r="AZ199" i="1"/>
  <c r="AU199" i="1"/>
  <c r="AP199" i="1"/>
  <c r="AK199" i="1"/>
  <c r="Z199" i="1"/>
  <c r="T199" i="1"/>
  <c r="O199" i="1"/>
  <c r="J199" i="1"/>
  <c r="PZ198" i="1"/>
  <c r="PU198" i="1"/>
  <c r="PP198" i="1"/>
  <c r="PK198" i="1"/>
  <c r="PF198" i="1"/>
  <c r="PA198" i="1"/>
  <c r="OV198" i="1"/>
  <c r="OQ198" i="1"/>
  <c r="OL198" i="1"/>
  <c r="OG198" i="1"/>
  <c r="OB198" i="1"/>
  <c r="NW198" i="1"/>
  <c r="NR198" i="1"/>
  <c r="NM198" i="1"/>
  <c r="NH198" i="1"/>
  <c r="NC198" i="1"/>
  <c r="MX198" i="1"/>
  <c r="MS198" i="1"/>
  <c r="MN198" i="1"/>
  <c r="MI198" i="1"/>
  <c r="MD198" i="1"/>
  <c r="LY198" i="1"/>
  <c r="LT198" i="1"/>
  <c r="LO198" i="1"/>
  <c r="LJ198" i="1"/>
  <c r="LE198" i="1"/>
  <c r="KZ198" i="1"/>
  <c r="KS198" i="1"/>
  <c r="KT198" i="1" s="1"/>
  <c r="KU198" i="1" s="1"/>
  <c r="KP198" i="1"/>
  <c r="KK198" i="1"/>
  <c r="KF198" i="1"/>
  <c r="JB198" i="1"/>
  <c r="IW198" i="1"/>
  <c r="IR198" i="1"/>
  <c r="IM198" i="1"/>
  <c r="IH198" i="1"/>
  <c r="IC198" i="1"/>
  <c r="HX198" i="1"/>
  <c r="HS198" i="1"/>
  <c r="HN198" i="1"/>
  <c r="HI198" i="1"/>
  <c r="HD198" i="1"/>
  <c r="GY198" i="1"/>
  <c r="GT198" i="1"/>
  <c r="GO198" i="1"/>
  <c r="GJ198" i="1"/>
  <c r="GE198" i="1"/>
  <c r="FZ198" i="1"/>
  <c r="FU198" i="1"/>
  <c r="FP198" i="1"/>
  <c r="FK198" i="1"/>
  <c r="FF198" i="1"/>
  <c r="FA198" i="1"/>
  <c r="EV198" i="1"/>
  <c r="EQ198" i="1"/>
  <c r="EL198" i="1"/>
  <c r="EG198" i="1"/>
  <c r="EB198" i="1"/>
  <c r="DW198" i="1"/>
  <c r="DR198" i="1"/>
  <c r="DM198" i="1"/>
  <c r="DH198" i="1"/>
  <c r="DC198" i="1"/>
  <c r="CX198" i="1"/>
  <c r="CS198" i="1"/>
  <c r="CN198" i="1"/>
  <c r="CI198" i="1"/>
  <c r="CD198" i="1"/>
  <c r="BY198" i="1"/>
  <c r="BT198" i="1"/>
  <c r="BO198" i="1"/>
  <c r="BJ198" i="1"/>
  <c r="BE198" i="1"/>
  <c r="AZ198" i="1"/>
  <c r="AU198" i="1"/>
  <c r="AP198" i="1"/>
  <c r="AK198" i="1"/>
  <c r="Z198" i="1"/>
  <c r="T198" i="1"/>
  <c r="O198" i="1"/>
  <c r="J198" i="1"/>
  <c r="PZ197" i="1"/>
  <c r="PU197" i="1"/>
  <c r="PP197" i="1"/>
  <c r="PK197" i="1"/>
  <c r="PF197" i="1"/>
  <c r="OY197" i="1"/>
  <c r="OZ197" i="1" s="1"/>
  <c r="PA197" i="1" s="1"/>
  <c r="OV197" i="1"/>
  <c r="OQ197" i="1"/>
  <c r="OL197" i="1"/>
  <c r="OG197" i="1"/>
  <c r="OB197" i="1"/>
  <c r="NW197" i="1"/>
  <c r="NP197" i="1"/>
  <c r="NQ197" i="1" s="1"/>
  <c r="NR197" i="1" s="1"/>
  <c r="NK197" i="1"/>
  <c r="NL197" i="1" s="1"/>
  <c r="NM197" i="1" s="1"/>
  <c r="NH197" i="1"/>
  <c r="NC197" i="1"/>
  <c r="MX197" i="1"/>
  <c r="MS197" i="1"/>
  <c r="MN197" i="1"/>
  <c r="MI197" i="1"/>
  <c r="MD197" i="1"/>
  <c r="LY197" i="1"/>
  <c r="LT197" i="1"/>
  <c r="LO197" i="1"/>
  <c r="LJ197" i="1"/>
  <c r="LE197" i="1"/>
  <c r="KZ197" i="1"/>
  <c r="KU197" i="1"/>
  <c r="KP197" i="1"/>
  <c r="KK197" i="1"/>
  <c r="KF197" i="1"/>
  <c r="JB197" i="1"/>
  <c r="IW197" i="1"/>
  <c r="IR197" i="1"/>
  <c r="IM197" i="1"/>
  <c r="IH197" i="1"/>
  <c r="IC197" i="1"/>
  <c r="HX197" i="1"/>
  <c r="HS197" i="1"/>
  <c r="HN197" i="1"/>
  <c r="HI197" i="1"/>
  <c r="HD197" i="1"/>
  <c r="GY197" i="1"/>
  <c r="GT197" i="1"/>
  <c r="GO197" i="1"/>
  <c r="GJ197" i="1"/>
  <c r="GE197" i="1"/>
  <c r="FZ197" i="1"/>
  <c r="FU197" i="1"/>
  <c r="FP197" i="1"/>
  <c r="FK197" i="1"/>
  <c r="FF197" i="1"/>
  <c r="FA197" i="1"/>
  <c r="EV197" i="1"/>
  <c r="EQ197" i="1"/>
  <c r="EL197" i="1"/>
  <c r="EG197" i="1"/>
  <c r="EB197" i="1"/>
  <c r="DW197" i="1"/>
  <c r="DR197" i="1"/>
  <c r="DM197" i="1"/>
  <c r="DH197" i="1"/>
  <c r="DC197" i="1"/>
  <c r="CX197" i="1"/>
  <c r="CS197" i="1"/>
  <c r="CN197" i="1"/>
  <c r="CI197" i="1"/>
  <c r="CD197" i="1"/>
  <c r="BY197" i="1"/>
  <c r="BT197" i="1"/>
  <c r="BO197" i="1"/>
  <c r="BJ197" i="1"/>
  <c r="BE197" i="1"/>
  <c r="AZ197" i="1"/>
  <c r="AU197" i="1"/>
  <c r="AP197" i="1"/>
  <c r="AK197" i="1"/>
  <c r="X197" i="1"/>
  <c r="Y197" i="1" s="1"/>
  <c r="Z197" i="1" s="1"/>
  <c r="T197" i="1"/>
  <c r="O197" i="1"/>
  <c r="J197" i="1"/>
  <c r="PZ196" i="1"/>
  <c r="PU196" i="1"/>
  <c r="PN196" i="1"/>
  <c r="PO196" i="1" s="1"/>
  <c r="PP196" i="1" s="1"/>
  <c r="PK196" i="1"/>
  <c r="PF196" i="1"/>
  <c r="OY196" i="1"/>
  <c r="OZ196" i="1" s="1"/>
  <c r="PA196" i="1" s="1"/>
  <c r="OV196" i="1"/>
  <c r="OQ196" i="1"/>
  <c r="OL196" i="1"/>
  <c r="OG196" i="1"/>
  <c r="OB196" i="1"/>
  <c r="NW196" i="1"/>
  <c r="NR196" i="1"/>
  <c r="NM196" i="1"/>
  <c r="NH196" i="1"/>
  <c r="NC196" i="1"/>
  <c r="MX196" i="1"/>
  <c r="MS196" i="1"/>
  <c r="MN196" i="1"/>
  <c r="MI196" i="1"/>
  <c r="MD196" i="1"/>
  <c r="LY196" i="1"/>
  <c r="LT196" i="1"/>
  <c r="LO196" i="1"/>
  <c r="LJ196" i="1"/>
  <c r="LE196" i="1"/>
  <c r="KZ196" i="1"/>
  <c r="KU196" i="1"/>
  <c r="KP196" i="1"/>
  <c r="KK196" i="1"/>
  <c r="KF196" i="1"/>
  <c r="JB196" i="1"/>
  <c r="IW196" i="1"/>
  <c r="IR196" i="1"/>
  <c r="IM196" i="1"/>
  <c r="IH196" i="1"/>
  <c r="IC196" i="1"/>
  <c r="HX196" i="1"/>
  <c r="HS196" i="1"/>
  <c r="HN196" i="1"/>
  <c r="HI196" i="1"/>
  <c r="HD196" i="1"/>
  <c r="GY196" i="1"/>
  <c r="GT196" i="1"/>
  <c r="GO196" i="1"/>
  <c r="GJ196" i="1"/>
  <c r="GE196" i="1"/>
  <c r="FZ196" i="1"/>
  <c r="FU196" i="1"/>
  <c r="FP196" i="1"/>
  <c r="FK196" i="1"/>
  <c r="FF196" i="1"/>
  <c r="FA196" i="1"/>
  <c r="EV196" i="1"/>
  <c r="EQ196" i="1"/>
  <c r="EL196" i="1"/>
  <c r="EG196" i="1"/>
  <c r="EB196" i="1"/>
  <c r="DW196" i="1"/>
  <c r="DR196" i="1"/>
  <c r="DM196" i="1"/>
  <c r="DH196" i="1"/>
  <c r="DC196" i="1"/>
  <c r="CX196" i="1"/>
  <c r="CS196" i="1"/>
  <c r="CN196" i="1"/>
  <c r="CI196" i="1"/>
  <c r="CD196" i="1"/>
  <c r="BY196" i="1"/>
  <c r="BT196" i="1"/>
  <c r="BO196" i="1"/>
  <c r="BJ196" i="1"/>
  <c r="BE196" i="1"/>
  <c r="AZ196" i="1"/>
  <c r="AU196" i="1"/>
  <c r="AP196" i="1"/>
  <c r="AI196" i="1"/>
  <c r="AJ196" i="1" s="1"/>
  <c r="AK196" i="1" s="1"/>
  <c r="X196" i="1"/>
  <c r="Y196" i="1" s="1"/>
  <c r="Z196" i="1" s="1"/>
  <c r="T196" i="1"/>
  <c r="O196" i="1"/>
  <c r="J196" i="1"/>
  <c r="PZ195" i="1"/>
  <c r="PU195" i="1"/>
  <c r="PP195" i="1"/>
  <c r="PK195" i="1"/>
  <c r="PF195" i="1"/>
  <c r="PA195" i="1"/>
  <c r="OV195" i="1"/>
  <c r="OQ195" i="1"/>
  <c r="OL195" i="1"/>
  <c r="OG195" i="1"/>
  <c r="OB195" i="1"/>
  <c r="NW195" i="1"/>
  <c r="NR195" i="1"/>
  <c r="NM195" i="1"/>
  <c r="NH195" i="1"/>
  <c r="NC195" i="1"/>
  <c r="MX195" i="1"/>
  <c r="MS195" i="1"/>
  <c r="MN195" i="1"/>
  <c r="MI195" i="1"/>
  <c r="MD195" i="1"/>
  <c r="LY195" i="1"/>
  <c r="LT195" i="1"/>
  <c r="LO195" i="1"/>
  <c r="LJ195" i="1"/>
  <c r="LE195" i="1"/>
  <c r="KZ195" i="1"/>
  <c r="KU195" i="1"/>
  <c r="KP195" i="1"/>
  <c r="KK195" i="1"/>
  <c r="KF195" i="1"/>
  <c r="JB195" i="1"/>
  <c r="IW195" i="1"/>
  <c r="IR195" i="1"/>
  <c r="IM195" i="1"/>
  <c r="IH195" i="1"/>
  <c r="IC195" i="1"/>
  <c r="HX195" i="1"/>
  <c r="HS195" i="1"/>
  <c r="HN195" i="1"/>
  <c r="HI195" i="1"/>
  <c r="HD195" i="1"/>
  <c r="GY195" i="1"/>
  <c r="GT195" i="1"/>
  <c r="GO195" i="1"/>
  <c r="GJ195" i="1"/>
  <c r="GE195" i="1"/>
  <c r="FZ195" i="1"/>
  <c r="FU195" i="1"/>
  <c r="FP195" i="1"/>
  <c r="FK195" i="1"/>
  <c r="FF195" i="1"/>
  <c r="FA195" i="1"/>
  <c r="EV195" i="1"/>
  <c r="EQ195" i="1"/>
  <c r="EL195" i="1"/>
  <c r="EG195" i="1"/>
  <c r="EB195" i="1"/>
  <c r="DW195" i="1"/>
  <c r="DR195" i="1"/>
  <c r="DM195" i="1"/>
  <c r="DH195" i="1"/>
  <c r="DC195" i="1"/>
  <c r="CX195" i="1"/>
  <c r="CS195" i="1"/>
  <c r="CN195" i="1"/>
  <c r="CI195" i="1"/>
  <c r="CD195" i="1"/>
  <c r="BY195" i="1"/>
  <c r="BT195" i="1"/>
  <c r="BO195" i="1"/>
  <c r="BJ195" i="1"/>
  <c r="BE195" i="1"/>
  <c r="AZ195" i="1"/>
  <c r="AU195" i="1"/>
  <c r="AP195" i="1"/>
  <c r="AK195" i="1"/>
  <c r="Z195" i="1"/>
  <c r="T195" i="1"/>
  <c r="O195" i="1"/>
  <c r="J195" i="1"/>
  <c r="PX194" i="1"/>
  <c r="PY194" i="1" s="1"/>
  <c r="PZ194" i="1" s="1"/>
  <c r="PU194" i="1"/>
  <c r="PP194" i="1"/>
  <c r="PK194" i="1"/>
  <c r="PF194" i="1"/>
  <c r="PA194" i="1"/>
  <c r="OV194" i="1"/>
  <c r="OQ194" i="1"/>
  <c r="OL194" i="1"/>
  <c r="OG194" i="1"/>
  <c r="OB194" i="1"/>
  <c r="NW194" i="1"/>
  <c r="NR194" i="1"/>
  <c r="NM194" i="1"/>
  <c r="NH194" i="1"/>
  <c r="NC194" i="1"/>
  <c r="MX194" i="1"/>
  <c r="MS194" i="1"/>
  <c r="MN194" i="1"/>
  <c r="MI194" i="1"/>
  <c r="MD194" i="1"/>
  <c r="LY194" i="1"/>
  <c r="LT194" i="1"/>
  <c r="LO194" i="1"/>
  <c r="LJ194" i="1"/>
  <c r="LE194" i="1"/>
  <c r="KZ194" i="1"/>
  <c r="KU194" i="1"/>
  <c r="KP194" i="1"/>
  <c r="KK194" i="1"/>
  <c r="KF194" i="1"/>
  <c r="JB194" i="1"/>
  <c r="IW194" i="1"/>
  <c r="IR194" i="1"/>
  <c r="IM194" i="1"/>
  <c r="IH194" i="1"/>
  <c r="IC194" i="1"/>
  <c r="HX194" i="1"/>
  <c r="HS194" i="1"/>
  <c r="HN194" i="1"/>
  <c r="HI194" i="1"/>
  <c r="HD194" i="1"/>
  <c r="GY194" i="1"/>
  <c r="GT194" i="1"/>
  <c r="GO194" i="1"/>
  <c r="GJ194" i="1"/>
  <c r="GE194" i="1"/>
  <c r="FZ194" i="1"/>
  <c r="FU194" i="1"/>
  <c r="FP194" i="1"/>
  <c r="FK194" i="1"/>
  <c r="FF194" i="1"/>
  <c r="FA194" i="1"/>
  <c r="EV194" i="1"/>
  <c r="EQ194" i="1"/>
  <c r="EL194" i="1"/>
  <c r="EG194" i="1"/>
  <c r="EB194" i="1"/>
  <c r="DW194" i="1"/>
  <c r="DR194" i="1"/>
  <c r="DM194" i="1"/>
  <c r="DH194" i="1"/>
  <c r="DC194" i="1"/>
  <c r="CX194" i="1"/>
  <c r="CS194" i="1"/>
  <c r="CN194" i="1"/>
  <c r="CI194" i="1"/>
  <c r="CD194" i="1"/>
  <c r="BY194" i="1"/>
  <c r="BT194" i="1"/>
  <c r="BO194" i="1"/>
  <c r="BJ194" i="1"/>
  <c r="BE194" i="1"/>
  <c r="AZ194" i="1"/>
  <c r="AU194" i="1"/>
  <c r="AP194" i="1"/>
  <c r="AK194" i="1"/>
  <c r="Z194" i="1"/>
  <c r="T194" i="1"/>
  <c r="O194" i="1"/>
  <c r="J194" i="1"/>
  <c r="PX193" i="1"/>
  <c r="PY193" i="1" s="1"/>
  <c r="PZ193" i="1" s="1"/>
  <c r="PU193" i="1"/>
  <c r="PP193" i="1"/>
  <c r="PK193" i="1"/>
  <c r="PF193" i="1"/>
  <c r="PA193" i="1"/>
  <c r="OV193" i="1"/>
  <c r="OQ193" i="1"/>
  <c r="OL193" i="1"/>
  <c r="OG193" i="1"/>
  <c r="OB193" i="1"/>
  <c r="NW193" i="1"/>
  <c r="NR193" i="1"/>
  <c r="NM193" i="1"/>
  <c r="NH193" i="1"/>
  <c r="NC193" i="1"/>
  <c r="MX193" i="1"/>
  <c r="MS193" i="1"/>
  <c r="MN193" i="1"/>
  <c r="MI193" i="1"/>
  <c r="MD193" i="1"/>
  <c r="LY193" i="1"/>
  <c r="LT193" i="1"/>
  <c r="LO193" i="1"/>
  <c r="LJ193" i="1"/>
  <c r="LE193" i="1"/>
  <c r="KZ193" i="1"/>
  <c r="KU193" i="1"/>
  <c r="KP193" i="1"/>
  <c r="KK193" i="1"/>
  <c r="KF193" i="1"/>
  <c r="JB193" i="1"/>
  <c r="IW193" i="1"/>
  <c r="IR193" i="1"/>
  <c r="IM193" i="1"/>
  <c r="IH193" i="1"/>
  <c r="IC193" i="1"/>
  <c r="HX193" i="1"/>
  <c r="HS193" i="1"/>
  <c r="HN193" i="1"/>
  <c r="HI193" i="1"/>
  <c r="HD193" i="1"/>
  <c r="GY193" i="1"/>
  <c r="GT193" i="1"/>
  <c r="GO193" i="1"/>
  <c r="GJ193" i="1"/>
  <c r="GE193" i="1"/>
  <c r="FZ193" i="1"/>
  <c r="FU193" i="1"/>
  <c r="FP193" i="1"/>
  <c r="FK193" i="1"/>
  <c r="FF193" i="1"/>
  <c r="FA193" i="1"/>
  <c r="EV193" i="1"/>
  <c r="EQ193" i="1"/>
  <c r="EL193" i="1"/>
  <c r="EG193" i="1"/>
  <c r="EB193" i="1"/>
  <c r="DW193" i="1"/>
  <c r="DR193" i="1"/>
  <c r="DM193" i="1"/>
  <c r="DH193" i="1"/>
  <c r="DC193" i="1"/>
  <c r="CX193" i="1"/>
  <c r="CS193" i="1"/>
  <c r="CN193" i="1"/>
  <c r="CI193" i="1"/>
  <c r="CD193" i="1"/>
  <c r="BY193" i="1"/>
  <c r="BT193" i="1"/>
  <c r="BO193" i="1"/>
  <c r="BJ193" i="1"/>
  <c r="BE193" i="1"/>
  <c r="AZ193" i="1"/>
  <c r="AU193" i="1"/>
  <c r="AP193" i="1"/>
  <c r="AK193" i="1"/>
  <c r="Z193" i="1"/>
  <c r="T193" i="1"/>
  <c r="O193" i="1"/>
  <c r="J193" i="1"/>
  <c r="PX192" i="1"/>
  <c r="PY192" i="1" s="1"/>
  <c r="PZ192" i="1" s="1"/>
  <c r="PU192" i="1"/>
  <c r="PP192" i="1"/>
  <c r="PK192" i="1"/>
  <c r="PF192" i="1"/>
  <c r="PA192" i="1"/>
  <c r="OV192" i="1"/>
  <c r="OQ192" i="1"/>
  <c r="OL192" i="1"/>
  <c r="OG192" i="1"/>
  <c r="OB192" i="1"/>
  <c r="NW192" i="1"/>
  <c r="NR192" i="1"/>
  <c r="NM192" i="1"/>
  <c r="NH192" i="1"/>
  <c r="NC192" i="1"/>
  <c r="MX192" i="1"/>
  <c r="MS192" i="1"/>
  <c r="MN192" i="1"/>
  <c r="MI192" i="1"/>
  <c r="MD192" i="1"/>
  <c r="LY192" i="1"/>
  <c r="LT192" i="1"/>
  <c r="LO192" i="1"/>
  <c r="LJ192" i="1"/>
  <c r="LE192" i="1"/>
  <c r="KZ192" i="1"/>
  <c r="KU192" i="1"/>
  <c r="KP192" i="1"/>
  <c r="KK192" i="1"/>
  <c r="KF192" i="1"/>
  <c r="JB192" i="1"/>
  <c r="IW192" i="1"/>
  <c r="IR192" i="1"/>
  <c r="IM192" i="1"/>
  <c r="IH192" i="1"/>
  <c r="IC192" i="1"/>
  <c r="HX192" i="1"/>
  <c r="HS192" i="1"/>
  <c r="HN192" i="1"/>
  <c r="HI192" i="1"/>
  <c r="HD192" i="1"/>
  <c r="GY192" i="1"/>
  <c r="GT192" i="1"/>
  <c r="GO192" i="1"/>
  <c r="GJ192" i="1"/>
  <c r="GE192" i="1"/>
  <c r="FZ192" i="1"/>
  <c r="FU192" i="1"/>
  <c r="FP192" i="1"/>
  <c r="FK192" i="1"/>
  <c r="FF192" i="1"/>
  <c r="FA192" i="1"/>
  <c r="EV192" i="1"/>
  <c r="EQ192" i="1"/>
  <c r="EL192" i="1"/>
  <c r="EG192" i="1"/>
  <c r="EB192" i="1"/>
  <c r="DW192" i="1"/>
  <c r="DR192" i="1"/>
  <c r="DM192" i="1"/>
  <c r="DH192" i="1"/>
  <c r="DC192" i="1"/>
  <c r="CX192" i="1"/>
  <c r="CS192" i="1"/>
  <c r="CN192" i="1"/>
  <c r="CI192" i="1"/>
  <c r="CD192" i="1"/>
  <c r="BY192" i="1"/>
  <c r="BT192" i="1"/>
  <c r="BO192" i="1"/>
  <c r="BJ192" i="1"/>
  <c r="BE192" i="1"/>
  <c r="AZ192" i="1"/>
  <c r="AU192" i="1"/>
  <c r="AP192" i="1"/>
  <c r="AK192" i="1"/>
  <c r="Z192" i="1"/>
  <c r="T192" i="1"/>
  <c r="O192" i="1"/>
  <c r="J192" i="1"/>
  <c r="PZ191" i="1"/>
  <c r="PU191" i="1"/>
  <c r="PP191" i="1"/>
  <c r="PK191" i="1"/>
  <c r="PF191" i="1"/>
  <c r="PA191" i="1"/>
  <c r="OV191" i="1"/>
  <c r="OQ191" i="1"/>
  <c r="OL191" i="1"/>
  <c r="OG191" i="1"/>
  <c r="OB191" i="1"/>
  <c r="NW191" i="1"/>
  <c r="NR191" i="1"/>
  <c r="NM191" i="1"/>
  <c r="NH191" i="1"/>
  <c r="NC191" i="1"/>
  <c r="MX191" i="1"/>
  <c r="MS191" i="1"/>
  <c r="MN191" i="1"/>
  <c r="MI191" i="1"/>
  <c r="MD191" i="1"/>
  <c r="LY191" i="1"/>
  <c r="LT191" i="1"/>
  <c r="LO191" i="1"/>
  <c r="LJ191" i="1"/>
  <c r="LE191" i="1"/>
  <c r="KZ191" i="1"/>
  <c r="KU191" i="1"/>
  <c r="KP191" i="1"/>
  <c r="KK191" i="1"/>
  <c r="KF191" i="1"/>
  <c r="JB191" i="1"/>
  <c r="IW191" i="1"/>
  <c r="IR191" i="1"/>
  <c r="IM191" i="1"/>
  <c r="IH191" i="1"/>
  <c r="IC191" i="1"/>
  <c r="HX191" i="1"/>
  <c r="HS191" i="1"/>
  <c r="HN191" i="1"/>
  <c r="HG191" i="1"/>
  <c r="HH191" i="1" s="1"/>
  <c r="HI191" i="1" s="1"/>
  <c r="HB191" i="1"/>
  <c r="HC191" i="1" s="1"/>
  <c r="HD191" i="1" s="1"/>
  <c r="GW191" i="1"/>
  <c r="GX191" i="1" s="1"/>
  <c r="GY191" i="1" s="1"/>
  <c r="GR191" i="1"/>
  <c r="GS191" i="1" s="1"/>
  <c r="GT191" i="1" s="1"/>
  <c r="GM191" i="1"/>
  <c r="GN191" i="1" s="1"/>
  <c r="GO191" i="1" s="1"/>
  <c r="GH191" i="1"/>
  <c r="GI191" i="1" s="1"/>
  <c r="GJ191" i="1" s="1"/>
  <c r="GC191" i="1"/>
  <c r="GD191" i="1" s="1"/>
  <c r="GE191" i="1" s="1"/>
  <c r="FX191" i="1"/>
  <c r="FY191" i="1" s="1"/>
  <c r="FZ191" i="1" s="1"/>
  <c r="FS191" i="1"/>
  <c r="FT191" i="1" s="1"/>
  <c r="FU191" i="1" s="1"/>
  <c r="FN191" i="1"/>
  <c r="FO191" i="1" s="1"/>
  <c r="FP191" i="1" s="1"/>
  <c r="FI191" i="1"/>
  <c r="FJ191" i="1" s="1"/>
  <c r="FK191" i="1" s="1"/>
  <c r="FD191" i="1"/>
  <c r="FE191" i="1" s="1"/>
  <c r="FF191" i="1" s="1"/>
  <c r="EY191" i="1"/>
  <c r="EZ191" i="1" s="1"/>
  <c r="FA191" i="1" s="1"/>
  <c r="ET191" i="1"/>
  <c r="EU191" i="1" s="1"/>
  <c r="EV191" i="1" s="1"/>
  <c r="EO191" i="1"/>
  <c r="EP191" i="1" s="1"/>
  <c r="EQ191" i="1" s="1"/>
  <c r="EJ191" i="1"/>
  <c r="EK191" i="1" s="1"/>
  <c r="EL191" i="1" s="1"/>
  <c r="EE191" i="1"/>
  <c r="EF191" i="1" s="1"/>
  <c r="EG191" i="1" s="1"/>
  <c r="DZ191" i="1"/>
  <c r="EA191" i="1" s="1"/>
  <c r="EB191" i="1" s="1"/>
  <c r="DU191" i="1"/>
  <c r="DV191" i="1" s="1"/>
  <c r="DW191" i="1" s="1"/>
  <c r="DP191" i="1"/>
  <c r="DQ191" i="1" s="1"/>
  <c r="DR191" i="1" s="1"/>
  <c r="DK191" i="1"/>
  <c r="DL191" i="1" s="1"/>
  <c r="DM191" i="1" s="1"/>
  <c r="DF191" i="1"/>
  <c r="DG191" i="1" s="1"/>
  <c r="DH191" i="1" s="1"/>
  <c r="DA191" i="1"/>
  <c r="DB191" i="1" s="1"/>
  <c r="DC191" i="1" s="1"/>
  <c r="CV191" i="1"/>
  <c r="CW191" i="1" s="1"/>
  <c r="CX191" i="1" s="1"/>
  <c r="CQ191" i="1"/>
  <c r="CR191" i="1" s="1"/>
  <c r="CS191" i="1" s="1"/>
  <c r="CL191" i="1"/>
  <c r="CM191" i="1" s="1"/>
  <c r="CN191" i="1" s="1"/>
  <c r="CG191" i="1"/>
  <c r="CH191" i="1" s="1"/>
  <c r="CI191" i="1" s="1"/>
  <c r="CB191" i="1"/>
  <c r="CC191" i="1" s="1"/>
  <c r="CD191" i="1" s="1"/>
  <c r="BW191" i="1"/>
  <c r="BX191" i="1" s="1"/>
  <c r="BY191" i="1" s="1"/>
  <c r="BR191" i="1"/>
  <c r="BS191" i="1" s="1"/>
  <c r="BT191" i="1" s="1"/>
  <c r="BM191" i="1"/>
  <c r="BN191" i="1" s="1"/>
  <c r="BO191" i="1" s="1"/>
  <c r="BH191" i="1"/>
  <c r="BI191" i="1" s="1"/>
  <c r="BJ191" i="1" s="1"/>
  <c r="BC191" i="1"/>
  <c r="BD191" i="1" s="1"/>
  <c r="BE191" i="1" s="1"/>
  <c r="AX191" i="1"/>
  <c r="AY191" i="1" s="1"/>
  <c r="AZ191" i="1" s="1"/>
  <c r="AS191" i="1"/>
  <c r="AT191" i="1" s="1"/>
  <c r="AU191" i="1" s="1"/>
  <c r="AN191" i="1"/>
  <c r="AO191" i="1" s="1"/>
  <c r="AP191" i="1" s="1"/>
  <c r="AI191" i="1"/>
  <c r="AJ191" i="1" s="1"/>
  <c r="AK191" i="1" s="1"/>
  <c r="AD191" i="1"/>
  <c r="AE191" i="1" s="1"/>
  <c r="AF191" i="1" s="1"/>
  <c r="X191" i="1"/>
  <c r="Y191" i="1" s="1"/>
  <c r="Z191" i="1" s="1"/>
  <c r="R191" i="1"/>
  <c r="S191" i="1" s="1"/>
  <c r="T191" i="1" s="1"/>
  <c r="O191" i="1"/>
  <c r="J191" i="1"/>
  <c r="PZ190" i="1"/>
  <c r="PU190" i="1"/>
  <c r="PP190" i="1"/>
  <c r="PK190" i="1"/>
  <c r="PF190" i="1"/>
  <c r="PA190" i="1"/>
  <c r="OV190" i="1"/>
  <c r="OQ190" i="1"/>
  <c r="OL190" i="1"/>
  <c r="OG190" i="1"/>
  <c r="OB190" i="1"/>
  <c r="NW190" i="1"/>
  <c r="NR190" i="1"/>
  <c r="NM190" i="1"/>
  <c r="NH190" i="1"/>
  <c r="NC190" i="1"/>
  <c r="MX190" i="1"/>
  <c r="MS190" i="1"/>
  <c r="MN190" i="1"/>
  <c r="MI190" i="1"/>
  <c r="MD190" i="1"/>
  <c r="LY190" i="1"/>
  <c r="LT190" i="1"/>
  <c r="LO190" i="1"/>
  <c r="LJ190" i="1"/>
  <c r="LE190" i="1"/>
  <c r="KZ190" i="1"/>
  <c r="KU190" i="1"/>
  <c r="KP190" i="1"/>
  <c r="KK190" i="1"/>
  <c r="KF190" i="1"/>
  <c r="JB190" i="1"/>
  <c r="IW190" i="1"/>
  <c r="IR190" i="1"/>
  <c r="IM190" i="1"/>
  <c r="IH190" i="1"/>
  <c r="IC190" i="1"/>
  <c r="HX190" i="1"/>
  <c r="HS190" i="1"/>
  <c r="HN190" i="1"/>
  <c r="HI190" i="1"/>
  <c r="HB190" i="1"/>
  <c r="HC190" i="1" s="1"/>
  <c r="HD190" i="1" s="1"/>
  <c r="GW190" i="1"/>
  <c r="GX190" i="1" s="1"/>
  <c r="GY190" i="1" s="1"/>
  <c r="GR190" i="1"/>
  <c r="GS190" i="1" s="1"/>
  <c r="GT190" i="1" s="1"/>
  <c r="GM190" i="1"/>
  <c r="GN190" i="1" s="1"/>
  <c r="GO190" i="1" s="1"/>
  <c r="GH190" i="1"/>
  <c r="GI190" i="1" s="1"/>
  <c r="GJ190" i="1" s="1"/>
  <c r="GC190" i="1"/>
  <c r="GD190" i="1" s="1"/>
  <c r="GE190" i="1" s="1"/>
  <c r="FX190" i="1"/>
  <c r="FY190" i="1" s="1"/>
  <c r="FZ190" i="1" s="1"/>
  <c r="FS190" i="1"/>
  <c r="FT190" i="1" s="1"/>
  <c r="FU190" i="1" s="1"/>
  <c r="FN190" i="1"/>
  <c r="FO190" i="1" s="1"/>
  <c r="FP190" i="1" s="1"/>
  <c r="FI190" i="1"/>
  <c r="FJ190" i="1" s="1"/>
  <c r="FK190" i="1" s="1"/>
  <c r="FD190" i="1"/>
  <c r="FE190" i="1" s="1"/>
  <c r="FF190" i="1" s="1"/>
  <c r="EY190" i="1"/>
  <c r="EZ190" i="1" s="1"/>
  <c r="FA190" i="1" s="1"/>
  <c r="ET190" i="1"/>
  <c r="EU190" i="1" s="1"/>
  <c r="EV190" i="1" s="1"/>
  <c r="EO190" i="1"/>
  <c r="EP190" i="1" s="1"/>
  <c r="EQ190" i="1" s="1"/>
  <c r="EJ190" i="1"/>
  <c r="EK190" i="1" s="1"/>
  <c r="EL190" i="1" s="1"/>
  <c r="EE190" i="1"/>
  <c r="EF190" i="1" s="1"/>
  <c r="EG190" i="1" s="1"/>
  <c r="DZ190" i="1"/>
  <c r="EA190" i="1" s="1"/>
  <c r="EB190" i="1" s="1"/>
  <c r="DU190" i="1"/>
  <c r="DV190" i="1" s="1"/>
  <c r="DW190" i="1" s="1"/>
  <c r="DP190" i="1"/>
  <c r="DQ190" i="1" s="1"/>
  <c r="DR190" i="1" s="1"/>
  <c r="DK190" i="1"/>
  <c r="DL190" i="1" s="1"/>
  <c r="DM190" i="1" s="1"/>
  <c r="DF190" i="1"/>
  <c r="DG190" i="1" s="1"/>
  <c r="DH190" i="1" s="1"/>
  <c r="DA190" i="1"/>
  <c r="DB190" i="1" s="1"/>
  <c r="DC190" i="1" s="1"/>
  <c r="CV190" i="1"/>
  <c r="CW190" i="1" s="1"/>
  <c r="CX190" i="1" s="1"/>
  <c r="CQ190" i="1"/>
  <c r="CR190" i="1" s="1"/>
  <c r="CS190" i="1" s="1"/>
  <c r="CL190" i="1"/>
  <c r="CM190" i="1" s="1"/>
  <c r="CN190" i="1" s="1"/>
  <c r="CG190" i="1"/>
  <c r="CH190" i="1" s="1"/>
  <c r="CI190" i="1" s="1"/>
  <c r="CB190" i="1"/>
  <c r="CC190" i="1" s="1"/>
  <c r="CD190" i="1" s="1"/>
  <c r="BW190" i="1"/>
  <c r="BX190" i="1" s="1"/>
  <c r="BY190" i="1" s="1"/>
  <c r="BR190" i="1"/>
  <c r="BS190" i="1" s="1"/>
  <c r="BT190" i="1" s="1"/>
  <c r="BM190" i="1"/>
  <c r="BN190" i="1" s="1"/>
  <c r="BO190" i="1" s="1"/>
  <c r="BH190" i="1"/>
  <c r="BI190" i="1" s="1"/>
  <c r="BJ190" i="1" s="1"/>
  <c r="BC190" i="1"/>
  <c r="BD190" i="1" s="1"/>
  <c r="BE190" i="1" s="1"/>
  <c r="AX190" i="1"/>
  <c r="AY190" i="1" s="1"/>
  <c r="AZ190" i="1" s="1"/>
  <c r="AS190" i="1"/>
  <c r="AT190" i="1" s="1"/>
  <c r="AU190" i="1" s="1"/>
  <c r="AN190" i="1"/>
  <c r="AO190" i="1" s="1"/>
  <c r="AP190" i="1" s="1"/>
  <c r="AI190" i="1"/>
  <c r="AJ190" i="1" s="1"/>
  <c r="AK190" i="1" s="1"/>
  <c r="X190" i="1"/>
  <c r="Y190" i="1" s="1"/>
  <c r="Z190" i="1" s="1"/>
  <c r="T190" i="1"/>
  <c r="O190" i="1"/>
  <c r="H190" i="1"/>
  <c r="I190" i="1" s="1"/>
  <c r="J190" i="1" s="1"/>
  <c r="PZ189" i="1"/>
  <c r="PU189" i="1"/>
  <c r="PP189" i="1"/>
  <c r="PK189" i="1"/>
  <c r="PF189" i="1"/>
  <c r="PA189" i="1"/>
  <c r="OV189" i="1"/>
  <c r="OQ189" i="1"/>
  <c r="OL189" i="1"/>
  <c r="OG189" i="1"/>
  <c r="OB189" i="1"/>
  <c r="NW189" i="1"/>
  <c r="NR189" i="1"/>
  <c r="NM189" i="1"/>
  <c r="NH189" i="1"/>
  <c r="NC189" i="1"/>
  <c r="MX189" i="1"/>
  <c r="MS189" i="1"/>
  <c r="MN189" i="1"/>
  <c r="MI189" i="1"/>
  <c r="MD189" i="1"/>
  <c r="LY189" i="1"/>
  <c r="LT189" i="1"/>
  <c r="LO189" i="1"/>
  <c r="LJ189" i="1"/>
  <c r="LE189" i="1"/>
  <c r="KZ189" i="1"/>
  <c r="KS189" i="1"/>
  <c r="KT189" i="1" s="1"/>
  <c r="KU189" i="1" s="1"/>
  <c r="KP189" i="1"/>
  <c r="KI189" i="1"/>
  <c r="KJ189" i="1" s="1"/>
  <c r="KK189" i="1" s="1"/>
  <c r="KF189" i="1"/>
  <c r="JB189" i="1"/>
  <c r="IW189" i="1"/>
  <c r="IR189" i="1"/>
  <c r="IM189" i="1"/>
  <c r="IH189" i="1"/>
  <c r="IC189" i="1"/>
  <c r="HX189" i="1"/>
  <c r="HS189" i="1"/>
  <c r="HN189" i="1"/>
  <c r="HG189" i="1"/>
  <c r="HH189" i="1" s="1"/>
  <c r="HI189" i="1" s="1"/>
  <c r="HB189" i="1"/>
  <c r="HC189" i="1" s="1"/>
  <c r="HD189" i="1" s="1"/>
  <c r="GW189" i="1"/>
  <c r="GX189" i="1" s="1"/>
  <c r="GY189" i="1" s="1"/>
  <c r="GR189" i="1"/>
  <c r="GS189" i="1" s="1"/>
  <c r="GT189" i="1" s="1"/>
  <c r="GM189" i="1"/>
  <c r="GN189" i="1" s="1"/>
  <c r="GO189" i="1" s="1"/>
  <c r="GH189" i="1"/>
  <c r="GI189" i="1" s="1"/>
  <c r="GJ189" i="1" s="1"/>
  <c r="GC189" i="1"/>
  <c r="GD189" i="1" s="1"/>
  <c r="GE189" i="1" s="1"/>
  <c r="FX189" i="1"/>
  <c r="FY189" i="1" s="1"/>
  <c r="FZ189" i="1" s="1"/>
  <c r="FS189" i="1"/>
  <c r="FT189" i="1" s="1"/>
  <c r="FU189" i="1" s="1"/>
  <c r="FN189" i="1"/>
  <c r="FO189" i="1" s="1"/>
  <c r="FP189" i="1" s="1"/>
  <c r="FI189" i="1"/>
  <c r="FJ189" i="1" s="1"/>
  <c r="FK189" i="1" s="1"/>
  <c r="FD189" i="1"/>
  <c r="FE189" i="1" s="1"/>
  <c r="FF189" i="1" s="1"/>
  <c r="EY189" i="1"/>
  <c r="EZ189" i="1" s="1"/>
  <c r="FA189" i="1" s="1"/>
  <c r="ET189" i="1"/>
  <c r="EU189" i="1" s="1"/>
  <c r="EV189" i="1" s="1"/>
  <c r="EO189" i="1"/>
  <c r="EP189" i="1" s="1"/>
  <c r="EQ189" i="1" s="1"/>
  <c r="EJ189" i="1"/>
  <c r="EK189" i="1" s="1"/>
  <c r="EL189" i="1" s="1"/>
  <c r="EE189" i="1"/>
  <c r="EF189" i="1" s="1"/>
  <c r="EG189" i="1" s="1"/>
  <c r="DZ189" i="1"/>
  <c r="EA189" i="1" s="1"/>
  <c r="EB189" i="1" s="1"/>
  <c r="DU189" i="1"/>
  <c r="DV189" i="1" s="1"/>
  <c r="DW189" i="1" s="1"/>
  <c r="DP189" i="1"/>
  <c r="DQ189" i="1" s="1"/>
  <c r="DR189" i="1" s="1"/>
  <c r="DK189" i="1"/>
  <c r="DL189" i="1" s="1"/>
  <c r="DM189" i="1" s="1"/>
  <c r="DF189" i="1"/>
  <c r="DG189" i="1" s="1"/>
  <c r="DH189" i="1" s="1"/>
  <c r="DA189" i="1"/>
  <c r="DB189" i="1" s="1"/>
  <c r="DC189" i="1" s="1"/>
  <c r="CV189" i="1"/>
  <c r="CW189" i="1" s="1"/>
  <c r="CX189" i="1" s="1"/>
  <c r="CQ189" i="1"/>
  <c r="CR189" i="1" s="1"/>
  <c r="CS189" i="1" s="1"/>
  <c r="CL189" i="1"/>
  <c r="CM189" i="1" s="1"/>
  <c r="CN189" i="1" s="1"/>
  <c r="CG189" i="1"/>
  <c r="CH189" i="1" s="1"/>
  <c r="CI189" i="1" s="1"/>
  <c r="CB189" i="1"/>
  <c r="CC189" i="1" s="1"/>
  <c r="CD189" i="1" s="1"/>
  <c r="BW189" i="1"/>
  <c r="BX189" i="1" s="1"/>
  <c r="BY189" i="1" s="1"/>
  <c r="BR189" i="1"/>
  <c r="BS189" i="1" s="1"/>
  <c r="BT189" i="1" s="1"/>
  <c r="BM189" i="1"/>
  <c r="BN189" i="1" s="1"/>
  <c r="BO189" i="1" s="1"/>
  <c r="BH189" i="1"/>
  <c r="BI189" i="1" s="1"/>
  <c r="BJ189" i="1" s="1"/>
  <c r="BC189" i="1"/>
  <c r="BD189" i="1" s="1"/>
  <c r="BE189" i="1" s="1"/>
  <c r="AX189" i="1"/>
  <c r="AY189" i="1" s="1"/>
  <c r="AZ189" i="1" s="1"/>
  <c r="AS189" i="1"/>
  <c r="AT189" i="1" s="1"/>
  <c r="AU189" i="1" s="1"/>
  <c r="AN189" i="1"/>
  <c r="AO189" i="1" s="1"/>
  <c r="AP189" i="1" s="1"/>
  <c r="AI189" i="1"/>
  <c r="AJ189" i="1" s="1"/>
  <c r="AK189" i="1" s="1"/>
  <c r="AD189" i="1"/>
  <c r="AE189" i="1" s="1"/>
  <c r="AF189" i="1" s="1"/>
  <c r="X189" i="1"/>
  <c r="Y189" i="1" s="1"/>
  <c r="Z189" i="1" s="1"/>
  <c r="T189" i="1"/>
  <c r="O189" i="1"/>
  <c r="J189" i="1"/>
  <c r="PZ188" i="1"/>
  <c r="PU188" i="1"/>
  <c r="PP188" i="1"/>
  <c r="PK188" i="1"/>
  <c r="PF188" i="1"/>
  <c r="PA188" i="1"/>
  <c r="OV188" i="1"/>
  <c r="OQ188" i="1"/>
  <c r="OL188" i="1"/>
  <c r="OG188" i="1"/>
  <c r="OB188" i="1"/>
  <c r="NW188" i="1"/>
  <c r="NR188" i="1"/>
  <c r="NM188" i="1"/>
  <c r="NH188" i="1"/>
  <c r="NC188" i="1"/>
  <c r="MX188" i="1"/>
  <c r="MS188" i="1"/>
  <c r="MN188" i="1"/>
  <c r="MI188" i="1"/>
  <c r="MB188" i="1"/>
  <c r="MC188" i="1" s="1"/>
  <c r="MD188" i="1" s="1"/>
  <c r="LW188" i="1"/>
  <c r="LX188" i="1" s="1"/>
  <c r="LY188" i="1" s="1"/>
  <c r="LT188" i="1"/>
  <c r="LO188" i="1"/>
  <c r="LJ188" i="1"/>
  <c r="LE188" i="1"/>
  <c r="KZ188" i="1"/>
  <c r="KU188" i="1"/>
  <c r="KP188" i="1"/>
  <c r="KK188" i="1"/>
  <c r="KF188" i="1"/>
  <c r="IZ188" i="1"/>
  <c r="JA188" i="1" s="1"/>
  <c r="JB188" i="1" s="1"/>
  <c r="IU188" i="1"/>
  <c r="IV188" i="1" s="1"/>
  <c r="IW188" i="1" s="1"/>
  <c r="IP188" i="1"/>
  <c r="IQ188" i="1" s="1"/>
  <c r="IR188" i="1" s="1"/>
  <c r="IK188" i="1"/>
  <c r="IL188" i="1" s="1"/>
  <c r="IM188" i="1" s="1"/>
  <c r="IF188" i="1"/>
  <c r="IG188" i="1" s="1"/>
  <c r="IH188" i="1" s="1"/>
  <c r="IA188" i="1"/>
  <c r="IB188" i="1" s="1"/>
  <c r="IC188" i="1" s="1"/>
  <c r="HV188" i="1"/>
  <c r="HW188" i="1" s="1"/>
  <c r="HX188" i="1" s="1"/>
  <c r="HQ188" i="1"/>
  <c r="HR188" i="1" s="1"/>
  <c r="HS188" i="1" s="1"/>
  <c r="HL188" i="1"/>
  <c r="HM188" i="1" s="1"/>
  <c r="HN188" i="1" s="1"/>
  <c r="HG188" i="1"/>
  <c r="HH188" i="1" s="1"/>
  <c r="HI188" i="1" s="1"/>
  <c r="HB188" i="1"/>
  <c r="HC188" i="1" s="1"/>
  <c r="HD188" i="1" s="1"/>
  <c r="GW188" i="1"/>
  <c r="GX188" i="1" s="1"/>
  <c r="GY188" i="1" s="1"/>
  <c r="GR188" i="1"/>
  <c r="GS188" i="1" s="1"/>
  <c r="GT188" i="1" s="1"/>
  <c r="GM188" i="1"/>
  <c r="GN188" i="1" s="1"/>
  <c r="GO188" i="1" s="1"/>
  <c r="GH188" i="1"/>
  <c r="GI188" i="1" s="1"/>
  <c r="GJ188" i="1" s="1"/>
  <c r="GC188" i="1"/>
  <c r="GD188" i="1" s="1"/>
  <c r="GE188" i="1" s="1"/>
  <c r="FX188" i="1"/>
  <c r="FY188" i="1" s="1"/>
  <c r="FZ188" i="1" s="1"/>
  <c r="FS188" i="1"/>
  <c r="FT188" i="1" s="1"/>
  <c r="FU188" i="1" s="1"/>
  <c r="FN188" i="1"/>
  <c r="FO188" i="1" s="1"/>
  <c r="FP188" i="1" s="1"/>
  <c r="FI188" i="1"/>
  <c r="FJ188" i="1" s="1"/>
  <c r="FK188" i="1" s="1"/>
  <c r="FD188" i="1"/>
  <c r="FE188" i="1" s="1"/>
  <c r="FF188" i="1" s="1"/>
  <c r="EY188" i="1"/>
  <c r="EZ188" i="1" s="1"/>
  <c r="FA188" i="1" s="1"/>
  <c r="ET188" i="1"/>
  <c r="EU188" i="1" s="1"/>
  <c r="EV188" i="1" s="1"/>
  <c r="EO188" i="1"/>
  <c r="EP188" i="1" s="1"/>
  <c r="EQ188" i="1" s="1"/>
  <c r="EJ188" i="1"/>
  <c r="EK188" i="1" s="1"/>
  <c r="EL188" i="1" s="1"/>
  <c r="EE188" i="1"/>
  <c r="EF188" i="1" s="1"/>
  <c r="EG188" i="1" s="1"/>
  <c r="DZ188" i="1"/>
  <c r="EA188" i="1" s="1"/>
  <c r="EB188" i="1" s="1"/>
  <c r="DU188" i="1"/>
  <c r="DV188" i="1" s="1"/>
  <c r="DW188" i="1" s="1"/>
  <c r="DP188" i="1"/>
  <c r="DQ188" i="1" s="1"/>
  <c r="DR188" i="1" s="1"/>
  <c r="DK188" i="1"/>
  <c r="DL188" i="1" s="1"/>
  <c r="DM188" i="1" s="1"/>
  <c r="DF188" i="1"/>
  <c r="DG188" i="1" s="1"/>
  <c r="DH188" i="1" s="1"/>
  <c r="DA188" i="1"/>
  <c r="DB188" i="1" s="1"/>
  <c r="DC188" i="1" s="1"/>
  <c r="CV188" i="1"/>
  <c r="CW188" i="1" s="1"/>
  <c r="CX188" i="1" s="1"/>
  <c r="CQ188" i="1"/>
  <c r="CR188" i="1" s="1"/>
  <c r="CS188" i="1" s="1"/>
  <c r="CL188" i="1"/>
  <c r="CM188" i="1" s="1"/>
  <c r="CN188" i="1" s="1"/>
  <c r="CG188" i="1"/>
  <c r="CH188" i="1" s="1"/>
  <c r="CI188" i="1" s="1"/>
  <c r="CB188" i="1"/>
  <c r="CC188" i="1" s="1"/>
  <c r="CD188" i="1" s="1"/>
  <c r="BW188" i="1"/>
  <c r="BX188" i="1" s="1"/>
  <c r="BY188" i="1" s="1"/>
  <c r="BR188" i="1"/>
  <c r="BS188" i="1" s="1"/>
  <c r="BT188" i="1" s="1"/>
  <c r="BM188" i="1"/>
  <c r="BN188" i="1" s="1"/>
  <c r="BO188" i="1" s="1"/>
  <c r="BH188" i="1"/>
  <c r="BI188" i="1" s="1"/>
  <c r="BJ188" i="1" s="1"/>
  <c r="BC188" i="1"/>
  <c r="BD188" i="1" s="1"/>
  <c r="BE188" i="1" s="1"/>
  <c r="AX188" i="1"/>
  <c r="AY188" i="1" s="1"/>
  <c r="AZ188" i="1" s="1"/>
  <c r="AS188" i="1"/>
  <c r="AT188" i="1" s="1"/>
  <c r="AU188" i="1" s="1"/>
  <c r="AN188" i="1"/>
  <c r="AO188" i="1" s="1"/>
  <c r="AP188" i="1" s="1"/>
  <c r="AI188" i="1"/>
  <c r="AJ188" i="1" s="1"/>
  <c r="AK188" i="1" s="1"/>
  <c r="AD188" i="1"/>
  <c r="AE188" i="1" s="1"/>
  <c r="AF188" i="1" s="1"/>
  <c r="X188" i="1"/>
  <c r="Y188" i="1" s="1"/>
  <c r="Z188" i="1" s="1"/>
  <c r="T188" i="1"/>
  <c r="O188" i="1"/>
  <c r="J188" i="1"/>
  <c r="PZ187" i="1"/>
  <c r="PU187" i="1"/>
  <c r="PP187" i="1"/>
  <c r="PK187" i="1"/>
  <c r="PF187" i="1"/>
  <c r="PA187" i="1"/>
  <c r="OV187" i="1"/>
  <c r="OQ187" i="1"/>
  <c r="OL187" i="1"/>
  <c r="OG187" i="1"/>
  <c r="OB187" i="1"/>
  <c r="NW187" i="1"/>
  <c r="NR187" i="1"/>
  <c r="NM187" i="1"/>
  <c r="NH187" i="1"/>
  <c r="NC187" i="1"/>
  <c r="MX187" i="1"/>
  <c r="MS187" i="1"/>
  <c r="MN187" i="1"/>
  <c r="MI187" i="1"/>
  <c r="MD187" i="1"/>
  <c r="LY187" i="1"/>
  <c r="LT187" i="1"/>
  <c r="LO187" i="1"/>
  <c r="LJ187" i="1"/>
  <c r="LE187" i="1"/>
  <c r="KZ187" i="1"/>
  <c r="KU187" i="1"/>
  <c r="KP187" i="1"/>
  <c r="KK187" i="1"/>
  <c r="KF187" i="1"/>
  <c r="IZ187" i="1"/>
  <c r="JA187" i="1" s="1"/>
  <c r="JB187" i="1" s="1"/>
  <c r="IU187" i="1"/>
  <c r="IV187" i="1" s="1"/>
  <c r="IW187" i="1" s="1"/>
  <c r="IP187" i="1"/>
  <c r="IQ187" i="1" s="1"/>
  <c r="IR187" i="1" s="1"/>
  <c r="IK187" i="1"/>
  <c r="IL187" i="1" s="1"/>
  <c r="IM187" i="1" s="1"/>
  <c r="IF187" i="1"/>
  <c r="IG187" i="1" s="1"/>
  <c r="IH187" i="1" s="1"/>
  <c r="IA187" i="1"/>
  <c r="IB187" i="1" s="1"/>
  <c r="IC187" i="1" s="1"/>
  <c r="HV187" i="1"/>
  <c r="HW187" i="1" s="1"/>
  <c r="HX187" i="1" s="1"/>
  <c r="HS187" i="1"/>
  <c r="HN187" i="1"/>
  <c r="HG187" i="1"/>
  <c r="HH187" i="1" s="1"/>
  <c r="HI187" i="1" s="1"/>
  <c r="HB187" i="1"/>
  <c r="HC187" i="1" s="1"/>
  <c r="HD187" i="1" s="1"/>
  <c r="GW187" i="1"/>
  <c r="GX187" i="1" s="1"/>
  <c r="GY187" i="1" s="1"/>
  <c r="GR187" i="1"/>
  <c r="GS187" i="1" s="1"/>
  <c r="GT187" i="1" s="1"/>
  <c r="GM187" i="1"/>
  <c r="GN187" i="1" s="1"/>
  <c r="GO187" i="1" s="1"/>
  <c r="GH187" i="1"/>
  <c r="GI187" i="1" s="1"/>
  <c r="GJ187" i="1" s="1"/>
  <c r="GC187" i="1"/>
  <c r="GD187" i="1" s="1"/>
  <c r="GE187" i="1" s="1"/>
  <c r="FX187" i="1"/>
  <c r="FY187" i="1" s="1"/>
  <c r="FZ187" i="1" s="1"/>
  <c r="FS187" i="1"/>
  <c r="FT187" i="1" s="1"/>
  <c r="FU187" i="1" s="1"/>
  <c r="FN187" i="1"/>
  <c r="FO187" i="1" s="1"/>
  <c r="FP187" i="1" s="1"/>
  <c r="FI187" i="1"/>
  <c r="FJ187" i="1" s="1"/>
  <c r="FK187" i="1" s="1"/>
  <c r="FD187" i="1"/>
  <c r="FE187" i="1" s="1"/>
  <c r="FF187" i="1" s="1"/>
  <c r="EY187" i="1"/>
  <c r="EZ187" i="1" s="1"/>
  <c r="FA187" i="1" s="1"/>
  <c r="ET187" i="1"/>
  <c r="EU187" i="1" s="1"/>
  <c r="EV187" i="1" s="1"/>
  <c r="EO187" i="1"/>
  <c r="EP187" i="1" s="1"/>
  <c r="EQ187" i="1" s="1"/>
  <c r="EJ187" i="1"/>
  <c r="EK187" i="1" s="1"/>
  <c r="EL187" i="1" s="1"/>
  <c r="EE187" i="1"/>
  <c r="EF187" i="1" s="1"/>
  <c r="EG187" i="1" s="1"/>
  <c r="DZ187" i="1"/>
  <c r="EA187" i="1" s="1"/>
  <c r="EB187" i="1" s="1"/>
  <c r="DU187" i="1"/>
  <c r="DV187" i="1" s="1"/>
  <c r="DW187" i="1" s="1"/>
  <c r="DP187" i="1"/>
  <c r="DQ187" i="1" s="1"/>
  <c r="DR187" i="1" s="1"/>
  <c r="DK187" i="1"/>
  <c r="DL187" i="1" s="1"/>
  <c r="DM187" i="1" s="1"/>
  <c r="DF187" i="1"/>
  <c r="DG187" i="1" s="1"/>
  <c r="DH187" i="1" s="1"/>
  <c r="DA187" i="1"/>
  <c r="DB187" i="1" s="1"/>
  <c r="DC187" i="1" s="1"/>
  <c r="CV187" i="1"/>
  <c r="CW187" i="1" s="1"/>
  <c r="CX187" i="1" s="1"/>
  <c r="CQ187" i="1"/>
  <c r="CR187" i="1" s="1"/>
  <c r="CS187" i="1" s="1"/>
  <c r="CL187" i="1"/>
  <c r="CM187" i="1" s="1"/>
  <c r="CN187" i="1" s="1"/>
  <c r="CG187" i="1"/>
  <c r="CH187" i="1" s="1"/>
  <c r="CI187" i="1" s="1"/>
  <c r="CB187" i="1"/>
  <c r="CC187" i="1" s="1"/>
  <c r="CD187" i="1" s="1"/>
  <c r="BW187" i="1"/>
  <c r="BX187" i="1" s="1"/>
  <c r="BY187" i="1" s="1"/>
  <c r="BR187" i="1"/>
  <c r="BS187" i="1" s="1"/>
  <c r="BT187" i="1" s="1"/>
  <c r="BM187" i="1"/>
  <c r="BN187" i="1" s="1"/>
  <c r="BO187" i="1" s="1"/>
  <c r="BH187" i="1"/>
  <c r="BI187" i="1" s="1"/>
  <c r="BJ187" i="1" s="1"/>
  <c r="BC187" i="1"/>
  <c r="BD187" i="1" s="1"/>
  <c r="BE187" i="1" s="1"/>
  <c r="AX187" i="1"/>
  <c r="AY187" i="1" s="1"/>
  <c r="AZ187" i="1" s="1"/>
  <c r="AS187" i="1"/>
  <c r="AT187" i="1" s="1"/>
  <c r="AU187" i="1" s="1"/>
  <c r="AN187" i="1"/>
  <c r="AO187" i="1" s="1"/>
  <c r="AP187" i="1" s="1"/>
  <c r="AI187" i="1"/>
  <c r="AJ187" i="1" s="1"/>
  <c r="AK187" i="1" s="1"/>
  <c r="AD187" i="1"/>
  <c r="AE187" i="1" s="1"/>
  <c r="AF187" i="1" s="1"/>
  <c r="X187" i="1"/>
  <c r="Y187" i="1" s="1"/>
  <c r="Z187" i="1" s="1"/>
  <c r="T187" i="1"/>
  <c r="O187" i="1"/>
  <c r="J187" i="1"/>
  <c r="PZ186" i="1"/>
  <c r="PU186" i="1"/>
  <c r="PP186" i="1"/>
  <c r="PK186" i="1"/>
  <c r="PF186" i="1"/>
  <c r="PA186" i="1"/>
  <c r="OV186" i="1"/>
  <c r="OQ186" i="1"/>
  <c r="OL186" i="1"/>
  <c r="OG186" i="1"/>
  <c r="NZ186" i="1"/>
  <c r="OA186" i="1" s="1"/>
  <c r="OB186" i="1" s="1"/>
  <c r="NW186" i="1"/>
  <c r="NR186" i="1"/>
  <c r="NM186" i="1"/>
  <c r="NH186" i="1"/>
  <c r="NC186" i="1"/>
  <c r="MX186" i="1"/>
  <c r="MS186" i="1"/>
  <c r="MN186" i="1"/>
  <c r="MI186" i="1"/>
  <c r="MD186" i="1"/>
  <c r="LY186" i="1"/>
  <c r="LT186" i="1"/>
  <c r="LO186" i="1"/>
  <c r="LJ186" i="1"/>
  <c r="LC186" i="1"/>
  <c r="LD186" i="1" s="1"/>
  <c r="LE186" i="1" s="1"/>
  <c r="KX186" i="1"/>
  <c r="KY186" i="1" s="1"/>
  <c r="KZ186" i="1" s="1"/>
  <c r="KS186" i="1"/>
  <c r="KT186" i="1" s="1"/>
  <c r="KU186" i="1" s="1"/>
  <c r="KP186" i="1"/>
  <c r="KK186" i="1"/>
  <c r="KF186" i="1"/>
  <c r="IZ186" i="1"/>
  <c r="JA186" i="1" s="1"/>
  <c r="JB186" i="1" s="1"/>
  <c r="IU186" i="1"/>
  <c r="IV186" i="1" s="1"/>
  <c r="IW186" i="1" s="1"/>
  <c r="IP186" i="1"/>
  <c r="IQ186" i="1" s="1"/>
  <c r="IR186" i="1" s="1"/>
  <c r="IK186" i="1"/>
  <c r="IL186" i="1" s="1"/>
  <c r="IM186" i="1" s="1"/>
  <c r="IF186" i="1"/>
  <c r="IG186" i="1" s="1"/>
  <c r="IH186" i="1" s="1"/>
  <c r="IA186" i="1"/>
  <c r="IB186" i="1" s="1"/>
  <c r="IC186" i="1" s="1"/>
  <c r="HV186" i="1"/>
  <c r="HW186" i="1" s="1"/>
  <c r="HX186" i="1" s="1"/>
  <c r="HS186" i="1"/>
  <c r="HN186" i="1"/>
  <c r="HG186" i="1"/>
  <c r="HH186" i="1" s="1"/>
  <c r="HI186" i="1" s="1"/>
  <c r="HB186" i="1"/>
  <c r="HC186" i="1" s="1"/>
  <c r="HD186" i="1" s="1"/>
  <c r="GW186" i="1"/>
  <c r="GX186" i="1" s="1"/>
  <c r="GY186" i="1" s="1"/>
  <c r="GR186" i="1"/>
  <c r="GS186" i="1" s="1"/>
  <c r="GT186" i="1" s="1"/>
  <c r="GM186" i="1"/>
  <c r="GN186" i="1" s="1"/>
  <c r="GO186" i="1" s="1"/>
  <c r="GH186" i="1"/>
  <c r="GI186" i="1" s="1"/>
  <c r="GJ186" i="1" s="1"/>
  <c r="GC186" i="1"/>
  <c r="GD186" i="1" s="1"/>
  <c r="GE186" i="1" s="1"/>
  <c r="FX186" i="1"/>
  <c r="FY186" i="1" s="1"/>
  <c r="FZ186" i="1" s="1"/>
  <c r="FS186" i="1"/>
  <c r="FT186" i="1" s="1"/>
  <c r="FU186" i="1" s="1"/>
  <c r="FN186" i="1"/>
  <c r="FO186" i="1" s="1"/>
  <c r="FP186" i="1" s="1"/>
  <c r="FI186" i="1"/>
  <c r="FJ186" i="1" s="1"/>
  <c r="FK186" i="1" s="1"/>
  <c r="FD186" i="1"/>
  <c r="FE186" i="1" s="1"/>
  <c r="FF186" i="1" s="1"/>
  <c r="EY186" i="1"/>
  <c r="EZ186" i="1" s="1"/>
  <c r="FA186" i="1" s="1"/>
  <c r="ET186" i="1"/>
  <c r="EU186" i="1" s="1"/>
  <c r="EV186" i="1" s="1"/>
  <c r="EO186" i="1"/>
  <c r="EP186" i="1" s="1"/>
  <c r="EQ186" i="1" s="1"/>
  <c r="EJ186" i="1"/>
  <c r="EK186" i="1" s="1"/>
  <c r="EL186" i="1" s="1"/>
  <c r="EE186" i="1"/>
  <c r="EF186" i="1" s="1"/>
  <c r="EG186" i="1" s="1"/>
  <c r="DZ186" i="1"/>
  <c r="EA186" i="1" s="1"/>
  <c r="EB186" i="1" s="1"/>
  <c r="DU186" i="1"/>
  <c r="DV186" i="1" s="1"/>
  <c r="DW186" i="1" s="1"/>
  <c r="DP186" i="1"/>
  <c r="DQ186" i="1" s="1"/>
  <c r="DR186" i="1" s="1"/>
  <c r="DK186" i="1"/>
  <c r="DL186" i="1" s="1"/>
  <c r="DM186" i="1" s="1"/>
  <c r="DF186" i="1"/>
  <c r="DG186" i="1" s="1"/>
  <c r="DH186" i="1" s="1"/>
  <c r="DA186" i="1"/>
  <c r="DB186" i="1" s="1"/>
  <c r="DC186" i="1" s="1"/>
  <c r="CV186" i="1"/>
  <c r="CW186" i="1" s="1"/>
  <c r="CX186" i="1" s="1"/>
  <c r="CQ186" i="1"/>
  <c r="CR186" i="1" s="1"/>
  <c r="CS186" i="1" s="1"/>
  <c r="CL186" i="1"/>
  <c r="CM186" i="1" s="1"/>
  <c r="CN186" i="1" s="1"/>
  <c r="CG186" i="1"/>
  <c r="CH186" i="1" s="1"/>
  <c r="CI186" i="1" s="1"/>
  <c r="CB186" i="1"/>
  <c r="CC186" i="1" s="1"/>
  <c r="CD186" i="1" s="1"/>
  <c r="BW186" i="1"/>
  <c r="BX186" i="1" s="1"/>
  <c r="BY186" i="1" s="1"/>
  <c r="BR186" i="1"/>
  <c r="BS186" i="1" s="1"/>
  <c r="BT186" i="1" s="1"/>
  <c r="BM186" i="1"/>
  <c r="BN186" i="1" s="1"/>
  <c r="BO186" i="1" s="1"/>
  <c r="BH186" i="1"/>
  <c r="BI186" i="1" s="1"/>
  <c r="BJ186" i="1" s="1"/>
  <c r="BC186" i="1"/>
  <c r="BD186" i="1" s="1"/>
  <c r="BE186" i="1" s="1"/>
  <c r="AX186" i="1"/>
  <c r="AY186" i="1" s="1"/>
  <c r="AZ186" i="1" s="1"/>
  <c r="AS186" i="1"/>
  <c r="AT186" i="1" s="1"/>
  <c r="AU186" i="1" s="1"/>
  <c r="AN186" i="1"/>
  <c r="AO186" i="1" s="1"/>
  <c r="AP186" i="1" s="1"/>
  <c r="AI186" i="1"/>
  <c r="AJ186" i="1" s="1"/>
  <c r="AK186" i="1" s="1"/>
  <c r="AD186" i="1"/>
  <c r="AE186" i="1" s="1"/>
  <c r="AF186" i="1" s="1"/>
  <c r="X186" i="1"/>
  <c r="Y186" i="1" s="1"/>
  <c r="Z186" i="1" s="1"/>
  <c r="R186" i="1"/>
  <c r="S186" i="1" s="1"/>
  <c r="T186" i="1" s="1"/>
  <c r="O186" i="1"/>
  <c r="J186" i="1"/>
  <c r="PZ185" i="1"/>
  <c r="PU185" i="1"/>
  <c r="PP185" i="1"/>
  <c r="PK185" i="1"/>
  <c r="PF185" i="1"/>
  <c r="PA185" i="1"/>
  <c r="OV185" i="1"/>
  <c r="OQ185" i="1"/>
  <c r="OL185" i="1"/>
  <c r="OG185" i="1"/>
  <c r="OB185" i="1"/>
  <c r="NW185" i="1"/>
  <c r="NR185" i="1"/>
  <c r="NM185" i="1"/>
  <c r="NH185" i="1"/>
  <c r="NC185" i="1"/>
  <c r="MX185" i="1"/>
  <c r="MS185" i="1"/>
  <c r="MN185" i="1"/>
  <c r="MI185" i="1"/>
  <c r="MD185" i="1"/>
  <c r="LY185" i="1"/>
  <c r="LT185" i="1"/>
  <c r="LO185" i="1"/>
  <c r="LH185" i="1"/>
  <c r="LI185" i="1" s="1"/>
  <c r="LJ185" i="1" s="1"/>
  <c r="LC185" i="1"/>
  <c r="LD185" i="1" s="1"/>
  <c r="LE185" i="1" s="1"/>
  <c r="KZ185" i="1"/>
  <c r="KS185" i="1"/>
  <c r="KT185" i="1" s="1"/>
  <c r="KU185" i="1" s="1"/>
  <c r="KP185" i="1"/>
  <c r="KK185" i="1"/>
  <c r="KF185" i="1"/>
  <c r="IZ185" i="1"/>
  <c r="JA185" i="1" s="1"/>
  <c r="JB185" i="1" s="1"/>
  <c r="IU185" i="1"/>
  <c r="IV185" i="1" s="1"/>
  <c r="IW185" i="1" s="1"/>
  <c r="IR185" i="1"/>
  <c r="IM185" i="1"/>
  <c r="IH185" i="1"/>
  <c r="IC185" i="1"/>
  <c r="HX185" i="1"/>
  <c r="HS185" i="1"/>
  <c r="HN185" i="1"/>
  <c r="HG185" i="1"/>
  <c r="HH185" i="1" s="1"/>
  <c r="HI185" i="1" s="1"/>
  <c r="HB185" i="1"/>
  <c r="HC185" i="1" s="1"/>
  <c r="HD185" i="1" s="1"/>
  <c r="GW185" i="1"/>
  <c r="GX185" i="1" s="1"/>
  <c r="GY185" i="1" s="1"/>
  <c r="GR185" i="1"/>
  <c r="GS185" i="1" s="1"/>
  <c r="GT185" i="1" s="1"/>
  <c r="GM185" i="1"/>
  <c r="GN185" i="1" s="1"/>
  <c r="GO185" i="1" s="1"/>
  <c r="GH185" i="1"/>
  <c r="GI185" i="1" s="1"/>
  <c r="GJ185" i="1" s="1"/>
  <c r="GC185" i="1"/>
  <c r="GD185" i="1" s="1"/>
  <c r="GE185" i="1" s="1"/>
  <c r="FX185" i="1"/>
  <c r="FY185" i="1" s="1"/>
  <c r="FZ185" i="1" s="1"/>
  <c r="FS185" i="1"/>
  <c r="FT185" i="1" s="1"/>
  <c r="FU185" i="1" s="1"/>
  <c r="FN185" i="1"/>
  <c r="FO185" i="1" s="1"/>
  <c r="FP185" i="1" s="1"/>
  <c r="FI185" i="1"/>
  <c r="FJ185" i="1" s="1"/>
  <c r="FK185" i="1" s="1"/>
  <c r="FD185" i="1"/>
  <c r="FE185" i="1" s="1"/>
  <c r="FF185" i="1" s="1"/>
  <c r="EY185" i="1"/>
  <c r="EZ185" i="1" s="1"/>
  <c r="FA185" i="1" s="1"/>
  <c r="ET185" i="1"/>
  <c r="EU185" i="1" s="1"/>
  <c r="EV185" i="1" s="1"/>
  <c r="EO185" i="1"/>
  <c r="EP185" i="1" s="1"/>
  <c r="EQ185" i="1" s="1"/>
  <c r="EJ185" i="1"/>
  <c r="EK185" i="1" s="1"/>
  <c r="EL185" i="1" s="1"/>
  <c r="EE185" i="1"/>
  <c r="EF185" i="1" s="1"/>
  <c r="EG185" i="1" s="1"/>
  <c r="DZ185" i="1"/>
  <c r="EA185" i="1" s="1"/>
  <c r="EB185" i="1" s="1"/>
  <c r="DU185" i="1"/>
  <c r="DV185" i="1" s="1"/>
  <c r="DW185" i="1" s="1"/>
  <c r="DP185" i="1"/>
  <c r="DQ185" i="1" s="1"/>
  <c r="DR185" i="1" s="1"/>
  <c r="DK185" i="1"/>
  <c r="DL185" i="1" s="1"/>
  <c r="DM185" i="1" s="1"/>
  <c r="DF185" i="1"/>
  <c r="DG185" i="1" s="1"/>
  <c r="DH185" i="1" s="1"/>
  <c r="DA185" i="1"/>
  <c r="DB185" i="1" s="1"/>
  <c r="DC185" i="1" s="1"/>
  <c r="CV185" i="1"/>
  <c r="CW185" i="1" s="1"/>
  <c r="CX185" i="1" s="1"/>
  <c r="CQ185" i="1"/>
  <c r="CR185" i="1" s="1"/>
  <c r="CS185" i="1" s="1"/>
  <c r="CL185" i="1"/>
  <c r="CM185" i="1" s="1"/>
  <c r="CN185" i="1" s="1"/>
  <c r="CG185" i="1"/>
  <c r="CH185" i="1" s="1"/>
  <c r="CI185" i="1" s="1"/>
  <c r="CB185" i="1"/>
  <c r="CC185" i="1" s="1"/>
  <c r="CD185" i="1" s="1"/>
  <c r="BW185" i="1"/>
  <c r="BX185" i="1" s="1"/>
  <c r="BY185" i="1" s="1"/>
  <c r="BR185" i="1"/>
  <c r="BS185" i="1" s="1"/>
  <c r="BT185" i="1" s="1"/>
  <c r="BM185" i="1"/>
  <c r="BN185" i="1" s="1"/>
  <c r="BO185" i="1" s="1"/>
  <c r="BH185" i="1"/>
  <c r="BI185" i="1" s="1"/>
  <c r="BJ185" i="1" s="1"/>
  <c r="BC185" i="1"/>
  <c r="BD185" i="1" s="1"/>
  <c r="BE185" i="1" s="1"/>
  <c r="AX185" i="1"/>
  <c r="AY185" i="1" s="1"/>
  <c r="AZ185" i="1" s="1"/>
  <c r="AS185" i="1"/>
  <c r="AT185" i="1" s="1"/>
  <c r="AU185" i="1" s="1"/>
  <c r="AN185" i="1"/>
  <c r="AO185" i="1" s="1"/>
  <c r="AP185" i="1" s="1"/>
  <c r="AI185" i="1"/>
  <c r="AJ185" i="1" s="1"/>
  <c r="AK185" i="1" s="1"/>
  <c r="AD185" i="1"/>
  <c r="AE185" i="1" s="1"/>
  <c r="AF185" i="1" s="1"/>
  <c r="X185" i="1"/>
  <c r="Y185" i="1" s="1"/>
  <c r="Z185" i="1" s="1"/>
  <c r="T185" i="1"/>
  <c r="O185" i="1"/>
  <c r="J185" i="1"/>
  <c r="PZ184" i="1"/>
  <c r="PU184" i="1"/>
  <c r="PP184" i="1"/>
  <c r="PK184" i="1"/>
  <c r="PF184" i="1"/>
  <c r="PA184" i="1"/>
  <c r="OV184" i="1"/>
  <c r="OQ184" i="1"/>
  <c r="OL184" i="1"/>
  <c r="OG184" i="1"/>
  <c r="OB184" i="1"/>
  <c r="NW184" i="1"/>
  <c r="NR184" i="1"/>
  <c r="NM184" i="1"/>
  <c r="NH184" i="1"/>
  <c r="NC184" i="1"/>
  <c r="MX184" i="1"/>
  <c r="MS184" i="1"/>
  <c r="MN184" i="1"/>
  <c r="MI184" i="1"/>
  <c r="MD184" i="1"/>
  <c r="LY184" i="1"/>
  <c r="LT184" i="1"/>
  <c r="LO184" i="1"/>
  <c r="LJ184" i="1"/>
  <c r="LE184" i="1"/>
  <c r="KZ184" i="1"/>
  <c r="KU184" i="1"/>
  <c r="KP184" i="1"/>
  <c r="KK184" i="1"/>
  <c r="KF184" i="1"/>
  <c r="IZ184" i="1"/>
  <c r="JA184" i="1" s="1"/>
  <c r="JB184" i="1" s="1"/>
  <c r="IU184" i="1"/>
  <c r="IV184" i="1" s="1"/>
  <c r="IW184" i="1" s="1"/>
  <c r="IP184" i="1"/>
  <c r="IQ184" i="1" s="1"/>
  <c r="IR184" i="1" s="1"/>
  <c r="IK184" i="1"/>
  <c r="IL184" i="1" s="1"/>
  <c r="IM184" i="1" s="1"/>
  <c r="IF184" i="1"/>
  <c r="IG184" i="1" s="1"/>
  <c r="IH184" i="1" s="1"/>
  <c r="IA184" i="1"/>
  <c r="IB184" i="1" s="1"/>
  <c r="IC184" i="1" s="1"/>
  <c r="HV184" i="1"/>
  <c r="HW184" i="1" s="1"/>
  <c r="HX184" i="1" s="1"/>
  <c r="HS184" i="1"/>
  <c r="HN184" i="1"/>
  <c r="HG184" i="1"/>
  <c r="HH184" i="1" s="1"/>
  <c r="HI184" i="1" s="1"/>
  <c r="HB184" i="1"/>
  <c r="HC184" i="1" s="1"/>
  <c r="HD184" i="1" s="1"/>
  <c r="GW184" i="1"/>
  <c r="GX184" i="1" s="1"/>
  <c r="GY184" i="1" s="1"/>
  <c r="GR184" i="1"/>
  <c r="GS184" i="1" s="1"/>
  <c r="GT184" i="1" s="1"/>
  <c r="GM184" i="1"/>
  <c r="GN184" i="1" s="1"/>
  <c r="GO184" i="1" s="1"/>
  <c r="GH184" i="1"/>
  <c r="GI184" i="1" s="1"/>
  <c r="GJ184" i="1" s="1"/>
  <c r="GC184" i="1"/>
  <c r="GD184" i="1" s="1"/>
  <c r="GE184" i="1" s="1"/>
  <c r="FX184" i="1"/>
  <c r="FY184" i="1" s="1"/>
  <c r="FZ184" i="1" s="1"/>
  <c r="FS184" i="1"/>
  <c r="FT184" i="1" s="1"/>
  <c r="FU184" i="1" s="1"/>
  <c r="FN184" i="1"/>
  <c r="FO184" i="1" s="1"/>
  <c r="FP184" i="1" s="1"/>
  <c r="FI184" i="1"/>
  <c r="FJ184" i="1" s="1"/>
  <c r="FK184" i="1" s="1"/>
  <c r="FD184" i="1"/>
  <c r="FE184" i="1" s="1"/>
  <c r="FF184" i="1" s="1"/>
  <c r="EY184" i="1"/>
  <c r="EZ184" i="1" s="1"/>
  <c r="FA184" i="1" s="1"/>
  <c r="ET184" i="1"/>
  <c r="EU184" i="1" s="1"/>
  <c r="EV184" i="1" s="1"/>
  <c r="EO184" i="1"/>
  <c r="EP184" i="1" s="1"/>
  <c r="EQ184" i="1" s="1"/>
  <c r="EJ184" i="1"/>
  <c r="EK184" i="1" s="1"/>
  <c r="EL184" i="1" s="1"/>
  <c r="EE184" i="1"/>
  <c r="EF184" i="1" s="1"/>
  <c r="EG184" i="1" s="1"/>
  <c r="DZ184" i="1"/>
  <c r="EA184" i="1" s="1"/>
  <c r="EB184" i="1" s="1"/>
  <c r="DU184" i="1"/>
  <c r="DV184" i="1" s="1"/>
  <c r="DW184" i="1" s="1"/>
  <c r="DP184" i="1"/>
  <c r="DQ184" i="1" s="1"/>
  <c r="DR184" i="1" s="1"/>
  <c r="DK184" i="1"/>
  <c r="DL184" i="1" s="1"/>
  <c r="DM184" i="1" s="1"/>
  <c r="DF184" i="1"/>
  <c r="DG184" i="1" s="1"/>
  <c r="DH184" i="1" s="1"/>
  <c r="DA184" i="1"/>
  <c r="DB184" i="1" s="1"/>
  <c r="DC184" i="1" s="1"/>
  <c r="CV184" i="1"/>
  <c r="CW184" i="1" s="1"/>
  <c r="CX184" i="1" s="1"/>
  <c r="CQ184" i="1"/>
  <c r="CR184" i="1" s="1"/>
  <c r="CS184" i="1" s="1"/>
  <c r="CL184" i="1"/>
  <c r="CM184" i="1" s="1"/>
  <c r="CN184" i="1" s="1"/>
  <c r="CG184" i="1"/>
  <c r="CH184" i="1" s="1"/>
  <c r="CI184" i="1" s="1"/>
  <c r="CB184" i="1"/>
  <c r="CC184" i="1" s="1"/>
  <c r="CD184" i="1" s="1"/>
  <c r="BW184" i="1"/>
  <c r="BX184" i="1" s="1"/>
  <c r="BY184" i="1" s="1"/>
  <c r="BR184" i="1"/>
  <c r="BS184" i="1" s="1"/>
  <c r="BT184" i="1" s="1"/>
  <c r="BM184" i="1"/>
  <c r="BN184" i="1" s="1"/>
  <c r="BO184" i="1" s="1"/>
  <c r="BH184" i="1"/>
  <c r="BI184" i="1" s="1"/>
  <c r="BJ184" i="1" s="1"/>
  <c r="BC184" i="1"/>
  <c r="BD184" i="1" s="1"/>
  <c r="BE184" i="1" s="1"/>
  <c r="AX184" i="1"/>
  <c r="AY184" i="1" s="1"/>
  <c r="AZ184" i="1" s="1"/>
  <c r="AS184" i="1"/>
  <c r="AT184" i="1" s="1"/>
  <c r="AU184" i="1" s="1"/>
  <c r="AN184" i="1"/>
  <c r="AO184" i="1" s="1"/>
  <c r="AP184" i="1" s="1"/>
  <c r="AI184" i="1"/>
  <c r="AJ184" i="1" s="1"/>
  <c r="AK184" i="1" s="1"/>
  <c r="AD184" i="1"/>
  <c r="AE184" i="1" s="1"/>
  <c r="AF184" i="1" s="1"/>
  <c r="X184" i="1"/>
  <c r="Y184" i="1" s="1"/>
  <c r="Z184" i="1" s="1"/>
  <c r="T184" i="1"/>
  <c r="O184" i="1"/>
  <c r="J184" i="1"/>
  <c r="PZ183" i="1"/>
  <c r="PU183" i="1"/>
  <c r="PP183" i="1"/>
  <c r="PK183" i="1"/>
  <c r="PF183" i="1"/>
  <c r="PA183" i="1"/>
  <c r="OV183" i="1"/>
  <c r="OQ183" i="1"/>
  <c r="OL183" i="1"/>
  <c r="OG183" i="1"/>
  <c r="OB183" i="1"/>
  <c r="NW183" i="1"/>
  <c r="NR183" i="1"/>
  <c r="NM183" i="1"/>
  <c r="NH183" i="1"/>
  <c r="NC183" i="1"/>
  <c r="MX183" i="1"/>
  <c r="MS183" i="1"/>
  <c r="MN183" i="1"/>
  <c r="MI183" i="1"/>
  <c r="MD183" i="1"/>
  <c r="LY183" i="1"/>
  <c r="LT183" i="1"/>
  <c r="LO183" i="1"/>
  <c r="LH183" i="1"/>
  <c r="LI183" i="1" s="1"/>
  <c r="LJ183" i="1" s="1"/>
  <c r="LE183" i="1"/>
  <c r="KX183" i="1"/>
  <c r="KY183" i="1" s="1"/>
  <c r="KZ183" i="1" s="1"/>
  <c r="KS183" i="1"/>
  <c r="KT183" i="1" s="1"/>
  <c r="KU183" i="1" s="1"/>
  <c r="KP183" i="1"/>
  <c r="KK183" i="1"/>
  <c r="KF183" i="1"/>
  <c r="IZ183" i="1"/>
  <c r="JA183" i="1" s="1"/>
  <c r="JB183" i="1" s="1"/>
  <c r="IU183" i="1"/>
  <c r="IV183" i="1" s="1"/>
  <c r="IW183" i="1" s="1"/>
  <c r="IP183" i="1"/>
  <c r="IQ183" i="1" s="1"/>
  <c r="IR183" i="1" s="1"/>
  <c r="IK183" i="1"/>
  <c r="IL183" i="1" s="1"/>
  <c r="IM183" i="1" s="1"/>
  <c r="IF183" i="1"/>
  <c r="IG183" i="1" s="1"/>
  <c r="IH183" i="1" s="1"/>
  <c r="IA183" i="1"/>
  <c r="IB183" i="1" s="1"/>
  <c r="IC183" i="1" s="1"/>
  <c r="HV183" i="1"/>
  <c r="HW183" i="1" s="1"/>
  <c r="HX183" i="1" s="1"/>
  <c r="HS183" i="1"/>
  <c r="HL183" i="1"/>
  <c r="HM183" i="1" s="1"/>
  <c r="HN183" i="1" s="1"/>
  <c r="HG183" i="1"/>
  <c r="HH183" i="1" s="1"/>
  <c r="HI183" i="1" s="1"/>
  <c r="HB183" i="1"/>
  <c r="HC183" i="1" s="1"/>
  <c r="HD183" i="1" s="1"/>
  <c r="GW183" i="1"/>
  <c r="GX183" i="1" s="1"/>
  <c r="GY183" i="1" s="1"/>
  <c r="GR183" i="1"/>
  <c r="GS183" i="1" s="1"/>
  <c r="GT183" i="1" s="1"/>
  <c r="GM183" i="1"/>
  <c r="GN183" i="1" s="1"/>
  <c r="GO183" i="1" s="1"/>
  <c r="GH183" i="1"/>
  <c r="GI183" i="1" s="1"/>
  <c r="GJ183" i="1" s="1"/>
  <c r="GC183" i="1"/>
  <c r="GD183" i="1" s="1"/>
  <c r="GE183" i="1" s="1"/>
  <c r="FX183" i="1"/>
  <c r="FY183" i="1" s="1"/>
  <c r="FZ183" i="1" s="1"/>
  <c r="FS183" i="1"/>
  <c r="FT183" i="1" s="1"/>
  <c r="FU183" i="1" s="1"/>
  <c r="FN183" i="1"/>
  <c r="FO183" i="1" s="1"/>
  <c r="FP183" i="1" s="1"/>
  <c r="FI183" i="1"/>
  <c r="FJ183" i="1" s="1"/>
  <c r="FK183" i="1" s="1"/>
  <c r="FD183" i="1"/>
  <c r="FE183" i="1" s="1"/>
  <c r="FF183" i="1" s="1"/>
  <c r="EY183" i="1"/>
  <c r="EZ183" i="1" s="1"/>
  <c r="FA183" i="1" s="1"/>
  <c r="ET183" i="1"/>
  <c r="EU183" i="1" s="1"/>
  <c r="EV183" i="1" s="1"/>
  <c r="EO183" i="1"/>
  <c r="EP183" i="1" s="1"/>
  <c r="EQ183" i="1" s="1"/>
  <c r="EJ183" i="1"/>
  <c r="EK183" i="1" s="1"/>
  <c r="EL183" i="1" s="1"/>
  <c r="EE183" i="1"/>
  <c r="EF183" i="1" s="1"/>
  <c r="EG183" i="1" s="1"/>
  <c r="DZ183" i="1"/>
  <c r="EA183" i="1" s="1"/>
  <c r="EB183" i="1" s="1"/>
  <c r="DU183" i="1"/>
  <c r="DV183" i="1" s="1"/>
  <c r="DW183" i="1" s="1"/>
  <c r="DP183" i="1"/>
  <c r="DQ183" i="1" s="1"/>
  <c r="DR183" i="1" s="1"/>
  <c r="DK183" i="1"/>
  <c r="DL183" i="1" s="1"/>
  <c r="DM183" i="1" s="1"/>
  <c r="DF183" i="1"/>
  <c r="DG183" i="1" s="1"/>
  <c r="DH183" i="1" s="1"/>
  <c r="DA183" i="1"/>
  <c r="DB183" i="1" s="1"/>
  <c r="DC183" i="1" s="1"/>
  <c r="CV183" i="1"/>
  <c r="CW183" i="1" s="1"/>
  <c r="CX183" i="1" s="1"/>
  <c r="CQ183" i="1"/>
  <c r="CR183" i="1" s="1"/>
  <c r="CS183" i="1" s="1"/>
  <c r="CL183" i="1"/>
  <c r="CM183" i="1" s="1"/>
  <c r="CN183" i="1" s="1"/>
  <c r="CG183" i="1"/>
  <c r="CH183" i="1" s="1"/>
  <c r="CI183" i="1" s="1"/>
  <c r="CB183" i="1"/>
  <c r="CC183" i="1" s="1"/>
  <c r="CD183" i="1" s="1"/>
  <c r="BW183" i="1"/>
  <c r="BX183" i="1" s="1"/>
  <c r="BY183" i="1" s="1"/>
  <c r="BR183" i="1"/>
  <c r="BS183" i="1" s="1"/>
  <c r="BT183" i="1" s="1"/>
  <c r="BM183" i="1"/>
  <c r="BN183" i="1" s="1"/>
  <c r="BO183" i="1" s="1"/>
  <c r="BH183" i="1"/>
  <c r="BI183" i="1" s="1"/>
  <c r="BJ183" i="1" s="1"/>
  <c r="BC183" i="1"/>
  <c r="BD183" i="1" s="1"/>
  <c r="BE183" i="1" s="1"/>
  <c r="AX183" i="1"/>
  <c r="AY183" i="1" s="1"/>
  <c r="AZ183" i="1" s="1"/>
  <c r="AS183" i="1"/>
  <c r="AT183" i="1" s="1"/>
  <c r="AU183" i="1" s="1"/>
  <c r="AN183" i="1"/>
  <c r="AO183" i="1" s="1"/>
  <c r="AP183" i="1" s="1"/>
  <c r="AI183" i="1"/>
  <c r="AJ183" i="1" s="1"/>
  <c r="AK183" i="1" s="1"/>
  <c r="AD183" i="1"/>
  <c r="AE183" i="1" s="1"/>
  <c r="AF183" i="1" s="1"/>
  <c r="X183" i="1"/>
  <c r="Y183" i="1" s="1"/>
  <c r="Z183" i="1" s="1"/>
  <c r="T183" i="1"/>
  <c r="O183" i="1"/>
  <c r="J183" i="1"/>
  <c r="PZ182" i="1"/>
  <c r="PU182" i="1"/>
  <c r="PP182" i="1"/>
  <c r="PK182" i="1"/>
  <c r="PF182" i="1"/>
  <c r="PA182" i="1"/>
  <c r="OV182" i="1"/>
  <c r="OQ182" i="1"/>
  <c r="OL182" i="1"/>
  <c r="OE182" i="1"/>
  <c r="OF182" i="1" s="1"/>
  <c r="OG182" i="1" s="1"/>
  <c r="OB182" i="1"/>
  <c r="NW182" i="1"/>
  <c r="NR182" i="1"/>
  <c r="NM182" i="1"/>
  <c r="NH182" i="1"/>
  <c r="NC182" i="1"/>
  <c r="MX182" i="1"/>
  <c r="MS182" i="1"/>
  <c r="ML182" i="1"/>
  <c r="MM182" i="1" s="1"/>
  <c r="MN182" i="1" s="1"/>
  <c r="MG182" i="1"/>
  <c r="MH182" i="1" s="1"/>
  <c r="MI182" i="1" s="1"/>
  <c r="MB182" i="1"/>
  <c r="MC182" i="1" s="1"/>
  <c r="MD182" i="1" s="1"/>
  <c r="LW182" i="1"/>
  <c r="LX182" i="1" s="1"/>
  <c r="LY182" i="1" s="1"/>
  <c r="LT182" i="1"/>
  <c r="LO182" i="1"/>
  <c r="LJ182" i="1"/>
  <c r="LC182" i="1"/>
  <c r="LD182" i="1" s="1"/>
  <c r="LE182" i="1" s="1"/>
  <c r="KX182" i="1"/>
  <c r="KY182" i="1" s="1"/>
  <c r="KZ182" i="1" s="1"/>
  <c r="KU182" i="1"/>
  <c r="KN182" i="1"/>
  <c r="KO182" i="1" s="1"/>
  <c r="KP182" i="1" s="1"/>
  <c r="KK182" i="1"/>
  <c r="KF182" i="1"/>
  <c r="JB182" i="1"/>
  <c r="IW182" i="1"/>
  <c r="IR182" i="1"/>
  <c r="IM182" i="1"/>
  <c r="IH182" i="1"/>
  <c r="IC182" i="1"/>
  <c r="HX182" i="1"/>
  <c r="HS182" i="1"/>
  <c r="HN182" i="1"/>
  <c r="HG182" i="1"/>
  <c r="HH182" i="1" s="1"/>
  <c r="HI182" i="1" s="1"/>
  <c r="HB182" i="1"/>
  <c r="HC182" i="1" s="1"/>
  <c r="HD182" i="1" s="1"/>
  <c r="GW182" i="1"/>
  <c r="GX182" i="1" s="1"/>
  <c r="GY182" i="1" s="1"/>
  <c r="GR182" i="1"/>
  <c r="GS182" i="1" s="1"/>
  <c r="GT182" i="1" s="1"/>
  <c r="GM182" i="1"/>
  <c r="GN182" i="1" s="1"/>
  <c r="GO182" i="1" s="1"/>
  <c r="GH182" i="1"/>
  <c r="GI182" i="1" s="1"/>
  <c r="GJ182" i="1" s="1"/>
  <c r="GC182" i="1"/>
  <c r="GD182" i="1" s="1"/>
  <c r="GE182" i="1" s="1"/>
  <c r="FX182" i="1"/>
  <c r="FY182" i="1" s="1"/>
  <c r="FZ182" i="1" s="1"/>
  <c r="FS182" i="1"/>
  <c r="FT182" i="1" s="1"/>
  <c r="FU182" i="1" s="1"/>
  <c r="FN182" i="1"/>
  <c r="FO182" i="1" s="1"/>
  <c r="FP182" i="1" s="1"/>
  <c r="FI182" i="1"/>
  <c r="FJ182" i="1" s="1"/>
  <c r="FK182" i="1" s="1"/>
  <c r="FD182" i="1"/>
  <c r="FE182" i="1" s="1"/>
  <c r="FF182" i="1" s="1"/>
  <c r="EY182" i="1"/>
  <c r="EZ182" i="1" s="1"/>
  <c r="FA182" i="1" s="1"/>
  <c r="ET182" i="1"/>
  <c r="EU182" i="1" s="1"/>
  <c r="EV182" i="1" s="1"/>
  <c r="EO182" i="1"/>
  <c r="EP182" i="1" s="1"/>
  <c r="EQ182" i="1" s="1"/>
  <c r="EJ182" i="1"/>
  <c r="EK182" i="1" s="1"/>
  <c r="EL182" i="1" s="1"/>
  <c r="EE182" i="1"/>
  <c r="EF182" i="1" s="1"/>
  <c r="EG182" i="1" s="1"/>
  <c r="DZ182" i="1"/>
  <c r="EA182" i="1" s="1"/>
  <c r="EB182" i="1" s="1"/>
  <c r="DU182" i="1"/>
  <c r="DV182" i="1" s="1"/>
  <c r="DW182" i="1" s="1"/>
  <c r="DP182" i="1"/>
  <c r="DQ182" i="1" s="1"/>
  <c r="DR182" i="1" s="1"/>
  <c r="DK182" i="1"/>
  <c r="DL182" i="1" s="1"/>
  <c r="DM182" i="1" s="1"/>
  <c r="DF182" i="1"/>
  <c r="DG182" i="1" s="1"/>
  <c r="DH182" i="1" s="1"/>
  <c r="DA182" i="1"/>
  <c r="DB182" i="1" s="1"/>
  <c r="DC182" i="1" s="1"/>
  <c r="CV182" i="1"/>
  <c r="CW182" i="1" s="1"/>
  <c r="CX182" i="1" s="1"/>
  <c r="CQ182" i="1"/>
  <c r="CR182" i="1" s="1"/>
  <c r="CS182" i="1" s="1"/>
  <c r="CL182" i="1"/>
  <c r="CM182" i="1" s="1"/>
  <c r="CN182" i="1" s="1"/>
  <c r="CG182" i="1"/>
  <c r="CH182" i="1" s="1"/>
  <c r="CI182" i="1" s="1"/>
  <c r="CB182" i="1"/>
  <c r="CC182" i="1" s="1"/>
  <c r="CD182" i="1" s="1"/>
  <c r="BW182" i="1"/>
  <c r="BX182" i="1" s="1"/>
  <c r="BY182" i="1" s="1"/>
  <c r="BR182" i="1"/>
  <c r="BS182" i="1" s="1"/>
  <c r="BT182" i="1" s="1"/>
  <c r="BM182" i="1"/>
  <c r="BN182" i="1" s="1"/>
  <c r="BO182" i="1" s="1"/>
  <c r="BH182" i="1"/>
  <c r="BI182" i="1" s="1"/>
  <c r="BJ182" i="1" s="1"/>
  <c r="BC182" i="1"/>
  <c r="BD182" i="1" s="1"/>
  <c r="BE182" i="1" s="1"/>
  <c r="AX182" i="1"/>
  <c r="AY182" i="1" s="1"/>
  <c r="AZ182" i="1" s="1"/>
  <c r="AS182" i="1"/>
  <c r="AT182" i="1" s="1"/>
  <c r="AU182" i="1" s="1"/>
  <c r="AN182" i="1"/>
  <c r="AO182" i="1" s="1"/>
  <c r="AP182" i="1" s="1"/>
  <c r="AI182" i="1"/>
  <c r="AJ182" i="1" s="1"/>
  <c r="AK182" i="1" s="1"/>
  <c r="AD182" i="1"/>
  <c r="AE182" i="1" s="1"/>
  <c r="AF182" i="1" s="1"/>
  <c r="X182" i="1"/>
  <c r="Y182" i="1" s="1"/>
  <c r="Z182" i="1" s="1"/>
  <c r="R182" i="1"/>
  <c r="S182" i="1" s="1"/>
  <c r="T182" i="1" s="1"/>
  <c r="O182" i="1"/>
  <c r="J182" i="1"/>
  <c r="PZ181" i="1"/>
  <c r="PU181" i="1"/>
  <c r="PP181" i="1"/>
  <c r="PK181" i="1"/>
  <c r="PF181" i="1"/>
  <c r="PA181" i="1"/>
  <c r="OV181" i="1"/>
  <c r="OQ181" i="1"/>
  <c r="OL181" i="1"/>
  <c r="OG181" i="1"/>
  <c r="OB181" i="1"/>
  <c r="NW181" i="1"/>
  <c r="NR181" i="1"/>
  <c r="NM181" i="1"/>
  <c r="NH181" i="1"/>
  <c r="NC181" i="1"/>
  <c r="MV181" i="1"/>
  <c r="MW181" i="1" s="1"/>
  <c r="MX181" i="1" s="1"/>
  <c r="MQ181" i="1"/>
  <c r="MR181" i="1" s="1"/>
  <c r="MS181" i="1" s="1"/>
  <c r="MN181" i="1"/>
  <c r="MI181" i="1"/>
  <c r="MD181" i="1"/>
  <c r="LY181" i="1"/>
  <c r="LT181" i="1"/>
  <c r="LO181" i="1"/>
  <c r="LH181" i="1"/>
  <c r="LI181" i="1" s="1"/>
  <c r="LJ181" i="1" s="1"/>
  <c r="LC181" i="1"/>
  <c r="LD181" i="1" s="1"/>
  <c r="LE181" i="1" s="1"/>
  <c r="KX181" i="1"/>
  <c r="KY181" i="1" s="1"/>
  <c r="KZ181" i="1" s="1"/>
  <c r="KS181" i="1"/>
  <c r="KT181" i="1" s="1"/>
  <c r="KU181" i="1" s="1"/>
  <c r="KP181" i="1"/>
  <c r="KK181" i="1"/>
  <c r="KF181" i="1"/>
  <c r="IZ181" i="1"/>
  <c r="JA181" i="1" s="1"/>
  <c r="JB181" i="1" s="1"/>
  <c r="IU181" i="1"/>
  <c r="IV181" i="1" s="1"/>
  <c r="IW181" i="1" s="1"/>
  <c r="IP181" i="1"/>
  <c r="IQ181" i="1" s="1"/>
  <c r="IR181" i="1" s="1"/>
  <c r="IK181" i="1"/>
  <c r="IL181" i="1" s="1"/>
  <c r="IM181" i="1" s="1"/>
  <c r="IF181" i="1"/>
  <c r="IG181" i="1" s="1"/>
  <c r="IH181" i="1" s="1"/>
  <c r="IA181" i="1"/>
  <c r="IB181" i="1" s="1"/>
  <c r="IC181" i="1" s="1"/>
  <c r="HV181" i="1"/>
  <c r="HW181" i="1" s="1"/>
  <c r="HX181" i="1" s="1"/>
  <c r="HQ181" i="1"/>
  <c r="HR181" i="1" s="1"/>
  <c r="HS181" i="1" s="1"/>
  <c r="HL181" i="1"/>
  <c r="HM181" i="1" s="1"/>
  <c r="HN181" i="1" s="1"/>
  <c r="HG181" i="1"/>
  <c r="HH181" i="1" s="1"/>
  <c r="HI181" i="1" s="1"/>
  <c r="HB181" i="1"/>
  <c r="HC181" i="1" s="1"/>
  <c r="HD181" i="1" s="1"/>
  <c r="GW181" i="1"/>
  <c r="GX181" i="1" s="1"/>
  <c r="GY181" i="1" s="1"/>
  <c r="GR181" i="1"/>
  <c r="GS181" i="1" s="1"/>
  <c r="GT181" i="1" s="1"/>
  <c r="GM181" i="1"/>
  <c r="GN181" i="1" s="1"/>
  <c r="GO181" i="1" s="1"/>
  <c r="GH181" i="1"/>
  <c r="GI181" i="1" s="1"/>
  <c r="GJ181" i="1" s="1"/>
  <c r="GC181" i="1"/>
  <c r="GD181" i="1" s="1"/>
  <c r="GE181" i="1" s="1"/>
  <c r="FX181" i="1"/>
  <c r="FY181" i="1" s="1"/>
  <c r="FZ181" i="1" s="1"/>
  <c r="FS181" i="1"/>
  <c r="FT181" i="1" s="1"/>
  <c r="FU181" i="1" s="1"/>
  <c r="FN181" i="1"/>
  <c r="FO181" i="1" s="1"/>
  <c r="FP181" i="1" s="1"/>
  <c r="FI181" i="1"/>
  <c r="FJ181" i="1" s="1"/>
  <c r="FK181" i="1" s="1"/>
  <c r="FD181" i="1"/>
  <c r="FE181" i="1" s="1"/>
  <c r="FF181" i="1" s="1"/>
  <c r="EY181" i="1"/>
  <c r="EZ181" i="1" s="1"/>
  <c r="FA181" i="1" s="1"/>
  <c r="ET181" i="1"/>
  <c r="EU181" i="1" s="1"/>
  <c r="EV181" i="1" s="1"/>
  <c r="EO181" i="1"/>
  <c r="EP181" i="1" s="1"/>
  <c r="EQ181" i="1" s="1"/>
  <c r="EJ181" i="1"/>
  <c r="EK181" i="1" s="1"/>
  <c r="EL181" i="1" s="1"/>
  <c r="EE181" i="1"/>
  <c r="EF181" i="1" s="1"/>
  <c r="EG181" i="1" s="1"/>
  <c r="DZ181" i="1"/>
  <c r="EA181" i="1" s="1"/>
  <c r="EB181" i="1" s="1"/>
  <c r="DU181" i="1"/>
  <c r="DV181" i="1" s="1"/>
  <c r="DW181" i="1" s="1"/>
  <c r="DP181" i="1"/>
  <c r="DQ181" i="1" s="1"/>
  <c r="DR181" i="1" s="1"/>
  <c r="DK181" i="1"/>
  <c r="DL181" i="1" s="1"/>
  <c r="DM181" i="1" s="1"/>
  <c r="DF181" i="1"/>
  <c r="DG181" i="1" s="1"/>
  <c r="DH181" i="1" s="1"/>
  <c r="DA181" i="1"/>
  <c r="DB181" i="1" s="1"/>
  <c r="DC181" i="1" s="1"/>
  <c r="CV181" i="1"/>
  <c r="CW181" i="1" s="1"/>
  <c r="CX181" i="1" s="1"/>
  <c r="CQ181" i="1"/>
  <c r="CR181" i="1" s="1"/>
  <c r="CS181" i="1" s="1"/>
  <c r="CL181" i="1"/>
  <c r="CM181" i="1" s="1"/>
  <c r="CN181" i="1" s="1"/>
  <c r="CG181" i="1"/>
  <c r="CH181" i="1" s="1"/>
  <c r="CI181" i="1" s="1"/>
  <c r="CB181" i="1"/>
  <c r="CC181" i="1" s="1"/>
  <c r="CD181" i="1" s="1"/>
  <c r="BW181" i="1"/>
  <c r="BX181" i="1" s="1"/>
  <c r="BY181" i="1" s="1"/>
  <c r="BR181" i="1"/>
  <c r="BS181" i="1" s="1"/>
  <c r="BT181" i="1" s="1"/>
  <c r="BM181" i="1"/>
  <c r="BN181" i="1" s="1"/>
  <c r="BO181" i="1" s="1"/>
  <c r="BH181" i="1"/>
  <c r="BI181" i="1" s="1"/>
  <c r="BJ181" i="1" s="1"/>
  <c r="BC181" i="1"/>
  <c r="BD181" i="1" s="1"/>
  <c r="BE181" i="1" s="1"/>
  <c r="AX181" i="1"/>
  <c r="AY181" i="1" s="1"/>
  <c r="AZ181" i="1" s="1"/>
  <c r="AS181" i="1"/>
  <c r="AT181" i="1" s="1"/>
  <c r="AU181" i="1" s="1"/>
  <c r="AN181" i="1"/>
  <c r="AO181" i="1" s="1"/>
  <c r="AP181" i="1" s="1"/>
  <c r="AI181" i="1"/>
  <c r="AJ181" i="1" s="1"/>
  <c r="AK181" i="1" s="1"/>
  <c r="AD181" i="1"/>
  <c r="AE181" i="1" s="1"/>
  <c r="AF181" i="1" s="1"/>
  <c r="X181" i="1"/>
  <c r="Y181" i="1" s="1"/>
  <c r="Z181" i="1" s="1"/>
  <c r="T181" i="1"/>
  <c r="O181" i="1"/>
  <c r="J181" i="1"/>
  <c r="PZ180" i="1"/>
  <c r="PU180" i="1"/>
  <c r="PP180" i="1"/>
  <c r="PK180" i="1"/>
  <c r="PF180" i="1"/>
  <c r="PA180" i="1"/>
  <c r="OV180" i="1"/>
  <c r="OQ180" i="1"/>
  <c r="OL180" i="1"/>
  <c r="OG180" i="1"/>
  <c r="OB180" i="1"/>
  <c r="NW180" i="1"/>
  <c r="NR180" i="1"/>
  <c r="NM180" i="1"/>
  <c r="NH180" i="1"/>
  <c r="NC180" i="1"/>
  <c r="MX180" i="1"/>
  <c r="MS180" i="1"/>
  <c r="MN180" i="1"/>
  <c r="MI180" i="1"/>
  <c r="MD180" i="1"/>
  <c r="LY180" i="1"/>
  <c r="LT180" i="1"/>
  <c r="LO180" i="1"/>
  <c r="LJ180" i="1"/>
  <c r="LE180" i="1"/>
  <c r="KZ180" i="1"/>
  <c r="KU180" i="1"/>
  <c r="KP180" i="1"/>
  <c r="KK180" i="1"/>
  <c r="KF180" i="1"/>
  <c r="JB180" i="1"/>
  <c r="IW180" i="1"/>
  <c r="IR180" i="1"/>
  <c r="IM180" i="1"/>
  <c r="IH180" i="1"/>
  <c r="IC180" i="1"/>
  <c r="HX180" i="1"/>
  <c r="HS180" i="1"/>
  <c r="HN180" i="1"/>
  <c r="HG180" i="1"/>
  <c r="HH180" i="1" s="1"/>
  <c r="HI180" i="1" s="1"/>
  <c r="HB180" i="1"/>
  <c r="HC180" i="1" s="1"/>
  <c r="HD180" i="1" s="1"/>
  <c r="GW180" i="1"/>
  <c r="GX180" i="1" s="1"/>
  <c r="GY180" i="1" s="1"/>
  <c r="GR180" i="1"/>
  <c r="GS180" i="1" s="1"/>
  <c r="GT180" i="1" s="1"/>
  <c r="GM180" i="1"/>
  <c r="GN180" i="1" s="1"/>
  <c r="GO180" i="1" s="1"/>
  <c r="GH180" i="1"/>
  <c r="GI180" i="1" s="1"/>
  <c r="GJ180" i="1" s="1"/>
  <c r="GC180" i="1"/>
  <c r="GD180" i="1" s="1"/>
  <c r="GE180" i="1" s="1"/>
  <c r="FX180" i="1"/>
  <c r="FY180" i="1" s="1"/>
  <c r="FZ180" i="1" s="1"/>
  <c r="FS180" i="1"/>
  <c r="FT180" i="1" s="1"/>
  <c r="FU180" i="1" s="1"/>
  <c r="FN180" i="1"/>
  <c r="FO180" i="1" s="1"/>
  <c r="FP180" i="1" s="1"/>
  <c r="FI180" i="1"/>
  <c r="FJ180" i="1" s="1"/>
  <c r="FK180" i="1" s="1"/>
  <c r="FD180" i="1"/>
  <c r="FE180" i="1" s="1"/>
  <c r="FF180" i="1" s="1"/>
  <c r="EY180" i="1"/>
  <c r="EZ180" i="1" s="1"/>
  <c r="FA180" i="1" s="1"/>
  <c r="ET180" i="1"/>
  <c r="EU180" i="1" s="1"/>
  <c r="EV180" i="1" s="1"/>
  <c r="EO180" i="1"/>
  <c r="EP180" i="1" s="1"/>
  <c r="EQ180" i="1" s="1"/>
  <c r="EJ180" i="1"/>
  <c r="EK180" i="1" s="1"/>
  <c r="EL180" i="1" s="1"/>
  <c r="EE180" i="1"/>
  <c r="EF180" i="1" s="1"/>
  <c r="EG180" i="1" s="1"/>
  <c r="DZ180" i="1"/>
  <c r="EA180" i="1" s="1"/>
  <c r="EB180" i="1" s="1"/>
  <c r="DU180" i="1"/>
  <c r="DV180" i="1" s="1"/>
  <c r="DW180" i="1" s="1"/>
  <c r="DP180" i="1"/>
  <c r="DQ180" i="1" s="1"/>
  <c r="DR180" i="1" s="1"/>
  <c r="DK180" i="1"/>
  <c r="DL180" i="1" s="1"/>
  <c r="DM180" i="1" s="1"/>
  <c r="DF180" i="1"/>
  <c r="DG180" i="1" s="1"/>
  <c r="DH180" i="1" s="1"/>
  <c r="DA180" i="1"/>
  <c r="DB180" i="1" s="1"/>
  <c r="DC180" i="1" s="1"/>
  <c r="CV180" i="1"/>
  <c r="CW180" i="1" s="1"/>
  <c r="CX180" i="1" s="1"/>
  <c r="CQ180" i="1"/>
  <c r="CR180" i="1" s="1"/>
  <c r="CS180" i="1" s="1"/>
  <c r="CL180" i="1"/>
  <c r="CM180" i="1" s="1"/>
  <c r="CN180" i="1" s="1"/>
  <c r="CG180" i="1"/>
  <c r="CH180" i="1" s="1"/>
  <c r="CI180" i="1" s="1"/>
  <c r="CB180" i="1"/>
  <c r="CC180" i="1" s="1"/>
  <c r="CD180" i="1" s="1"/>
  <c r="BW180" i="1"/>
  <c r="BX180" i="1" s="1"/>
  <c r="BY180" i="1" s="1"/>
  <c r="BR180" i="1"/>
  <c r="BS180" i="1" s="1"/>
  <c r="BT180" i="1" s="1"/>
  <c r="BM180" i="1"/>
  <c r="BN180" i="1" s="1"/>
  <c r="BO180" i="1" s="1"/>
  <c r="BH180" i="1"/>
  <c r="BI180" i="1" s="1"/>
  <c r="BJ180" i="1" s="1"/>
  <c r="BC180" i="1"/>
  <c r="BD180" i="1" s="1"/>
  <c r="BE180" i="1" s="1"/>
  <c r="AX180" i="1"/>
  <c r="AY180" i="1" s="1"/>
  <c r="AZ180" i="1" s="1"/>
  <c r="AS180" i="1"/>
  <c r="AT180" i="1" s="1"/>
  <c r="AU180" i="1" s="1"/>
  <c r="AN180" i="1"/>
  <c r="AO180" i="1" s="1"/>
  <c r="AP180" i="1" s="1"/>
  <c r="AI180" i="1"/>
  <c r="AJ180" i="1" s="1"/>
  <c r="AK180" i="1" s="1"/>
  <c r="AD180" i="1"/>
  <c r="AE180" i="1" s="1"/>
  <c r="AF180" i="1" s="1"/>
  <c r="X180" i="1"/>
  <c r="Y180" i="1" s="1"/>
  <c r="Z180" i="1" s="1"/>
  <c r="T180" i="1"/>
  <c r="O180" i="1"/>
  <c r="J180" i="1"/>
  <c r="PZ179" i="1"/>
  <c r="PU179" i="1"/>
  <c r="PP179" i="1"/>
  <c r="PK179" i="1"/>
  <c r="PF179" i="1"/>
  <c r="PA179" i="1"/>
  <c r="OV179" i="1"/>
  <c r="OQ179" i="1"/>
  <c r="OL179" i="1"/>
  <c r="OG179" i="1"/>
  <c r="OB179" i="1"/>
  <c r="NW179" i="1"/>
  <c r="NR179" i="1"/>
  <c r="NM179" i="1"/>
  <c r="NH179" i="1"/>
  <c r="NC179" i="1"/>
  <c r="MX179" i="1"/>
  <c r="MS179" i="1"/>
  <c r="MN179" i="1"/>
  <c r="MI179" i="1"/>
  <c r="MD179" i="1"/>
  <c r="LY179" i="1"/>
  <c r="LT179" i="1"/>
  <c r="LO179" i="1"/>
  <c r="LJ179" i="1"/>
  <c r="LE179" i="1"/>
  <c r="KZ179" i="1"/>
  <c r="KU179" i="1"/>
  <c r="KP179" i="1"/>
  <c r="KK179" i="1"/>
  <c r="KF179" i="1"/>
  <c r="JB179" i="1"/>
  <c r="IW179" i="1"/>
  <c r="IR179" i="1"/>
  <c r="IM179" i="1"/>
  <c r="IH179" i="1"/>
  <c r="IC179" i="1"/>
  <c r="HX179" i="1"/>
  <c r="HS179" i="1"/>
  <c r="HN179" i="1"/>
  <c r="HI179" i="1"/>
  <c r="HB179" i="1"/>
  <c r="HC179" i="1" s="1"/>
  <c r="HD179" i="1" s="1"/>
  <c r="GW179" i="1"/>
  <c r="GX179" i="1" s="1"/>
  <c r="GY179" i="1" s="1"/>
  <c r="GR179" i="1"/>
  <c r="GS179" i="1" s="1"/>
  <c r="GT179" i="1" s="1"/>
  <c r="GM179" i="1"/>
  <c r="GN179" i="1" s="1"/>
  <c r="GO179" i="1" s="1"/>
  <c r="GH179" i="1"/>
  <c r="GI179" i="1" s="1"/>
  <c r="GJ179" i="1" s="1"/>
  <c r="GC179" i="1"/>
  <c r="GD179" i="1" s="1"/>
  <c r="GE179" i="1" s="1"/>
  <c r="FX179" i="1"/>
  <c r="FY179" i="1" s="1"/>
  <c r="FZ179" i="1" s="1"/>
  <c r="FS179" i="1"/>
  <c r="FT179" i="1" s="1"/>
  <c r="FU179" i="1" s="1"/>
  <c r="FN179" i="1"/>
  <c r="FO179" i="1" s="1"/>
  <c r="FP179" i="1" s="1"/>
  <c r="FI179" i="1"/>
  <c r="FJ179" i="1" s="1"/>
  <c r="FK179" i="1" s="1"/>
  <c r="FD179" i="1"/>
  <c r="FE179" i="1" s="1"/>
  <c r="FF179" i="1" s="1"/>
  <c r="EY179" i="1"/>
  <c r="EZ179" i="1" s="1"/>
  <c r="FA179" i="1" s="1"/>
  <c r="ET179" i="1"/>
  <c r="EU179" i="1" s="1"/>
  <c r="EV179" i="1" s="1"/>
  <c r="EO179" i="1"/>
  <c r="EP179" i="1" s="1"/>
  <c r="EQ179" i="1" s="1"/>
  <c r="EJ179" i="1"/>
  <c r="EK179" i="1" s="1"/>
  <c r="EL179" i="1" s="1"/>
  <c r="EE179" i="1"/>
  <c r="EF179" i="1" s="1"/>
  <c r="EG179" i="1" s="1"/>
  <c r="DZ179" i="1"/>
  <c r="EA179" i="1" s="1"/>
  <c r="EB179" i="1" s="1"/>
  <c r="DU179" i="1"/>
  <c r="DV179" i="1" s="1"/>
  <c r="DW179" i="1" s="1"/>
  <c r="DP179" i="1"/>
  <c r="DQ179" i="1" s="1"/>
  <c r="DR179" i="1" s="1"/>
  <c r="DK179" i="1"/>
  <c r="DL179" i="1" s="1"/>
  <c r="DM179" i="1" s="1"/>
  <c r="DF179" i="1"/>
  <c r="DG179" i="1" s="1"/>
  <c r="DH179" i="1" s="1"/>
  <c r="DA179" i="1"/>
  <c r="DB179" i="1" s="1"/>
  <c r="DC179" i="1" s="1"/>
  <c r="CV179" i="1"/>
  <c r="CW179" i="1" s="1"/>
  <c r="CX179" i="1" s="1"/>
  <c r="CQ179" i="1"/>
  <c r="CR179" i="1" s="1"/>
  <c r="CS179" i="1" s="1"/>
  <c r="CL179" i="1"/>
  <c r="CM179" i="1" s="1"/>
  <c r="CN179" i="1" s="1"/>
  <c r="CG179" i="1"/>
  <c r="CH179" i="1" s="1"/>
  <c r="CI179" i="1" s="1"/>
  <c r="CB179" i="1"/>
  <c r="CC179" i="1" s="1"/>
  <c r="CD179" i="1" s="1"/>
  <c r="BW179" i="1"/>
  <c r="BX179" i="1" s="1"/>
  <c r="BY179" i="1" s="1"/>
  <c r="BR179" i="1"/>
  <c r="BS179" i="1" s="1"/>
  <c r="BT179" i="1" s="1"/>
  <c r="BM179" i="1"/>
  <c r="BN179" i="1" s="1"/>
  <c r="BO179" i="1" s="1"/>
  <c r="BH179" i="1"/>
  <c r="BI179" i="1" s="1"/>
  <c r="BJ179" i="1" s="1"/>
  <c r="BC179" i="1"/>
  <c r="BD179" i="1" s="1"/>
  <c r="BE179" i="1" s="1"/>
  <c r="AX179" i="1"/>
  <c r="AY179" i="1" s="1"/>
  <c r="AZ179" i="1" s="1"/>
  <c r="AS179" i="1"/>
  <c r="AT179" i="1" s="1"/>
  <c r="AU179" i="1" s="1"/>
  <c r="AN179" i="1"/>
  <c r="AO179" i="1" s="1"/>
  <c r="AP179" i="1" s="1"/>
  <c r="AI179" i="1"/>
  <c r="AJ179" i="1" s="1"/>
  <c r="AK179" i="1" s="1"/>
  <c r="X179" i="1"/>
  <c r="Y179" i="1" s="1"/>
  <c r="Z179" i="1" s="1"/>
  <c r="T179" i="1"/>
  <c r="O179" i="1"/>
  <c r="H179" i="1"/>
  <c r="I179" i="1" s="1"/>
  <c r="J179" i="1" s="1"/>
  <c r="PZ178" i="1"/>
  <c r="PU178" i="1"/>
  <c r="PP178" i="1"/>
  <c r="PK178" i="1"/>
  <c r="PF178" i="1"/>
  <c r="PA178" i="1"/>
  <c r="OV178" i="1"/>
  <c r="OQ178" i="1"/>
  <c r="OL178" i="1"/>
  <c r="OG178" i="1"/>
  <c r="OB178" i="1"/>
  <c r="NW178" i="1"/>
  <c r="NR178" i="1"/>
  <c r="NM178" i="1"/>
  <c r="NH178" i="1"/>
  <c r="NC178" i="1"/>
  <c r="MX178" i="1"/>
  <c r="MS178" i="1"/>
  <c r="MN178" i="1"/>
  <c r="MI178" i="1"/>
  <c r="MD178" i="1"/>
  <c r="LY178" i="1"/>
  <c r="LT178" i="1"/>
  <c r="LO178" i="1"/>
  <c r="LJ178" i="1"/>
  <c r="LE178" i="1"/>
  <c r="KX178" i="1"/>
  <c r="KY178" i="1" s="1"/>
  <c r="KZ178" i="1" s="1"/>
  <c r="KU178" i="1"/>
  <c r="KP178" i="1"/>
  <c r="KK178" i="1"/>
  <c r="KF178" i="1"/>
  <c r="IZ178" i="1"/>
  <c r="JA178" i="1" s="1"/>
  <c r="JB178" i="1" s="1"/>
  <c r="IU178" i="1"/>
  <c r="IV178" i="1" s="1"/>
  <c r="IW178" i="1" s="1"/>
  <c r="IP178" i="1"/>
  <c r="IQ178" i="1" s="1"/>
  <c r="IR178" i="1" s="1"/>
  <c r="IK178" i="1"/>
  <c r="IL178" i="1" s="1"/>
  <c r="IM178" i="1" s="1"/>
  <c r="IF178" i="1"/>
  <c r="IG178" i="1" s="1"/>
  <c r="IH178" i="1" s="1"/>
  <c r="IA178" i="1"/>
  <c r="IB178" i="1" s="1"/>
  <c r="IC178" i="1" s="1"/>
  <c r="HV178" i="1"/>
  <c r="HW178" i="1" s="1"/>
  <c r="HX178" i="1" s="1"/>
  <c r="HS178" i="1"/>
  <c r="HN178" i="1"/>
  <c r="HG178" i="1"/>
  <c r="HH178" i="1" s="1"/>
  <c r="HI178" i="1" s="1"/>
  <c r="HB178" i="1"/>
  <c r="HC178" i="1" s="1"/>
  <c r="HD178" i="1" s="1"/>
  <c r="GW178" i="1"/>
  <c r="GX178" i="1" s="1"/>
  <c r="GY178" i="1" s="1"/>
  <c r="GR178" i="1"/>
  <c r="GS178" i="1" s="1"/>
  <c r="GT178" i="1" s="1"/>
  <c r="GM178" i="1"/>
  <c r="GN178" i="1" s="1"/>
  <c r="GO178" i="1" s="1"/>
  <c r="GH178" i="1"/>
  <c r="GI178" i="1" s="1"/>
  <c r="GJ178" i="1" s="1"/>
  <c r="GC178" i="1"/>
  <c r="GD178" i="1" s="1"/>
  <c r="GE178" i="1" s="1"/>
  <c r="FX178" i="1"/>
  <c r="FY178" i="1" s="1"/>
  <c r="FZ178" i="1" s="1"/>
  <c r="FS178" i="1"/>
  <c r="FT178" i="1" s="1"/>
  <c r="FU178" i="1" s="1"/>
  <c r="FN178" i="1"/>
  <c r="FO178" i="1" s="1"/>
  <c r="FP178" i="1" s="1"/>
  <c r="FI178" i="1"/>
  <c r="FJ178" i="1" s="1"/>
  <c r="FK178" i="1" s="1"/>
  <c r="FD178" i="1"/>
  <c r="FE178" i="1" s="1"/>
  <c r="FF178" i="1" s="1"/>
  <c r="EY178" i="1"/>
  <c r="EZ178" i="1" s="1"/>
  <c r="FA178" i="1" s="1"/>
  <c r="ET178" i="1"/>
  <c r="EU178" i="1" s="1"/>
  <c r="EV178" i="1" s="1"/>
  <c r="EO178" i="1"/>
  <c r="EP178" i="1" s="1"/>
  <c r="EQ178" i="1" s="1"/>
  <c r="EJ178" i="1"/>
  <c r="EK178" i="1" s="1"/>
  <c r="EL178" i="1" s="1"/>
  <c r="EE178" i="1"/>
  <c r="EF178" i="1" s="1"/>
  <c r="EG178" i="1" s="1"/>
  <c r="DZ178" i="1"/>
  <c r="EA178" i="1" s="1"/>
  <c r="EB178" i="1" s="1"/>
  <c r="DU178" i="1"/>
  <c r="DV178" i="1" s="1"/>
  <c r="DW178" i="1" s="1"/>
  <c r="DP178" i="1"/>
  <c r="DQ178" i="1" s="1"/>
  <c r="DR178" i="1" s="1"/>
  <c r="DK178" i="1"/>
  <c r="DL178" i="1" s="1"/>
  <c r="DM178" i="1" s="1"/>
  <c r="DF178" i="1"/>
  <c r="DG178" i="1" s="1"/>
  <c r="DH178" i="1" s="1"/>
  <c r="DA178" i="1"/>
  <c r="DB178" i="1" s="1"/>
  <c r="DC178" i="1" s="1"/>
  <c r="CV178" i="1"/>
  <c r="CW178" i="1" s="1"/>
  <c r="CX178" i="1" s="1"/>
  <c r="CQ178" i="1"/>
  <c r="CR178" i="1" s="1"/>
  <c r="CS178" i="1" s="1"/>
  <c r="CL178" i="1"/>
  <c r="CM178" i="1" s="1"/>
  <c r="CN178" i="1" s="1"/>
  <c r="CG178" i="1"/>
  <c r="CH178" i="1" s="1"/>
  <c r="CI178" i="1" s="1"/>
  <c r="CB178" i="1"/>
  <c r="CC178" i="1" s="1"/>
  <c r="CD178" i="1" s="1"/>
  <c r="BW178" i="1"/>
  <c r="BX178" i="1" s="1"/>
  <c r="BY178" i="1" s="1"/>
  <c r="BR178" i="1"/>
  <c r="BS178" i="1" s="1"/>
  <c r="BT178" i="1" s="1"/>
  <c r="BN178" i="1"/>
  <c r="BO178" i="1" s="1"/>
  <c r="BH178" i="1"/>
  <c r="BI178" i="1" s="1"/>
  <c r="BJ178" i="1" s="1"/>
  <c r="BC178" i="1"/>
  <c r="BD178" i="1" s="1"/>
  <c r="BE178" i="1" s="1"/>
  <c r="AX178" i="1"/>
  <c r="AY178" i="1" s="1"/>
  <c r="AZ178" i="1" s="1"/>
  <c r="AS178" i="1"/>
  <c r="AT178" i="1" s="1"/>
  <c r="AU178" i="1" s="1"/>
  <c r="AN178" i="1"/>
  <c r="AO178" i="1" s="1"/>
  <c r="AP178" i="1" s="1"/>
  <c r="AI178" i="1"/>
  <c r="AJ178" i="1" s="1"/>
  <c r="AK178" i="1" s="1"/>
  <c r="AD178" i="1"/>
  <c r="AE178" i="1" s="1"/>
  <c r="AF178" i="1" s="1"/>
  <c r="X178" i="1"/>
  <c r="Y178" i="1" s="1"/>
  <c r="Z178" i="1" s="1"/>
  <c r="T178" i="1"/>
  <c r="O178" i="1"/>
  <c r="J178" i="1"/>
  <c r="PZ177" i="1"/>
  <c r="PU177" i="1"/>
  <c r="PP177" i="1"/>
  <c r="PK177" i="1"/>
  <c r="PF177" i="1"/>
  <c r="PA177" i="1"/>
  <c r="OV177" i="1"/>
  <c r="OQ177" i="1"/>
  <c r="OL177" i="1"/>
  <c r="OG177" i="1"/>
  <c r="OB177" i="1"/>
  <c r="NW177" i="1"/>
  <c r="NR177" i="1"/>
  <c r="NM177" i="1"/>
  <c r="NH177" i="1"/>
  <c r="NC177" i="1"/>
  <c r="MX177" i="1"/>
  <c r="MS177" i="1"/>
  <c r="MN177" i="1"/>
  <c r="MI177" i="1"/>
  <c r="MD177" i="1"/>
  <c r="LY177" i="1"/>
  <c r="LT177" i="1"/>
  <c r="LO177" i="1"/>
  <c r="LJ177" i="1"/>
  <c r="LE177" i="1"/>
  <c r="KZ177" i="1"/>
  <c r="KS177" i="1"/>
  <c r="KT177" i="1" s="1"/>
  <c r="KU177" i="1" s="1"/>
  <c r="KP177" i="1"/>
  <c r="KK177" i="1"/>
  <c r="KF177" i="1"/>
  <c r="JB177" i="1"/>
  <c r="IW177" i="1"/>
  <c r="IR177" i="1"/>
  <c r="IM177" i="1"/>
  <c r="IH177" i="1"/>
  <c r="IC177" i="1"/>
  <c r="HX177" i="1"/>
  <c r="HS177" i="1"/>
  <c r="HN177" i="1"/>
  <c r="HG177" i="1"/>
  <c r="HH177" i="1" s="1"/>
  <c r="HI177" i="1" s="1"/>
  <c r="HB177" i="1"/>
  <c r="HC177" i="1" s="1"/>
  <c r="HD177" i="1" s="1"/>
  <c r="GW177" i="1"/>
  <c r="GX177" i="1" s="1"/>
  <c r="GY177" i="1" s="1"/>
  <c r="GR177" i="1"/>
  <c r="GS177" i="1" s="1"/>
  <c r="GT177" i="1" s="1"/>
  <c r="GM177" i="1"/>
  <c r="GN177" i="1" s="1"/>
  <c r="GO177" i="1" s="1"/>
  <c r="GH177" i="1"/>
  <c r="GI177" i="1" s="1"/>
  <c r="GJ177" i="1" s="1"/>
  <c r="GC177" i="1"/>
  <c r="GD177" i="1" s="1"/>
  <c r="GE177" i="1" s="1"/>
  <c r="FX177" i="1"/>
  <c r="FY177" i="1" s="1"/>
  <c r="FZ177" i="1" s="1"/>
  <c r="FS177" i="1"/>
  <c r="FT177" i="1" s="1"/>
  <c r="FU177" i="1" s="1"/>
  <c r="FN177" i="1"/>
  <c r="FO177" i="1" s="1"/>
  <c r="FP177" i="1" s="1"/>
  <c r="FI177" i="1"/>
  <c r="FJ177" i="1" s="1"/>
  <c r="FK177" i="1" s="1"/>
  <c r="FD177" i="1"/>
  <c r="FE177" i="1" s="1"/>
  <c r="FF177" i="1" s="1"/>
  <c r="EY177" i="1"/>
  <c r="EZ177" i="1" s="1"/>
  <c r="FA177" i="1" s="1"/>
  <c r="ET177" i="1"/>
  <c r="EU177" i="1" s="1"/>
  <c r="EV177" i="1" s="1"/>
  <c r="EO177" i="1"/>
  <c r="EP177" i="1" s="1"/>
  <c r="EQ177" i="1" s="1"/>
  <c r="EJ177" i="1"/>
  <c r="EK177" i="1" s="1"/>
  <c r="EL177" i="1" s="1"/>
  <c r="EE177" i="1"/>
  <c r="EF177" i="1" s="1"/>
  <c r="EG177" i="1" s="1"/>
  <c r="DZ177" i="1"/>
  <c r="EA177" i="1" s="1"/>
  <c r="EB177" i="1" s="1"/>
  <c r="DU177" i="1"/>
  <c r="DV177" i="1" s="1"/>
  <c r="DW177" i="1" s="1"/>
  <c r="DP177" i="1"/>
  <c r="DQ177" i="1" s="1"/>
  <c r="DR177" i="1" s="1"/>
  <c r="DK177" i="1"/>
  <c r="DL177" i="1" s="1"/>
  <c r="DM177" i="1" s="1"/>
  <c r="DF177" i="1"/>
  <c r="DG177" i="1" s="1"/>
  <c r="DH177" i="1" s="1"/>
  <c r="DA177" i="1"/>
  <c r="DB177" i="1" s="1"/>
  <c r="DC177" i="1" s="1"/>
  <c r="CV177" i="1"/>
  <c r="CW177" i="1" s="1"/>
  <c r="CX177" i="1" s="1"/>
  <c r="CQ177" i="1"/>
  <c r="CR177" i="1" s="1"/>
  <c r="CS177" i="1" s="1"/>
  <c r="CL177" i="1"/>
  <c r="CM177" i="1" s="1"/>
  <c r="CN177" i="1" s="1"/>
  <c r="CG177" i="1"/>
  <c r="CH177" i="1" s="1"/>
  <c r="CI177" i="1" s="1"/>
  <c r="CB177" i="1"/>
  <c r="CC177" i="1" s="1"/>
  <c r="CD177" i="1" s="1"/>
  <c r="BW177" i="1"/>
  <c r="BX177" i="1" s="1"/>
  <c r="BY177" i="1" s="1"/>
  <c r="BR177" i="1"/>
  <c r="BS177" i="1" s="1"/>
  <c r="BT177" i="1" s="1"/>
  <c r="BM177" i="1"/>
  <c r="BN177" i="1" s="1"/>
  <c r="BO177" i="1" s="1"/>
  <c r="BH177" i="1"/>
  <c r="BI177" i="1" s="1"/>
  <c r="BJ177" i="1" s="1"/>
  <c r="BC177" i="1"/>
  <c r="BD177" i="1" s="1"/>
  <c r="BE177" i="1" s="1"/>
  <c r="AX177" i="1"/>
  <c r="AY177" i="1" s="1"/>
  <c r="AZ177" i="1" s="1"/>
  <c r="AS177" i="1"/>
  <c r="AT177" i="1" s="1"/>
  <c r="AU177" i="1" s="1"/>
  <c r="AN177" i="1"/>
  <c r="AO177" i="1" s="1"/>
  <c r="AP177" i="1" s="1"/>
  <c r="AI177" i="1"/>
  <c r="AJ177" i="1" s="1"/>
  <c r="AK177" i="1" s="1"/>
  <c r="AD177" i="1"/>
  <c r="AE177" i="1" s="1"/>
  <c r="AF177" i="1" s="1"/>
  <c r="X177" i="1"/>
  <c r="Y177" i="1" s="1"/>
  <c r="Z177" i="1" s="1"/>
  <c r="T177" i="1"/>
  <c r="O177" i="1"/>
  <c r="J177" i="1"/>
  <c r="PZ176" i="1"/>
  <c r="PU176" i="1"/>
  <c r="PP176" i="1"/>
  <c r="PK176" i="1"/>
  <c r="PF176" i="1"/>
  <c r="PA176" i="1"/>
  <c r="OV176" i="1"/>
  <c r="OQ176" i="1"/>
  <c r="OL176" i="1"/>
  <c r="OG176" i="1"/>
  <c r="OB176" i="1"/>
  <c r="NW176" i="1"/>
  <c r="NR176" i="1"/>
  <c r="NM176" i="1"/>
  <c r="NH176" i="1"/>
  <c r="NC176" i="1"/>
  <c r="MX176" i="1"/>
  <c r="MS176" i="1"/>
  <c r="MN176" i="1"/>
  <c r="MI176" i="1"/>
  <c r="MD176" i="1"/>
  <c r="LY176" i="1"/>
  <c r="LT176" i="1"/>
  <c r="LO176" i="1"/>
  <c r="LJ176" i="1"/>
  <c r="LE176" i="1"/>
  <c r="KZ176" i="1"/>
  <c r="KU176" i="1"/>
  <c r="KP176" i="1"/>
  <c r="KK176" i="1"/>
  <c r="KF176" i="1"/>
  <c r="JB176" i="1"/>
  <c r="IW176" i="1"/>
  <c r="IR176" i="1"/>
  <c r="IM176" i="1"/>
  <c r="IH176" i="1"/>
  <c r="IC176" i="1"/>
  <c r="HX176" i="1"/>
  <c r="HS176" i="1"/>
  <c r="HN176" i="1"/>
  <c r="HI176" i="1"/>
  <c r="HD176" i="1"/>
  <c r="GY176" i="1"/>
  <c r="GT176" i="1"/>
  <c r="GM176" i="1"/>
  <c r="GN176" i="1" s="1"/>
  <c r="GO176" i="1" s="1"/>
  <c r="GH176" i="1"/>
  <c r="GI176" i="1" s="1"/>
  <c r="GJ176" i="1" s="1"/>
  <c r="GC176" i="1"/>
  <c r="GD176" i="1" s="1"/>
  <c r="GE176" i="1" s="1"/>
  <c r="FX176" i="1"/>
  <c r="FY176" i="1" s="1"/>
  <c r="FZ176" i="1" s="1"/>
  <c r="FS176" i="1"/>
  <c r="FT176" i="1" s="1"/>
  <c r="FU176" i="1" s="1"/>
  <c r="FN176" i="1"/>
  <c r="FO176" i="1" s="1"/>
  <c r="FP176" i="1" s="1"/>
  <c r="FI176" i="1"/>
  <c r="FJ176" i="1" s="1"/>
  <c r="FK176" i="1" s="1"/>
  <c r="FD176" i="1"/>
  <c r="FE176" i="1" s="1"/>
  <c r="FF176" i="1" s="1"/>
  <c r="EY176" i="1"/>
  <c r="EZ176" i="1" s="1"/>
  <c r="FA176" i="1" s="1"/>
  <c r="ET176" i="1"/>
  <c r="EU176" i="1" s="1"/>
  <c r="EV176" i="1" s="1"/>
  <c r="EO176" i="1"/>
  <c r="EP176" i="1" s="1"/>
  <c r="EQ176" i="1" s="1"/>
  <c r="EJ176" i="1"/>
  <c r="EK176" i="1" s="1"/>
  <c r="EL176" i="1" s="1"/>
  <c r="EE176" i="1"/>
  <c r="EF176" i="1" s="1"/>
  <c r="EG176" i="1" s="1"/>
  <c r="DZ176" i="1"/>
  <c r="EA176" i="1" s="1"/>
  <c r="EB176" i="1" s="1"/>
  <c r="DU176" i="1"/>
  <c r="DV176" i="1" s="1"/>
  <c r="DW176" i="1" s="1"/>
  <c r="DP176" i="1"/>
  <c r="DQ176" i="1" s="1"/>
  <c r="DR176" i="1" s="1"/>
  <c r="DK176" i="1"/>
  <c r="DL176" i="1" s="1"/>
  <c r="DM176" i="1" s="1"/>
  <c r="DF176" i="1"/>
  <c r="DG176" i="1" s="1"/>
  <c r="DH176" i="1" s="1"/>
  <c r="DA176" i="1"/>
  <c r="DB176" i="1" s="1"/>
  <c r="DC176" i="1" s="1"/>
  <c r="CV176" i="1"/>
  <c r="CW176" i="1" s="1"/>
  <c r="CX176" i="1" s="1"/>
  <c r="CQ176" i="1"/>
  <c r="CR176" i="1" s="1"/>
  <c r="CS176" i="1" s="1"/>
  <c r="CL176" i="1"/>
  <c r="CM176" i="1" s="1"/>
  <c r="CN176" i="1" s="1"/>
  <c r="CG176" i="1"/>
  <c r="CH176" i="1" s="1"/>
  <c r="CI176" i="1" s="1"/>
  <c r="CB176" i="1"/>
  <c r="CC176" i="1" s="1"/>
  <c r="CD176" i="1" s="1"/>
  <c r="BW176" i="1"/>
  <c r="BX176" i="1" s="1"/>
  <c r="BY176" i="1" s="1"/>
  <c r="BR176" i="1"/>
  <c r="BS176" i="1" s="1"/>
  <c r="BT176" i="1" s="1"/>
  <c r="BM176" i="1"/>
  <c r="BN176" i="1" s="1"/>
  <c r="BO176" i="1" s="1"/>
  <c r="BH176" i="1"/>
  <c r="BI176" i="1" s="1"/>
  <c r="BJ176" i="1" s="1"/>
  <c r="BC176" i="1"/>
  <c r="BD176" i="1" s="1"/>
  <c r="BE176" i="1" s="1"/>
  <c r="AX176" i="1"/>
  <c r="AY176" i="1" s="1"/>
  <c r="AZ176" i="1" s="1"/>
  <c r="AS176" i="1"/>
  <c r="AT176" i="1" s="1"/>
  <c r="AU176" i="1" s="1"/>
  <c r="AN176" i="1"/>
  <c r="AO176" i="1" s="1"/>
  <c r="AP176" i="1" s="1"/>
  <c r="AI176" i="1"/>
  <c r="AJ176" i="1" s="1"/>
  <c r="AK176" i="1" s="1"/>
  <c r="X176" i="1"/>
  <c r="Y176" i="1" s="1"/>
  <c r="Z176" i="1" s="1"/>
  <c r="R176" i="1"/>
  <c r="S176" i="1" s="1"/>
  <c r="T176" i="1" s="1"/>
  <c r="O176" i="1"/>
  <c r="J176" i="1"/>
  <c r="PZ175" i="1"/>
  <c r="PU175" i="1"/>
  <c r="PP175" i="1"/>
  <c r="PK175" i="1"/>
  <c r="PF175" i="1"/>
  <c r="PA175" i="1"/>
  <c r="OV175" i="1"/>
  <c r="OQ175" i="1"/>
  <c r="OL175" i="1"/>
  <c r="OG175" i="1"/>
  <c r="OB175" i="1"/>
  <c r="NW175" i="1"/>
  <c r="NR175" i="1"/>
  <c r="NM175" i="1"/>
  <c r="NH175" i="1"/>
  <c r="NC175" i="1"/>
  <c r="MX175" i="1"/>
  <c r="MS175" i="1"/>
  <c r="MN175" i="1"/>
  <c r="MI175" i="1"/>
  <c r="MD175" i="1"/>
  <c r="LY175" i="1"/>
  <c r="LT175" i="1"/>
  <c r="LO175" i="1"/>
  <c r="LJ175" i="1"/>
  <c r="LE175" i="1"/>
  <c r="KZ175" i="1"/>
  <c r="KS175" i="1"/>
  <c r="KT175" i="1" s="1"/>
  <c r="KU175" i="1" s="1"/>
  <c r="KP175" i="1"/>
  <c r="KK175" i="1"/>
  <c r="KF175" i="1"/>
  <c r="IZ175" i="1"/>
  <c r="JA175" i="1" s="1"/>
  <c r="JB175" i="1" s="1"/>
  <c r="IU175" i="1"/>
  <c r="IV175" i="1" s="1"/>
  <c r="IW175" i="1" s="1"/>
  <c r="IP175" i="1"/>
  <c r="IQ175" i="1" s="1"/>
  <c r="IR175" i="1" s="1"/>
  <c r="IK175" i="1"/>
  <c r="IL175" i="1" s="1"/>
  <c r="IM175" i="1" s="1"/>
  <c r="IH175" i="1"/>
  <c r="IA175" i="1"/>
  <c r="IB175" i="1" s="1"/>
  <c r="IC175" i="1" s="1"/>
  <c r="HV175" i="1"/>
  <c r="HW175" i="1" s="1"/>
  <c r="HX175" i="1" s="1"/>
  <c r="HS175" i="1"/>
  <c r="HN175" i="1"/>
  <c r="HG175" i="1"/>
  <c r="HH175" i="1" s="1"/>
  <c r="HI175" i="1" s="1"/>
  <c r="HB175" i="1"/>
  <c r="HC175" i="1" s="1"/>
  <c r="HD175" i="1" s="1"/>
  <c r="GW175" i="1"/>
  <c r="GX175" i="1" s="1"/>
  <c r="GY175" i="1" s="1"/>
  <c r="GR175" i="1"/>
  <c r="GS175" i="1" s="1"/>
  <c r="GT175" i="1" s="1"/>
  <c r="GM175" i="1"/>
  <c r="GN175" i="1" s="1"/>
  <c r="GO175" i="1" s="1"/>
  <c r="GH175" i="1"/>
  <c r="GI175" i="1" s="1"/>
  <c r="GJ175" i="1" s="1"/>
  <c r="GC175" i="1"/>
  <c r="GD175" i="1" s="1"/>
  <c r="GE175" i="1" s="1"/>
  <c r="FX175" i="1"/>
  <c r="FY175" i="1" s="1"/>
  <c r="FZ175" i="1" s="1"/>
  <c r="FS175" i="1"/>
  <c r="FT175" i="1" s="1"/>
  <c r="FU175" i="1" s="1"/>
  <c r="FN175" i="1"/>
  <c r="FO175" i="1" s="1"/>
  <c r="FP175" i="1" s="1"/>
  <c r="FI175" i="1"/>
  <c r="FJ175" i="1" s="1"/>
  <c r="FK175" i="1" s="1"/>
  <c r="FD175" i="1"/>
  <c r="FE175" i="1" s="1"/>
  <c r="FF175" i="1" s="1"/>
  <c r="EY175" i="1"/>
  <c r="EZ175" i="1" s="1"/>
  <c r="FA175" i="1" s="1"/>
  <c r="ET175" i="1"/>
  <c r="EU175" i="1" s="1"/>
  <c r="EV175" i="1" s="1"/>
  <c r="EO175" i="1"/>
  <c r="EP175" i="1" s="1"/>
  <c r="EQ175" i="1" s="1"/>
  <c r="EJ175" i="1"/>
  <c r="EK175" i="1" s="1"/>
  <c r="EL175" i="1" s="1"/>
  <c r="EE175" i="1"/>
  <c r="EF175" i="1" s="1"/>
  <c r="EG175" i="1" s="1"/>
  <c r="DZ175" i="1"/>
  <c r="EA175" i="1" s="1"/>
  <c r="EB175" i="1" s="1"/>
  <c r="DU175" i="1"/>
  <c r="DV175" i="1" s="1"/>
  <c r="DW175" i="1" s="1"/>
  <c r="DP175" i="1"/>
  <c r="DQ175" i="1" s="1"/>
  <c r="DR175" i="1" s="1"/>
  <c r="DK175" i="1"/>
  <c r="DL175" i="1" s="1"/>
  <c r="DM175" i="1" s="1"/>
  <c r="DF175" i="1"/>
  <c r="DG175" i="1" s="1"/>
  <c r="DH175" i="1" s="1"/>
  <c r="DA175" i="1"/>
  <c r="DB175" i="1" s="1"/>
  <c r="DC175" i="1" s="1"/>
  <c r="CV175" i="1"/>
  <c r="CW175" i="1" s="1"/>
  <c r="CX175" i="1" s="1"/>
  <c r="CQ175" i="1"/>
  <c r="CR175" i="1" s="1"/>
  <c r="CS175" i="1" s="1"/>
  <c r="CL175" i="1"/>
  <c r="CM175" i="1" s="1"/>
  <c r="CN175" i="1" s="1"/>
  <c r="CG175" i="1"/>
  <c r="CH175" i="1" s="1"/>
  <c r="CI175" i="1" s="1"/>
  <c r="CB175" i="1"/>
  <c r="CC175" i="1" s="1"/>
  <c r="CD175" i="1" s="1"/>
  <c r="BW175" i="1"/>
  <c r="BX175" i="1" s="1"/>
  <c r="BY175" i="1" s="1"/>
  <c r="BR175" i="1"/>
  <c r="BS175" i="1" s="1"/>
  <c r="BT175" i="1" s="1"/>
  <c r="BM175" i="1"/>
  <c r="BN175" i="1" s="1"/>
  <c r="BO175" i="1" s="1"/>
  <c r="BH175" i="1"/>
  <c r="BI175" i="1" s="1"/>
  <c r="BJ175" i="1" s="1"/>
  <c r="BC175" i="1"/>
  <c r="BD175" i="1" s="1"/>
  <c r="BE175" i="1" s="1"/>
  <c r="AX175" i="1"/>
  <c r="AY175" i="1" s="1"/>
  <c r="AZ175" i="1" s="1"/>
  <c r="AS175" i="1"/>
  <c r="AT175" i="1" s="1"/>
  <c r="AU175" i="1" s="1"/>
  <c r="AN175" i="1"/>
  <c r="AO175" i="1" s="1"/>
  <c r="AP175" i="1" s="1"/>
  <c r="AI175" i="1"/>
  <c r="AJ175" i="1" s="1"/>
  <c r="AK175" i="1" s="1"/>
  <c r="AD175" i="1"/>
  <c r="AE175" i="1" s="1"/>
  <c r="AF175" i="1" s="1"/>
  <c r="X175" i="1"/>
  <c r="Y175" i="1" s="1"/>
  <c r="Z175" i="1" s="1"/>
  <c r="T175" i="1"/>
  <c r="O175" i="1"/>
  <c r="J175" i="1"/>
  <c r="PZ174" i="1"/>
  <c r="PU174" i="1"/>
  <c r="PP174" i="1"/>
  <c r="PK174" i="1"/>
  <c r="PF174" i="1"/>
  <c r="PA174" i="1"/>
  <c r="OV174" i="1"/>
  <c r="OQ174" i="1"/>
  <c r="OL174" i="1"/>
  <c r="OG174" i="1"/>
  <c r="OB174" i="1"/>
  <c r="NW174" i="1"/>
  <c r="NR174" i="1"/>
  <c r="NM174" i="1"/>
  <c r="NH174" i="1"/>
  <c r="NC174" i="1"/>
  <c r="MX174" i="1"/>
  <c r="MS174" i="1"/>
  <c r="MN174" i="1"/>
  <c r="MI174" i="1"/>
  <c r="MB174" i="1"/>
  <c r="MC174" i="1" s="1"/>
  <c r="MD174" i="1" s="1"/>
  <c r="LW174" i="1"/>
  <c r="LX174" i="1" s="1"/>
  <c r="LY174" i="1" s="1"/>
  <c r="LT174" i="1"/>
  <c r="LO174" i="1"/>
  <c r="LJ174" i="1"/>
  <c r="LE174" i="1"/>
  <c r="KX174" i="1"/>
  <c r="KY174" i="1" s="1"/>
  <c r="KZ174" i="1" s="1"/>
  <c r="KU174" i="1"/>
  <c r="KP174" i="1"/>
  <c r="KK174" i="1"/>
  <c r="KF174" i="1"/>
  <c r="IZ174" i="1"/>
  <c r="JA174" i="1" s="1"/>
  <c r="JB174" i="1" s="1"/>
  <c r="IU174" i="1"/>
  <c r="IV174" i="1" s="1"/>
  <c r="IW174" i="1" s="1"/>
  <c r="IP174" i="1"/>
  <c r="IQ174" i="1" s="1"/>
  <c r="IR174" i="1" s="1"/>
  <c r="IK174" i="1"/>
  <c r="IL174" i="1" s="1"/>
  <c r="IM174" i="1" s="1"/>
  <c r="IF174" i="1"/>
  <c r="IG174" i="1" s="1"/>
  <c r="IH174" i="1" s="1"/>
  <c r="IA174" i="1"/>
  <c r="IB174" i="1" s="1"/>
  <c r="IC174" i="1" s="1"/>
  <c r="HV174" i="1"/>
  <c r="HW174" i="1" s="1"/>
  <c r="HX174" i="1" s="1"/>
  <c r="HQ174" i="1"/>
  <c r="HR174" i="1" s="1"/>
  <c r="HS174" i="1" s="1"/>
  <c r="HL174" i="1"/>
  <c r="HM174" i="1" s="1"/>
  <c r="HN174" i="1" s="1"/>
  <c r="HG174" i="1"/>
  <c r="HH174" i="1" s="1"/>
  <c r="HI174" i="1" s="1"/>
  <c r="HB174" i="1"/>
  <c r="HC174" i="1" s="1"/>
  <c r="HD174" i="1" s="1"/>
  <c r="GW174" i="1"/>
  <c r="GX174" i="1" s="1"/>
  <c r="GY174" i="1" s="1"/>
  <c r="GR174" i="1"/>
  <c r="GS174" i="1" s="1"/>
  <c r="GT174" i="1" s="1"/>
  <c r="GM174" i="1"/>
  <c r="GN174" i="1" s="1"/>
  <c r="GO174" i="1" s="1"/>
  <c r="GH174" i="1"/>
  <c r="GI174" i="1" s="1"/>
  <c r="GJ174" i="1" s="1"/>
  <c r="GC174" i="1"/>
  <c r="GD174" i="1" s="1"/>
  <c r="GE174" i="1" s="1"/>
  <c r="FX174" i="1"/>
  <c r="FY174" i="1" s="1"/>
  <c r="FZ174" i="1" s="1"/>
  <c r="FS174" i="1"/>
  <c r="FT174" i="1" s="1"/>
  <c r="FU174" i="1" s="1"/>
  <c r="FN174" i="1"/>
  <c r="FO174" i="1" s="1"/>
  <c r="FP174" i="1" s="1"/>
  <c r="FI174" i="1"/>
  <c r="FJ174" i="1" s="1"/>
  <c r="FK174" i="1" s="1"/>
  <c r="FD174" i="1"/>
  <c r="FE174" i="1" s="1"/>
  <c r="FF174" i="1" s="1"/>
  <c r="EY174" i="1"/>
  <c r="EZ174" i="1" s="1"/>
  <c r="FA174" i="1" s="1"/>
  <c r="ET174" i="1"/>
  <c r="EU174" i="1" s="1"/>
  <c r="EV174" i="1" s="1"/>
  <c r="EO174" i="1"/>
  <c r="EP174" i="1" s="1"/>
  <c r="EQ174" i="1" s="1"/>
  <c r="EJ174" i="1"/>
  <c r="EK174" i="1" s="1"/>
  <c r="EL174" i="1" s="1"/>
  <c r="EE174" i="1"/>
  <c r="EF174" i="1" s="1"/>
  <c r="EG174" i="1" s="1"/>
  <c r="DZ174" i="1"/>
  <c r="EA174" i="1" s="1"/>
  <c r="EB174" i="1" s="1"/>
  <c r="DU174" i="1"/>
  <c r="DV174" i="1" s="1"/>
  <c r="DW174" i="1" s="1"/>
  <c r="DP174" i="1"/>
  <c r="DQ174" i="1" s="1"/>
  <c r="DR174" i="1" s="1"/>
  <c r="DK174" i="1"/>
  <c r="DL174" i="1" s="1"/>
  <c r="DM174" i="1" s="1"/>
  <c r="DF174" i="1"/>
  <c r="DG174" i="1" s="1"/>
  <c r="DH174" i="1" s="1"/>
  <c r="DA174" i="1"/>
  <c r="DB174" i="1" s="1"/>
  <c r="DC174" i="1" s="1"/>
  <c r="CV174" i="1"/>
  <c r="CW174" i="1" s="1"/>
  <c r="CX174" i="1" s="1"/>
  <c r="CQ174" i="1"/>
  <c r="CR174" i="1" s="1"/>
  <c r="CS174" i="1" s="1"/>
  <c r="CL174" i="1"/>
  <c r="CM174" i="1" s="1"/>
  <c r="CN174" i="1" s="1"/>
  <c r="CG174" i="1"/>
  <c r="CH174" i="1" s="1"/>
  <c r="CI174" i="1" s="1"/>
  <c r="CB174" i="1"/>
  <c r="CC174" i="1" s="1"/>
  <c r="CD174" i="1" s="1"/>
  <c r="BW174" i="1"/>
  <c r="BX174" i="1" s="1"/>
  <c r="BY174" i="1" s="1"/>
  <c r="BR174" i="1"/>
  <c r="BS174" i="1" s="1"/>
  <c r="BT174" i="1" s="1"/>
  <c r="BM174" i="1"/>
  <c r="BN174" i="1" s="1"/>
  <c r="BO174" i="1" s="1"/>
  <c r="BH174" i="1"/>
  <c r="BI174" i="1" s="1"/>
  <c r="BJ174" i="1" s="1"/>
  <c r="BC174" i="1"/>
  <c r="BD174" i="1" s="1"/>
  <c r="BE174" i="1" s="1"/>
  <c r="AX174" i="1"/>
  <c r="AY174" i="1" s="1"/>
  <c r="AZ174" i="1" s="1"/>
  <c r="AS174" i="1"/>
  <c r="AT174" i="1" s="1"/>
  <c r="AU174" i="1" s="1"/>
  <c r="AN174" i="1"/>
  <c r="AO174" i="1" s="1"/>
  <c r="AP174" i="1" s="1"/>
  <c r="AI174" i="1"/>
  <c r="AJ174" i="1" s="1"/>
  <c r="AK174" i="1" s="1"/>
  <c r="AD174" i="1"/>
  <c r="AE174" i="1" s="1"/>
  <c r="AF174" i="1" s="1"/>
  <c r="X174" i="1"/>
  <c r="Y174" i="1" s="1"/>
  <c r="Z174" i="1" s="1"/>
  <c r="T174" i="1"/>
  <c r="O174" i="1"/>
  <c r="J174" i="1"/>
  <c r="PZ173" i="1"/>
  <c r="PU173" i="1"/>
  <c r="PP173" i="1"/>
  <c r="PK173" i="1"/>
  <c r="PF173" i="1"/>
  <c r="PA173" i="1"/>
  <c r="OV173" i="1"/>
  <c r="OQ173" i="1"/>
  <c r="OL173" i="1"/>
  <c r="OG173" i="1"/>
  <c r="OB173" i="1"/>
  <c r="NW173" i="1"/>
  <c r="NR173" i="1"/>
  <c r="NM173" i="1"/>
  <c r="NH173" i="1"/>
  <c r="NC173" i="1"/>
  <c r="MX173" i="1"/>
  <c r="MS173" i="1"/>
  <c r="MN173" i="1"/>
  <c r="MI173" i="1"/>
  <c r="MD173" i="1"/>
  <c r="LY173" i="1"/>
  <c r="LT173" i="1"/>
  <c r="LO173" i="1"/>
  <c r="LJ173" i="1"/>
  <c r="LC173" i="1"/>
  <c r="LD173" i="1" s="1"/>
  <c r="LE173" i="1" s="1"/>
  <c r="KZ173" i="1"/>
  <c r="KU173" i="1"/>
  <c r="KP173" i="1"/>
  <c r="KK173" i="1"/>
  <c r="KF173" i="1"/>
  <c r="JB173" i="1"/>
  <c r="IW173" i="1"/>
  <c r="IR173" i="1"/>
  <c r="IM173" i="1"/>
  <c r="IH173" i="1"/>
  <c r="IC173" i="1"/>
  <c r="HX173" i="1"/>
  <c r="HS173" i="1"/>
  <c r="HN173" i="1"/>
  <c r="HG173" i="1"/>
  <c r="HH173" i="1" s="1"/>
  <c r="HI173" i="1" s="1"/>
  <c r="HB173" i="1"/>
  <c r="HC173" i="1" s="1"/>
  <c r="HD173" i="1" s="1"/>
  <c r="GW173" i="1"/>
  <c r="GX173" i="1" s="1"/>
  <c r="GY173" i="1" s="1"/>
  <c r="GR173" i="1"/>
  <c r="GS173" i="1" s="1"/>
  <c r="GT173" i="1" s="1"/>
  <c r="GM173" i="1"/>
  <c r="GN173" i="1" s="1"/>
  <c r="GO173" i="1" s="1"/>
  <c r="GH173" i="1"/>
  <c r="GI173" i="1" s="1"/>
  <c r="GJ173" i="1" s="1"/>
  <c r="GC173" i="1"/>
  <c r="GD173" i="1" s="1"/>
  <c r="GE173" i="1" s="1"/>
  <c r="FX173" i="1"/>
  <c r="FY173" i="1" s="1"/>
  <c r="FZ173" i="1" s="1"/>
  <c r="FS173" i="1"/>
  <c r="FT173" i="1" s="1"/>
  <c r="FU173" i="1" s="1"/>
  <c r="FN173" i="1"/>
  <c r="FO173" i="1" s="1"/>
  <c r="FP173" i="1" s="1"/>
  <c r="FI173" i="1"/>
  <c r="FJ173" i="1" s="1"/>
  <c r="FK173" i="1" s="1"/>
  <c r="FD173" i="1"/>
  <c r="FE173" i="1" s="1"/>
  <c r="FF173" i="1" s="1"/>
  <c r="EY173" i="1"/>
  <c r="EZ173" i="1" s="1"/>
  <c r="FA173" i="1" s="1"/>
  <c r="ET173" i="1"/>
  <c r="EU173" i="1" s="1"/>
  <c r="EV173" i="1" s="1"/>
  <c r="EO173" i="1"/>
  <c r="EP173" i="1" s="1"/>
  <c r="EQ173" i="1" s="1"/>
  <c r="EJ173" i="1"/>
  <c r="EK173" i="1" s="1"/>
  <c r="EL173" i="1" s="1"/>
  <c r="EE173" i="1"/>
  <c r="EF173" i="1" s="1"/>
  <c r="EG173" i="1" s="1"/>
  <c r="DZ173" i="1"/>
  <c r="EA173" i="1" s="1"/>
  <c r="EB173" i="1" s="1"/>
  <c r="DU173" i="1"/>
  <c r="DV173" i="1" s="1"/>
  <c r="DW173" i="1" s="1"/>
  <c r="DP173" i="1"/>
  <c r="DQ173" i="1" s="1"/>
  <c r="DR173" i="1" s="1"/>
  <c r="DK173" i="1"/>
  <c r="DL173" i="1" s="1"/>
  <c r="DM173" i="1" s="1"/>
  <c r="DF173" i="1"/>
  <c r="DG173" i="1" s="1"/>
  <c r="DH173" i="1" s="1"/>
  <c r="DA173" i="1"/>
  <c r="DB173" i="1" s="1"/>
  <c r="DC173" i="1" s="1"/>
  <c r="CV173" i="1"/>
  <c r="CW173" i="1" s="1"/>
  <c r="CX173" i="1" s="1"/>
  <c r="CQ173" i="1"/>
  <c r="CR173" i="1" s="1"/>
  <c r="CS173" i="1" s="1"/>
  <c r="CL173" i="1"/>
  <c r="CM173" i="1" s="1"/>
  <c r="CN173" i="1" s="1"/>
  <c r="CG173" i="1"/>
  <c r="CH173" i="1" s="1"/>
  <c r="CI173" i="1" s="1"/>
  <c r="CB173" i="1"/>
  <c r="CC173" i="1" s="1"/>
  <c r="CD173" i="1" s="1"/>
  <c r="BW173" i="1"/>
  <c r="BX173" i="1" s="1"/>
  <c r="BY173" i="1" s="1"/>
  <c r="BR173" i="1"/>
  <c r="BS173" i="1" s="1"/>
  <c r="BT173" i="1" s="1"/>
  <c r="BM173" i="1"/>
  <c r="BN173" i="1" s="1"/>
  <c r="BO173" i="1" s="1"/>
  <c r="BH173" i="1"/>
  <c r="BI173" i="1" s="1"/>
  <c r="BJ173" i="1" s="1"/>
  <c r="BC173" i="1"/>
  <c r="BD173" i="1" s="1"/>
  <c r="BE173" i="1" s="1"/>
  <c r="AX173" i="1"/>
  <c r="AY173" i="1" s="1"/>
  <c r="AZ173" i="1" s="1"/>
  <c r="AS173" i="1"/>
  <c r="AT173" i="1" s="1"/>
  <c r="AU173" i="1" s="1"/>
  <c r="AN173" i="1"/>
  <c r="AO173" i="1" s="1"/>
  <c r="AP173" i="1" s="1"/>
  <c r="AI173" i="1"/>
  <c r="AJ173" i="1" s="1"/>
  <c r="AK173" i="1" s="1"/>
  <c r="AD173" i="1"/>
  <c r="AE173" i="1" s="1"/>
  <c r="AF173" i="1" s="1"/>
  <c r="X173" i="1"/>
  <c r="Y173" i="1" s="1"/>
  <c r="Z173" i="1" s="1"/>
  <c r="R173" i="1"/>
  <c r="S173" i="1" s="1"/>
  <c r="T173" i="1" s="1"/>
  <c r="M173" i="1"/>
  <c r="N173" i="1" s="1"/>
  <c r="O173" i="1" s="1"/>
  <c r="J173" i="1"/>
  <c r="PZ172" i="1"/>
  <c r="PU172" i="1"/>
  <c r="PP172" i="1"/>
  <c r="PK172" i="1"/>
  <c r="PF172" i="1"/>
  <c r="PA172" i="1"/>
  <c r="OV172" i="1"/>
  <c r="OQ172" i="1"/>
  <c r="OL172" i="1"/>
  <c r="OG172" i="1"/>
  <c r="OB172" i="1"/>
  <c r="NW172" i="1"/>
  <c r="NR172" i="1"/>
  <c r="NM172" i="1"/>
  <c r="NH172" i="1"/>
  <c r="NC172" i="1"/>
  <c r="MX172" i="1"/>
  <c r="MS172" i="1"/>
  <c r="MN172" i="1"/>
  <c r="MI172" i="1"/>
  <c r="MD172" i="1"/>
  <c r="LY172" i="1"/>
  <c r="LT172" i="1"/>
  <c r="LO172" i="1"/>
  <c r="LJ172" i="1"/>
  <c r="LE172" i="1"/>
  <c r="KZ172" i="1"/>
  <c r="KU172" i="1"/>
  <c r="KP172" i="1"/>
  <c r="KK172" i="1"/>
  <c r="KF172" i="1"/>
  <c r="JB172" i="1"/>
  <c r="IW172" i="1"/>
  <c r="IR172" i="1"/>
  <c r="IM172" i="1"/>
  <c r="IH172" i="1"/>
  <c r="IC172" i="1"/>
  <c r="HX172" i="1"/>
  <c r="HS172" i="1"/>
  <c r="HN172" i="1"/>
  <c r="HI172" i="1"/>
  <c r="HB172" i="1"/>
  <c r="HC172" i="1" s="1"/>
  <c r="HD172" i="1" s="1"/>
  <c r="GW172" i="1"/>
  <c r="GX172" i="1" s="1"/>
  <c r="GY172" i="1" s="1"/>
  <c r="GR172" i="1"/>
  <c r="GS172" i="1" s="1"/>
  <c r="GT172" i="1" s="1"/>
  <c r="GM172" i="1"/>
  <c r="GN172" i="1" s="1"/>
  <c r="GO172" i="1" s="1"/>
  <c r="GH172" i="1"/>
  <c r="GI172" i="1" s="1"/>
  <c r="GJ172" i="1" s="1"/>
  <c r="GC172" i="1"/>
  <c r="GD172" i="1" s="1"/>
  <c r="GE172" i="1" s="1"/>
  <c r="FX172" i="1"/>
  <c r="FY172" i="1" s="1"/>
  <c r="FZ172" i="1" s="1"/>
  <c r="FS172" i="1"/>
  <c r="FT172" i="1" s="1"/>
  <c r="FU172" i="1" s="1"/>
  <c r="FN172" i="1"/>
  <c r="FO172" i="1" s="1"/>
  <c r="FP172" i="1" s="1"/>
  <c r="FI172" i="1"/>
  <c r="FJ172" i="1" s="1"/>
  <c r="FK172" i="1" s="1"/>
  <c r="FD172" i="1"/>
  <c r="FE172" i="1" s="1"/>
  <c r="FF172" i="1" s="1"/>
  <c r="EY172" i="1"/>
  <c r="EZ172" i="1" s="1"/>
  <c r="FA172" i="1" s="1"/>
  <c r="ET172" i="1"/>
  <c r="EU172" i="1" s="1"/>
  <c r="EV172" i="1" s="1"/>
  <c r="EO172" i="1"/>
  <c r="EP172" i="1" s="1"/>
  <c r="EQ172" i="1" s="1"/>
  <c r="EJ172" i="1"/>
  <c r="EK172" i="1" s="1"/>
  <c r="EL172" i="1" s="1"/>
  <c r="EE172" i="1"/>
  <c r="EF172" i="1" s="1"/>
  <c r="EG172" i="1" s="1"/>
  <c r="DZ172" i="1"/>
  <c r="EA172" i="1" s="1"/>
  <c r="EB172" i="1" s="1"/>
  <c r="DU172" i="1"/>
  <c r="DV172" i="1" s="1"/>
  <c r="DW172" i="1" s="1"/>
  <c r="DP172" i="1"/>
  <c r="DQ172" i="1" s="1"/>
  <c r="DR172" i="1" s="1"/>
  <c r="DK172" i="1"/>
  <c r="DL172" i="1" s="1"/>
  <c r="DM172" i="1" s="1"/>
  <c r="DF172" i="1"/>
  <c r="DG172" i="1" s="1"/>
  <c r="DH172" i="1" s="1"/>
  <c r="DA172" i="1"/>
  <c r="DB172" i="1" s="1"/>
  <c r="DC172" i="1" s="1"/>
  <c r="CV172" i="1"/>
  <c r="CW172" i="1" s="1"/>
  <c r="CX172" i="1" s="1"/>
  <c r="CQ172" i="1"/>
  <c r="CR172" i="1" s="1"/>
  <c r="CS172" i="1" s="1"/>
  <c r="CL172" i="1"/>
  <c r="CM172" i="1" s="1"/>
  <c r="CN172" i="1" s="1"/>
  <c r="CG172" i="1"/>
  <c r="CH172" i="1" s="1"/>
  <c r="CI172" i="1" s="1"/>
  <c r="CB172" i="1"/>
  <c r="CC172" i="1" s="1"/>
  <c r="CD172" i="1" s="1"/>
  <c r="BW172" i="1"/>
  <c r="BX172" i="1" s="1"/>
  <c r="BY172" i="1" s="1"/>
  <c r="BR172" i="1"/>
  <c r="BS172" i="1" s="1"/>
  <c r="BT172" i="1" s="1"/>
  <c r="BM172" i="1"/>
  <c r="BN172" i="1" s="1"/>
  <c r="BO172" i="1" s="1"/>
  <c r="BH172" i="1"/>
  <c r="BI172" i="1" s="1"/>
  <c r="BJ172" i="1" s="1"/>
  <c r="BC172" i="1"/>
  <c r="BD172" i="1" s="1"/>
  <c r="BE172" i="1" s="1"/>
  <c r="AX172" i="1"/>
  <c r="AY172" i="1" s="1"/>
  <c r="AZ172" i="1" s="1"/>
  <c r="AS172" i="1"/>
  <c r="AT172" i="1" s="1"/>
  <c r="AU172" i="1" s="1"/>
  <c r="AN172" i="1"/>
  <c r="AO172" i="1" s="1"/>
  <c r="AP172" i="1" s="1"/>
  <c r="AI172" i="1"/>
  <c r="AJ172" i="1" s="1"/>
  <c r="AK172" i="1" s="1"/>
  <c r="X172" i="1"/>
  <c r="Y172" i="1" s="1"/>
  <c r="Z172" i="1" s="1"/>
  <c r="T172" i="1"/>
  <c r="O172" i="1"/>
  <c r="J172" i="1"/>
  <c r="PX171" i="1"/>
  <c r="PY171" i="1" s="1"/>
  <c r="PZ171" i="1" s="1"/>
  <c r="PU171" i="1"/>
  <c r="PP171" i="1"/>
  <c r="PK171" i="1"/>
  <c r="PF171" i="1"/>
  <c r="PA171" i="1"/>
  <c r="OV171" i="1"/>
  <c r="OQ171" i="1"/>
  <c r="OL171" i="1"/>
  <c r="OG171" i="1"/>
  <c r="OB171" i="1"/>
  <c r="NW171" i="1"/>
  <c r="NR171" i="1"/>
  <c r="NM171" i="1"/>
  <c r="NH171" i="1"/>
  <c r="NC171" i="1"/>
  <c r="MX171" i="1"/>
  <c r="MS171" i="1"/>
  <c r="MN171" i="1"/>
  <c r="MI171" i="1"/>
  <c r="MD171" i="1"/>
  <c r="LY171" i="1"/>
  <c r="LT171" i="1"/>
  <c r="LO171" i="1"/>
  <c r="LJ171" i="1"/>
  <c r="LE171" i="1"/>
  <c r="KZ171" i="1"/>
  <c r="KU171" i="1"/>
  <c r="KP171" i="1"/>
  <c r="KK171" i="1"/>
  <c r="KF171" i="1"/>
  <c r="JB171" i="1"/>
  <c r="IW171" i="1"/>
  <c r="IR171" i="1"/>
  <c r="IM171" i="1"/>
  <c r="IH171" i="1"/>
  <c r="IC171" i="1"/>
  <c r="HX171" i="1"/>
  <c r="HS171" i="1"/>
  <c r="HN171" i="1"/>
  <c r="HG171" i="1"/>
  <c r="HH171" i="1" s="1"/>
  <c r="HI171" i="1" s="1"/>
  <c r="HB171" i="1"/>
  <c r="HC171" i="1" s="1"/>
  <c r="HD171" i="1" s="1"/>
  <c r="GW171" i="1"/>
  <c r="GX171" i="1" s="1"/>
  <c r="GY171" i="1" s="1"/>
  <c r="GR171" i="1"/>
  <c r="GS171" i="1" s="1"/>
  <c r="GT171" i="1" s="1"/>
  <c r="GM171" i="1"/>
  <c r="GN171" i="1" s="1"/>
  <c r="GO171" i="1" s="1"/>
  <c r="GH171" i="1"/>
  <c r="GI171" i="1" s="1"/>
  <c r="GJ171" i="1" s="1"/>
  <c r="GC171" i="1"/>
  <c r="GD171" i="1" s="1"/>
  <c r="GE171" i="1" s="1"/>
  <c r="FX171" i="1"/>
  <c r="FY171" i="1" s="1"/>
  <c r="FZ171" i="1" s="1"/>
  <c r="FS171" i="1"/>
  <c r="FT171" i="1" s="1"/>
  <c r="FU171" i="1" s="1"/>
  <c r="FN171" i="1"/>
  <c r="FO171" i="1" s="1"/>
  <c r="FP171" i="1" s="1"/>
  <c r="FI171" i="1"/>
  <c r="FJ171" i="1" s="1"/>
  <c r="FK171" i="1" s="1"/>
  <c r="FD171" i="1"/>
  <c r="FE171" i="1" s="1"/>
  <c r="FF171" i="1" s="1"/>
  <c r="EY171" i="1"/>
  <c r="EZ171" i="1" s="1"/>
  <c r="FA171" i="1" s="1"/>
  <c r="ET171" i="1"/>
  <c r="EU171" i="1" s="1"/>
  <c r="EV171" i="1" s="1"/>
  <c r="EO171" i="1"/>
  <c r="EP171" i="1" s="1"/>
  <c r="EQ171" i="1" s="1"/>
  <c r="EJ171" i="1"/>
  <c r="EK171" i="1" s="1"/>
  <c r="EL171" i="1" s="1"/>
  <c r="EE171" i="1"/>
  <c r="EF171" i="1" s="1"/>
  <c r="EG171" i="1" s="1"/>
  <c r="DZ171" i="1"/>
  <c r="EA171" i="1" s="1"/>
  <c r="EB171" i="1" s="1"/>
  <c r="DU171" i="1"/>
  <c r="DV171" i="1" s="1"/>
  <c r="DW171" i="1" s="1"/>
  <c r="DP171" i="1"/>
  <c r="DQ171" i="1" s="1"/>
  <c r="DR171" i="1" s="1"/>
  <c r="DK171" i="1"/>
  <c r="DL171" i="1" s="1"/>
  <c r="DM171" i="1" s="1"/>
  <c r="DF171" i="1"/>
  <c r="DG171" i="1" s="1"/>
  <c r="DH171" i="1" s="1"/>
  <c r="DA171" i="1"/>
  <c r="DB171" i="1" s="1"/>
  <c r="DC171" i="1" s="1"/>
  <c r="CV171" i="1"/>
  <c r="CW171" i="1" s="1"/>
  <c r="CX171" i="1" s="1"/>
  <c r="CQ171" i="1"/>
  <c r="CR171" i="1" s="1"/>
  <c r="CS171" i="1" s="1"/>
  <c r="CL171" i="1"/>
  <c r="CM171" i="1" s="1"/>
  <c r="CN171" i="1" s="1"/>
  <c r="CG171" i="1"/>
  <c r="CH171" i="1" s="1"/>
  <c r="CI171" i="1" s="1"/>
  <c r="CB171" i="1"/>
  <c r="CC171" i="1" s="1"/>
  <c r="CD171" i="1" s="1"/>
  <c r="BW171" i="1"/>
  <c r="BX171" i="1" s="1"/>
  <c r="BY171" i="1" s="1"/>
  <c r="BR171" i="1"/>
  <c r="BS171" i="1" s="1"/>
  <c r="BT171" i="1" s="1"/>
  <c r="BM171" i="1"/>
  <c r="BN171" i="1" s="1"/>
  <c r="BO171" i="1" s="1"/>
  <c r="BH171" i="1"/>
  <c r="BI171" i="1" s="1"/>
  <c r="BJ171" i="1" s="1"/>
  <c r="BC171" i="1"/>
  <c r="BD171" i="1" s="1"/>
  <c r="BE171" i="1" s="1"/>
  <c r="AX171" i="1"/>
  <c r="AY171" i="1" s="1"/>
  <c r="AZ171" i="1" s="1"/>
  <c r="AS171" i="1"/>
  <c r="AT171" i="1" s="1"/>
  <c r="AU171" i="1" s="1"/>
  <c r="AN171" i="1"/>
  <c r="AO171" i="1" s="1"/>
  <c r="AP171" i="1" s="1"/>
  <c r="AI171" i="1"/>
  <c r="AJ171" i="1" s="1"/>
  <c r="AK171" i="1" s="1"/>
  <c r="AD171" i="1"/>
  <c r="AE171" i="1" s="1"/>
  <c r="AF171" i="1" s="1"/>
  <c r="X171" i="1"/>
  <c r="Y171" i="1" s="1"/>
  <c r="Z171" i="1" s="1"/>
  <c r="R171" i="1"/>
  <c r="S171" i="1" s="1"/>
  <c r="T171" i="1" s="1"/>
  <c r="O171" i="1"/>
  <c r="J171" i="1"/>
  <c r="PZ170" i="1"/>
  <c r="PU170" i="1"/>
  <c r="PP170" i="1"/>
  <c r="PK170" i="1"/>
  <c r="PF170" i="1"/>
  <c r="PA170" i="1"/>
  <c r="OV170" i="1"/>
  <c r="OQ170" i="1"/>
  <c r="OL170" i="1"/>
  <c r="OG170" i="1"/>
  <c r="OB170" i="1"/>
  <c r="NW170" i="1"/>
  <c r="NR170" i="1"/>
  <c r="NM170" i="1"/>
  <c r="NH170" i="1"/>
  <c r="NC170" i="1"/>
  <c r="MX170" i="1"/>
  <c r="MS170" i="1"/>
  <c r="MN170" i="1"/>
  <c r="MI170" i="1"/>
  <c r="MD170" i="1"/>
  <c r="LY170" i="1"/>
  <c r="LT170" i="1"/>
  <c r="LO170" i="1"/>
  <c r="LJ170" i="1"/>
  <c r="LE170" i="1"/>
  <c r="KZ170" i="1"/>
  <c r="KS170" i="1"/>
  <c r="KT170" i="1" s="1"/>
  <c r="KU170" i="1" s="1"/>
  <c r="KP170" i="1"/>
  <c r="KK170" i="1"/>
  <c r="KF170" i="1"/>
  <c r="JB170" i="1"/>
  <c r="IW170" i="1"/>
  <c r="IR170" i="1"/>
  <c r="IM170" i="1"/>
  <c r="IH170" i="1"/>
  <c r="IC170" i="1"/>
  <c r="HX170" i="1"/>
  <c r="HS170" i="1"/>
  <c r="HN170" i="1"/>
  <c r="HG170" i="1"/>
  <c r="HH170" i="1" s="1"/>
  <c r="HI170" i="1" s="1"/>
  <c r="HB170" i="1"/>
  <c r="HC170" i="1" s="1"/>
  <c r="HD170" i="1" s="1"/>
  <c r="GW170" i="1"/>
  <c r="GX170" i="1" s="1"/>
  <c r="GY170" i="1" s="1"/>
  <c r="GR170" i="1"/>
  <c r="GS170" i="1" s="1"/>
  <c r="GT170" i="1" s="1"/>
  <c r="GM170" i="1"/>
  <c r="GN170" i="1" s="1"/>
  <c r="GO170" i="1" s="1"/>
  <c r="GH170" i="1"/>
  <c r="GI170" i="1" s="1"/>
  <c r="GJ170" i="1" s="1"/>
  <c r="GC170" i="1"/>
  <c r="GD170" i="1" s="1"/>
  <c r="GE170" i="1" s="1"/>
  <c r="FX170" i="1"/>
  <c r="FY170" i="1" s="1"/>
  <c r="FZ170" i="1" s="1"/>
  <c r="FS170" i="1"/>
  <c r="FT170" i="1" s="1"/>
  <c r="FU170" i="1" s="1"/>
  <c r="FN170" i="1"/>
  <c r="FO170" i="1" s="1"/>
  <c r="FP170" i="1" s="1"/>
  <c r="FI170" i="1"/>
  <c r="FJ170" i="1" s="1"/>
  <c r="FK170" i="1" s="1"/>
  <c r="FD170" i="1"/>
  <c r="FE170" i="1" s="1"/>
  <c r="FF170" i="1" s="1"/>
  <c r="EY170" i="1"/>
  <c r="EZ170" i="1" s="1"/>
  <c r="FA170" i="1" s="1"/>
  <c r="ET170" i="1"/>
  <c r="EU170" i="1" s="1"/>
  <c r="EV170" i="1" s="1"/>
  <c r="EO170" i="1"/>
  <c r="EP170" i="1" s="1"/>
  <c r="EQ170" i="1" s="1"/>
  <c r="EJ170" i="1"/>
  <c r="EK170" i="1" s="1"/>
  <c r="EL170" i="1" s="1"/>
  <c r="EE170" i="1"/>
  <c r="EF170" i="1" s="1"/>
  <c r="EG170" i="1" s="1"/>
  <c r="DZ170" i="1"/>
  <c r="EA170" i="1" s="1"/>
  <c r="EB170" i="1" s="1"/>
  <c r="DU170" i="1"/>
  <c r="DV170" i="1" s="1"/>
  <c r="DW170" i="1" s="1"/>
  <c r="DP170" i="1"/>
  <c r="DQ170" i="1" s="1"/>
  <c r="DR170" i="1" s="1"/>
  <c r="DK170" i="1"/>
  <c r="DL170" i="1" s="1"/>
  <c r="DM170" i="1" s="1"/>
  <c r="DF170" i="1"/>
  <c r="DG170" i="1" s="1"/>
  <c r="DH170" i="1" s="1"/>
  <c r="DA170" i="1"/>
  <c r="DB170" i="1" s="1"/>
  <c r="DC170" i="1" s="1"/>
  <c r="CV170" i="1"/>
  <c r="CW170" i="1" s="1"/>
  <c r="CX170" i="1" s="1"/>
  <c r="CQ170" i="1"/>
  <c r="CR170" i="1" s="1"/>
  <c r="CS170" i="1" s="1"/>
  <c r="CL170" i="1"/>
  <c r="CM170" i="1" s="1"/>
  <c r="CN170" i="1" s="1"/>
  <c r="CG170" i="1"/>
  <c r="CH170" i="1" s="1"/>
  <c r="CI170" i="1" s="1"/>
  <c r="CB170" i="1"/>
  <c r="CC170" i="1" s="1"/>
  <c r="CD170" i="1" s="1"/>
  <c r="BW170" i="1"/>
  <c r="BX170" i="1" s="1"/>
  <c r="BY170" i="1" s="1"/>
  <c r="BR170" i="1"/>
  <c r="BS170" i="1" s="1"/>
  <c r="BT170" i="1" s="1"/>
  <c r="BM170" i="1"/>
  <c r="BN170" i="1" s="1"/>
  <c r="BO170" i="1" s="1"/>
  <c r="BH170" i="1"/>
  <c r="BI170" i="1" s="1"/>
  <c r="BJ170" i="1" s="1"/>
  <c r="BC170" i="1"/>
  <c r="BD170" i="1" s="1"/>
  <c r="BE170" i="1" s="1"/>
  <c r="AX170" i="1"/>
  <c r="AY170" i="1" s="1"/>
  <c r="AZ170" i="1" s="1"/>
  <c r="AS170" i="1"/>
  <c r="AT170" i="1" s="1"/>
  <c r="AU170" i="1" s="1"/>
  <c r="AN170" i="1"/>
  <c r="AO170" i="1" s="1"/>
  <c r="AP170" i="1" s="1"/>
  <c r="AI170" i="1"/>
  <c r="AJ170" i="1" s="1"/>
  <c r="AK170" i="1" s="1"/>
  <c r="AD170" i="1"/>
  <c r="AE170" i="1" s="1"/>
  <c r="AF170" i="1" s="1"/>
  <c r="X170" i="1"/>
  <c r="Y170" i="1" s="1"/>
  <c r="Z170" i="1" s="1"/>
  <c r="R170" i="1"/>
  <c r="S170" i="1" s="1"/>
  <c r="T170" i="1" s="1"/>
  <c r="O170" i="1"/>
  <c r="J170" i="1"/>
  <c r="PZ169" i="1"/>
  <c r="PU169" i="1"/>
  <c r="PP169" i="1"/>
  <c r="PK169" i="1"/>
  <c r="PF169" i="1"/>
  <c r="PA169" i="1"/>
  <c r="OV169" i="1"/>
  <c r="OQ169" i="1"/>
  <c r="OL169" i="1"/>
  <c r="OG169" i="1"/>
  <c r="OB169" i="1"/>
  <c r="NW169" i="1"/>
  <c r="NR169" i="1"/>
  <c r="NM169" i="1"/>
  <c r="NH169" i="1"/>
  <c r="NC169" i="1"/>
  <c r="MX169" i="1"/>
  <c r="MS169" i="1"/>
  <c r="MN169" i="1"/>
  <c r="MG169" i="1"/>
  <c r="MH169" i="1" s="1"/>
  <c r="MI169" i="1" s="1"/>
  <c r="MD169" i="1"/>
  <c r="LY169" i="1"/>
  <c r="LT169" i="1"/>
  <c r="LO169" i="1"/>
  <c r="LH169" i="1"/>
  <c r="LI169" i="1" s="1"/>
  <c r="LJ169" i="1" s="1"/>
  <c r="LE169" i="1"/>
  <c r="KZ169" i="1"/>
  <c r="KS169" i="1"/>
  <c r="KT169" i="1" s="1"/>
  <c r="KU169" i="1" s="1"/>
  <c r="KP169" i="1"/>
  <c r="KK169" i="1"/>
  <c r="KF169" i="1"/>
  <c r="IZ169" i="1"/>
  <c r="JA169" i="1" s="1"/>
  <c r="JB169" i="1" s="1"/>
  <c r="IU169" i="1"/>
  <c r="IV169" i="1" s="1"/>
  <c r="IW169" i="1" s="1"/>
  <c r="IP169" i="1"/>
  <c r="IQ169" i="1" s="1"/>
  <c r="IR169" i="1" s="1"/>
  <c r="IK169" i="1"/>
  <c r="IL169" i="1" s="1"/>
  <c r="IM169" i="1" s="1"/>
  <c r="IF169" i="1"/>
  <c r="IG169" i="1" s="1"/>
  <c r="IH169" i="1" s="1"/>
  <c r="IA169" i="1"/>
  <c r="IB169" i="1" s="1"/>
  <c r="IC169" i="1" s="1"/>
  <c r="HV169" i="1"/>
  <c r="HW169" i="1" s="1"/>
  <c r="HX169" i="1" s="1"/>
  <c r="HS169" i="1"/>
  <c r="HN169" i="1"/>
  <c r="HG169" i="1"/>
  <c r="HH169" i="1" s="1"/>
  <c r="HI169" i="1" s="1"/>
  <c r="HB169" i="1"/>
  <c r="HC169" i="1" s="1"/>
  <c r="HD169" i="1" s="1"/>
  <c r="GW169" i="1"/>
  <c r="GX169" i="1" s="1"/>
  <c r="GY169" i="1" s="1"/>
  <c r="GR169" i="1"/>
  <c r="GS169" i="1" s="1"/>
  <c r="GT169" i="1" s="1"/>
  <c r="GM169" i="1"/>
  <c r="GN169" i="1" s="1"/>
  <c r="GO169" i="1" s="1"/>
  <c r="GH169" i="1"/>
  <c r="GI169" i="1" s="1"/>
  <c r="GJ169" i="1" s="1"/>
  <c r="GC169" i="1"/>
  <c r="GD169" i="1" s="1"/>
  <c r="GE169" i="1" s="1"/>
  <c r="FX169" i="1"/>
  <c r="FY169" i="1" s="1"/>
  <c r="FZ169" i="1" s="1"/>
  <c r="FS169" i="1"/>
  <c r="FT169" i="1" s="1"/>
  <c r="FU169" i="1" s="1"/>
  <c r="FN169" i="1"/>
  <c r="FO169" i="1" s="1"/>
  <c r="FP169" i="1" s="1"/>
  <c r="FI169" i="1"/>
  <c r="FJ169" i="1" s="1"/>
  <c r="FK169" i="1" s="1"/>
  <c r="FD169" i="1"/>
  <c r="FE169" i="1" s="1"/>
  <c r="FF169" i="1" s="1"/>
  <c r="EY169" i="1"/>
  <c r="EZ169" i="1" s="1"/>
  <c r="FA169" i="1" s="1"/>
  <c r="ET169" i="1"/>
  <c r="EU169" i="1" s="1"/>
  <c r="EV169" i="1" s="1"/>
  <c r="EO169" i="1"/>
  <c r="EP169" i="1" s="1"/>
  <c r="EQ169" i="1" s="1"/>
  <c r="EJ169" i="1"/>
  <c r="EK169" i="1" s="1"/>
  <c r="EL169" i="1" s="1"/>
  <c r="EE169" i="1"/>
  <c r="EF169" i="1" s="1"/>
  <c r="EG169" i="1" s="1"/>
  <c r="DZ169" i="1"/>
  <c r="EA169" i="1" s="1"/>
  <c r="EB169" i="1" s="1"/>
  <c r="DU169" i="1"/>
  <c r="DV169" i="1" s="1"/>
  <c r="DW169" i="1" s="1"/>
  <c r="DP169" i="1"/>
  <c r="DQ169" i="1" s="1"/>
  <c r="DR169" i="1" s="1"/>
  <c r="DK169" i="1"/>
  <c r="DL169" i="1" s="1"/>
  <c r="DM169" i="1" s="1"/>
  <c r="DF169" i="1"/>
  <c r="DG169" i="1" s="1"/>
  <c r="DH169" i="1" s="1"/>
  <c r="DA169" i="1"/>
  <c r="DB169" i="1" s="1"/>
  <c r="DC169" i="1" s="1"/>
  <c r="CV169" i="1"/>
  <c r="CW169" i="1" s="1"/>
  <c r="CX169" i="1" s="1"/>
  <c r="CQ169" i="1"/>
  <c r="CR169" i="1" s="1"/>
  <c r="CS169" i="1" s="1"/>
  <c r="CL169" i="1"/>
  <c r="CM169" i="1" s="1"/>
  <c r="CN169" i="1" s="1"/>
  <c r="CG169" i="1"/>
  <c r="CH169" i="1" s="1"/>
  <c r="CI169" i="1" s="1"/>
  <c r="CB169" i="1"/>
  <c r="CC169" i="1" s="1"/>
  <c r="CD169" i="1" s="1"/>
  <c r="BW169" i="1"/>
  <c r="BX169" i="1" s="1"/>
  <c r="BY169" i="1" s="1"/>
  <c r="BR169" i="1"/>
  <c r="BS169" i="1" s="1"/>
  <c r="BT169" i="1" s="1"/>
  <c r="BM169" i="1"/>
  <c r="BN169" i="1" s="1"/>
  <c r="BO169" i="1" s="1"/>
  <c r="BH169" i="1"/>
  <c r="BI169" i="1" s="1"/>
  <c r="BJ169" i="1" s="1"/>
  <c r="BC169" i="1"/>
  <c r="BD169" i="1" s="1"/>
  <c r="BE169" i="1" s="1"/>
  <c r="AX169" i="1"/>
  <c r="AY169" i="1" s="1"/>
  <c r="AZ169" i="1" s="1"/>
  <c r="AS169" i="1"/>
  <c r="AT169" i="1" s="1"/>
  <c r="AU169" i="1" s="1"/>
  <c r="AN169" i="1"/>
  <c r="AO169" i="1" s="1"/>
  <c r="AP169" i="1" s="1"/>
  <c r="AI169" i="1"/>
  <c r="AJ169" i="1" s="1"/>
  <c r="AK169" i="1" s="1"/>
  <c r="AD169" i="1"/>
  <c r="AE169" i="1" s="1"/>
  <c r="AF169" i="1" s="1"/>
  <c r="X169" i="1"/>
  <c r="Y169" i="1" s="1"/>
  <c r="Z169" i="1" s="1"/>
  <c r="T169" i="1"/>
  <c r="O169" i="1"/>
  <c r="J169" i="1"/>
  <c r="PZ168" i="1"/>
  <c r="PU168" i="1"/>
  <c r="PP168" i="1"/>
  <c r="PK168" i="1"/>
  <c r="PF168" i="1"/>
  <c r="PA168" i="1"/>
  <c r="OV168" i="1"/>
  <c r="OQ168" i="1"/>
  <c r="OL168" i="1"/>
  <c r="OG168" i="1"/>
  <c r="OB168" i="1"/>
  <c r="NW168" i="1"/>
  <c r="NR168" i="1"/>
  <c r="NM168" i="1"/>
  <c r="NH168" i="1"/>
  <c r="NC168" i="1"/>
  <c r="MX168" i="1"/>
  <c r="MS168" i="1"/>
  <c r="MN168" i="1"/>
  <c r="MI168" i="1"/>
  <c r="MD168" i="1"/>
  <c r="LY168" i="1"/>
  <c r="LT168" i="1"/>
  <c r="LO168" i="1"/>
  <c r="LJ168" i="1"/>
  <c r="LC168" i="1"/>
  <c r="LD168" i="1" s="1"/>
  <c r="LE168" i="1" s="1"/>
  <c r="KZ168" i="1"/>
  <c r="KU168" i="1"/>
  <c r="KP168" i="1"/>
  <c r="KI168" i="1"/>
  <c r="KJ168" i="1" s="1"/>
  <c r="KK168" i="1" s="1"/>
  <c r="KF168" i="1"/>
  <c r="IZ168" i="1"/>
  <c r="JA168" i="1" s="1"/>
  <c r="JB168" i="1" s="1"/>
  <c r="IU168" i="1"/>
  <c r="IV168" i="1" s="1"/>
  <c r="IW168" i="1" s="1"/>
  <c r="IP168" i="1"/>
  <c r="IQ168" i="1" s="1"/>
  <c r="IR168" i="1" s="1"/>
  <c r="IK168" i="1"/>
  <c r="IL168" i="1" s="1"/>
  <c r="IM168" i="1" s="1"/>
  <c r="IF168" i="1"/>
  <c r="IG168" i="1" s="1"/>
  <c r="IH168" i="1" s="1"/>
  <c r="IA168" i="1"/>
  <c r="IB168" i="1" s="1"/>
  <c r="IC168" i="1" s="1"/>
  <c r="HV168" i="1"/>
  <c r="HW168" i="1" s="1"/>
  <c r="HX168" i="1" s="1"/>
  <c r="HS168" i="1"/>
  <c r="HN168" i="1"/>
  <c r="HG168" i="1"/>
  <c r="HH168" i="1" s="1"/>
  <c r="HI168" i="1" s="1"/>
  <c r="HB168" i="1"/>
  <c r="HC168" i="1" s="1"/>
  <c r="HD168" i="1" s="1"/>
  <c r="GW168" i="1"/>
  <c r="GX168" i="1" s="1"/>
  <c r="GY168" i="1" s="1"/>
  <c r="GR168" i="1"/>
  <c r="GS168" i="1" s="1"/>
  <c r="GT168" i="1" s="1"/>
  <c r="GM168" i="1"/>
  <c r="GN168" i="1" s="1"/>
  <c r="GO168" i="1" s="1"/>
  <c r="GH168" i="1"/>
  <c r="GI168" i="1" s="1"/>
  <c r="GJ168" i="1" s="1"/>
  <c r="GC168" i="1"/>
  <c r="GD168" i="1" s="1"/>
  <c r="GE168" i="1" s="1"/>
  <c r="FX168" i="1"/>
  <c r="FY168" i="1" s="1"/>
  <c r="FZ168" i="1" s="1"/>
  <c r="FS168" i="1"/>
  <c r="FT168" i="1" s="1"/>
  <c r="FU168" i="1" s="1"/>
  <c r="FN168" i="1"/>
  <c r="FO168" i="1" s="1"/>
  <c r="FP168" i="1" s="1"/>
  <c r="FI168" i="1"/>
  <c r="FJ168" i="1" s="1"/>
  <c r="FK168" i="1" s="1"/>
  <c r="FD168" i="1"/>
  <c r="FE168" i="1" s="1"/>
  <c r="FF168" i="1" s="1"/>
  <c r="EY168" i="1"/>
  <c r="EZ168" i="1" s="1"/>
  <c r="FA168" i="1" s="1"/>
  <c r="ET168" i="1"/>
  <c r="EU168" i="1" s="1"/>
  <c r="EV168" i="1" s="1"/>
  <c r="EO168" i="1"/>
  <c r="EP168" i="1" s="1"/>
  <c r="EQ168" i="1" s="1"/>
  <c r="EJ168" i="1"/>
  <c r="EK168" i="1" s="1"/>
  <c r="EL168" i="1" s="1"/>
  <c r="EE168" i="1"/>
  <c r="EF168" i="1" s="1"/>
  <c r="EG168" i="1" s="1"/>
  <c r="DZ168" i="1"/>
  <c r="EA168" i="1" s="1"/>
  <c r="EB168" i="1" s="1"/>
  <c r="DU168" i="1"/>
  <c r="DV168" i="1" s="1"/>
  <c r="DW168" i="1" s="1"/>
  <c r="DP168" i="1"/>
  <c r="DQ168" i="1" s="1"/>
  <c r="DR168" i="1" s="1"/>
  <c r="DK168" i="1"/>
  <c r="DL168" i="1" s="1"/>
  <c r="DM168" i="1" s="1"/>
  <c r="DF168" i="1"/>
  <c r="DG168" i="1" s="1"/>
  <c r="DH168" i="1" s="1"/>
  <c r="DA168" i="1"/>
  <c r="DB168" i="1" s="1"/>
  <c r="DC168" i="1" s="1"/>
  <c r="CV168" i="1"/>
  <c r="CW168" i="1" s="1"/>
  <c r="CX168" i="1" s="1"/>
  <c r="CQ168" i="1"/>
  <c r="CR168" i="1" s="1"/>
  <c r="CS168" i="1" s="1"/>
  <c r="CL168" i="1"/>
  <c r="CM168" i="1" s="1"/>
  <c r="CN168" i="1" s="1"/>
  <c r="CG168" i="1"/>
  <c r="CH168" i="1" s="1"/>
  <c r="CI168" i="1" s="1"/>
  <c r="CB168" i="1"/>
  <c r="CC168" i="1" s="1"/>
  <c r="CD168" i="1" s="1"/>
  <c r="BW168" i="1"/>
  <c r="BX168" i="1" s="1"/>
  <c r="BY168" i="1" s="1"/>
  <c r="BR168" i="1"/>
  <c r="BS168" i="1" s="1"/>
  <c r="BT168" i="1" s="1"/>
  <c r="BM168" i="1"/>
  <c r="BN168" i="1" s="1"/>
  <c r="BO168" i="1" s="1"/>
  <c r="BH168" i="1"/>
  <c r="BI168" i="1" s="1"/>
  <c r="BJ168" i="1" s="1"/>
  <c r="BC168" i="1"/>
  <c r="BD168" i="1" s="1"/>
  <c r="BE168" i="1" s="1"/>
  <c r="AX168" i="1"/>
  <c r="AY168" i="1" s="1"/>
  <c r="AZ168" i="1" s="1"/>
  <c r="AS168" i="1"/>
  <c r="AT168" i="1" s="1"/>
  <c r="AU168" i="1" s="1"/>
  <c r="AN168" i="1"/>
  <c r="AO168" i="1" s="1"/>
  <c r="AP168" i="1" s="1"/>
  <c r="AI168" i="1"/>
  <c r="AJ168" i="1" s="1"/>
  <c r="AK168" i="1" s="1"/>
  <c r="AD168" i="1"/>
  <c r="AE168" i="1" s="1"/>
  <c r="AF168" i="1" s="1"/>
  <c r="X168" i="1"/>
  <c r="Y168" i="1" s="1"/>
  <c r="Z168" i="1" s="1"/>
  <c r="R168" i="1"/>
  <c r="S168" i="1" s="1"/>
  <c r="T168" i="1" s="1"/>
  <c r="O168" i="1"/>
  <c r="J168" i="1"/>
  <c r="PZ167" i="1"/>
  <c r="PU167" i="1"/>
  <c r="PP167" i="1"/>
  <c r="PK167" i="1"/>
  <c r="PF167" i="1"/>
  <c r="PA167" i="1"/>
  <c r="OV167" i="1"/>
  <c r="OQ167" i="1"/>
  <c r="OL167" i="1"/>
  <c r="OG167" i="1"/>
  <c r="OB167" i="1"/>
  <c r="NW167" i="1"/>
  <c r="NP167" i="1"/>
  <c r="NQ167" i="1" s="1"/>
  <c r="NR167" i="1" s="1"/>
  <c r="NM167" i="1"/>
  <c r="NH167" i="1"/>
  <c r="NC167" i="1"/>
  <c r="MX167" i="1"/>
  <c r="MS167" i="1"/>
  <c r="ML167" i="1"/>
  <c r="MM167" i="1" s="1"/>
  <c r="MN167" i="1" s="1"/>
  <c r="MG167" i="1"/>
  <c r="MH167" i="1" s="1"/>
  <c r="MI167" i="1" s="1"/>
  <c r="MB167" i="1"/>
  <c r="MC167" i="1" s="1"/>
  <c r="MD167" i="1" s="1"/>
  <c r="LW167" i="1"/>
  <c r="LX167" i="1" s="1"/>
  <c r="LY167" i="1" s="1"/>
  <c r="LT167" i="1"/>
  <c r="LO167" i="1"/>
  <c r="LJ167" i="1"/>
  <c r="LE167" i="1"/>
  <c r="KZ167" i="1"/>
  <c r="KS167" i="1"/>
  <c r="KT167" i="1" s="1"/>
  <c r="KU167" i="1" s="1"/>
  <c r="KN167" i="1"/>
  <c r="KO167" i="1" s="1"/>
  <c r="KP167" i="1" s="1"/>
  <c r="KK167" i="1"/>
  <c r="KF167" i="1"/>
  <c r="JB167" i="1"/>
  <c r="IW167" i="1"/>
  <c r="IR167" i="1"/>
  <c r="IM167" i="1"/>
  <c r="IH167" i="1"/>
  <c r="IC167" i="1"/>
  <c r="HX167" i="1"/>
  <c r="HS167" i="1"/>
  <c r="HN167" i="1"/>
  <c r="HG167" i="1"/>
  <c r="HH167" i="1" s="1"/>
  <c r="HI167" i="1" s="1"/>
  <c r="HB167" i="1"/>
  <c r="HC167" i="1" s="1"/>
  <c r="HD167" i="1" s="1"/>
  <c r="GW167" i="1"/>
  <c r="GX167" i="1" s="1"/>
  <c r="GY167" i="1" s="1"/>
  <c r="GR167" i="1"/>
  <c r="GS167" i="1" s="1"/>
  <c r="GT167" i="1" s="1"/>
  <c r="GM167" i="1"/>
  <c r="GN167" i="1" s="1"/>
  <c r="GO167" i="1" s="1"/>
  <c r="GH167" i="1"/>
  <c r="GI167" i="1" s="1"/>
  <c r="GJ167" i="1" s="1"/>
  <c r="GC167" i="1"/>
  <c r="GD167" i="1" s="1"/>
  <c r="GE167" i="1" s="1"/>
  <c r="FX167" i="1"/>
  <c r="FY167" i="1" s="1"/>
  <c r="FZ167" i="1" s="1"/>
  <c r="FS167" i="1"/>
  <c r="FT167" i="1" s="1"/>
  <c r="FU167" i="1" s="1"/>
  <c r="FN167" i="1"/>
  <c r="FO167" i="1" s="1"/>
  <c r="FP167" i="1" s="1"/>
  <c r="FI167" i="1"/>
  <c r="FJ167" i="1" s="1"/>
  <c r="FK167" i="1" s="1"/>
  <c r="FD167" i="1"/>
  <c r="FE167" i="1" s="1"/>
  <c r="FF167" i="1" s="1"/>
  <c r="EY167" i="1"/>
  <c r="EZ167" i="1" s="1"/>
  <c r="FA167" i="1" s="1"/>
  <c r="ET167" i="1"/>
  <c r="EU167" i="1" s="1"/>
  <c r="EV167" i="1" s="1"/>
  <c r="EO167" i="1"/>
  <c r="EP167" i="1" s="1"/>
  <c r="EQ167" i="1" s="1"/>
  <c r="EJ167" i="1"/>
  <c r="EK167" i="1" s="1"/>
  <c r="EL167" i="1" s="1"/>
  <c r="EE167" i="1"/>
  <c r="EF167" i="1" s="1"/>
  <c r="EG167" i="1" s="1"/>
  <c r="DZ167" i="1"/>
  <c r="EA167" i="1" s="1"/>
  <c r="EB167" i="1" s="1"/>
  <c r="DU167" i="1"/>
  <c r="DV167" i="1" s="1"/>
  <c r="DW167" i="1" s="1"/>
  <c r="DP167" i="1"/>
  <c r="DQ167" i="1" s="1"/>
  <c r="DR167" i="1" s="1"/>
  <c r="DK167" i="1"/>
  <c r="DL167" i="1" s="1"/>
  <c r="DM167" i="1" s="1"/>
  <c r="DF167" i="1"/>
  <c r="DG167" i="1" s="1"/>
  <c r="DH167" i="1" s="1"/>
  <c r="DA167" i="1"/>
  <c r="DB167" i="1" s="1"/>
  <c r="DC167" i="1" s="1"/>
  <c r="CV167" i="1"/>
  <c r="CW167" i="1" s="1"/>
  <c r="CX167" i="1" s="1"/>
  <c r="CQ167" i="1"/>
  <c r="CR167" i="1" s="1"/>
  <c r="CS167" i="1" s="1"/>
  <c r="CL167" i="1"/>
  <c r="CM167" i="1" s="1"/>
  <c r="CN167" i="1" s="1"/>
  <c r="CG167" i="1"/>
  <c r="CH167" i="1" s="1"/>
  <c r="CI167" i="1" s="1"/>
  <c r="CB167" i="1"/>
  <c r="CC167" i="1" s="1"/>
  <c r="CD167" i="1" s="1"/>
  <c r="BW167" i="1"/>
  <c r="BX167" i="1" s="1"/>
  <c r="BY167" i="1" s="1"/>
  <c r="BR167" i="1"/>
  <c r="BS167" i="1" s="1"/>
  <c r="BT167" i="1" s="1"/>
  <c r="BM167" i="1"/>
  <c r="BN167" i="1" s="1"/>
  <c r="BO167" i="1" s="1"/>
  <c r="BH167" i="1"/>
  <c r="BI167" i="1" s="1"/>
  <c r="BJ167" i="1" s="1"/>
  <c r="BC167" i="1"/>
  <c r="BD167" i="1" s="1"/>
  <c r="BE167" i="1" s="1"/>
  <c r="AX167" i="1"/>
  <c r="AY167" i="1" s="1"/>
  <c r="AZ167" i="1" s="1"/>
  <c r="AS167" i="1"/>
  <c r="AT167" i="1" s="1"/>
  <c r="AU167" i="1" s="1"/>
  <c r="AN167" i="1"/>
  <c r="AO167" i="1" s="1"/>
  <c r="AP167" i="1" s="1"/>
  <c r="AI167" i="1"/>
  <c r="AJ167" i="1" s="1"/>
  <c r="AK167" i="1" s="1"/>
  <c r="AD167" i="1"/>
  <c r="AE167" i="1" s="1"/>
  <c r="AF167" i="1" s="1"/>
  <c r="X167" i="1"/>
  <c r="Y167" i="1" s="1"/>
  <c r="Z167" i="1" s="1"/>
  <c r="R167" i="1"/>
  <c r="S167" i="1" s="1"/>
  <c r="T167" i="1" s="1"/>
  <c r="O167" i="1"/>
  <c r="J167" i="1"/>
  <c r="PZ166" i="1"/>
  <c r="PU166" i="1"/>
  <c r="PP166" i="1"/>
  <c r="PK166" i="1"/>
  <c r="PF166" i="1"/>
  <c r="PA166" i="1"/>
  <c r="OV166" i="1"/>
  <c r="OQ166" i="1"/>
  <c r="OL166" i="1"/>
  <c r="OG166" i="1"/>
  <c r="OB166" i="1"/>
  <c r="NW166" i="1"/>
  <c r="NR166" i="1"/>
  <c r="NM166" i="1"/>
  <c r="NH166" i="1"/>
  <c r="NC166" i="1"/>
  <c r="MX166" i="1"/>
  <c r="MS166" i="1"/>
  <c r="MN166" i="1"/>
  <c r="MI166" i="1"/>
  <c r="MB166" i="1"/>
  <c r="MC166" i="1" s="1"/>
  <c r="MD166" i="1" s="1"/>
  <c r="LW166" i="1"/>
  <c r="LX166" i="1" s="1"/>
  <c r="LY166" i="1" s="1"/>
  <c r="LT166" i="1"/>
  <c r="LO166" i="1"/>
  <c r="LJ166" i="1"/>
  <c r="LC166" i="1"/>
  <c r="LD166" i="1" s="1"/>
  <c r="LE166" i="1" s="1"/>
  <c r="KZ166" i="1"/>
  <c r="KS166" i="1"/>
  <c r="KT166" i="1" s="1"/>
  <c r="KU166" i="1" s="1"/>
  <c r="KP166" i="1"/>
  <c r="KK166" i="1"/>
  <c r="KF166" i="1"/>
  <c r="IZ166" i="1"/>
  <c r="JA166" i="1" s="1"/>
  <c r="JB166" i="1" s="1"/>
  <c r="IU166" i="1"/>
  <c r="IV166" i="1" s="1"/>
  <c r="IW166" i="1" s="1"/>
  <c r="IP166" i="1"/>
  <c r="IQ166" i="1" s="1"/>
  <c r="IR166" i="1" s="1"/>
  <c r="IK166" i="1"/>
  <c r="IL166" i="1" s="1"/>
  <c r="IM166" i="1" s="1"/>
  <c r="IF166" i="1"/>
  <c r="IG166" i="1" s="1"/>
  <c r="IH166" i="1" s="1"/>
  <c r="IA166" i="1"/>
  <c r="IB166" i="1" s="1"/>
  <c r="IC166" i="1" s="1"/>
  <c r="HV166" i="1"/>
  <c r="HW166" i="1" s="1"/>
  <c r="HX166" i="1" s="1"/>
  <c r="HQ166" i="1"/>
  <c r="HR166" i="1" s="1"/>
  <c r="HS166" i="1" s="1"/>
  <c r="HL166" i="1"/>
  <c r="HM166" i="1" s="1"/>
  <c r="HN166" i="1" s="1"/>
  <c r="HG166" i="1"/>
  <c r="HH166" i="1" s="1"/>
  <c r="HI166" i="1" s="1"/>
  <c r="HB166" i="1"/>
  <c r="HC166" i="1" s="1"/>
  <c r="HD166" i="1" s="1"/>
  <c r="GW166" i="1"/>
  <c r="GX166" i="1" s="1"/>
  <c r="GY166" i="1" s="1"/>
  <c r="GR166" i="1"/>
  <c r="GS166" i="1" s="1"/>
  <c r="GT166" i="1" s="1"/>
  <c r="GM166" i="1"/>
  <c r="GN166" i="1" s="1"/>
  <c r="GO166" i="1" s="1"/>
  <c r="GH166" i="1"/>
  <c r="GI166" i="1" s="1"/>
  <c r="GJ166" i="1" s="1"/>
  <c r="GC166" i="1"/>
  <c r="GD166" i="1" s="1"/>
  <c r="GE166" i="1" s="1"/>
  <c r="FX166" i="1"/>
  <c r="FY166" i="1" s="1"/>
  <c r="FZ166" i="1" s="1"/>
  <c r="FS166" i="1"/>
  <c r="FT166" i="1" s="1"/>
  <c r="FU166" i="1" s="1"/>
  <c r="FN166" i="1"/>
  <c r="FO166" i="1" s="1"/>
  <c r="FP166" i="1" s="1"/>
  <c r="FI166" i="1"/>
  <c r="FJ166" i="1" s="1"/>
  <c r="FK166" i="1" s="1"/>
  <c r="FD166" i="1"/>
  <c r="FE166" i="1" s="1"/>
  <c r="FF166" i="1" s="1"/>
  <c r="EY166" i="1"/>
  <c r="EZ166" i="1" s="1"/>
  <c r="FA166" i="1" s="1"/>
  <c r="ET166" i="1"/>
  <c r="EU166" i="1" s="1"/>
  <c r="EV166" i="1" s="1"/>
  <c r="EO166" i="1"/>
  <c r="EP166" i="1" s="1"/>
  <c r="EQ166" i="1" s="1"/>
  <c r="EJ166" i="1"/>
  <c r="EK166" i="1" s="1"/>
  <c r="EL166" i="1" s="1"/>
  <c r="EE166" i="1"/>
  <c r="EF166" i="1" s="1"/>
  <c r="EG166" i="1" s="1"/>
  <c r="DZ166" i="1"/>
  <c r="EA166" i="1" s="1"/>
  <c r="EB166" i="1" s="1"/>
  <c r="DU166" i="1"/>
  <c r="DV166" i="1" s="1"/>
  <c r="DW166" i="1" s="1"/>
  <c r="DP166" i="1"/>
  <c r="DQ166" i="1" s="1"/>
  <c r="DR166" i="1" s="1"/>
  <c r="DK166" i="1"/>
  <c r="DL166" i="1" s="1"/>
  <c r="DM166" i="1" s="1"/>
  <c r="DF166" i="1"/>
  <c r="DG166" i="1" s="1"/>
  <c r="DH166" i="1" s="1"/>
  <c r="DA166" i="1"/>
  <c r="DB166" i="1" s="1"/>
  <c r="DC166" i="1" s="1"/>
  <c r="CV166" i="1"/>
  <c r="CW166" i="1" s="1"/>
  <c r="CX166" i="1" s="1"/>
  <c r="CQ166" i="1"/>
  <c r="CR166" i="1" s="1"/>
  <c r="CS166" i="1" s="1"/>
  <c r="CL166" i="1"/>
  <c r="CM166" i="1" s="1"/>
  <c r="CN166" i="1" s="1"/>
  <c r="CG166" i="1"/>
  <c r="CH166" i="1" s="1"/>
  <c r="CI166" i="1" s="1"/>
  <c r="CB166" i="1"/>
  <c r="CC166" i="1" s="1"/>
  <c r="CD166" i="1" s="1"/>
  <c r="BW166" i="1"/>
  <c r="BX166" i="1" s="1"/>
  <c r="BY166" i="1" s="1"/>
  <c r="BR166" i="1"/>
  <c r="BS166" i="1" s="1"/>
  <c r="BT166" i="1" s="1"/>
  <c r="BM166" i="1"/>
  <c r="BN166" i="1" s="1"/>
  <c r="BO166" i="1" s="1"/>
  <c r="BH166" i="1"/>
  <c r="BI166" i="1" s="1"/>
  <c r="BJ166" i="1" s="1"/>
  <c r="BC166" i="1"/>
  <c r="BD166" i="1" s="1"/>
  <c r="BE166" i="1" s="1"/>
  <c r="AX166" i="1"/>
  <c r="AY166" i="1" s="1"/>
  <c r="AZ166" i="1" s="1"/>
  <c r="AS166" i="1"/>
  <c r="AT166" i="1" s="1"/>
  <c r="AU166" i="1" s="1"/>
  <c r="AN166" i="1"/>
  <c r="AO166" i="1" s="1"/>
  <c r="AP166" i="1" s="1"/>
  <c r="AI166" i="1"/>
  <c r="AJ166" i="1" s="1"/>
  <c r="AK166" i="1" s="1"/>
  <c r="AD166" i="1"/>
  <c r="AE166" i="1" s="1"/>
  <c r="AF166" i="1" s="1"/>
  <c r="X166" i="1"/>
  <c r="Y166" i="1" s="1"/>
  <c r="Z166" i="1" s="1"/>
  <c r="T166" i="1"/>
  <c r="O166" i="1"/>
  <c r="J166" i="1"/>
  <c r="PZ165" i="1"/>
  <c r="PU165" i="1"/>
  <c r="PP165" i="1"/>
  <c r="PK165" i="1"/>
  <c r="PF165" i="1"/>
  <c r="PA165" i="1"/>
  <c r="OV165" i="1"/>
  <c r="OQ165" i="1"/>
  <c r="OL165" i="1"/>
  <c r="OG165" i="1"/>
  <c r="OB165" i="1"/>
  <c r="NW165" i="1"/>
  <c r="NR165" i="1"/>
  <c r="NM165" i="1"/>
  <c r="NH165" i="1"/>
  <c r="NC165" i="1"/>
  <c r="MX165" i="1"/>
  <c r="MS165" i="1"/>
  <c r="MN165" i="1"/>
  <c r="MI165" i="1"/>
  <c r="MD165" i="1"/>
  <c r="LY165" i="1"/>
  <c r="LT165" i="1"/>
  <c r="LO165" i="1"/>
  <c r="LJ165" i="1"/>
  <c r="LE165" i="1"/>
  <c r="KZ165" i="1"/>
  <c r="KU165" i="1"/>
  <c r="KP165" i="1"/>
  <c r="KK165" i="1"/>
  <c r="KF165" i="1"/>
  <c r="JB165" i="1"/>
  <c r="IW165" i="1"/>
  <c r="IR165" i="1"/>
  <c r="IM165" i="1"/>
  <c r="IH165" i="1"/>
  <c r="IC165" i="1"/>
  <c r="HX165" i="1"/>
  <c r="HS165" i="1"/>
  <c r="HN165" i="1"/>
  <c r="HI165" i="1"/>
  <c r="HB165" i="1"/>
  <c r="HC165" i="1" s="1"/>
  <c r="HD165" i="1" s="1"/>
  <c r="GW165" i="1"/>
  <c r="GX165" i="1" s="1"/>
  <c r="GY165" i="1" s="1"/>
  <c r="GR165" i="1"/>
  <c r="GS165" i="1" s="1"/>
  <c r="GT165" i="1" s="1"/>
  <c r="GM165" i="1"/>
  <c r="GN165" i="1" s="1"/>
  <c r="GO165" i="1" s="1"/>
  <c r="GH165" i="1"/>
  <c r="GI165" i="1" s="1"/>
  <c r="GJ165" i="1" s="1"/>
  <c r="GC165" i="1"/>
  <c r="GD165" i="1" s="1"/>
  <c r="GE165" i="1" s="1"/>
  <c r="FX165" i="1"/>
  <c r="FY165" i="1" s="1"/>
  <c r="FZ165" i="1" s="1"/>
  <c r="FS165" i="1"/>
  <c r="FT165" i="1" s="1"/>
  <c r="FU165" i="1" s="1"/>
  <c r="FN165" i="1"/>
  <c r="FO165" i="1" s="1"/>
  <c r="FP165" i="1" s="1"/>
  <c r="FI165" i="1"/>
  <c r="FJ165" i="1" s="1"/>
  <c r="FK165" i="1" s="1"/>
  <c r="FD165" i="1"/>
  <c r="FE165" i="1" s="1"/>
  <c r="FF165" i="1" s="1"/>
  <c r="EY165" i="1"/>
  <c r="EZ165" i="1" s="1"/>
  <c r="FA165" i="1" s="1"/>
  <c r="ET165" i="1"/>
  <c r="EU165" i="1" s="1"/>
  <c r="EV165" i="1" s="1"/>
  <c r="EO165" i="1"/>
  <c r="EP165" i="1" s="1"/>
  <c r="EQ165" i="1" s="1"/>
  <c r="EJ165" i="1"/>
  <c r="EK165" i="1" s="1"/>
  <c r="EL165" i="1" s="1"/>
  <c r="EE165" i="1"/>
  <c r="EF165" i="1" s="1"/>
  <c r="EG165" i="1" s="1"/>
  <c r="DZ165" i="1"/>
  <c r="EA165" i="1" s="1"/>
  <c r="EB165" i="1" s="1"/>
  <c r="DU165" i="1"/>
  <c r="DV165" i="1" s="1"/>
  <c r="DW165" i="1" s="1"/>
  <c r="DP165" i="1"/>
  <c r="DQ165" i="1" s="1"/>
  <c r="DR165" i="1" s="1"/>
  <c r="DK165" i="1"/>
  <c r="DL165" i="1" s="1"/>
  <c r="DM165" i="1" s="1"/>
  <c r="DF165" i="1"/>
  <c r="DG165" i="1" s="1"/>
  <c r="DH165" i="1" s="1"/>
  <c r="DA165" i="1"/>
  <c r="DB165" i="1" s="1"/>
  <c r="DC165" i="1" s="1"/>
  <c r="CV165" i="1"/>
  <c r="CW165" i="1" s="1"/>
  <c r="CX165" i="1" s="1"/>
  <c r="CQ165" i="1"/>
  <c r="CR165" i="1" s="1"/>
  <c r="CS165" i="1" s="1"/>
  <c r="CL165" i="1"/>
  <c r="CM165" i="1" s="1"/>
  <c r="CN165" i="1" s="1"/>
  <c r="CG165" i="1"/>
  <c r="CH165" i="1" s="1"/>
  <c r="CI165" i="1" s="1"/>
  <c r="CB165" i="1"/>
  <c r="CC165" i="1" s="1"/>
  <c r="CD165" i="1" s="1"/>
  <c r="BW165" i="1"/>
  <c r="BX165" i="1" s="1"/>
  <c r="BY165" i="1" s="1"/>
  <c r="BR165" i="1"/>
  <c r="BS165" i="1" s="1"/>
  <c r="BT165" i="1" s="1"/>
  <c r="BM165" i="1"/>
  <c r="BN165" i="1" s="1"/>
  <c r="BO165" i="1" s="1"/>
  <c r="BH165" i="1"/>
  <c r="BI165" i="1" s="1"/>
  <c r="BJ165" i="1" s="1"/>
  <c r="BC165" i="1"/>
  <c r="BD165" i="1" s="1"/>
  <c r="BE165" i="1" s="1"/>
  <c r="AX165" i="1"/>
  <c r="AY165" i="1" s="1"/>
  <c r="AZ165" i="1" s="1"/>
  <c r="AS165" i="1"/>
  <c r="AT165" i="1" s="1"/>
  <c r="AU165" i="1" s="1"/>
  <c r="AN165" i="1"/>
  <c r="AO165" i="1" s="1"/>
  <c r="AP165" i="1" s="1"/>
  <c r="AI165" i="1"/>
  <c r="AJ165" i="1" s="1"/>
  <c r="AK165" i="1" s="1"/>
  <c r="X165" i="1"/>
  <c r="Y165" i="1" s="1"/>
  <c r="Z165" i="1" s="1"/>
  <c r="T165" i="1"/>
  <c r="O165" i="1"/>
  <c r="H165" i="1"/>
  <c r="I165" i="1" s="1"/>
  <c r="J165" i="1" s="1"/>
  <c r="PZ164" i="1"/>
  <c r="PU164" i="1"/>
  <c r="PP164" i="1"/>
  <c r="PK164" i="1"/>
  <c r="PF164" i="1"/>
  <c r="PA164" i="1"/>
  <c r="OV164" i="1"/>
  <c r="OQ164" i="1"/>
  <c r="OL164" i="1"/>
  <c r="OG164" i="1"/>
  <c r="OB164" i="1"/>
  <c r="NW164" i="1"/>
  <c r="NR164" i="1"/>
  <c r="NM164" i="1"/>
  <c r="NH164" i="1"/>
  <c r="NC164" i="1"/>
  <c r="MX164" i="1"/>
  <c r="MS164" i="1"/>
  <c r="MN164" i="1"/>
  <c r="MI164" i="1"/>
  <c r="MD164" i="1"/>
  <c r="LY164" i="1"/>
  <c r="LT164" i="1"/>
  <c r="LO164" i="1"/>
  <c r="LJ164" i="1"/>
  <c r="LE164" i="1"/>
  <c r="KZ164" i="1"/>
  <c r="KU164" i="1"/>
  <c r="KP164" i="1"/>
  <c r="KK164" i="1"/>
  <c r="KF164" i="1"/>
  <c r="JB164" i="1"/>
  <c r="IW164" i="1"/>
  <c r="IR164" i="1"/>
  <c r="IM164" i="1"/>
  <c r="IH164" i="1"/>
  <c r="IC164" i="1"/>
  <c r="HX164" i="1"/>
  <c r="HS164" i="1"/>
  <c r="HN164" i="1"/>
  <c r="HG164" i="1"/>
  <c r="HH164" i="1" s="1"/>
  <c r="HI164" i="1" s="1"/>
  <c r="HB164" i="1"/>
  <c r="HC164" i="1" s="1"/>
  <c r="HD164" i="1" s="1"/>
  <c r="GW164" i="1"/>
  <c r="GX164" i="1" s="1"/>
  <c r="GY164" i="1" s="1"/>
  <c r="GR164" i="1"/>
  <c r="GS164" i="1" s="1"/>
  <c r="GT164" i="1" s="1"/>
  <c r="GM164" i="1"/>
  <c r="GN164" i="1" s="1"/>
  <c r="GO164" i="1" s="1"/>
  <c r="GH164" i="1"/>
  <c r="GI164" i="1" s="1"/>
  <c r="GJ164" i="1" s="1"/>
  <c r="GC164" i="1"/>
  <c r="GD164" i="1" s="1"/>
  <c r="GE164" i="1" s="1"/>
  <c r="FX164" i="1"/>
  <c r="FY164" i="1" s="1"/>
  <c r="FZ164" i="1" s="1"/>
  <c r="FS164" i="1"/>
  <c r="FT164" i="1" s="1"/>
  <c r="FU164" i="1" s="1"/>
  <c r="FN164" i="1"/>
  <c r="FO164" i="1" s="1"/>
  <c r="FP164" i="1" s="1"/>
  <c r="FI164" i="1"/>
  <c r="FJ164" i="1" s="1"/>
  <c r="FK164" i="1" s="1"/>
  <c r="FD164" i="1"/>
  <c r="FE164" i="1" s="1"/>
  <c r="FF164" i="1" s="1"/>
  <c r="EY164" i="1"/>
  <c r="EZ164" i="1" s="1"/>
  <c r="FA164" i="1" s="1"/>
  <c r="ET164" i="1"/>
  <c r="EU164" i="1" s="1"/>
  <c r="EV164" i="1" s="1"/>
  <c r="EO164" i="1"/>
  <c r="EP164" i="1" s="1"/>
  <c r="EQ164" i="1" s="1"/>
  <c r="EJ164" i="1"/>
  <c r="EK164" i="1" s="1"/>
  <c r="EL164" i="1" s="1"/>
  <c r="EE164" i="1"/>
  <c r="EF164" i="1" s="1"/>
  <c r="EG164" i="1" s="1"/>
  <c r="DZ164" i="1"/>
  <c r="EA164" i="1" s="1"/>
  <c r="EB164" i="1" s="1"/>
  <c r="DU164" i="1"/>
  <c r="DV164" i="1" s="1"/>
  <c r="DW164" i="1" s="1"/>
  <c r="DP164" i="1"/>
  <c r="DQ164" i="1" s="1"/>
  <c r="DR164" i="1" s="1"/>
  <c r="DK164" i="1"/>
  <c r="DL164" i="1" s="1"/>
  <c r="DM164" i="1" s="1"/>
  <c r="DF164" i="1"/>
  <c r="DG164" i="1" s="1"/>
  <c r="DH164" i="1" s="1"/>
  <c r="DA164" i="1"/>
  <c r="DB164" i="1" s="1"/>
  <c r="DC164" i="1" s="1"/>
  <c r="CV164" i="1"/>
  <c r="CW164" i="1" s="1"/>
  <c r="CX164" i="1" s="1"/>
  <c r="CQ164" i="1"/>
  <c r="CR164" i="1" s="1"/>
  <c r="CS164" i="1" s="1"/>
  <c r="CL164" i="1"/>
  <c r="CM164" i="1" s="1"/>
  <c r="CN164" i="1" s="1"/>
  <c r="CG164" i="1"/>
  <c r="CH164" i="1" s="1"/>
  <c r="CI164" i="1" s="1"/>
  <c r="CB164" i="1"/>
  <c r="CC164" i="1" s="1"/>
  <c r="CD164" i="1" s="1"/>
  <c r="BW164" i="1"/>
  <c r="BX164" i="1" s="1"/>
  <c r="BY164" i="1" s="1"/>
  <c r="BR164" i="1"/>
  <c r="BS164" i="1" s="1"/>
  <c r="BT164" i="1" s="1"/>
  <c r="BM164" i="1"/>
  <c r="BN164" i="1" s="1"/>
  <c r="BO164" i="1" s="1"/>
  <c r="BH164" i="1"/>
  <c r="BI164" i="1" s="1"/>
  <c r="BJ164" i="1" s="1"/>
  <c r="BC164" i="1"/>
  <c r="BD164" i="1" s="1"/>
  <c r="BE164" i="1" s="1"/>
  <c r="AX164" i="1"/>
  <c r="AY164" i="1" s="1"/>
  <c r="AZ164" i="1" s="1"/>
  <c r="AS164" i="1"/>
  <c r="AT164" i="1" s="1"/>
  <c r="AU164" i="1" s="1"/>
  <c r="AN164" i="1"/>
  <c r="AO164" i="1" s="1"/>
  <c r="AP164" i="1" s="1"/>
  <c r="AI164" i="1"/>
  <c r="AJ164" i="1" s="1"/>
  <c r="AK164" i="1" s="1"/>
  <c r="AD164" i="1"/>
  <c r="AE164" i="1" s="1"/>
  <c r="AF164" i="1" s="1"/>
  <c r="X164" i="1"/>
  <c r="Y164" i="1" s="1"/>
  <c r="Z164" i="1" s="1"/>
  <c r="T164" i="1"/>
  <c r="O164" i="1"/>
  <c r="J164" i="1"/>
  <c r="PZ163" i="1"/>
  <c r="PU163" i="1"/>
  <c r="PP163" i="1"/>
  <c r="PK163" i="1"/>
  <c r="PF163" i="1"/>
  <c r="PA163" i="1"/>
  <c r="OV163" i="1"/>
  <c r="OQ163" i="1"/>
  <c r="OL163" i="1"/>
  <c r="OG163" i="1"/>
  <c r="OB163" i="1"/>
  <c r="NW163" i="1"/>
  <c r="NR163" i="1"/>
  <c r="NM163" i="1"/>
  <c r="NH163" i="1"/>
  <c r="NC163" i="1"/>
  <c r="MX163" i="1"/>
  <c r="MS163" i="1"/>
  <c r="MN163" i="1"/>
  <c r="MI163" i="1"/>
  <c r="MD163" i="1"/>
  <c r="LY163" i="1"/>
  <c r="LT163" i="1"/>
  <c r="LO163" i="1"/>
  <c r="LJ163" i="1"/>
  <c r="LE163" i="1"/>
  <c r="KZ163" i="1"/>
  <c r="KS163" i="1"/>
  <c r="KT163" i="1" s="1"/>
  <c r="KU163" i="1" s="1"/>
  <c r="KP163" i="1"/>
  <c r="KK163" i="1"/>
  <c r="KF163" i="1"/>
  <c r="JB163" i="1"/>
  <c r="IW163" i="1"/>
  <c r="IR163" i="1"/>
  <c r="IM163" i="1"/>
  <c r="IH163" i="1"/>
  <c r="IC163" i="1"/>
  <c r="HX163" i="1"/>
  <c r="HS163" i="1"/>
  <c r="HN163" i="1"/>
  <c r="HI163" i="1"/>
  <c r="HB163" i="1"/>
  <c r="HC163" i="1" s="1"/>
  <c r="HD163" i="1" s="1"/>
  <c r="GW163" i="1"/>
  <c r="GX163" i="1" s="1"/>
  <c r="GY163" i="1" s="1"/>
  <c r="GR163" i="1"/>
  <c r="GS163" i="1" s="1"/>
  <c r="GT163" i="1" s="1"/>
  <c r="GM163" i="1"/>
  <c r="GN163" i="1" s="1"/>
  <c r="GO163" i="1" s="1"/>
  <c r="GH163" i="1"/>
  <c r="GI163" i="1" s="1"/>
  <c r="GJ163" i="1" s="1"/>
  <c r="GC163" i="1"/>
  <c r="GD163" i="1" s="1"/>
  <c r="GE163" i="1" s="1"/>
  <c r="FX163" i="1"/>
  <c r="FY163" i="1" s="1"/>
  <c r="FZ163" i="1" s="1"/>
  <c r="FS163" i="1"/>
  <c r="FT163" i="1" s="1"/>
  <c r="FU163" i="1" s="1"/>
  <c r="FN163" i="1"/>
  <c r="FO163" i="1" s="1"/>
  <c r="FP163" i="1" s="1"/>
  <c r="FI163" i="1"/>
  <c r="FJ163" i="1" s="1"/>
  <c r="FK163" i="1" s="1"/>
  <c r="FD163" i="1"/>
  <c r="FE163" i="1" s="1"/>
  <c r="FF163" i="1" s="1"/>
  <c r="EY163" i="1"/>
  <c r="EZ163" i="1" s="1"/>
  <c r="FA163" i="1" s="1"/>
  <c r="ET163" i="1"/>
  <c r="EU163" i="1" s="1"/>
  <c r="EV163" i="1" s="1"/>
  <c r="EO163" i="1"/>
  <c r="EP163" i="1" s="1"/>
  <c r="EQ163" i="1" s="1"/>
  <c r="EJ163" i="1"/>
  <c r="EK163" i="1" s="1"/>
  <c r="EL163" i="1" s="1"/>
  <c r="EE163" i="1"/>
  <c r="EF163" i="1" s="1"/>
  <c r="EG163" i="1" s="1"/>
  <c r="DZ163" i="1"/>
  <c r="EA163" i="1" s="1"/>
  <c r="EB163" i="1" s="1"/>
  <c r="DU163" i="1"/>
  <c r="DV163" i="1" s="1"/>
  <c r="DW163" i="1" s="1"/>
  <c r="DP163" i="1"/>
  <c r="DQ163" i="1" s="1"/>
  <c r="DR163" i="1" s="1"/>
  <c r="DK163" i="1"/>
  <c r="DL163" i="1" s="1"/>
  <c r="DM163" i="1" s="1"/>
  <c r="DF163" i="1"/>
  <c r="DG163" i="1" s="1"/>
  <c r="DH163" i="1" s="1"/>
  <c r="DA163" i="1"/>
  <c r="DB163" i="1" s="1"/>
  <c r="DC163" i="1" s="1"/>
  <c r="CV163" i="1"/>
  <c r="CW163" i="1" s="1"/>
  <c r="CX163" i="1" s="1"/>
  <c r="CQ163" i="1"/>
  <c r="CR163" i="1" s="1"/>
  <c r="CS163" i="1" s="1"/>
  <c r="CL163" i="1"/>
  <c r="CM163" i="1" s="1"/>
  <c r="CN163" i="1" s="1"/>
  <c r="CG163" i="1"/>
  <c r="CH163" i="1" s="1"/>
  <c r="CI163" i="1" s="1"/>
  <c r="CB163" i="1"/>
  <c r="CC163" i="1" s="1"/>
  <c r="CD163" i="1" s="1"/>
  <c r="BW163" i="1"/>
  <c r="BX163" i="1" s="1"/>
  <c r="BY163" i="1" s="1"/>
  <c r="BR163" i="1"/>
  <c r="BS163" i="1" s="1"/>
  <c r="BT163" i="1" s="1"/>
  <c r="BM163" i="1"/>
  <c r="BN163" i="1" s="1"/>
  <c r="BO163" i="1" s="1"/>
  <c r="BH163" i="1"/>
  <c r="BI163" i="1" s="1"/>
  <c r="BJ163" i="1" s="1"/>
  <c r="BC163" i="1"/>
  <c r="BD163" i="1" s="1"/>
  <c r="BE163" i="1" s="1"/>
  <c r="AX163" i="1"/>
  <c r="AY163" i="1" s="1"/>
  <c r="AZ163" i="1" s="1"/>
  <c r="AS163" i="1"/>
  <c r="AT163" i="1" s="1"/>
  <c r="AU163" i="1" s="1"/>
  <c r="AN163" i="1"/>
  <c r="AO163" i="1" s="1"/>
  <c r="AP163" i="1" s="1"/>
  <c r="AI163" i="1"/>
  <c r="AJ163" i="1" s="1"/>
  <c r="AK163" i="1" s="1"/>
  <c r="X163" i="1"/>
  <c r="Y163" i="1" s="1"/>
  <c r="Z163" i="1" s="1"/>
  <c r="T163" i="1"/>
  <c r="O163" i="1"/>
  <c r="H163" i="1"/>
  <c r="I163" i="1" s="1"/>
  <c r="J163" i="1" s="1"/>
  <c r="PZ162" i="1"/>
  <c r="PU162" i="1"/>
  <c r="PP162" i="1"/>
  <c r="PK162" i="1"/>
  <c r="PF162" i="1"/>
  <c r="PA162" i="1"/>
  <c r="OV162" i="1"/>
  <c r="OQ162" i="1"/>
  <c r="OL162" i="1"/>
  <c r="OG162" i="1"/>
  <c r="OB162" i="1"/>
  <c r="NW162" i="1"/>
  <c r="NR162" i="1"/>
  <c r="NM162" i="1"/>
  <c r="NH162" i="1"/>
  <c r="NC162" i="1"/>
  <c r="MX162" i="1"/>
  <c r="MS162" i="1"/>
  <c r="MN162" i="1"/>
  <c r="MI162" i="1"/>
  <c r="MD162" i="1"/>
  <c r="LY162" i="1"/>
  <c r="LT162" i="1"/>
  <c r="LO162" i="1"/>
  <c r="LJ162" i="1"/>
  <c r="LC162" i="1"/>
  <c r="LD162" i="1" s="1"/>
  <c r="LE162" i="1" s="1"/>
  <c r="KX162" i="1"/>
  <c r="KY162" i="1" s="1"/>
  <c r="KZ162" i="1" s="1"/>
  <c r="KS162" i="1"/>
  <c r="KT162" i="1" s="1"/>
  <c r="KU162" i="1" s="1"/>
  <c r="KP162" i="1"/>
  <c r="KK162" i="1"/>
  <c r="KF162" i="1"/>
  <c r="JB162" i="1"/>
  <c r="IW162" i="1"/>
  <c r="IR162" i="1"/>
  <c r="IM162" i="1"/>
  <c r="IH162" i="1"/>
  <c r="IC162" i="1"/>
  <c r="HX162" i="1"/>
  <c r="HS162" i="1"/>
  <c r="HN162" i="1"/>
  <c r="HG162" i="1"/>
  <c r="HH162" i="1" s="1"/>
  <c r="HI162" i="1" s="1"/>
  <c r="HB162" i="1"/>
  <c r="HC162" i="1" s="1"/>
  <c r="HD162" i="1" s="1"/>
  <c r="GW162" i="1"/>
  <c r="GX162" i="1" s="1"/>
  <c r="GY162" i="1" s="1"/>
  <c r="GR162" i="1"/>
  <c r="GS162" i="1" s="1"/>
  <c r="GT162" i="1" s="1"/>
  <c r="GM162" i="1"/>
  <c r="GN162" i="1" s="1"/>
  <c r="GO162" i="1" s="1"/>
  <c r="GH162" i="1"/>
  <c r="GI162" i="1" s="1"/>
  <c r="GJ162" i="1" s="1"/>
  <c r="GC162" i="1"/>
  <c r="GD162" i="1" s="1"/>
  <c r="GE162" i="1" s="1"/>
  <c r="FX162" i="1"/>
  <c r="FY162" i="1" s="1"/>
  <c r="FZ162" i="1" s="1"/>
  <c r="FS162" i="1"/>
  <c r="FT162" i="1" s="1"/>
  <c r="FU162" i="1" s="1"/>
  <c r="FN162" i="1"/>
  <c r="FO162" i="1" s="1"/>
  <c r="FP162" i="1" s="1"/>
  <c r="FI162" i="1"/>
  <c r="FJ162" i="1" s="1"/>
  <c r="FK162" i="1" s="1"/>
  <c r="FD162" i="1"/>
  <c r="FE162" i="1" s="1"/>
  <c r="FF162" i="1" s="1"/>
  <c r="EY162" i="1"/>
  <c r="EZ162" i="1" s="1"/>
  <c r="FA162" i="1" s="1"/>
  <c r="ET162" i="1"/>
  <c r="EU162" i="1" s="1"/>
  <c r="EV162" i="1" s="1"/>
  <c r="EO162" i="1"/>
  <c r="EP162" i="1" s="1"/>
  <c r="EQ162" i="1" s="1"/>
  <c r="EJ162" i="1"/>
  <c r="EK162" i="1" s="1"/>
  <c r="EL162" i="1" s="1"/>
  <c r="EE162" i="1"/>
  <c r="EF162" i="1" s="1"/>
  <c r="EG162" i="1" s="1"/>
  <c r="DZ162" i="1"/>
  <c r="EA162" i="1" s="1"/>
  <c r="EB162" i="1" s="1"/>
  <c r="DU162" i="1"/>
  <c r="DV162" i="1" s="1"/>
  <c r="DW162" i="1" s="1"/>
  <c r="DP162" i="1"/>
  <c r="DQ162" i="1" s="1"/>
  <c r="DR162" i="1" s="1"/>
  <c r="DK162" i="1"/>
  <c r="DL162" i="1" s="1"/>
  <c r="DM162" i="1" s="1"/>
  <c r="DF162" i="1"/>
  <c r="DG162" i="1" s="1"/>
  <c r="DH162" i="1" s="1"/>
  <c r="DA162" i="1"/>
  <c r="DB162" i="1" s="1"/>
  <c r="DC162" i="1" s="1"/>
  <c r="CV162" i="1"/>
  <c r="CW162" i="1" s="1"/>
  <c r="CX162" i="1" s="1"/>
  <c r="CQ162" i="1"/>
  <c r="CR162" i="1" s="1"/>
  <c r="CS162" i="1" s="1"/>
  <c r="CL162" i="1"/>
  <c r="CM162" i="1" s="1"/>
  <c r="CN162" i="1" s="1"/>
  <c r="CG162" i="1"/>
  <c r="CH162" i="1" s="1"/>
  <c r="CI162" i="1" s="1"/>
  <c r="CB162" i="1"/>
  <c r="CC162" i="1" s="1"/>
  <c r="CD162" i="1" s="1"/>
  <c r="BW162" i="1"/>
  <c r="BX162" i="1" s="1"/>
  <c r="BY162" i="1" s="1"/>
  <c r="BR162" i="1"/>
  <c r="BS162" i="1" s="1"/>
  <c r="BT162" i="1" s="1"/>
  <c r="BM162" i="1"/>
  <c r="BN162" i="1" s="1"/>
  <c r="BO162" i="1" s="1"/>
  <c r="BH162" i="1"/>
  <c r="BI162" i="1" s="1"/>
  <c r="BJ162" i="1" s="1"/>
  <c r="BC162" i="1"/>
  <c r="BD162" i="1" s="1"/>
  <c r="BE162" i="1" s="1"/>
  <c r="AX162" i="1"/>
  <c r="AY162" i="1" s="1"/>
  <c r="AZ162" i="1" s="1"/>
  <c r="AS162" i="1"/>
  <c r="AT162" i="1" s="1"/>
  <c r="AU162" i="1" s="1"/>
  <c r="AN162" i="1"/>
  <c r="AO162" i="1" s="1"/>
  <c r="AP162" i="1" s="1"/>
  <c r="AI162" i="1"/>
  <c r="AJ162" i="1" s="1"/>
  <c r="AK162" i="1" s="1"/>
  <c r="AD162" i="1"/>
  <c r="AE162" i="1" s="1"/>
  <c r="AF162" i="1" s="1"/>
  <c r="X162" i="1"/>
  <c r="Y162" i="1" s="1"/>
  <c r="Z162" i="1" s="1"/>
  <c r="R162" i="1"/>
  <c r="S162" i="1" s="1"/>
  <c r="T162" i="1" s="1"/>
  <c r="O162" i="1"/>
  <c r="J162" i="1"/>
  <c r="PZ161" i="1"/>
  <c r="PU161" i="1"/>
  <c r="PP161" i="1"/>
  <c r="PK161" i="1"/>
  <c r="PF161" i="1"/>
  <c r="PA161" i="1"/>
  <c r="OV161" i="1"/>
  <c r="OQ161" i="1"/>
  <c r="OL161" i="1"/>
  <c r="OG161" i="1"/>
  <c r="OB161" i="1"/>
  <c r="NW161" i="1"/>
  <c r="NR161" i="1"/>
  <c r="NM161" i="1"/>
  <c r="NH161" i="1"/>
  <c r="NC161" i="1"/>
  <c r="MX161" i="1"/>
  <c r="MS161" i="1"/>
  <c r="MN161" i="1"/>
  <c r="MI161" i="1"/>
  <c r="MD161" i="1"/>
  <c r="LY161" i="1"/>
  <c r="LT161" i="1"/>
  <c r="LO161" i="1"/>
  <c r="LJ161" i="1"/>
  <c r="LC161" i="1"/>
  <c r="LD161" i="1" s="1"/>
  <c r="LE161" i="1" s="1"/>
  <c r="KX161" i="1"/>
  <c r="KY161" i="1" s="1"/>
  <c r="KZ161" i="1" s="1"/>
  <c r="KU161" i="1"/>
  <c r="KP161" i="1"/>
  <c r="KK161" i="1"/>
  <c r="KF161" i="1"/>
  <c r="IZ161" i="1"/>
  <c r="JA161" i="1" s="1"/>
  <c r="JB161" i="1" s="1"/>
  <c r="IU161" i="1"/>
  <c r="IV161" i="1" s="1"/>
  <c r="IW161" i="1" s="1"/>
  <c r="IP161" i="1"/>
  <c r="IQ161" i="1" s="1"/>
  <c r="IR161" i="1" s="1"/>
  <c r="IK161" i="1"/>
  <c r="IL161" i="1" s="1"/>
  <c r="IM161" i="1" s="1"/>
  <c r="IF161" i="1"/>
  <c r="IG161" i="1" s="1"/>
  <c r="IH161" i="1" s="1"/>
  <c r="IA161" i="1"/>
  <c r="IB161" i="1" s="1"/>
  <c r="IC161" i="1" s="1"/>
  <c r="HV161" i="1"/>
  <c r="HW161" i="1" s="1"/>
  <c r="HX161" i="1" s="1"/>
  <c r="HQ161" i="1"/>
  <c r="HR161" i="1" s="1"/>
  <c r="HS161" i="1" s="1"/>
  <c r="HL161" i="1"/>
  <c r="HM161" i="1" s="1"/>
  <c r="HN161" i="1" s="1"/>
  <c r="HG161" i="1"/>
  <c r="HH161" i="1" s="1"/>
  <c r="HI161" i="1" s="1"/>
  <c r="HB161" i="1"/>
  <c r="HC161" i="1" s="1"/>
  <c r="HD161" i="1" s="1"/>
  <c r="GW161" i="1"/>
  <c r="GX161" i="1" s="1"/>
  <c r="GY161" i="1" s="1"/>
  <c r="GR161" i="1"/>
  <c r="GS161" i="1" s="1"/>
  <c r="GT161" i="1" s="1"/>
  <c r="GM161" i="1"/>
  <c r="GN161" i="1" s="1"/>
  <c r="GO161" i="1" s="1"/>
  <c r="GH161" i="1"/>
  <c r="GI161" i="1" s="1"/>
  <c r="GJ161" i="1" s="1"/>
  <c r="GC161" i="1"/>
  <c r="GD161" i="1" s="1"/>
  <c r="GE161" i="1" s="1"/>
  <c r="FX161" i="1"/>
  <c r="FY161" i="1" s="1"/>
  <c r="FZ161" i="1" s="1"/>
  <c r="FS161" i="1"/>
  <c r="FT161" i="1" s="1"/>
  <c r="FU161" i="1" s="1"/>
  <c r="FN161" i="1"/>
  <c r="FO161" i="1" s="1"/>
  <c r="FP161" i="1" s="1"/>
  <c r="FI161" i="1"/>
  <c r="FJ161" i="1" s="1"/>
  <c r="FK161" i="1" s="1"/>
  <c r="FD161" i="1"/>
  <c r="FE161" i="1" s="1"/>
  <c r="FF161" i="1" s="1"/>
  <c r="EY161" i="1"/>
  <c r="EZ161" i="1" s="1"/>
  <c r="FA161" i="1" s="1"/>
  <c r="ET161" i="1"/>
  <c r="EU161" i="1" s="1"/>
  <c r="EV161" i="1" s="1"/>
  <c r="EO161" i="1"/>
  <c r="EP161" i="1" s="1"/>
  <c r="EQ161" i="1" s="1"/>
  <c r="EJ161" i="1"/>
  <c r="EK161" i="1" s="1"/>
  <c r="EL161" i="1" s="1"/>
  <c r="EE161" i="1"/>
  <c r="EF161" i="1" s="1"/>
  <c r="EG161" i="1" s="1"/>
  <c r="DZ161" i="1"/>
  <c r="EA161" i="1" s="1"/>
  <c r="EB161" i="1" s="1"/>
  <c r="DU161" i="1"/>
  <c r="DV161" i="1" s="1"/>
  <c r="DW161" i="1" s="1"/>
  <c r="DP161" i="1"/>
  <c r="DQ161" i="1" s="1"/>
  <c r="DR161" i="1" s="1"/>
  <c r="DK161" i="1"/>
  <c r="DL161" i="1" s="1"/>
  <c r="DM161" i="1" s="1"/>
  <c r="DF161" i="1"/>
  <c r="DG161" i="1" s="1"/>
  <c r="DH161" i="1" s="1"/>
  <c r="DA161" i="1"/>
  <c r="DB161" i="1" s="1"/>
  <c r="DC161" i="1" s="1"/>
  <c r="CV161" i="1"/>
  <c r="CW161" i="1" s="1"/>
  <c r="CX161" i="1" s="1"/>
  <c r="CQ161" i="1"/>
  <c r="CR161" i="1" s="1"/>
  <c r="CS161" i="1" s="1"/>
  <c r="CL161" i="1"/>
  <c r="CM161" i="1" s="1"/>
  <c r="CN161" i="1" s="1"/>
  <c r="CG161" i="1"/>
  <c r="CH161" i="1" s="1"/>
  <c r="CI161" i="1" s="1"/>
  <c r="CB161" i="1"/>
  <c r="CC161" i="1" s="1"/>
  <c r="CD161" i="1" s="1"/>
  <c r="BW161" i="1"/>
  <c r="BX161" i="1" s="1"/>
  <c r="BY161" i="1" s="1"/>
  <c r="BR161" i="1"/>
  <c r="BS161" i="1" s="1"/>
  <c r="BT161" i="1" s="1"/>
  <c r="BM161" i="1"/>
  <c r="BN161" i="1" s="1"/>
  <c r="BO161" i="1" s="1"/>
  <c r="BH161" i="1"/>
  <c r="BI161" i="1" s="1"/>
  <c r="BJ161" i="1" s="1"/>
  <c r="BC161" i="1"/>
  <c r="BD161" i="1" s="1"/>
  <c r="BE161" i="1" s="1"/>
  <c r="AX161" i="1"/>
  <c r="AY161" i="1" s="1"/>
  <c r="AZ161" i="1" s="1"/>
  <c r="AS161" i="1"/>
  <c r="AT161" i="1" s="1"/>
  <c r="AU161" i="1" s="1"/>
  <c r="AN161" i="1"/>
  <c r="AO161" i="1" s="1"/>
  <c r="AP161" i="1" s="1"/>
  <c r="AI161" i="1"/>
  <c r="AJ161" i="1" s="1"/>
  <c r="AK161" i="1" s="1"/>
  <c r="AD161" i="1"/>
  <c r="AE161" i="1" s="1"/>
  <c r="AF161" i="1" s="1"/>
  <c r="X161" i="1"/>
  <c r="Y161" i="1" s="1"/>
  <c r="Z161" i="1" s="1"/>
  <c r="T161" i="1"/>
  <c r="O161" i="1"/>
  <c r="J161" i="1"/>
  <c r="PZ160" i="1"/>
  <c r="PU160" i="1"/>
  <c r="PN160" i="1"/>
  <c r="PO160" i="1" s="1"/>
  <c r="PP160" i="1" s="1"/>
  <c r="PK160" i="1"/>
  <c r="PF160" i="1"/>
  <c r="OY160" i="1"/>
  <c r="OZ160" i="1" s="1"/>
  <c r="PA160" i="1" s="1"/>
  <c r="OV160" i="1"/>
  <c r="OQ160" i="1"/>
  <c r="OL160" i="1"/>
  <c r="OG160" i="1"/>
  <c r="OB160" i="1"/>
  <c r="NU160" i="1"/>
  <c r="NV160" i="1" s="1"/>
  <c r="NW160" i="1" s="1"/>
  <c r="NP160" i="1"/>
  <c r="NQ160" i="1" s="1"/>
  <c r="NR160" i="1" s="1"/>
  <c r="NK160" i="1"/>
  <c r="NL160" i="1" s="1"/>
  <c r="NM160" i="1" s="1"/>
  <c r="NF160" i="1"/>
  <c r="NG160" i="1" s="1"/>
  <c r="NH160" i="1" s="1"/>
  <c r="NA160" i="1"/>
  <c r="NB160" i="1" s="1"/>
  <c r="NC160" i="1" s="1"/>
  <c r="MX160" i="1"/>
  <c r="MS160" i="1"/>
  <c r="MN160" i="1"/>
  <c r="MI160" i="1"/>
  <c r="MD160" i="1"/>
  <c r="LY160" i="1"/>
  <c r="LR160" i="1"/>
  <c r="LS160" i="1" s="1"/>
  <c r="LT160" i="1" s="1"/>
  <c r="LO160" i="1"/>
  <c r="LJ160" i="1"/>
  <c r="LC160" i="1"/>
  <c r="LD160" i="1" s="1"/>
  <c r="LE160" i="1" s="1"/>
  <c r="KZ160" i="1"/>
  <c r="KS160" i="1"/>
  <c r="KT160" i="1" s="1"/>
  <c r="KU160" i="1" s="1"/>
  <c r="KP160" i="1"/>
  <c r="KK160" i="1"/>
  <c r="KD160" i="1"/>
  <c r="KE160" i="1" s="1"/>
  <c r="KF160" i="1" s="1"/>
  <c r="JB160" i="1"/>
  <c r="IW160" i="1"/>
  <c r="IR160" i="1"/>
  <c r="IM160" i="1"/>
  <c r="IH160" i="1"/>
  <c r="IC160" i="1"/>
  <c r="HX160" i="1"/>
  <c r="HS160" i="1"/>
  <c r="HN160" i="1"/>
  <c r="HG160" i="1"/>
  <c r="HH160" i="1" s="1"/>
  <c r="HI160" i="1" s="1"/>
  <c r="HB160" i="1"/>
  <c r="HC160" i="1" s="1"/>
  <c r="HD160" i="1" s="1"/>
  <c r="GW160" i="1"/>
  <c r="GX160" i="1" s="1"/>
  <c r="GY160" i="1" s="1"/>
  <c r="GR160" i="1"/>
  <c r="GS160" i="1" s="1"/>
  <c r="GT160" i="1" s="1"/>
  <c r="GM160" i="1"/>
  <c r="GN160" i="1" s="1"/>
  <c r="GO160" i="1" s="1"/>
  <c r="GH160" i="1"/>
  <c r="GI160" i="1" s="1"/>
  <c r="GJ160" i="1" s="1"/>
  <c r="GC160" i="1"/>
  <c r="GD160" i="1" s="1"/>
  <c r="GE160" i="1" s="1"/>
  <c r="FX160" i="1"/>
  <c r="FY160" i="1" s="1"/>
  <c r="FZ160" i="1" s="1"/>
  <c r="FS160" i="1"/>
  <c r="FT160" i="1" s="1"/>
  <c r="FU160" i="1" s="1"/>
  <c r="FN160" i="1"/>
  <c r="FO160" i="1" s="1"/>
  <c r="FP160" i="1" s="1"/>
  <c r="FI160" i="1"/>
  <c r="FJ160" i="1" s="1"/>
  <c r="FK160" i="1" s="1"/>
  <c r="FD160" i="1"/>
  <c r="FE160" i="1" s="1"/>
  <c r="FF160" i="1" s="1"/>
  <c r="EY160" i="1"/>
  <c r="EZ160" i="1" s="1"/>
  <c r="FA160" i="1" s="1"/>
  <c r="ET160" i="1"/>
  <c r="EU160" i="1" s="1"/>
  <c r="EV160" i="1" s="1"/>
  <c r="EO160" i="1"/>
  <c r="EP160" i="1" s="1"/>
  <c r="EQ160" i="1" s="1"/>
  <c r="EJ160" i="1"/>
  <c r="EK160" i="1" s="1"/>
  <c r="EL160" i="1" s="1"/>
  <c r="EE160" i="1"/>
  <c r="EF160" i="1" s="1"/>
  <c r="EG160" i="1" s="1"/>
  <c r="DZ160" i="1"/>
  <c r="EA160" i="1" s="1"/>
  <c r="EB160" i="1" s="1"/>
  <c r="DU160" i="1"/>
  <c r="DV160" i="1" s="1"/>
  <c r="DW160" i="1" s="1"/>
  <c r="DP160" i="1"/>
  <c r="DQ160" i="1" s="1"/>
  <c r="DR160" i="1" s="1"/>
  <c r="DK160" i="1"/>
  <c r="DL160" i="1" s="1"/>
  <c r="DM160" i="1" s="1"/>
  <c r="DF160" i="1"/>
  <c r="DG160" i="1" s="1"/>
  <c r="DH160" i="1" s="1"/>
  <c r="DA160" i="1"/>
  <c r="DB160" i="1" s="1"/>
  <c r="DC160" i="1" s="1"/>
  <c r="CV160" i="1"/>
  <c r="CW160" i="1" s="1"/>
  <c r="CX160" i="1" s="1"/>
  <c r="CQ160" i="1"/>
  <c r="CR160" i="1" s="1"/>
  <c r="CS160" i="1" s="1"/>
  <c r="CL160" i="1"/>
  <c r="CM160" i="1" s="1"/>
  <c r="CN160" i="1" s="1"/>
  <c r="CG160" i="1"/>
  <c r="CH160" i="1" s="1"/>
  <c r="CI160" i="1" s="1"/>
  <c r="CB160" i="1"/>
  <c r="CC160" i="1" s="1"/>
  <c r="CD160" i="1" s="1"/>
  <c r="BW160" i="1"/>
  <c r="BX160" i="1" s="1"/>
  <c r="BY160" i="1" s="1"/>
  <c r="BR160" i="1"/>
  <c r="BS160" i="1" s="1"/>
  <c r="BT160" i="1" s="1"/>
  <c r="BM160" i="1"/>
  <c r="BN160" i="1" s="1"/>
  <c r="BO160" i="1" s="1"/>
  <c r="BH160" i="1"/>
  <c r="BI160" i="1" s="1"/>
  <c r="BJ160" i="1" s="1"/>
  <c r="BC160" i="1"/>
  <c r="BD160" i="1" s="1"/>
  <c r="BE160" i="1" s="1"/>
  <c r="AX160" i="1"/>
  <c r="AY160" i="1" s="1"/>
  <c r="AZ160" i="1" s="1"/>
  <c r="AS160" i="1"/>
  <c r="AT160" i="1" s="1"/>
  <c r="AU160" i="1" s="1"/>
  <c r="AN160" i="1"/>
  <c r="AO160" i="1" s="1"/>
  <c r="AP160" i="1" s="1"/>
  <c r="AI160" i="1"/>
  <c r="AJ160" i="1" s="1"/>
  <c r="AK160" i="1" s="1"/>
  <c r="AD160" i="1"/>
  <c r="AE160" i="1" s="1"/>
  <c r="AF160" i="1" s="1"/>
  <c r="X160" i="1"/>
  <c r="Y160" i="1" s="1"/>
  <c r="Z160" i="1" s="1"/>
  <c r="T160" i="1"/>
  <c r="O160" i="1"/>
  <c r="J160" i="1"/>
  <c r="PZ159" i="1"/>
  <c r="PU159" i="1"/>
  <c r="PP159" i="1"/>
  <c r="PK159" i="1"/>
  <c r="PF159" i="1"/>
  <c r="PA159" i="1"/>
  <c r="OV159" i="1"/>
  <c r="OQ159" i="1"/>
  <c r="OL159" i="1"/>
  <c r="OG159" i="1"/>
  <c r="OB159" i="1"/>
  <c r="NW159" i="1"/>
  <c r="NR159" i="1"/>
  <c r="NM159" i="1"/>
  <c r="NH159" i="1"/>
  <c r="NC159" i="1"/>
  <c r="MX159" i="1"/>
  <c r="MS159" i="1"/>
  <c r="MN159" i="1"/>
  <c r="MG159" i="1"/>
  <c r="MH159" i="1" s="1"/>
  <c r="MI159" i="1" s="1"/>
  <c r="MB159" i="1"/>
  <c r="MC159" i="1" s="1"/>
  <c r="MD159" i="1" s="1"/>
  <c r="LW159" i="1"/>
  <c r="LX159" i="1" s="1"/>
  <c r="LY159" i="1" s="1"/>
  <c r="LR159" i="1"/>
  <c r="LS159" i="1" s="1"/>
  <c r="LT159" i="1" s="1"/>
  <c r="LO159" i="1"/>
  <c r="LJ159" i="1"/>
  <c r="LC159" i="1"/>
  <c r="LD159" i="1" s="1"/>
  <c r="LE159" i="1" s="1"/>
  <c r="KZ159" i="1"/>
  <c r="KU159" i="1"/>
  <c r="KN159" i="1"/>
  <c r="KO159" i="1" s="1"/>
  <c r="KP159" i="1" s="1"/>
  <c r="KK159" i="1"/>
  <c r="KF159" i="1"/>
  <c r="IZ159" i="1"/>
  <c r="JA159" i="1" s="1"/>
  <c r="JB159" i="1" s="1"/>
  <c r="IU159" i="1"/>
  <c r="IV159" i="1" s="1"/>
  <c r="IW159" i="1" s="1"/>
  <c r="IP159" i="1"/>
  <c r="IQ159" i="1" s="1"/>
  <c r="IR159" i="1" s="1"/>
  <c r="IK159" i="1"/>
  <c r="IL159" i="1" s="1"/>
  <c r="IM159" i="1" s="1"/>
  <c r="IF159" i="1"/>
  <c r="IG159" i="1" s="1"/>
  <c r="IH159" i="1" s="1"/>
  <c r="IA159" i="1"/>
  <c r="IB159" i="1" s="1"/>
  <c r="IC159" i="1" s="1"/>
  <c r="HV159" i="1"/>
  <c r="HW159" i="1" s="1"/>
  <c r="HX159" i="1" s="1"/>
  <c r="HS159" i="1"/>
  <c r="HL159" i="1"/>
  <c r="HM159" i="1" s="1"/>
  <c r="HN159" i="1" s="1"/>
  <c r="HG159" i="1"/>
  <c r="HH159" i="1" s="1"/>
  <c r="HI159" i="1" s="1"/>
  <c r="HB159" i="1"/>
  <c r="HC159" i="1" s="1"/>
  <c r="HD159" i="1" s="1"/>
  <c r="GW159" i="1"/>
  <c r="GX159" i="1" s="1"/>
  <c r="GY159" i="1" s="1"/>
  <c r="GR159" i="1"/>
  <c r="GS159" i="1" s="1"/>
  <c r="GT159" i="1" s="1"/>
  <c r="GM159" i="1"/>
  <c r="GN159" i="1" s="1"/>
  <c r="GO159" i="1" s="1"/>
  <c r="GH159" i="1"/>
  <c r="GI159" i="1" s="1"/>
  <c r="GJ159" i="1" s="1"/>
  <c r="GC159" i="1"/>
  <c r="GD159" i="1" s="1"/>
  <c r="GE159" i="1" s="1"/>
  <c r="FX159" i="1"/>
  <c r="FY159" i="1" s="1"/>
  <c r="FZ159" i="1" s="1"/>
  <c r="FS159" i="1"/>
  <c r="FT159" i="1" s="1"/>
  <c r="FU159" i="1" s="1"/>
  <c r="FN159" i="1"/>
  <c r="FO159" i="1" s="1"/>
  <c r="FP159" i="1" s="1"/>
  <c r="FI159" i="1"/>
  <c r="FJ159" i="1" s="1"/>
  <c r="FK159" i="1" s="1"/>
  <c r="FD159" i="1"/>
  <c r="FE159" i="1" s="1"/>
  <c r="FF159" i="1" s="1"/>
  <c r="EY159" i="1"/>
  <c r="EZ159" i="1" s="1"/>
  <c r="FA159" i="1" s="1"/>
  <c r="ET159" i="1"/>
  <c r="EU159" i="1" s="1"/>
  <c r="EV159" i="1" s="1"/>
  <c r="EO159" i="1"/>
  <c r="EP159" i="1" s="1"/>
  <c r="EQ159" i="1" s="1"/>
  <c r="EJ159" i="1"/>
  <c r="EK159" i="1" s="1"/>
  <c r="EL159" i="1" s="1"/>
  <c r="EE159" i="1"/>
  <c r="EF159" i="1" s="1"/>
  <c r="EG159" i="1" s="1"/>
  <c r="DZ159" i="1"/>
  <c r="EA159" i="1" s="1"/>
  <c r="EB159" i="1" s="1"/>
  <c r="DU159" i="1"/>
  <c r="DV159" i="1" s="1"/>
  <c r="DW159" i="1" s="1"/>
  <c r="DP159" i="1"/>
  <c r="DQ159" i="1" s="1"/>
  <c r="DR159" i="1" s="1"/>
  <c r="DK159" i="1"/>
  <c r="DL159" i="1" s="1"/>
  <c r="DM159" i="1" s="1"/>
  <c r="DF159" i="1"/>
  <c r="DG159" i="1" s="1"/>
  <c r="DH159" i="1" s="1"/>
  <c r="DA159" i="1"/>
  <c r="DB159" i="1" s="1"/>
  <c r="DC159" i="1" s="1"/>
  <c r="CV159" i="1"/>
  <c r="CW159" i="1" s="1"/>
  <c r="CX159" i="1" s="1"/>
  <c r="CQ159" i="1"/>
  <c r="CR159" i="1" s="1"/>
  <c r="CS159" i="1" s="1"/>
  <c r="CL159" i="1"/>
  <c r="CM159" i="1" s="1"/>
  <c r="CN159" i="1" s="1"/>
  <c r="CG159" i="1"/>
  <c r="CH159" i="1" s="1"/>
  <c r="CI159" i="1" s="1"/>
  <c r="CB159" i="1"/>
  <c r="CC159" i="1" s="1"/>
  <c r="CD159" i="1" s="1"/>
  <c r="BW159" i="1"/>
  <c r="BX159" i="1" s="1"/>
  <c r="BY159" i="1" s="1"/>
  <c r="BR159" i="1"/>
  <c r="BS159" i="1" s="1"/>
  <c r="BT159" i="1" s="1"/>
  <c r="BM159" i="1"/>
  <c r="BN159" i="1" s="1"/>
  <c r="BO159" i="1" s="1"/>
  <c r="BH159" i="1"/>
  <c r="BI159" i="1" s="1"/>
  <c r="BJ159" i="1" s="1"/>
  <c r="BC159" i="1"/>
  <c r="BD159" i="1" s="1"/>
  <c r="BE159" i="1" s="1"/>
  <c r="AX159" i="1"/>
  <c r="AY159" i="1" s="1"/>
  <c r="AZ159" i="1" s="1"/>
  <c r="AS159" i="1"/>
  <c r="AT159" i="1" s="1"/>
  <c r="AU159" i="1" s="1"/>
  <c r="AN159" i="1"/>
  <c r="AO159" i="1" s="1"/>
  <c r="AP159" i="1" s="1"/>
  <c r="AI159" i="1"/>
  <c r="AJ159" i="1" s="1"/>
  <c r="AK159" i="1" s="1"/>
  <c r="AD159" i="1"/>
  <c r="AE159" i="1" s="1"/>
  <c r="AF159" i="1" s="1"/>
  <c r="X159" i="1"/>
  <c r="Y159" i="1" s="1"/>
  <c r="Z159" i="1" s="1"/>
  <c r="T159" i="1"/>
  <c r="O159" i="1"/>
  <c r="J159" i="1"/>
  <c r="PZ158" i="1"/>
  <c r="PU158" i="1"/>
  <c r="PP158" i="1"/>
  <c r="PK158" i="1"/>
  <c r="PF158" i="1"/>
  <c r="PA158" i="1"/>
  <c r="OV158" i="1"/>
  <c r="OQ158" i="1"/>
  <c r="OL158" i="1"/>
  <c r="OG158" i="1"/>
  <c r="OB158" i="1"/>
  <c r="NW158" i="1"/>
  <c r="NR158" i="1"/>
  <c r="NM158" i="1"/>
  <c r="NH158" i="1"/>
  <c r="NC158" i="1"/>
  <c r="MX158" i="1"/>
  <c r="MS158" i="1"/>
  <c r="MN158" i="1"/>
  <c r="MI158" i="1"/>
  <c r="MD158" i="1"/>
  <c r="LY158" i="1"/>
  <c r="LT158" i="1"/>
  <c r="LO158" i="1"/>
  <c r="LJ158" i="1"/>
  <c r="LE158" i="1"/>
  <c r="KZ158" i="1"/>
  <c r="KU158" i="1"/>
  <c r="KP158" i="1"/>
  <c r="KK158" i="1"/>
  <c r="KF158" i="1"/>
  <c r="JB158" i="1"/>
  <c r="IW158" i="1"/>
  <c r="IR158" i="1"/>
  <c r="IM158" i="1"/>
  <c r="IH158" i="1"/>
  <c r="IC158" i="1"/>
  <c r="HX158" i="1"/>
  <c r="HS158" i="1"/>
  <c r="HN158" i="1"/>
  <c r="HG158" i="1"/>
  <c r="HH158" i="1" s="1"/>
  <c r="HI158" i="1" s="1"/>
  <c r="HB158" i="1"/>
  <c r="HC158" i="1" s="1"/>
  <c r="HD158" i="1" s="1"/>
  <c r="GW158" i="1"/>
  <c r="GX158" i="1" s="1"/>
  <c r="GY158" i="1" s="1"/>
  <c r="GR158" i="1"/>
  <c r="GS158" i="1" s="1"/>
  <c r="GT158" i="1" s="1"/>
  <c r="GM158" i="1"/>
  <c r="GN158" i="1" s="1"/>
  <c r="GO158" i="1" s="1"/>
  <c r="GH158" i="1"/>
  <c r="GI158" i="1" s="1"/>
  <c r="GJ158" i="1" s="1"/>
  <c r="GC158" i="1"/>
  <c r="GD158" i="1" s="1"/>
  <c r="GE158" i="1" s="1"/>
  <c r="FX158" i="1"/>
  <c r="FY158" i="1" s="1"/>
  <c r="FZ158" i="1" s="1"/>
  <c r="FS158" i="1"/>
  <c r="FT158" i="1" s="1"/>
  <c r="FU158" i="1" s="1"/>
  <c r="FN158" i="1"/>
  <c r="FO158" i="1" s="1"/>
  <c r="FP158" i="1" s="1"/>
  <c r="FI158" i="1"/>
  <c r="FJ158" i="1" s="1"/>
  <c r="FK158" i="1" s="1"/>
  <c r="FD158" i="1"/>
  <c r="FE158" i="1" s="1"/>
  <c r="FF158" i="1" s="1"/>
  <c r="EY158" i="1"/>
  <c r="EZ158" i="1" s="1"/>
  <c r="FA158" i="1" s="1"/>
  <c r="ET158" i="1"/>
  <c r="EU158" i="1" s="1"/>
  <c r="EV158" i="1" s="1"/>
  <c r="EO158" i="1"/>
  <c r="EP158" i="1" s="1"/>
  <c r="EQ158" i="1" s="1"/>
  <c r="EJ158" i="1"/>
  <c r="EK158" i="1" s="1"/>
  <c r="EL158" i="1" s="1"/>
  <c r="EE158" i="1"/>
  <c r="EF158" i="1" s="1"/>
  <c r="EG158" i="1" s="1"/>
  <c r="DZ158" i="1"/>
  <c r="EA158" i="1" s="1"/>
  <c r="EB158" i="1" s="1"/>
  <c r="DU158" i="1"/>
  <c r="DV158" i="1" s="1"/>
  <c r="DW158" i="1" s="1"/>
  <c r="DP158" i="1"/>
  <c r="DQ158" i="1" s="1"/>
  <c r="DR158" i="1" s="1"/>
  <c r="DK158" i="1"/>
  <c r="DL158" i="1" s="1"/>
  <c r="DM158" i="1" s="1"/>
  <c r="DF158" i="1"/>
  <c r="DG158" i="1" s="1"/>
  <c r="DH158" i="1" s="1"/>
  <c r="DA158" i="1"/>
  <c r="DB158" i="1" s="1"/>
  <c r="DC158" i="1" s="1"/>
  <c r="CV158" i="1"/>
  <c r="CW158" i="1" s="1"/>
  <c r="CX158" i="1" s="1"/>
  <c r="CQ158" i="1"/>
  <c r="CR158" i="1" s="1"/>
  <c r="CS158" i="1" s="1"/>
  <c r="CL158" i="1"/>
  <c r="CM158" i="1" s="1"/>
  <c r="CN158" i="1" s="1"/>
  <c r="CI158" i="1"/>
  <c r="CB158" i="1"/>
  <c r="CC158" i="1" s="1"/>
  <c r="CD158" i="1" s="1"/>
  <c r="BW158" i="1"/>
  <c r="BX158" i="1" s="1"/>
  <c r="BY158" i="1" s="1"/>
  <c r="BR158" i="1"/>
  <c r="BS158" i="1" s="1"/>
  <c r="BT158" i="1" s="1"/>
  <c r="BM158" i="1"/>
  <c r="BN158" i="1" s="1"/>
  <c r="BO158" i="1" s="1"/>
  <c r="BH158" i="1"/>
  <c r="BI158" i="1" s="1"/>
  <c r="BJ158" i="1" s="1"/>
  <c r="BC158" i="1"/>
  <c r="BD158" i="1" s="1"/>
  <c r="BE158" i="1" s="1"/>
  <c r="AX158" i="1"/>
  <c r="AY158" i="1" s="1"/>
  <c r="AZ158" i="1" s="1"/>
  <c r="AS158" i="1"/>
  <c r="AT158" i="1" s="1"/>
  <c r="AU158" i="1" s="1"/>
  <c r="AN158" i="1"/>
  <c r="AO158" i="1" s="1"/>
  <c r="AP158" i="1" s="1"/>
  <c r="AI158" i="1"/>
  <c r="AJ158" i="1" s="1"/>
  <c r="AK158" i="1" s="1"/>
  <c r="Z158" i="1"/>
  <c r="R158" i="1"/>
  <c r="S158" i="1" s="1"/>
  <c r="T158" i="1" s="1"/>
  <c r="O158" i="1"/>
  <c r="J158" i="1"/>
  <c r="PZ157" i="1"/>
  <c r="PU157" i="1"/>
  <c r="PP157" i="1"/>
  <c r="PK157" i="1"/>
  <c r="PF157" i="1"/>
  <c r="PA157" i="1"/>
  <c r="OV157" i="1"/>
  <c r="OQ157" i="1"/>
  <c r="OL157" i="1"/>
  <c r="OG157" i="1"/>
  <c r="OB157" i="1"/>
  <c r="NW157" i="1"/>
  <c r="NR157" i="1"/>
  <c r="NM157" i="1"/>
  <c r="NH157" i="1"/>
  <c r="NC157" i="1"/>
  <c r="MX157" i="1"/>
  <c r="MS157" i="1"/>
  <c r="MN157" i="1"/>
  <c r="MI157" i="1"/>
  <c r="MD157" i="1"/>
  <c r="LY157" i="1"/>
  <c r="LT157" i="1"/>
  <c r="LO157" i="1"/>
  <c r="LJ157" i="1"/>
  <c r="LE157" i="1"/>
  <c r="KZ157" i="1"/>
  <c r="KS157" i="1"/>
  <c r="KT157" i="1" s="1"/>
  <c r="KU157" i="1" s="1"/>
  <c r="KP157" i="1"/>
  <c r="KI157" i="1"/>
  <c r="KJ157" i="1" s="1"/>
  <c r="KK157" i="1" s="1"/>
  <c r="KF157" i="1"/>
  <c r="JB157" i="1"/>
  <c r="IU157" i="1"/>
  <c r="IV157" i="1" s="1"/>
  <c r="IW157" i="1" s="1"/>
  <c r="IR157" i="1"/>
  <c r="IM157" i="1"/>
  <c r="IH157" i="1"/>
  <c r="IC157" i="1"/>
  <c r="HX157" i="1"/>
  <c r="HS157" i="1"/>
  <c r="HN157" i="1"/>
  <c r="HG157" i="1"/>
  <c r="HH157" i="1" s="1"/>
  <c r="HI157" i="1" s="1"/>
  <c r="HB157" i="1"/>
  <c r="HC157" i="1" s="1"/>
  <c r="HD157" i="1" s="1"/>
  <c r="GW157" i="1"/>
  <c r="GX157" i="1" s="1"/>
  <c r="GY157" i="1" s="1"/>
  <c r="GR157" i="1"/>
  <c r="GS157" i="1" s="1"/>
  <c r="GT157" i="1" s="1"/>
  <c r="GM157" i="1"/>
  <c r="GN157" i="1" s="1"/>
  <c r="GO157" i="1" s="1"/>
  <c r="GH157" i="1"/>
  <c r="GI157" i="1" s="1"/>
  <c r="GJ157" i="1" s="1"/>
  <c r="GC157" i="1"/>
  <c r="GD157" i="1" s="1"/>
  <c r="GE157" i="1" s="1"/>
  <c r="FX157" i="1"/>
  <c r="FY157" i="1" s="1"/>
  <c r="FZ157" i="1" s="1"/>
  <c r="FS157" i="1"/>
  <c r="FT157" i="1" s="1"/>
  <c r="FU157" i="1" s="1"/>
  <c r="FN157" i="1"/>
  <c r="FO157" i="1" s="1"/>
  <c r="FP157" i="1" s="1"/>
  <c r="FI157" i="1"/>
  <c r="FJ157" i="1" s="1"/>
  <c r="FK157" i="1" s="1"/>
  <c r="FD157" i="1"/>
  <c r="FE157" i="1" s="1"/>
  <c r="FF157" i="1" s="1"/>
  <c r="EY157" i="1"/>
  <c r="EZ157" i="1" s="1"/>
  <c r="FA157" i="1" s="1"/>
  <c r="ET157" i="1"/>
  <c r="EU157" i="1" s="1"/>
  <c r="EV157" i="1" s="1"/>
  <c r="EO157" i="1"/>
  <c r="EP157" i="1" s="1"/>
  <c r="EQ157" i="1" s="1"/>
  <c r="EJ157" i="1"/>
  <c r="EK157" i="1" s="1"/>
  <c r="EL157" i="1" s="1"/>
  <c r="EE157" i="1"/>
  <c r="EF157" i="1" s="1"/>
  <c r="EG157" i="1" s="1"/>
  <c r="DZ157" i="1"/>
  <c r="EA157" i="1" s="1"/>
  <c r="EB157" i="1" s="1"/>
  <c r="DU157" i="1"/>
  <c r="DV157" i="1" s="1"/>
  <c r="DW157" i="1" s="1"/>
  <c r="DP157" i="1"/>
  <c r="DQ157" i="1" s="1"/>
  <c r="DR157" i="1" s="1"/>
  <c r="DK157" i="1"/>
  <c r="DL157" i="1" s="1"/>
  <c r="DM157" i="1" s="1"/>
  <c r="DF157" i="1"/>
  <c r="DG157" i="1" s="1"/>
  <c r="DH157" i="1" s="1"/>
  <c r="DA157" i="1"/>
  <c r="DB157" i="1" s="1"/>
  <c r="DC157" i="1" s="1"/>
  <c r="CV157" i="1"/>
  <c r="CW157" i="1" s="1"/>
  <c r="CX157" i="1" s="1"/>
  <c r="CQ157" i="1"/>
  <c r="CR157" i="1" s="1"/>
  <c r="CS157" i="1" s="1"/>
  <c r="CL157" i="1"/>
  <c r="CM157" i="1" s="1"/>
  <c r="CN157" i="1" s="1"/>
  <c r="CG157" i="1"/>
  <c r="CH157" i="1" s="1"/>
  <c r="CI157" i="1" s="1"/>
  <c r="CB157" i="1"/>
  <c r="CC157" i="1" s="1"/>
  <c r="CD157" i="1" s="1"/>
  <c r="BW157" i="1"/>
  <c r="BX157" i="1" s="1"/>
  <c r="BY157" i="1" s="1"/>
  <c r="BR157" i="1"/>
  <c r="BS157" i="1" s="1"/>
  <c r="BT157" i="1" s="1"/>
  <c r="BM157" i="1"/>
  <c r="BN157" i="1" s="1"/>
  <c r="BO157" i="1" s="1"/>
  <c r="BH157" i="1"/>
  <c r="BI157" i="1" s="1"/>
  <c r="BJ157" i="1" s="1"/>
  <c r="BC157" i="1"/>
  <c r="BD157" i="1" s="1"/>
  <c r="BE157" i="1" s="1"/>
  <c r="AX157" i="1"/>
  <c r="AY157" i="1" s="1"/>
  <c r="AZ157" i="1" s="1"/>
  <c r="AS157" i="1"/>
  <c r="AT157" i="1" s="1"/>
  <c r="AU157" i="1" s="1"/>
  <c r="AN157" i="1"/>
  <c r="AO157" i="1" s="1"/>
  <c r="AP157" i="1" s="1"/>
  <c r="AI157" i="1"/>
  <c r="AJ157" i="1" s="1"/>
  <c r="AK157" i="1" s="1"/>
  <c r="AD157" i="1"/>
  <c r="AE157" i="1" s="1"/>
  <c r="AF157" i="1" s="1"/>
  <c r="X157" i="1"/>
  <c r="Y157" i="1" s="1"/>
  <c r="Z157" i="1" s="1"/>
  <c r="T157" i="1"/>
  <c r="O157" i="1"/>
  <c r="J157" i="1"/>
  <c r="PZ156" i="1"/>
  <c r="PU156" i="1"/>
  <c r="PP156" i="1"/>
  <c r="PK156" i="1"/>
  <c r="PF156" i="1"/>
  <c r="PA156" i="1"/>
  <c r="OV156" i="1"/>
  <c r="OQ156" i="1"/>
  <c r="OL156" i="1"/>
  <c r="OG156" i="1"/>
  <c r="OB156" i="1"/>
  <c r="NW156" i="1"/>
  <c r="NR156" i="1"/>
  <c r="NM156" i="1"/>
  <c r="NH156" i="1"/>
  <c r="NC156" i="1"/>
  <c r="MX156" i="1"/>
  <c r="MS156" i="1"/>
  <c r="MN156" i="1"/>
  <c r="MI156" i="1"/>
  <c r="MD156" i="1"/>
  <c r="LY156" i="1"/>
  <c r="LT156" i="1"/>
  <c r="LO156" i="1"/>
  <c r="LJ156" i="1"/>
  <c r="LE156" i="1"/>
  <c r="KZ156" i="1"/>
  <c r="KU156" i="1"/>
  <c r="KP156" i="1"/>
  <c r="KK156" i="1"/>
  <c r="KF156" i="1"/>
  <c r="IZ156" i="1"/>
  <c r="JA156" i="1" s="1"/>
  <c r="JB156" i="1" s="1"/>
  <c r="IU156" i="1"/>
  <c r="IV156" i="1" s="1"/>
  <c r="IW156" i="1" s="1"/>
  <c r="IP156" i="1"/>
  <c r="IQ156" i="1" s="1"/>
  <c r="IR156" i="1" s="1"/>
  <c r="IK156" i="1"/>
  <c r="IL156" i="1" s="1"/>
  <c r="IM156" i="1" s="1"/>
  <c r="IF156" i="1"/>
  <c r="IG156" i="1" s="1"/>
  <c r="IH156" i="1" s="1"/>
  <c r="IA156" i="1"/>
  <c r="IB156" i="1" s="1"/>
  <c r="IC156" i="1" s="1"/>
  <c r="HV156" i="1"/>
  <c r="HW156" i="1" s="1"/>
  <c r="HX156" i="1" s="1"/>
  <c r="HQ156" i="1"/>
  <c r="HR156" i="1" s="1"/>
  <c r="HS156" i="1" s="1"/>
  <c r="HL156" i="1"/>
  <c r="HM156" i="1" s="1"/>
  <c r="HN156" i="1" s="1"/>
  <c r="HG156" i="1"/>
  <c r="HH156" i="1" s="1"/>
  <c r="HI156" i="1" s="1"/>
  <c r="HB156" i="1"/>
  <c r="HC156" i="1" s="1"/>
  <c r="HD156" i="1" s="1"/>
  <c r="GW156" i="1"/>
  <c r="GX156" i="1" s="1"/>
  <c r="GY156" i="1" s="1"/>
  <c r="GR156" i="1"/>
  <c r="GS156" i="1" s="1"/>
  <c r="GT156" i="1" s="1"/>
  <c r="GM156" i="1"/>
  <c r="GN156" i="1" s="1"/>
  <c r="GO156" i="1" s="1"/>
  <c r="GH156" i="1"/>
  <c r="GI156" i="1" s="1"/>
  <c r="GJ156" i="1" s="1"/>
  <c r="GC156" i="1"/>
  <c r="GD156" i="1" s="1"/>
  <c r="GE156" i="1" s="1"/>
  <c r="FX156" i="1"/>
  <c r="FY156" i="1" s="1"/>
  <c r="FZ156" i="1" s="1"/>
  <c r="FS156" i="1"/>
  <c r="FT156" i="1" s="1"/>
  <c r="FU156" i="1" s="1"/>
  <c r="FN156" i="1"/>
  <c r="FO156" i="1" s="1"/>
  <c r="FP156" i="1" s="1"/>
  <c r="FI156" i="1"/>
  <c r="FJ156" i="1" s="1"/>
  <c r="FK156" i="1" s="1"/>
  <c r="FD156" i="1"/>
  <c r="FE156" i="1" s="1"/>
  <c r="FF156" i="1" s="1"/>
  <c r="EY156" i="1"/>
  <c r="EZ156" i="1" s="1"/>
  <c r="FA156" i="1" s="1"/>
  <c r="ET156" i="1"/>
  <c r="EU156" i="1" s="1"/>
  <c r="EV156" i="1" s="1"/>
  <c r="EO156" i="1"/>
  <c r="EP156" i="1" s="1"/>
  <c r="EQ156" i="1" s="1"/>
  <c r="EJ156" i="1"/>
  <c r="EK156" i="1" s="1"/>
  <c r="EL156" i="1" s="1"/>
  <c r="EE156" i="1"/>
  <c r="EF156" i="1" s="1"/>
  <c r="EG156" i="1" s="1"/>
  <c r="DZ156" i="1"/>
  <c r="EA156" i="1" s="1"/>
  <c r="EB156" i="1" s="1"/>
  <c r="DU156" i="1"/>
  <c r="DV156" i="1" s="1"/>
  <c r="DW156" i="1" s="1"/>
  <c r="DP156" i="1"/>
  <c r="DQ156" i="1" s="1"/>
  <c r="DR156" i="1" s="1"/>
  <c r="DK156" i="1"/>
  <c r="DL156" i="1" s="1"/>
  <c r="DM156" i="1" s="1"/>
  <c r="DF156" i="1"/>
  <c r="DG156" i="1" s="1"/>
  <c r="DH156" i="1" s="1"/>
  <c r="DA156" i="1"/>
  <c r="DB156" i="1" s="1"/>
  <c r="DC156" i="1" s="1"/>
  <c r="CV156" i="1"/>
  <c r="CW156" i="1" s="1"/>
  <c r="CX156" i="1" s="1"/>
  <c r="CQ156" i="1"/>
  <c r="CR156" i="1" s="1"/>
  <c r="CS156" i="1" s="1"/>
  <c r="CL156" i="1"/>
  <c r="CM156" i="1" s="1"/>
  <c r="CN156" i="1" s="1"/>
  <c r="CG156" i="1"/>
  <c r="CH156" i="1" s="1"/>
  <c r="CI156" i="1" s="1"/>
  <c r="CB156" i="1"/>
  <c r="CC156" i="1" s="1"/>
  <c r="CD156" i="1" s="1"/>
  <c r="BW156" i="1"/>
  <c r="BX156" i="1" s="1"/>
  <c r="BY156" i="1" s="1"/>
  <c r="BR156" i="1"/>
  <c r="BS156" i="1" s="1"/>
  <c r="BT156" i="1" s="1"/>
  <c r="BM156" i="1"/>
  <c r="BN156" i="1" s="1"/>
  <c r="BO156" i="1" s="1"/>
  <c r="BH156" i="1"/>
  <c r="BI156" i="1" s="1"/>
  <c r="BJ156" i="1" s="1"/>
  <c r="BC156" i="1"/>
  <c r="BD156" i="1" s="1"/>
  <c r="BE156" i="1" s="1"/>
  <c r="AX156" i="1"/>
  <c r="AY156" i="1" s="1"/>
  <c r="AZ156" i="1" s="1"/>
  <c r="AS156" i="1"/>
  <c r="AT156" i="1" s="1"/>
  <c r="AU156" i="1" s="1"/>
  <c r="AN156" i="1"/>
  <c r="AO156" i="1" s="1"/>
  <c r="AP156" i="1" s="1"/>
  <c r="AI156" i="1"/>
  <c r="AJ156" i="1" s="1"/>
  <c r="AK156" i="1" s="1"/>
  <c r="AD156" i="1"/>
  <c r="AE156" i="1" s="1"/>
  <c r="AF156" i="1" s="1"/>
  <c r="X156" i="1"/>
  <c r="Y156" i="1" s="1"/>
  <c r="Z156" i="1" s="1"/>
  <c r="T156" i="1"/>
  <c r="O156" i="1"/>
  <c r="J156" i="1"/>
  <c r="PZ155" i="1"/>
  <c r="PU155" i="1"/>
  <c r="PP155" i="1"/>
  <c r="PK155" i="1"/>
  <c r="PF155" i="1"/>
  <c r="PA155" i="1"/>
  <c r="OV155" i="1"/>
  <c r="OQ155" i="1"/>
  <c r="OL155" i="1"/>
  <c r="OG155" i="1"/>
  <c r="OB155" i="1"/>
  <c r="NW155" i="1"/>
  <c r="NR155" i="1"/>
  <c r="NM155" i="1"/>
  <c r="NH155" i="1"/>
  <c r="NC155" i="1"/>
  <c r="MX155" i="1"/>
  <c r="MS155" i="1"/>
  <c r="MN155" i="1"/>
  <c r="MI155" i="1"/>
  <c r="MD155" i="1"/>
  <c r="LY155" i="1"/>
  <c r="LT155" i="1"/>
  <c r="LO155" i="1"/>
  <c r="LJ155" i="1"/>
  <c r="LE155" i="1"/>
  <c r="KZ155" i="1"/>
  <c r="KS155" i="1"/>
  <c r="KT155" i="1" s="1"/>
  <c r="KU155" i="1" s="1"/>
  <c r="KP155" i="1"/>
  <c r="KK155" i="1"/>
  <c r="KF155" i="1"/>
  <c r="JB155" i="1"/>
  <c r="IW155" i="1"/>
  <c r="IR155" i="1"/>
  <c r="IM155" i="1"/>
  <c r="IH155" i="1"/>
  <c r="IC155" i="1"/>
  <c r="HX155" i="1"/>
  <c r="HS155" i="1"/>
  <c r="HN155" i="1"/>
  <c r="HG155" i="1"/>
  <c r="HH155" i="1" s="1"/>
  <c r="HI155" i="1" s="1"/>
  <c r="HB155" i="1"/>
  <c r="HC155" i="1" s="1"/>
  <c r="HD155" i="1" s="1"/>
  <c r="GW155" i="1"/>
  <c r="GX155" i="1" s="1"/>
  <c r="GY155" i="1" s="1"/>
  <c r="GR155" i="1"/>
  <c r="GS155" i="1" s="1"/>
  <c r="GT155" i="1" s="1"/>
  <c r="GM155" i="1"/>
  <c r="GN155" i="1" s="1"/>
  <c r="GO155" i="1" s="1"/>
  <c r="GH155" i="1"/>
  <c r="GI155" i="1" s="1"/>
  <c r="GJ155" i="1" s="1"/>
  <c r="GC155" i="1"/>
  <c r="GD155" i="1" s="1"/>
  <c r="GE155" i="1" s="1"/>
  <c r="FX155" i="1"/>
  <c r="FY155" i="1" s="1"/>
  <c r="FZ155" i="1" s="1"/>
  <c r="FS155" i="1"/>
  <c r="FT155" i="1" s="1"/>
  <c r="FU155" i="1" s="1"/>
  <c r="FN155" i="1"/>
  <c r="FO155" i="1" s="1"/>
  <c r="FP155" i="1" s="1"/>
  <c r="FI155" i="1"/>
  <c r="FJ155" i="1" s="1"/>
  <c r="FK155" i="1" s="1"/>
  <c r="FD155" i="1"/>
  <c r="FE155" i="1" s="1"/>
  <c r="FF155" i="1" s="1"/>
  <c r="EY155" i="1"/>
  <c r="EZ155" i="1" s="1"/>
  <c r="FA155" i="1" s="1"/>
  <c r="ET155" i="1"/>
  <c r="EU155" i="1" s="1"/>
  <c r="EV155" i="1" s="1"/>
  <c r="EO155" i="1"/>
  <c r="EP155" i="1" s="1"/>
  <c r="EQ155" i="1" s="1"/>
  <c r="EJ155" i="1"/>
  <c r="EK155" i="1" s="1"/>
  <c r="EL155" i="1" s="1"/>
  <c r="EE155" i="1"/>
  <c r="EF155" i="1" s="1"/>
  <c r="EG155" i="1" s="1"/>
  <c r="DZ155" i="1"/>
  <c r="EA155" i="1" s="1"/>
  <c r="EB155" i="1" s="1"/>
  <c r="DU155" i="1"/>
  <c r="DV155" i="1" s="1"/>
  <c r="DW155" i="1" s="1"/>
  <c r="DP155" i="1"/>
  <c r="DQ155" i="1" s="1"/>
  <c r="DR155" i="1" s="1"/>
  <c r="DK155" i="1"/>
  <c r="DL155" i="1" s="1"/>
  <c r="DM155" i="1" s="1"/>
  <c r="DF155" i="1"/>
  <c r="DG155" i="1" s="1"/>
  <c r="DH155" i="1" s="1"/>
  <c r="DA155" i="1"/>
  <c r="DB155" i="1" s="1"/>
  <c r="DC155" i="1" s="1"/>
  <c r="CV155" i="1"/>
  <c r="CW155" i="1" s="1"/>
  <c r="CX155" i="1" s="1"/>
  <c r="CQ155" i="1"/>
  <c r="CR155" i="1" s="1"/>
  <c r="CS155" i="1" s="1"/>
  <c r="CL155" i="1"/>
  <c r="CM155" i="1" s="1"/>
  <c r="CN155" i="1" s="1"/>
  <c r="CG155" i="1"/>
  <c r="CH155" i="1" s="1"/>
  <c r="CI155" i="1" s="1"/>
  <c r="CB155" i="1"/>
  <c r="CC155" i="1" s="1"/>
  <c r="CD155" i="1" s="1"/>
  <c r="BW155" i="1"/>
  <c r="BX155" i="1" s="1"/>
  <c r="BY155" i="1" s="1"/>
  <c r="BR155" i="1"/>
  <c r="BS155" i="1" s="1"/>
  <c r="BT155" i="1" s="1"/>
  <c r="BM155" i="1"/>
  <c r="BN155" i="1" s="1"/>
  <c r="BO155" i="1" s="1"/>
  <c r="BH155" i="1"/>
  <c r="BI155" i="1" s="1"/>
  <c r="BJ155" i="1" s="1"/>
  <c r="BC155" i="1"/>
  <c r="BD155" i="1" s="1"/>
  <c r="BE155" i="1" s="1"/>
  <c r="AX155" i="1"/>
  <c r="AY155" i="1" s="1"/>
  <c r="AZ155" i="1" s="1"/>
  <c r="AS155" i="1"/>
  <c r="AT155" i="1" s="1"/>
  <c r="AU155" i="1" s="1"/>
  <c r="AN155" i="1"/>
  <c r="AO155" i="1" s="1"/>
  <c r="AP155" i="1" s="1"/>
  <c r="AI155" i="1"/>
  <c r="AJ155" i="1" s="1"/>
  <c r="AK155" i="1" s="1"/>
  <c r="X155" i="1"/>
  <c r="Y155" i="1" s="1"/>
  <c r="Z155" i="1" s="1"/>
  <c r="R155" i="1"/>
  <c r="S155" i="1" s="1"/>
  <c r="T155" i="1" s="1"/>
  <c r="O155" i="1"/>
  <c r="J155" i="1"/>
  <c r="PZ154" i="1"/>
  <c r="PU154" i="1"/>
  <c r="PP154" i="1"/>
  <c r="PK154" i="1"/>
  <c r="PF154" i="1"/>
  <c r="PA154" i="1"/>
  <c r="OV154" i="1"/>
  <c r="OQ154" i="1"/>
  <c r="OL154" i="1"/>
  <c r="OG154" i="1"/>
  <c r="OB154" i="1"/>
  <c r="NW154" i="1"/>
  <c r="NR154" i="1"/>
  <c r="NM154" i="1"/>
  <c r="NH154" i="1"/>
  <c r="NC154" i="1"/>
  <c r="MV154" i="1"/>
  <c r="MW154" i="1" s="1"/>
  <c r="MX154" i="1" s="1"/>
  <c r="MQ154" i="1"/>
  <c r="MR154" i="1" s="1"/>
  <c r="MS154" i="1" s="1"/>
  <c r="MN154" i="1"/>
  <c r="MI154" i="1"/>
  <c r="MD154" i="1"/>
  <c r="LY154" i="1"/>
  <c r="LT154" i="1"/>
  <c r="LO154" i="1"/>
  <c r="LJ154" i="1"/>
  <c r="LC154" i="1"/>
  <c r="LD154" i="1" s="1"/>
  <c r="LE154" i="1" s="1"/>
  <c r="KZ154" i="1"/>
  <c r="KU154" i="1"/>
  <c r="KP154" i="1"/>
  <c r="KI154" i="1"/>
  <c r="KJ154" i="1" s="1"/>
  <c r="KK154" i="1" s="1"/>
  <c r="KF154" i="1"/>
  <c r="IZ154" i="1"/>
  <c r="JA154" i="1" s="1"/>
  <c r="JB154" i="1" s="1"/>
  <c r="IU154" i="1"/>
  <c r="IV154" i="1" s="1"/>
  <c r="IW154" i="1" s="1"/>
  <c r="IP154" i="1"/>
  <c r="IQ154" i="1" s="1"/>
  <c r="IR154" i="1" s="1"/>
  <c r="IK154" i="1"/>
  <c r="IL154" i="1" s="1"/>
  <c r="IM154" i="1" s="1"/>
  <c r="IF154" i="1"/>
  <c r="IG154" i="1" s="1"/>
  <c r="IH154" i="1" s="1"/>
  <c r="IA154" i="1"/>
  <c r="IB154" i="1" s="1"/>
  <c r="IC154" i="1" s="1"/>
  <c r="HV154" i="1"/>
  <c r="HW154" i="1" s="1"/>
  <c r="HX154" i="1" s="1"/>
  <c r="HS154" i="1"/>
  <c r="HN154" i="1"/>
  <c r="HG154" i="1"/>
  <c r="HH154" i="1" s="1"/>
  <c r="HI154" i="1" s="1"/>
  <c r="HB154" i="1"/>
  <c r="HC154" i="1" s="1"/>
  <c r="HD154" i="1" s="1"/>
  <c r="GW154" i="1"/>
  <c r="GX154" i="1" s="1"/>
  <c r="GY154" i="1" s="1"/>
  <c r="GR154" i="1"/>
  <c r="GS154" i="1" s="1"/>
  <c r="GT154" i="1" s="1"/>
  <c r="GM154" i="1"/>
  <c r="GN154" i="1" s="1"/>
  <c r="GO154" i="1" s="1"/>
  <c r="GH154" i="1"/>
  <c r="GI154" i="1" s="1"/>
  <c r="GJ154" i="1" s="1"/>
  <c r="GC154" i="1"/>
  <c r="GD154" i="1" s="1"/>
  <c r="GE154" i="1" s="1"/>
  <c r="FX154" i="1"/>
  <c r="FY154" i="1" s="1"/>
  <c r="FZ154" i="1" s="1"/>
  <c r="FS154" i="1"/>
  <c r="FT154" i="1" s="1"/>
  <c r="FU154" i="1" s="1"/>
  <c r="FN154" i="1"/>
  <c r="FO154" i="1" s="1"/>
  <c r="FP154" i="1" s="1"/>
  <c r="FI154" i="1"/>
  <c r="FJ154" i="1" s="1"/>
  <c r="FK154" i="1" s="1"/>
  <c r="FD154" i="1"/>
  <c r="FE154" i="1" s="1"/>
  <c r="FF154" i="1" s="1"/>
  <c r="EY154" i="1"/>
  <c r="EZ154" i="1" s="1"/>
  <c r="FA154" i="1" s="1"/>
  <c r="ET154" i="1"/>
  <c r="EU154" i="1" s="1"/>
  <c r="EV154" i="1" s="1"/>
  <c r="EO154" i="1"/>
  <c r="EP154" i="1" s="1"/>
  <c r="EQ154" i="1" s="1"/>
  <c r="EJ154" i="1"/>
  <c r="EK154" i="1" s="1"/>
  <c r="EL154" i="1" s="1"/>
  <c r="EE154" i="1"/>
  <c r="EF154" i="1" s="1"/>
  <c r="EG154" i="1" s="1"/>
  <c r="DZ154" i="1"/>
  <c r="EA154" i="1" s="1"/>
  <c r="EB154" i="1" s="1"/>
  <c r="DU154" i="1"/>
  <c r="DV154" i="1" s="1"/>
  <c r="DW154" i="1" s="1"/>
  <c r="DP154" i="1"/>
  <c r="DQ154" i="1" s="1"/>
  <c r="DR154" i="1" s="1"/>
  <c r="DK154" i="1"/>
  <c r="DL154" i="1" s="1"/>
  <c r="DM154" i="1" s="1"/>
  <c r="DF154" i="1"/>
  <c r="DG154" i="1" s="1"/>
  <c r="DH154" i="1" s="1"/>
  <c r="DA154" i="1"/>
  <c r="DB154" i="1" s="1"/>
  <c r="DC154" i="1" s="1"/>
  <c r="CV154" i="1"/>
  <c r="CW154" i="1" s="1"/>
  <c r="CX154" i="1" s="1"/>
  <c r="CQ154" i="1"/>
  <c r="CR154" i="1" s="1"/>
  <c r="CS154" i="1" s="1"/>
  <c r="CL154" i="1"/>
  <c r="CM154" i="1" s="1"/>
  <c r="CN154" i="1" s="1"/>
  <c r="CG154" i="1"/>
  <c r="CH154" i="1" s="1"/>
  <c r="CI154" i="1" s="1"/>
  <c r="CB154" i="1"/>
  <c r="CC154" i="1" s="1"/>
  <c r="CD154" i="1" s="1"/>
  <c r="BW154" i="1"/>
  <c r="BX154" i="1" s="1"/>
  <c r="BY154" i="1" s="1"/>
  <c r="BR154" i="1"/>
  <c r="BS154" i="1" s="1"/>
  <c r="BT154" i="1" s="1"/>
  <c r="BM154" i="1"/>
  <c r="BN154" i="1" s="1"/>
  <c r="BO154" i="1" s="1"/>
  <c r="BH154" i="1"/>
  <c r="BI154" i="1" s="1"/>
  <c r="BJ154" i="1" s="1"/>
  <c r="BC154" i="1"/>
  <c r="BD154" i="1" s="1"/>
  <c r="BE154" i="1" s="1"/>
  <c r="AX154" i="1"/>
  <c r="AY154" i="1" s="1"/>
  <c r="AZ154" i="1" s="1"/>
  <c r="AS154" i="1"/>
  <c r="AT154" i="1" s="1"/>
  <c r="AU154" i="1" s="1"/>
  <c r="AN154" i="1"/>
  <c r="AO154" i="1" s="1"/>
  <c r="AP154" i="1" s="1"/>
  <c r="AI154" i="1"/>
  <c r="AJ154" i="1" s="1"/>
  <c r="AK154" i="1" s="1"/>
  <c r="AD154" i="1"/>
  <c r="AE154" i="1" s="1"/>
  <c r="AF154" i="1" s="1"/>
  <c r="X154" i="1"/>
  <c r="Y154" i="1" s="1"/>
  <c r="Z154" i="1" s="1"/>
  <c r="T154" i="1"/>
  <c r="O154" i="1"/>
  <c r="J154" i="1"/>
  <c r="PZ153" i="1"/>
  <c r="PU153" i="1"/>
  <c r="PP153" i="1"/>
  <c r="PK153" i="1"/>
  <c r="PF153" i="1"/>
  <c r="PA153" i="1"/>
  <c r="OV153" i="1"/>
  <c r="OQ153" i="1"/>
  <c r="OL153" i="1"/>
  <c r="OG153" i="1"/>
  <c r="OB153" i="1"/>
  <c r="NW153" i="1"/>
  <c r="NR153" i="1"/>
  <c r="NM153" i="1"/>
  <c r="NH153" i="1"/>
  <c r="NC153" i="1"/>
  <c r="MX153" i="1"/>
  <c r="MS153" i="1"/>
  <c r="MN153" i="1"/>
  <c r="MI153" i="1"/>
  <c r="MD153" i="1"/>
  <c r="LY153" i="1"/>
  <c r="LT153" i="1"/>
  <c r="LO153" i="1"/>
  <c r="LJ153" i="1"/>
  <c r="LE153" i="1"/>
  <c r="KZ153" i="1"/>
  <c r="KU153" i="1"/>
  <c r="KP153" i="1"/>
  <c r="KK153" i="1"/>
  <c r="KF153" i="1"/>
  <c r="JB153" i="1"/>
  <c r="IW153" i="1"/>
  <c r="IR153" i="1"/>
  <c r="IM153" i="1"/>
  <c r="IH153" i="1"/>
  <c r="IC153" i="1"/>
  <c r="HX153" i="1"/>
  <c r="HS153" i="1"/>
  <c r="HN153" i="1"/>
  <c r="HI153" i="1"/>
  <c r="HB153" i="1"/>
  <c r="HC153" i="1" s="1"/>
  <c r="HD153" i="1" s="1"/>
  <c r="GW153" i="1"/>
  <c r="GX153" i="1" s="1"/>
  <c r="GY153" i="1" s="1"/>
  <c r="GR153" i="1"/>
  <c r="GS153" i="1" s="1"/>
  <c r="GT153" i="1" s="1"/>
  <c r="GM153" i="1"/>
  <c r="GN153" i="1" s="1"/>
  <c r="GO153" i="1" s="1"/>
  <c r="GH153" i="1"/>
  <c r="GI153" i="1" s="1"/>
  <c r="GJ153" i="1" s="1"/>
  <c r="GC153" i="1"/>
  <c r="GD153" i="1" s="1"/>
  <c r="GE153" i="1" s="1"/>
  <c r="FX153" i="1"/>
  <c r="FY153" i="1" s="1"/>
  <c r="FZ153" i="1" s="1"/>
  <c r="FS153" i="1"/>
  <c r="FT153" i="1" s="1"/>
  <c r="FU153" i="1" s="1"/>
  <c r="FN153" i="1"/>
  <c r="FO153" i="1" s="1"/>
  <c r="FP153" i="1" s="1"/>
  <c r="FI153" i="1"/>
  <c r="FJ153" i="1" s="1"/>
  <c r="FK153" i="1" s="1"/>
  <c r="FD153" i="1"/>
  <c r="FE153" i="1" s="1"/>
  <c r="FF153" i="1" s="1"/>
  <c r="EY153" i="1"/>
  <c r="EZ153" i="1" s="1"/>
  <c r="FA153" i="1" s="1"/>
  <c r="ET153" i="1"/>
  <c r="EU153" i="1" s="1"/>
  <c r="EV153" i="1" s="1"/>
  <c r="EO153" i="1"/>
  <c r="EP153" i="1" s="1"/>
  <c r="EQ153" i="1" s="1"/>
  <c r="EJ153" i="1"/>
  <c r="EK153" i="1" s="1"/>
  <c r="EL153" i="1" s="1"/>
  <c r="EE153" i="1"/>
  <c r="EF153" i="1" s="1"/>
  <c r="EG153" i="1" s="1"/>
  <c r="DZ153" i="1"/>
  <c r="EA153" i="1" s="1"/>
  <c r="EB153" i="1" s="1"/>
  <c r="DU153" i="1"/>
  <c r="DV153" i="1" s="1"/>
  <c r="DW153" i="1" s="1"/>
  <c r="DP153" i="1"/>
  <c r="DQ153" i="1" s="1"/>
  <c r="DR153" i="1" s="1"/>
  <c r="DK153" i="1"/>
  <c r="DL153" i="1" s="1"/>
  <c r="DM153" i="1" s="1"/>
  <c r="DF153" i="1"/>
  <c r="DG153" i="1" s="1"/>
  <c r="DH153" i="1" s="1"/>
  <c r="DA153" i="1"/>
  <c r="DB153" i="1" s="1"/>
  <c r="DC153" i="1" s="1"/>
  <c r="CV153" i="1"/>
  <c r="CW153" i="1" s="1"/>
  <c r="CX153" i="1" s="1"/>
  <c r="CQ153" i="1"/>
  <c r="CR153" i="1" s="1"/>
  <c r="CS153" i="1" s="1"/>
  <c r="CL153" i="1"/>
  <c r="CM153" i="1" s="1"/>
  <c r="CN153" i="1" s="1"/>
  <c r="CG153" i="1"/>
  <c r="CH153" i="1" s="1"/>
  <c r="CI153" i="1" s="1"/>
  <c r="CB153" i="1"/>
  <c r="CC153" i="1" s="1"/>
  <c r="CD153" i="1" s="1"/>
  <c r="BW153" i="1"/>
  <c r="BX153" i="1" s="1"/>
  <c r="BY153" i="1" s="1"/>
  <c r="BR153" i="1"/>
  <c r="BS153" i="1" s="1"/>
  <c r="BT153" i="1" s="1"/>
  <c r="BM153" i="1"/>
  <c r="BN153" i="1" s="1"/>
  <c r="BO153" i="1" s="1"/>
  <c r="BH153" i="1"/>
  <c r="BI153" i="1" s="1"/>
  <c r="BJ153" i="1" s="1"/>
  <c r="BC153" i="1"/>
  <c r="BD153" i="1" s="1"/>
  <c r="BE153" i="1" s="1"/>
  <c r="AX153" i="1"/>
  <c r="AY153" i="1" s="1"/>
  <c r="AZ153" i="1" s="1"/>
  <c r="AS153" i="1"/>
  <c r="AT153" i="1" s="1"/>
  <c r="AU153" i="1" s="1"/>
  <c r="AN153" i="1"/>
  <c r="AO153" i="1" s="1"/>
  <c r="AP153" i="1" s="1"/>
  <c r="AI153" i="1"/>
  <c r="AJ153" i="1" s="1"/>
  <c r="AK153" i="1" s="1"/>
  <c r="X153" i="1"/>
  <c r="Y153" i="1" s="1"/>
  <c r="Z153" i="1" s="1"/>
  <c r="T153" i="1"/>
  <c r="O153" i="1"/>
  <c r="H153" i="1"/>
  <c r="I153" i="1" s="1"/>
  <c r="J153" i="1" s="1"/>
  <c r="PZ152" i="1"/>
  <c r="PU152" i="1"/>
  <c r="PP152" i="1"/>
  <c r="PK152" i="1"/>
  <c r="PF152" i="1"/>
  <c r="PA152" i="1"/>
  <c r="OV152" i="1"/>
  <c r="OQ152" i="1"/>
  <c r="OL152" i="1"/>
  <c r="OG152" i="1"/>
  <c r="OB152" i="1"/>
  <c r="NW152" i="1"/>
  <c r="NR152" i="1"/>
  <c r="NM152" i="1"/>
  <c r="NH152" i="1"/>
  <c r="NC152" i="1"/>
  <c r="MX152" i="1"/>
  <c r="MS152" i="1"/>
  <c r="MN152" i="1"/>
  <c r="MI152" i="1"/>
  <c r="MD152" i="1"/>
  <c r="LY152" i="1"/>
  <c r="LT152" i="1"/>
  <c r="LO152" i="1"/>
  <c r="LJ152" i="1"/>
  <c r="LE152" i="1"/>
  <c r="KX152" i="1"/>
  <c r="KY152" i="1" s="1"/>
  <c r="KZ152" i="1" s="1"/>
  <c r="KU152" i="1"/>
  <c r="KP152" i="1"/>
  <c r="KK152" i="1"/>
  <c r="KF152" i="1"/>
  <c r="IZ152" i="1"/>
  <c r="JA152" i="1" s="1"/>
  <c r="JB152" i="1" s="1"/>
  <c r="IU152" i="1"/>
  <c r="IV152" i="1" s="1"/>
  <c r="IW152" i="1" s="1"/>
  <c r="IP152" i="1"/>
  <c r="IQ152" i="1" s="1"/>
  <c r="IR152" i="1" s="1"/>
  <c r="IK152" i="1"/>
  <c r="IL152" i="1" s="1"/>
  <c r="IM152" i="1" s="1"/>
  <c r="IF152" i="1"/>
  <c r="IG152" i="1" s="1"/>
  <c r="IH152" i="1" s="1"/>
  <c r="IA152" i="1"/>
  <c r="IB152" i="1" s="1"/>
  <c r="IC152" i="1" s="1"/>
  <c r="HV152" i="1"/>
  <c r="HW152" i="1" s="1"/>
  <c r="HX152" i="1" s="1"/>
  <c r="HQ152" i="1"/>
  <c r="HR152" i="1" s="1"/>
  <c r="HS152" i="1" s="1"/>
  <c r="HL152" i="1"/>
  <c r="HM152" i="1" s="1"/>
  <c r="HN152" i="1" s="1"/>
  <c r="HG152" i="1"/>
  <c r="HH152" i="1" s="1"/>
  <c r="HI152" i="1" s="1"/>
  <c r="HB152" i="1"/>
  <c r="HC152" i="1" s="1"/>
  <c r="HD152" i="1" s="1"/>
  <c r="GW152" i="1"/>
  <c r="GX152" i="1" s="1"/>
  <c r="GY152" i="1" s="1"/>
  <c r="GR152" i="1"/>
  <c r="GS152" i="1" s="1"/>
  <c r="GT152" i="1" s="1"/>
  <c r="GM152" i="1"/>
  <c r="GN152" i="1" s="1"/>
  <c r="GO152" i="1" s="1"/>
  <c r="GH152" i="1"/>
  <c r="GI152" i="1" s="1"/>
  <c r="GJ152" i="1" s="1"/>
  <c r="GC152" i="1"/>
  <c r="GD152" i="1" s="1"/>
  <c r="GE152" i="1" s="1"/>
  <c r="FX152" i="1"/>
  <c r="FY152" i="1" s="1"/>
  <c r="FZ152" i="1" s="1"/>
  <c r="FS152" i="1"/>
  <c r="FT152" i="1" s="1"/>
  <c r="FU152" i="1" s="1"/>
  <c r="FN152" i="1"/>
  <c r="FO152" i="1" s="1"/>
  <c r="FP152" i="1" s="1"/>
  <c r="FI152" i="1"/>
  <c r="FJ152" i="1" s="1"/>
  <c r="FK152" i="1" s="1"/>
  <c r="FD152" i="1"/>
  <c r="FE152" i="1" s="1"/>
  <c r="FF152" i="1" s="1"/>
  <c r="EY152" i="1"/>
  <c r="EZ152" i="1" s="1"/>
  <c r="FA152" i="1" s="1"/>
  <c r="ET152" i="1"/>
  <c r="EU152" i="1" s="1"/>
  <c r="EV152" i="1" s="1"/>
  <c r="EO152" i="1"/>
  <c r="EP152" i="1" s="1"/>
  <c r="EQ152" i="1" s="1"/>
  <c r="EJ152" i="1"/>
  <c r="EK152" i="1" s="1"/>
  <c r="EL152" i="1" s="1"/>
  <c r="EE152" i="1"/>
  <c r="EF152" i="1" s="1"/>
  <c r="EG152" i="1" s="1"/>
  <c r="DZ152" i="1"/>
  <c r="EA152" i="1" s="1"/>
  <c r="EB152" i="1" s="1"/>
  <c r="DU152" i="1"/>
  <c r="DV152" i="1" s="1"/>
  <c r="DW152" i="1" s="1"/>
  <c r="DP152" i="1"/>
  <c r="DQ152" i="1" s="1"/>
  <c r="DR152" i="1" s="1"/>
  <c r="DK152" i="1"/>
  <c r="DL152" i="1" s="1"/>
  <c r="DM152" i="1" s="1"/>
  <c r="DF152" i="1"/>
  <c r="DG152" i="1" s="1"/>
  <c r="DH152" i="1" s="1"/>
  <c r="DA152" i="1"/>
  <c r="DB152" i="1" s="1"/>
  <c r="DC152" i="1" s="1"/>
  <c r="CV152" i="1"/>
  <c r="CW152" i="1" s="1"/>
  <c r="CX152" i="1" s="1"/>
  <c r="CQ152" i="1"/>
  <c r="CR152" i="1" s="1"/>
  <c r="CS152" i="1" s="1"/>
  <c r="CL152" i="1"/>
  <c r="CM152" i="1" s="1"/>
  <c r="CN152" i="1" s="1"/>
  <c r="CG152" i="1"/>
  <c r="CH152" i="1" s="1"/>
  <c r="CI152" i="1" s="1"/>
  <c r="CB152" i="1"/>
  <c r="CC152" i="1" s="1"/>
  <c r="CD152" i="1" s="1"/>
  <c r="BW152" i="1"/>
  <c r="BX152" i="1" s="1"/>
  <c r="BY152" i="1" s="1"/>
  <c r="BR152" i="1"/>
  <c r="BS152" i="1" s="1"/>
  <c r="BT152" i="1" s="1"/>
  <c r="BM152" i="1"/>
  <c r="BN152" i="1" s="1"/>
  <c r="BO152" i="1" s="1"/>
  <c r="BH152" i="1"/>
  <c r="BI152" i="1" s="1"/>
  <c r="BJ152" i="1" s="1"/>
  <c r="BC152" i="1"/>
  <c r="BD152" i="1" s="1"/>
  <c r="BE152" i="1" s="1"/>
  <c r="AX152" i="1"/>
  <c r="AY152" i="1" s="1"/>
  <c r="AZ152" i="1" s="1"/>
  <c r="AS152" i="1"/>
  <c r="AT152" i="1" s="1"/>
  <c r="AU152" i="1" s="1"/>
  <c r="AN152" i="1"/>
  <c r="AO152" i="1" s="1"/>
  <c r="AP152" i="1" s="1"/>
  <c r="AI152" i="1"/>
  <c r="AJ152" i="1" s="1"/>
  <c r="AK152" i="1" s="1"/>
  <c r="AD152" i="1"/>
  <c r="AE152" i="1" s="1"/>
  <c r="AF152" i="1" s="1"/>
  <c r="X152" i="1"/>
  <c r="Y152" i="1" s="1"/>
  <c r="Z152" i="1" s="1"/>
  <c r="R152" i="1"/>
  <c r="S152" i="1" s="1"/>
  <c r="T152" i="1" s="1"/>
  <c r="O152" i="1"/>
  <c r="J152" i="1"/>
  <c r="PZ151" i="1"/>
  <c r="PU151" i="1"/>
  <c r="PP151" i="1"/>
  <c r="PK151" i="1"/>
  <c r="PF151" i="1"/>
  <c r="PA151" i="1"/>
  <c r="OV151" i="1"/>
  <c r="OQ151" i="1"/>
  <c r="OL151" i="1"/>
  <c r="OG151" i="1"/>
  <c r="OB151" i="1"/>
  <c r="NW151" i="1"/>
  <c r="NR151" i="1"/>
  <c r="NM151" i="1"/>
  <c r="NH151" i="1"/>
  <c r="NC151" i="1"/>
  <c r="MX151" i="1"/>
  <c r="MS151" i="1"/>
  <c r="MN151" i="1"/>
  <c r="MI151" i="1"/>
  <c r="MD151" i="1"/>
  <c r="LY151" i="1"/>
  <c r="LT151" i="1"/>
  <c r="LO151" i="1"/>
  <c r="LJ151" i="1"/>
  <c r="LE151" i="1"/>
  <c r="KX151" i="1"/>
  <c r="KY151" i="1" s="1"/>
  <c r="KZ151" i="1" s="1"/>
  <c r="KU151" i="1"/>
  <c r="KP151" i="1"/>
  <c r="KI151" i="1"/>
  <c r="KJ151" i="1" s="1"/>
  <c r="KK151" i="1" s="1"/>
  <c r="KF151" i="1"/>
  <c r="IZ151" i="1"/>
  <c r="JA151" i="1" s="1"/>
  <c r="JB151" i="1" s="1"/>
  <c r="IU151" i="1"/>
  <c r="IV151" i="1" s="1"/>
  <c r="IW151" i="1" s="1"/>
  <c r="IP151" i="1"/>
  <c r="IQ151" i="1" s="1"/>
  <c r="IR151" i="1" s="1"/>
  <c r="IK151" i="1"/>
  <c r="IL151" i="1" s="1"/>
  <c r="IM151" i="1" s="1"/>
  <c r="IF151" i="1"/>
  <c r="IG151" i="1" s="1"/>
  <c r="IH151" i="1" s="1"/>
  <c r="IA151" i="1"/>
  <c r="IB151" i="1" s="1"/>
  <c r="IC151" i="1" s="1"/>
  <c r="HV151" i="1"/>
  <c r="HW151" i="1" s="1"/>
  <c r="HX151" i="1" s="1"/>
  <c r="HS151" i="1"/>
  <c r="HN151" i="1"/>
  <c r="HG151" i="1"/>
  <c r="HH151" i="1" s="1"/>
  <c r="HI151" i="1" s="1"/>
  <c r="HB151" i="1"/>
  <c r="HC151" i="1" s="1"/>
  <c r="HD151" i="1" s="1"/>
  <c r="GW151" i="1"/>
  <c r="GX151" i="1" s="1"/>
  <c r="GY151" i="1" s="1"/>
  <c r="GR151" i="1"/>
  <c r="GS151" i="1" s="1"/>
  <c r="GT151" i="1" s="1"/>
  <c r="GM151" i="1"/>
  <c r="GN151" i="1" s="1"/>
  <c r="GO151" i="1" s="1"/>
  <c r="GH151" i="1"/>
  <c r="GI151" i="1" s="1"/>
  <c r="GJ151" i="1" s="1"/>
  <c r="GC151" i="1"/>
  <c r="GD151" i="1" s="1"/>
  <c r="GE151" i="1" s="1"/>
  <c r="FX151" i="1"/>
  <c r="FY151" i="1" s="1"/>
  <c r="FZ151" i="1" s="1"/>
  <c r="FS151" i="1"/>
  <c r="FT151" i="1" s="1"/>
  <c r="FU151" i="1" s="1"/>
  <c r="FN151" i="1"/>
  <c r="FO151" i="1" s="1"/>
  <c r="FP151" i="1" s="1"/>
  <c r="FI151" i="1"/>
  <c r="FJ151" i="1" s="1"/>
  <c r="FK151" i="1" s="1"/>
  <c r="FD151" i="1"/>
  <c r="FE151" i="1" s="1"/>
  <c r="FF151" i="1" s="1"/>
  <c r="EY151" i="1"/>
  <c r="EZ151" i="1" s="1"/>
  <c r="FA151" i="1" s="1"/>
  <c r="ET151" i="1"/>
  <c r="EU151" i="1" s="1"/>
  <c r="EV151" i="1" s="1"/>
  <c r="EO151" i="1"/>
  <c r="EP151" i="1" s="1"/>
  <c r="EQ151" i="1" s="1"/>
  <c r="EJ151" i="1"/>
  <c r="EK151" i="1" s="1"/>
  <c r="EL151" i="1" s="1"/>
  <c r="EE151" i="1"/>
  <c r="EF151" i="1" s="1"/>
  <c r="EG151" i="1" s="1"/>
  <c r="DZ151" i="1"/>
  <c r="EA151" i="1" s="1"/>
  <c r="EB151" i="1" s="1"/>
  <c r="DU151" i="1"/>
  <c r="DV151" i="1" s="1"/>
  <c r="DW151" i="1" s="1"/>
  <c r="DP151" i="1"/>
  <c r="DQ151" i="1" s="1"/>
  <c r="DR151" i="1" s="1"/>
  <c r="DK151" i="1"/>
  <c r="DL151" i="1" s="1"/>
  <c r="DM151" i="1" s="1"/>
  <c r="DF151" i="1"/>
  <c r="DG151" i="1" s="1"/>
  <c r="DH151" i="1" s="1"/>
  <c r="DA151" i="1"/>
  <c r="DB151" i="1" s="1"/>
  <c r="DC151" i="1" s="1"/>
  <c r="CV151" i="1"/>
  <c r="CW151" i="1" s="1"/>
  <c r="CX151" i="1" s="1"/>
  <c r="CQ151" i="1"/>
  <c r="CR151" i="1" s="1"/>
  <c r="CS151" i="1" s="1"/>
  <c r="CL151" i="1"/>
  <c r="CM151" i="1" s="1"/>
  <c r="CN151" i="1" s="1"/>
  <c r="CG151" i="1"/>
  <c r="CH151" i="1" s="1"/>
  <c r="CI151" i="1" s="1"/>
  <c r="CB151" i="1"/>
  <c r="CC151" i="1" s="1"/>
  <c r="CD151" i="1" s="1"/>
  <c r="BW151" i="1"/>
  <c r="BX151" i="1" s="1"/>
  <c r="BY151" i="1" s="1"/>
  <c r="BR151" i="1"/>
  <c r="BS151" i="1" s="1"/>
  <c r="BT151" i="1" s="1"/>
  <c r="BM151" i="1"/>
  <c r="BN151" i="1" s="1"/>
  <c r="BO151" i="1" s="1"/>
  <c r="BH151" i="1"/>
  <c r="BI151" i="1" s="1"/>
  <c r="BJ151" i="1" s="1"/>
  <c r="BC151" i="1"/>
  <c r="BD151" i="1" s="1"/>
  <c r="BE151" i="1" s="1"/>
  <c r="AX151" i="1"/>
  <c r="AY151" i="1" s="1"/>
  <c r="AZ151" i="1" s="1"/>
  <c r="AS151" i="1"/>
  <c r="AT151" i="1" s="1"/>
  <c r="AU151" i="1" s="1"/>
  <c r="AN151" i="1"/>
  <c r="AO151" i="1" s="1"/>
  <c r="AP151" i="1" s="1"/>
  <c r="AI151" i="1"/>
  <c r="AJ151" i="1" s="1"/>
  <c r="AK151" i="1" s="1"/>
  <c r="AD151" i="1"/>
  <c r="AE151" i="1" s="1"/>
  <c r="AF151" i="1" s="1"/>
  <c r="X151" i="1"/>
  <c r="Y151" i="1" s="1"/>
  <c r="Z151" i="1" s="1"/>
  <c r="T151" i="1"/>
  <c r="O151" i="1"/>
  <c r="J151" i="1"/>
  <c r="PZ150" i="1"/>
  <c r="PU150" i="1"/>
  <c r="PP150" i="1"/>
  <c r="PK150" i="1"/>
  <c r="PF150" i="1"/>
  <c r="PA150" i="1"/>
  <c r="OV150" i="1"/>
  <c r="OQ150" i="1"/>
  <c r="OL150" i="1"/>
  <c r="OG150" i="1"/>
  <c r="OB150" i="1"/>
  <c r="NW150" i="1"/>
  <c r="NR150" i="1"/>
  <c r="NM150" i="1"/>
  <c r="NH150" i="1"/>
  <c r="NC150" i="1"/>
  <c r="MX150" i="1"/>
  <c r="MS150" i="1"/>
  <c r="MN150" i="1"/>
  <c r="MI150" i="1"/>
  <c r="MD150" i="1"/>
  <c r="LY150" i="1"/>
  <c r="LT150" i="1"/>
  <c r="LO150" i="1"/>
  <c r="LJ150" i="1"/>
  <c r="LE150" i="1"/>
  <c r="KZ150" i="1"/>
  <c r="KU150" i="1"/>
  <c r="KP150" i="1"/>
  <c r="KK150" i="1"/>
  <c r="KF150" i="1"/>
  <c r="JB150" i="1"/>
  <c r="IW150" i="1"/>
  <c r="IR150" i="1"/>
  <c r="IM150" i="1"/>
  <c r="IH150" i="1"/>
  <c r="IC150" i="1"/>
  <c r="HX150" i="1"/>
  <c r="HS150" i="1"/>
  <c r="HN150" i="1"/>
  <c r="HG150" i="1"/>
  <c r="HH150" i="1" s="1"/>
  <c r="HI150" i="1" s="1"/>
  <c r="HB150" i="1"/>
  <c r="HC150" i="1" s="1"/>
  <c r="HD150" i="1" s="1"/>
  <c r="GW150" i="1"/>
  <c r="GX150" i="1" s="1"/>
  <c r="GY150" i="1" s="1"/>
  <c r="GR150" i="1"/>
  <c r="GS150" i="1" s="1"/>
  <c r="GT150" i="1" s="1"/>
  <c r="GM150" i="1"/>
  <c r="GN150" i="1" s="1"/>
  <c r="GO150" i="1" s="1"/>
  <c r="GH150" i="1"/>
  <c r="GI150" i="1" s="1"/>
  <c r="GJ150" i="1" s="1"/>
  <c r="GC150" i="1"/>
  <c r="GD150" i="1" s="1"/>
  <c r="GE150" i="1" s="1"/>
  <c r="FX150" i="1"/>
  <c r="FY150" i="1" s="1"/>
  <c r="FZ150" i="1" s="1"/>
  <c r="FS150" i="1"/>
  <c r="FT150" i="1" s="1"/>
  <c r="FU150" i="1" s="1"/>
  <c r="FN150" i="1"/>
  <c r="FO150" i="1" s="1"/>
  <c r="FP150" i="1" s="1"/>
  <c r="FI150" i="1"/>
  <c r="FJ150" i="1" s="1"/>
  <c r="FK150" i="1" s="1"/>
  <c r="FD150" i="1"/>
  <c r="FE150" i="1" s="1"/>
  <c r="FF150" i="1" s="1"/>
  <c r="EY150" i="1"/>
  <c r="EZ150" i="1" s="1"/>
  <c r="FA150" i="1" s="1"/>
  <c r="ET150" i="1"/>
  <c r="EU150" i="1" s="1"/>
  <c r="EV150" i="1" s="1"/>
  <c r="EO150" i="1"/>
  <c r="EP150" i="1" s="1"/>
  <c r="EQ150" i="1" s="1"/>
  <c r="EJ150" i="1"/>
  <c r="EK150" i="1" s="1"/>
  <c r="EL150" i="1" s="1"/>
  <c r="EE150" i="1"/>
  <c r="EF150" i="1" s="1"/>
  <c r="EG150" i="1" s="1"/>
  <c r="DZ150" i="1"/>
  <c r="EA150" i="1" s="1"/>
  <c r="EB150" i="1" s="1"/>
  <c r="DU150" i="1"/>
  <c r="DV150" i="1" s="1"/>
  <c r="DW150" i="1" s="1"/>
  <c r="DP150" i="1"/>
  <c r="DQ150" i="1" s="1"/>
  <c r="DR150" i="1" s="1"/>
  <c r="DK150" i="1"/>
  <c r="DL150" i="1" s="1"/>
  <c r="DM150" i="1" s="1"/>
  <c r="DF150" i="1"/>
  <c r="DG150" i="1" s="1"/>
  <c r="DH150" i="1" s="1"/>
  <c r="DA150" i="1"/>
  <c r="DB150" i="1" s="1"/>
  <c r="DC150" i="1" s="1"/>
  <c r="CV150" i="1"/>
  <c r="CW150" i="1" s="1"/>
  <c r="CX150" i="1" s="1"/>
  <c r="CQ150" i="1"/>
  <c r="CR150" i="1" s="1"/>
  <c r="CS150" i="1" s="1"/>
  <c r="CL150" i="1"/>
  <c r="CM150" i="1" s="1"/>
  <c r="CN150" i="1" s="1"/>
  <c r="CG150" i="1"/>
  <c r="CH150" i="1" s="1"/>
  <c r="CI150" i="1" s="1"/>
  <c r="CB150" i="1"/>
  <c r="CC150" i="1" s="1"/>
  <c r="CD150" i="1" s="1"/>
  <c r="BW150" i="1"/>
  <c r="BX150" i="1" s="1"/>
  <c r="BY150" i="1" s="1"/>
  <c r="BR150" i="1"/>
  <c r="BS150" i="1" s="1"/>
  <c r="BT150" i="1" s="1"/>
  <c r="BM150" i="1"/>
  <c r="BN150" i="1" s="1"/>
  <c r="BO150" i="1" s="1"/>
  <c r="BH150" i="1"/>
  <c r="BI150" i="1" s="1"/>
  <c r="BJ150" i="1" s="1"/>
  <c r="BC150" i="1"/>
  <c r="BD150" i="1" s="1"/>
  <c r="BE150" i="1" s="1"/>
  <c r="AX150" i="1"/>
  <c r="AY150" i="1" s="1"/>
  <c r="AZ150" i="1" s="1"/>
  <c r="AS150" i="1"/>
  <c r="AT150" i="1" s="1"/>
  <c r="AU150" i="1" s="1"/>
  <c r="AN150" i="1"/>
  <c r="AO150" i="1" s="1"/>
  <c r="AP150" i="1" s="1"/>
  <c r="AI150" i="1"/>
  <c r="AJ150" i="1" s="1"/>
  <c r="AK150" i="1" s="1"/>
  <c r="AD150" i="1"/>
  <c r="AE150" i="1" s="1"/>
  <c r="AF150" i="1" s="1"/>
  <c r="X150" i="1"/>
  <c r="Y150" i="1" s="1"/>
  <c r="Z150" i="1" s="1"/>
  <c r="R150" i="1"/>
  <c r="S150" i="1" s="1"/>
  <c r="T150" i="1" s="1"/>
  <c r="O150" i="1"/>
  <c r="J150" i="1"/>
  <c r="PZ149" i="1"/>
  <c r="PU149" i="1"/>
  <c r="PP149" i="1"/>
  <c r="PK149" i="1"/>
  <c r="PF149" i="1"/>
  <c r="PA149" i="1"/>
  <c r="OV149" i="1"/>
  <c r="OQ149" i="1"/>
  <c r="OL149" i="1"/>
  <c r="OG149" i="1"/>
  <c r="OB149" i="1"/>
  <c r="NW149" i="1"/>
  <c r="NR149" i="1"/>
  <c r="NM149" i="1"/>
  <c r="NH149" i="1"/>
  <c r="NC149" i="1"/>
  <c r="MV149" i="1"/>
  <c r="MW149" i="1" s="1"/>
  <c r="MX149" i="1" s="1"/>
  <c r="MQ149" i="1"/>
  <c r="MR149" i="1" s="1"/>
  <c r="MS149" i="1" s="1"/>
  <c r="MN149" i="1"/>
  <c r="MI149" i="1"/>
  <c r="MD149" i="1"/>
  <c r="LY149" i="1"/>
  <c r="LT149" i="1"/>
  <c r="LO149" i="1"/>
  <c r="LJ149" i="1"/>
  <c r="LE149" i="1"/>
  <c r="KX149" i="1"/>
  <c r="KY149" i="1" s="1"/>
  <c r="KZ149" i="1" s="1"/>
  <c r="KS149" i="1"/>
  <c r="KT149" i="1" s="1"/>
  <c r="KU149" i="1" s="1"/>
  <c r="KP149" i="1"/>
  <c r="KK149" i="1"/>
  <c r="KF149" i="1"/>
  <c r="IZ149" i="1"/>
  <c r="JA149" i="1" s="1"/>
  <c r="JB149" i="1" s="1"/>
  <c r="IU149" i="1"/>
  <c r="IV149" i="1" s="1"/>
  <c r="IW149" i="1" s="1"/>
  <c r="IP149" i="1"/>
  <c r="IQ149" i="1" s="1"/>
  <c r="IR149" i="1" s="1"/>
  <c r="IK149" i="1"/>
  <c r="IL149" i="1" s="1"/>
  <c r="IM149" i="1" s="1"/>
  <c r="IF149" i="1"/>
  <c r="IG149" i="1" s="1"/>
  <c r="IH149" i="1" s="1"/>
  <c r="IA149" i="1"/>
  <c r="IB149" i="1" s="1"/>
  <c r="IC149" i="1" s="1"/>
  <c r="HV149" i="1"/>
  <c r="HW149" i="1" s="1"/>
  <c r="HX149" i="1" s="1"/>
  <c r="HS149" i="1"/>
  <c r="HN149" i="1"/>
  <c r="HG149" i="1"/>
  <c r="HH149" i="1" s="1"/>
  <c r="HI149" i="1" s="1"/>
  <c r="HB149" i="1"/>
  <c r="HC149" i="1" s="1"/>
  <c r="HD149" i="1" s="1"/>
  <c r="GW149" i="1"/>
  <c r="GX149" i="1" s="1"/>
  <c r="GY149" i="1" s="1"/>
  <c r="GR149" i="1"/>
  <c r="GS149" i="1" s="1"/>
  <c r="GT149" i="1" s="1"/>
  <c r="GM149" i="1"/>
  <c r="GN149" i="1" s="1"/>
  <c r="GO149" i="1" s="1"/>
  <c r="GH149" i="1"/>
  <c r="GI149" i="1" s="1"/>
  <c r="GJ149" i="1" s="1"/>
  <c r="GC149" i="1"/>
  <c r="GD149" i="1" s="1"/>
  <c r="GE149" i="1" s="1"/>
  <c r="FX149" i="1"/>
  <c r="FY149" i="1" s="1"/>
  <c r="FZ149" i="1" s="1"/>
  <c r="FS149" i="1"/>
  <c r="FT149" i="1" s="1"/>
  <c r="FU149" i="1" s="1"/>
  <c r="FN149" i="1"/>
  <c r="FO149" i="1" s="1"/>
  <c r="FP149" i="1" s="1"/>
  <c r="FI149" i="1"/>
  <c r="FJ149" i="1" s="1"/>
  <c r="FK149" i="1" s="1"/>
  <c r="FD149" i="1"/>
  <c r="FE149" i="1" s="1"/>
  <c r="FF149" i="1" s="1"/>
  <c r="EY149" i="1"/>
  <c r="EZ149" i="1" s="1"/>
  <c r="FA149" i="1" s="1"/>
  <c r="ET149" i="1"/>
  <c r="EU149" i="1" s="1"/>
  <c r="EV149" i="1" s="1"/>
  <c r="EO149" i="1"/>
  <c r="EP149" i="1" s="1"/>
  <c r="EQ149" i="1" s="1"/>
  <c r="EJ149" i="1"/>
  <c r="EK149" i="1" s="1"/>
  <c r="EL149" i="1" s="1"/>
  <c r="EE149" i="1"/>
  <c r="EF149" i="1" s="1"/>
  <c r="EG149" i="1" s="1"/>
  <c r="DZ149" i="1"/>
  <c r="EA149" i="1" s="1"/>
  <c r="EB149" i="1" s="1"/>
  <c r="DU149" i="1"/>
  <c r="DV149" i="1" s="1"/>
  <c r="DW149" i="1" s="1"/>
  <c r="DP149" i="1"/>
  <c r="DQ149" i="1" s="1"/>
  <c r="DR149" i="1" s="1"/>
  <c r="DK149" i="1"/>
  <c r="DL149" i="1" s="1"/>
  <c r="DM149" i="1" s="1"/>
  <c r="DF149" i="1"/>
  <c r="DG149" i="1" s="1"/>
  <c r="DH149" i="1" s="1"/>
  <c r="DA149" i="1"/>
  <c r="DB149" i="1" s="1"/>
  <c r="DC149" i="1" s="1"/>
  <c r="CV149" i="1"/>
  <c r="CW149" i="1" s="1"/>
  <c r="CX149" i="1" s="1"/>
  <c r="CQ149" i="1"/>
  <c r="CR149" i="1" s="1"/>
  <c r="CS149" i="1" s="1"/>
  <c r="CL149" i="1"/>
  <c r="CM149" i="1" s="1"/>
  <c r="CN149" i="1" s="1"/>
  <c r="CG149" i="1"/>
  <c r="CH149" i="1" s="1"/>
  <c r="CI149" i="1" s="1"/>
  <c r="CB149" i="1"/>
  <c r="CC149" i="1" s="1"/>
  <c r="CD149" i="1" s="1"/>
  <c r="BW149" i="1"/>
  <c r="BX149" i="1" s="1"/>
  <c r="BY149" i="1" s="1"/>
  <c r="BR149" i="1"/>
  <c r="BS149" i="1" s="1"/>
  <c r="BT149" i="1" s="1"/>
  <c r="BM149" i="1"/>
  <c r="BN149" i="1" s="1"/>
  <c r="BO149" i="1" s="1"/>
  <c r="BH149" i="1"/>
  <c r="BI149" i="1" s="1"/>
  <c r="BJ149" i="1" s="1"/>
  <c r="BC149" i="1"/>
  <c r="BD149" i="1" s="1"/>
  <c r="BE149" i="1" s="1"/>
  <c r="AX149" i="1"/>
  <c r="AY149" i="1" s="1"/>
  <c r="AZ149" i="1" s="1"/>
  <c r="AS149" i="1"/>
  <c r="AT149" i="1" s="1"/>
  <c r="AU149" i="1" s="1"/>
  <c r="AN149" i="1"/>
  <c r="AO149" i="1" s="1"/>
  <c r="AP149" i="1" s="1"/>
  <c r="AI149" i="1"/>
  <c r="AJ149" i="1" s="1"/>
  <c r="AK149" i="1" s="1"/>
  <c r="AD149" i="1"/>
  <c r="AE149" i="1" s="1"/>
  <c r="AF149" i="1" s="1"/>
  <c r="X149" i="1"/>
  <c r="Y149" i="1" s="1"/>
  <c r="Z149" i="1" s="1"/>
  <c r="T149" i="1"/>
  <c r="O149" i="1"/>
  <c r="J149" i="1"/>
  <c r="PZ148" i="1"/>
  <c r="PU148" i="1"/>
  <c r="PP148" i="1"/>
  <c r="PK148" i="1"/>
  <c r="PF148" i="1"/>
  <c r="PA148" i="1"/>
  <c r="OV148" i="1"/>
  <c r="OQ148" i="1"/>
  <c r="OL148" i="1"/>
  <c r="OG148" i="1"/>
  <c r="OB148" i="1"/>
  <c r="NW148" i="1"/>
  <c r="NR148" i="1"/>
  <c r="NM148" i="1"/>
  <c r="NH148" i="1"/>
  <c r="NC148" i="1"/>
  <c r="MX148" i="1"/>
  <c r="MS148" i="1"/>
  <c r="MN148" i="1"/>
  <c r="MI148" i="1"/>
  <c r="MD148" i="1"/>
  <c r="LY148" i="1"/>
  <c r="LT148" i="1"/>
  <c r="LO148" i="1"/>
  <c r="LJ148" i="1"/>
  <c r="LE148" i="1"/>
  <c r="KZ148" i="1"/>
  <c r="KU148" i="1"/>
  <c r="KP148" i="1"/>
  <c r="KK148" i="1"/>
  <c r="KF148" i="1"/>
  <c r="IZ148" i="1"/>
  <c r="JA148" i="1" s="1"/>
  <c r="JB148" i="1" s="1"/>
  <c r="IU148" i="1"/>
  <c r="IV148" i="1" s="1"/>
  <c r="IW148" i="1" s="1"/>
  <c r="IP148" i="1"/>
  <c r="IQ148" i="1" s="1"/>
  <c r="IR148" i="1" s="1"/>
  <c r="IK148" i="1"/>
  <c r="IL148" i="1" s="1"/>
  <c r="IM148" i="1" s="1"/>
  <c r="IF148" i="1"/>
  <c r="IG148" i="1" s="1"/>
  <c r="IH148" i="1" s="1"/>
  <c r="IA148" i="1"/>
  <c r="IB148" i="1" s="1"/>
  <c r="IC148" i="1" s="1"/>
  <c r="HV148" i="1"/>
  <c r="HW148" i="1" s="1"/>
  <c r="HX148" i="1" s="1"/>
  <c r="HS148" i="1"/>
  <c r="HN148" i="1"/>
  <c r="HG148" i="1"/>
  <c r="HH148" i="1" s="1"/>
  <c r="HI148" i="1" s="1"/>
  <c r="HB148" i="1"/>
  <c r="HC148" i="1" s="1"/>
  <c r="HD148" i="1" s="1"/>
  <c r="GW148" i="1"/>
  <c r="GX148" i="1" s="1"/>
  <c r="GY148" i="1" s="1"/>
  <c r="GR148" i="1"/>
  <c r="GS148" i="1" s="1"/>
  <c r="GT148" i="1" s="1"/>
  <c r="GM148" i="1"/>
  <c r="GN148" i="1" s="1"/>
  <c r="GO148" i="1" s="1"/>
  <c r="GH148" i="1"/>
  <c r="GI148" i="1" s="1"/>
  <c r="GJ148" i="1" s="1"/>
  <c r="GC148" i="1"/>
  <c r="GD148" i="1" s="1"/>
  <c r="GE148" i="1" s="1"/>
  <c r="FX148" i="1"/>
  <c r="FY148" i="1" s="1"/>
  <c r="FZ148" i="1" s="1"/>
  <c r="FS148" i="1"/>
  <c r="FT148" i="1" s="1"/>
  <c r="FU148" i="1" s="1"/>
  <c r="FN148" i="1"/>
  <c r="FO148" i="1" s="1"/>
  <c r="FP148" i="1" s="1"/>
  <c r="FI148" i="1"/>
  <c r="FJ148" i="1" s="1"/>
  <c r="FK148" i="1" s="1"/>
  <c r="FD148" i="1"/>
  <c r="FE148" i="1" s="1"/>
  <c r="FF148" i="1" s="1"/>
  <c r="EY148" i="1"/>
  <c r="EZ148" i="1" s="1"/>
  <c r="FA148" i="1" s="1"/>
  <c r="ET148" i="1"/>
  <c r="EU148" i="1" s="1"/>
  <c r="EV148" i="1" s="1"/>
  <c r="EO148" i="1"/>
  <c r="EP148" i="1" s="1"/>
  <c r="EQ148" i="1" s="1"/>
  <c r="EJ148" i="1"/>
  <c r="EK148" i="1" s="1"/>
  <c r="EL148" i="1" s="1"/>
  <c r="EE148" i="1"/>
  <c r="EF148" i="1" s="1"/>
  <c r="EG148" i="1" s="1"/>
  <c r="DZ148" i="1"/>
  <c r="EA148" i="1" s="1"/>
  <c r="EB148" i="1" s="1"/>
  <c r="DU148" i="1"/>
  <c r="DV148" i="1" s="1"/>
  <c r="DW148" i="1" s="1"/>
  <c r="DP148" i="1"/>
  <c r="DQ148" i="1" s="1"/>
  <c r="DR148" i="1" s="1"/>
  <c r="DK148" i="1"/>
  <c r="DL148" i="1" s="1"/>
  <c r="DM148" i="1" s="1"/>
  <c r="DF148" i="1"/>
  <c r="DG148" i="1" s="1"/>
  <c r="DH148" i="1" s="1"/>
  <c r="DA148" i="1"/>
  <c r="DB148" i="1" s="1"/>
  <c r="DC148" i="1" s="1"/>
  <c r="CV148" i="1"/>
  <c r="CW148" i="1" s="1"/>
  <c r="CX148" i="1" s="1"/>
  <c r="CQ148" i="1"/>
  <c r="CR148" i="1" s="1"/>
  <c r="CS148" i="1" s="1"/>
  <c r="CL148" i="1"/>
  <c r="CM148" i="1" s="1"/>
  <c r="CN148" i="1" s="1"/>
  <c r="CG148" i="1"/>
  <c r="CH148" i="1" s="1"/>
  <c r="CI148" i="1" s="1"/>
  <c r="CB148" i="1"/>
  <c r="CC148" i="1" s="1"/>
  <c r="CD148" i="1" s="1"/>
  <c r="BW148" i="1"/>
  <c r="BX148" i="1" s="1"/>
  <c r="BY148" i="1" s="1"/>
  <c r="BR148" i="1"/>
  <c r="BS148" i="1" s="1"/>
  <c r="BT148" i="1" s="1"/>
  <c r="BM148" i="1"/>
  <c r="BN148" i="1" s="1"/>
  <c r="BO148" i="1" s="1"/>
  <c r="BH148" i="1"/>
  <c r="BI148" i="1" s="1"/>
  <c r="BJ148" i="1" s="1"/>
  <c r="BC148" i="1"/>
  <c r="BD148" i="1" s="1"/>
  <c r="BE148" i="1" s="1"/>
  <c r="AX148" i="1"/>
  <c r="AY148" i="1" s="1"/>
  <c r="AZ148" i="1" s="1"/>
  <c r="AS148" i="1"/>
  <c r="AT148" i="1" s="1"/>
  <c r="AU148" i="1" s="1"/>
  <c r="AN148" i="1"/>
  <c r="AO148" i="1" s="1"/>
  <c r="AP148" i="1" s="1"/>
  <c r="AI148" i="1"/>
  <c r="AJ148" i="1" s="1"/>
  <c r="AK148" i="1" s="1"/>
  <c r="AD148" i="1"/>
  <c r="AE148" i="1" s="1"/>
  <c r="AF148" i="1" s="1"/>
  <c r="X148" i="1"/>
  <c r="Y148" i="1" s="1"/>
  <c r="Z148" i="1" s="1"/>
  <c r="T148" i="1"/>
  <c r="O148" i="1"/>
  <c r="J148" i="1"/>
  <c r="PX147" i="1"/>
  <c r="PY147" i="1" s="1"/>
  <c r="PZ147" i="1" s="1"/>
  <c r="PU147" i="1"/>
  <c r="PP147" i="1"/>
  <c r="PK147" i="1"/>
  <c r="PF147" i="1"/>
  <c r="PA147" i="1"/>
  <c r="OV147" i="1"/>
  <c r="OQ147" i="1"/>
  <c r="OL147" i="1"/>
  <c r="OG147" i="1"/>
  <c r="OB147" i="1"/>
  <c r="NW147" i="1"/>
  <c r="NR147" i="1"/>
  <c r="NM147" i="1"/>
  <c r="NH147" i="1"/>
  <c r="NC147" i="1"/>
  <c r="MX147" i="1"/>
  <c r="MS147" i="1"/>
  <c r="MN147" i="1"/>
  <c r="MI147" i="1"/>
  <c r="MD147" i="1"/>
  <c r="LY147" i="1"/>
  <c r="LT147" i="1"/>
  <c r="LO147" i="1"/>
  <c r="LJ147" i="1"/>
  <c r="LE147" i="1"/>
  <c r="KX147" i="1"/>
  <c r="KY147" i="1" s="1"/>
  <c r="KZ147" i="1" s="1"/>
  <c r="KU147" i="1"/>
  <c r="KP147" i="1"/>
  <c r="KK147" i="1"/>
  <c r="KF147" i="1"/>
  <c r="JB147" i="1"/>
  <c r="IW147" i="1"/>
  <c r="IR147" i="1"/>
  <c r="IM147" i="1"/>
  <c r="IH147" i="1"/>
  <c r="IC147" i="1"/>
  <c r="HX147" i="1"/>
  <c r="HS147" i="1"/>
  <c r="HN147" i="1"/>
  <c r="HG147" i="1"/>
  <c r="HH147" i="1" s="1"/>
  <c r="HI147" i="1" s="1"/>
  <c r="HB147" i="1"/>
  <c r="HC147" i="1" s="1"/>
  <c r="HD147" i="1" s="1"/>
  <c r="GW147" i="1"/>
  <c r="GX147" i="1" s="1"/>
  <c r="GY147" i="1" s="1"/>
  <c r="GR147" i="1"/>
  <c r="GS147" i="1" s="1"/>
  <c r="GT147" i="1" s="1"/>
  <c r="GM147" i="1"/>
  <c r="GN147" i="1" s="1"/>
  <c r="GO147" i="1" s="1"/>
  <c r="GH147" i="1"/>
  <c r="GI147" i="1" s="1"/>
  <c r="GJ147" i="1" s="1"/>
  <c r="GC147" i="1"/>
  <c r="GD147" i="1" s="1"/>
  <c r="GE147" i="1" s="1"/>
  <c r="FX147" i="1"/>
  <c r="FY147" i="1" s="1"/>
  <c r="FZ147" i="1" s="1"/>
  <c r="FS147" i="1"/>
  <c r="FT147" i="1" s="1"/>
  <c r="FU147" i="1" s="1"/>
  <c r="FN147" i="1"/>
  <c r="FO147" i="1" s="1"/>
  <c r="FP147" i="1" s="1"/>
  <c r="FI147" i="1"/>
  <c r="FJ147" i="1" s="1"/>
  <c r="FK147" i="1" s="1"/>
  <c r="FD147" i="1"/>
  <c r="FE147" i="1" s="1"/>
  <c r="FF147" i="1" s="1"/>
  <c r="EY147" i="1"/>
  <c r="EZ147" i="1" s="1"/>
  <c r="FA147" i="1" s="1"/>
  <c r="ET147" i="1"/>
  <c r="EU147" i="1" s="1"/>
  <c r="EV147" i="1" s="1"/>
  <c r="EO147" i="1"/>
  <c r="EP147" i="1" s="1"/>
  <c r="EQ147" i="1" s="1"/>
  <c r="EJ147" i="1"/>
  <c r="EK147" i="1" s="1"/>
  <c r="EL147" i="1" s="1"/>
  <c r="EE147" i="1"/>
  <c r="EF147" i="1" s="1"/>
  <c r="EG147" i="1" s="1"/>
  <c r="DZ147" i="1"/>
  <c r="EA147" i="1" s="1"/>
  <c r="EB147" i="1" s="1"/>
  <c r="DU147" i="1"/>
  <c r="DV147" i="1" s="1"/>
  <c r="DW147" i="1" s="1"/>
  <c r="DP147" i="1"/>
  <c r="DQ147" i="1" s="1"/>
  <c r="DR147" i="1" s="1"/>
  <c r="DK147" i="1"/>
  <c r="DL147" i="1" s="1"/>
  <c r="DM147" i="1" s="1"/>
  <c r="DF147" i="1"/>
  <c r="DG147" i="1" s="1"/>
  <c r="DH147" i="1" s="1"/>
  <c r="DA147" i="1"/>
  <c r="DB147" i="1" s="1"/>
  <c r="DC147" i="1" s="1"/>
  <c r="CV147" i="1"/>
  <c r="CW147" i="1" s="1"/>
  <c r="CX147" i="1" s="1"/>
  <c r="CQ147" i="1"/>
  <c r="CR147" i="1" s="1"/>
  <c r="CS147" i="1" s="1"/>
  <c r="CL147" i="1"/>
  <c r="CM147" i="1" s="1"/>
  <c r="CN147" i="1" s="1"/>
  <c r="CG147" i="1"/>
  <c r="CH147" i="1" s="1"/>
  <c r="CI147" i="1" s="1"/>
  <c r="CB147" i="1"/>
  <c r="CC147" i="1" s="1"/>
  <c r="CD147" i="1" s="1"/>
  <c r="BW147" i="1"/>
  <c r="BX147" i="1" s="1"/>
  <c r="BY147" i="1" s="1"/>
  <c r="BR147" i="1"/>
  <c r="BS147" i="1" s="1"/>
  <c r="BT147" i="1" s="1"/>
  <c r="BM147" i="1"/>
  <c r="BN147" i="1" s="1"/>
  <c r="BO147" i="1" s="1"/>
  <c r="BH147" i="1"/>
  <c r="BI147" i="1" s="1"/>
  <c r="BJ147" i="1" s="1"/>
  <c r="BC147" i="1"/>
  <c r="BD147" i="1" s="1"/>
  <c r="BE147" i="1" s="1"/>
  <c r="AX147" i="1"/>
  <c r="AY147" i="1" s="1"/>
  <c r="AZ147" i="1" s="1"/>
  <c r="AS147" i="1"/>
  <c r="AT147" i="1" s="1"/>
  <c r="AU147" i="1" s="1"/>
  <c r="AN147" i="1"/>
  <c r="AO147" i="1" s="1"/>
  <c r="AP147" i="1" s="1"/>
  <c r="AI147" i="1"/>
  <c r="AJ147" i="1" s="1"/>
  <c r="AK147" i="1" s="1"/>
  <c r="AD147" i="1"/>
  <c r="AE147" i="1" s="1"/>
  <c r="AF147" i="1" s="1"/>
  <c r="X147" i="1"/>
  <c r="Y147" i="1" s="1"/>
  <c r="Z147" i="1" s="1"/>
  <c r="T147" i="1"/>
  <c r="O147" i="1"/>
  <c r="J147" i="1"/>
  <c r="PZ146" i="1"/>
  <c r="PU146" i="1"/>
  <c r="PP146" i="1"/>
  <c r="PK146" i="1"/>
  <c r="PF146" i="1"/>
  <c r="PA146" i="1"/>
  <c r="OV146" i="1"/>
  <c r="OQ146" i="1"/>
  <c r="OL146" i="1"/>
  <c r="OG146" i="1"/>
  <c r="OB146" i="1"/>
  <c r="NW146" i="1"/>
  <c r="NR146" i="1"/>
  <c r="NM146" i="1"/>
  <c r="NH146" i="1"/>
  <c r="NC146" i="1"/>
  <c r="MX146" i="1"/>
  <c r="MS146" i="1"/>
  <c r="MN146" i="1"/>
  <c r="MI146" i="1"/>
  <c r="MD146" i="1"/>
  <c r="LY146" i="1"/>
  <c r="LT146" i="1"/>
  <c r="LO146" i="1"/>
  <c r="LJ146" i="1"/>
  <c r="LE146" i="1"/>
  <c r="KZ146" i="1"/>
  <c r="KU146" i="1"/>
  <c r="KP146" i="1"/>
  <c r="KK146" i="1"/>
  <c r="KF146" i="1"/>
  <c r="JB146" i="1"/>
  <c r="IW146" i="1"/>
  <c r="IR146" i="1"/>
  <c r="IM146" i="1"/>
  <c r="IH146" i="1"/>
  <c r="IC146" i="1"/>
  <c r="HX146" i="1"/>
  <c r="HS146" i="1"/>
  <c r="HN146" i="1"/>
  <c r="HI146" i="1"/>
  <c r="HB146" i="1"/>
  <c r="HC146" i="1" s="1"/>
  <c r="HD146" i="1" s="1"/>
  <c r="GW146" i="1"/>
  <c r="GX146" i="1" s="1"/>
  <c r="GY146" i="1" s="1"/>
  <c r="GR146" i="1"/>
  <c r="GS146" i="1" s="1"/>
  <c r="GT146" i="1" s="1"/>
  <c r="GM146" i="1"/>
  <c r="GN146" i="1" s="1"/>
  <c r="GO146" i="1" s="1"/>
  <c r="GH146" i="1"/>
  <c r="GI146" i="1" s="1"/>
  <c r="GJ146" i="1" s="1"/>
  <c r="GC146" i="1"/>
  <c r="GD146" i="1" s="1"/>
  <c r="GE146" i="1" s="1"/>
  <c r="FX146" i="1"/>
  <c r="FY146" i="1" s="1"/>
  <c r="FZ146" i="1" s="1"/>
  <c r="FS146" i="1"/>
  <c r="FT146" i="1" s="1"/>
  <c r="FU146" i="1" s="1"/>
  <c r="FN146" i="1"/>
  <c r="FO146" i="1" s="1"/>
  <c r="FP146" i="1" s="1"/>
  <c r="FI146" i="1"/>
  <c r="FJ146" i="1" s="1"/>
  <c r="FK146" i="1" s="1"/>
  <c r="FD146" i="1"/>
  <c r="FE146" i="1" s="1"/>
  <c r="FF146" i="1" s="1"/>
  <c r="EY146" i="1"/>
  <c r="EZ146" i="1" s="1"/>
  <c r="FA146" i="1" s="1"/>
  <c r="ET146" i="1"/>
  <c r="EU146" i="1" s="1"/>
  <c r="EV146" i="1" s="1"/>
  <c r="EO146" i="1"/>
  <c r="EP146" i="1" s="1"/>
  <c r="EQ146" i="1" s="1"/>
  <c r="EJ146" i="1"/>
  <c r="EK146" i="1" s="1"/>
  <c r="EL146" i="1" s="1"/>
  <c r="EE146" i="1"/>
  <c r="EF146" i="1" s="1"/>
  <c r="EG146" i="1" s="1"/>
  <c r="DZ146" i="1"/>
  <c r="EA146" i="1" s="1"/>
  <c r="EB146" i="1" s="1"/>
  <c r="DU146" i="1"/>
  <c r="DV146" i="1" s="1"/>
  <c r="DW146" i="1" s="1"/>
  <c r="DP146" i="1"/>
  <c r="DQ146" i="1" s="1"/>
  <c r="DR146" i="1" s="1"/>
  <c r="DK146" i="1"/>
  <c r="DL146" i="1" s="1"/>
  <c r="DM146" i="1" s="1"/>
  <c r="DF146" i="1"/>
  <c r="DG146" i="1" s="1"/>
  <c r="DH146" i="1" s="1"/>
  <c r="DA146" i="1"/>
  <c r="DB146" i="1" s="1"/>
  <c r="DC146" i="1" s="1"/>
  <c r="CV146" i="1"/>
  <c r="CW146" i="1" s="1"/>
  <c r="CX146" i="1" s="1"/>
  <c r="CQ146" i="1"/>
  <c r="CR146" i="1" s="1"/>
  <c r="CS146" i="1" s="1"/>
  <c r="CL146" i="1"/>
  <c r="CM146" i="1" s="1"/>
  <c r="CN146" i="1" s="1"/>
  <c r="CG146" i="1"/>
  <c r="CH146" i="1" s="1"/>
  <c r="CI146" i="1" s="1"/>
  <c r="CB146" i="1"/>
  <c r="CC146" i="1" s="1"/>
  <c r="CD146" i="1" s="1"/>
  <c r="BW146" i="1"/>
  <c r="BX146" i="1" s="1"/>
  <c r="BY146" i="1" s="1"/>
  <c r="BR146" i="1"/>
  <c r="BS146" i="1" s="1"/>
  <c r="BT146" i="1" s="1"/>
  <c r="BM146" i="1"/>
  <c r="BN146" i="1" s="1"/>
  <c r="BO146" i="1" s="1"/>
  <c r="BH146" i="1"/>
  <c r="BI146" i="1" s="1"/>
  <c r="BJ146" i="1" s="1"/>
  <c r="BC146" i="1"/>
  <c r="BD146" i="1" s="1"/>
  <c r="BE146" i="1" s="1"/>
  <c r="AX146" i="1"/>
  <c r="AY146" i="1" s="1"/>
  <c r="AZ146" i="1" s="1"/>
  <c r="AS146" i="1"/>
  <c r="AT146" i="1" s="1"/>
  <c r="AU146" i="1" s="1"/>
  <c r="AN146" i="1"/>
  <c r="AO146" i="1" s="1"/>
  <c r="AP146" i="1" s="1"/>
  <c r="AI146" i="1"/>
  <c r="AJ146" i="1" s="1"/>
  <c r="AK146" i="1" s="1"/>
  <c r="X146" i="1"/>
  <c r="Y146" i="1" s="1"/>
  <c r="Z146" i="1" s="1"/>
  <c r="T146" i="1"/>
  <c r="O146" i="1"/>
  <c r="H146" i="1"/>
  <c r="I146" i="1" s="1"/>
  <c r="J146" i="1" s="1"/>
  <c r="PZ145" i="1"/>
  <c r="PU145" i="1"/>
  <c r="PP145" i="1"/>
  <c r="PK145" i="1"/>
  <c r="PF145" i="1"/>
  <c r="PA145" i="1"/>
  <c r="OV145" i="1"/>
  <c r="OQ145" i="1"/>
  <c r="OL145" i="1"/>
  <c r="OG145" i="1"/>
  <c r="OB145" i="1"/>
  <c r="NW145" i="1"/>
  <c r="NR145" i="1"/>
  <c r="NM145" i="1"/>
  <c r="NH145" i="1"/>
  <c r="NC145" i="1"/>
  <c r="MX145" i="1"/>
  <c r="MS145" i="1"/>
  <c r="MN145" i="1"/>
  <c r="MI145" i="1"/>
  <c r="MD145" i="1"/>
  <c r="LY145" i="1"/>
  <c r="LT145" i="1"/>
  <c r="LO145" i="1"/>
  <c r="LJ145" i="1"/>
  <c r="LE145" i="1"/>
  <c r="KZ145" i="1"/>
  <c r="KS145" i="1"/>
  <c r="KT145" i="1" s="1"/>
  <c r="KU145" i="1" s="1"/>
  <c r="KP145" i="1"/>
  <c r="KK145" i="1"/>
  <c r="KF145" i="1"/>
  <c r="IZ145" i="1"/>
  <c r="JA145" i="1" s="1"/>
  <c r="JB145" i="1" s="1"/>
  <c r="IU145" i="1"/>
  <c r="IV145" i="1" s="1"/>
  <c r="IW145" i="1" s="1"/>
  <c r="IP145" i="1"/>
  <c r="IQ145" i="1" s="1"/>
  <c r="IR145" i="1" s="1"/>
  <c r="IK145" i="1"/>
  <c r="IL145" i="1" s="1"/>
  <c r="IM145" i="1" s="1"/>
  <c r="IF145" i="1"/>
  <c r="IG145" i="1" s="1"/>
  <c r="IH145" i="1" s="1"/>
  <c r="IA145" i="1"/>
  <c r="IB145" i="1" s="1"/>
  <c r="IC145" i="1" s="1"/>
  <c r="HV145" i="1"/>
  <c r="HW145" i="1" s="1"/>
  <c r="HX145" i="1" s="1"/>
  <c r="HS145" i="1"/>
  <c r="HN145" i="1"/>
  <c r="HG145" i="1"/>
  <c r="HH145" i="1" s="1"/>
  <c r="HI145" i="1" s="1"/>
  <c r="HB145" i="1"/>
  <c r="HC145" i="1" s="1"/>
  <c r="HD145" i="1" s="1"/>
  <c r="GW145" i="1"/>
  <c r="GX145" i="1" s="1"/>
  <c r="GY145" i="1" s="1"/>
  <c r="GR145" i="1"/>
  <c r="GS145" i="1" s="1"/>
  <c r="GT145" i="1" s="1"/>
  <c r="GM145" i="1"/>
  <c r="GN145" i="1" s="1"/>
  <c r="GO145" i="1" s="1"/>
  <c r="GH145" i="1"/>
  <c r="GI145" i="1" s="1"/>
  <c r="GJ145" i="1" s="1"/>
  <c r="GC145" i="1"/>
  <c r="GD145" i="1" s="1"/>
  <c r="GE145" i="1" s="1"/>
  <c r="FX145" i="1"/>
  <c r="FY145" i="1" s="1"/>
  <c r="FZ145" i="1" s="1"/>
  <c r="FS145" i="1"/>
  <c r="FT145" i="1" s="1"/>
  <c r="FU145" i="1" s="1"/>
  <c r="FN145" i="1"/>
  <c r="FO145" i="1" s="1"/>
  <c r="FP145" i="1" s="1"/>
  <c r="FI145" i="1"/>
  <c r="FJ145" i="1" s="1"/>
  <c r="FK145" i="1" s="1"/>
  <c r="FD145" i="1"/>
  <c r="FE145" i="1" s="1"/>
  <c r="FF145" i="1" s="1"/>
  <c r="EY145" i="1"/>
  <c r="EZ145" i="1" s="1"/>
  <c r="FA145" i="1" s="1"/>
  <c r="ET145" i="1"/>
  <c r="EU145" i="1" s="1"/>
  <c r="EV145" i="1" s="1"/>
  <c r="EO145" i="1"/>
  <c r="EP145" i="1" s="1"/>
  <c r="EQ145" i="1" s="1"/>
  <c r="EJ145" i="1"/>
  <c r="EK145" i="1" s="1"/>
  <c r="EL145" i="1" s="1"/>
  <c r="EE145" i="1"/>
  <c r="EF145" i="1" s="1"/>
  <c r="EG145" i="1" s="1"/>
  <c r="DZ145" i="1"/>
  <c r="EA145" i="1" s="1"/>
  <c r="EB145" i="1" s="1"/>
  <c r="DU145" i="1"/>
  <c r="DV145" i="1" s="1"/>
  <c r="DW145" i="1" s="1"/>
  <c r="DP145" i="1"/>
  <c r="DQ145" i="1" s="1"/>
  <c r="DR145" i="1" s="1"/>
  <c r="DK145" i="1"/>
  <c r="DL145" i="1" s="1"/>
  <c r="DM145" i="1" s="1"/>
  <c r="DF145" i="1"/>
  <c r="DG145" i="1" s="1"/>
  <c r="DH145" i="1" s="1"/>
  <c r="DA145" i="1"/>
  <c r="DB145" i="1" s="1"/>
  <c r="DC145" i="1" s="1"/>
  <c r="CV145" i="1"/>
  <c r="CW145" i="1" s="1"/>
  <c r="CX145" i="1" s="1"/>
  <c r="CQ145" i="1"/>
  <c r="CR145" i="1" s="1"/>
  <c r="CS145" i="1" s="1"/>
  <c r="CL145" i="1"/>
  <c r="CM145" i="1" s="1"/>
  <c r="CN145" i="1" s="1"/>
  <c r="CG145" i="1"/>
  <c r="CH145" i="1" s="1"/>
  <c r="CI145" i="1" s="1"/>
  <c r="CB145" i="1"/>
  <c r="CC145" i="1" s="1"/>
  <c r="CD145" i="1" s="1"/>
  <c r="BW145" i="1"/>
  <c r="BX145" i="1" s="1"/>
  <c r="BY145" i="1" s="1"/>
  <c r="BR145" i="1"/>
  <c r="BS145" i="1" s="1"/>
  <c r="BT145" i="1" s="1"/>
  <c r="BM145" i="1"/>
  <c r="BN145" i="1" s="1"/>
  <c r="BO145" i="1" s="1"/>
  <c r="BH145" i="1"/>
  <c r="BI145" i="1" s="1"/>
  <c r="BJ145" i="1" s="1"/>
  <c r="BC145" i="1"/>
  <c r="BD145" i="1" s="1"/>
  <c r="BE145" i="1" s="1"/>
  <c r="AX145" i="1"/>
  <c r="AY145" i="1" s="1"/>
  <c r="AZ145" i="1" s="1"/>
  <c r="AS145" i="1"/>
  <c r="AT145" i="1" s="1"/>
  <c r="AU145" i="1" s="1"/>
  <c r="AN145" i="1"/>
  <c r="AO145" i="1" s="1"/>
  <c r="AP145" i="1" s="1"/>
  <c r="AI145" i="1"/>
  <c r="AJ145" i="1" s="1"/>
  <c r="AK145" i="1" s="1"/>
  <c r="AD145" i="1"/>
  <c r="AE145" i="1" s="1"/>
  <c r="AF145" i="1" s="1"/>
  <c r="X145" i="1"/>
  <c r="Y145" i="1" s="1"/>
  <c r="Z145" i="1" s="1"/>
  <c r="T145" i="1"/>
  <c r="O145" i="1"/>
  <c r="J145" i="1"/>
  <c r="PZ144" i="1"/>
  <c r="PU144" i="1"/>
  <c r="PP144" i="1"/>
  <c r="PK144" i="1"/>
  <c r="PF144" i="1"/>
  <c r="PA144" i="1"/>
  <c r="OV144" i="1"/>
  <c r="OO144" i="1"/>
  <c r="OP144" i="1" s="1"/>
  <c r="OQ144" i="1" s="1"/>
  <c r="OL144" i="1"/>
  <c r="OG144" i="1"/>
  <c r="OB144" i="1"/>
  <c r="NW144" i="1"/>
  <c r="NR144" i="1"/>
  <c r="NM144" i="1"/>
  <c r="NH144" i="1"/>
  <c r="NC144" i="1"/>
  <c r="MX144" i="1"/>
  <c r="MS144" i="1"/>
  <c r="MN144" i="1"/>
  <c r="MI144" i="1"/>
  <c r="MD144" i="1"/>
  <c r="LY144" i="1"/>
  <c r="LT144" i="1"/>
  <c r="LO144" i="1"/>
  <c r="LJ144" i="1"/>
  <c r="LE144" i="1"/>
  <c r="KZ144" i="1"/>
  <c r="KU144" i="1"/>
  <c r="KP144" i="1"/>
  <c r="KK144" i="1"/>
  <c r="KF144" i="1"/>
  <c r="JB144" i="1"/>
  <c r="IW144" i="1"/>
  <c r="IR144" i="1"/>
  <c r="IM144" i="1"/>
  <c r="IH144" i="1"/>
  <c r="IC144" i="1"/>
  <c r="HX144" i="1"/>
  <c r="HS144" i="1"/>
  <c r="HN144" i="1"/>
  <c r="HG144" i="1"/>
  <c r="HH144" i="1" s="1"/>
  <c r="HI144" i="1" s="1"/>
  <c r="HB144" i="1"/>
  <c r="HC144" i="1" s="1"/>
  <c r="HD144" i="1" s="1"/>
  <c r="GW144" i="1"/>
  <c r="GX144" i="1" s="1"/>
  <c r="GY144" i="1" s="1"/>
  <c r="GR144" i="1"/>
  <c r="GS144" i="1" s="1"/>
  <c r="GT144" i="1" s="1"/>
  <c r="GM144" i="1"/>
  <c r="GN144" i="1" s="1"/>
  <c r="GO144" i="1" s="1"/>
  <c r="GH144" i="1"/>
  <c r="GI144" i="1" s="1"/>
  <c r="GJ144" i="1" s="1"/>
  <c r="GC144" i="1"/>
  <c r="GD144" i="1" s="1"/>
  <c r="GE144" i="1" s="1"/>
  <c r="FX144" i="1"/>
  <c r="FY144" i="1" s="1"/>
  <c r="FZ144" i="1" s="1"/>
  <c r="FS144" i="1"/>
  <c r="FT144" i="1" s="1"/>
  <c r="FU144" i="1" s="1"/>
  <c r="FN144" i="1"/>
  <c r="FO144" i="1" s="1"/>
  <c r="FP144" i="1" s="1"/>
  <c r="FI144" i="1"/>
  <c r="FJ144" i="1" s="1"/>
  <c r="FK144" i="1" s="1"/>
  <c r="FD144" i="1"/>
  <c r="FE144" i="1" s="1"/>
  <c r="FF144" i="1" s="1"/>
  <c r="EY144" i="1"/>
  <c r="EZ144" i="1" s="1"/>
  <c r="FA144" i="1" s="1"/>
  <c r="ET144" i="1"/>
  <c r="EU144" i="1" s="1"/>
  <c r="EV144" i="1" s="1"/>
  <c r="EO144" i="1"/>
  <c r="EP144" i="1" s="1"/>
  <c r="EQ144" i="1" s="1"/>
  <c r="EJ144" i="1"/>
  <c r="EK144" i="1" s="1"/>
  <c r="EL144" i="1" s="1"/>
  <c r="EE144" i="1"/>
  <c r="EF144" i="1" s="1"/>
  <c r="EG144" i="1" s="1"/>
  <c r="DZ144" i="1"/>
  <c r="EA144" i="1" s="1"/>
  <c r="EB144" i="1" s="1"/>
  <c r="DU144" i="1"/>
  <c r="DV144" i="1" s="1"/>
  <c r="DW144" i="1" s="1"/>
  <c r="DP144" i="1"/>
  <c r="DQ144" i="1" s="1"/>
  <c r="DR144" i="1" s="1"/>
  <c r="DK144" i="1"/>
  <c r="DL144" i="1" s="1"/>
  <c r="DM144" i="1" s="1"/>
  <c r="DF144" i="1"/>
  <c r="DG144" i="1" s="1"/>
  <c r="DH144" i="1" s="1"/>
  <c r="DA144" i="1"/>
  <c r="DB144" i="1" s="1"/>
  <c r="DC144" i="1" s="1"/>
  <c r="CV144" i="1"/>
  <c r="CW144" i="1" s="1"/>
  <c r="CX144" i="1" s="1"/>
  <c r="CQ144" i="1"/>
  <c r="CR144" i="1" s="1"/>
  <c r="CS144" i="1" s="1"/>
  <c r="CL144" i="1"/>
  <c r="CM144" i="1" s="1"/>
  <c r="CN144" i="1" s="1"/>
  <c r="CG144" i="1"/>
  <c r="CH144" i="1" s="1"/>
  <c r="CI144" i="1" s="1"/>
  <c r="CB144" i="1"/>
  <c r="CC144" i="1" s="1"/>
  <c r="CD144" i="1" s="1"/>
  <c r="BW144" i="1"/>
  <c r="BX144" i="1" s="1"/>
  <c r="BY144" i="1" s="1"/>
  <c r="BR144" i="1"/>
  <c r="BS144" i="1" s="1"/>
  <c r="BT144" i="1" s="1"/>
  <c r="BM144" i="1"/>
  <c r="BN144" i="1" s="1"/>
  <c r="BO144" i="1" s="1"/>
  <c r="BH144" i="1"/>
  <c r="BI144" i="1" s="1"/>
  <c r="BJ144" i="1" s="1"/>
  <c r="BC144" i="1"/>
  <c r="BD144" i="1" s="1"/>
  <c r="BE144" i="1" s="1"/>
  <c r="AX144" i="1"/>
  <c r="AY144" i="1" s="1"/>
  <c r="AZ144" i="1" s="1"/>
  <c r="AS144" i="1"/>
  <c r="AT144" i="1" s="1"/>
  <c r="AU144" i="1" s="1"/>
  <c r="AN144" i="1"/>
  <c r="AO144" i="1" s="1"/>
  <c r="AP144" i="1" s="1"/>
  <c r="AI144" i="1"/>
  <c r="AJ144" i="1" s="1"/>
  <c r="AK144" i="1" s="1"/>
  <c r="AD144" i="1"/>
  <c r="AE144" i="1" s="1"/>
  <c r="AF144" i="1" s="1"/>
  <c r="X144" i="1"/>
  <c r="Y144" i="1" s="1"/>
  <c r="Z144" i="1" s="1"/>
  <c r="T144" i="1"/>
  <c r="O144" i="1"/>
  <c r="J144" i="1"/>
  <c r="PZ143" i="1"/>
  <c r="PU143" i="1"/>
  <c r="PP143" i="1"/>
  <c r="PK143" i="1"/>
  <c r="PF143" i="1"/>
  <c r="PA143" i="1"/>
  <c r="OV143" i="1"/>
  <c r="OQ143" i="1"/>
  <c r="OL143" i="1"/>
  <c r="OG143" i="1"/>
  <c r="OB143" i="1"/>
  <c r="NW143" i="1"/>
  <c r="NR143" i="1"/>
  <c r="NM143" i="1"/>
  <c r="NH143" i="1"/>
  <c r="NC143" i="1"/>
  <c r="MX143" i="1"/>
  <c r="MS143" i="1"/>
  <c r="MN143" i="1"/>
  <c r="MI143" i="1"/>
  <c r="MD143" i="1"/>
  <c r="LY143" i="1"/>
  <c r="LT143" i="1"/>
  <c r="LO143" i="1"/>
  <c r="LJ143" i="1"/>
  <c r="LE143" i="1"/>
  <c r="KZ143" i="1"/>
  <c r="KU143" i="1"/>
  <c r="KP143" i="1"/>
  <c r="KK143" i="1"/>
  <c r="KF143" i="1"/>
  <c r="JB143" i="1"/>
  <c r="IW143" i="1"/>
  <c r="IR143" i="1"/>
  <c r="IM143" i="1"/>
  <c r="IH143" i="1"/>
  <c r="IC143" i="1"/>
  <c r="HX143" i="1"/>
  <c r="HS143" i="1"/>
  <c r="HN143" i="1"/>
  <c r="HG143" i="1"/>
  <c r="HH143" i="1" s="1"/>
  <c r="HI143" i="1" s="1"/>
  <c r="HB143" i="1"/>
  <c r="HC143" i="1" s="1"/>
  <c r="HD143" i="1" s="1"/>
  <c r="GW143" i="1"/>
  <c r="GX143" i="1" s="1"/>
  <c r="GY143" i="1" s="1"/>
  <c r="GR143" i="1"/>
  <c r="GS143" i="1" s="1"/>
  <c r="GT143" i="1" s="1"/>
  <c r="GM143" i="1"/>
  <c r="GN143" i="1" s="1"/>
  <c r="GO143" i="1" s="1"/>
  <c r="GH143" i="1"/>
  <c r="GI143" i="1" s="1"/>
  <c r="GJ143" i="1" s="1"/>
  <c r="GC143" i="1"/>
  <c r="GD143" i="1" s="1"/>
  <c r="GE143" i="1" s="1"/>
  <c r="FX143" i="1"/>
  <c r="FY143" i="1" s="1"/>
  <c r="FZ143" i="1" s="1"/>
  <c r="FS143" i="1"/>
  <c r="FT143" i="1" s="1"/>
  <c r="FU143" i="1" s="1"/>
  <c r="FN143" i="1"/>
  <c r="FO143" i="1" s="1"/>
  <c r="FP143" i="1" s="1"/>
  <c r="FI143" i="1"/>
  <c r="FJ143" i="1" s="1"/>
  <c r="FK143" i="1" s="1"/>
  <c r="FD143" i="1"/>
  <c r="FE143" i="1" s="1"/>
  <c r="FF143" i="1" s="1"/>
  <c r="EY143" i="1"/>
  <c r="EZ143" i="1" s="1"/>
  <c r="FA143" i="1" s="1"/>
  <c r="ET143" i="1"/>
  <c r="EU143" i="1" s="1"/>
  <c r="EV143" i="1" s="1"/>
  <c r="EO143" i="1"/>
  <c r="EP143" i="1" s="1"/>
  <c r="EQ143" i="1" s="1"/>
  <c r="EJ143" i="1"/>
  <c r="EK143" i="1" s="1"/>
  <c r="EL143" i="1" s="1"/>
  <c r="EE143" i="1"/>
  <c r="EF143" i="1" s="1"/>
  <c r="EG143" i="1" s="1"/>
  <c r="DZ143" i="1"/>
  <c r="EA143" i="1" s="1"/>
  <c r="EB143" i="1" s="1"/>
  <c r="DU143" i="1"/>
  <c r="DV143" i="1" s="1"/>
  <c r="DW143" i="1" s="1"/>
  <c r="DP143" i="1"/>
  <c r="DQ143" i="1" s="1"/>
  <c r="DR143" i="1" s="1"/>
  <c r="DK143" i="1"/>
  <c r="DL143" i="1" s="1"/>
  <c r="DM143" i="1" s="1"/>
  <c r="DF143" i="1"/>
  <c r="DG143" i="1" s="1"/>
  <c r="DH143" i="1" s="1"/>
  <c r="DA143" i="1"/>
  <c r="DB143" i="1" s="1"/>
  <c r="DC143" i="1" s="1"/>
  <c r="CV143" i="1"/>
  <c r="CW143" i="1" s="1"/>
  <c r="CX143" i="1" s="1"/>
  <c r="CQ143" i="1"/>
  <c r="CR143" i="1" s="1"/>
  <c r="CS143" i="1" s="1"/>
  <c r="CL143" i="1"/>
  <c r="CM143" i="1" s="1"/>
  <c r="CN143" i="1" s="1"/>
  <c r="CG143" i="1"/>
  <c r="CH143" i="1" s="1"/>
  <c r="CI143" i="1" s="1"/>
  <c r="CB143" i="1"/>
  <c r="CC143" i="1" s="1"/>
  <c r="CD143" i="1" s="1"/>
  <c r="BW143" i="1"/>
  <c r="BX143" i="1" s="1"/>
  <c r="BY143" i="1" s="1"/>
  <c r="BR143" i="1"/>
  <c r="BS143" i="1" s="1"/>
  <c r="BT143" i="1" s="1"/>
  <c r="BM143" i="1"/>
  <c r="BN143" i="1" s="1"/>
  <c r="BO143" i="1" s="1"/>
  <c r="BH143" i="1"/>
  <c r="BI143" i="1" s="1"/>
  <c r="BJ143" i="1" s="1"/>
  <c r="BC143" i="1"/>
  <c r="BD143" i="1" s="1"/>
  <c r="BE143" i="1" s="1"/>
  <c r="AX143" i="1"/>
  <c r="AY143" i="1" s="1"/>
  <c r="AZ143" i="1" s="1"/>
  <c r="AS143" i="1"/>
  <c r="AT143" i="1" s="1"/>
  <c r="AU143" i="1" s="1"/>
  <c r="AN143" i="1"/>
  <c r="AO143" i="1" s="1"/>
  <c r="AP143" i="1" s="1"/>
  <c r="AI143" i="1"/>
  <c r="AJ143" i="1" s="1"/>
  <c r="AK143" i="1" s="1"/>
  <c r="AD143" i="1"/>
  <c r="AE143" i="1" s="1"/>
  <c r="AF143" i="1" s="1"/>
  <c r="X143" i="1"/>
  <c r="Y143" i="1" s="1"/>
  <c r="Z143" i="1" s="1"/>
  <c r="R143" i="1"/>
  <c r="S143" i="1" s="1"/>
  <c r="T143" i="1" s="1"/>
  <c r="O143" i="1"/>
  <c r="J143" i="1"/>
  <c r="PZ142" i="1"/>
  <c r="PU142" i="1"/>
  <c r="PP142" i="1"/>
  <c r="PK142" i="1"/>
  <c r="PF142" i="1"/>
  <c r="PA142" i="1"/>
  <c r="OV142" i="1"/>
  <c r="OQ142" i="1"/>
  <c r="OL142" i="1"/>
  <c r="OG142" i="1"/>
  <c r="OB142" i="1"/>
  <c r="NW142" i="1"/>
  <c r="NR142" i="1"/>
  <c r="NM142" i="1"/>
  <c r="NH142" i="1"/>
  <c r="NC142" i="1"/>
  <c r="MX142" i="1"/>
  <c r="MS142" i="1"/>
  <c r="MN142" i="1"/>
  <c r="MI142" i="1"/>
  <c r="MD142" i="1"/>
  <c r="LY142" i="1"/>
  <c r="LT142" i="1"/>
  <c r="LO142" i="1"/>
  <c r="LJ142" i="1"/>
  <c r="LE142" i="1"/>
  <c r="KZ142" i="1"/>
  <c r="KS142" i="1"/>
  <c r="KT142" i="1" s="1"/>
  <c r="KU142" i="1" s="1"/>
  <c r="KP142" i="1"/>
  <c r="KK142" i="1"/>
  <c r="KF142" i="1"/>
  <c r="JB142" i="1"/>
  <c r="IU142" i="1"/>
  <c r="IV142" i="1" s="1"/>
  <c r="IW142" i="1" s="1"/>
  <c r="IR142" i="1"/>
  <c r="IM142" i="1"/>
  <c r="IH142" i="1"/>
  <c r="IC142" i="1"/>
  <c r="HX142" i="1"/>
  <c r="HS142" i="1"/>
  <c r="HN142" i="1"/>
  <c r="HG142" i="1"/>
  <c r="HH142" i="1" s="1"/>
  <c r="HI142" i="1" s="1"/>
  <c r="HB142" i="1"/>
  <c r="HC142" i="1" s="1"/>
  <c r="HD142" i="1" s="1"/>
  <c r="GW142" i="1"/>
  <c r="GX142" i="1" s="1"/>
  <c r="GY142" i="1" s="1"/>
  <c r="GR142" i="1"/>
  <c r="GS142" i="1" s="1"/>
  <c r="GT142" i="1" s="1"/>
  <c r="GM142" i="1"/>
  <c r="GN142" i="1" s="1"/>
  <c r="GO142" i="1" s="1"/>
  <c r="GH142" i="1"/>
  <c r="GI142" i="1" s="1"/>
  <c r="GJ142" i="1" s="1"/>
  <c r="GC142" i="1"/>
  <c r="GD142" i="1" s="1"/>
  <c r="GE142" i="1" s="1"/>
  <c r="FX142" i="1"/>
  <c r="FY142" i="1" s="1"/>
  <c r="FZ142" i="1" s="1"/>
  <c r="FS142" i="1"/>
  <c r="FT142" i="1" s="1"/>
  <c r="FU142" i="1" s="1"/>
  <c r="FN142" i="1"/>
  <c r="FO142" i="1" s="1"/>
  <c r="FP142" i="1" s="1"/>
  <c r="FI142" i="1"/>
  <c r="FJ142" i="1" s="1"/>
  <c r="FK142" i="1" s="1"/>
  <c r="FD142" i="1"/>
  <c r="FE142" i="1" s="1"/>
  <c r="FF142" i="1" s="1"/>
  <c r="EY142" i="1"/>
  <c r="EZ142" i="1" s="1"/>
  <c r="FA142" i="1" s="1"/>
  <c r="ET142" i="1"/>
  <c r="EU142" i="1" s="1"/>
  <c r="EV142" i="1" s="1"/>
  <c r="EO142" i="1"/>
  <c r="EP142" i="1" s="1"/>
  <c r="EQ142" i="1" s="1"/>
  <c r="EJ142" i="1"/>
  <c r="EK142" i="1" s="1"/>
  <c r="EL142" i="1" s="1"/>
  <c r="EE142" i="1"/>
  <c r="EF142" i="1" s="1"/>
  <c r="EG142" i="1" s="1"/>
  <c r="DZ142" i="1"/>
  <c r="EA142" i="1" s="1"/>
  <c r="EB142" i="1" s="1"/>
  <c r="DU142" i="1"/>
  <c r="DV142" i="1" s="1"/>
  <c r="DW142" i="1" s="1"/>
  <c r="DP142" i="1"/>
  <c r="DQ142" i="1" s="1"/>
  <c r="DR142" i="1" s="1"/>
  <c r="DK142" i="1"/>
  <c r="DL142" i="1" s="1"/>
  <c r="DM142" i="1" s="1"/>
  <c r="DF142" i="1"/>
  <c r="DG142" i="1" s="1"/>
  <c r="DH142" i="1" s="1"/>
  <c r="DA142" i="1"/>
  <c r="DB142" i="1" s="1"/>
  <c r="DC142" i="1" s="1"/>
  <c r="CV142" i="1"/>
  <c r="CW142" i="1" s="1"/>
  <c r="CX142" i="1" s="1"/>
  <c r="CQ142" i="1"/>
  <c r="CR142" i="1" s="1"/>
  <c r="CS142" i="1" s="1"/>
  <c r="CL142" i="1"/>
  <c r="CM142" i="1" s="1"/>
  <c r="CN142" i="1" s="1"/>
  <c r="CG142" i="1"/>
  <c r="CH142" i="1" s="1"/>
  <c r="CI142" i="1" s="1"/>
  <c r="CB142" i="1"/>
  <c r="CC142" i="1" s="1"/>
  <c r="CD142" i="1" s="1"/>
  <c r="BW142" i="1"/>
  <c r="BX142" i="1" s="1"/>
  <c r="BY142" i="1" s="1"/>
  <c r="BR142" i="1"/>
  <c r="BS142" i="1" s="1"/>
  <c r="BT142" i="1" s="1"/>
  <c r="BM142" i="1"/>
  <c r="BN142" i="1" s="1"/>
  <c r="BO142" i="1" s="1"/>
  <c r="BH142" i="1"/>
  <c r="BI142" i="1" s="1"/>
  <c r="BJ142" i="1" s="1"/>
  <c r="BC142" i="1"/>
  <c r="BD142" i="1" s="1"/>
  <c r="BE142" i="1" s="1"/>
  <c r="AX142" i="1"/>
  <c r="AY142" i="1" s="1"/>
  <c r="AZ142" i="1" s="1"/>
  <c r="AS142" i="1"/>
  <c r="AT142" i="1" s="1"/>
  <c r="AU142" i="1" s="1"/>
  <c r="AN142" i="1"/>
  <c r="AO142" i="1" s="1"/>
  <c r="AP142" i="1" s="1"/>
  <c r="AI142" i="1"/>
  <c r="AJ142" i="1" s="1"/>
  <c r="AK142" i="1" s="1"/>
  <c r="AD142" i="1"/>
  <c r="AE142" i="1" s="1"/>
  <c r="AF142" i="1" s="1"/>
  <c r="X142" i="1"/>
  <c r="Y142" i="1" s="1"/>
  <c r="Z142" i="1" s="1"/>
  <c r="T142" i="1"/>
  <c r="O142" i="1"/>
  <c r="J142" i="1"/>
  <c r="PZ141" i="1"/>
  <c r="PU141" i="1"/>
  <c r="PP141" i="1"/>
  <c r="PK141" i="1"/>
  <c r="PF141" i="1"/>
  <c r="PA141" i="1"/>
  <c r="OV141" i="1"/>
  <c r="OQ141" i="1"/>
  <c r="OL141" i="1"/>
  <c r="OG141" i="1"/>
  <c r="OB141" i="1"/>
  <c r="NW141" i="1"/>
  <c r="NR141" i="1"/>
  <c r="NM141" i="1"/>
  <c r="NH141" i="1"/>
  <c r="NC141" i="1"/>
  <c r="MX141" i="1"/>
  <c r="MS141" i="1"/>
  <c r="MN141" i="1"/>
  <c r="MI141" i="1"/>
  <c r="MD141" i="1"/>
  <c r="LY141" i="1"/>
  <c r="LT141" i="1"/>
  <c r="LO141" i="1"/>
  <c r="LJ141" i="1"/>
  <c r="LE141" i="1"/>
  <c r="KZ141" i="1"/>
  <c r="KU141" i="1"/>
  <c r="KP141" i="1"/>
  <c r="KK141" i="1"/>
  <c r="KF141" i="1"/>
  <c r="JB141" i="1"/>
  <c r="IW141" i="1"/>
  <c r="IR141" i="1"/>
  <c r="IM141" i="1"/>
  <c r="IH141" i="1"/>
  <c r="IC141" i="1"/>
  <c r="HX141" i="1"/>
  <c r="HS141" i="1"/>
  <c r="HN141" i="1"/>
  <c r="HI141" i="1"/>
  <c r="HB141" i="1"/>
  <c r="HC141" i="1" s="1"/>
  <c r="HD141" i="1" s="1"/>
  <c r="GW141" i="1"/>
  <c r="GX141" i="1" s="1"/>
  <c r="GY141" i="1" s="1"/>
  <c r="GR141" i="1"/>
  <c r="GS141" i="1" s="1"/>
  <c r="GT141" i="1" s="1"/>
  <c r="GM141" i="1"/>
  <c r="GN141" i="1" s="1"/>
  <c r="GO141" i="1" s="1"/>
  <c r="GH141" i="1"/>
  <c r="GI141" i="1" s="1"/>
  <c r="GJ141" i="1" s="1"/>
  <c r="GC141" i="1"/>
  <c r="GD141" i="1" s="1"/>
  <c r="GE141" i="1" s="1"/>
  <c r="FX141" i="1"/>
  <c r="FY141" i="1" s="1"/>
  <c r="FZ141" i="1" s="1"/>
  <c r="FS141" i="1"/>
  <c r="FT141" i="1" s="1"/>
  <c r="FU141" i="1" s="1"/>
  <c r="FN141" i="1"/>
  <c r="FO141" i="1" s="1"/>
  <c r="FP141" i="1" s="1"/>
  <c r="FI141" i="1"/>
  <c r="FJ141" i="1" s="1"/>
  <c r="FK141" i="1" s="1"/>
  <c r="FD141" i="1"/>
  <c r="FE141" i="1" s="1"/>
  <c r="FF141" i="1" s="1"/>
  <c r="EY141" i="1"/>
  <c r="EZ141" i="1" s="1"/>
  <c r="FA141" i="1" s="1"/>
  <c r="ET141" i="1"/>
  <c r="EU141" i="1" s="1"/>
  <c r="EV141" i="1" s="1"/>
  <c r="EO141" i="1"/>
  <c r="EP141" i="1" s="1"/>
  <c r="EQ141" i="1" s="1"/>
  <c r="EJ141" i="1"/>
  <c r="EK141" i="1" s="1"/>
  <c r="EL141" i="1" s="1"/>
  <c r="EE141" i="1"/>
  <c r="EF141" i="1" s="1"/>
  <c r="EG141" i="1" s="1"/>
  <c r="DZ141" i="1"/>
  <c r="EA141" i="1" s="1"/>
  <c r="EB141" i="1" s="1"/>
  <c r="DU141" i="1"/>
  <c r="DV141" i="1" s="1"/>
  <c r="DW141" i="1" s="1"/>
  <c r="DP141" i="1"/>
  <c r="DQ141" i="1" s="1"/>
  <c r="DR141" i="1" s="1"/>
  <c r="DK141" i="1"/>
  <c r="DL141" i="1" s="1"/>
  <c r="DM141" i="1" s="1"/>
  <c r="DF141" i="1"/>
  <c r="DG141" i="1" s="1"/>
  <c r="DH141" i="1" s="1"/>
  <c r="DA141" i="1"/>
  <c r="DB141" i="1" s="1"/>
  <c r="DC141" i="1" s="1"/>
  <c r="CV141" i="1"/>
  <c r="CW141" i="1" s="1"/>
  <c r="CX141" i="1" s="1"/>
  <c r="CQ141" i="1"/>
  <c r="CR141" i="1" s="1"/>
  <c r="CS141" i="1" s="1"/>
  <c r="CL141" i="1"/>
  <c r="CM141" i="1" s="1"/>
  <c r="CN141" i="1" s="1"/>
  <c r="CG141" i="1"/>
  <c r="CH141" i="1" s="1"/>
  <c r="CI141" i="1" s="1"/>
  <c r="CB141" i="1"/>
  <c r="CC141" i="1" s="1"/>
  <c r="CD141" i="1" s="1"/>
  <c r="BW141" i="1"/>
  <c r="BX141" i="1" s="1"/>
  <c r="BY141" i="1" s="1"/>
  <c r="BR141" i="1"/>
  <c r="BS141" i="1" s="1"/>
  <c r="BT141" i="1" s="1"/>
  <c r="BM141" i="1"/>
  <c r="BN141" i="1" s="1"/>
  <c r="BO141" i="1" s="1"/>
  <c r="BH141" i="1"/>
  <c r="BI141" i="1" s="1"/>
  <c r="BJ141" i="1" s="1"/>
  <c r="BC141" i="1"/>
  <c r="BD141" i="1" s="1"/>
  <c r="BE141" i="1" s="1"/>
  <c r="AX141" i="1"/>
  <c r="AY141" i="1" s="1"/>
  <c r="AZ141" i="1" s="1"/>
  <c r="AS141" i="1"/>
  <c r="AT141" i="1" s="1"/>
  <c r="AU141" i="1" s="1"/>
  <c r="AN141" i="1"/>
  <c r="AO141" i="1" s="1"/>
  <c r="AP141" i="1" s="1"/>
  <c r="AI141" i="1"/>
  <c r="AJ141" i="1" s="1"/>
  <c r="AK141" i="1" s="1"/>
  <c r="X141" i="1"/>
  <c r="Y141" i="1" s="1"/>
  <c r="Z141" i="1" s="1"/>
  <c r="T141" i="1"/>
  <c r="O141" i="1"/>
  <c r="H141" i="1"/>
  <c r="I141" i="1" s="1"/>
  <c r="J141" i="1" s="1"/>
  <c r="PZ140" i="1"/>
  <c r="PU140" i="1"/>
  <c r="PP140" i="1"/>
  <c r="PK140" i="1"/>
  <c r="PF140" i="1"/>
  <c r="PA140" i="1"/>
  <c r="OV140" i="1"/>
  <c r="OQ140" i="1"/>
  <c r="OL140" i="1"/>
  <c r="OG140" i="1"/>
  <c r="OB140" i="1"/>
  <c r="NW140" i="1"/>
  <c r="NR140" i="1"/>
  <c r="NM140" i="1"/>
  <c r="NH140" i="1"/>
  <c r="NC140" i="1"/>
  <c r="MX140" i="1"/>
  <c r="MS140" i="1"/>
  <c r="MN140" i="1"/>
  <c r="MI140" i="1"/>
  <c r="MD140" i="1"/>
  <c r="LY140" i="1"/>
  <c r="LT140" i="1"/>
  <c r="LO140" i="1"/>
  <c r="LJ140" i="1"/>
  <c r="LC140" i="1"/>
  <c r="LD140" i="1" s="1"/>
  <c r="LE140" i="1" s="1"/>
  <c r="KZ140" i="1"/>
  <c r="KU140" i="1"/>
  <c r="KP140" i="1"/>
  <c r="KK140" i="1"/>
  <c r="KF140" i="1"/>
  <c r="IZ140" i="1"/>
  <c r="JA140" i="1" s="1"/>
  <c r="JB140" i="1" s="1"/>
  <c r="IU140" i="1"/>
  <c r="IV140" i="1" s="1"/>
  <c r="IW140" i="1" s="1"/>
  <c r="IP140" i="1"/>
  <c r="IQ140" i="1" s="1"/>
  <c r="IR140" i="1" s="1"/>
  <c r="IK140" i="1"/>
  <c r="IL140" i="1" s="1"/>
  <c r="IM140" i="1" s="1"/>
  <c r="IF140" i="1"/>
  <c r="IG140" i="1" s="1"/>
  <c r="IH140" i="1" s="1"/>
  <c r="IA140" i="1"/>
  <c r="IB140" i="1" s="1"/>
  <c r="IC140" i="1" s="1"/>
  <c r="HV140" i="1"/>
  <c r="HW140" i="1" s="1"/>
  <c r="HX140" i="1" s="1"/>
  <c r="HS140" i="1"/>
  <c r="HN140" i="1"/>
  <c r="HG140" i="1"/>
  <c r="HH140" i="1" s="1"/>
  <c r="HI140" i="1" s="1"/>
  <c r="HB140" i="1"/>
  <c r="HC140" i="1" s="1"/>
  <c r="HD140" i="1" s="1"/>
  <c r="GW140" i="1"/>
  <c r="GX140" i="1" s="1"/>
  <c r="GY140" i="1" s="1"/>
  <c r="GR140" i="1"/>
  <c r="GS140" i="1" s="1"/>
  <c r="GT140" i="1" s="1"/>
  <c r="GM140" i="1"/>
  <c r="GN140" i="1" s="1"/>
  <c r="GO140" i="1" s="1"/>
  <c r="GH140" i="1"/>
  <c r="GI140" i="1" s="1"/>
  <c r="GJ140" i="1" s="1"/>
  <c r="GC140" i="1"/>
  <c r="GD140" i="1" s="1"/>
  <c r="GE140" i="1" s="1"/>
  <c r="FX140" i="1"/>
  <c r="FY140" i="1" s="1"/>
  <c r="FZ140" i="1" s="1"/>
  <c r="FS140" i="1"/>
  <c r="FT140" i="1" s="1"/>
  <c r="FU140" i="1" s="1"/>
  <c r="FN140" i="1"/>
  <c r="FO140" i="1" s="1"/>
  <c r="FP140" i="1" s="1"/>
  <c r="FI140" i="1"/>
  <c r="FJ140" i="1" s="1"/>
  <c r="FK140" i="1" s="1"/>
  <c r="FD140" i="1"/>
  <c r="FE140" i="1" s="1"/>
  <c r="FF140" i="1" s="1"/>
  <c r="EY140" i="1"/>
  <c r="EZ140" i="1" s="1"/>
  <c r="FA140" i="1" s="1"/>
  <c r="ET140" i="1"/>
  <c r="EU140" i="1" s="1"/>
  <c r="EV140" i="1" s="1"/>
  <c r="EO140" i="1"/>
  <c r="EP140" i="1" s="1"/>
  <c r="EQ140" i="1" s="1"/>
  <c r="EJ140" i="1"/>
  <c r="EK140" i="1" s="1"/>
  <c r="EL140" i="1" s="1"/>
  <c r="EE140" i="1"/>
  <c r="EF140" i="1" s="1"/>
  <c r="EG140" i="1" s="1"/>
  <c r="DZ140" i="1"/>
  <c r="EA140" i="1" s="1"/>
  <c r="EB140" i="1" s="1"/>
  <c r="DU140" i="1"/>
  <c r="DV140" i="1" s="1"/>
  <c r="DW140" i="1" s="1"/>
  <c r="DP140" i="1"/>
  <c r="DQ140" i="1" s="1"/>
  <c r="DR140" i="1" s="1"/>
  <c r="DK140" i="1"/>
  <c r="DL140" i="1" s="1"/>
  <c r="DM140" i="1" s="1"/>
  <c r="DF140" i="1"/>
  <c r="DG140" i="1" s="1"/>
  <c r="DH140" i="1" s="1"/>
  <c r="DA140" i="1"/>
  <c r="DB140" i="1" s="1"/>
  <c r="DC140" i="1" s="1"/>
  <c r="CV140" i="1"/>
  <c r="CW140" i="1" s="1"/>
  <c r="CX140" i="1" s="1"/>
  <c r="CQ140" i="1"/>
  <c r="CR140" i="1" s="1"/>
  <c r="CS140" i="1" s="1"/>
  <c r="CL140" i="1"/>
  <c r="CM140" i="1" s="1"/>
  <c r="CN140" i="1" s="1"/>
  <c r="CG140" i="1"/>
  <c r="CH140" i="1" s="1"/>
  <c r="CI140" i="1" s="1"/>
  <c r="CB140" i="1"/>
  <c r="CC140" i="1" s="1"/>
  <c r="CD140" i="1" s="1"/>
  <c r="BW140" i="1"/>
  <c r="BX140" i="1" s="1"/>
  <c r="BY140" i="1" s="1"/>
  <c r="BR140" i="1"/>
  <c r="BS140" i="1" s="1"/>
  <c r="BT140" i="1" s="1"/>
  <c r="BM140" i="1"/>
  <c r="BN140" i="1" s="1"/>
  <c r="BO140" i="1" s="1"/>
  <c r="BH140" i="1"/>
  <c r="BI140" i="1" s="1"/>
  <c r="BJ140" i="1" s="1"/>
  <c r="BC140" i="1"/>
  <c r="BD140" i="1" s="1"/>
  <c r="BE140" i="1" s="1"/>
  <c r="AX140" i="1"/>
  <c r="AY140" i="1" s="1"/>
  <c r="AZ140" i="1" s="1"/>
  <c r="AS140" i="1"/>
  <c r="AT140" i="1" s="1"/>
  <c r="AU140" i="1" s="1"/>
  <c r="AN140" i="1"/>
  <c r="AO140" i="1" s="1"/>
  <c r="AP140" i="1" s="1"/>
  <c r="AI140" i="1"/>
  <c r="AJ140" i="1" s="1"/>
  <c r="AK140" i="1" s="1"/>
  <c r="AD140" i="1"/>
  <c r="AE140" i="1" s="1"/>
  <c r="AF140" i="1" s="1"/>
  <c r="X140" i="1"/>
  <c r="Y140" i="1" s="1"/>
  <c r="Z140" i="1" s="1"/>
  <c r="T140" i="1"/>
  <c r="O140" i="1"/>
  <c r="J140" i="1"/>
  <c r="PZ139" i="1"/>
  <c r="PU139" i="1"/>
  <c r="PP139" i="1"/>
  <c r="PK139" i="1"/>
  <c r="PF139" i="1"/>
  <c r="PA139" i="1"/>
  <c r="OV139" i="1"/>
  <c r="OQ139" i="1"/>
  <c r="OL139" i="1"/>
  <c r="OG139" i="1"/>
  <c r="OB139" i="1"/>
  <c r="NW139" i="1"/>
  <c r="NR139" i="1"/>
  <c r="NM139" i="1"/>
  <c r="NH139" i="1"/>
  <c r="NC139" i="1"/>
  <c r="MX139" i="1"/>
  <c r="MS139" i="1"/>
  <c r="MN139" i="1"/>
  <c r="MI139" i="1"/>
  <c r="MD139" i="1"/>
  <c r="LY139" i="1"/>
  <c r="LT139" i="1"/>
  <c r="LO139" i="1"/>
  <c r="LJ139" i="1"/>
  <c r="LE139" i="1"/>
  <c r="KZ139" i="1"/>
  <c r="KU139" i="1"/>
  <c r="KP139" i="1"/>
  <c r="KK139" i="1"/>
  <c r="KF139" i="1"/>
  <c r="JB139" i="1"/>
  <c r="IW139" i="1"/>
  <c r="IR139" i="1"/>
  <c r="IM139" i="1"/>
  <c r="IH139" i="1"/>
  <c r="IC139" i="1"/>
  <c r="HX139" i="1"/>
  <c r="HS139" i="1"/>
  <c r="HN139" i="1"/>
  <c r="HI139" i="1"/>
  <c r="HB139" i="1"/>
  <c r="HC139" i="1" s="1"/>
  <c r="HD139" i="1" s="1"/>
  <c r="GW139" i="1"/>
  <c r="GX139" i="1" s="1"/>
  <c r="GY139" i="1" s="1"/>
  <c r="GR139" i="1"/>
  <c r="GS139" i="1" s="1"/>
  <c r="GT139" i="1" s="1"/>
  <c r="GM139" i="1"/>
  <c r="GN139" i="1" s="1"/>
  <c r="GO139" i="1" s="1"/>
  <c r="GH139" i="1"/>
  <c r="GI139" i="1" s="1"/>
  <c r="GJ139" i="1" s="1"/>
  <c r="GC139" i="1"/>
  <c r="GD139" i="1" s="1"/>
  <c r="GE139" i="1" s="1"/>
  <c r="FX139" i="1"/>
  <c r="FY139" i="1" s="1"/>
  <c r="FZ139" i="1" s="1"/>
  <c r="FS139" i="1"/>
  <c r="FT139" i="1" s="1"/>
  <c r="FU139" i="1" s="1"/>
  <c r="FN139" i="1"/>
  <c r="FO139" i="1" s="1"/>
  <c r="FP139" i="1" s="1"/>
  <c r="FI139" i="1"/>
  <c r="FJ139" i="1" s="1"/>
  <c r="FK139" i="1" s="1"/>
  <c r="FD139" i="1"/>
  <c r="FE139" i="1" s="1"/>
  <c r="FF139" i="1" s="1"/>
  <c r="EY139" i="1"/>
  <c r="EZ139" i="1" s="1"/>
  <c r="FA139" i="1" s="1"/>
  <c r="ET139" i="1"/>
  <c r="EU139" i="1" s="1"/>
  <c r="EV139" i="1" s="1"/>
  <c r="EO139" i="1"/>
  <c r="EP139" i="1" s="1"/>
  <c r="EQ139" i="1" s="1"/>
  <c r="EJ139" i="1"/>
  <c r="EK139" i="1" s="1"/>
  <c r="EL139" i="1" s="1"/>
  <c r="EE139" i="1"/>
  <c r="EF139" i="1" s="1"/>
  <c r="EG139" i="1" s="1"/>
  <c r="DZ139" i="1"/>
  <c r="EA139" i="1" s="1"/>
  <c r="EB139" i="1" s="1"/>
  <c r="DU139" i="1"/>
  <c r="DV139" i="1" s="1"/>
  <c r="DW139" i="1" s="1"/>
  <c r="DP139" i="1"/>
  <c r="DQ139" i="1" s="1"/>
  <c r="DR139" i="1" s="1"/>
  <c r="DK139" i="1"/>
  <c r="DL139" i="1" s="1"/>
  <c r="DM139" i="1" s="1"/>
  <c r="DF139" i="1"/>
  <c r="DG139" i="1" s="1"/>
  <c r="DH139" i="1" s="1"/>
  <c r="DA139" i="1"/>
  <c r="DB139" i="1" s="1"/>
  <c r="DC139" i="1" s="1"/>
  <c r="CV139" i="1"/>
  <c r="CW139" i="1" s="1"/>
  <c r="CX139" i="1" s="1"/>
  <c r="CQ139" i="1"/>
  <c r="CR139" i="1" s="1"/>
  <c r="CS139" i="1" s="1"/>
  <c r="CL139" i="1"/>
  <c r="CM139" i="1" s="1"/>
  <c r="CN139" i="1" s="1"/>
  <c r="CG139" i="1"/>
  <c r="CH139" i="1" s="1"/>
  <c r="CI139" i="1" s="1"/>
  <c r="CB139" i="1"/>
  <c r="CC139" i="1" s="1"/>
  <c r="CD139" i="1" s="1"/>
  <c r="BW139" i="1"/>
  <c r="BX139" i="1" s="1"/>
  <c r="BY139" i="1" s="1"/>
  <c r="BR139" i="1"/>
  <c r="BS139" i="1" s="1"/>
  <c r="BT139" i="1" s="1"/>
  <c r="BM139" i="1"/>
  <c r="BN139" i="1" s="1"/>
  <c r="BO139" i="1" s="1"/>
  <c r="BH139" i="1"/>
  <c r="BI139" i="1" s="1"/>
  <c r="BJ139" i="1" s="1"/>
  <c r="BC139" i="1"/>
  <c r="BD139" i="1" s="1"/>
  <c r="BE139" i="1" s="1"/>
  <c r="AX139" i="1"/>
  <c r="AY139" i="1" s="1"/>
  <c r="AZ139" i="1" s="1"/>
  <c r="AS139" i="1"/>
  <c r="AT139" i="1" s="1"/>
  <c r="AU139" i="1" s="1"/>
  <c r="AN139" i="1"/>
  <c r="AO139" i="1" s="1"/>
  <c r="AP139" i="1" s="1"/>
  <c r="AI139" i="1"/>
  <c r="AJ139" i="1" s="1"/>
  <c r="AK139" i="1" s="1"/>
  <c r="X139" i="1"/>
  <c r="Y139" i="1" s="1"/>
  <c r="Z139" i="1" s="1"/>
  <c r="T139" i="1"/>
  <c r="O139" i="1"/>
  <c r="J139" i="1"/>
  <c r="PZ138" i="1"/>
  <c r="PU138" i="1"/>
  <c r="PN138" i="1"/>
  <c r="PO138" i="1" s="1"/>
  <c r="PP138" i="1" s="1"/>
  <c r="PK138" i="1"/>
  <c r="PF138" i="1"/>
  <c r="OY138" i="1"/>
  <c r="OZ138" i="1" s="1"/>
  <c r="PA138" i="1" s="1"/>
  <c r="OV138" i="1"/>
  <c r="OQ138" i="1"/>
  <c r="OL138" i="1"/>
  <c r="OG138" i="1"/>
  <c r="OB138" i="1"/>
  <c r="NW138" i="1"/>
  <c r="NR138" i="1"/>
  <c r="NM138" i="1"/>
  <c r="NH138" i="1"/>
  <c r="NC138" i="1"/>
  <c r="MX138" i="1"/>
  <c r="MS138" i="1"/>
  <c r="MN138" i="1"/>
  <c r="MI138" i="1"/>
  <c r="MB138" i="1"/>
  <c r="MC138" i="1" s="1"/>
  <c r="MD138" i="1" s="1"/>
  <c r="LW138" i="1"/>
  <c r="LX138" i="1" s="1"/>
  <c r="LY138" i="1" s="1"/>
  <c r="LT138" i="1"/>
  <c r="LO138" i="1"/>
  <c r="LJ138" i="1"/>
  <c r="LC138" i="1"/>
  <c r="LD138" i="1" s="1"/>
  <c r="LE138" i="1" s="1"/>
  <c r="KZ138" i="1"/>
  <c r="KU138" i="1"/>
  <c r="KP138" i="1"/>
  <c r="KK138" i="1"/>
  <c r="KF138" i="1"/>
  <c r="IZ138" i="1"/>
  <c r="JA138" i="1" s="1"/>
  <c r="JB138" i="1" s="1"/>
  <c r="IU138" i="1"/>
  <c r="IV138" i="1" s="1"/>
  <c r="IW138" i="1" s="1"/>
  <c r="IP138" i="1"/>
  <c r="IQ138" i="1" s="1"/>
  <c r="IR138" i="1" s="1"/>
  <c r="IK138" i="1"/>
  <c r="IL138" i="1" s="1"/>
  <c r="IM138" i="1" s="1"/>
  <c r="IF138" i="1"/>
  <c r="IG138" i="1" s="1"/>
  <c r="IH138" i="1" s="1"/>
  <c r="IA138" i="1"/>
  <c r="IB138" i="1" s="1"/>
  <c r="IC138" i="1" s="1"/>
  <c r="HV138" i="1"/>
  <c r="HW138" i="1" s="1"/>
  <c r="HX138" i="1" s="1"/>
  <c r="HS138" i="1"/>
  <c r="HN138" i="1"/>
  <c r="HG138" i="1"/>
  <c r="HH138" i="1" s="1"/>
  <c r="HI138" i="1" s="1"/>
  <c r="HB138" i="1"/>
  <c r="HC138" i="1" s="1"/>
  <c r="HD138" i="1" s="1"/>
  <c r="GW138" i="1"/>
  <c r="GX138" i="1" s="1"/>
  <c r="GY138" i="1" s="1"/>
  <c r="GR138" i="1"/>
  <c r="GS138" i="1" s="1"/>
  <c r="GT138" i="1" s="1"/>
  <c r="GM138" i="1"/>
  <c r="GN138" i="1" s="1"/>
  <c r="GO138" i="1" s="1"/>
  <c r="GH138" i="1"/>
  <c r="GI138" i="1" s="1"/>
  <c r="GJ138" i="1" s="1"/>
  <c r="GC138" i="1"/>
  <c r="GD138" i="1" s="1"/>
  <c r="GE138" i="1" s="1"/>
  <c r="FX138" i="1"/>
  <c r="FY138" i="1" s="1"/>
  <c r="FZ138" i="1" s="1"/>
  <c r="FS138" i="1"/>
  <c r="FT138" i="1" s="1"/>
  <c r="FU138" i="1" s="1"/>
  <c r="FN138" i="1"/>
  <c r="FO138" i="1" s="1"/>
  <c r="FP138" i="1" s="1"/>
  <c r="FI138" i="1"/>
  <c r="FJ138" i="1" s="1"/>
  <c r="FK138" i="1" s="1"/>
  <c r="FD138" i="1"/>
  <c r="FE138" i="1" s="1"/>
  <c r="FF138" i="1" s="1"/>
  <c r="EY138" i="1"/>
  <c r="EZ138" i="1" s="1"/>
  <c r="FA138" i="1" s="1"/>
  <c r="ET138" i="1"/>
  <c r="EU138" i="1" s="1"/>
  <c r="EV138" i="1" s="1"/>
  <c r="EO138" i="1"/>
  <c r="EP138" i="1" s="1"/>
  <c r="EQ138" i="1" s="1"/>
  <c r="EJ138" i="1"/>
  <c r="EK138" i="1" s="1"/>
  <c r="EL138" i="1" s="1"/>
  <c r="EE138" i="1"/>
  <c r="EF138" i="1" s="1"/>
  <c r="EG138" i="1" s="1"/>
  <c r="DZ138" i="1"/>
  <c r="EA138" i="1" s="1"/>
  <c r="EB138" i="1" s="1"/>
  <c r="DU138" i="1"/>
  <c r="DV138" i="1" s="1"/>
  <c r="DW138" i="1" s="1"/>
  <c r="DP138" i="1"/>
  <c r="DQ138" i="1" s="1"/>
  <c r="DR138" i="1" s="1"/>
  <c r="DK138" i="1"/>
  <c r="DL138" i="1" s="1"/>
  <c r="DM138" i="1" s="1"/>
  <c r="DF138" i="1"/>
  <c r="DG138" i="1" s="1"/>
  <c r="DH138" i="1" s="1"/>
  <c r="DA138" i="1"/>
  <c r="DB138" i="1" s="1"/>
  <c r="DC138" i="1" s="1"/>
  <c r="CV138" i="1"/>
  <c r="CW138" i="1" s="1"/>
  <c r="CX138" i="1" s="1"/>
  <c r="CQ138" i="1"/>
  <c r="CR138" i="1" s="1"/>
  <c r="CS138" i="1" s="1"/>
  <c r="CL138" i="1"/>
  <c r="CM138" i="1" s="1"/>
  <c r="CN138" i="1" s="1"/>
  <c r="CG138" i="1"/>
  <c r="CH138" i="1" s="1"/>
  <c r="CI138" i="1" s="1"/>
  <c r="CB138" i="1"/>
  <c r="CC138" i="1" s="1"/>
  <c r="CD138" i="1" s="1"/>
  <c r="BW138" i="1"/>
  <c r="BX138" i="1" s="1"/>
  <c r="BY138" i="1" s="1"/>
  <c r="BR138" i="1"/>
  <c r="BS138" i="1" s="1"/>
  <c r="BT138" i="1" s="1"/>
  <c r="BM138" i="1"/>
  <c r="BN138" i="1" s="1"/>
  <c r="BO138" i="1" s="1"/>
  <c r="BH138" i="1"/>
  <c r="BI138" i="1" s="1"/>
  <c r="BJ138" i="1" s="1"/>
  <c r="BC138" i="1"/>
  <c r="BD138" i="1" s="1"/>
  <c r="BE138" i="1" s="1"/>
  <c r="AX138" i="1"/>
  <c r="AY138" i="1" s="1"/>
  <c r="AZ138" i="1" s="1"/>
  <c r="AS138" i="1"/>
  <c r="AT138" i="1" s="1"/>
  <c r="AU138" i="1" s="1"/>
  <c r="AN138" i="1"/>
  <c r="AO138" i="1" s="1"/>
  <c r="AP138" i="1" s="1"/>
  <c r="AI138" i="1"/>
  <c r="AJ138" i="1" s="1"/>
  <c r="AK138" i="1" s="1"/>
  <c r="AD138" i="1"/>
  <c r="AE138" i="1" s="1"/>
  <c r="AF138" i="1" s="1"/>
  <c r="X138" i="1"/>
  <c r="Y138" i="1" s="1"/>
  <c r="Z138" i="1" s="1"/>
  <c r="T138" i="1"/>
  <c r="O138" i="1"/>
  <c r="J138" i="1"/>
  <c r="PZ137" i="1"/>
  <c r="PU137" i="1"/>
  <c r="PP137" i="1"/>
  <c r="PK137" i="1"/>
  <c r="PF137" i="1"/>
  <c r="PA137" i="1"/>
  <c r="OV137" i="1"/>
  <c r="OQ137" i="1"/>
  <c r="OL137" i="1"/>
  <c r="OG137" i="1"/>
  <c r="OB137" i="1"/>
  <c r="NW137" i="1"/>
  <c r="NR137" i="1"/>
  <c r="NM137" i="1"/>
  <c r="NH137" i="1"/>
  <c r="NC137" i="1"/>
  <c r="MX137" i="1"/>
  <c r="MS137" i="1"/>
  <c r="MN137" i="1"/>
  <c r="MI137" i="1"/>
  <c r="MD137" i="1"/>
  <c r="LY137" i="1"/>
  <c r="LT137" i="1"/>
  <c r="LO137" i="1"/>
  <c r="LJ137" i="1"/>
  <c r="LE137" i="1"/>
  <c r="KZ137" i="1"/>
  <c r="KU137" i="1"/>
  <c r="KP137" i="1"/>
  <c r="KK137" i="1"/>
  <c r="KF137" i="1"/>
  <c r="IZ137" i="1"/>
  <c r="JA137" i="1" s="1"/>
  <c r="JB137" i="1" s="1"/>
  <c r="IU137" i="1"/>
  <c r="IV137" i="1" s="1"/>
  <c r="IW137" i="1" s="1"/>
  <c r="IR137" i="1"/>
  <c r="IM137" i="1"/>
  <c r="IF137" i="1"/>
  <c r="IG137" i="1" s="1"/>
  <c r="IH137" i="1" s="1"/>
  <c r="IC137" i="1"/>
  <c r="HX137" i="1"/>
  <c r="HS137" i="1"/>
  <c r="HN137" i="1"/>
  <c r="HG137" i="1"/>
  <c r="HH137" i="1" s="1"/>
  <c r="HI137" i="1" s="1"/>
  <c r="HB137" i="1"/>
  <c r="HC137" i="1" s="1"/>
  <c r="HD137" i="1" s="1"/>
  <c r="GW137" i="1"/>
  <c r="GX137" i="1" s="1"/>
  <c r="GY137" i="1" s="1"/>
  <c r="GR137" i="1"/>
  <c r="GS137" i="1" s="1"/>
  <c r="GT137" i="1" s="1"/>
  <c r="GM137" i="1"/>
  <c r="GN137" i="1" s="1"/>
  <c r="GO137" i="1" s="1"/>
  <c r="GH137" i="1"/>
  <c r="GI137" i="1" s="1"/>
  <c r="GJ137" i="1" s="1"/>
  <c r="GC137" i="1"/>
  <c r="GD137" i="1" s="1"/>
  <c r="GE137" i="1" s="1"/>
  <c r="FX137" i="1"/>
  <c r="FY137" i="1" s="1"/>
  <c r="FZ137" i="1" s="1"/>
  <c r="FS137" i="1"/>
  <c r="FT137" i="1" s="1"/>
  <c r="FU137" i="1" s="1"/>
  <c r="FN137" i="1"/>
  <c r="FO137" i="1" s="1"/>
  <c r="FP137" i="1" s="1"/>
  <c r="FI137" i="1"/>
  <c r="FJ137" i="1" s="1"/>
  <c r="FK137" i="1" s="1"/>
  <c r="FD137" i="1"/>
  <c r="FE137" i="1" s="1"/>
  <c r="FF137" i="1" s="1"/>
  <c r="EY137" i="1"/>
  <c r="EZ137" i="1" s="1"/>
  <c r="FA137" i="1" s="1"/>
  <c r="ET137" i="1"/>
  <c r="EU137" i="1" s="1"/>
  <c r="EV137" i="1" s="1"/>
  <c r="EO137" i="1"/>
  <c r="EP137" i="1" s="1"/>
  <c r="EQ137" i="1" s="1"/>
  <c r="EJ137" i="1"/>
  <c r="EK137" i="1" s="1"/>
  <c r="EL137" i="1" s="1"/>
  <c r="EE137" i="1"/>
  <c r="EF137" i="1" s="1"/>
  <c r="EG137" i="1" s="1"/>
  <c r="DZ137" i="1"/>
  <c r="EA137" i="1" s="1"/>
  <c r="EB137" i="1" s="1"/>
  <c r="DU137" i="1"/>
  <c r="DV137" i="1" s="1"/>
  <c r="DW137" i="1" s="1"/>
  <c r="DP137" i="1"/>
  <c r="DQ137" i="1" s="1"/>
  <c r="DR137" i="1" s="1"/>
  <c r="DK137" i="1"/>
  <c r="DL137" i="1" s="1"/>
  <c r="DM137" i="1" s="1"/>
  <c r="DF137" i="1"/>
  <c r="DG137" i="1" s="1"/>
  <c r="DH137" i="1" s="1"/>
  <c r="DA137" i="1"/>
  <c r="DB137" i="1" s="1"/>
  <c r="DC137" i="1" s="1"/>
  <c r="CV137" i="1"/>
  <c r="CW137" i="1" s="1"/>
  <c r="CX137" i="1" s="1"/>
  <c r="CQ137" i="1"/>
  <c r="CR137" i="1" s="1"/>
  <c r="CS137" i="1" s="1"/>
  <c r="CL137" i="1"/>
  <c r="CM137" i="1" s="1"/>
  <c r="CN137" i="1" s="1"/>
  <c r="CG137" i="1"/>
  <c r="CH137" i="1" s="1"/>
  <c r="CI137" i="1" s="1"/>
  <c r="CB137" i="1"/>
  <c r="CC137" i="1" s="1"/>
  <c r="CD137" i="1" s="1"/>
  <c r="BW137" i="1"/>
  <c r="BX137" i="1" s="1"/>
  <c r="BY137" i="1" s="1"/>
  <c r="BR137" i="1"/>
  <c r="BS137" i="1" s="1"/>
  <c r="BT137" i="1" s="1"/>
  <c r="BM137" i="1"/>
  <c r="BN137" i="1" s="1"/>
  <c r="BO137" i="1" s="1"/>
  <c r="BH137" i="1"/>
  <c r="BI137" i="1" s="1"/>
  <c r="BJ137" i="1" s="1"/>
  <c r="BC137" i="1"/>
  <c r="BD137" i="1" s="1"/>
  <c r="BE137" i="1" s="1"/>
  <c r="AX137" i="1"/>
  <c r="AY137" i="1" s="1"/>
  <c r="AZ137" i="1" s="1"/>
  <c r="AS137" i="1"/>
  <c r="AT137" i="1" s="1"/>
  <c r="AU137" i="1" s="1"/>
  <c r="AN137" i="1"/>
  <c r="AO137" i="1" s="1"/>
  <c r="AP137" i="1" s="1"/>
  <c r="AI137" i="1"/>
  <c r="AJ137" i="1" s="1"/>
  <c r="AK137" i="1" s="1"/>
  <c r="AD137" i="1"/>
  <c r="AE137" i="1" s="1"/>
  <c r="AF137" i="1" s="1"/>
  <c r="X137" i="1"/>
  <c r="Y137" i="1" s="1"/>
  <c r="Z137" i="1" s="1"/>
  <c r="T137" i="1"/>
  <c r="O137" i="1"/>
  <c r="J137" i="1"/>
  <c r="PZ136" i="1"/>
  <c r="PU136" i="1"/>
  <c r="PP136" i="1"/>
  <c r="PK136" i="1"/>
  <c r="PF136" i="1"/>
  <c r="PA136" i="1"/>
  <c r="OV136" i="1"/>
  <c r="OQ136" i="1"/>
  <c r="OL136" i="1"/>
  <c r="OG136" i="1"/>
  <c r="OB136" i="1"/>
  <c r="NW136" i="1"/>
  <c r="NR136" i="1"/>
  <c r="NM136" i="1"/>
  <c r="NH136" i="1"/>
  <c r="NC136" i="1"/>
  <c r="MX136" i="1"/>
  <c r="MS136" i="1"/>
  <c r="MN136" i="1"/>
  <c r="MI136" i="1"/>
  <c r="MD136" i="1"/>
  <c r="LY136" i="1"/>
  <c r="LT136" i="1"/>
  <c r="LO136" i="1"/>
  <c r="LJ136" i="1"/>
  <c r="LE136" i="1"/>
  <c r="KZ136" i="1"/>
  <c r="KU136" i="1"/>
  <c r="KP136" i="1"/>
  <c r="KK136" i="1"/>
  <c r="KF136" i="1"/>
  <c r="JB136" i="1"/>
  <c r="IW136" i="1"/>
  <c r="IR136" i="1"/>
  <c r="IM136" i="1"/>
  <c r="IH136" i="1"/>
  <c r="IC136" i="1"/>
  <c r="HX136" i="1"/>
  <c r="HS136" i="1"/>
  <c r="HN136" i="1"/>
  <c r="HI136" i="1"/>
  <c r="HB136" i="1"/>
  <c r="HC136" i="1" s="1"/>
  <c r="HD136" i="1" s="1"/>
  <c r="GW136" i="1"/>
  <c r="GX136" i="1" s="1"/>
  <c r="GY136" i="1" s="1"/>
  <c r="GR136" i="1"/>
  <c r="GS136" i="1" s="1"/>
  <c r="GT136" i="1" s="1"/>
  <c r="GM136" i="1"/>
  <c r="GN136" i="1" s="1"/>
  <c r="GO136" i="1" s="1"/>
  <c r="GH136" i="1"/>
  <c r="GI136" i="1" s="1"/>
  <c r="GJ136" i="1" s="1"/>
  <c r="GC136" i="1"/>
  <c r="GD136" i="1" s="1"/>
  <c r="GE136" i="1" s="1"/>
  <c r="FX136" i="1"/>
  <c r="FY136" i="1" s="1"/>
  <c r="FZ136" i="1" s="1"/>
  <c r="FS136" i="1"/>
  <c r="FT136" i="1" s="1"/>
  <c r="FU136" i="1" s="1"/>
  <c r="FN136" i="1"/>
  <c r="FO136" i="1" s="1"/>
  <c r="FP136" i="1" s="1"/>
  <c r="FI136" i="1"/>
  <c r="FJ136" i="1" s="1"/>
  <c r="FK136" i="1" s="1"/>
  <c r="FD136" i="1"/>
  <c r="FE136" i="1" s="1"/>
  <c r="FF136" i="1" s="1"/>
  <c r="EY136" i="1"/>
  <c r="EZ136" i="1" s="1"/>
  <c r="FA136" i="1" s="1"/>
  <c r="ET136" i="1"/>
  <c r="EU136" i="1" s="1"/>
  <c r="EV136" i="1" s="1"/>
  <c r="EO136" i="1"/>
  <c r="EP136" i="1" s="1"/>
  <c r="EQ136" i="1" s="1"/>
  <c r="EJ136" i="1"/>
  <c r="EK136" i="1" s="1"/>
  <c r="EL136" i="1" s="1"/>
  <c r="EE136" i="1"/>
  <c r="EF136" i="1" s="1"/>
  <c r="EG136" i="1" s="1"/>
  <c r="DZ136" i="1"/>
  <c r="EA136" i="1" s="1"/>
  <c r="EB136" i="1" s="1"/>
  <c r="DU136" i="1"/>
  <c r="DV136" i="1" s="1"/>
  <c r="DW136" i="1" s="1"/>
  <c r="DP136" i="1"/>
  <c r="DQ136" i="1" s="1"/>
  <c r="DR136" i="1" s="1"/>
  <c r="DK136" i="1"/>
  <c r="DL136" i="1" s="1"/>
  <c r="DM136" i="1" s="1"/>
  <c r="DF136" i="1"/>
  <c r="DG136" i="1" s="1"/>
  <c r="DH136" i="1" s="1"/>
  <c r="DA136" i="1"/>
  <c r="DB136" i="1" s="1"/>
  <c r="DC136" i="1" s="1"/>
  <c r="CV136" i="1"/>
  <c r="CW136" i="1" s="1"/>
  <c r="CX136" i="1" s="1"/>
  <c r="CQ136" i="1"/>
  <c r="CR136" i="1" s="1"/>
  <c r="CS136" i="1" s="1"/>
  <c r="CL136" i="1"/>
  <c r="CM136" i="1" s="1"/>
  <c r="CN136" i="1" s="1"/>
  <c r="CG136" i="1"/>
  <c r="CH136" i="1" s="1"/>
  <c r="CI136" i="1" s="1"/>
  <c r="CB136" i="1"/>
  <c r="CC136" i="1" s="1"/>
  <c r="CD136" i="1" s="1"/>
  <c r="BW136" i="1"/>
  <c r="BX136" i="1" s="1"/>
  <c r="BY136" i="1" s="1"/>
  <c r="BR136" i="1"/>
  <c r="BS136" i="1" s="1"/>
  <c r="BT136" i="1" s="1"/>
  <c r="BM136" i="1"/>
  <c r="BN136" i="1" s="1"/>
  <c r="BO136" i="1" s="1"/>
  <c r="BH136" i="1"/>
  <c r="BI136" i="1" s="1"/>
  <c r="BJ136" i="1" s="1"/>
  <c r="BC136" i="1"/>
  <c r="BD136" i="1" s="1"/>
  <c r="BE136" i="1" s="1"/>
  <c r="AX136" i="1"/>
  <c r="AY136" i="1" s="1"/>
  <c r="AZ136" i="1" s="1"/>
  <c r="AS136" i="1"/>
  <c r="AT136" i="1" s="1"/>
  <c r="AU136" i="1" s="1"/>
  <c r="AN136" i="1"/>
  <c r="AO136" i="1" s="1"/>
  <c r="AP136" i="1" s="1"/>
  <c r="AI136" i="1"/>
  <c r="AJ136" i="1" s="1"/>
  <c r="AK136" i="1" s="1"/>
  <c r="X136" i="1"/>
  <c r="Y136" i="1" s="1"/>
  <c r="Z136" i="1" s="1"/>
  <c r="T136" i="1"/>
  <c r="O136" i="1"/>
  <c r="H136" i="1"/>
  <c r="I136" i="1" s="1"/>
  <c r="J136" i="1" s="1"/>
  <c r="PZ135" i="1"/>
  <c r="PU135" i="1"/>
  <c r="PP135" i="1"/>
  <c r="PK135" i="1"/>
  <c r="PF135" i="1"/>
  <c r="PA135" i="1"/>
  <c r="OV135" i="1"/>
  <c r="OQ135" i="1"/>
  <c r="OL135" i="1"/>
  <c r="OG135" i="1"/>
  <c r="OB135" i="1"/>
  <c r="NW135" i="1"/>
  <c r="NR135" i="1"/>
  <c r="NM135" i="1"/>
  <c r="NH135" i="1"/>
  <c r="NC135" i="1"/>
  <c r="MX135" i="1"/>
  <c r="MS135" i="1"/>
  <c r="MN135" i="1"/>
  <c r="MI135" i="1"/>
  <c r="MD135" i="1"/>
  <c r="LY135" i="1"/>
  <c r="LT135" i="1"/>
  <c r="LO135" i="1"/>
  <c r="LJ135" i="1"/>
  <c r="LE135" i="1"/>
  <c r="KZ135" i="1"/>
  <c r="KU135" i="1"/>
  <c r="KP135" i="1"/>
  <c r="KK135" i="1"/>
  <c r="KF135" i="1"/>
  <c r="JB135" i="1"/>
  <c r="IW135" i="1"/>
  <c r="IR135" i="1"/>
  <c r="IM135" i="1"/>
  <c r="IH135" i="1"/>
  <c r="IC135" i="1"/>
  <c r="HX135" i="1"/>
  <c r="HS135" i="1"/>
  <c r="HN135" i="1"/>
  <c r="HI135" i="1"/>
  <c r="HB135" i="1"/>
  <c r="HC135" i="1" s="1"/>
  <c r="HD135" i="1" s="1"/>
  <c r="GW135" i="1"/>
  <c r="GX135" i="1" s="1"/>
  <c r="GY135" i="1" s="1"/>
  <c r="GR135" i="1"/>
  <c r="GS135" i="1" s="1"/>
  <c r="GT135" i="1" s="1"/>
  <c r="GM135" i="1"/>
  <c r="GN135" i="1" s="1"/>
  <c r="GO135" i="1" s="1"/>
  <c r="GH135" i="1"/>
  <c r="GI135" i="1" s="1"/>
  <c r="GJ135" i="1" s="1"/>
  <c r="GC135" i="1"/>
  <c r="GD135" i="1" s="1"/>
  <c r="GE135" i="1" s="1"/>
  <c r="FX135" i="1"/>
  <c r="FY135" i="1" s="1"/>
  <c r="FZ135" i="1" s="1"/>
  <c r="FS135" i="1"/>
  <c r="FT135" i="1" s="1"/>
  <c r="FU135" i="1" s="1"/>
  <c r="FN135" i="1"/>
  <c r="FO135" i="1" s="1"/>
  <c r="FP135" i="1" s="1"/>
  <c r="FI135" i="1"/>
  <c r="FJ135" i="1" s="1"/>
  <c r="FK135" i="1" s="1"/>
  <c r="FD135" i="1"/>
  <c r="FE135" i="1" s="1"/>
  <c r="FF135" i="1" s="1"/>
  <c r="EY135" i="1"/>
  <c r="EZ135" i="1" s="1"/>
  <c r="FA135" i="1" s="1"/>
  <c r="ET135" i="1"/>
  <c r="EU135" i="1" s="1"/>
  <c r="EV135" i="1" s="1"/>
  <c r="EO135" i="1"/>
  <c r="EP135" i="1" s="1"/>
  <c r="EQ135" i="1" s="1"/>
  <c r="EJ135" i="1"/>
  <c r="EK135" i="1" s="1"/>
  <c r="EL135" i="1" s="1"/>
  <c r="EE135" i="1"/>
  <c r="EF135" i="1" s="1"/>
  <c r="EG135" i="1" s="1"/>
  <c r="DZ135" i="1"/>
  <c r="EA135" i="1" s="1"/>
  <c r="EB135" i="1" s="1"/>
  <c r="DU135" i="1"/>
  <c r="DV135" i="1" s="1"/>
  <c r="DW135" i="1" s="1"/>
  <c r="DP135" i="1"/>
  <c r="DQ135" i="1" s="1"/>
  <c r="DR135" i="1" s="1"/>
  <c r="DK135" i="1"/>
  <c r="DL135" i="1" s="1"/>
  <c r="DM135" i="1" s="1"/>
  <c r="DF135" i="1"/>
  <c r="DG135" i="1" s="1"/>
  <c r="DH135" i="1" s="1"/>
  <c r="DA135" i="1"/>
  <c r="DB135" i="1" s="1"/>
  <c r="DC135" i="1" s="1"/>
  <c r="CV135" i="1"/>
  <c r="CW135" i="1" s="1"/>
  <c r="CX135" i="1" s="1"/>
  <c r="CQ135" i="1"/>
  <c r="CR135" i="1" s="1"/>
  <c r="CS135" i="1" s="1"/>
  <c r="CL135" i="1"/>
  <c r="CM135" i="1" s="1"/>
  <c r="CN135" i="1" s="1"/>
  <c r="CG135" i="1"/>
  <c r="CH135" i="1" s="1"/>
  <c r="CI135" i="1" s="1"/>
  <c r="CB135" i="1"/>
  <c r="CC135" i="1" s="1"/>
  <c r="CD135" i="1" s="1"/>
  <c r="BW135" i="1"/>
  <c r="BX135" i="1" s="1"/>
  <c r="BY135" i="1" s="1"/>
  <c r="BR135" i="1"/>
  <c r="BS135" i="1" s="1"/>
  <c r="BT135" i="1" s="1"/>
  <c r="BM135" i="1"/>
  <c r="BN135" i="1" s="1"/>
  <c r="BO135" i="1" s="1"/>
  <c r="BH135" i="1"/>
  <c r="BI135" i="1" s="1"/>
  <c r="BJ135" i="1" s="1"/>
  <c r="BC135" i="1"/>
  <c r="BD135" i="1" s="1"/>
  <c r="BE135" i="1" s="1"/>
  <c r="AX135" i="1"/>
  <c r="AY135" i="1" s="1"/>
  <c r="AZ135" i="1" s="1"/>
  <c r="AS135" i="1"/>
  <c r="AT135" i="1" s="1"/>
  <c r="AU135" i="1" s="1"/>
  <c r="AN135" i="1"/>
  <c r="AO135" i="1" s="1"/>
  <c r="AP135" i="1" s="1"/>
  <c r="AI135" i="1"/>
  <c r="AJ135" i="1" s="1"/>
  <c r="AK135" i="1" s="1"/>
  <c r="X135" i="1"/>
  <c r="Y135" i="1" s="1"/>
  <c r="Z135" i="1" s="1"/>
  <c r="T135" i="1"/>
  <c r="O135" i="1"/>
  <c r="J135" i="1"/>
  <c r="PZ134" i="1"/>
  <c r="PU134" i="1"/>
  <c r="PP134" i="1"/>
  <c r="PK134" i="1"/>
  <c r="PF134" i="1"/>
  <c r="PA134" i="1"/>
  <c r="OV134" i="1"/>
  <c r="OQ134" i="1"/>
  <c r="OL134" i="1"/>
  <c r="OG134" i="1"/>
  <c r="OB134" i="1"/>
  <c r="NW134" i="1"/>
  <c r="NR134" i="1"/>
  <c r="NM134" i="1"/>
  <c r="NH134" i="1"/>
  <c r="NC134" i="1"/>
  <c r="MX134" i="1"/>
  <c r="MS134" i="1"/>
  <c r="MN134" i="1"/>
  <c r="MI134" i="1"/>
  <c r="MD134" i="1"/>
  <c r="LY134" i="1"/>
  <c r="LT134" i="1"/>
  <c r="LO134" i="1"/>
  <c r="LJ134" i="1"/>
  <c r="LC134" i="1"/>
  <c r="LD134" i="1" s="1"/>
  <c r="LE134" i="1" s="1"/>
  <c r="KX134" i="1"/>
  <c r="KY134" i="1" s="1"/>
  <c r="KZ134" i="1" s="1"/>
  <c r="KU134" i="1"/>
  <c r="KP134" i="1"/>
  <c r="KI134" i="1"/>
  <c r="KJ134" i="1" s="1"/>
  <c r="KK134" i="1" s="1"/>
  <c r="KF134" i="1"/>
  <c r="IZ134" i="1"/>
  <c r="JA134" i="1" s="1"/>
  <c r="JB134" i="1" s="1"/>
  <c r="IU134" i="1"/>
  <c r="IV134" i="1" s="1"/>
  <c r="IW134" i="1" s="1"/>
  <c r="IP134" i="1"/>
  <c r="IQ134" i="1" s="1"/>
  <c r="IR134" i="1" s="1"/>
  <c r="IK134" i="1"/>
  <c r="IL134" i="1" s="1"/>
  <c r="IM134" i="1" s="1"/>
  <c r="IF134" i="1"/>
  <c r="IG134" i="1" s="1"/>
  <c r="IH134" i="1" s="1"/>
  <c r="IA134" i="1"/>
  <c r="IB134" i="1" s="1"/>
  <c r="IC134" i="1" s="1"/>
  <c r="HV134" i="1"/>
  <c r="HW134" i="1" s="1"/>
  <c r="HX134" i="1" s="1"/>
  <c r="HQ134" i="1"/>
  <c r="HR134" i="1" s="1"/>
  <c r="HS134" i="1" s="1"/>
  <c r="HL134" i="1"/>
  <c r="HM134" i="1" s="1"/>
  <c r="HN134" i="1" s="1"/>
  <c r="HG134" i="1"/>
  <c r="HH134" i="1" s="1"/>
  <c r="HI134" i="1" s="1"/>
  <c r="HB134" i="1"/>
  <c r="HC134" i="1" s="1"/>
  <c r="HD134" i="1" s="1"/>
  <c r="GW134" i="1"/>
  <c r="GX134" i="1" s="1"/>
  <c r="GY134" i="1" s="1"/>
  <c r="GR134" i="1"/>
  <c r="GS134" i="1" s="1"/>
  <c r="GT134" i="1" s="1"/>
  <c r="GM134" i="1"/>
  <c r="GN134" i="1" s="1"/>
  <c r="GO134" i="1" s="1"/>
  <c r="GH134" i="1"/>
  <c r="GI134" i="1" s="1"/>
  <c r="GJ134" i="1" s="1"/>
  <c r="GC134" i="1"/>
  <c r="GD134" i="1" s="1"/>
  <c r="GE134" i="1" s="1"/>
  <c r="FX134" i="1"/>
  <c r="FY134" i="1" s="1"/>
  <c r="FZ134" i="1" s="1"/>
  <c r="FS134" i="1"/>
  <c r="FT134" i="1" s="1"/>
  <c r="FU134" i="1" s="1"/>
  <c r="FN134" i="1"/>
  <c r="FO134" i="1" s="1"/>
  <c r="FP134" i="1" s="1"/>
  <c r="FI134" i="1"/>
  <c r="FJ134" i="1" s="1"/>
  <c r="FK134" i="1" s="1"/>
  <c r="FD134" i="1"/>
  <c r="FE134" i="1" s="1"/>
  <c r="FF134" i="1" s="1"/>
  <c r="EY134" i="1"/>
  <c r="EZ134" i="1" s="1"/>
  <c r="FA134" i="1" s="1"/>
  <c r="ET134" i="1"/>
  <c r="EU134" i="1" s="1"/>
  <c r="EV134" i="1" s="1"/>
  <c r="EO134" i="1"/>
  <c r="EP134" i="1" s="1"/>
  <c r="EQ134" i="1" s="1"/>
  <c r="EJ134" i="1"/>
  <c r="EK134" i="1" s="1"/>
  <c r="EL134" i="1" s="1"/>
  <c r="EE134" i="1"/>
  <c r="EF134" i="1" s="1"/>
  <c r="EG134" i="1" s="1"/>
  <c r="DZ134" i="1"/>
  <c r="EA134" i="1" s="1"/>
  <c r="EB134" i="1" s="1"/>
  <c r="DU134" i="1"/>
  <c r="DV134" i="1" s="1"/>
  <c r="DW134" i="1" s="1"/>
  <c r="DP134" i="1"/>
  <c r="DQ134" i="1" s="1"/>
  <c r="DR134" i="1" s="1"/>
  <c r="DK134" i="1"/>
  <c r="DL134" i="1" s="1"/>
  <c r="DM134" i="1" s="1"/>
  <c r="DF134" i="1"/>
  <c r="DG134" i="1" s="1"/>
  <c r="DH134" i="1" s="1"/>
  <c r="DA134" i="1"/>
  <c r="DB134" i="1" s="1"/>
  <c r="DC134" i="1" s="1"/>
  <c r="CV134" i="1"/>
  <c r="CW134" i="1" s="1"/>
  <c r="CX134" i="1" s="1"/>
  <c r="CQ134" i="1"/>
  <c r="CR134" i="1" s="1"/>
  <c r="CS134" i="1" s="1"/>
  <c r="CL134" i="1"/>
  <c r="CM134" i="1" s="1"/>
  <c r="CN134" i="1" s="1"/>
  <c r="CG134" i="1"/>
  <c r="CH134" i="1" s="1"/>
  <c r="CI134" i="1" s="1"/>
  <c r="CB134" i="1"/>
  <c r="CC134" i="1" s="1"/>
  <c r="CD134" i="1" s="1"/>
  <c r="BW134" i="1"/>
  <c r="BX134" i="1" s="1"/>
  <c r="BY134" i="1" s="1"/>
  <c r="BR134" i="1"/>
  <c r="BS134" i="1" s="1"/>
  <c r="BT134" i="1" s="1"/>
  <c r="BM134" i="1"/>
  <c r="BN134" i="1" s="1"/>
  <c r="BO134" i="1" s="1"/>
  <c r="BH134" i="1"/>
  <c r="BI134" i="1" s="1"/>
  <c r="BJ134" i="1" s="1"/>
  <c r="BC134" i="1"/>
  <c r="BD134" i="1" s="1"/>
  <c r="BE134" i="1" s="1"/>
  <c r="AX134" i="1"/>
  <c r="AY134" i="1" s="1"/>
  <c r="AZ134" i="1" s="1"/>
  <c r="AS134" i="1"/>
  <c r="AT134" i="1" s="1"/>
  <c r="AU134" i="1" s="1"/>
  <c r="AN134" i="1"/>
  <c r="AO134" i="1" s="1"/>
  <c r="AP134" i="1" s="1"/>
  <c r="AI134" i="1"/>
  <c r="AJ134" i="1" s="1"/>
  <c r="AK134" i="1" s="1"/>
  <c r="AD134" i="1"/>
  <c r="AE134" i="1" s="1"/>
  <c r="AF134" i="1" s="1"/>
  <c r="X134" i="1"/>
  <c r="Y134" i="1" s="1"/>
  <c r="Z134" i="1" s="1"/>
  <c r="T134" i="1"/>
  <c r="O134" i="1"/>
  <c r="J134" i="1"/>
  <c r="PZ133" i="1"/>
  <c r="PU133" i="1"/>
  <c r="PP133" i="1"/>
  <c r="PK133" i="1"/>
  <c r="PF133" i="1"/>
  <c r="PA133" i="1"/>
  <c r="OV133" i="1"/>
  <c r="OQ133" i="1"/>
  <c r="OL133" i="1"/>
  <c r="OG133" i="1"/>
  <c r="OB133" i="1"/>
  <c r="NW133" i="1"/>
  <c r="NR133" i="1"/>
  <c r="NM133" i="1"/>
  <c r="NH133" i="1"/>
  <c r="NC133" i="1"/>
  <c r="MX133" i="1"/>
  <c r="MS133" i="1"/>
  <c r="MN133" i="1"/>
  <c r="MI133" i="1"/>
  <c r="MD133" i="1"/>
  <c r="LY133" i="1"/>
  <c r="LT133" i="1"/>
  <c r="LO133" i="1"/>
  <c r="LJ133" i="1"/>
  <c r="LE133" i="1"/>
  <c r="KZ133" i="1"/>
  <c r="KS133" i="1"/>
  <c r="KT133" i="1" s="1"/>
  <c r="KU133" i="1" s="1"/>
  <c r="KP133" i="1"/>
  <c r="KK133" i="1"/>
  <c r="KF133" i="1"/>
  <c r="JB133" i="1"/>
  <c r="IW133" i="1"/>
  <c r="IR133" i="1"/>
  <c r="IM133" i="1"/>
  <c r="IH133" i="1"/>
  <c r="IC133" i="1"/>
  <c r="HX133" i="1"/>
  <c r="HS133" i="1"/>
  <c r="HN133" i="1"/>
  <c r="HG133" i="1"/>
  <c r="HH133" i="1" s="1"/>
  <c r="HI133" i="1" s="1"/>
  <c r="HB133" i="1"/>
  <c r="HC133" i="1" s="1"/>
  <c r="HD133" i="1" s="1"/>
  <c r="GW133" i="1"/>
  <c r="GX133" i="1" s="1"/>
  <c r="GY133" i="1" s="1"/>
  <c r="GR133" i="1"/>
  <c r="GS133" i="1" s="1"/>
  <c r="GT133" i="1" s="1"/>
  <c r="GM133" i="1"/>
  <c r="GN133" i="1" s="1"/>
  <c r="GO133" i="1" s="1"/>
  <c r="GH133" i="1"/>
  <c r="GI133" i="1" s="1"/>
  <c r="GJ133" i="1" s="1"/>
  <c r="GC133" i="1"/>
  <c r="GD133" i="1" s="1"/>
  <c r="GE133" i="1" s="1"/>
  <c r="FX133" i="1"/>
  <c r="FY133" i="1" s="1"/>
  <c r="FZ133" i="1" s="1"/>
  <c r="FS133" i="1"/>
  <c r="FT133" i="1" s="1"/>
  <c r="FU133" i="1" s="1"/>
  <c r="FN133" i="1"/>
  <c r="FO133" i="1" s="1"/>
  <c r="FP133" i="1" s="1"/>
  <c r="FI133" i="1"/>
  <c r="FJ133" i="1" s="1"/>
  <c r="FK133" i="1" s="1"/>
  <c r="FD133" i="1"/>
  <c r="FE133" i="1" s="1"/>
  <c r="FF133" i="1" s="1"/>
  <c r="EY133" i="1"/>
  <c r="EZ133" i="1" s="1"/>
  <c r="FA133" i="1" s="1"/>
  <c r="ET133" i="1"/>
  <c r="EU133" i="1" s="1"/>
  <c r="EV133" i="1" s="1"/>
  <c r="EO133" i="1"/>
  <c r="EP133" i="1" s="1"/>
  <c r="EQ133" i="1" s="1"/>
  <c r="EJ133" i="1"/>
  <c r="EK133" i="1" s="1"/>
  <c r="EL133" i="1" s="1"/>
  <c r="EE133" i="1"/>
  <c r="EF133" i="1" s="1"/>
  <c r="EG133" i="1" s="1"/>
  <c r="DZ133" i="1"/>
  <c r="EA133" i="1" s="1"/>
  <c r="EB133" i="1" s="1"/>
  <c r="DU133" i="1"/>
  <c r="DV133" i="1" s="1"/>
  <c r="DW133" i="1" s="1"/>
  <c r="DP133" i="1"/>
  <c r="DQ133" i="1" s="1"/>
  <c r="DR133" i="1" s="1"/>
  <c r="DK133" i="1"/>
  <c r="DL133" i="1" s="1"/>
  <c r="DM133" i="1" s="1"/>
  <c r="DF133" i="1"/>
  <c r="DG133" i="1" s="1"/>
  <c r="DH133" i="1" s="1"/>
  <c r="DA133" i="1"/>
  <c r="DB133" i="1" s="1"/>
  <c r="DC133" i="1" s="1"/>
  <c r="CV133" i="1"/>
  <c r="CW133" i="1" s="1"/>
  <c r="CX133" i="1" s="1"/>
  <c r="CQ133" i="1"/>
  <c r="CR133" i="1" s="1"/>
  <c r="CS133" i="1" s="1"/>
  <c r="CL133" i="1"/>
  <c r="CM133" i="1" s="1"/>
  <c r="CN133" i="1" s="1"/>
  <c r="CG133" i="1"/>
  <c r="CH133" i="1" s="1"/>
  <c r="CI133" i="1" s="1"/>
  <c r="CB133" i="1"/>
  <c r="CC133" i="1" s="1"/>
  <c r="CD133" i="1" s="1"/>
  <c r="BW133" i="1"/>
  <c r="BX133" i="1" s="1"/>
  <c r="BY133" i="1" s="1"/>
  <c r="BR133" i="1"/>
  <c r="BS133" i="1" s="1"/>
  <c r="BT133" i="1" s="1"/>
  <c r="BM133" i="1"/>
  <c r="BN133" i="1" s="1"/>
  <c r="BO133" i="1" s="1"/>
  <c r="BH133" i="1"/>
  <c r="BI133" i="1" s="1"/>
  <c r="BJ133" i="1" s="1"/>
  <c r="BC133" i="1"/>
  <c r="BD133" i="1" s="1"/>
  <c r="BE133" i="1" s="1"/>
  <c r="AX133" i="1"/>
  <c r="AY133" i="1" s="1"/>
  <c r="AZ133" i="1" s="1"/>
  <c r="AS133" i="1"/>
  <c r="AT133" i="1" s="1"/>
  <c r="AU133" i="1" s="1"/>
  <c r="AN133" i="1"/>
  <c r="AO133" i="1" s="1"/>
  <c r="AP133" i="1" s="1"/>
  <c r="AI133" i="1"/>
  <c r="AJ133" i="1" s="1"/>
  <c r="AK133" i="1" s="1"/>
  <c r="X133" i="1"/>
  <c r="Y133" i="1" s="1"/>
  <c r="Z133" i="1" s="1"/>
  <c r="R133" i="1"/>
  <c r="S133" i="1" s="1"/>
  <c r="T133" i="1" s="1"/>
  <c r="O133" i="1"/>
  <c r="J133" i="1"/>
  <c r="PZ132" i="1"/>
  <c r="PU132" i="1"/>
  <c r="PP132" i="1"/>
  <c r="PK132" i="1"/>
  <c r="PF132" i="1"/>
  <c r="PA132" i="1"/>
  <c r="OV132" i="1"/>
  <c r="OQ132" i="1"/>
  <c r="OL132" i="1"/>
  <c r="OG132" i="1"/>
  <c r="OB132" i="1"/>
  <c r="NW132" i="1"/>
  <c r="NR132" i="1"/>
  <c r="NM132" i="1"/>
  <c r="NH132" i="1"/>
  <c r="NC132" i="1"/>
  <c r="MX132" i="1"/>
  <c r="MS132" i="1"/>
  <c r="MN132" i="1"/>
  <c r="MI132" i="1"/>
  <c r="MD132" i="1"/>
  <c r="LY132" i="1"/>
  <c r="LT132" i="1"/>
  <c r="LO132" i="1"/>
  <c r="LJ132" i="1"/>
  <c r="LE132" i="1"/>
  <c r="KZ132" i="1"/>
  <c r="KU132" i="1"/>
  <c r="KP132" i="1"/>
  <c r="KK132" i="1"/>
  <c r="KF132" i="1"/>
  <c r="JB132" i="1"/>
  <c r="IW132" i="1"/>
  <c r="IP132" i="1"/>
  <c r="IQ132" i="1" s="1"/>
  <c r="IR132" i="1" s="1"/>
  <c r="IM132" i="1"/>
  <c r="IH132" i="1"/>
  <c r="IC132" i="1"/>
  <c r="HX132" i="1"/>
  <c r="HS132" i="1"/>
  <c r="HN132" i="1"/>
  <c r="HG132" i="1"/>
  <c r="HH132" i="1" s="1"/>
  <c r="HI132" i="1" s="1"/>
  <c r="HB132" i="1"/>
  <c r="HC132" i="1" s="1"/>
  <c r="HD132" i="1" s="1"/>
  <c r="GW132" i="1"/>
  <c r="GX132" i="1" s="1"/>
  <c r="GY132" i="1" s="1"/>
  <c r="GR132" i="1"/>
  <c r="GS132" i="1" s="1"/>
  <c r="GT132" i="1" s="1"/>
  <c r="GM132" i="1"/>
  <c r="GN132" i="1" s="1"/>
  <c r="GO132" i="1" s="1"/>
  <c r="GH132" i="1"/>
  <c r="GI132" i="1" s="1"/>
  <c r="GJ132" i="1" s="1"/>
  <c r="GC132" i="1"/>
  <c r="GD132" i="1" s="1"/>
  <c r="GE132" i="1" s="1"/>
  <c r="FX132" i="1"/>
  <c r="FY132" i="1" s="1"/>
  <c r="FZ132" i="1" s="1"/>
  <c r="FS132" i="1"/>
  <c r="FT132" i="1" s="1"/>
  <c r="FU132" i="1" s="1"/>
  <c r="FN132" i="1"/>
  <c r="FO132" i="1" s="1"/>
  <c r="FP132" i="1" s="1"/>
  <c r="FI132" i="1"/>
  <c r="FJ132" i="1" s="1"/>
  <c r="FK132" i="1" s="1"/>
  <c r="FD132" i="1"/>
  <c r="FE132" i="1" s="1"/>
  <c r="FF132" i="1" s="1"/>
  <c r="EY132" i="1"/>
  <c r="EZ132" i="1" s="1"/>
  <c r="FA132" i="1" s="1"/>
  <c r="ET132" i="1"/>
  <c r="EU132" i="1" s="1"/>
  <c r="EV132" i="1" s="1"/>
  <c r="EO132" i="1"/>
  <c r="EP132" i="1" s="1"/>
  <c r="EQ132" i="1" s="1"/>
  <c r="EJ132" i="1"/>
  <c r="EK132" i="1" s="1"/>
  <c r="EL132" i="1" s="1"/>
  <c r="EE132" i="1"/>
  <c r="EF132" i="1" s="1"/>
  <c r="EG132" i="1" s="1"/>
  <c r="DZ132" i="1"/>
  <c r="EA132" i="1" s="1"/>
  <c r="EB132" i="1" s="1"/>
  <c r="DU132" i="1"/>
  <c r="DV132" i="1" s="1"/>
  <c r="DW132" i="1" s="1"/>
  <c r="DP132" i="1"/>
  <c r="DQ132" i="1" s="1"/>
  <c r="DR132" i="1" s="1"/>
  <c r="DK132" i="1"/>
  <c r="DL132" i="1" s="1"/>
  <c r="DM132" i="1" s="1"/>
  <c r="DF132" i="1"/>
  <c r="DG132" i="1" s="1"/>
  <c r="DH132" i="1" s="1"/>
  <c r="DA132" i="1"/>
  <c r="DB132" i="1" s="1"/>
  <c r="DC132" i="1" s="1"/>
  <c r="CV132" i="1"/>
  <c r="CW132" i="1" s="1"/>
  <c r="CX132" i="1" s="1"/>
  <c r="CQ132" i="1"/>
  <c r="CR132" i="1" s="1"/>
  <c r="CS132" i="1" s="1"/>
  <c r="CL132" i="1"/>
  <c r="CM132" i="1" s="1"/>
  <c r="CN132" i="1" s="1"/>
  <c r="CG132" i="1"/>
  <c r="CH132" i="1" s="1"/>
  <c r="CI132" i="1" s="1"/>
  <c r="CB132" i="1"/>
  <c r="CC132" i="1" s="1"/>
  <c r="CD132" i="1" s="1"/>
  <c r="BW132" i="1"/>
  <c r="BX132" i="1" s="1"/>
  <c r="BY132" i="1" s="1"/>
  <c r="BR132" i="1"/>
  <c r="BS132" i="1" s="1"/>
  <c r="BT132" i="1" s="1"/>
  <c r="BM132" i="1"/>
  <c r="BN132" i="1" s="1"/>
  <c r="BO132" i="1" s="1"/>
  <c r="BH132" i="1"/>
  <c r="BI132" i="1" s="1"/>
  <c r="BJ132" i="1" s="1"/>
  <c r="BC132" i="1"/>
  <c r="BD132" i="1" s="1"/>
  <c r="BE132" i="1" s="1"/>
  <c r="AX132" i="1"/>
  <c r="AY132" i="1" s="1"/>
  <c r="AZ132" i="1" s="1"/>
  <c r="AS132" i="1"/>
  <c r="AT132" i="1" s="1"/>
  <c r="AU132" i="1" s="1"/>
  <c r="AN132" i="1"/>
  <c r="AO132" i="1" s="1"/>
  <c r="AP132" i="1" s="1"/>
  <c r="AI132" i="1"/>
  <c r="AJ132" i="1" s="1"/>
  <c r="AK132" i="1" s="1"/>
  <c r="AD132" i="1"/>
  <c r="AE132" i="1" s="1"/>
  <c r="AF132" i="1" s="1"/>
  <c r="X132" i="1"/>
  <c r="Y132" i="1" s="1"/>
  <c r="Z132" i="1" s="1"/>
  <c r="T132" i="1"/>
  <c r="O132" i="1"/>
  <c r="J132" i="1"/>
  <c r="PZ131" i="1"/>
  <c r="PU131" i="1"/>
  <c r="PP131" i="1"/>
  <c r="PK131" i="1"/>
  <c r="PF131" i="1"/>
  <c r="PA131" i="1"/>
  <c r="OV131" i="1"/>
  <c r="OQ131" i="1"/>
  <c r="OL131" i="1"/>
  <c r="OG131" i="1"/>
  <c r="OB131" i="1"/>
  <c r="NW131" i="1"/>
  <c r="NR131" i="1"/>
  <c r="NM131" i="1"/>
  <c r="NH131" i="1"/>
  <c r="NC131" i="1"/>
  <c r="MX131" i="1"/>
  <c r="MS131" i="1"/>
  <c r="MN131" i="1"/>
  <c r="MI131" i="1"/>
  <c r="MD131" i="1"/>
  <c r="LY131" i="1"/>
  <c r="LT131" i="1"/>
  <c r="LO131" i="1"/>
  <c r="LJ131" i="1"/>
  <c r="LE131" i="1"/>
  <c r="KZ131" i="1"/>
  <c r="KU131" i="1"/>
  <c r="KP131" i="1"/>
  <c r="KK131" i="1"/>
  <c r="KF131" i="1"/>
  <c r="JB131" i="1"/>
  <c r="IW131" i="1"/>
  <c r="IR131" i="1"/>
  <c r="IM131" i="1"/>
  <c r="IH131" i="1"/>
  <c r="IC131" i="1"/>
  <c r="HX131" i="1"/>
  <c r="HS131" i="1"/>
  <c r="HN131" i="1"/>
  <c r="HI131" i="1"/>
  <c r="HB131" i="1"/>
  <c r="HC131" i="1" s="1"/>
  <c r="HD131" i="1" s="1"/>
  <c r="GW131" i="1"/>
  <c r="GX131" i="1" s="1"/>
  <c r="GY131" i="1" s="1"/>
  <c r="GR131" i="1"/>
  <c r="GS131" i="1" s="1"/>
  <c r="GT131" i="1" s="1"/>
  <c r="GM131" i="1"/>
  <c r="GN131" i="1" s="1"/>
  <c r="GO131" i="1" s="1"/>
  <c r="GH131" i="1"/>
  <c r="GI131" i="1" s="1"/>
  <c r="GJ131" i="1" s="1"/>
  <c r="GC131" i="1"/>
  <c r="GD131" i="1" s="1"/>
  <c r="GE131" i="1" s="1"/>
  <c r="FX131" i="1"/>
  <c r="FY131" i="1" s="1"/>
  <c r="FZ131" i="1" s="1"/>
  <c r="FS131" i="1"/>
  <c r="FT131" i="1" s="1"/>
  <c r="FU131" i="1" s="1"/>
  <c r="FN131" i="1"/>
  <c r="FO131" i="1" s="1"/>
  <c r="FP131" i="1" s="1"/>
  <c r="FI131" i="1"/>
  <c r="FJ131" i="1" s="1"/>
  <c r="FK131" i="1" s="1"/>
  <c r="FD131" i="1"/>
  <c r="FE131" i="1" s="1"/>
  <c r="FF131" i="1" s="1"/>
  <c r="EY131" i="1"/>
  <c r="EZ131" i="1" s="1"/>
  <c r="FA131" i="1" s="1"/>
  <c r="ET131" i="1"/>
  <c r="EU131" i="1" s="1"/>
  <c r="EV131" i="1" s="1"/>
  <c r="EO131" i="1"/>
  <c r="EP131" i="1" s="1"/>
  <c r="EQ131" i="1" s="1"/>
  <c r="EJ131" i="1"/>
  <c r="EK131" i="1" s="1"/>
  <c r="EL131" i="1" s="1"/>
  <c r="EE131" i="1"/>
  <c r="EF131" i="1" s="1"/>
  <c r="EG131" i="1" s="1"/>
  <c r="DZ131" i="1"/>
  <c r="EA131" i="1" s="1"/>
  <c r="EB131" i="1" s="1"/>
  <c r="DU131" i="1"/>
  <c r="DV131" i="1" s="1"/>
  <c r="DW131" i="1" s="1"/>
  <c r="DP131" i="1"/>
  <c r="DQ131" i="1" s="1"/>
  <c r="DR131" i="1" s="1"/>
  <c r="DK131" i="1"/>
  <c r="DL131" i="1" s="1"/>
  <c r="DM131" i="1" s="1"/>
  <c r="DF131" i="1"/>
  <c r="DG131" i="1" s="1"/>
  <c r="DH131" i="1" s="1"/>
  <c r="DA131" i="1"/>
  <c r="DB131" i="1" s="1"/>
  <c r="DC131" i="1" s="1"/>
  <c r="CV131" i="1"/>
  <c r="CW131" i="1" s="1"/>
  <c r="CX131" i="1" s="1"/>
  <c r="CQ131" i="1"/>
  <c r="CR131" i="1" s="1"/>
  <c r="CS131" i="1" s="1"/>
  <c r="CL131" i="1"/>
  <c r="CM131" i="1" s="1"/>
  <c r="CN131" i="1" s="1"/>
  <c r="CG131" i="1"/>
  <c r="CH131" i="1" s="1"/>
  <c r="CI131" i="1" s="1"/>
  <c r="CB131" i="1"/>
  <c r="CC131" i="1" s="1"/>
  <c r="CD131" i="1" s="1"/>
  <c r="BW131" i="1"/>
  <c r="BX131" i="1" s="1"/>
  <c r="BY131" i="1" s="1"/>
  <c r="BR131" i="1"/>
  <c r="BS131" i="1" s="1"/>
  <c r="BT131" i="1" s="1"/>
  <c r="BM131" i="1"/>
  <c r="BN131" i="1" s="1"/>
  <c r="BO131" i="1" s="1"/>
  <c r="BH131" i="1"/>
  <c r="BI131" i="1" s="1"/>
  <c r="BJ131" i="1" s="1"/>
  <c r="BC131" i="1"/>
  <c r="BD131" i="1" s="1"/>
  <c r="BE131" i="1" s="1"/>
  <c r="AX131" i="1"/>
  <c r="AY131" i="1" s="1"/>
  <c r="AZ131" i="1" s="1"/>
  <c r="AS131" i="1"/>
  <c r="AT131" i="1" s="1"/>
  <c r="AU131" i="1" s="1"/>
  <c r="AN131" i="1"/>
  <c r="AO131" i="1" s="1"/>
  <c r="AP131" i="1" s="1"/>
  <c r="AI131" i="1"/>
  <c r="AJ131" i="1" s="1"/>
  <c r="AK131" i="1" s="1"/>
  <c r="X131" i="1"/>
  <c r="Y131" i="1" s="1"/>
  <c r="Z131" i="1" s="1"/>
  <c r="T131" i="1"/>
  <c r="O131" i="1"/>
  <c r="J131" i="1"/>
  <c r="PZ130" i="1"/>
  <c r="PU130" i="1"/>
  <c r="PP130" i="1"/>
  <c r="PK130" i="1"/>
  <c r="PF130" i="1"/>
  <c r="PA130" i="1"/>
  <c r="OV130" i="1"/>
  <c r="OQ130" i="1"/>
  <c r="OL130" i="1"/>
  <c r="OG130" i="1"/>
  <c r="OB130" i="1"/>
  <c r="NW130" i="1"/>
  <c r="NR130" i="1"/>
  <c r="NM130" i="1"/>
  <c r="NH130" i="1"/>
  <c r="NC130" i="1"/>
  <c r="MX130" i="1"/>
  <c r="MS130" i="1"/>
  <c r="MN130" i="1"/>
  <c r="MI130" i="1"/>
  <c r="MD130" i="1"/>
  <c r="LY130" i="1"/>
  <c r="LT130" i="1"/>
  <c r="LO130" i="1"/>
  <c r="LH130" i="1"/>
  <c r="LI130" i="1" s="1"/>
  <c r="LJ130" i="1" s="1"/>
  <c r="LE130" i="1"/>
  <c r="KZ130" i="1"/>
  <c r="KS130" i="1"/>
  <c r="KT130" i="1" s="1"/>
  <c r="KU130" i="1" s="1"/>
  <c r="KP130" i="1"/>
  <c r="KK130" i="1"/>
  <c r="KF130" i="1"/>
  <c r="IZ130" i="1"/>
  <c r="JA130" i="1" s="1"/>
  <c r="JB130" i="1" s="1"/>
  <c r="IU130" i="1"/>
  <c r="IV130" i="1" s="1"/>
  <c r="IW130" i="1" s="1"/>
  <c r="IP130" i="1"/>
  <c r="IQ130" i="1" s="1"/>
  <c r="IR130" i="1" s="1"/>
  <c r="IK130" i="1"/>
  <c r="IL130" i="1" s="1"/>
  <c r="IM130" i="1" s="1"/>
  <c r="IF130" i="1"/>
  <c r="IG130" i="1" s="1"/>
  <c r="IH130" i="1" s="1"/>
  <c r="IA130" i="1"/>
  <c r="IB130" i="1" s="1"/>
  <c r="IC130" i="1" s="1"/>
  <c r="HV130" i="1"/>
  <c r="HW130" i="1" s="1"/>
  <c r="HX130" i="1" s="1"/>
  <c r="HS130" i="1"/>
  <c r="HN130" i="1"/>
  <c r="HG130" i="1"/>
  <c r="HH130" i="1" s="1"/>
  <c r="HI130" i="1" s="1"/>
  <c r="HB130" i="1"/>
  <c r="HC130" i="1" s="1"/>
  <c r="HD130" i="1" s="1"/>
  <c r="GW130" i="1"/>
  <c r="GX130" i="1" s="1"/>
  <c r="GY130" i="1" s="1"/>
  <c r="GR130" i="1"/>
  <c r="GS130" i="1" s="1"/>
  <c r="GT130" i="1" s="1"/>
  <c r="GM130" i="1"/>
  <c r="GN130" i="1" s="1"/>
  <c r="GO130" i="1" s="1"/>
  <c r="GH130" i="1"/>
  <c r="GI130" i="1" s="1"/>
  <c r="GJ130" i="1" s="1"/>
  <c r="GC130" i="1"/>
  <c r="GD130" i="1" s="1"/>
  <c r="GE130" i="1" s="1"/>
  <c r="FX130" i="1"/>
  <c r="FY130" i="1" s="1"/>
  <c r="FZ130" i="1" s="1"/>
  <c r="FS130" i="1"/>
  <c r="FT130" i="1" s="1"/>
  <c r="FU130" i="1" s="1"/>
  <c r="FN130" i="1"/>
  <c r="FO130" i="1" s="1"/>
  <c r="FP130" i="1" s="1"/>
  <c r="FI130" i="1"/>
  <c r="FJ130" i="1" s="1"/>
  <c r="FK130" i="1" s="1"/>
  <c r="FD130" i="1"/>
  <c r="FE130" i="1" s="1"/>
  <c r="FF130" i="1" s="1"/>
  <c r="EY130" i="1"/>
  <c r="EZ130" i="1" s="1"/>
  <c r="FA130" i="1" s="1"/>
  <c r="ET130" i="1"/>
  <c r="EU130" i="1" s="1"/>
  <c r="EV130" i="1" s="1"/>
  <c r="EO130" i="1"/>
  <c r="EP130" i="1" s="1"/>
  <c r="EQ130" i="1" s="1"/>
  <c r="EJ130" i="1"/>
  <c r="EK130" i="1" s="1"/>
  <c r="EL130" i="1" s="1"/>
  <c r="EE130" i="1"/>
  <c r="EF130" i="1" s="1"/>
  <c r="EG130" i="1" s="1"/>
  <c r="DZ130" i="1"/>
  <c r="EA130" i="1" s="1"/>
  <c r="EB130" i="1" s="1"/>
  <c r="DU130" i="1"/>
  <c r="DV130" i="1" s="1"/>
  <c r="DW130" i="1" s="1"/>
  <c r="DP130" i="1"/>
  <c r="DQ130" i="1" s="1"/>
  <c r="DR130" i="1" s="1"/>
  <c r="DK130" i="1"/>
  <c r="DL130" i="1" s="1"/>
  <c r="DM130" i="1" s="1"/>
  <c r="DF130" i="1"/>
  <c r="DG130" i="1" s="1"/>
  <c r="DH130" i="1" s="1"/>
  <c r="DA130" i="1"/>
  <c r="DB130" i="1" s="1"/>
  <c r="DC130" i="1" s="1"/>
  <c r="CV130" i="1"/>
  <c r="CW130" i="1" s="1"/>
  <c r="CX130" i="1" s="1"/>
  <c r="CQ130" i="1"/>
  <c r="CR130" i="1" s="1"/>
  <c r="CS130" i="1" s="1"/>
  <c r="CL130" i="1"/>
  <c r="CM130" i="1" s="1"/>
  <c r="CN130" i="1" s="1"/>
  <c r="CG130" i="1"/>
  <c r="CH130" i="1" s="1"/>
  <c r="CI130" i="1" s="1"/>
  <c r="CB130" i="1"/>
  <c r="CC130" i="1" s="1"/>
  <c r="CD130" i="1" s="1"/>
  <c r="BW130" i="1"/>
  <c r="BX130" i="1" s="1"/>
  <c r="BY130" i="1" s="1"/>
  <c r="BR130" i="1"/>
  <c r="BS130" i="1" s="1"/>
  <c r="BT130" i="1" s="1"/>
  <c r="BM130" i="1"/>
  <c r="BN130" i="1" s="1"/>
  <c r="BO130" i="1" s="1"/>
  <c r="BH130" i="1"/>
  <c r="BI130" i="1" s="1"/>
  <c r="BJ130" i="1" s="1"/>
  <c r="BC130" i="1"/>
  <c r="BD130" i="1" s="1"/>
  <c r="BE130" i="1" s="1"/>
  <c r="AX130" i="1"/>
  <c r="AY130" i="1" s="1"/>
  <c r="AZ130" i="1" s="1"/>
  <c r="AS130" i="1"/>
  <c r="AT130" i="1" s="1"/>
  <c r="AU130" i="1" s="1"/>
  <c r="AN130" i="1"/>
  <c r="AO130" i="1" s="1"/>
  <c r="AP130" i="1" s="1"/>
  <c r="AI130" i="1"/>
  <c r="AJ130" i="1" s="1"/>
  <c r="AK130" i="1" s="1"/>
  <c r="AD130" i="1"/>
  <c r="AE130" i="1" s="1"/>
  <c r="AF130" i="1" s="1"/>
  <c r="X130" i="1"/>
  <c r="Y130" i="1" s="1"/>
  <c r="Z130" i="1" s="1"/>
  <c r="T130" i="1"/>
  <c r="O130" i="1"/>
  <c r="J130" i="1"/>
  <c r="PZ129" i="1"/>
  <c r="PU129" i="1"/>
  <c r="PP129" i="1"/>
  <c r="PK129" i="1"/>
  <c r="PF129" i="1"/>
  <c r="PA129" i="1"/>
  <c r="OV129" i="1"/>
  <c r="OQ129" i="1"/>
  <c r="OL129" i="1"/>
  <c r="OG129" i="1"/>
  <c r="OB129" i="1"/>
  <c r="NW129" i="1"/>
  <c r="NR129" i="1"/>
  <c r="NM129" i="1"/>
  <c r="NH129" i="1"/>
  <c r="NC129" i="1"/>
  <c r="MX129" i="1"/>
  <c r="MS129" i="1"/>
  <c r="MN129" i="1"/>
  <c r="MI129" i="1"/>
  <c r="MD129" i="1"/>
  <c r="LY129" i="1"/>
  <c r="LT129" i="1"/>
  <c r="LO129" i="1"/>
  <c r="LJ129" i="1"/>
  <c r="LE129" i="1"/>
  <c r="KZ129" i="1"/>
  <c r="KU129" i="1"/>
  <c r="KP129" i="1"/>
  <c r="KK129" i="1"/>
  <c r="KF129" i="1"/>
  <c r="IZ129" i="1"/>
  <c r="JA129" i="1" s="1"/>
  <c r="JB129" i="1" s="1"/>
  <c r="IU129" i="1"/>
  <c r="IV129" i="1" s="1"/>
  <c r="IW129" i="1" s="1"/>
  <c r="IP129" i="1"/>
  <c r="IQ129" i="1" s="1"/>
  <c r="IR129" i="1" s="1"/>
  <c r="IK129" i="1"/>
  <c r="IL129" i="1" s="1"/>
  <c r="IM129" i="1" s="1"/>
  <c r="IF129" i="1"/>
  <c r="IG129" i="1" s="1"/>
  <c r="IH129" i="1" s="1"/>
  <c r="IA129" i="1"/>
  <c r="IB129" i="1" s="1"/>
  <c r="IC129" i="1" s="1"/>
  <c r="HV129" i="1"/>
  <c r="HW129" i="1" s="1"/>
  <c r="HX129" i="1" s="1"/>
  <c r="HS129" i="1"/>
  <c r="HN129" i="1"/>
  <c r="HG129" i="1"/>
  <c r="HH129" i="1" s="1"/>
  <c r="HI129" i="1" s="1"/>
  <c r="HB129" i="1"/>
  <c r="HC129" i="1" s="1"/>
  <c r="HD129" i="1" s="1"/>
  <c r="GW129" i="1"/>
  <c r="GX129" i="1" s="1"/>
  <c r="GY129" i="1" s="1"/>
  <c r="GR129" i="1"/>
  <c r="GS129" i="1" s="1"/>
  <c r="GT129" i="1" s="1"/>
  <c r="GM129" i="1"/>
  <c r="GN129" i="1" s="1"/>
  <c r="GO129" i="1" s="1"/>
  <c r="GH129" i="1"/>
  <c r="GI129" i="1" s="1"/>
  <c r="GJ129" i="1" s="1"/>
  <c r="GC129" i="1"/>
  <c r="GD129" i="1" s="1"/>
  <c r="GE129" i="1" s="1"/>
  <c r="FX129" i="1"/>
  <c r="FY129" i="1" s="1"/>
  <c r="FZ129" i="1" s="1"/>
  <c r="FS129" i="1"/>
  <c r="FT129" i="1" s="1"/>
  <c r="FU129" i="1" s="1"/>
  <c r="FN129" i="1"/>
  <c r="FO129" i="1" s="1"/>
  <c r="FP129" i="1" s="1"/>
  <c r="FI129" i="1"/>
  <c r="FJ129" i="1" s="1"/>
  <c r="FK129" i="1" s="1"/>
  <c r="FD129" i="1"/>
  <c r="FE129" i="1" s="1"/>
  <c r="FF129" i="1" s="1"/>
  <c r="EY129" i="1"/>
  <c r="EZ129" i="1" s="1"/>
  <c r="FA129" i="1" s="1"/>
  <c r="ET129" i="1"/>
  <c r="EU129" i="1" s="1"/>
  <c r="EV129" i="1" s="1"/>
  <c r="EO129" i="1"/>
  <c r="EP129" i="1" s="1"/>
  <c r="EQ129" i="1" s="1"/>
  <c r="EJ129" i="1"/>
  <c r="EK129" i="1" s="1"/>
  <c r="EL129" i="1" s="1"/>
  <c r="EE129" i="1"/>
  <c r="EF129" i="1" s="1"/>
  <c r="EG129" i="1" s="1"/>
  <c r="DZ129" i="1"/>
  <c r="EA129" i="1" s="1"/>
  <c r="EB129" i="1" s="1"/>
  <c r="DU129" i="1"/>
  <c r="DV129" i="1" s="1"/>
  <c r="DW129" i="1" s="1"/>
  <c r="DP129" i="1"/>
  <c r="DQ129" i="1" s="1"/>
  <c r="DR129" i="1" s="1"/>
  <c r="DK129" i="1"/>
  <c r="DL129" i="1" s="1"/>
  <c r="DM129" i="1" s="1"/>
  <c r="DF129" i="1"/>
  <c r="DG129" i="1" s="1"/>
  <c r="DH129" i="1" s="1"/>
  <c r="DA129" i="1"/>
  <c r="DB129" i="1" s="1"/>
  <c r="DC129" i="1" s="1"/>
  <c r="CV129" i="1"/>
  <c r="CW129" i="1" s="1"/>
  <c r="CX129" i="1" s="1"/>
  <c r="CQ129" i="1"/>
  <c r="CR129" i="1" s="1"/>
  <c r="CS129" i="1" s="1"/>
  <c r="CL129" i="1"/>
  <c r="CM129" i="1" s="1"/>
  <c r="CN129" i="1" s="1"/>
  <c r="CG129" i="1"/>
  <c r="CH129" i="1" s="1"/>
  <c r="CI129" i="1" s="1"/>
  <c r="CB129" i="1"/>
  <c r="CC129" i="1" s="1"/>
  <c r="CD129" i="1" s="1"/>
  <c r="BW129" i="1"/>
  <c r="BX129" i="1" s="1"/>
  <c r="BY129" i="1" s="1"/>
  <c r="BR129" i="1"/>
  <c r="BS129" i="1" s="1"/>
  <c r="BT129" i="1" s="1"/>
  <c r="BM129" i="1"/>
  <c r="BN129" i="1" s="1"/>
  <c r="BO129" i="1" s="1"/>
  <c r="BH129" i="1"/>
  <c r="BI129" i="1" s="1"/>
  <c r="BJ129" i="1" s="1"/>
  <c r="BC129" i="1"/>
  <c r="BD129" i="1" s="1"/>
  <c r="BE129" i="1" s="1"/>
  <c r="AX129" i="1"/>
  <c r="AY129" i="1" s="1"/>
  <c r="AZ129" i="1" s="1"/>
  <c r="AS129" i="1"/>
  <c r="AT129" i="1" s="1"/>
  <c r="AU129" i="1" s="1"/>
  <c r="AN129" i="1"/>
  <c r="AO129" i="1" s="1"/>
  <c r="AP129" i="1" s="1"/>
  <c r="AI129" i="1"/>
  <c r="AJ129" i="1" s="1"/>
  <c r="AK129" i="1" s="1"/>
  <c r="AD129" i="1"/>
  <c r="AE129" i="1" s="1"/>
  <c r="AF129" i="1" s="1"/>
  <c r="X129" i="1"/>
  <c r="Y129" i="1" s="1"/>
  <c r="Z129" i="1" s="1"/>
  <c r="T129" i="1"/>
  <c r="O129" i="1"/>
  <c r="J129" i="1"/>
  <c r="PZ128" i="1"/>
  <c r="PU128" i="1"/>
  <c r="PP128" i="1"/>
  <c r="PK128" i="1"/>
  <c r="PF128" i="1"/>
  <c r="PA128" i="1"/>
  <c r="OV128" i="1"/>
  <c r="OQ128" i="1"/>
  <c r="OL128" i="1"/>
  <c r="OG128" i="1"/>
  <c r="OB128" i="1"/>
  <c r="NW128" i="1"/>
  <c r="NR128" i="1"/>
  <c r="NM128" i="1"/>
  <c r="NH128" i="1"/>
  <c r="NC128" i="1"/>
  <c r="MX128" i="1"/>
  <c r="MS128" i="1"/>
  <c r="MN128" i="1"/>
  <c r="MI128" i="1"/>
  <c r="MD128" i="1"/>
  <c r="LY128" i="1"/>
  <c r="LT128" i="1"/>
  <c r="LO128" i="1"/>
  <c r="LJ128" i="1"/>
  <c r="LE128" i="1"/>
  <c r="KZ128" i="1"/>
  <c r="KS128" i="1"/>
  <c r="KT128" i="1" s="1"/>
  <c r="KU128" i="1" s="1"/>
  <c r="KP128" i="1"/>
  <c r="KK128" i="1"/>
  <c r="KD128" i="1"/>
  <c r="KE128" i="1" s="1"/>
  <c r="KF128" i="1" s="1"/>
  <c r="JB128" i="1"/>
  <c r="IU128" i="1"/>
  <c r="IV128" i="1" s="1"/>
  <c r="IW128" i="1" s="1"/>
  <c r="IR128" i="1"/>
  <c r="IM128" i="1"/>
  <c r="IH128" i="1"/>
  <c r="IC128" i="1"/>
  <c r="HX128" i="1"/>
  <c r="HS128" i="1"/>
  <c r="HN128" i="1"/>
  <c r="HG128" i="1"/>
  <c r="HH128" i="1" s="1"/>
  <c r="HI128" i="1" s="1"/>
  <c r="HB128" i="1"/>
  <c r="HC128" i="1" s="1"/>
  <c r="HD128" i="1" s="1"/>
  <c r="GW128" i="1"/>
  <c r="GX128" i="1" s="1"/>
  <c r="GY128" i="1" s="1"/>
  <c r="GR128" i="1"/>
  <c r="GS128" i="1" s="1"/>
  <c r="GT128" i="1" s="1"/>
  <c r="GM128" i="1"/>
  <c r="GN128" i="1" s="1"/>
  <c r="GO128" i="1" s="1"/>
  <c r="GH128" i="1"/>
  <c r="GI128" i="1" s="1"/>
  <c r="GJ128" i="1" s="1"/>
  <c r="GC128" i="1"/>
  <c r="GD128" i="1" s="1"/>
  <c r="GE128" i="1" s="1"/>
  <c r="FX128" i="1"/>
  <c r="FY128" i="1" s="1"/>
  <c r="FZ128" i="1" s="1"/>
  <c r="FS128" i="1"/>
  <c r="FT128" i="1" s="1"/>
  <c r="FU128" i="1" s="1"/>
  <c r="FN128" i="1"/>
  <c r="FO128" i="1" s="1"/>
  <c r="FP128" i="1" s="1"/>
  <c r="FI128" i="1"/>
  <c r="FJ128" i="1" s="1"/>
  <c r="FK128" i="1" s="1"/>
  <c r="FD128" i="1"/>
  <c r="FE128" i="1" s="1"/>
  <c r="FF128" i="1" s="1"/>
  <c r="EY128" i="1"/>
  <c r="EZ128" i="1" s="1"/>
  <c r="FA128" i="1" s="1"/>
  <c r="ET128" i="1"/>
  <c r="EU128" i="1" s="1"/>
  <c r="EV128" i="1" s="1"/>
  <c r="EO128" i="1"/>
  <c r="EP128" i="1" s="1"/>
  <c r="EQ128" i="1" s="1"/>
  <c r="EJ128" i="1"/>
  <c r="EK128" i="1" s="1"/>
  <c r="EL128" i="1" s="1"/>
  <c r="EE128" i="1"/>
  <c r="EF128" i="1" s="1"/>
  <c r="EG128" i="1" s="1"/>
  <c r="DZ128" i="1"/>
  <c r="EA128" i="1" s="1"/>
  <c r="EB128" i="1" s="1"/>
  <c r="DU128" i="1"/>
  <c r="DV128" i="1" s="1"/>
  <c r="DW128" i="1" s="1"/>
  <c r="DP128" i="1"/>
  <c r="DQ128" i="1" s="1"/>
  <c r="DR128" i="1" s="1"/>
  <c r="DK128" i="1"/>
  <c r="DL128" i="1" s="1"/>
  <c r="DM128" i="1" s="1"/>
  <c r="DF128" i="1"/>
  <c r="DG128" i="1" s="1"/>
  <c r="DH128" i="1" s="1"/>
  <c r="DA128" i="1"/>
  <c r="DB128" i="1" s="1"/>
  <c r="DC128" i="1" s="1"/>
  <c r="CV128" i="1"/>
  <c r="CW128" i="1" s="1"/>
  <c r="CX128" i="1" s="1"/>
  <c r="CQ128" i="1"/>
  <c r="CR128" i="1" s="1"/>
  <c r="CS128" i="1" s="1"/>
  <c r="CL128" i="1"/>
  <c r="CM128" i="1" s="1"/>
  <c r="CN128" i="1" s="1"/>
  <c r="CG128" i="1"/>
  <c r="CH128" i="1" s="1"/>
  <c r="CI128" i="1" s="1"/>
  <c r="CB128" i="1"/>
  <c r="CC128" i="1" s="1"/>
  <c r="CD128" i="1" s="1"/>
  <c r="BW128" i="1"/>
  <c r="BX128" i="1" s="1"/>
  <c r="BY128" i="1" s="1"/>
  <c r="BR128" i="1"/>
  <c r="BS128" i="1" s="1"/>
  <c r="BT128" i="1" s="1"/>
  <c r="BM128" i="1"/>
  <c r="BN128" i="1" s="1"/>
  <c r="BO128" i="1" s="1"/>
  <c r="BH128" i="1"/>
  <c r="BI128" i="1" s="1"/>
  <c r="BJ128" i="1" s="1"/>
  <c r="BC128" i="1"/>
  <c r="BD128" i="1" s="1"/>
  <c r="BE128" i="1" s="1"/>
  <c r="AX128" i="1"/>
  <c r="AY128" i="1" s="1"/>
  <c r="AZ128" i="1" s="1"/>
  <c r="AS128" i="1"/>
  <c r="AT128" i="1" s="1"/>
  <c r="AU128" i="1" s="1"/>
  <c r="AN128" i="1"/>
  <c r="AO128" i="1" s="1"/>
  <c r="AP128" i="1" s="1"/>
  <c r="AI128" i="1"/>
  <c r="AJ128" i="1" s="1"/>
  <c r="AK128" i="1" s="1"/>
  <c r="AD128" i="1"/>
  <c r="AE128" i="1" s="1"/>
  <c r="AF128" i="1" s="1"/>
  <c r="X128" i="1"/>
  <c r="Y128" i="1" s="1"/>
  <c r="Z128" i="1" s="1"/>
  <c r="T128" i="1"/>
  <c r="O128" i="1"/>
  <c r="J128" i="1"/>
  <c r="PZ127" i="1"/>
  <c r="PU127" i="1"/>
  <c r="PP127" i="1"/>
  <c r="PK127" i="1"/>
  <c r="PF127" i="1"/>
  <c r="PA127" i="1"/>
  <c r="OV127" i="1"/>
  <c r="OQ127" i="1"/>
  <c r="OL127" i="1"/>
  <c r="OG127" i="1"/>
  <c r="OB127" i="1"/>
  <c r="NW127" i="1"/>
  <c r="NR127" i="1"/>
  <c r="NM127" i="1"/>
  <c r="NH127" i="1"/>
  <c r="NC127" i="1"/>
  <c r="MX127" i="1"/>
  <c r="MS127" i="1"/>
  <c r="MN127" i="1"/>
  <c r="MI127" i="1"/>
  <c r="MD127" i="1"/>
  <c r="LY127" i="1"/>
  <c r="LT127" i="1"/>
  <c r="LO127" i="1"/>
  <c r="LJ127" i="1"/>
  <c r="LE127" i="1"/>
  <c r="KZ127" i="1"/>
  <c r="KU127" i="1"/>
  <c r="KP127" i="1"/>
  <c r="KK127" i="1"/>
  <c r="KF127" i="1"/>
  <c r="JB127" i="1"/>
  <c r="IW127" i="1"/>
  <c r="IR127" i="1"/>
  <c r="IM127" i="1"/>
  <c r="IH127" i="1"/>
  <c r="IC127" i="1"/>
  <c r="HX127" i="1"/>
  <c r="HS127" i="1"/>
  <c r="HN127" i="1"/>
  <c r="HG127" i="1"/>
  <c r="HH127" i="1" s="1"/>
  <c r="HI127" i="1" s="1"/>
  <c r="HB127" i="1"/>
  <c r="HC127" i="1" s="1"/>
  <c r="HD127" i="1" s="1"/>
  <c r="GW127" i="1"/>
  <c r="GX127" i="1" s="1"/>
  <c r="GY127" i="1" s="1"/>
  <c r="GR127" i="1"/>
  <c r="GS127" i="1" s="1"/>
  <c r="GT127" i="1" s="1"/>
  <c r="GM127" i="1"/>
  <c r="GN127" i="1" s="1"/>
  <c r="GO127" i="1" s="1"/>
  <c r="GH127" i="1"/>
  <c r="GI127" i="1" s="1"/>
  <c r="GJ127" i="1" s="1"/>
  <c r="GC127" i="1"/>
  <c r="GD127" i="1" s="1"/>
  <c r="GE127" i="1" s="1"/>
  <c r="FX127" i="1"/>
  <c r="FY127" i="1" s="1"/>
  <c r="FZ127" i="1" s="1"/>
  <c r="FS127" i="1"/>
  <c r="FT127" i="1" s="1"/>
  <c r="FU127" i="1" s="1"/>
  <c r="FN127" i="1"/>
  <c r="FO127" i="1" s="1"/>
  <c r="FP127" i="1" s="1"/>
  <c r="FI127" i="1"/>
  <c r="FJ127" i="1" s="1"/>
  <c r="FK127" i="1" s="1"/>
  <c r="FD127" i="1"/>
  <c r="FE127" i="1" s="1"/>
  <c r="FF127" i="1" s="1"/>
  <c r="EY127" i="1"/>
  <c r="EZ127" i="1" s="1"/>
  <c r="FA127" i="1" s="1"/>
  <c r="ET127" i="1"/>
  <c r="EU127" i="1" s="1"/>
  <c r="EV127" i="1" s="1"/>
  <c r="EO127" i="1"/>
  <c r="EP127" i="1" s="1"/>
  <c r="EQ127" i="1" s="1"/>
  <c r="EJ127" i="1"/>
  <c r="EK127" i="1" s="1"/>
  <c r="EL127" i="1" s="1"/>
  <c r="EE127" i="1"/>
  <c r="EF127" i="1" s="1"/>
  <c r="EG127" i="1" s="1"/>
  <c r="DZ127" i="1"/>
  <c r="EA127" i="1" s="1"/>
  <c r="EB127" i="1" s="1"/>
  <c r="DU127" i="1"/>
  <c r="DV127" i="1" s="1"/>
  <c r="DW127" i="1" s="1"/>
  <c r="DP127" i="1"/>
  <c r="DQ127" i="1" s="1"/>
  <c r="DR127" i="1" s="1"/>
  <c r="DK127" i="1"/>
  <c r="DL127" i="1" s="1"/>
  <c r="DM127" i="1" s="1"/>
  <c r="DF127" i="1"/>
  <c r="DG127" i="1" s="1"/>
  <c r="DH127" i="1" s="1"/>
  <c r="DA127" i="1"/>
  <c r="DB127" i="1" s="1"/>
  <c r="DC127" i="1" s="1"/>
  <c r="CV127" i="1"/>
  <c r="CW127" i="1" s="1"/>
  <c r="CX127" i="1" s="1"/>
  <c r="CQ127" i="1"/>
  <c r="CR127" i="1" s="1"/>
  <c r="CS127" i="1" s="1"/>
  <c r="CL127" i="1"/>
  <c r="CM127" i="1" s="1"/>
  <c r="CN127" i="1" s="1"/>
  <c r="CG127" i="1"/>
  <c r="CH127" i="1" s="1"/>
  <c r="CI127" i="1" s="1"/>
  <c r="CB127" i="1"/>
  <c r="CC127" i="1" s="1"/>
  <c r="CD127" i="1" s="1"/>
  <c r="BW127" i="1"/>
  <c r="BX127" i="1" s="1"/>
  <c r="BY127" i="1" s="1"/>
  <c r="BR127" i="1"/>
  <c r="BS127" i="1" s="1"/>
  <c r="BT127" i="1" s="1"/>
  <c r="BM127" i="1"/>
  <c r="BN127" i="1" s="1"/>
  <c r="BO127" i="1" s="1"/>
  <c r="BH127" i="1"/>
  <c r="BI127" i="1" s="1"/>
  <c r="BJ127" i="1" s="1"/>
  <c r="BC127" i="1"/>
  <c r="BD127" i="1" s="1"/>
  <c r="BE127" i="1" s="1"/>
  <c r="AX127" i="1"/>
  <c r="AY127" i="1" s="1"/>
  <c r="AZ127" i="1" s="1"/>
  <c r="AS127" i="1"/>
  <c r="AT127" i="1" s="1"/>
  <c r="AU127" i="1" s="1"/>
  <c r="AN127" i="1"/>
  <c r="AO127" i="1" s="1"/>
  <c r="AP127" i="1" s="1"/>
  <c r="AI127" i="1"/>
  <c r="AJ127" i="1" s="1"/>
  <c r="AK127" i="1" s="1"/>
  <c r="AD127" i="1"/>
  <c r="AE127" i="1" s="1"/>
  <c r="AF127" i="1" s="1"/>
  <c r="X127" i="1"/>
  <c r="Y127" i="1" s="1"/>
  <c r="Z127" i="1" s="1"/>
  <c r="R127" i="1"/>
  <c r="S127" i="1" s="1"/>
  <c r="T127" i="1" s="1"/>
  <c r="O127" i="1"/>
  <c r="J127" i="1"/>
  <c r="PZ126" i="1"/>
  <c r="PU126" i="1"/>
  <c r="PP126" i="1"/>
  <c r="PK126" i="1"/>
  <c r="PF126" i="1"/>
  <c r="PA126" i="1"/>
  <c r="OV126" i="1"/>
  <c r="OQ126" i="1"/>
  <c r="OL126" i="1"/>
  <c r="OG126" i="1"/>
  <c r="OB126" i="1"/>
  <c r="NW126" i="1"/>
  <c r="NR126" i="1"/>
  <c r="NM126" i="1"/>
  <c r="NH126" i="1"/>
  <c r="NC126" i="1"/>
  <c r="MX126" i="1"/>
  <c r="MS126" i="1"/>
  <c r="MN126" i="1"/>
  <c r="MI126" i="1"/>
  <c r="MD126" i="1"/>
  <c r="LY126" i="1"/>
  <c r="LT126" i="1"/>
  <c r="LO126" i="1"/>
  <c r="LJ126" i="1"/>
  <c r="LE126" i="1"/>
  <c r="KX126" i="1"/>
  <c r="KY126" i="1" s="1"/>
  <c r="KZ126" i="1" s="1"/>
  <c r="KU126" i="1"/>
  <c r="KP126" i="1"/>
  <c r="KK126" i="1"/>
  <c r="KF126" i="1"/>
  <c r="IZ126" i="1"/>
  <c r="JA126" i="1" s="1"/>
  <c r="JB126" i="1" s="1"/>
  <c r="IU126" i="1"/>
  <c r="IV126" i="1" s="1"/>
  <c r="IW126" i="1" s="1"/>
  <c r="IP126" i="1"/>
  <c r="IQ126" i="1" s="1"/>
  <c r="IR126" i="1" s="1"/>
  <c r="IK126" i="1"/>
  <c r="IL126" i="1" s="1"/>
  <c r="IM126" i="1" s="1"/>
  <c r="IF126" i="1"/>
  <c r="IG126" i="1" s="1"/>
  <c r="IH126" i="1" s="1"/>
  <c r="IA126" i="1"/>
  <c r="IB126" i="1" s="1"/>
  <c r="IC126" i="1" s="1"/>
  <c r="HV126" i="1"/>
  <c r="HW126" i="1" s="1"/>
  <c r="HX126" i="1" s="1"/>
  <c r="HS126" i="1"/>
  <c r="HN126" i="1"/>
  <c r="HG126" i="1"/>
  <c r="HH126" i="1" s="1"/>
  <c r="HI126" i="1" s="1"/>
  <c r="HB126" i="1"/>
  <c r="HC126" i="1" s="1"/>
  <c r="HD126" i="1" s="1"/>
  <c r="GW126" i="1"/>
  <c r="GX126" i="1" s="1"/>
  <c r="GY126" i="1" s="1"/>
  <c r="GR126" i="1"/>
  <c r="GS126" i="1" s="1"/>
  <c r="GT126" i="1" s="1"/>
  <c r="GM126" i="1"/>
  <c r="GN126" i="1" s="1"/>
  <c r="GO126" i="1" s="1"/>
  <c r="GH126" i="1"/>
  <c r="GI126" i="1" s="1"/>
  <c r="GJ126" i="1" s="1"/>
  <c r="GC126" i="1"/>
  <c r="GD126" i="1" s="1"/>
  <c r="GE126" i="1" s="1"/>
  <c r="FX126" i="1"/>
  <c r="FY126" i="1" s="1"/>
  <c r="FZ126" i="1" s="1"/>
  <c r="FS126" i="1"/>
  <c r="FT126" i="1" s="1"/>
  <c r="FU126" i="1" s="1"/>
  <c r="FN126" i="1"/>
  <c r="FO126" i="1" s="1"/>
  <c r="FP126" i="1" s="1"/>
  <c r="FI126" i="1"/>
  <c r="FJ126" i="1" s="1"/>
  <c r="FK126" i="1" s="1"/>
  <c r="FD126" i="1"/>
  <c r="FE126" i="1" s="1"/>
  <c r="FF126" i="1" s="1"/>
  <c r="EY126" i="1"/>
  <c r="EZ126" i="1" s="1"/>
  <c r="FA126" i="1" s="1"/>
  <c r="ET126" i="1"/>
  <c r="EU126" i="1" s="1"/>
  <c r="EV126" i="1" s="1"/>
  <c r="EO126" i="1"/>
  <c r="EP126" i="1" s="1"/>
  <c r="EQ126" i="1" s="1"/>
  <c r="EJ126" i="1"/>
  <c r="EK126" i="1" s="1"/>
  <c r="EL126" i="1" s="1"/>
  <c r="EE126" i="1"/>
  <c r="EF126" i="1" s="1"/>
  <c r="EG126" i="1" s="1"/>
  <c r="DZ126" i="1"/>
  <c r="EA126" i="1" s="1"/>
  <c r="EB126" i="1" s="1"/>
  <c r="DU126" i="1"/>
  <c r="DV126" i="1" s="1"/>
  <c r="DW126" i="1" s="1"/>
  <c r="DP126" i="1"/>
  <c r="DQ126" i="1" s="1"/>
  <c r="DR126" i="1" s="1"/>
  <c r="DK126" i="1"/>
  <c r="DL126" i="1" s="1"/>
  <c r="DM126" i="1" s="1"/>
  <c r="DF126" i="1"/>
  <c r="DG126" i="1" s="1"/>
  <c r="DH126" i="1" s="1"/>
  <c r="DA126" i="1"/>
  <c r="DB126" i="1" s="1"/>
  <c r="DC126" i="1" s="1"/>
  <c r="CV126" i="1"/>
  <c r="CW126" i="1" s="1"/>
  <c r="CX126" i="1" s="1"/>
  <c r="CQ126" i="1"/>
  <c r="CR126" i="1" s="1"/>
  <c r="CS126" i="1" s="1"/>
  <c r="CL126" i="1"/>
  <c r="CM126" i="1" s="1"/>
  <c r="CN126" i="1" s="1"/>
  <c r="CG126" i="1"/>
  <c r="CH126" i="1" s="1"/>
  <c r="CI126" i="1" s="1"/>
  <c r="CB126" i="1"/>
  <c r="CC126" i="1" s="1"/>
  <c r="CD126" i="1" s="1"/>
  <c r="BW126" i="1"/>
  <c r="BX126" i="1" s="1"/>
  <c r="BY126" i="1" s="1"/>
  <c r="BR126" i="1"/>
  <c r="BS126" i="1" s="1"/>
  <c r="BT126" i="1" s="1"/>
  <c r="BM126" i="1"/>
  <c r="BN126" i="1" s="1"/>
  <c r="BO126" i="1" s="1"/>
  <c r="BH126" i="1"/>
  <c r="BI126" i="1" s="1"/>
  <c r="BJ126" i="1" s="1"/>
  <c r="BC126" i="1"/>
  <c r="BD126" i="1" s="1"/>
  <c r="BE126" i="1" s="1"/>
  <c r="AX126" i="1"/>
  <c r="AY126" i="1" s="1"/>
  <c r="AZ126" i="1" s="1"/>
  <c r="AS126" i="1"/>
  <c r="AT126" i="1" s="1"/>
  <c r="AU126" i="1" s="1"/>
  <c r="AN126" i="1"/>
  <c r="AO126" i="1" s="1"/>
  <c r="AP126" i="1" s="1"/>
  <c r="AI126" i="1"/>
  <c r="AJ126" i="1" s="1"/>
  <c r="AK126" i="1" s="1"/>
  <c r="AD126" i="1"/>
  <c r="AE126" i="1" s="1"/>
  <c r="AF126" i="1" s="1"/>
  <c r="X126" i="1"/>
  <c r="Y126" i="1" s="1"/>
  <c r="Z126" i="1" s="1"/>
  <c r="T126" i="1"/>
  <c r="O126" i="1"/>
  <c r="J126" i="1"/>
  <c r="PZ125" i="1"/>
  <c r="PU125" i="1"/>
  <c r="PP125" i="1"/>
  <c r="PK125" i="1"/>
  <c r="PF125" i="1"/>
  <c r="PA125" i="1"/>
  <c r="OV125" i="1"/>
  <c r="OQ125" i="1"/>
  <c r="OL125" i="1"/>
  <c r="OG125" i="1"/>
  <c r="OB125" i="1"/>
  <c r="NW125" i="1"/>
  <c r="NR125" i="1"/>
  <c r="NM125" i="1"/>
  <c r="NH125" i="1"/>
  <c r="NC125" i="1"/>
  <c r="MX125" i="1"/>
  <c r="MS125" i="1"/>
  <c r="MN125" i="1"/>
  <c r="MI125" i="1"/>
  <c r="MD125" i="1"/>
  <c r="LY125" i="1"/>
  <c r="LT125" i="1"/>
  <c r="LO125" i="1"/>
  <c r="LJ125" i="1"/>
  <c r="LE125" i="1"/>
  <c r="KX125" i="1"/>
  <c r="KY125" i="1" s="1"/>
  <c r="KZ125" i="1" s="1"/>
  <c r="KU125" i="1"/>
  <c r="KP125" i="1"/>
  <c r="KK125" i="1"/>
  <c r="KF125" i="1"/>
  <c r="IZ125" i="1"/>
  <c r="JA125" i="1" s="1"/>
  <c r="JB125" i="1" s="1"/>
  <c r="IU125" i="1"/>
  <c r="IV125" i="1" s="1"/>
  <c r="IW125" i="1" s="1"/>
  <c r="IP125" i="1"/>
  <c r="IQ125" i="1" s="1"/>
  <c r="IR125" i="1" s="1"/>
  <c r="IK125" i="1"/>
  <c r="IL125" i="1" s="1"/>
  <c r="IM125" i="1" s="1"/>
  <c r="IF125" i="1"/>
  <c r="IG125" i="1" s="1"/>
  <c r="IH125" i="1" s="1"/>
  <c r="IA125" i="1"/>
  <c r="IB125" i="1" s="1"/>
  <c r="IC125" i="1" s="1"/>
  <c r="HV125" i="1"/>
  <c r="HW125" i="1" s="1"/>
  <c r="HX125" i="1" s="1"/>
  <c r="HQ125" i="1"/>
  <c r="HR125" i="1" s="1"/>
  <c r="HS125" i="1" s="1"/>
  <c r="HL125" i="1"/>
  <c r="HM125" i="1" s="1"/>
  <c r="HN125" i="1" s="1"/>
  <c r="HG125" i="1"/>
  <c r="HH125" i="1" s="1"/>
  <c r="HI125" i="1" s="1"/>
  <c r="HB125" i="1"/>
  <c r="HC125" i="1" s="1"/>
  <c r="HD125" i="1" s="1"/>
  <c r="GW125" i="1"/>
  <c r="GX125" i="1" s="1"/>
  <c r="GY125" i="1" s="1"/>
  <c r="GR125" i="1"/>
  <c r="GS125" i="1" s="1"/>
  <c r="GT125" i="1" s="1"/>
  <c r="GM125" i="1"/>
  <c r="GN125" i="1" s="1"/>
  <c r="GO125" i="1" s="1"/>
  <c r="GH125" i="1"/>
  <c r="GI125" i="1" s="1"/>
  <c r="GJ125" i="1" s="1"/>
  <c r="GC125" i="1"/>
  <c r="GD125" i="1" s="1"/>
  <c r="GE125" i="1" s="1"/>
  <c r="FX125" i="1"/>
  <c r="FY125" i="1" s="1"/>
  <c r="FZ125" i="1" s="1"/>
  <c r="FS125" i="1"/>
  <c r="FT125" i="1" s="1"/>
  <c r="FU125" i="1" s="1"/>
  <c r="FN125" i="1"/>
  <c r="FO125" i="1" s="1"/>
  <c r="FP125" i="1" s="1"/>
  <c r="FI125" i="1"/>
  <c r="FJ125" i="1" s="1"/>
  <c r="FK125" i="1" s="1"/>
  <c r="FD125" i="1"/>
  <c r="FE125" i="1" s="1"/>
  <c r="FF125" i="1" s="1"/>
  <c r="EY125" i="1"/>
  <c r="EZ125" i="1" s="1"/>
  <c r="FA125" i="1" s="1"/>
  <c r="ET125" i="1"/>
  <c r="EU125" i="1" s="1"/>
  <c r="EV125" i="1" s="1"/>
  <c r="EO125" i="1"/>
  <c r="EP125" i="1" s="1"/>
  <c r="EQ125" i="1" s="1"/>
  <c r="EJ125" i="1"/>
  <c r="EK125" i="1" s="1"/>
  <c r="EL125" i="1" s="1"/>
  <c r="EE125" i="1"/>
  <c r="EF125" i="1" s="1"/>
  <c r="EG125" i="1" s="1"/>
  <c r="DZ125" i="1"/>
  <c r="EA125" i="1" s="1"/>
  <c r="EB125" i="1" s="1"/>
  <c r="DU125" i="1"/>
  <c r="DV125" i="1" s="1"/>
  <c r="DW125" i="1" s="1"/>
  <c r="DP125" i="1"/>
  <c r="DQ125" i="1" s="1"/>
  <c r="DR125" i="1" s="1"/>
  <c r="DK125" i="1"/>
  <c r="DL125" i="1" s="1"/>
  <c r="DM125" i="1" s="1"/>
  <c r="DF125" i="1"/>
  <c r="DG125" i="1" s="1"/>
  <c r="DH125" i="1" s="1"/>
  <c r="DA125" i="1"/>
  <c r="DB125" i="1" s="1"/>
  <c r="DC125" i="1" s="1"/>
  <c r="CV125" i="1"/>
  <c r="CW125" i="1" s="1"/>
  <c r="CX125" i="1" s="1"/>
  <c r="CQ125" i="1"/>
  <c r="CR125" i="1" s="1"/>
  <c r="CS125" i="1" s="1"/>
  <c r="CL125" i="1"/>
  <c r="CM125" i="1" s="1"/>
  <c r="CN125" i="1" s="1"/>
  <c r="CG125" i="1"/>
  <c r="CH125" i="1" s="1"/>
  <c r="CI125" i="1" s="1"/>
  <c r="CB125" i="1"/>
  <c r="CC125" i="1" s="1"/>
  <c r="CD125" i="1" s="1"/>
  <c r="BW125" i="1"/>
  <c r="BX125" i="1" s="1"/>
  <c r="BY125" i="1" s="1"/>
  <c r="BR125" i="1"/>
  <c r="BS125" i="1" s="1"/>
  <c r="BT125" i="1" s="1"/>
  <c r="BM125" i="1"/>
  <c r="BN125" i="1" s="1"/>
  <c r="BO125" i="1" s="1"/>
  <c r="BH125" i="1"/>
  <c r="BI125" i="1" s="1"/>
  <c r="BJ125" i="1" s="1"/>
  <c r="BC125" i="1"/>
  <c r="BD125" i="1" s="1"/>
  <c r="BE125" i="1" s="1"/>
  <c r="AX125" i="1"/>
  <c r="AY125" i="1" s="1"/>
  <c r="AZ125" i="1" s="1"/>
  <c r="AS125" i="1"/>
  <c r="AT125" i="1" s="1"/>
  <c r="AU125" i="1" s="1"/>
  <c r="AN125" i="1"/>
  <c r="AO125" i="1" s="1"/>
  <c r="AP125" i="1" s="1"/>
  <c r="AI125" i="1"/>
  <c r="AJ125" i="1" s="1"/>
  <c r="AK125" i="1" s="1"/>
  <c r="AD125" i="1"/>
  <c r="AE125" i="1" s="1"/>
  <c r="AF125" i="1" s="1"/>
  <c r="X125" i="1"/>
  <c r="Y125" i="1" s="1"/>
  <c r="Z125" i="1" s="1"/>
  <c r="T125" i="1"/>
  <c r="O125" i="1"/>
  <c r="J125" i="1"/>
  <c r="PZ124" i="1"/>
  <c r="PU124" i="1"/>
  <c r="PP124" i="1"/>
  <c r="PK124" i="1"/>
  <c r="PF124" i="1"/>
  <c r="PA124" i="1"/>
  <c r="OV124" i="1"/>
  <c r="OQ124" i="1"/>
  <c r="OL124" i="1"/>
  <c r="OG124" i="1"/>
  <c r="OB124" i="1"/>
  <c r="NU124" i="1"/>
  <c r="NV124" i="1" s="1"/>
  <c r="NW124" i="1" s="1"/>
  <c r="NR124" i="1"/>
  <c r="NK124" i="1"/>
  <c r="NL124" i="1" s="1"/>
  <c r="NM124" i="1" s="1"/>
  <c r="NF124" i="1"/>
  <c r="NG124" i="1" s="1"/>
  <c r="NH124" i="1" s="1"/>
  <c r="NA124" i="1"/>
  <c r="NB124" i="1" s="1"/>
  <c r="NC124" i="1" s="1"/>
  <c r="MX124" i="1"/>
  <c r="MS124" i="1"/>
  <c r="MN124" i="1"/>
  <c r="MI124" i="1"/>
  <c r="MD124" i="1"/>
  <c r="LY124" i="1"/>
  <c r="LT124" i="1"/>
  <c r="LO124" i="1"/>
  <c r="LJ124" i="1"/>
  <c r="LE124" i="1"/>
  <c r="KZ124" i="1"/>
  <c r="KS124" i="1"/>
  <c r="KT124" i="1" s="1"/>
  <c r="KU124" i="1" s="1"/>
  <c r="KP124" i="1"/>
  <c r="KK124" i="1"/>
  <c r="KF124" i="1"/>
  <c r="JB124" i="1"/>
  <c r="IW124" i="1"/>
  <c r="IR124" i="1"/>
  <c r="IM124" i="1"/>
  <c r="IH124" i="1"/>
  <c r="IC124" i="1"/>
  <c r="HX124" i="1"/>
  <c r="HS124" i="1"/>
  <c r="HN124" i="1"/>
  <c r="HG124" i="1"/>
  <c r="HH124" i="1" s="1"/>
  <c r="HI124" i="1" s="1"/>
  <c r="HB124" i="1"/>
  <c r="HC124" i="1" s="1"/>
  <c r="HD124" i="1" s="1"/>
  <c r="GW124" i="1"/>
  <c r="GX124" i="1" s="1"/>
  <c r="GY124" i="1" s="1"/>
  <c r="GR124" i="1"/>
  <c r="GS124" i="1" s="1"/>
  <c r="GT124" i="1" s="1"/>
  <c r="GM124" i="1"/>
  <c r="GN124" i="1" s="1"/>
  <c r="GO124" i="1" s="1"/>
  <c r="GH124" i="1"/>
  <c r="GI124" i="1" s="1"/>
  <c r="GJ124" i="1" s="1"/>
  <c r="GC124" i="1"/>
  <c r="GD124" i="1" s="1"/>
  <c r="GE124" i="1" s="1"/>
  <c r="FX124" i="1"/>
  <c r="FY124" i="1" s="1"/>
  <c r="FZ124" i="1" s="1"/>
  <c r="FS124" i="1"/>
  <c r="FT124" i="1" s="1"/>
  <c r="FU124" i="1" s="1"/>
  <c r="FN124" i="1"/>
  <c r="FO124" i="1" s="1"/>
  <c r="FP124" i="1" s="1"/>
  <c r="FI124" i="1"/>
  <c r="FJ124" i="1" s="1"/>
  <c r="FK124" i="1" s="1"/>
  <c r="FD124" i="1"/>
  <c r="FE124" i="1" s="1"/>
  <c r="FF124" i="1" s="1"/>
  <c r="EY124" i="1"/>
  <c r="EZ124" i="1" s="1"/>
  <c r="FA124" i="1" s="1"/>
  <c r="ET124" i="1"/>
  <c r="EU124" i="1" s="1"/>
  <c r="EV124" i="1" s="1"/>
  <c r="EO124" i="1"/>
  <c r="EP124" i="1" s="1"/>
  <c r="EQ124" i="1" s="1"/>
  <c r="EJ124" i="1"/>
  <c r="EK124" i="1" s="1"/>
  <c r="EL124" i="1" s="1"/>
  <c r="EE124" i="1"/>
  <c r="EF124" i="1" s="1"/>
  <c r="EG124" i="1" s="1"/>
  <c r="DZ124" i="1"/>
  <c r="EA124" i="1" s="1"/>
  <c r="EB124" i="1" s="1"/>
  <c r="DU124" i="1"/>
  <c r="DV124" i="1" s="1"/>
  <c r="DW124" i="1" s="1"/>
  <c r="DP124" i="1"/>
  <c r="DQ124" i="1" s="1"/>
  <c r="DR124" i="1" s="1"/>
  <c r="DK124" i="1"/>
  <c r="DL124" i="1" s="1"/>
  <c r="DM124" i="1" s="1"/>
  <c r="DF124" i="1"/>
  <c r="DG124" i="1" s="1"/>
  <c r="DH124" i="1" s="1"/>
  <c r="DA124" i="1"/>
  <c r="DB124" i="1" s="1"/>
  <c r="DC124" i="1" s="1"/>
  <c r="CV124" i="1"/>
  <c r="CW124" i="1" s="1"/>
  <c r="CX124" i="1" s="1"/>
  <c r="CQ124" i="1"/>
  <c r="CR124" i="1" s="1"/>
  <c r="CS124" i="1" s="1"/>
  <c r="CL124" i="1"/>
  <c r="CM124" i="1" s="1"/>
  <c r="CN124" i="1" s="1"/>
  <c r="CG124" i="1"/>
  <c r="CH124" i="1" s="1"/>
  <c r="CI124" i="1" s="1"/>
  <c r="CB124" i="1"/>
  <c r="CC124" i="1" s="1"/>
  <c r="CD124" i="1" s="1"/>
  <c r="BW124" i="1"/>
  <c r="BX124" i="1" s="1"/>
  <c r="BY124" i="1" s="1"/>
  <c r="BR124" i="1"/>
  <c r="BS124" i="1" s="1"/>
  <c r="BT124" i="1" s="1"/>
  <c r="BM124" i="1"/>
  <c r="BN124" i="1" s="1"/>
  <c r="BO124" i="1" s="1"/>
  <c r="BH124" i="1"/>
  <c r="BI124" i="1" s="1"/>
  <c r="BJ124" i="1" s="1"/>
  <c r="BC124" i="1"/>
  <c r="BD124" i="1" s="1"/>
  <c r="BE124" i="1" s="1"/>
  <c r="AX124" i="1"/>
  <c r="AY124" i="1" s="1"/>
  <c r="AZ124" i="1" s="1"/>
  <c r="AS124" i="1"/>
  <c r="AT124" i="1" s="1"/>
  <c r="AU124" i="1" s="1"/>
  <c r="AN124" i="1"/>
  <c r="AO124" i="1" s="1"/>
  <c r="AP124" i="1" s="1"/>
  <c r="AI124" i="1"/>
  <c r="AJ124" i="1" s="1"/>
  <c r="AK124" i="1" s="1"/>
  <c r="AD124" i="1"/>
  <c r="AE124" i="1" s="1"/>
  <c r="AF124" i="1" s="1"/>
  <c r="X124" i="1"/>
  <c r="Y124" i="1" s="1"/>
  <c r="Z124" i="1" s="1"/>
  <c r="T124" i="1"/>
  <c r="O124" i="1"/>
  <c r="J124" i="1"/>
  <c r="PZ123" i="1"/>
  <c r="PU123" i="1"/>
  <c r="PP123" i="1"/>
  <c r="PK123" i="1"/>
  <c r="PF123" i="1"/>
  <c r="PA123" i="1"/>
  <c r="OV123" i="1"/>
  <c r="OQ123" i="1"/>
  <c r="OL123" i="1"/>
  <c r="OG123" i="1"/>
  <c r="OB123" i="1"/>
  <c r="NW123" i="1"/>
  <c r="NP123" i="1"/>
  <c r="NQ123" i="1" s="1"/>
  <c r="NR123" i="1" s="1"/>
  <c r="NM123" i="1"/>
  <c r="NF123" i="1"/>
  <c r="NG123" i="1" s="1"/>
  <c r="NH123" i="1" s="1"/>
  <c r="NA123" i="1"/>
  <c r="NB123" i="1" s="1"/>
  <c r="NC123" i="1" s="1"/>
  <c r="MX123" i="1"/>
  <c r="MS123" i="1"/>
  <c r="MN123" i="1"/>
  <c r="MI123" i="1"/>
  <c r="MB123" i="1"/>
  <c r="MC123" i="1" s="1"/>
  <c r="MD123" i="1" s="1"/>
  <c r="LW123" i="1"/>
  <c r="LX123" i="1" s="1"/>
  <c r="LY123" i="1" s="1"/>
  <c r="LT123" i="1"/>
  <c r="LO123" i="1"/>
  <c r="LJ123" i="1"/>
  <c r="LC123" i="1"/>
  <c r="LD123" i="1" s="1"/>
  <c r="LE123" i="1" s="1"/>
  <c r="KX123" i="1"/>
  <c r="KY123" i="1" s="1"/>
  <c r="KZ123" i="1" s="1"/>
  <c r="KU123" i="1"/>
  <c r="KP123" i="1"/>
  <c r="KI123" i="1"/>
  <c r="KJ123" i="1" s="1"/>
  <c r="KK123" i="1" s="1"/>
  <c r="KD123" i="1"/>
  <c r="KE123" i="1" s="1"/>
  <c r="KF123" i="1" s="1"/>
  <c r="IZ123" i="1"/>
  <c r="JA123" i="1" s="1"/>
  <c r="JB123" i="1" s="1"/>
  <c r="IU123" i="1"/>
  <c r="IV123" i="1" s="1"/>
  <c r="IW123" i="1" s="1"/>
  <c r="IP123" i="1"/>
  <c r="IQ123" i="1" s="1"/>
  <c r="IR123" i="1" s="1"/>
  <c r="IK123" i="1"/>
  <c r="IL123" i="1" s="1"/>
  <c r="IM123" i="1" s="1"/>
  <c r="IF123" i="1"/>
  <c r="IG123" i="1" s="1"/>
  <c r="IH123" i="1" s="1"/>
  <c r="IA123" i="1"/>
  <c r="IB123" i="1" s="1"/>
  <c r="IC123" i="1" s="1"/>
  <c r="HV123" i="1"/>
  <c r="HW123" i="1" s="1"/>
  <c r="HX123" i="1" s="1"/>
  <c r="HS123" i="1"/>
  <c r="HL123" i="1"/>
  <c r="HM123" i="1" s="1"/>
  <c r="HN123" i="1" s="1"/>
  <c r="HG123" i="1"/>
  <c r="HH123" i="1" s="1"/>
  <c r="HI123" i="1" s="1"/>
  <c r="HB123" i="1"/>
  <c r="HC123" i="1" s="1"/>
  <c r="HD123" i="1" s="1"/>
  <c r="GW123" i="1"/>
  <c r="GX123" i="1" s="1"/>
  <c r="GY123" i="1" s="1"/>
  <c r="GR123" i="1"/>
  <c r="GS123" i="1" s="1"/>
  <c r="GT123" i="1" s="1"/>
  <c r="GM123" i="1"/>
  <c r="GN123" i="1" s="1"/>
  <c r="GO123" i="1" s="1"/>
  <c r="GH123" i="1"/>
  <c r="GI123" i="1" s="1"/>
  <c r="GJ123" i="1" s="1"/>
  <c r="GC123" i="1"/>
  <c r="GD123" i="1" s="1"/>
  <c r="GE123" i="1" s="1"/>
  <c r="FX123" i="1"/>
  <c r="FY123" i="1" s="1"/>
  <c r="FZ123" i="1" s="1"/>
  <c r="FS123" i="1"/>
  <c r="FT123" i="1" s="1"/>
  <c r="FU123" i="1" s="1"/>
  <c r="FN123" i="1"/>
  <c r="FO123" i="1" s="1"/>
  <c r="FP123" i="1" s="1"/>
  <c r="FI123" i="1"/>
  <c r="FJ123" i="1" s="1"/>
  <c r="FK123" i="1" s="1"/>
  <c r="FD123" i="1"/>
  <c r="FE123" i="1" s="1"/>
  <c r="FF123" i="1" s="1"/>
  <c r="EY123" i="1"/>
  <c r="EZ123" i="1" s="1"/>
  <c r="FA123" i="1" s="1"/>
  <c r="ET123" i="1"/>
  <c r="EU123" i="1" s="1"/>
  <c r="EV123" i="1" s="1"/>
  <c r="EO123" i="1"/>
  <c r="EP123" i="1" s="1"/>
  <c r="EQ123" i="1" s="1"/>
  <c r="EJ123" i="1"/>
  <c r="EK123" i="1" s="1"/>
  <c r="EL123" i="1" s="1"/>
  <c r="EE123" i="1"/>
  <c r="EF123" i="1" s="1"/>
  <c r="EG123" i="1" s="1"/>
  <c r="DZ123" i="1"/>
  <c r="EA123" i="1" s="1"/>
  <c r="EB123" i="1" s="1"/>
  <c r="DU123" i="1"/>
  <c r="DV123" i="1" s="1"/>
  <c r="DW123" i="1" s="1"/>
  <c r="DP123" i="1"/>
  <c r="DQ123" i="1" s="1"/>
  <c r="DR123" i="1" s="1"/>
  <c r="DK123" i="1"/>
  <c r="DL123" i="1" s="1"/>
  <c r="DM123" i="1" s="1"/>
  <c r="DF123" i="1"/>
  <c r="DG123" i="1" s="1"/>
  <c r="DH123" i="1" s="1"/>
  <c r="DA123" i="1"/>
  <c r="DB123" i="1" s="1"/>
  <c r="DC123" i="1" s="1"/>
  <c r="CV123" i="1"/>
  <c r="CW123" i="1" s="1"/>
  <c r="CX123" i="1" s="1"/>
  <c r="CQ123" i="1"/>
  <c r="CR123" i="1" s="1"/>
  <c r="CS123" i="1" s="1"/>
  <c r="CL123" i="1"/>
  <c r="CM123" i="1" s="1"/>
  <c r="CN123" i="1" s="1"/>
  <c r="CG123" i="1"/>
  <c r="CH123" i="1" s="1"/>
  <c r="CI123" i="1" s="1"/>
  <c r="CB123" i="1"/>
  <c r="CC123" i="1" s="1"/>
  <c r="CD123" i="1" s="1"/>
  <c r="BW123" i="1"/>
  <c r="BX123" i="1" s="1"/>
  <c r="BY123" i="1" s="1"/>
  <c r="BR123" i="1"/>
  <c r="BS123" i="1" s="1"/>
  <c r="BT123" i="1" s="1"/>
  <c r="BM123" i="1"/>
  <c r="BN123" i="1" s="1"/>
  <c r="BO123" i="1" s="1"/>
  <c r="BH123" i="1"/>
  <c r="BI123" i="1" s="1"/>
  <c r="BJ123" i="1" s="1"/>
  <c r="BC123" i="1"/>
  <c r="BD123" i="1" s="1"/>
  <c r="BE123" i="1" s="1"/>
  <c r="AX123" i="1"/>
  <c r="AY123" i="1" s="1"/>
  <c r="AZ123" i="1" s="1"/>
  <c r="AS123" i="1"/>
  <c r="AT123" i="1" s="1"/>
  <c r="AU123" i="1" s="1"/>
  <c r="AN123" i="1"/>
  <c r="AO123" i="1" s="1"/>
  <c r="AP123" i="1" s="1"/>
  <c r="AI123" i="1"/>
  <c r="AJ123" i="1" s="1"/>
  <c r="AK123" i="1" s="1"/>
  <c r="AD123" i="1"/>
  <c r="AE123" i="1" s="1"/>
  <c r="AF123" i="1" s="1"/>
  <c r="X123" i="1"/>
  <c r="Y123" i="1" s="1"/>
  <c r="Z123" i="1" s="1"/>
  <c r="T123" i="1"/>
  <c r="O123" i="1"/>
  <c r="J123" i="1"/>
  <c r="PZ122" i="1"/>
  <c r="PU122" i="1"/>
  <c r="PP122" i="1"/>
  <c r="PK122" i="1"/>
  <c r="PF122" i="1"/>
  <c r="PA122" i="1"/>
  <c r="OV122" i="1"/>
  <c r="OQ122" i="1"/>
  <c r="OL122" i="1"/>
  <c r="OG122" i="1"/>
  <c r="OB122" i="1"/>
  <c r="NW122" i="1"/>
  <c r="NR122" i="1"/>
  <c r="NM122" i="1"/>
  <c r="NF122" i="1"/>
  <c r="NG122" i="1" s="1"/>
  <c r="NH122" i="1" s="1"/>
  <c r="NA122" i="1"/>
  <c r="NB122" i="1" s="1"/>
  <c r="NC122" i="1" s="1"/>
  <c r="MV122" i="1"/>
  <c r="MW122" i="1" s="1"/>
  <c r="MX122" i="1" s="1"/>
  <c r="MQ122" i="1"/>
  <c r="MR122" i="1" s="1"/>
  <c r="MS122" i="1" s="1"/>
  <c r="MN122" i="1"/>
  <c r="MI122" i="1"/>
  <c r="MB122" i="1"/>
  <c r="MC122" i="1" s="1"/>
  <c r="MD122" i="1" s="1"/>
  <c r="LW122" i="1"/>
  <c r="LX122" i="1" s="1"/>
  <c r="LY122" i="1" s="1"/>
  <c r="LT122" i="1"/>
  <c r="LO122" i="1"/>
  <c r="LJ122" i="1"/>
  <c r="LE122" i="1"/>
  <c r="KX122" i="1"/>
  <c r="KY122" i="1" s="1"/>
  <c r="KZ122" i="1" s="1"/>
  <c r="KS122" i="1"/>
  <c r="KT122" i="1" s="1"/>
  <c r="KU122" i="1" s="1"/>
  <c r="KP122" i="1"/>
  <c r="KK122" i="1"/>
  <c r="KF122" i="1"/>
  <c r="IZ122" i="1"/>
  <c r="JA122" i="1" s="1"/>
  <c r="JB122" i="1" s="1"/>
  <c r="IU122" i="1"/>
  <c r="IV122" i="1" s="1"/>
  <c r="IW122" i="1" s="1"/>
  <c r="IP122" i="1"/>
  <c r="IQ122" i="1" s="1"/>
  <c r="IR122" i="1" s="1"/>
  <c r="IK122" i="1"/>
  <c r="IL122" i="1" s="1"/>
  <c r="IM122" i="1" s="1"/>
  <c r="IF122" i="1"/>
  <c r="IG122" i="1" s="1"/>
  <c r="IH122" i="1" s="1"/>
  <c r="IA122" i="1"/>
  <c r="IB122" i="1" s="1"/>
  <c r="IC122" i="1" s="1"/>
  <c r="HV122" i="1"/>
  <c r="HW122" i="1" s="1"/>
  <c r="HX122" i="1" s="1"/>
  <c r="HQ122" i="1"/>
  <c r="HR122" i="1" s="1"/>
  <c r="HS122" i="1" s="1"/>
  <c r="HL122" i="1"/>
  <c r="HM122" i="1" s="1"/>
  <c r="HN122" i="1" s="1"/>
  <c r="HG122" i="1"/>
  <c r="HH122" i="1" s="1"/>
  <c r="HI122" i="1" s="1"/>
  <c r="HB122" i="1"/>
  <c r="HC122" i="1" s="1"/>
  <c r="HD122" i="1" s="1"/>
  <c r="GW122" i="1"/>
  <c r="GX122" i="1" s="1"/>
  <c r="GY122" i="1" s="1"/>
  <c r="GR122" i="1"/>
  <c r="GS122" i="1" s="1"/>
  <c r="GT122" i="1" s="1"/>
  <c r="GM122" i="1"/>
  <c r="GN122" i="1" s="1"/>
  <c r="GO122" i="1" s="1"/>
  <c r="GH122" i="1"/>
  <c r="GI122" i="1" s="1"/>
  <c r="GJ122" i="1" s="1"/>
  <c r="GC122" i="1"/>
  <c r="GD122" i="1" s="1"/>
  <c r="GE122" i="1" s="1"/>
  <c r="FX122" i="1"/>
  <c r="FY122" i="1" s="1"/>
  <c r="FZ122" i="1" s="1"/>
  <c r="FS122" i="1"/>
  <c r="FT122" i="1" s="1"/>
  <c r="FU122" i="1" s="1"/>
  <c r="FN122" i="1"/>
  <c r="FO122" i="1" s="1"/>
  <c r="FP122" i="1" s="1"/>
  <c r="FI122" i="1"/>
  <c r="FJ122" i="1" s="1"/>
  <c r="FK122" i="1" s="1"/>
  <c r="FD122" i="1"/>
  <c r="FE122" i="1" s="1"/>
  <c r="FF122" i="1" s="1"/>
  <c r="EY122" i="1"/>
  <c r="EZ122" i="1" s="1"/>
  <c r="FA122" i="1" s="1"/>
  <c r="ET122" i="1"/>
  <c r="EU122" i="1" s="1"/>
  <c r="EV122" i="1" s="1"/>
  <c r="EO122" i="1"/>
  <c r="EP122" i="1" s="1"/>
  <c r="EQ122" i="1" s="1"/>
  <c r="EJ122" i="1"/>
  <c r="EK122" i="1" s="1"/>
  <c r="EL122" i="1" s="1"/>
  <c r="EE122" i="1"/>
  <c r="EF122" i="1" s="1"/>
  <c r="EG122" i="1" s="1"/>
  <c r="DZ122" i="1"/>
  <c r="EA122" i="1" s="1"/>
  <c r="EB122" i="1" s="1"/>
  <c r="DU122" i="1"/>
  <c r="DV122" i="1" s="1"/>
  <c r="DW122" i="1" s="1"/>
  <c r="DP122" i="1"/>
  <c r="DQ122" i="1" s="1"/>
  <c r="DR122" i="1" s="1"/>
  <c r="DK122" i="1"/>
  <c r="DL122" i="1" s="1"/>
  <c r="DM122" i="1" s="1"/>
  <c r="DF122" i="1"/>
  <c r="DG122" i="1" s="1"/>
  <c r="DH122" i="1" s="1"/>
  <c r="DA122" i="1"/>
  <c r="DB122" i="1" s="1"/>
  <c r="DC122" i="1" s="1"/>
  <c r="CV122" i="1"/>
  <c r="CW122" i="1" s="1"/>
  <c r="CX122" i="1" s="1"/>
  <c r="CQ122" i="1"/>
  <c r="CR122" i="1" s="1"/>
  <c r="CS122" i="1" s="1"/>
  <c r="CL122" i="1"/>
  <c r="CM122" i="1" s="1"/>
  <c r="CN122" i="1" s="1"/>
  <c r="CG122" i="1"/>
  <c r="CH122" i="1" s="1"/>
  <c r="CI122" i="1" s="1"/>
  <c r="CB122" i="1"/>
  <c r="CC122" i="1" s="1"/>
  <c r="CD122" i="1" s="1"/>
  <c r="BW122" i="1"/>
  <c r="BX122" i="1" s="1"/>
  <c r="BY122" i="1" s="1"/>
  <c r="BR122" i="1"/>
  <c r="BS122" i="1" s="1"/>
  <c r="BT122" i="1" s="1"/>
  <c r="BM122" i="1"/>
  <c r="BN122" i="1" s="1"/>
  <c r="BO122" i="1" s="1"/>
  <c r="BH122" i="1"/>
  <c r="BI122" i="1" s="1"/>
  <c r="BJ122" i="1" s="1"/>
  <c r="BC122" i="1"/>
  <c r="BD122" i="1" s="1"/>
  <c r="BE122" i="1" s="1"/>
  <c r="AX122" i="1"/>
  <c r="AY122" i="1" s="1"/>
  <c r="AZ122" i="1" s="1"/>
  <c r="AS122" i="1"/>
  <c r="AT122" i="1" s="1"/>
  <c r="AU122" i="1" s="1"/>
  <c r="AN122" i="1"/>
  <c r="AO122" i="1" s="1"/>
  <c r="AP122" i="1" s="1"/>
  <c r="AI122" i="1"/>
  <c r="AJ122" i="1" s="1"/>
  <c r="AK122" i="1" s="1"/>
  <c r="AD122" i="1"/>
  <c r="AE122" i="1" s="1"/>
  <c r="AF122" i="1" s="1"/>
  <c r="X122" i="1"/>
  <c r="Y122" i="1" s="1"/>
  <c r="Z122" i="1" s="1"/>
  <c r="T122" i="1"/>
  <c r="O122" i="1"/>
  <c r="J122" i="1"/>
  <c r="PZ121" i="1"/>
  <c r="PU121" i="1"/>
  <c r="PN121" i="1"/>
  <c r="PO121" i="1" s="1"/>
  <c r="PP121" i="1" s="1"/>
  <c r="PK121" i="1"/>
  <c r="PF121" i="1"/>
  <c r="OY121" i="1"/>
  <c r="OZ121" i="1" s="1"/>
  <c r="PA121" i="1" s="1"/>
  <c r="OV121" i="1"/>
  <c r="OQ121" i="1"/>
  <c r="OJ121" i="1"/>
  <c r="OK121" i="1" s="1"/>
  <c r="OL121" i="1" s="1"/>
  <c r="OG121" i="1"/>
  <c r="OB121" i="1"/>
  <c r="NW121" i="1"/>
  <c r="NR121" i="1"/>
  <c r="NK121" i="1"/>
  <c r="NL121" i="1" s="1"/>
  <c r="NM121" i="1" s="1"/>
  <c r="NH121" i="1"/>
  <c r="NC121" i="1"/>
  <c r="MV121" i="1"/>
  <c r="MW121" i="1" s="1"/>
  <c r="MX121" i="1" s="1"/>
  <c r="MQ121" i="1"/>
  <c r="MR121" i="1" s="1"/>
  <c r="MS121" i="1" s="1"/>
  <c r="MN121" i="1"/>
  <c r="MI121" i="1"/>
  <c r="MB121" i="1"/>
  <c r="MC121" i="1" s="1"/>
  <c r="MD121" i="1" s="1"/>
  <c r="LW121" i="1"/>
  <c r="LX121" i="1" s="1"/>
  <c r="LY121" i="1" s="1"/>
  <c r="LR121" i="1"/>
  <c r="LS121" i="1" s="1"/>
  <c r="LT121" i="1" s="1"/>
  <c r="LO121" i="1"/>
  <c r="LJ121" i="1"/>
  <c r="LC121" i="1"/>
  <c r="LD121" i="1" s="1"/>
  <c r="LE121" i="1" s="1"/>
  <c r="KZ121" i="1"/>
  <c r="KU121" i="1"/>
  <c r="KP121" i="1"/>
  <c r="KK121" i="1"/>
  <c r="KF121" i="1"/>
  <c r="IZ121" i="1"/>
  <c r="JA121" i="1" s="1"/>
  <c r="JB121" i="1" s="1"/>
  <c r="IU121" i="1"/>
  <c r="IV121" i="1" s="1"/>
  <c r="IW121" i="1" s="1"/>
  <c r="IP121" i="1"/>
  <c r="IQ121" i="1" s="1"/>
  <c r="IR121" i="1" s="1"/>
  <c r="IK121" i="1"/>
  <c r="IL121" i="1" s="1"/>
  <c r="IM121" i="1" s="1"/>
  <c r="IF121" i="1"/>
  <c r="IG121" i="1" s="1"/>
  <c r="IH121" i="1" s="1"/>
  <c r="IA121" i="1"/>
  <c r="IB121" i="1" s="1"/>
  <c r="IC121" i="1" s="1"/>
  <c r="HV121" i="1"/>
  <c r="HW121" i="1" s="1"/>
  <c r="HX121" i="1" s="1"/>
  <c r="HS121" i="1"/>
  <c r="HN121" i="1"/>
  <c r="HG121" i="1"/>
  <c r="HH121" i="1" s="1"/>
  <c r="HI121" i="1" s="1"/>
  <c r="HB121" i="1"/>
  <c r="HC121" i="1" s="1"/>
  <c r="HD121" i="1" s="1"/>
  <c r="GW121" i="1"/>
  <c r="GX121" i="1" s="1"/>
  <c r="GY121" i="1" s="1"/>
  <c r="GR121" i="1"/>
  <c r="GS121" i="1" s="1"/>
  <c r="GT121" i="1" s="1"/>
  <c r="GM121" i="1"/>
  <c r="GN121" i="1" s="1"/>
  <c r="GO121" i="1" s="1"/>
  <c r="GH121" i="1"/>
  <c r="GI121" i="1" s="1"/>
  <c r="GJ121" i="1" s="1"/>
  <c r="GC121" i="1"/>
  <c r="GD121" i="1" s="1"/>
  <c r="GE121" i="1" s="1"/>
  <c r="FX121" i="1"/>
  <c r="FY121" i="1" s="1"/>
  <c r="FZ121" i="1" s="1"/>
  <c r="FS121" i="1"/>
  <c r="FT121" i="1" s="1"/>
  <c r="FU121" i="1" s="1"/>
  <c r="FN121" i="1"/>
  <c r="FO121" i="1" s="1"/>
  <c r="FP121" i="1" s="1"/>
  <c r="FI121" i="1"/>
  <c r="FJ121" i="1" s="1"/>
  <c r="FK121" i="1" s="1"/>
  <c r="FD121" i="1"/>
  <c r="FE121" i="1" s="1"/>
  <c r="FF121" i="1" s="1"/>
  <c r="EY121" i="1"/>
  <c r="EZ121" i="1" s="1"/>
  <c r="FA121" i="1" s="1"/>
  <c r="ET121" i="1"/>
  <c r="EU121" i="1" s="1"/>
  <c r="EV121" i="1" s="1"/>
  <c r="EO121" i="1"/>
  <c r="EP121" i="1" s="1"/>
  <c r="EQ121" i="1" s="1"/>
  <c r="EJ121" i="1"/>
  <c r="EK121" i="1" s="1"/>
  <c r="EL121" i="1" s="1"/>
  <c r="EE121" i="1"/>
  <c r="EF121" i="1" s="1"/>
  <c r="EG121" i="1" s="1"/>
  <c r="DZ121" i="1"/>
  <c r="EA121" i="1" s="1"/>
  <c r="EB121" i="1" s="1"/>
  <c r="DU121" i="1"/>
  <c r="DV121" i="1" s="1"/>
  <c r="DW121" i="1" s="1"/>
  <c r="DP121" i="1"/>
  <c r="DQ121" i="1" s="1"/>
  <c r="DR121" i="1" s="1"/>
  <c r="DK121" i="1"/>
  <c r="DL121" i="1" s="1"/>
  <c r="DM121" i="1" s="1"/>
  <c r="DF121" i="1"/>
  <c r="DG121" i="1" s="1"/>
  <c r="DH121" i="1" s="1"/>
  <c r="DA121" i="1"/>
  <c r="DB121" i="1" s="1"/>
  <c r="DC121" i="1" s="1"/>
  <c r="CV121" i="1"/>
  <c r="CW121" i="1" s="1"/>
  <c r="CX121" i="1" s="1"/>
  <c r="CQ121" i="1"/>
  <c r="CR121" i="1" s="1"/>
  <c r="CS121" i="1" s="1"/>
  <c r="CL121" i="1"/>
  <c r="CM121" i="1" s="1"/>
  <c r="CN121" i="1" s="1"/>
  <c r="CG121" i="1"/>
  <c r="CH121" i="1" s="1"/>
  <c r="CI121" i="1" s="1"/>
  <c r="CB121" i="1"/>
  <c r="CC121" i="1" s="1"/>
  <c r="CD121" i="1" s="1"/>
  <c r="BW121" i="1"/>
  <c r="BX121" i="1" s="1"/>
  <c r="BY121" i="1" s="1"/>
  <c r="BR121" i="1"/>
  <c r="BS121" i="1" s="1"/>
  <c r="BT121" i="1" s="1"/>
  <c r="BM121" i="1"/>
  <c r="BN121" i="1" s="1"/>
  <c r="BO121" i="1" s="1"/>
  <c r="BH121" i="1"/>
  <c r="BI121" i="1" s="1"/>
  <c r="BJ121" i="1" s="1"/>
  <c r="BC121" i="1"/>
  <c r="BD121" i="1" s="1"/>
  <c r="BE121" i="1" s="1"/>
  <c r="AX121" i="1"/>
  <c r="AY121" i="1" s="1"/>
  <c r="AZ121" i="1" s="1"/>
  <c r="AS121" i="1"/>
  <c r="AT121" i="1" s="1"/>
  <c r="AU121" i="1" s="1"/>
  <c r="AN121" i="1"/>
  <c r="AO121" i="1" s="1"/>
  <c r="AP121" i="1" s="1"/>
  <c r="AI121" i="1"/>
  <c r="AJ121" i="1" s="1"/>
  <c r="AK121" i="1" s="1"/>
  <c r="AD121" i="1"/>
  <c r="AE121" i="1" s="1"/>
  <c r="AF121" i="1" s="1"/>
  <c r="X121" i="1"/>
  <c r="Y121" i="1" s="1"/>
  <c r="Z121" i="1" s="1"/>
  <c r="T121" i="1"/>
  <c r="O121" i="1"/>
  <c r="J121" i="1"/>
  <c r="PX120" i="1"/>
  <c r="PY120" i="1" s="1"/>
  <c r="PZ120" i="1" s="1"/>
  <c r="PU120" i="1"/>
  <c r="PP120" i="1"/>
  <c r="PK120" i="1"/>
  <c r="PF120" i="1"/>
  <c r="PA120" i="1"/>
  <c r="OV120" i="1"/>
  <c r="OQ120" i="1"/>
  <c r="OL120" i="1"/>
  <c r="OG120" i="1"/>
  <c r="OB120" i="1"/>
  <c r="NW120" i="1"/>
  <c r="NR120" i="1"/>
  <c r="NM120" i="1"/>
  <c r="NH120" i="1"/>
  <c r="NC120" i="1"/>
  <c r="MX120" i="1"/>
  <c r="MS120" i="1"/>
  <c r="MN120" i="1"/>
  <c r="MI120" i="1"/>
  <c r="MD120" i="1"/>
  <c r="LY120" i="1"/>
  <c r="LT120" i="1"/>
  <c r="LO120" i="1"/>
  <c r="LJ120" i="1"/>
  <c r="LE120" i="1"/>
  <c r="KZ120" i="1"/>
  <c r="KU120" i="1"/>
  <c r="KP120" i="1"/>
  <c r="KK120" i="1"/>
  <c r="KF120" i="1"/>
  <c r="JB120" i="1"/>
  <c r="IW120" i="1"/>
  <c r="IR120" i="1"/>
  <c r="IM120" i="1"/>
  <c r="IH120" i="1"/>
  <c r="IC120" i="1"/>
  <c r="HX120" i="1"/>
  <c r="HS120" i="1"/>
  <c r="HN120" i="1"/>
  <c r="HG120" i="1"/>
  <c r="HH120" i="1" s="1"/>
  <c r="HI120" i="1" s="1"/>
  <c r="HB120" i="1"/>
  <c r="HC120" i="1" s="1"/>
  <c r="HD120" i="1" s="1"/>
  <c r="GW120" i="1"/>
  <c r="GX120" i="1" s="1"/>
  <c r="GY120" i="1" s="1"/>
  <c r="GR120" i="1"/>
  <c r="GS120" i="1" s="1"/>
  <c r="GT120" i="1" s="1"/>
  <c r="GM120" i="1"/>
  <c r="GN120" i="1" s="1"/>
  <c r="GO120" i="1" s="1"/>
  <c r="GH120" i="1"/>
  <c r="GI120" i="1" s="1"/>
  <c r="GJ120" i="1" s="1"/>
  <c r="GC120" i="1"/>
  <c r="GD120" i="1" s="1"/>
  <c r="GE120" i="1" s="1"/>
  <c r="FX120" i="1"/>
  <c r="FY120" i="1" s="1"/>
  <c r="FZ120" i="1" s="1"/>
  <c r="FS120" i="1"/>
  <c r="FT120" i="1" s="1"/>
  <c r="FU120" i="1" s="1"/>
  <c r="FN120" i="1"/>
  <c r="FO120" i="1" s="1"/>
  <c r="FP120" i="1" s="1"/>
  <c r="FI120" i="1"/>
  <c r="FJ120" i="1" s="1"/>
  <c r="FK120" i="1" s="1"/>
  <c r="FD120" i="1"/>
  <c r="FE120" i="1" s="1"/>
  <c r="FF120" i="1" s="1"/>
  <c r="EY120" i="1"/>
  <c r="EZ120" i="1" s="1"/>
  <c r="FA120" i="1" s="1"/>
  <c r="ET120" i="1"/>
  <c r="EU120" i="1" s="1"/>
  <c r="EV120" i="1" s="1"/>
  <c r="EO120" i="1"/>
  <c r="EP120" i="1" s="1"/>
  <c r="EQ120" i="1" s="1"/>
  <c r="EJ120" i="1"/>
  <c r="EK120" i="1" s="1"/>
  <c r="EL120" i="1" s="1"/>
  <c r="EE120" i="1"/>
  <c r="EF120" i="1" s="1"/>
  <c r="EG120" i="1" s="1"/>
  <c r="DZ120" i="1"/>
  <c r="EA120" i="1" s="1"/>
  <c r="EB120" i="1" s="1"/>
  <c r="DU120" i="1"/>
  <c r="DV120" i="1" s="1"/>
  <c r="DW120" i="1" s="1"/>
  <c r="DP120" i="1"/>
  <c r="DQ120" i="1" s="1"/>
  <c r="DR120" i="1" s="1"/>
  <c r="DK120" i="1"/>
  <c r="DL120" i="1" s="1"/>
  <c r="DM120" i="1" s="1"/>
  <c r="DF120" i="1"/>
  <c r="DG120" i="1" s="1"/>
  <c r="DH120" i="1" s="1"/>
  <c r="DA120" i="1"/>
  <c r="DB120" i="1" s="1"/>
  <c r="DC120" i="1" s="1"/>
  <c r="CV120" i="1"/>
  <c r="CW120" i="1" s="1"/>
  <c r="CX120" i="1" s="1"/>
  <c r="CQ120" i="1"/>
  <c r="CR120" i="1" s="1"/>
  <c r="CS120" i="1" s="1"/>
  <c r="CL120" i="1"/>
  <c r="CM120" i="1" s="1"/>
  <c r="CN120" i="1" s="1"/>
  <c r="CG120" i="1"/>
  <c r="CH120" i="1" s="1"/>
  <c r="CI120" i="1" s="1"/>
  <c r="CB120" i="1"/>
  <c r="CC120" i="1" s="1"/>
  <c r="CD120" i="1" s="1"/>
  <c r="BW120" i="1"/>
  <c r="BX120" i="1" s="1"/>
  <c r="BY120" i="1" s="1"/>
  <c r="BR120" i="1"/>
  <c r="BS120" i="1" s="1"/>
  <c r="BT120" i="1" s="1"/>
  <c r="BM120" i="1"/>
  <c r="BN120" i="1" s="1"/>
  <c r="BO120" i="1" s="1"/>
  <c r="BH120" i="1"/>
  <c r="BI120" i="1" s="1"/>
  <c r="BJ120" i="1" s="1"/>
  <c r="BC120" i="1"/>
  <c r="BD120" i="1" s="1"/>
  <c r="BE120" i="1" s="1"/>
  <c r="AX120" i="1"/>
  <c r="AY120" i="1" s="1"/>
  <c r="AZ120" i="1" s="1"/>
  <c r="AS120" i="1"/>
  <c r="AT120" i="1" s="1"/>
  <c r="AU120" i="1" s="1"/>
  <c r="AN120" i="1"/>
  <c r="AO120" i="1" s="1"/>
  <c r="AP120" i="1" s="1"/>
  <c r="AI120" i="1"/>
  <c r="AJ120" i="1" s="1"/>
  <c r="AK120" i="1" s="1"/>
  <c r="X120" i="1"/>
  <c r="Y120" i="1" s="1"/>
  <c r="Z120" i="1" s="1"/>
  <c r="R120" i="1"/>
  <c r="S120" i="1" s="1"/>
  <c r="T120" i="1" s="1"/>
  <c r="O120" i="1"/>
  <c r="J120" i="1"/>
  <c r="PZ119" i="1"/>
  <c r="PU119" i="1"/>
  <c r="PP119" i="1"/>
  <c r="PK119" i="1"/>
  <c r="PF119" i="1"/>
  <c r="PA119" i="1"/>
  <c r="OV119" i="1"/>
  <c r="OQ119" i="1"/>
  <c r="OL119" i="1"/>
  <c r="OG119" i="1"/>
  <c r="OB119" i="1"/>
  <c r="NW119" i="1"/>
  <c r="NR119" i="1"/>
  <c r="NM119" i="1"/>
  <c r="NH119" i="1"/>
  <c r="NC119" i="1"/>
  <c r="MX119" i="1"/>
  <c r="MS119" i="1"/>
  <c r="MN119" i="1"/>
  <c r="MI119" i="1"/>
  <c r="MD119" i="1"/>
  <c r="LY119" i="1"/>
  <c r="LT119" i="1"/>
  <c r="LO119" i="1"/>
  <c r="LJ119" i="1"/>
  <c r="LE119" i="1"/>
  <c r="KZ119" i="1"/>
  <c r="KU119" i="1"/>
  <c r="KP119" i="1"/>
  <c r="KK119" i="1"/>
  <c r="KF119" i="1"/>
  <c r="JB119" i="1"/>
  <c r="IW119" i="1"/>
  <c r="IR119" i="1"/>
  <c r="IM119" i="1"/>
  <c r="IH119" i="1"/>
  <c r="IC119" i="1"/>
  <c r="HX119" i="1"/>
  <c r="HS119" i="1"/>
  <c r="HN119" i="1"/>
  <c r="HI119" i="1"/>
  <c r="HB119" i="1"/>
  <c r="HC119" i="1" s="1"/>
  <c r="HD119" i="1" s="1"/>
  <c r="GW119" i="1"/>
  <c r="GX119" i="1" s="1"/>
  <c r="GY119" i="1" s="1"/>
  <c r="GR119" i="1"/>
  <c r="GS119" i="1" s="1"/>
  <c r="GT119" i="1" s="1"/>
  <c r="GM119" i="1"/>
  <c r="GN119" i="1" s="1"/>
  <c r="GO119" i="1" s="1"/>
  <c r="GH119" i="1"/>
  <c r="GI119" i="1" s="1"/>
  <c r="GJ119" i="1" s="1"/>
  <c r="GC119" i="1"/>
  <c r="GD119" i="1" s="1"/>
  <c r="GE119" i="1" s="1"/>
  <c r="FX119" i="1"/>
  <c r="FY119" i="1" s="1"/>
  <c r="FZ119" i="1" s="1"/>
  <c r="FS119" i="1"/>
  <c r="FT119" i="1" s="1"/>
  <c r="FU119" i="1" s="1"/>
  <c r="FN119" i="1"/>
  <c r="FO119" i="1" s="1"/>
  <c r="FP119" i="1" s="1"/>
  <c r="FI119" i="1"/>
  <c r="FJ119" i="1" s="1"/>
  <c r="FK119" i="1" s="1"/>
  <c r="FD119" i="1"/>
  <c r="FE119" i="1" s="1"/>
  <c r="FF119" i="1" s="1"/>
  <c r="EY119" i="1"/>
  <c r="EZ119" i="1" s="1"/>
  <c r="FA119" i="1" s="1"/>
  <c r="ET119" i="1"/>
  <c r="EU119" i="1" s="1"/>
  <c r="EV119" i="1" s="1"/>
  <c r="EO119" i="1"/>
  <c r="EP119" i="1" s="1"/>
  <c r="EQ119" i="1" s="1"/>
  <c r="EJ119" i="1"/>
  <c r="EK119" i="1" s="1"/>
  <c r="EL119" i="1" s="1"/>
  <c r="EE119" i="1"/>
  <c r="EF119" i="1" s="1"/>
  <c r="EG119" i="1" s="1"/>
  <c r="DZ119" i="1"/>
  <c r="EA119" i="1" s="1"/>
  <c r="EB119" i="1" s="1"/>
  <c r="DU119" i="1"/>
  <c r="DV119" i="1" s="1"/>
  <c r="DW119" i="1" s="1"/>
  <c r="DP119" i="1"/>
  <c r="DQ119" i="1" s="1"/>
  <c r="DR119" i="1" s="1"/>
  <c r="DK119" i="1"/>
  <c r="DL119" i="1" s="1"/>
  <c r="DM119" i="1" s="1"/>
  <c r="DF119" i="1"/>
  <c r="DG119" i="1" s="1"/>
  <c r="DH119" i="1" s="1"/>
  <c r="DA119" i="1"/>
  <c r="DB119" i="1" s="1"/>
  <c r="DC119" i="1" s="1"/>
  <c r="CV119" i="1"/>
  <c r="CW119" i="1" s="1"/>
  <c r="CX119" i="1" s="1"/>
  <c r="CQ119" i="1"/>
  <c r="CR119" i="1" s="1"/>
  <c r="CS119" i="1" s="1"/>
  <c r="CL119" i="1"/>
  <c r="CM119" i="1" s="1"/>
  <c r="CN119" i="1" s="1"/>
  <c r="CG119" i="1"/>
  <c r="CH119" i="1" s="1"/>
  <c r="CI119" i="1" s="1"/>
  <c r="CB119" i="1"/>
  <c r="CC119" i="1" s="1"/>
  <c r="CD119" i="1" s="1"/>
  <c r="BW119" i="1"/>
  <c r="BX119" i="1" s="1"/>
  <c r="BY119" i="1" s="1"/>
  <c r="BR119" i="1"/>
  <c r="BS119" i="1" s="1"/>
  <c r="BT119" i="1" s="1"/>
  <c r="BM119" i="1"/>
  <c r="BN119" i="1" s="1"/>
  <c r="BO119" i="1" s="1"/>
  <c r="BH119" i="1"/>
  <c r="BI119" i="1" s="1"/>
  <c r="BJ119" i="1" s="1"/>
  <c r="BC119" i="1"/>
  <c r="BD119" i="1" s="1"/>
  <c r="BE119" i="1" s="1"/>
  <c r="AX119" i="1"/>
  <c r="AY119" i="1" s="1"/>
  <c r="AZ119" i="1" s="1"/>
  <c r="AS119" i="1"/>
  <c r="AT119" i="1" s="1"/>
  <c r="AU119" i="1" s="1"/>
  <c r="AN119" i="1"/>
  <c r="AO119" i="1" s="1"/>
  <c r="AP119" i="1" s="1"/>
  <c r="AI119" i="1"/>
  <c r="AJ119" i="1" s="1"/>
  <c r="AK119" i="1" s="1"/>
  <c r="X119" i="1"/>
  <c r="Y119" i="1" s="1"/>
  <c r="Z119" i="1" s="1"/>
  <c r="T119" i="1"/>
  <c r="O119" i="1"/>
  <c r="H119" i="1"/>
  <c r="I119" i="1" s="1"/>
  <c r="J119" i="1" s="1"/>
  <c r="PZ118" i="1"/>
  <c r="PU118" i="1"/>
  <c r="PP118" i="1"/>
  <c r="PK118" i="1"/>
  <c r="PF118" i="1"/>
  <c r="PA118" i="1"/>
  <c r="OV118" i="1"/>
  <c r="OQ118" i="1"/>
  <c r="OL118" i="1"/>
  <c r="OG118" i="1"/>
  <c r="OB118" i="1"/>
  <c r="NW118" i="1"/>
  <c r="NR118" i="1"/>
  <c r="NM118" i="1"/>
  <c r="NH118" i="1"/>
  <c r="NC118" i="1"/>
  <c r="MX118" i="1"/>
  <c r="MS118" i="1"/>
  <c r="MN118" i="1"/>
  <c r="MI118" i="1"/>
  <c r="MD118" i="1"/>
  <c r="LY118" i="1"/>
  <c r="LT118" i="1"/>
  <c r="LO118" i="1"/>
  <c r="LJ118" i="1"/>
  <c r="LE118" i="1"/>
  <c r="KZ118" i="1"/>
  <c r="KU118" i="1"/>
  <c r="KP118" i="1"/>
  <c r="KK118" i="1"/>
  <c r="KF118" i="1"/>
  <c r="IZ118" i="1"/>
  <c r="JA118" i="1" s="1"/>
  <c r="JB118" i="1" s="1"/>
  <c r="IU118" i="1"/>
  <c r="IV118" i="1" s="1"/>
  <c r="IW118" i="1" s="1"/>
  <c r="IP118" i="1"/>
  <c r="IQ118" i="1" s="1"/>
  <c r="IR118" i="1" s="1"/>
  <c r="IK118" i="1"/>
  <c r="IL118" i="1" s="1"/>
  <c r="IM118" i="1" s="1"/>
  <c r="IF118" i="1"/>
  <c r="IG118" i="1" s="1"/>
  <c r="IH118" i="1" s="1"/>
  <c r="IA118" i="1"/>
  <c r="IB118" i="1" s="1"/>
  <c r="IC118" i="1" s="1"/>
  <c r="HV118" i="1"/>
  <c r="HW118" i="1" s="1"/>
  <c r="HX118" i="1" s="1"/>
  <c r="HS118" i="1"/>
  <c r="HL118" i="1"/>
  <c r="HM118" i="1" s="1"/>
  <c r="HN118" i="1" s="1"/>
  <c r="HG118" i="1"/>
  <c r="HH118" i="1" s="1"/>
  <c r="HI118" i="1" s="1"/>
  <c r="HB118" i="1"/>
  <c r="HC118" i="1" s="1"/>
  <c r="HD118" i="1" s="1"/>
  <c r="GW118" i="1"/>
  <c r="GX118" i="1" s="1"/>
  <c r="GY118" i="1" s="1"/>
  <c r="GR118" i="1"/>
  <c r="GS118" i="1" s="1"/>
  <c r="GT118" i="1" s="1"/>
  <c r="GM118" i="1"/>
  <c r="GN118" i="1" s="1"/>
  <c r="GO118" i="1" s="1"/>
  <c r="GH118" i="1"/>
  <c r="GI118" i="1" s="1"/>
  <c r="GJ118" i="1" s="1"/>
  <c r="GC118" i="1"/>
  <c r="GD118" i="1" s="1"/>
  <c r="GE118" i="1" s="1"/>
  <c r="FX118" i="1"/>
  <c r="FY118" i="1" s="1"/>
  <c r="FZ118" i="1" s="1"/>
  <c r="FS118" i="1"/>
  <c r="FT118" i="1" s="1"/>
  <c r="FU118" i="1" s="1"/>
  <c r="FN118" i="1"/>
  <c r="FO118" i="1" s="1"/>
  <c r="FP118" i="1" s="1"/>
  <c r="FI118" i="1"/>
  <c r="FJ118" i="1" s="1"/>
  <c r="FK118" i="1" s="1"/>
  <c r="FD118" i="1"/>
  <c r="FE118" i="1" s="1"/>
  <c r="FF118" i="1" s="1"/>
  <c r="EY118" i="1"/>
  <c r="EZ118" i="1" s="1"/>
  <c r="FA118" i="1" s="1"/>
  <c r="ET118" i="1"/>
  <c r="EU118" i="1" s="1"/>
  <c r="EV118" i="1" s="1"/>
  <c r="EO118" i="1"/>
  <c r="EP118" i="1" s="1"/>
  <c r="EQ118" i="1" s="1"/>
  <c r="EJ118" i="1"/>
  <c r="EK118" i="1" s="1"/>
  <c r="EL118" i="1" s="1"/>
  <c r="EE118" i="1"/>
  <c r="EF118" i="1" s="1"/>
  <c r="EG118" i="1" s="1"/>
  <c r="DZ118" i="1"/>
  <c r="EA118" i="1" s="1"/>
  <c r="EB118" i="1" s="1"/>
  <c r="DU118" i="1"/>
  <c r="DV118" i="1" s="1"/>
  <c r="DW118" i="1" s="1"/>
  <c r="DP118" i="1"/>
  <c r="DQ118" i="1" s="1"/>
  <c r="DR118" i="1" s="1"/>
  <c r="DK118" i="1"/>
  <c r="DL118" i="1" s="1"/>
  <c r="DM118" i="1" s="1"/>
  <c r="DF118" i="1"/>
  <c r="DG118" i="1" s="1"/>
  <c r="DH118" i="1" s="1"/>
  <c r="DA118" i="1"/>
  <c r="DB118" i="1" s="1"/>
  <c r="DC118" i="1" s="1"/>
  <c r="CV118" i="1"/>
  <c r="CW118" i="1" s="1"/>
  <c r="CX118" i="1" s="1"/>
  <c r="CQ118" i="1"/>
  <c r="CR118" i="1" s="1"/>
  <c r="CS118" i="1" s="1"/>
  <c r="CL118" i="1"/>
  <c r="CM118" i="1" s="1"/>
  <c r="CN118" i="1" s="1"/>
  <c r="CG118" i="1"/>
  <c r="CH118" i="1" s="1"/>
  <c r="CI118" i="1" s="1"/>
  <c r="CB118" i="1"/>
  <c r="CC118" i="1" s="1"/>
  <c r="CD118" i="1" s="1"/>
  <c r="BW118" i="1"/>
  <c r="BX118" i="1" s="1"/>
  <c r="BY118" i="1" s="1"/>
  <c r="BR118" i="1"/>
  <c r="BS118" i="1" s="1"/>
  <c r="BT118" i="1" s="1"/>
  <c r="BM118" i="1"/>
  <c r="BN118" i="1" s="1"/>
  <c r="BO118" i="1" s="1"/>
  <c r="BH118" i="1"/>
  <c r="BI118" i="1" s="1"/>
  <c r="BJ118" i="1" s="1"/>
  <c r="BC118" i="1"/>
  <c r="BD118" i="1" s="1"/>
  <c r="BE118" i="1" s="1"/>
  <c r="AX118" i="1"/>
  <c r="AY118" i="1" s="1"/>
  <c r="AZ118" i="1" s="1"/>
  <c r="AS118" i="1"/>
  <c r="AT118" i="1" s="1"/>
  <c r="AU118" i="1" s="1"/>
  <c r="AN118" i="1"/>
  <c r="AO118" i="1" s="1"/>
  <c r="AP118" i="1" s="1"/>
  <c r="AI118" i="1"/>
  <c r="AJ118" i="1" s="1"/>
  <c r="AK118" i="1" s="1"/>
  <c r="AD118" i="1"/>
  <c r="AE118" i="1" s="1"/>
  <c r="AF118" i="1" s="1"/>
  <c r="X118" i="1"/>
  <c r="Y118" i="1" s="1"/>
  <c r="Z118" i="1" s="1"/>
  <c r="T118" i="1"/>
  <c r="O118" i="1"/>
  <c r="J118" i="1"/>
  <c r="PZ117" i="1"/>
  <c r="PU117" i="1"/>
  <c r="PP117" i="1"/>
  <c r="PK117" i="1"/>
  <c r="PF117" i="1"/>
  <c r="PA117" i="1"/>
  <c r="OV117" i="1"/>
  <c r="OQ117" i="1"/>
  <c r="OL117" i="1"/>
  <c r="OG117" i="1"/>
  <c r="OB117" i="1"/>
  <c r="NW117" i="1"/>
  <c r="NR117" i="1"/>
  <c r="NM117" i="1"/>
  <c r="NH117" i="1"/>
  <c r="NC117" i="1"/>
  <c r="MX117" i="1"/>
  <c r="MS117" i="1"/>
  <c r="MN117" i="1"/>
  <c r="MI117" i="1"/>
  <c r="MD117" i="1"/>
  <c r="LY117" i="1"/>
  <c r="LT117" i="1"/>
  <c r="LO117" i="1"/>
  <c r="LJ117" i="1"/>
  <c r="LC117" i="1"/>
  <c r="LD117" i="1" s="1"/>
  <c r="LE117" i="1" s="1"/>
  <c r="KZ117" i="1"/>
  <c r="KU117" i="1"/>
  <c r="KP117" i="1"/>
  <c r="KI117" i="1"/>
  <c r="KJ117" i="1" s="1"/>
  <c r="KK117" i="1" s="1"/>
  <c r="KF117" i="1"/>
  <c r="IZ117" i="1"/>
  <c r="JA117" i="1" s="1"/>
  <c r="JB117" i="1" s="1"/>
  <c r="IU117" i="1"/>
  <c r="IV117" i="1" s="1"/>
  <c r="IW117" i="1" s="1"/>
  <c r="IP117" i="1"/>
  <c r="IQ117" i="1" s="1"/>
  <c r="IR117" i="1" s="1"/>
  <c r="IK117" i="1"/>
  <c r="IL117" i="1" s="1"/>
  <c r="IM117" i="1" s="1"/>
  <c r="IF117" i="1"/>
  <c r="IG117" i="1" s="1"/>
  <c r="IH117" i="1" s="1"/>
  <c r="IA117" i="1"/>
  <c r="IB117" i="1" s="1"/>
  <c r="IC117" i="1" s="1"/>
  <c r="HV117" i="1"/>
  <c r="HW117" i="1" s="1"/>
  <c r="HX117" i="1" s="1"/>
  <c r="HS117" i="1"/>
  <c r="HN117" i="1"/>
  <c r="HG117" i="1"/>
  <c r="HH117" i="1" s="1"/>
  <c r="HI117" i="1" s="1"/>
  <c r="HB117" i="1"/>
  <c r="HC117" i="1" s="1"/>
  <c r="HD117" i="1" s="1"/>
  <c r="GW117" i="1"/>
  <c r="GX117" i="1" s="1"/>
  <c r="GY117" i="1" s="1"/>
  <c r="GR117" i="1"/>
  <c r="GS117" i="1" s="1"/>
  <c r="GT117" i="1" s="1"/>
  <c r="GM117" i="1"/>
  <c r="GN117" i="1" s="1"/>
  <c r="GO117" i="1" s="1"/>
  <c r="GH117" i="1"/>
  <c r="GI117" i="1" s="1"/>
  <c r="GJ117" i="1" s="1"/>
  <c r="GC117" i="1"/>
  <c r="GD117" i="1" s="1"/>
  <c r="GE117" i="1" s="1"/>
  <c r="FX117" i="1"/>
  <c r="FY117" i="1" s="1"/>
  <c r="FZ117" i="1" s="1"/>
  <c r="FS117" i="1"/>
  <c r="FT117" i="1" s="1"/>
  <c r="FU117" i="1" s="1"/>
  <c r="FN117" i="1"/>
  <c r="FO117" i="1" s="1"/>
  <c r="FP117" i="1" s="1"/>
  <c r="FI117" i="1"/>
  <c r="FJ117" i="1" s="1"/>
  <c r="FK117" i="1" s="1"/>
  <c r="FD117" i="1"/>
  <c r="FE117" i="1" s="1"/>
  <c r="FF117" i="1" s="1"/>
  <c r="EY117" i="1"/>
  <c r="EZ117" i="1" s="1"/>
  <c r="FA117" i="1" s="1"/>
  <c r="ET117" i="1"/>
  <c r="EU117" i="1" s="1"/>
  <c r="EV117" i="1" s="1"/>
  <c r="EO117" i="1"/>
  <c r="EP117" i="1" s="1"/>
  <c r="EQ117" i="1" s="1"/>
  <c r="EJ117" i="1"/>
  <c r="EK117" i="1" s="1"/>
  <c r="EL117" i="1" s="1"/>
  <c r="EE117" i="1"/>
  <c r="EF117" i="1" s="1"/>
  <c r="EG117" i="1" s="1"/>
  <c r="DZ117" i="1"/>
  <c r="EA117" i="1" s="1"/>
  <c r="EB117" i="1" s="1"/>
  <c r="DU117" i="1"/>
  <c r="DV117" i="1" s="1"/>
  <c r="DW117" i="1" s="1"/>
  <c r="DP117" i="1"/>
  <c r="DQ117" i="1" s="1"/>
  <c r="DR117" i="1" s="1"/>
  <c r="DK117" i="1"/>
  <c r="DL117" i="1" s="1"/>
  <c r="DM117" i="1" s="1"/>
  <c r="DF117" i="1"/>
  <c r="DG117" i="1" s="1"/>
  <c r="DH117" i="1" s="1"/>
  <c r="DA117" i="1"/>
  <c r="DB117" i="1" s="1"/>
  <c r="DC117" i="1" s="1"/>
  <c r="CV117" i="1"/>
  <c r="CW117" i="1" s="1"/>
  <c r="CX117" i="1" s="1"/>
  <c r="CQ117" i="1"/>
  <c r="CR117" i="1" s="1"/>
  <c r="CS117" i="1" s="1"/>
  <c r="CL117" i="1"/>
  <c r="CM117" i="1" s="1"/>
  <c r="CN117" i="1" s="1"/>
  <c r="CG117" i="1"/>
  <c r="CH117" i="1" s="1"/>
  <c r="CI117" i="1" s="1"/>
  <c r="CB117" i="1"/>
  <c r="CC117" i="1" s="1"/>
  <c r="CD117" i="1" s="1"/>
  <c r="BW117" i="1"/>
  <c r="BX117" i="1" s="1"/>
  <c r="BY117" i="1" s="1"/>
  <c r="BR117" i="1"/>
  <c r="BS117" i="1" s="1"/>
  <c r="BT117" i="1" s="1"/>
  <c r="BM117" i="1"/>
  <c r="BN117" i="1" s="1"/>
  <c r="BO117" i="1" s="1"/>
  <c r="BH117" i="1"/>
  <c r="BI117" i="1" s="1"/>
  <c r="BJ117" i="1" s="1"/>
  <c r="BC117" i="1"/>
  <c r="BD117" i="1" s="1"/>
  <c r="BE117" i="1" s="1"/>
  <c r="AX117" i="1"/>
  <c r="AY117" i="1" s="1"/>
  <c r="AZ117" i="1" s="1"/>
  <c r="AS117" i="1"/>
  <c r="AT117" i="1" s="1"/>
  <c r="AU117" i="1" s="1"/>
  <c r="AN117" i="1"/>
  <c r="AO117" i="1" s="1"/>
  <c r="AP117" i="1" s="1"/>
  <c r="AI117" i="1"/>
  <c r="AJ117" i="1" s="1"/>
  <c r="AK117" i="1" s="1"/>
  <c r="AD117" i="1"/>
  <c r="AE117" i="1" s="1"/>
  <c r="AF117" i="1" s="1"/>
  <c r="X117" i="1"/>
  <c r="Y117" i="1" s="1"/>
  <c r="Z117" i="1" s="1"/>
  <c r="T117" i="1"/>
  <c r="O117" i="1"/>
  <c r="J117" i="1"/>
  <c r="PZ116" i="1"/>
  <c r="PU116" i="1"/>
  <c r="PP116" i="1"/>
  <c r="PK116" i="1"/>
  <c r="PF116" i="1"/>
  <c r="PA116" i="1"/>
  <c r="OV116" i="1"/>
  <c r="OQ116" i="1"/>
  <c r="OL116" i="1"/>
  <c r="OG116" i="1"/>
  <c r="OB116" i="1"/>
  <c r="NW116" i="1"/>
  <c r="NR116" i="1"/>
  <c r="NM116" i="1"/>
  <c r="NH116" i="1"/>
  <c r="NC116" i="1"/>
  <c r="MX116" i="1"/>
  <c r="MS116" i="1"/>
  <c r="MN116" i="1"/>
  <c r="MI116" i="1"/>
  <c r="MD116" i="1"/>
  <c r="LY116" i="1"/>
  <c r="LT116" i="1"/>
  <c r="LO116" i="1"/>
  <c r="LJ116" i="1"/>
  <c r="LE116" i="1"/>
  <c r="KZ116" i="1"/>
  <c r="KS116" i="1"/>
  <c r="KT116" i="1" s="1"/>
  <c r="KU116" i="1" s="1"/>
  <c r="KP116" i="1"/>
  <c r="KI116" i="1"/>
  <c r="KJ116" i="1" s="1"/>
  <c r="KK116" i="1" s="1"/>
  <c r="KF116" i="1"/>
  <c r="JB116" i="1"/>
  <c r="IW116" i="1"/>
  <c r="IR116" i="1"/>
  <c r="IM116" i="1"/>
  <c r="IH116" i="1"/>
  <c r="IC116" i="1"/>
  <c r="HX116" i="1"/>
  <c r="HS116" i="1"/>
  <c r="HN116" i="1"/>
  <c r="HI116" i="1"/>
  <c r="HB116" i="1"/>
  <c r="HC116" i="1" s="1"/>
  <c r="HD116" i="1" s="1"/>
  <c r="GY116" i="1"/>
  <c r="GR116" i="1"/>
  <c r="GS116" i="1" s="1"/>
  <c r="GT116" i="1" s="1"/>
  <c r="GM116" i="1"/>
  <c r="GN116" i="1" s="1"/>
  <c r="GO116" i="1" s="1"/>
  <c r="GH116" i="1"/>
  <c r="GI116" i="1" s="1"/>
  <c r="GJ116" i="1" s="1"/>
  <c r="GC116" i="1"/>
  <c r="GD116" i="1" s="1"/>
  <c r="GE116" i="1" s="1"/>
  <c r="FX116" i="1"/>
  <c r="FY116" i="1" s="1"/>
  <c r="FZ116" i="1" s="1"/>
  <c r="FS116" i="1"/>
  <c r="FT116" i="1" s="1"/>
  <c r="FU116" i="1" s="1"/>
  <c r="FN116" i="1"/>
  <c r="FO116" i="1" s="1"/>
  <c r="FP116" i="1" s="1"/>
  <c r="FI116" i="1"/>
  <c r="FJ116" i="1" s="1"/>
  <c r="FK116" i="1" s="1"/>
  <c r="FD116" i="1"/>
  <c r="FE116" i="1" s="1"/>
  <c r="FF116" i="1" s="1"/>
  <c r="EY116" i="1"/>
  <c r="EZ116" i="1" s="1"/>
  <c r="FA116" i="1" s="1"/>
  <c r="ET116" i="1"/>
  <c r="EU116" i="1" s="1"/>
  <c r="EV116" i="1" s="1"/>
  <c r="EO116" i="1"/>
  <c r="EP116" i="1" s="1"/>
  <c r="EQ116" i="1" s="1"/>
  <c r="EJ116" i="1"/>
  <c r="EK116" i="1" s="1"/>
  <c r="EL116" i="1" s="1"/>
  <c r="EE116" i="1"/>
  <c r="EF116" i="1" s="1"/>
  <c r="EG116" i="1" s="1"/>
  <c r="DZ116" i="1"/>
  <c r="EA116" i="1" s="1"/>
  <c r="EB116" i="1" s="1"/>
  <c r="DU116" i="1"/>
  <c r="DV116" i="1" s="1"/>
  <c r="DW116" i="1" s="1"/>
  <c r="DP116" i="1"/>
  <c r="DQ116" i="1" s="1"/>
  <c r="DR116" i="1" s="1"/>
  <c r="DK116" i="1"/>
  <c r="DL116" i="1" s="1"/>
  <c r="DM116" i="1" s="1"/>
  <c r="DF116" i="1"/>
  <c r="DG116" i="1" s="1"/>
  <c r="DH116" i="1" s="1"/>
  <c r="DA116" i="1"/>
  <c r="DB116" i="1" s="1"/>
  <c r="DC116" i="1" s="1"/>
  <c r="CV116" i="1"/>
  <c r="CW116" i="1" s="1"/>
  <c r="CX116" i="1" s="1"/>
  <c r="CQ116" i="1"/>
  <c r="CR116" i="1" s="1"/>
  <c r="CS116" i="1" s="1"/>
  <c r="CL116" i="1"/>
  <c r="CM116" i="1" s="1"/>
  <c r="CN116" i="1" s="1"/>
  <c r="CG116" i="1"/>
  <c r="CH116" i="1" s="1"/>
  <c r="CI116" i="1" s="1"/>
  <c r="CB116" i="1"/>
  <c r="CC116" i="1" s="1"/>
  <c r="CD116" i="1" s="1"/>
  <c r="BW116" i="1"/>
  <c r="BX116" i="1" s="1"/>
  <c r="BY116" i="1" s="1"/>
  <c r="BR116" i="1"/>
  <c r="BS116" i="1" s="1"/>
  <c r="BT116" i="1" s="1"/>
  <c r="BM116" i="1"/>
  <c r="BN116" i="1" s="1"/>
  <c r="BO116" i="1" s="1"/>
  <c r="BH116" i="1"/>
  <c r="BI116" i="1" s="1"/>
  <c r="BJ116" i="1" s="1"/>
  <c r="BC116" i="1"/>
  <c r="BD116" i="1" s="1"/>
  <c r="BE116" i="1" s="1"/>
  <c r="AX116" i="1"/>
  <c r="AY116" i="1" s="1"/>
  <c r="AZ116" i="1" s="1"/>
  <c r="AS116" i="1"/>
  <c r="AT116" i="1" s="1"/>
  <c r="AU116" i="1" s="1"/>
  <c r="AN116" i="1"/>
  <c r="AO116" i="1" s="1"/>
  <c r="AP116" i="1" s="1"/>
  <c r="AI116" i="1"/>
  <c r="AJ116" i="1" s="1"/>
  <c r="AK116" i="1" s="1"/>
  <c r="AD116" i="1"/>
  <c r="AE116" i="1" s="1"/>
  <c r="AF116" i="1" s="1"/>
  <c r="X116" i="1"/>
  <c r="Y116" i="1" s="1"/>
  <c r="Z116" i="1" s="1"/>
  <c r="T116" i="1"/>
  <c r="O116" i="1"/>
  <c r="J116" i="1"/>
  <c r="PX115" i="1"/>
  <c r="PY115" i="1" s="1"/>
  <c r="PZ115" i="1" s="1"/>
  <c r="PU115" i="1"/>
  <c r="PP115" i="1"/>
  <c r="PK115" i="1"/>
  <c r="PF115" i="1"/>
  <c r="PA115" i="1"/>
  <c r="OV115" i="1"/>
  <c r="OQ115" i="1"/>
  <c r="OL115" i="1"/>
  <c r="OG115" i="1"/>
  <c r="OB115" i="1"/>
  <c r="NW115" i="1"/>
  <c r="NR115" i="1"/>
  <c r="NM115" i="1"/>
  <c r="NH115" i="1"/>
  <c r="NC115" i="1"/>
  <c r="MX115" i="1"/>
  <c r="MS115" i="1"/>
  <c r="MN115" i="1"/>
  <c r="MI115" i="1"/>
  <c r="MD115" i="1"/>
  <c r="LY115" i="1"/>
  <c r="LT115" i="1"/>
  <c r="LO115" i="1"/>
  <c r="LJ115" i="1"/>
  <c r="LE115" i="1"/>
  <c r="KZ115" i="1"/>
  <c r="KU115" i="1"/>
  <c r="KP115" i="1"/>
  <c r="KK115" i="1"/>
  <c r="KF115" i="1"/>
  <c r="JB115" i="1"/>
  <c r="IW115" i="1"/>
  <c r="IR115" i="1"/>
  <c r="IM115" i="1"/>
  <c r="IH115" i="1"/>
  <c r="IC115" i="1"/>
  <c r="HX115" i="1"/>
  <c r="HS115" i="1"/>
  <c r="HN115" i="1"/>
  <c r="HG115" i="1"/>
  <c r="HH115" i="1" s="1"/>
  <c r="HI115" i="1" s="1"/>
  <c r="HB115" i="1"/>
  <c r="HC115" i="1" s="1"/>
  <c r="HD115" i="1" s="1"/>
  <c r="GW115" i="1"/>
  <c r="GX115" i="1" s="1"/>
  <c r="GY115" i="1" s="1"/>
  <c r="GR115" i="1"/>
  <c r="GS115" i="1" s="1"/>
  <c r="GT115" i="1" s="1"/>
  <c r="GM115" i="1"/>
  <c r="GN115" i="1" s="1"/>
  <c r="GO115" i="1" s="1"/>
  <c r="GH115" i="1"/>
  <c r="GI115" i="1" s="1"/>
  <c r="GJ115" i="1" s="1"/>
  <c r="GC115" i="1"/>
  <c r="GD115" i="1" s="1"/>
  <c r="GE115" i="1" s="1"/>
  <c r="FX115" i="1"/>
  <c r="FY115" i="1" s="1"/>
  <c r="FZ115" i="1" s="1"/>
  <c r="FS115" i="1"/>
  <c r="FT115" i="1" s="1"/>
  <c r="FU115" i="1" s="1"/>
  <c r="FN115" i="1"/>
  <c r="FO115" i="1" s="1"/>
  <c r="FP115" i="1" s="1"/>
  <c r="FI115" i="1"/>
  <c r="FJ115" i="1" s="1"/>
  <c r="FK115" i="1" s="1"/>
  <c r="FD115" i="1"/>
  <c r="FE115" i="1" s="1"/>
  <c r="FF115" i="1" s="1"/>
  <c r="EY115" i="1"/>
  <c r="EZ115" i="1" s="1"/>
  <c r="FA115" i="1" s="1"/>
  <c r="ET115" i="1"/>
  <c r="EU115" i="1" s="1"/>
  <c r="EV115" i="1" s="1"/>
  <c r="EO115" i="1"/>
  <c r="EP115" i="1" s="1"/>
  <c r="EQ115" i="1" s="1"/>
  <c r="EJ115" i="1"/>
  <c r="EK115" i="1" s="1"/>
  <c r="EL115" i="1" s="1"/>
  <c r="EE115" i="1"/>
  <c r="EF115" i="1" s="1"/>
  <c r="EG115" i="1" s="1"/>
  <c r="DZ115" i="1"/>
  <c r="EA115" i="1" s="1"/>
  <c r="EB115" i="1" s="1"/>
  <c r="DU115" i="1"/>
  <c r="DV115" i="1" s="1"/>
  <c r="DW115" i="1" s="1"/>
  <c r="DP115" i="1"/>
  <c r="DQ115" i="1" s="1"/>
  <c r="DR115" i="1" s="1"/>
  <c r="DK115" i="1"/>
  <c r="DL115" i="1" s="1"/>
  <c r="DM115" i="1" s="1"/>
  <c r="DF115" i="1"/>
  <c r="DG115" i="1" s="1"/>
  <c r="DH115" i="1" s="1"/>
  <c r="DA115" i="1"/>
  <c r="DB115" i="1" s="1"/>
  <c r="DC115" i="1" s="1"/>
  <c r="CV115" i="1"/>
  <c r="CW115" i="1" s="1"/>
  <c r="CX115" i="1" s="1"/>
  <c r="CQ115" i="1"/>
  <c r="CR115" i="1" s="1"/>
  <c r="CS115" i="1" s="1"/>
  <c r="CL115" i="1"/>
  <c r="CM115" i="1" s="1"/>
  <c r="CN115" i="1" s="1"/>
  <c r="CG115" i="1"/>
  <c r="CH115" i="1" s="1"/>
  <c r="CI115" i="1" s="1"/>
  <c r="CB115" i="1"/>
  <c r="CC115" i="1" s="1"/>
  <c r="CD115" i="1" s="1"/>
  <c r="BW115" i="1"/>
  <c r="BX115" i="1" s="1"/>
  <c r="BY115" i="1" s="1"/>
  <c r="BR115" i="1"/>
  <c r="BS115" i="1" s="1"/>
  <c r="BT115" i="1" s="1"/>
  <c r="BM115" i="1"/>
  <c r="BN115" i="1" s="1"/>
  <c r="BO115" i="1" s="1"/>
  <c r="BH115" i="1"/>
  <c r="BI115" i="1" s="1"/>
  <c r="BJ115" i="1" s="1"/>
  <c r="BC115" i="1"/>
  <c r="BD115" i="1" s="1"/>
  <c r="BE115" i="1" s="1"/>
  <c r="AX115" i="1"/>
  <c r="AY115" i="1" s="1"/>
  <c r="AZ115" i="1" s="1"/>
  <c r="AS115" i="1"/>
  <c r="AT115" i="1" s="1"/>
  <c r="AU115" i="1" s="1"/>
  <c r="AN115" i="1"/>
  <c r="AO115" i="1" s="1"/>
  <c r="AP115" i="1" s="1"/>
  <c r="AI115" i="1"/>
  <c r="AJ115" i="1" s="1"/>
  <c r="AK115" i="1" s="1"/>
  <c r="AD115" i="1"/>
  <c r="AE115" i="1" s="1"/>
  <c r="AF115" i="1" s="1"/>
  <c r="X115" i="1"/>
  <c r="Y115" i="1" s="1"/>
  <c r="Z115" i="1" s="1"/>
  <c r="R115" i="1"/>
  <c r="S115" i="1" s="1"/>
  <c r="T115" i="1" s="1"/>
  <c r="O115" i="1"/>
  <c r="J115" i="1"/>
  <c r="PZ114" i="1"/>
  <c r="PU114" i="1"/>
  <c r="PP114" i="1"/>
  <c r="PK114" i="1"/>
  <c r="PF114" i="1"/>
  <c r="PA114" i="1"/>
  <c r="OV114" i="1"/>
  <c r="OQ114" i="1"/>
  <c r="OL114" i="1"/>
  <c r="OG114" i="1"/>
  <c r="OB114" i="1"/>
  <c r="NW114" i="1"/>
  <c r="NR114" i="1"/>
  <c r="NM114" i="1"/>
  <c r="NH114" i="1"/>
  <c r="NC114" i="1"/>
  <c r="MX114" i="1"/>
  <c r="MS114" i="1"/>
  <c r="MN114" i="1"/>
  <c r="MI114" i="1"/>
  <c r="MB114" i="1"/>
  <c r="MC114" i="1" s="1"/>
  <c r="MD114" i="1" s="1"/>
  <c r="LW114" i="1"/>
  <c r="LX114" i="1" s="1"/>
  <c r="LY114" i="1" s="1"/>
  <c r="LT114" i="1"/>
  <c r="LO114" i="1"/>
  <c r="LJ114" i="1"/>
  <c r="LC114" i="1"/>
  <c r="LD114" i="1" s="1"/>
  <c r="LE114" i="1" s="1"/>
  <c r="KZ114" i="1"/>
  <c r="KS114" i="1"/>
  <c r="KT114" i="1" s="1"/>
  <c r="KU114" i="1" s="1"/>
  <c r="KP114" i="1"/>
  <c r="KI114" i="1"/>
  <c r="KJ114" i="1" s="1"/>
  <c r="KK114" i="1" s="1"/>
  <c r="KF114" i="1"/>
  <c r="IZ114" i="1"/>
  <c r="JA114" i="1" s="1"/>
  <c r="JB114" i="1" s="1"/>
  <c r="IU114" i="1"/>
  <c r="IV114" i="1" s="1"/>
  <c r="IW114" i="1" s="1"/>
  <c r="IP114" i="1"/>
  <c r="IQ114" i="1" s="1"/>
  <c r="IR114" i="1" s="1"/>
  <c r="IK114" i="1"/>
  <c r="IL114" i="1" s="1"/>
  <c r="IM114" i="1" s="1"/>
  <c r="IF114" i="1"/>
  <c r="IG114" i="1" s="1"/>
  <c r="IH114" i="1" s="1"/>
  <c r="IA114" i="1"/>
  <c r="IB114" i="1" s="1"/>
  <c r="IC114" i="1" s="1"/>
  <c r="HV114" i="1"/>
  <c r="HW114" i="1" s="1"/>
  <c r="HX114" i="1" s="1"/>
  <c r="HQ114" i="1"/>
  <c r="HR114" i="1" s="1"/>
  <c r="HS114" i="1" s="1"/>
  <c r="HL114" i="1"/>
  <c r="HM114" i="1" s="1"/>
  <c r="HN114" i="1" s="1"/>
  <c r="HG114" i="1"/>
  <c r="HH114" i="1" s="1"/>
  <c r="HI114" i="1" s="1"/>
  <c r="HB114" i="1"/>
  <c r="HC114" i="1" s="1"/>
  <c r="HD114" i="1" s="1"/>
  <c r="GW114" i="1"/>
  <c r="GX114" i="1" s="1"/>
  <c r="GY114" i="1" s="1"/>
  <c r="GR114" i="1"/>
  <c r="GS114" i="1" s="1"/>
  <c r="GT114" i="1" s="1"/>
  <c r="GM114" i="1"/>
  <c r="GN114" i="1" s="1"/>
  <c r="GO114" i="1" s="1"/>
  <c r="GH114" i="1"/>
  <c r="GI114" i="1" s="1"/>
  <c r="GJ114" i="1" s="1"/>
  <c r="GC114" i="1"/>
  <c r="GD114" i="1" s="1"/>
  <c r="GE114" i="1" s="1"/>
  <c r="FX114" i="1"/>
  <c r="FY114" i="1" s="1"/>
  <c r="FZ114" i="1" s="1"/>
  <c r="FS114" i="1"/>
  <c r="FT114" i="1" s="1"/>
  <c r="FU114" i="1" s="1"/>
  <c r="FN114" i="1"/>
  <c r="FO114" i="1" s="1"/>
  <c r="FP114" i="1" s="1"/>
  <c r="FI114" i="1"/>
  <c r="FJ114" i="1" s="1"/>
  <c r="FK114" i="1" s="1"/>
  <c r="FD114" i="1"/>
  <c r="FE114" i="1" s="1"/>
  <c r="FF114" i="1" s="1"/>
  <c r="EY114" i="1"/>
  <c r="EZ114" i="1" s="1"/>
  <c r="FA114" i="1" s="1"/>
  <c r="ET114" i="1"/>
  <c r="EU114" i="1" s="1"/>
  <c r="EV114" i="1" s="1"/>
  <c r="EO114" i="1"/>
  <c r="EP114" i="1" s="1"/>
  <c r="EQ114" i="1" s="1"/>
  <c r="EJ114" i="1"/>
  <c r="EK114" i="1" s="1"/>
  <c r="EL114" i="1" s="1"/>
  <c r="EE114" i="1"/>
  <c r="EF114" i="1" s="1"/>
  <c r="EG114" i="1" s="1"/>
  <c r="DZ114" i="1"/>
  <c r="EA114" i="1" s="1"/>
  <c r="EB114" i="1" s="1"/>
  <c r="DU114" i="1"/>
  <c r="DV114" i="1" s="1"/>
  <c r="DW114" i="1" s="1"/>
  <c r="DP114" i="1"/>
  <c r="DQ114" i="1" s="1"/>
  <c r="DR114" i="1" s="1"/>
  <c r="DK114" i="1"/>
  <c r="DL114" i="1" s="1"/>
  <c r="DM114" i="1" s="1"/>
  <c r="DF114" i="1"/>
  <c r="DG114" i="1" s="1"/>
  <c r="DH114" i="1" s="1"/>
  <c r="DA114" i="1"/>
  <c r="DB114" i="1" s="1"/>
  <c r="DC114" i="1" s="1"/>
  <c r="CV114" i="1"/>
  <c r="CW114" i="1" s="1"/>
  <c r="CX114" i="1" s="1"/>
  <c r="CQ114" i="1"/>
  <c r="CR114" i="1" s="1"/>
  <c r="CS114" i="1" s="1"/>
  <c r="CL114" i="1"/>
  <c r="CM114" i="1" s="1"/>
  <c r="CN114" i="1" s="1"/>
  <c r="CG114" i="1"/>
  <c r="CH114" i="1" s="1"/>
  <c r="CI114" i="1" s="1"/>
  <c r="CB114" i="1"/>
  <c r="CC114" i="1" s="1"/>
  <c r="CD114" i="1" s="1"/>
  <c r="BW114" i="1"/>
  <c r="BX114" i="1" s="1"/>
  <c r="BY114" i="1" s="1"/>
  <c r="BR114" i="1"/>
  <c r="BS114" i="1" s="1"/>
  <c r="BT114" i="1" s="1"/>
  <c r="BM114" i="1"/>
  <c r="BN114" i="1" s="1"/>
  <c r="BO114" i="1" s="1"/>
  <c r="BH114" i="1"/>
  <c r="BI114" i="1" s="1"/>
  <c r="BJ114" i="1" s="1"/>
  <c r="BC114" i="1"/>
  <c r="BD114" i="1" s="1"/>
  <c r="BE114" i="1" s="1"/>
  <c r="AX114" i="1"/>
  <c r="AY114" i="1" s="1"/>
  <c r="AZ114" i="1" s="1"/>
  <c r="AS114" i="1"/>
  <c r="AT114" i="1" s="1"/>
  <c r="AU114" i="1" s="1"/>
  <c r="AN114" i="1"/>
  <c r="AO114" i="1" s="1"/>
  <c r="AP114" i="1" s="1"/>
  <c r="AI114" i="1"/>
  <c r="AJ114" i="1" s="1"/>
  <c r="AK114" i="1" s="1"/>
  <c r="AD114" i="1"/>
  <c r="AE114" i="1" s="1"/>
  <c r="AF114" i="1" s="1"/>
  <c r="X114" i="1"/>
  <c r="Y114" i="1" s="1"/>
  <c r="Z114" i="1" s="1"/>
  <c r="T114" i="1"/>
  <c r="O114" i="1"/>
  <c r="J114" i="1"/>
  <c r="PZ113" i="1"/>
  <c r="PU113" i="1"/>
  <c r="PP113" i="1"/>
  <c r="PK113" i="1"/>
  <c r="PF113" i="1"/>
  <c r="PA113" i="1"/>
  <c r="OV113" i="1"/>
  <c r="OQ113" i="1"/>
  <c r="OL113" i="1"/>
  <c r="OG113" i="1"/>
  <c r="OB113" i="1"/>
  <c r="NW113" i="1"/>
  <c r="NR113" i="1"/>
  <c r="NM113" i="1"/>
  <c r="NH113" i="1"/>
  <c r="NC113" i="1"/>
  <c r="MX113" i="1"/>
  <c r="MS113" i="1"/>
  <c r="MN113" i="1"/>
  <c r="MI113" i="1"/>
  <c r="MD113" i="1"/>
  <c r="LY113" i="1"/>
  <c r="LT113" i="1"/>
  <c r="LO113" i="1"/>
  <c r="LJ113" i="1"/>
  <c r="LE113" i="1"/>
  <c r="KX113" i="1"/>
  <c r="KY113" i="1" s="1"/>
  <c r="KZ113" i="1" s="1"/>
  <c r="KU113" i="1"/>
  <c r="KP113" i="1"/>
  <c r="KK113" i="1"/>
  <c r="KF113" i="1"/>
  <c r="IZ113" i="1"/>
  <c r="JA113" i="1" s="1"/>
  <c r="JB113" i="1" s="1"/>
  <c r="IU113" i="1"/>
  <c r="IV113" i="1" s="1"/>
  <c r="IW113" i="1" s="1"/>
  <c r="IP113" i="1"/>
  <c r="IQ113" i="1" s="1"/>
  <c r="IR113" i="1" s="1"/>
  <c r="IK113" i="1"/>
  <c r="IL113" i="1" s="1"/>
  <c r="IM113" i="1" s="1"/>
  <c r="IF113" i="1"/>
  <c r="IG113" i="1" s="1"/>
  <c r="IH113" i="1" s="1"/>
  <c r="IA113" i="1"/>
  <c r="IB113" i="1" s="1"/>
  <c r="IC113" i="1" s="1"/>
  <c r="HV113" i="1"/>
  <c r="HW113" i="1" s="1"/>
  <c r="HX113" i="1" s="1"/>
  <c r="HQ113" i="1"/>
  <c r="HR113" i="1" s="1"/>
  <c r="HS113" i="1" s="1"/>
  <c r="HL113" i="1"/>
  <c r="HM113" i="1" s="1"/>
  <c r="HN113" i="1" s="1"/>
  <c r="HG113" i="1"/>
  <c r="HH113" i="1" s="1"/>
  <c r="HI113" i="1" s="1"/>
  <c r="HB113" i="1"/>
  <c r="HC113" i="1" s="1"/>
  <c r="HD113" i="1" s="1"/>
  <c r="GW113" i="1"/>
  <c r="GX113" i="1" s="1"/>
  <c r="GY113" i="1" s="1"/>
  <c r="GR113" i="1"/>
  <c r="GS113" i="1" s="1"/>
  <c r="GT113" i="1" s="1"/>
  <c r="GM113" i="1"/>
  <c r="GN113" i="1" s="1"/>
  <c r="GO113" i="1" s="1"/>
  <c r="GH113" i="1"/>
  <c r="GI113" i="1" s="1"/>
  <c r="GJ113" i="1" s="1"/>
  <c r="GC113" i="1"/>
  <c r="GD113" i="1" s="1"/>
  <c r="GE113" i="1" s="1"/>
  <c r="FX113" i="1"/>
  <c r="FY113" i="1" s="1"/>
  <c r="FZ113" i="1" s="1"/>
  <c r="FS113" i="1"/>
  <c r="FT113" i="1" s="1"/>
  <c r="FU113" i="1" s="1"/>
  <c r="FN113" i="1"/>
  <c r="FO113" i="1" s="1"/>
  <c r="FP113" i="1" s="1"/>
  <c r="FI113" i="1"/>
  <c r="FJ113" i="1" s="1"/>
  <c r="FK113" i="1" s="1"/>
  <c r="FD113" i="1"/>
  <c r="FE113" i="1" s="1"/>
  <c r="FF113" i="1" s="1"/>
  <c r="EY113" i="1"/>
  <c r="EZ113" i="1" s="1"/>
  <c r="FA113" i="1" s="1"/>
  <c r="ET113" i="1"/>
  <c r="EU113" i="1" s="1"/>
  <c r="EV113" i="1" s="1"/>
  <c r="EO113" i="1"/>
  <c r="EP113" i="1" s="1"/>
  <c r="EQ113" i="1" s="1"/>
  <c r="EJ113" i="1"/>
  <c r="EK113" i="1" s="1"/>
  <c r="EL113" i="1" s="1"/>
  <c r="EE113" i="1"/>
  <c r="EF113" i="1" s="1"/>
  <c r="EG113" i="1" s="1"/>
  <c r="DZ113" i="1"/>
  <c r="EA113" i="1" s="1"/>
  <c r="EB113" i="1" s="1"/>
  <c r="DU113" i="1"/>
  <c r="DV113" i="1" s="1"/>
  <c r="DW113" i="1" s="1"/>
  <c r="DP113" i="1"/>
  <c r="DQ113" i="1" s="1"/>
  <c r="DR113" i="1" s="1"/>
  <c r="DK113" i="1"/>
  <c r="DL113" i="1" s="1"/>
  <c r="DM113" i="1" s="1"/>
  <c r="DF113" i="1"/>
  <c r="DG113" i="1" s="1"/>
  <c r="DH113" i="1" s="1"/>
  <c r="DA113" i="1"/>
  <c r="DB113" i="1" s="1"/>
  <c r="DC113" i="1" s="1"/>
  <c r="CV113" i="1"/>
  <c r="CW113" i="1" s="1"/>
  <c r="CX113" i="1" s="1"/>
  <c r="CQ113" i="1"/>
  <c r="CR113" i="1" s="1"/>
  <c r="CS113" i="1" s="1"/>
  <c r="CL113" i="1"/>
  <c r="CM113" i="1" s="1"/>
  <c r="CN113" i="1" s="1"/>
  <c r="CG113" i="1"/>
  <c r="CH113" i="1" s="1"/>
  <c r="CI113" i="1" s="1"/>
  <c r="CB113" i="1"/>
  <c r="CC113" i="1" s="1"/>
  <c r="CD113" i="1" s="1"/>
  <c r="BW113" i="1"/>
  <c r="BX113" i="1" s="1"/>
  <c r="BY113" i="1" s="1"/>
  <c r="BR113" i="1"/>
  <c r="BS113" i="1" s="1"/>
  <c r="BT113" i="1" s="1"/>
  <c r="BM113" i="1"/>
  <c r="BN113" i="1" s="1"/>
  <c r="BO113" i="1" s="1"/>
  <c r="BH113" i="1"/>
  <c r="BI113" i="1" s="1"/>
  <c r="BJ113" i="1" s="1"/>
  <c r="BC113" i="1"/>
  <c r="BD113" i="1" s="1"/>
  <c r="BE113" i="1" s="1"/>
  <c r="AX113" i="1"/>
  <c r="AY113" i="1" s="1"/>
  <c r="AZ113" i="1" s="1"/>
  <c r="AS113" i="1"/>
  <c r="AT113" i="1" s="1"/>
  <c r="AU113" i="1" s="1"/>
  <c r="AN113" i="1"/>
  <c r="AO113" i="1" s="1"/>
  <c r="AP113" i="1" s="1"/>
  <c r="AI113" i="1"/>
  <c r="AJ113" i="1" s="1"/>
  <c r="AK113" i="1" s="1"/>
  <c r="AD113" i="1"/>
  <c r="AE113" i="1" s="1"/>
  <c r="AF113" i="1" s="1"/>
  <c r="X113" i="1"/>
  <c r="Y113" i="1" s="1"/>
  <c r="Z113" i="1" s="1"/>
  <c r="T113" i="1"/>
  <c r="O113" i="1"/>
  <c r="J113" i="1"/>
  <c r="PZ112" i="1"/>
  <c r="PU112" i="1"/>
  <c r="PP112" i="1"/>
  <c r="PK112" i="1"/>
  <c r="PF112" i="1"/>
  <c r="PA112" i="1"/>
  <c r="OV112" i="1"/>
  <c r="OQ112" i="1"/>
  <c r="OL112" i="1"/>
  <c r="OE112" i="1"/>
  <c r="OF112" i="1" s="1"/>
  <c r="OG112" i="1" s="1"/>
  <c r="NZ112" i="1"/>
  <c r="OA112" i="1" s="1"/>
  <c r="OB112" i="1" s="1"/>
  <c r="NW112" i="1"/>
  <c r="NR112" i="1"/>
  <c r="NM112" i="1"/>
  <c r="NH112" i="1"/>
  <c r="NC112" i="1"/>
  <c r="MX112" i="1"/>
  <c r="MS112" i="1"/>
  <c r="MN112" i="1"/>
  <c r="MI112" i="1"/>
  <c r="MD112" i="1"/>
  <c r="LY112" i="1"/>
  <c r="LT112" i="1"/>
  <c r="LO112" i="1"/>
  <c r="LJ112" i="1"/>
  <c r="LE112" i="1"/>
  <c r="KZ112" i="1"/>
  <c r="KU112" i="1"/>
  <c r="KP112" i="1"/>
  <c r="KK112" i="1"/>
  <c r="KF112" i="1"/>
  <c r="JB112" i="1"/>
  <c r="IW112" i="1"/>
  <c r="IR112" i="1"/>
  <c r="IM112" i="1"/>
  <c r="IH112" i="1"/>
  <c r="IC112" i="1"/>
  <c r="HX112" i="1"/>
  <c r="HS112" i="1"/>
  <c r="HN112" i="1"/>
  <c r="HG112" i="1"/>
  <c r="HH112" i="1" s="1"/>
  <c r="HI112" i="1" s="1"/>
  <c r="HB112" i="1"/>
  <c r="HC112" i="1" s="1"/>
  <c r="HD112" i="1" s="1"/>
  <c r="GW112" i="1"/>
  <c r="GX112" i="1" s="1"/>
  <c r="GY112" i="1" s="1"/>
  <c r="GR112" i="1"/>
  <c r="GS112" i="1" s="1"/>
  <c r="GT112" i="1" s="1"/>
  <c r="GM112" i="1"/>
  <c r="GN112" i="1" s="1"/>
  <c r="GO112" i="1" s="1"/>
  <c r="GH112" i="1"/>
  <c r="GI112" i="1" s="1"/>
  <c r="GJ112" i="1" s="1"/>
  <c r="GC112" i="1"/>
  <c r="GD112" i="1" s="1"/>
  <c r="GE112" i="1" s="1"/>
  <c r="FX112" i="1"/>
  <c r="FY112" i="1" s="1"/>
  <c r="FZ112" i="1" s="1"/>
  <c r="FS112" i="1"/>
  <c r="FT112" i="1" s="1"/>
  <c r="FU112" i="1" s="1"/>
  <c r="FN112" i="1"/>
  <c r="FO112" i="1" s="1"/>
  <c r="FP112" i="1" s="1"/>
  <c r="FI112" i="1"/>
  <c r="FJ112" i="1" s="1"/>
  <c r="FK112" i="1" s="1"/>
  <c r="FD112" i="1"/>
  <c r="FE112" i="1" s="1"/>
  <c r="FF112" i="1" s="1"/>
  <c r="EY112" i="1"/>
  <c r="EZ112" i="1" s="1"/>
  <c r="FA112" i="1" s="1"/>
  <c r="ET112" i="1"/>
  <c r="EU112" i="1" s="1"/>
  <c r="EV112" i="1" s="1"/>
  <c r="EO112" i="1"/>
  <c r="EP112" i="1" s="1"/>
  <c r="EQ112" i="1" s="1"/>
  <c r="EJ112" i="1"/>
  <c r="EK112" i="1" s="1"/>
  <c r="EL112" i="1" s="1"/>
  <c r="EE112" i="1"/>
  <c r="EF112" i="1" s="1"/>
  <c r="EG112" i="1" s="1"/>
  <c r="DZ112" i="1"/>
  <c r="EA112" i="1" s="1"/>
  <c r="EB112" i="1" s="1"/>
  <c r="DU112" i="1"/>
  <c r="DV112" i="1" s="1"/>
  <c r="DW112" i="1" s="1"/>
  <c r="DP112" i="1"/>
  <c r="DQ112" i="1" s="1"/>
  <c r="DR112" i="1" s="1"/>
  <c r="DK112" i="1"/>
  <c r="DL112" i="1" s="1"/>
  <c r="DM112" i="1" s="1"/>
  <c r="DF112" i="1"/>
  <c r="DG112" i="1" s="1"/>
  <c r="DH112" i="1" s="1"/>
  <c r="DA112" i="1"/>
  <c r="DB112" i="1" s="1"/>
  <c r="DC112" i="1" s="1"/>
  <c r="CV112" i="1"/>
  <c r="CW112" i="1" s="1"/>
  <c r="CX112" i="1" s="1"/>
  <c r="CQ112" i="1"/>
  <c r="CR112" i="1" s="1"/>
  <c r="CS112" i="1" s="1"/>
  <c r="CL112" i="1"/>
  <c r="CM112" i="1" s="1"/>
  <c r="CN112" i="1" s="1"/>
  <c r="CG112" i="1"/>
  <c r="CH112" i="1" s="1"/>
  <c r="CI112" i="1" s="1"/>
  <c r="CB112" i="1"/>
  <c r="CC112" i="1" s="1"/>
  <c r="CD112" i="1" s="1"/>
  <c r="BW112" i="1"/>
  <c r="BX112" i="1" s="1"/>
  <c r="BY112" i="1" s="1"/>
  <c r="BR112" i="1"/>
  <c r="BS112" i="1" s="1"/>
  <c r="BT112" i="1" s="1"/>
  <c r="BM112" i="1"/>
  <c r="BN112" i="1" s="1"/>
  <c r="BO112" i="1" s="1"/>
  <c r="BH112" i="1"/>
  <c r="BI112" i="1" s="1"/>
  <c r="BJ112" i="1" s="1"/>
  <c r="BC112" i="1"/>
  <c r="BD112" i="1" s="1"/>
  <c r="BE112" i="1" s="1"/>
  <c r="AX112" i="1"/>
  <c r="AY112" i="1" s="1"/>
  <c r="AZ112" i="1" s="1"/>
  <c r="AS112" i="1"/>
  <c r="AT112" i="1" s="1"/>
  <c r="AU112" i="1" s="1"/>
  <c r="AN112" i="1"/>
  <c r="AO112" i="1" s="1"/>
  <c r="AP112" i="1" s="1"/>
  <c r="AI112" i="1"/>
  <c r="AJ112" i="1" s="1"/>
  <c r="AK112" i="1" s="1"/>
  <c r="AD112" i="1"/>
  <c r="AE112" i="1" s="1"/>
  <c r="AF112" i="1" s="1"/>
  <c r="X112" i="1"/>
  <c r="Y112" i="1" s="1"/>
  <c r="Z112" i="1" s="1"/>
  <c r="R112" i="1"/>
  <c r="S112" i="1" s="1"/>
  <c r="T112" i="1" s="1"/>
  <c r="O112" i="1"/>
  <c r="J112" i="1"/>
  <c r="PZ111" i="1"/>
  <c r="PU111" i="1"/>
  <c r="PP111" i="1"/>
  <c r="PK111" i="1"/>
  <c r="PF111" i="1"/>
  <c r="PA111" i="1"/>
  <c r="OV111" i="1"/>
  <c r="OQ111" i="1"/>
  <c r="OL111" i="1"/>
  <c r="OG111" i="1"/>
  <c r="OB111" i="1"/>
  <c r="NW111" i="1"/>
  <c r="NR111" i="1"/>
  <c r="NM111" i="1"/>
  <c r="NH111" i="1"/>
  <c r="NC111" i="1"/>
  <c r="MV111" i="1"/>
  <c r="MW111" i="1" s="1"/>
  <c r="MX111" i="1" s="1"/>
  <c r="MQ111" i="1"/>
  <c r="MR111" i="1" s="1"/>
  <c r="MS111" i="1" s="1"/>
  <c r="MN111" i="1"/>
  <c r="MI111" i="1"/>
  <c r="MD111" i="1"/>
  <c r="LY111" i="1"/>
  <c r="LT111" i="1"/>
  <c r="LO111" i="1"/>
  <c r="LJ111" i="1"/>
  <c r="LE111" i="1"/>
  <c r="KX111" i="1"/>
  <c r="KY111" i="1" s="1"/>
  <c r="KZ111" i="1" s="1"/>
  <c r="KS111" i="1"/>
  <c r="KT111" i="1" s="1"/>
  <c r="KU111" i="1" s="1"/>
  <c r="KP111" i="1"/>
  <c r="KK111" i="1"/>
  <c r="KF111" i="1"/>
  <c r="IZ111" i="1"/>
  <c r="JA111" i="1" s="1"/>
  <c r="JB111" i="1" s="1"/>
  <c r="IU111" i="1"/>
  <c r="IV111" i="1" s="1"/>
  <c r="IW111" i="1" s="1"/>
  <c r="IP111" i="1"/>
  <c r="IQ111" i="1" s="1"/>
  <c r="IR111" i="1" s="1"/>
  <c r="IK111" i="1"/>
  <c r="IL111" i="1" s="1"/>
  <c r="IM111" i="1" s="1"/>
  <c r="IF111" i="1"/>
  <c r="IG111" i="1" s="1"/>
  <c r="IH111" i="1" s="1"/>
  <c r="IA111" i="1"/>
  <c r="IB111" i="1" s="1"/>
  <c r="IC111" i="1" s="1"/>
  <c r="HV111" i="1"/>
  <c r="HW111" i="1" s="1"/>
  <c r="HX111" i="1" s="1"/>
  <c r="HQ111" i="1"/>
  <c r="HR111" i="1" s="1"/>
  <c r="HS111" i="1" s="1"/>
  <c r="HL111" i="1"/>
  <c r="HM111" i="1" s="1"/>
  <c r="HN111" i="1" s="1"/>
  <c r="HG111" i="1"/>
  <c r="HH111" i="1" s="1"/>
  <c r="HI111" i="1" s="1"/>
  <c r="HB111" i="1"/>
  <c r="HC111" i="1" s="1"/>
  <c r="HD111" i="1" s="1"/>
  <c r="GW111" i="1"/>
  <c r="GX111" i="1" s="1"/>
  <c r="GY111" i="1" s="1"/>
  <c r="GR111" i="1"/>
  <c r="GS111" i="1" s="1"/>
  <c r="GT111" i="1" s="1"/>
  <c r="GM111" i="1"/>
  <c r="GN111" i="1" s="1"/>
  <c r="GO111" i="1" s="1"/>
  <c r="GH111" i="1"/>
  <c r="GI111" i="1" s="1"/>
  <c r="GJ111" i="1" s="1"/>
  <c r="GC111" i="1"/>
  <c r="GD111" i="1" s="1"/>
  <c r="GE111" i="1" s="1"/>
  <c r="FX111" i="1"/>
  <c r="FY111" i="1" s="1"/>
  <c r="FZ111" i="1" s="1"/>
  <c r="FS111" i="1"/>
  <c r="FT111" i="1" s="1"/>
  <c r="FU111" i="1" s="1"/>
  <c r="FN111" i="1"/>
  <c r="FO111" i="1" s="1"/>
  <c r="FP111" i="1" s="1"/>
  <c r="FI111" i="1"/>
  <c r="FJ111" i="1" s="1"/>
  <c r="FK111" i="1" s="1"/>
  <c r="FD111" i="1"/>
  <c r="FE111" i="1" s="1"/>
  <c r="FF111" i="1" s="1"/>
  <c r="EY111" i="1"/>
  <c r="EZ111" i="1" s="1"/>
  <c r="FA111" i="1" s="1"/>
  <c r="ET111" i="1"/>
  <c r="EU111" i="1" s="1"/>
  <c r="EV111" i="1" s="1"/>
  <c r="EO111" i="1"/>
  <c r="EP111" i="1" s="1"/>
  <c r="EQ111" i="1" s="1"/>
  <c r="EJ111" i="1"/>
  <c r="EK111" i="1" s="1"/>
  <c r="EL111" i="1" s="1"/>
  <c r="EE111" i="1"/>
  <c r="EF111" i="1" s="1"/>
  <c r="EG111" i="1" s="1"/>
  <c r="DZ111" i="1"/>
  <c r="EA111" i="1" s="1"/>
  <c r="EB111" i="1" s="1"/>
  <c r="DU111" i="1"/>
  <c r="DV111" i="1" s="1"/>
  <c r="DW111" i="1" s="1"/>
  <c r="DP111" i="1"/>
  <c r="DQ111" i="1" s="1"/>
  <c r="DR111" i="1" s="1"/>
  <c r="DK111" i="1"/>
  <c r="DL111" i="1" s="1"/>
  <c r="DM111" i="1" s="1"/>
  <c r="DF111" i="1"/>
  <c r="DG111" i="1" s="1"/>
  <c r="DH111" i="1" s="1"/>
  <c r="DA111" i="1"/>
  <c r="DB111" i="1" s="1"/>
  <c r="DC111" i="1" s="1"/>
  <c r="CV111" i="1"/>
  <c r="CW111" i="1" s="1"/>
  <c r="CX111" i="1" s="1"/>
  <c r="CQ111" i="1"/>
  <c r="CR111" i="1" s="1"/>
  <c r="CS111" i="1" s="1"/>
  <c r="CL111" i="1"/>
  <c r="CM111" i="1" s="1"/>
  <c r="CN111" i="1" s="1"/>
  <c r="CG111" i="1"/>
  <c r="CH111" i="1" s="1"/>
  <c r="CI111" i="1" s="1"/>
  <c r="CB111" i="1"/>
  <c r="CC111" i="1" s="1"/>
  <c r="CD111" i="1" s="1"/>
  <c r="BW111" i="1"/>
  <c r="BX111" i="1" s="1"/>
  <c r="BY111" i="1" s="1"/>
  <c r="BR111" i="1"/>
  <c r="BS111" i="1" s="1"/>
  <c r="BT111" i="1" s="1"/>
  <c r="BM111" i="1"/>
  <c r="BN111" i="1" s="1"/>
  <c r="BO111" i="1" s="1"/>
  <c r="BH111" i="1"/>
  <c r="BI111" i="1" s="1"/>
  <c r="BJ111" i="1" s="1"/>
  <c r="BC111" i="1"/>
  <c r="BD111" i="1" s="1"/>
  <c r="BE111" i="1" s="1"/>
  <c r="AX111" i="1"/>
  <c r="AY111" i="1" s="1"/>
  <c r="AZ111" i="1" s="1"/>
  <c r="AS111" i="1"/>
  <c r="AT111" i="1" s="1"/>
  <c r="AU111" i="1" s="1"/>
  <c r="AN111" i="1"/>
  <c r="AO111" i="1" s="1"/>
  <c r="AP111" i="1" s="1"/>
  <c r="AI111" i="1"/>
  <c r="AJ111" i="1" s="1"/>
  <c r="AK111" i="1" s="1"/>
  <c r="AD111" i="1"/>
  <c r="AE111" i="1" s="1"/>
  <c r="AF111" i="1" s="1"/>
  <c r="X111" i="1"/>
  <c r="Y111" i="1" s="1"/>
  <c r="Z111" i="1" s="1"/>
  <c r="T111" i="1"/>
  <c r="O111" i="1"/>
  <c r="J111" i="1"/>
  <c r="PZ110" i="1"/>
  <c r="PU110" i="1"/>
  <c r="PP110" i="1"/>
  <c r="PK110" i="1"/>
  <c r="PF110" i="1"/>
  <c r="PA110" i="1"/>
  <c r="OV110" i="1"/>
  <c r="OQ110" i="1"/>
  <c r="OL110" i="1"/>
  <c r="OG110" i="1"/>
  <c r="OB110" i="1"/>
  <c r="NW110" i="1"/>
  <c r="NR110" i="1"/>
  <c r="NM110" i="1"/>
  <c r="NH110" i="1"/>
  <c r="NC110" i="1"/>
  <c r="MX110" i="1"/>
  <c r="MS110" i="1"/>
  <c r="MN110" i="1"/>
  <c r="MI110" i="1"/>
  <c r="MD110" i="1"/>
  <c r="LY110" i="1"/>
  <c r="LT110" i="1"/>
  <c r="LO110" i="1"/>
  <c r="LJ110" i="1"/>
  <c r="LE110" i="1"/>
  <c r="KZ110" i="1"/>
  <c r="KU110" i="1"/>
  <c r="KP110" i="1"/>
  <c r="KI110" i="1"/>
  <c r="KJ110" i="1" s="1"/>
  <c r="KK110" i="1" s="1"/>
  <c r="KF110" i="1"/>
  <c r="IZ110" i="1"/>
  <c r="JA110" i="1" s="1"/>
  <c r="JB110" i="1" s="1"/>
  <c r="IU110" i="1"/>
  <c r="IV110" i="1" s="1"/>
  <c r="IW110" i="1" s="1"/>
  <c r="IP110" i="1"/>
  <c r="IQ110" i="1" s="1"/>
  <c r="IR110" i="1" s="1"/>
  <c r="IK110" i="1"/>
  <c r="IL110" i="1" s="1"/>
  <c r="IM110" i="1" s="1"/>
  <c r="IF110" i="1"/>
  <c r="IG110" i="1" s="1"/>
  <c r="IH110" i="1" s="1"/>
  <c r="IA110" i="1"/>
  <c r="IB110" i="1" s="1"/>
  <c r="IC110" i="1" s="1"/>
  <c r="HV110" i="1"/>
  <c r="HW110" i="1" s="1"/>
  <c r="HX110" i="1" s="1"/>
  <c r="HQ110" i="1"/>
  <c r="HR110" i="1" s="1"/>
  <c r="HS110" i="1" s="1"/>
  <c r="HL110" i="1"/>
  <c r="HM110" i="1" s="1"/>
  <c r="HN110" i="1" s="1"/>
  <c r="HG110" i="1"/>
  <c r="HH110" i="1" s="1"/>
  <c r="HI110" i="1" s="1"/>
  <c r="HB110" i="1"/>
  <c r="HC110" i="1" s="1"/>
  <c r="HD110" i="1" s="1"/>
  <c r="GW110" i="1"/>
  <c r="GX110" i="1" s="1"/>
  <c r="GY110" i="1" s="1"/>
  <c r="GR110" i="1"/>
  <c r="GS110" i="1" s="1"/>
  <c r="GT110" i="1" s="1"/>
  <c r="GM110" i="1"/>
  <c r="GN110" i="1" s="1"/>
  <c r="GO110" i="1" s="1"/>
  <c r="GH110" i="1"/>
  <c r="GI110" i="1" s="1"/>
  <c r="GJ110" i="1" s="1"/>
  <c r="GC110" i="1"/>
  <c r="GD110" i="1" s="1"/>
  <c r="GE110" i="1" s="1"/>
  <c r="FX110" i="1"/>
  <c r="FY110" i="1" s="1"/>
  <c r="FZ110" i="1" s="1"/>
  <c r="FS110" i="1"/>
  <c r="FT110" i="1" s="1"/>
  <c r="FU110" i="1" s="1"/>
  <c r="FN110" i="1"/>
  <c r="FO110" i="1" s="1"/>
  <c r="FP110" i="1" s="1"/>
  <c r="FI110" i="1"/>
  <c r="FJ110" i="1" s="1"/>
  <c r="FK110" i="1" s="1"/>
  <c r="FD110" i="1"/>
  <c r="FE110" i="1" s="1"/>
  <c r="FF110" i="1" s="1"/>
  <c r="EY110" i="1"/>
  <c r="EZ110" i="1" s="1"/>
  <c r="FA110" i="1" s="1"/>
  <c r="ET110" i="1"/>
  <c r="EU110" i="1" s="1"/>
  <c r="EV110" i="1" s="1"/>
  <c r="EO110" i="1"/>
  <c r="EP110" i="1" s="1"/>
  <c r="EQ110" i="1" s="1"/>
  <c r="EJ110" i="1"/>
  <c r="EK110" i="1" s="1"/>
  <c r="EL110" i="1" s="1"/>
  <c r="EE110" i="1"/>
  <c r="EF110" i="1" s="1"/>
  <c r="EG110" i="1" s="1"/>
  <c r="DZ110" i="1"/>
  <c r="EA110" i="1" s="1"/>
  <c r="EB110" i="1" s="1"/>
  <c r="DU110" i="1"/>
  <c r="DV110" i="1" s="1"/>
  <c r="DW110" i="1" s="1"/>
  <c r="DP110" i="1"/>
  <c r="DQ110" i="1" s="1"/>
  <c r="DR110" i="1" s="1"/>
  <c r="DK110" i="1"/>
  <c r="DL110" i="1" s="1"/>
  <c r="DM110" i="1" s="1"/>
  <c r="DF110" i="1"/>
  <c r="DG110" i="1" s="1"/>
  <c r="DH110" i="1" s="1"/>
  <c r="DA110" i="1"/>
  <c r="DB110" i="1" s="1"/>
  <c r="DC110" i="1" s="1"/>
  <c r="CV110" i="1"/>
  <c r="CW110" i="1" s="1"/>
  <c r="CX110" i="1" s="1"/>
  <c r="CQ110" i="1"/>
  <c r="CR110" i="1" s="1"/>
  <c r="CS110" i="1" s="1"/>
  <c r="CL110" i="1"/>
  <c r="CM110" i="1" s="1"/>
  <c r="CN110" i="1" s="1"/>
  <c r="CG110" i="1"/>
  <c r="CH110" i="1" s="1"/>
  <c r="CI110" i="1" s="1"/>
  <c r="CB110" i="1"/>
  <c r="CC110" i="1" s="1"/>
  <c r="CD110" i="1" s="1"/>
  <c r="BW110" i="1"/>
  <c r="BX110" i="1" s="1"/>
  <c r="BY110" i="1" s="1"/>
  <c r="BR110" i="1"/>
  <c r="BS110" i="1" s="1"/>
  <c r="BT110" i="1" s="1"/>
  <c r="BM110" i="1"/>
  <c r="BN110" i="1" s="1"/>
  <c r="BO110" i="1" s="1"/>
  <c r="BH110" i="1"/>
  <c r="BI110" i="1" s="1"/>
  <c r="BJ110" i="1" s="1"/>
  <c r="BC110" i="1"/>
  <c r="BD110" i="1" s="1"/>
  <c r="BE110" i="1" s="1"/>
  <c r="AX110" i="1"/>
  <c r="AY110" i="1" s="1"/>
  <c r="AZ110" i="1" s="1"/>
  <c r="AS110" i="1"/>
  <c r="AT110" i="1" s="1"/>
  <c r="AU110" i="1" s="1"/>
  <c r="AN110" i="1"/>
  <c r="AO110" i="1" s="1"/>
  <c r="AP110" i="1" s="1"/>
  <c r="AI110" i="1"/>
  <c r="AJ110" i="1" s="1"/>
  <c r="AK110" i="1" s="1"/>
  <c r="AD110" i="1"/>
  <c r="AE110" i="1" s="1"/>
  <c r="AF110" i="1" s="1"/>
  <c r="X110" i="1"/>
  <c r="Y110" i="1" s="1"/>
  <c r="Z110" i="1" s="1"/>
  <c r="T110" i="1"/>
  <c r="O110" i="1"/>
  <c r="J110" i="1"/>
  <c r="PX109" i="1"/>
  <c r="PY109" i="1" s="1"/>
  <c r="PZ109" i="1" s="1"/>
  <c r="PU109" i="1"/>
  <c r="PP109" i="1"/>
  <c r="PK109" i="1"/>
  <c r="PF109" i="1"/>
  <c r="PA109" i="1"/>
  <c r="OV109" i="1"/>
  <c r="OQ109" i="1"/>
  <c r="OL109" i="1"/>
  <c r="OG109" i="1"/>
  <c r="OB109" i="1"/>
  <c r="NW109" i="1"/>
  <c r="NR109" i="1"/>
  <c r="NM109" i="1"/>
  <c r="NH109" i="1"/>
  <c r="NC109" i="1"/>
  <c r="MX109" i="1"/>
  <c r="MS109" i="1"/>
  <c r="MN109" i="1"/>
  <c r="MI109" i="1"/>
  <c r="MD109" i="1"/>
  <c r="LY109" i="1"/>
  <c r="LT109" i="1"/>
  <c r="LO109" i="1"/>
  <c r="LJ109" i="1"/>
  <c r="LE109" i="1"/>
  <c r="KZ109" i="1"/>
  <c r="KU109" i="1"/>
  <c r="KP109" i="1"/>
  <c r="KK109" i="1"/>
  <c r="KF109" i="1"/>
  <c r="JB109" i="1"/>
  <c r="IW109" i="1"/>
  <c r="IR109" i="1"/>
  <c r="IM109" i="1"/>
  <c r="IH109" i="1"/>
  <c r="IC109" i="1"/>
  <c r="HX109" i="1"/>
  <c r="HS109" i="1"/>
  <c r="HN109" i="1"/>
  <c r="HI109" i="1"/>
  <c r="HD109" i="1"/>
  <c r="GY109" i="1"/>
  <c r="GT109" i="1"/>
  <c r="GM109" i="1"/>
  <c r="GN109" i="1" s="1"/>
  <c r="GO109" i="1" s="1"/>
  <c r="GH109" i="1"/>
  <c r="GI109" i="1" s="1"/>
  <c r="GJ109" i="1" s="1"/>
  <c r="GC109" i="1"/>
  <c r="GD109" i="1" s="1"/>
  <c r="GE109" i="1" s="1"/>
  <c r="FX109" i="1"/>
  <c r="FY109" i="1" s="1"/>
  <c r="FZ109" i="1" s="1"/>
  <c r="FS109" i="1"/>
  <c r="FT109" i="1" s="1"/>
  <c r="FU109" i="1" s="1"/>
  <c r="FN109" i="1"/>
  <c r="FO109" i="1" s="1"/>
  <c r="FP109" i="1" s="1"/>
  <c r="FI109" i="1"/>
  <c r="FJ109" i="1" s="1"/>
  <c r="FK109" i="1" s="1"/>
  <c r="FD109" i="1"/>
  <c r="FE109" i="1" s="1"/>
  <c r="FF109" i="1" s="1"/>
  <c r="EY109" i="1"/>
  <c r="EZ109" i="1" s="1"/>
  <c r="FA109" i="1" s="1"/>
  <c r="ET109" i="1"/>
  <c r="EU109" i="1" s="1"/>
  <c r="EV109" i="1" s="1"/>
  <c r="EO109" i="1"/>
  <c r="EP109" i="1" s="1"/>
  <c r="EQ109" i="1" s="1"/>
  <c r="EJ109" i="1"/>
  <c r="EK109" i="1" s="1"/>
  <c r="EL109" i="1" s="1"/>
  <c r="EE109" i="1"/>
  <c r="EF109" i="1" s="1"/>
  <c r="EG109" i="1" s="1"/>
  <c r="DZ109" i="1"/>
  <c r="EA109" i="1" s="1"/>
  <c r="EB109" i="1" s="1"/>
  <c r="DU109" i="1"/>
  <c r="DV109" i="1" s="1"/>
  <c r="DW109" i="1" s="1"/>
  <c r="DP109" i="1"/>
  <c r="DQ109" i="1" s="1"/>
  <c r="DR109" i="1" s="1"/>
  <c r="DK109" i="1"/>
  <c r="DL109" i="1" s="1"/>
  <c r="DM109" i="1" s="1"/>
  <c r="DF109" i="1"/>
  <c r="DG109" i="1" s="1"/>
  <c r="DH109" i="1" s="1"/>
  <c r="DA109" i="1"/>
  <c r="DB109" i="1" s="1"/>
  <c r="DC109" i="1" s="1"/>
  <c r="CV109" i="1"/>
  <c r="CW109" i="1" s="1"/>
  <c r="CX109" i="1" s="1"/>
  <c r="CQ109" i="1"/>
  <c r="CR109" i="1" s="1"/>
  <c r="CS109" i="1" s="1"/>
  <c r="CL109" i="1"/>
  <c r="CM109" i="1" s="1"/>
  <c r="CN109" i="1" s="1"/>
  <c r="CB109" i="1"/>
  <c r="CC109" i="1" s="1"/>
  <c r="CD109" i="1" s="1"/>
  <c r="BW109" i="1"/>
  <c r="BX109" i="1" s="1"/>
  <c r="BY109" i="1" s="1"/>
  <c r="BR109" i="1"/>
  <c r="BS109" i="1" s="1"/>
  <c r="BT109" i="1" s="1"/>
  <c r="BM109" i="1"/>
  <c r="BN109" i="1" s="1"/>
  <c r="BO109" i="1" s="1"/>
  <c r="BH109" i="1"/>
  <c r="BI109" i="1" s="1"/>
  <c r="BJ109" i="1" s="1"/>
  <c r="BC109" i="1"/>
  <c r="BD109" i="1" s="1"/>
  <c r="BE109" i="1" s="1"/>
  <c r="AX109" i="1"/>
  <c r="AY109" i="1" s="1"/>
  <c r="AZ109" i="1" s="1"/>
  <c r="AS109" i="1"/>
  <c r="AT109" i="1" s="1"/>
  <c r="AU109" i="1" s="1"/>
  <c r="AN109" i="1"/>
  <c r="AO109" i="1" s="1"/>
  <c r="AP109" i="1" s="1"/>
  <c r="AI109" i="1"/>
  <c r="AJ109" i="1" s="1"/>
  <c r="AK109" i="1" s="1"/>
  <c r="Z109" i="1"/>
  <c r="T109" i="1"/>
  <c r="O109" i="1"/>
  <c r="J109" i="1"/>
  <c r="PZ108" i="1"/>
  <c r="PU108" i="1"/>
  <c r="PP108" i="1"/>
  <c r="PK108" i="1"/>
  <c r="PF108" i="1"/>
  <c r="PA108" i="1"/>
  <c r="OV108" i="1"/>
  <c r="OQ108" i="1"/>
  <c r="OL108" i="1"/>
  <c r="OG108" i="1"/>
  <c r="OB108" i="1"/>
  <c r="NW108" i="1"/>
  <c r="NR108" i="1"/>
  <c r="NM108" i="1"/>
  <c r="NH108" i="1"/>
  <c r="NC108" i="1"/>
  <c r="MX108" i="1"/>
  <c r="MS108" i="1"/>
  <c r="MN108" i="1"/>
  <c r="MI108" i="1"/>
  <c r="MD108" i="1"/>
  <c r="LY108" i="1"/>
  <c r="LT108" i="1"/>
  <c r="LO108" i="1"/>
  <c r="LJ108" i="1"/>
  <c r="LE108" i="1"/>
  <c r="KZ108" i="1"/>
  <c r="KU108" i="1"/>
  <c r="KP108" i="1"/>
  <c r="KK108" i="1"/>
  <c r="KD108" i="1"/>
  <c r="KE108" i="1" s="1"/>
  <c r="KF108" i="1" s="1"/>
  <c r="IZ108" i="1"/>
  <c r="JA108" i="1" s="1"/>
  <c r="JB108" i="1" s="1"/>
  <c r="IU108" i="1"/>
  <c r="IV108" i="1" s="1"/>
  <c r="IW108" i="1" s="1"/>
  <c r="IP108" i="1"/>
  <c r="IQ108" i="1" s="1"/>
  <c r="IR108" i="1" s="1"/>
  <c r="IK108" i="1"/>
  <c r="IL108" i="1" s="1"/>
  <c r="IM108" i="1" s="1"/>
  <c r="IF108" i="1"/>
  <c r="IG108" i="1" s="1"/>
  <c r="IH108" i="1" s="1"/>
  <c r="IA108" i="1"/>
  <c r="IB108" i="1" s="1"/>
  <c r="IC108" i="1" s="1"/>
  <c r="HV108" i="1"/>
  <c r="HW108" i="1" s="1"/>
  <c r="HX108" i="1" s="1"/>
  <c r="HS108" i="1"/>
  <c r="HN108" i="1"/>
  <c r="HG108" i="1"/>
  <c r="HH108" i="1" s="1"/>
  <c r="HI108" i="1" s="1"/>
  <c r="HB108" i="1"/>
  <c r="HC108" i="1" s="1"/>
  <c r="HD108" i="1" s="1"/>
  <c r="GW108" i="1"/>
  <c r="GX108" i="1" s="1"/>
  <c r="GY108" i="1" s="1"/>
  <c r="GR108" i="1"/>
  <c r="GS108" i="1" s="1"/>
  <c r="GT108" i="1" s="1"/>
  <c r="GM108" i="1"/>
  <c r="GN108" i="1" s="1"/>
  <c r="GO108" i="1" s="1"/>
  <c r="GH108" i="1"/>
  <c r="GI108" i="1" s="1"/>
  <c r="GJ108" i="1" s="1"/>
  <c r="GC108" i="1"/>
  <c r="GD108" i="1" s="1"/>
  <c r="GE108" i="1" s="1"/>
  <c r="FX108" i="1"/>
  <c r="FY108" i="1" s="1"/>
  <c r="FZ108" i="1" s="1"/>
  <c r="FS108" i="1"/>
  <c r="FT108" i="1" s="1"/>
  <c r="FU108" i="1" s="1"/>
  <c r="FN108" i="1"/>
  <c r="FO108" i="1" s="1"/>
  <c r="FP108" i="1" s="1"/>
  <c r="FI108" i="1"/>
  <c r="FJ108" i="1" s="1"/>
  <c r="FK108" i="1" s="1"/>
  <c r="FD108" i="1"/>
  <c r="FE108" i="1" s="1"/>
  <c r="FF108" i="1" s="1"/>
  <c r="EY108" i="1"/>
  <c r="EZ108" i="1" s="1"/>
  <c r="FA108" i="1" s="1"/>
  <c r="ET108" i="1"/>
  <c r="EU108" i="1" s="1"/>
  <c r="EV108" i="1" s="1"/>
  <c r="EO108" i="1"/>
  <c r="EP108" i="1" s="1"/>
  <c r="EQ108" i="1" s="1"/>
  <c r="EJ108" i="1"/>
  <c r="EK108" i="1" s="1"/>
  <c r="EL108" i="1" s="1"/>
  <c r="EE108" i="1"/>
  <c r="EF108" i="1" s="1"/>
  <c r="EG108" i="1" s="1"/>
  <c r="DZ108" i="1"/>
  <c r="EA108" i="1" s="1"/>
  <c r="EB108" i="1" s="1"/>
  <c r="DU108" i="1"/>
  <c r="DV108" i="1" s="1"/>
  <c r="DW108" i="1" s="1"/>
  <c r="DP108" i="1"/>
  <c r="DQ108" i="1" s="1"/>
  <c r="DR108" i="1" s="1"/>
  <c r="DK108" i="1"/>
  <c r="DL108" i="1" s="1"/>
  <c r="DM108" i="1" s="1"/>
  <c r="DF108" i="1"/>
  <c r="DG108" i="1" s="1"/>
  <c r="DH108" i="1" s="1"/>
  <c r="DA108" i="1"/>
  <c r="DB108" i="1" s="1"/>
  <c r="DC108" i="1" s="1"/>
  <c r="CV108" i="1"/>
  <c r="CW108" i="1" s="1"/>
  <c r="CX108" i="1" s="1"/>
  <c r="CQ108" i="1"/>
  <c r="CR108" i="1" s="1"/>
  <c r="CS108" i="1" s="1"/>
  <c r="CL108" i="1"/>
  <c r="CM108" i="1" s="1"/>
  <c r="CN108" i="1" s="1"/>
  <c r="CG108" i="1"/>
  <c r="CH108" i="1" s="1"/>
  <c r="CI108" i="1" s="1"/>
  <c r="CB108" i="1"/>
  <c r="CC108" i="1" s="1"/>
  <c r="CD108" i="1" s="1"/>
  <c r="BW108" i="1"/>
  <c r="BX108" i="1" s="1"/>
  <c r="BY108" i="1" s="1"/>
  <c r="BR108" i="1"/>
  <c r="BS108" i="1" s="1"/>
  <c r="BT108" i="1" s="1"/>
  <c r="BM108" i="1"/>
  <c r="BN108" i="1" s="1"/>
  <c r="BO108" i="1" s="1"/>
  <c r="BH108" i="1"/>
  <c r="BI108" i="1" s="1"/>
  <c r="BJ108" i="1" s="1"/>
  <c r="BC108" i="1"/>
  <c r="BD108" i="1" s="1"/>
  <c r="BE108" i="1" s="1"/>
  <c r="AX108" i="1"/>
  <c r="AY108" i="1" s="1"/>
  <c r="AZ108" i="1" s="1"/>
  <c r="AS108" i="1"/>
  <c r="AT108" i="1" s="1"/>
  <c r="AU108" i="1" s="1"/>
  <c r="AN108" i="1"/>
  <c r="AO108" i="1" s="1"/>
  <c r="AP108" i="1" s="1"/>
  <c r="AI108" i="1"/>
  <c r="AJ108" i="1" s="1"/>
  <c r="AK108" i="1" s="1"/>
  <c r="AD108" i="1"/>
  <c r="AE108" i="1" s="1"/>
  <c r="AF108" i="1" s="1"/>
  <c r="X108" i="1"/>
  <c r="Y108" i="1" s="1"/>
  <c r="Z108" i="1" s="1"/>
  <c r="T108" i="1"/>
  <c r="O108" i="1"/>
  <c r="J108" i="1"/>
  <c r="PZ107" i="1"/>
  <c r="PU107" i="1"/>
  <c r="PP107" i="1"/>
  <c r="PK107" i="1"/>
  <c r="PF107" i="1"/>
  <c r="PA107" i="1"/>
  <c r="OV107" i="1"/>
  <c r="OQ107" i="1"/>
  <c r="OL107" i="1"/>
  <c r="OG107" i="1"/>
  <c r="OB107" i="1"/>
  <c r="NW107" i="1"/>
  <c r="NR107" i="1"/>
  <c r="NM107" i="1"/>
  <c r="NH107" i="1"/>
  <c r="NC107" i="1"/>
  <c r="MX107" i="1"/>
  <c r="MS107" i="1"/>
  <c r="MN107" i="1"/>
  <c r="MI107" i="1"/>
  <c r="MD107" i="1"/>
  <c r="LY107" i="1"/>
  <c r="LT107" i="1"/>
  <c r="LO107" i="1"/>
  <c r="LJ107" i="1"/>
  <c r="LE107" i="1"/>
  <c r="KZ107" i="1"/>
  <c r="KU107" i="1"/>
  <c r="KP107" i="1"/>
  <c r="KI107" i="1"/>
  <c r="KJ107" i="1" s="1"/>
  <c r="KK107" i="1" s="1"/>
  <c r="KF107" i="1"/>
  <c r="JB107" i="1"/>
  <c r="IW107" i="1"/>
  <c r="IR107" i="1"/>
  <c r="IM107" i="1"/>
  <c r="IH107" i="1"/>
  <c r="IC107" i="1"/>
  <c r="HX107" i="1"/>
  <c r="HS107" i="1"/>
  <c r="HN107" i="1"/>
  <c r="HG107" i="1"/>
  <c r="HH107" i="1" s="1"/>
  <c r="HI107" i="1" s="1"/>
  <c r="HB107" i="1"/>
  <c r="HC107" i="1" s="1"/>
  <c r="HD107" i="1" s="1"/>
  <c r="GW107" i="1"/>
  <c r="GX107" i="1" s="1"/>
  <c r="GY107" i="1" s="1"/>
  <c r="GR107" i="1"/>
  <c r="GS107" i="1" s="1"/>
  <c r="GT107" i="1" s="1"/>
  <c r="GM107" i="1"/>
  <c r="GN107" i="1" s="1"/>
  <c r="GO107" i="1" s="1"/>
  <c r="GH107" i="1"/>
  <c r="GI107" i="1" s="1"/>
  <c r="GJ107" i="1" s="1"/>
  <c r="GC107" i="1"/>
  <c r="GD107" i="1" s="1"/>
  <c r="GE107" i="1" s="1"/>
  <c r="FX107" i="1"/>
  <c r="FY107" i="1" s="1"/>
  <c r="FZ107" i="1" s="1"/>
  <c r="FS107" i="1"/>
  <c r="FT107" i="1" s="1"/>
  <c r="FU107" i="1" s="1"/>
  <c r="FN107" i="1"/>
  <c r="FO107" i="1" s="1"/>
  <c r="FP107" i="1" s="1"/>
  <c r="FI107" i="1"/>
  <c r="FJ107" i="1" s="1"/>
  <c r="FK107" i="1" s="1"/>
  <c r="FD107" i="1"/>
  <c r="FE107" i="1" s="1"/>
  <c r="FF107" i="1" s="1"/>
  <c r="EY107" i="1"/>
  <c r="EZ107" i="1" s="1"/>
  <c r="FA107" i="1" s="1"/>
  <c r="ET107" i="1"/>
  <c r="EU107" i="1" s="1"/>
  <c r="EV107" i="1" s="1"/>
  <c r="EO107" i="1"/>
  <c r="EP107" i="1" s="1"/>
  <c r="EQ107" i="1" s="1"/>
  <c r="EJ107" i="1"/>
  <c r="EK107" i="1" s="1"/>
  <c r="EL107" i="1" s="1"/>
  <c r="EE107" i="1"/>
  <c r="EF107" i="1" s="1"/>
  <c r="EG107" i="1" s="1"/>
  <c r="DZ107" i="1"/>
  <c r="EA107" i="1" s="1"/>
  <c r="EB107" i="1" s="1"/>
  <c r="DU107" i="1"/>
  <c r="DV107" i="1" s="1"/>
  <c r="DW107" i="1" s="1"/>
  <c r="DP107" i="1"/>
  <c r="DQ107" i="1" s="1"/>
  <c r="DR107" i="1" s="1"/>
  <c r="DK107" i="1"/>
  <c r="DL107" i="1" s="1"/>
  <c r="DM107" i="1" s="1"/>
  <c r="DF107" i="1"/>
  <c r="DG107" i="1" s="1"/>
  <c r="DH107" i="1" s="1"/>
  <c r="DA107" i="1"/>
  <c r="DB107" i="1" s="1"/>
  <c r="DC107" i="1" s="1"/>
  <c r="CV107" i="1"/>
  <c r="CW107" i="1" s="1"/>
  <c r="CX107" i="1" s="1"/>
  <c r="CQ107" i="1"/>
  <c r="CR107" i="1" s="1"/>
  <c r="CS107" i="1" s="1"/>
  <c r="CL107" i="1"/>
  <c r="CM107" i="1" s="1"/>
  <c r="CN107" i="1" s="1"/>
  <c r="CG107" i="1"/>
  <c r="CH107" i="1" s="1"/>
  <c r="CI107" i="1" s="1"/>
  <c r="CB107" i="1"/>
  <c r="CC107" i="1" s="1"/>
  <c r="CD107" i="1" s="1"/>
  <c r="BW107" i="1"/>
  <c r="BX107" i="1" s="1"/>
  <c r="BY107" i="1" s="1"/>
  <c r="BR107" i="1"/>
  <c r="BS107" i="1" s="1"/>
  <c r="BT107" i="1" s="1"/>
  <c r="BM107" i="1"/>
  <c r="BN107" i="1" s="1"/>
  <c r="BO107" i="1" s="1"/>
  <c r="BH107" i="1"/>
  <c r="BI107" i="1" s="1"/>
  <c r="BJ107" i="1" s="1"/>
  <c r="BC107" i="1"/>
  <c r="BD107" i="1" s="1"/>
  <c r="BE107" i="1" s="1"/>
  <c r="AX107" i="1"/>
  <c r="AY107" i="1" s="1"/>
  <c r="AZ107" i="1" s="1"/>
  <c r="AS107" i="1"/>
  <c r="AT107" i="1" s="1"/>
  <c r="AU107" i="1" s="1"/>
  <c r="AN107" i="1"/>
  <c r="AO107" i="1" s="1"/>
  <c r="AP107" i="1" s="1"/>
  <c r="AI107" i="1"/>
  <c r="AJ107" i="1" s="1"/>
  <c r="AK107" i="1" s="1"/>
  <c r="AD107" i="1"/>
  <c r="AE107" i="1" s="1"/>
  <c r="AF107" i="1" s="1"/>
  <c r="X107" i="1"/>
  <c r="Y107" i="1" s="1"/>
  <c r="Z107" i="1" s="1"/>
  <c r="T107" i="1"/>
  <c r="O107" i="1"/>
  <c r="J107" i="1"/>
  <c r="PZ106" i="1"/>
  <c r="PU106" i="1"/>
  <c r="PP106" i="1"/>
  <c r="PK106" i="1"/>
  <c r="PF106" i="1"/>
  <c r="PA106" i="1"/>
  <c r="OV106" i="1"/>
  <c r="OQ106" i="1"/>
  <c r="OL106" i="1"/>
  <c r="OG106" i="1"/>
  <c r="OB106" i="1"/>
  <c r="NW106" i="1"/>
  <c r="NR106" i="1"/>
  <c r="NM106" i="1"/>
  <c r="NH106" i="1"/>
  <c r="NC106" i="1"/>
  <c r="MX106" i="1"/>
  <c r="MS106" i="1"/>
  <c r="MN106" i="1"/>
  <c r="MI106" i="1"/>
  <c r="MD106" i="1"/>
  <c r="LY106" i="1"/>
  <c r="LT106" i="1"/>
  <c r="LO106" i="1"/>
  <c r="LJ106" i="1"/>
  <c r="LE106" i="1"/>
  <c r="KZ106" i="1"/>
  <c r="KU106" i="1"/>
  <c r="KP106" i="1"/>
  <c r="KK106" i="1"/>
  <c r="KF106" i="1"/>
  <c r="JB106" i="1"/>
  <c r="IW106" i="1"/>
  <c r="IR106" i="1"/>
  <c r="IM106" i="1"/>
  <c r="IH106" i="1"/>
  <c r="IC106" i="1"/>
  <c r="HX106" i="1"/>
  <c r="HS106" i="1"/>
  <c r="HN106" i="1"/>
  <c r="HI106" i="1"/>
  <c r="HD106" i="1"/>
  <c r="GY106" i="1"/>
  <c r="GT106" i="1"/>
  <c r="GM106" i="1"/>
  <c r="GN106" i="1" s="1"/>
  <c r="GO106" i="1" s="1"/>
  <c r="GH106" i="1"/>
  <c r="GI106" i="1" s="1"/>
  <c r="GJ106" i="1" s="1"/>
  <c r="GC106" i="1"/>
  <c r="GD106" i="1" s="1"/>
  <c r="GE106" i="1" s="1"/>
  <c r="FX106" i="1"/>
  <c r="FY106" i="1" s="1"/>
  <c r="FZ106" i="1" s="1"/>
  <c r="FS106" i="1"/>
  <c r="FT106" i="1" s="1"/>
  <c r="FU106" i="1" s="1"/>
  <c r="FN106" i="1"/>
  <c r="FO106" i="1" s="1"/>
  <c r="FP106" i="1" s="1"/>
  <c r="FI106" i="1"/>
  <c r="FJ106" i="1" s="1"/>
  <c r="FK106" i="1" s="1"/>
  <c r="FD106" i="1"/>
  <c r="FE106" i="1" s="1"/>
  <c r="FF106" i="1" s="1"/>
  <c r="EY106" i="1"/>
  <c r="EZ106" i="1" s="1"/>
  <c r="FA106" i="1" s="1"/>
  <c r="ET106" i="1"/>
  <c r="EU106" i="1" s="1"/>
  <c r="EV106" i="1" s="1"/>
  <c r="EO106" i="1"/>
  <c r="EP106" i="1" s="1"/>
  <c r="EQ106" i="1" s="1"/>
  <c r="EJ106" i="1"/>
  <c r="EK106" i="1" s="1"/>
  <c r="EL106" i="1" s="1"/>
  <c r="EE106" i="1"/>
  <c r="EF106" i="1" s="1"/>
  <c r="EG106" i="1" s="1"/>
  <c r="DZ106" i="1"/>
  <c r="EA106" i="1" s="1"/>
  <c r="EB106" i="1" s="1"/>
  <c r="DU106" i="1"/>
  <c r="DV106" i="1" s="1"/>
  <c r="DW106" i="1" s="1"/>
  <c r="DP106" i="1"/>
  <c r="DQ106" i="1" s="1"/>
  <c r="DR106" i="1" s="1"/>
  <c r="DK106" i="1"/>
  <c r="DL106" i="1" s="1"/>
  <c r="DM106" i="1" s="1"/>
  <c r="DF106" i="1"/>
  <c r="DG106" i="1" s="1"/>
  <c r="DH106" i="1" s="1"/>
  <c r="DA106" i="1"/>
  <c r="DB106" i="1" s="1"/>
  <c r="DC106" i="1" s="1"/>
  <c r="CV106" i="1"/>
  <c r="CW106" i="1" s="1"/>
  <c r="CX106" i="1" s="1"/>
  <c r="CQ106" i="1"/>
  <c r="CR106" i="1" s="1"/>
  <c r="CS106" i="1" s="1"/>
  <c r="CL106" i="1"/>
  <c r="CM106" i="1" s="1"/>
  <c r="CN106" i="1" s="1"/>
  <c r="CG106" i="1"/>
  <c r="CH106" i="1" s="1"/>
  <c r="CI106" i="1" s="1"/>
  <c r="CB106" i="1"/>
  <c r="CC106" i="1" s="1"/>
  <c r="CD106" i="1" s="1"/>
  <c r="BW106" i="1"/>
  <c r="BX106" i="1" s="1"/>
  <c r="BY106" i="1" s="1"/>
  <c r="BR106" i="1"/>
  <c r="BS106" i="1" s="1"/>
  <c r="BT106" i="1" s="1"/>
  <c r="BM106" i="1"/>
  <c r="BN106" i="1" s="1"/>
  <c r="BO106" i="1" s="1"/>
  <c r="BH106" i="1"/>
  <c r="BI106" i="1" s="1"/>
  <c r="BJ106" i="1" s="1"/>
  <c r="BC106" i="1"/>
  <c r="BD106" i="1" s="1"/>
  <c r="BE106" i="1" s="1"/>
  <c r="AX106" i="1"/>
  <c r="AY106" i="1" s="1"/>
  <c r="AZ106" i="1" s="1"/>
  <c r="AS106" i="1"/>
  <c r="AT106" i="1" s="1"/>
  <c r="AU106" i="1" s="1"/>
  <c r="AN106" i="1"/>
  <c r="AO106" i="1" s="1"/>
  <c r="AP106" i="1" s="1"/>
  <c r="AI106" i="1"/>
  <c r="AJ106" i="1" s="1"/>
  <c r="AK106" i="1" s="1"/>
  <c r="X106" i="1"/>
  <c r="Y106" i="1" s="1"/>
  <c r="Z106" i="1" s="1"/>
  <c r="T106" i="1"/>
  <c r="O106" i="1"/>
  <c r="J106" i="1"/>
  <c r="PX105" i="1"/>
  <c r="PY105" i="1" s="1"/>
  <c r="PZ105" i="1" s="1"/>
  <c r="PU105" i="1"/>
  <c r="PP105" i="1"/>
  <c r="PK105" i="1"/>
  <c r="PF105" i="1"/>
  <c r="PA105" i="1"/>
  <c r="OV105" i="1"/>
  <c r="OQ105" i="1"/>
  <c r="OL105" i="1"/>
  <c r="OG105" i="1"/>
  <c r="OB105" i="1"/>
  <c r="NW105" i="1"/>
  <c r="NR105" i="1"/>
  <c r="NM105" i="1"/>
  <c r="NH105" i="1"/>
  <c r="NC105" i="1"/>
  <c r="MX105" i="1"/>
  <c r="MS105" i="1"/>
  <c r="MN105" i="1"/>
  <c r="MI105" i="1"/>
  <c r="MD105" i="1"/>
  <c r="LY105" i="1"/>
  <c r="LT105" i="1"/>
  <c r="LO105" i="1"/>
  <c r="LJ105" i="1"/>
  <c r="LE105" i="1"/>
  <c r="KZ105" i="1"/>
  <c r="KU105" i="1"/>
  <c r="KP105" i="1"/>
  <c r="KK105" i="1"/>
  <c r="KF105" i="1"/>
  <c r="JB105" i="1"/>
  <c r="IW105" i="1"/>
  <c r="IR105" i="1"/>
  <c r="IM105" i="1"/>
  <c r="IH105" i="1"/>
  <c r="IC105" i="1"/>
  <c r="HX105" i="1"/>
  <c r="HS105" i="1"/>
  <c r="HN105" i="1"/>
  <c r="HI105" i="1"/>
  <c r="HB105" i="1"/>
  <c r="HC105" i="1" s="1"/>
  <c r="HD105" i="1" s="1"/>
  <c r="GW105" i="1"/>
  <c r="GX105" i="1" s="1"/>
  <c r="GY105" i="1" s="1"/>
  <c r="GR105" i="1"/>
  <c r="GS105" i="1" s="1"/>
  <c r="GT105" i="1" s="1"/>
  <c r="GM105" i="1"/>
  <c r="GN105" i="1" s="1"/>
  <c r="GO105" i="1" s="1"/>
  <c r="GH105" i="1"/>
  <c r="GI105" i="1" s="1"/>
  <c r="GJ105" i="1" s="1"/>
  <c r="GC105" i="1"/>
  <c r="GD105" i="1" s="1"/>
  <c r="GE105" i="1" s="1"/>
  <c r="FX105" i="1"/>
  <c r="FY105" i="1" s="1"/>
  <c r="FZ105" i="1" s="1"/>
  <c r="FS105" i="1"/>
  <c r="FT105" i="1" s="1"/>
  <c r="FU105" i="1" s="1"/>
  <c r="FN105" i="1"/>
  <c r="FO105" i="1" s="1"/>
  <c r="FP105" i="1" s="1"/>
  <c r="FI105" i="1"/>
  <c r="FJ105" i="1" s="1"/>
  <c r="FK105" i="1" s="1"/>
  <c r="FD105" i="1"/>
  <c r="FE105" i="1" s="1"/>
  <c r="FF105" i="1" s="1"/>
  <c r="EY105" i="1"/>
  <c r="EZ105" i="1" s="1"/>
  <c r="FA105" i="1" s="1"/>
  <c r="ET105" i="1"/>
  <c r="EU105" i="1" s="1"/>
  <c r="EV105" i="1" s="1"/>
  <c r="EO105" i="1"/>
  <c r="EP105" i="1" s="1"/>
  <c r="EQ105" i="1" s="1"/>
  <c r="EJ105" i="1"/>
  <c r="EK105" i="1" s="1"/>
  <c r="EL105" i="1" s="1"/>
  <c r="EE105" i="1"/>
  <c r="EF105" i="1" s="1"/>
  <c r="EG105" i="1" s="1"/>
  <c r="DZ105" i="1"/>
  <c r="EA105" i="1" s="1"/>
  <c r="EB105" i="1" s="1"/>
  <c r="DU105" i="1"/>
  <c r="DV105" i="1" s="1"/>
  <c r="DW105" i="1" s="1"/>
  <c r="DP105" i="1"/>
  <c r="DQ105" i="1" s="1"/>
  <c r="DR105" i="1" s="1"/>
  <c r="DK105" i="1"/>
  <c r="DL105" i="1" s="1"/>
  <c r="DM105" i="1" s="1"/>
  <c r="DF105" i="1"/>
  <c r="DG105" i="1" s="1"/>
  <c r="DH105" i="1" s="1"/>
  <c r="DA105" i="1"/>
  <c r="DB105" i="1" s="1"/>
  <c r="DC105" i="1" s="1"/>
  <c r="CV105" i="1"/>
  <c r="CW105" i="1" s="1"/>
  <c r="CX105" i="1" s="1"/>
  <c r="CQ105" i="1"/>
  <c r="CR105" i="1" s="1"/>
  <c r="CS105" i="1" s="1"/>
  <c r="CL105" i="1"/>
  <c r="CM105" i="1" s="1"/>
  <c r="CN105" i="1" s="1"/>
  <c r="CG105" i="1"/>
  <c r="CH105" i="1" s="1"/>
  <c r="CI105" i="1" s="1"/>
  <c r="CB105" i="1"/>
  <c r="CC105" i="1" s="1"/>
  <c r="CD105" i="1" s="1"/>
  <c r="BW105" i="1"/>
  <c r="BX105" i="1" s="1"/>
  <c r="BY105" i="1" s="1"/>
  <c r="BR105" i="1"/>
  <c r="BS105" i="1" s="1"/>
  <c r="BT105" i="1" s="1"/>
  <c r="BM105" i="1"/>
  <c r="BN105" i="1" s="1"/>
  <c r="BO105" i="1" s="1"/>
  <c r="BH105" i="1"/>
  <c r="BI105" i="1" s="1"/>
  <c r="BJ105" i="1" s="1"/>
  <c r="BC105" i="1"/>
  <c r="BD105" i="1" s="1"/>
  <c r="BE105" i="1" s="1"/>
  <c r="AX105" i="1"/>
  <c r="AY105" i="1" s="1"/>
  <c r="AZ105" i="1" s="1"/>
  <c r="AS105" i="1"/>
  <c r="AT105" i="1" s="1"/>
  <c r="AU105" i="1" s="1"/>
  <c r="AN105" i="1"/>
  <c r="AO105" i="1" s="1"/>
  <c r="AP105" i="1" s="1"/>
  <c r="AI105" i="1"/>
  <c r="AJ105" i="1" s="1"/>
  <c r="AK105" i="1" s="1"/>
  <c r="X105" i="1"/>
  <c r="Y105" i="1" s="1"/>
  <c r="Z105" i="1" s="1"/>
  <c r="T105" i="1"/>
  <c r="O105" i="1"/>
  <c r="J105" i="1"/>
  <c r="PZ104" i="1"/>
  <c r="PU104" i="1"/>
  <c r="PP104" i="1"/>
  <c r="PK104" i="1"/>
  <c r="PF104" i="1"/>
  <c r="PA104" i="1"/>
  <c r="OV104" i="1"/>
  <c r="OQ104" i="1"/>
  <c r="OL104" i="1"/>
  <c r="OG104" i="1"/>
  <c r="OB104" i="1"/>
  <c r="NW104" i="1"/>
  <c r="NR104" i="1"/>
  <c r="NM104" i="1"/>
  <c r="NH104" i="1"/>
  <c r="NC104" i="1"/>
  <c r="MX104" i="1"/>
  <c r="MS104" i="1"/>
  <c r="MN104" i="1"/>
  <c r="MI104" i="1"/>
  <c r="MD104" i="1"/>
  <c r="LY104" i="1"/>
  <c r="LT104" i="1"/>
  <c r="LO104" i="1"/>
  <c r="LJ104" i="1"/>
  <c r="LE104" i="1"/>
  <c r="KZ104" i="1"/>
  <c r="KU104" i="1"/>
  <c r="KP104" i="1"/>
  <c r="KK104" i="1"/>
  <c r="KF104" i="1"/>
  <c r="JB104" i="1"/>
  <c r="IW104" i="1"/>
  <c r="IR104" i="1"/>
  <c r="IM104" i="1"/>
  <c r="IH104" i="1"/>
  <c r="IC104" i="1"/>
  <c r="HX104" i="1"/>
  <c r="HS104" i="1"/>
  <c r="HN104" i="1"/>
  <c r="HG104" i="1"/>
  <c r="HH104" i="1" s="1"/>
  <c r="HI104" i="1" s="1"/>
  <c r="HB104" i="1"/>
  <c r="HC104" i="1" s="1"/>
  <c r="HD104" i="1" s="1"/>
  <c r="GW104" i="1"/>
  <c r="GX104" i="1" s="1"/>
  <c r="GY104" i="1" s="1"/>
  <c r="GR104" i="1"/>
  <c r="GS104" i="1" s="1"/>
  <c r="GT104" i="1" s="1"/>
  <c r="GM104" i="1"/>
  <c r="GN104" i="1" s="1"/>
  <c r="GO104" i="1" s="1"/>
  <c r="GH104" i="1"/>
  <c r="GI104" i="1" s="1"/>
  <c r="GJ104" i="1" s="1"/>
  <c r="GC104" i="1"/>
  <c r="GD104" i="1" s="1"/>
  <c r="GE104" i="1" s="1"/>
  <c r="FX104" i="1"/>
  <c r="FY104" i="1" s="1"/>
  <c r="FZ104" i="1" s="1"/>
  <c r="FS104" i="1"/>
  <c r="FT104" i="1" s="1"/>
  <c r="FU104" i="1" s="1"/>
  <c r="FN104" i="1"/>
  <c r="FO104" i="1" s="1"/>
  <c r="FP104" i="1" s="1"/>
  <c r="FI104" i="1"/>
  <c r="FJ104" i="1" s="1"/>
  <c r="FK104" i="1" s="1"/>
  <c r="FD104" i="1"/>
  <c r="FE104" i="1" s="1"/>
  <c r="FF104" i="1" s="1"/>
  <c r="EY104" i="1"/>
  <c r="EZ104" i="1" s="1"/>
  <c r="FA104" i="1" s="1"/>
  <c r="ET104" i="1"/>
  <c r="EU104" i="1" s="1"/>
  <c r="EV104" i="1" s="1"/>
  <c r="EO104" i="1"/>
  <c r="EP104" i="1" s="1"/>
  <c r="EQ104" i="1" s="1"/>
  <c r="EJ104" i="1"/>
  <c r="EK104" i="1" s="1"/>
  <c r="EL104" i="1" s="1"/>
  <c r="EE104" i="1"/>
  <c r="EF104" i="1" s="1"/>
  <c r="EG104" i="1" s="1"/>
  <c r="DZ104" i="1"/>
  <c r="EA104" i="1" s="1"/>
  <c r="EB104" i="1" s="1"/>
  <c r="DU104" i="1"/>
  <c r="DV104" i="1" s="1"/>
  <c r="DW104" i="1" s="1"/>
  <c r="DP104" i="1"/>
  <c r="DQ104" i="1" s="1"/>
  <c r="DR104" i="1" s="1"/>
  <c r="DK104" i="1"/>
  <c r="DL104" i="1" s="1"/>
  <c r="DM104" i="1" s="1"/>
  <c r="DF104" i="1"/>
  <c r="DG104" i="1" s="1"/>
  <c r="DH104" i="1" s="1"/>
  <c r="DA104" i="1"/>
  <c r="DB104" i="1" s="1"/>
  <c r="DC104" i="1" s="1"/>
  <c r="CV104" i="1"/>
  <c r="CW104" i="1" s="1"/>
  <c r="CX104" i="1" s="1"/>
  <c r="CQ104" i="1"/>
  <c r="CR104" i="1" s="1"/>
  <c r="CS104" i="1" s="1"/>
  <c r="CL104" i="1"/>
  <c r="CM104" i="1" s="1"/>
  <c r="CN104" i="1" s="1"/>
  <c r="CG104" i="1"/>
  <c r="CH104" i="1" s="1"/>
  <c r="CI104" i="1" s="1"/>
  <c r="CB104" i="1"/>
  <c r="CC104" i="1" s="1"/>
  <c r="CD104" i="1" s="1"/>
  <c r="BW104" i="1"/>
  <c r="BX104" i="1" s="1"/>
  <c r="BY104" i="1" s="1"/>
  <c r="BR104" i="1"/>
  <c r="BS104" i="1" s="1"/>
  <c r="BT104" i="1" s="1"/>
  <c r="BM104" i="1"/>
  <c r="BN104" i="1" s="1"/>
  <c r="BO104" i="1" s="1"/>
  <c r="BH104" i="1"/>
  <c r="BI104" i="1" s="1"/>
  <c r="BJ104" i="1" s="1"/>
  <c r="BC104" i="1"/>
  <c r="BD104" i="1" s="1"/>
  <c r="BE104" i="1" s="1"/>
  <c r="AX104" i="1"/>
  <c r="AY104" i="1" s="1"/>
  <c r="AZ104" i="1" s="1"/>
  <c r="AS104" i="1"/>
  <c r="AT104" i="1" s="1"/>
  <c r="AU104" i="1" s="1"/>
  <c r="AN104" i="1"/>
  <c r="AO104" i="1" s="1"/>
  <c r="AP104" i="1" s="1"/>
  <c r="AI104" i="1"/>
  <c r="AJ104" i="1" s="1"/>
  <c r="AK104" i="1" s="1"/>
  <c r="X104" i="1"/>
  <c r="Y104" i="1" s="1"/>
  <c r="Z104" i="1" s="1"/>
  <c r="R104" i="1"/>
  <c r="S104" i="1" s="1"/>
  <c r="T104" i="1" s="1"/>
  <c r="O104" i="1"/>
  <c r="J104" i="1"/>
  <c r="PZ103" i="1"/>
  <c r="PU103" i="1"/>
  <c r="PP103" i="1"/>
  <c r="PK103" i="1"/>
  <c r="PF103" i="1"/>
  <c r="PA103" i="1"/>
  <c r="OV103" i="1"/>
  <c r="OQ103" i="1"/>
  <c r="OL103" i="1"/>
  <c r="OG103" i="1"/>
  <c r="OB103" i="1"/>
  <c r="NW103" i="1"/>
  <c r="NR103" i="1"/>
  <c r="NM103" i="1"/>
  <c r="NH103" i="1"/>
  <c r="NC103" i="1"/>
  <c r="MX103" i="1"/>
  <c r="MS103" i="1"/>
  <c r="MN103" i="1"/>
  <c r="MI103" i="1"/>
  <c r="MD103" i="1"/>
  <c r="LY103" i="1"/>
  <c r="LT103" i="1"/>
  <c r="LO103" i="1"/>
  <c r="LJ103" i="1"/>
  <c r="LC103" i="1"/>
  <c r="LD103" i="1" s="1"/>
  <c r="LE103" i="1" s="1"/>
  <c r="KZ103" i="1"/>
  <c r="KU103" i="1"/>
  <c r="KN103" i="1"/>
  <c r="KO103" i="1" s="1"/>
  <c r="KP103" i="1" s="1"/>
  <c r="KK103" i="1"/>
  <c r="KF103" i="1"/>
  <c r="IZ103" i="1"/>
  <c r="JA103" i="1" s="1"/>
  <c r="JB103" i="1" s="1"/>
  <c r="IU103" i="1"/>
  <c r="IV103" i="1" s="1"/>
  <c r="IW103" i="1" s="1"/>
  <c r="IP103" i="1"/>
  <c r="IQ103" i="1" s="1"/>
  <c r="IR103" i="1" s="1"/>
  <c r="IK103" i="1"/>
  <c r="IL103" i="1" s="1"/>
  <c r="IM103" i="1" s="1"/>
  <c r="IF103" i="1"/>
  <c r="IG103" i="1" s="1"/>
  <c r="IH103" i="1" s="1"/>
  <c r="IA103" i="1"/>
  <c r="IB103" i="1" s="1"/>
  <c r="IC103" i="1" s="1"/>
  <c r="HV103" i="1"/>
  <c r="HW103" i="1" s="1"/>
  <c r="HX103" i="1" s="1"/>
  <c r="HS103" i="1"/>
  <c r="HN103" i="1"/>
  <c r="HG103" i="1"/>
  <c r="HH103" i="1" s="1"/>
  <c r="HI103" i="1" s="1"/>
  <c r="HB103" i="1"/>
  <c r="HC103" i="1" s="1"/>
  <c r="HD103" i="1" s="1"/>
  <c r="GW103" i="1"/>
  <c r="GX103" i="1" s="1"/>
  <c r="GY103" i="1" s="1"/>
  <c r="GR103" i="1"/>
  <c r="GS103" i="1" s="1"/>
  <c r="GT103" i="1" s="1"/>
  <c r="GM103" i="1"/>
  <c r="GN103" i="1" s="1"/>
  <c r="GO103" i="1" s="1"/>
  <c r="GH103" i="1"/>
  <c r="GI103" i="1" s="1"/>
  <c r="GJ103" i="1" s="1"/>
  <c r="GC103" i="1"/>
  <c r="GD103" i="1" s="1"/>
  <c r="GE103" i="1" s="1"/>
  <c r="FX103" i="1"/>
  <c r="FY103" i="1" s="1"/>
  <c r="FZ103" i="1" s="1"/>
  <c r="FS103" i="1"/>
  <c r="FT103" i="1" s="1"/>
  <c r="FU103" i="1" s="1"/>
  <c r="FN103" i="1"/>
  <c r="FO103" i="1" s="1"/>
  <c r="FP103" i="1" s="1"/>
  <c r="FI103" i="1"/>
  <c r="FJ103" i="1" s="1"/>
  <c r="FK103" i="1" s="1"/>
  <c r="FD103" i="1"/>
  <c r="FE103" i="1" s="1"/>
  <c r="FF103" i="1" s="1"/>
  <c r="EY103" i="1"/>
  <c r="EZ103" i="1" s="1"/>
  <c r="FA103" i="1" s="1"/>
  <c r="ET103" i="1"/>
  <c r="EU103" i="1" s="1"/>
  <c r="EV103" i="1" s="1"/>
  <c r="EO103" i="1"/>
  <c r="EP103" i="1" s="1"/>
  <c r="EQ103" i="1" s="1"/>
  <c r="EJ103" i="1"/>
  <c r="EK103" i="1" s="1"/>
  <c r="EL103" i="1" s="1"/>
  <c r="EE103" i="1"/>
  <c r="EF103" i="1" s="1"/>
  <c r="EG103" i="1" s="1"/>
  <c r="DZ103" i="1"/>
  <c r="EA103" i="1" s="1"/>
  <c r="EB103" i="1" s="1"/>
  <c r="DU103" i="1"/>
  <c r="DV103" i="1" s="1"/>
  <c r="DW103" i="1" s="1"/>
  <c r="DP103" i="1"/>
  <c r="DQ103" i="1" s="1"/>
  <c r="DR103" i="1" s="1"/>
  <c r="DK103" i="1"/>
  <c r="DL103" i="1" s="1"/>
  <c r="DM103" i="1" s="1"/>
  <c r="DF103" i="1"/>
  <c r="DG103" i="1" s="1"/>
  <c r="DH103" i="1" s="1"/>
  <c r="DA103" i="1"/>
  <c r="DB103" i="1" s="1"/>
  <c r="DC103" i="1" s="1"/>
  <c r="CV103" i="1"/>
  <c r="CW103" i="1" s="1"/>
  <c r="CX103" i="1" s="1"/>
  <c r="CQ103" i="1"/>
  <c r="CR103" i="1" s="1"/>
  <c r="CS103" i="1" s="1"/>
  <c r="CL103" i="1"/>
  <c r="CM103" i="1" s="1"/>
  <c r="CN103" i="1" s="1"/>
  <c r="CG103" i="1"/>
  <c r="CH103" i="1" s="1"/>
  <c r="CI103" i="1" s="1"/>
  <c r="CB103" i="1"/>
  <c r="CC103" i="1" s="1"/>
  <c r="CD103" i="1" s="1"/>
  <c r="BW103" i="1"/>
  <c r="BX103" i="1" s="1"/>
  <c r="BY103" i="1" s="1"/>
  <c r="BR103" i="1"/>
  <c r="BS103" i="1" s="1"/>
  <c r="BT103" i="1" s="1"/>
  <c r="BM103" i="1"/>
  <c r="BN103" i="1" s="1"/>
  <c r="BO103" i="1" s="1"/>
  <c r="BH103" i="1"/>
  <c r="BI103" i="1" s="1"/>
  <c r="BJ103" i="1" s="1"/>
  <c r="BC103" i="1"/>
  <c r="BD103" i="1" s="1"/>
  <c r="BE103" i="1" s="1"/>
  <c r="AX103" i="1"/>
  <c r="AY103" i="1" s="1"/>
  <c r="AZ103" i="1" s="1"/>
  <c r="AS103" i="1"/>
  <c r="AT103" i="1" s="1"/>
  <c r="AU103" i="1" s="1"/>
  <c r="AN103" i="1"/>
  <c r="AO103" i="1" s="1"/>
  <c r="AP103" i="1" s="1"/>
  <c r="AI103" i="1"/>
  <c r="AJ103" i="1" s="1"/>
  <c r="AK103" i="1" s="1"/>
  <c r="AD103" i="1"/>
  <c r="AE103" i="1" s="1"/>
  <c r="AF103" i="1" s="1"/>
  <c r="X103" i="1"/>
  <c r="Y103" i="1" s="1"/>
  <c r="Z103" i="1" s="1"/>
  <c r="R103" i="1"/>
  <c r="S103" i="1" s="1"/>
  <c r="T103" i="1" s="1"/>
  <c r="O103" i="1"/>
  <c r="J103" i="1"/>
  <c r="PZ102" i="1"/>
  <c r="PU102" i="1"/>
  <c r="PP102" i="1"/>
  <c r="PK102" i="1"/>
  <c r="PF102" i="1"/>
  <c r="PA102" i="1"/>
  <c r="OV102" i="1"/>
  <c r="OQ102" i="1"/>
  <c r="OL102" i="1"/>
  <c r="OG102" i="1"/>
  <c r="OB102" i="1"/>
  <c r="NW102" i="1"/>
  <c r="NR102" i="1"/>
  <c r="NM102" i="1"/>
  <c r="NH102" i="1"/>
  <c r="NC102" i="1"/>
  <c r="MX102" i="1"/>
  <c r="MS102" i="1"/>
  <c r="MN102" i="1"/>
  <c r="MI102" i="1"/>
  <c r="MD102" i="1"/>
  <c r="LY102" i="1"/>
  <c r="LT102" i="1"/>
  <c r="LO102" i="1"/>
  <c r="LJ102" i="1"/>
  <c r="LE102" i="1"/>
  <c r="KX102" i="1"/>
  <c r="KY102" i="1" s="1"/>
  <c r="KZ102" i="1" s="1"/>
  <c r="KU102" i="1"/>
  <c r="KP102" i="1"/>
  <c r="KK102" i="1"/>
  <c r="KF102" i="1"/>
  <c r="IZ102" i="1"/>
  <c r="JA102" i="1" s="1"/>
  <c r="JB102" i="1" s="1"/>
  <c r="IU102" i="1"/>
  <c r="IV102" i="1" s="1"/>
  <c r="IW102" i="1" s="1"/>
  <c r="IP102" i="1"/>
  <c r="IQ102" i="1" s="1"/>
  <c r="IR102" i="1" s="1"/>
  <c r="IK102" i="1"/>
  <c r="IL102" i="1" s="1"/>
  <c r="IM102" i="1" s="1"/>
  <c r="IF102" i="1"/>
  <c r="IG102" i="1" s="1"/>
  <c r="IH102" i="1" s="1"/>
  <c r="IA102" i="1"/>
  <c r="IB102" i="1" s="1"/>
  <c r="IC102" i="1" s="1"/>
  <c r="HV102" i="1"/>
  <c r="HW102" i="1" s="1"/>
  <c r="HX102" i="1" s="1"/>
  <c r="HQ102" i="1"/>
  <c r="HR102" i="1" s="1"/>
  <c r="HS102" i="1" s="1"/>
  <c r="HL102" i="1"/>
  <c r="HM102" i="1" s="1"/>
  <c r="HN102" i="1" s="1"/>
  <c r="HG102" i="1"/>
  <c r="HH102" i="1" s="1"/>
  <c r="HI102" i="1" s="1"/>
  <c r="HB102" i="1"/>
  <c r="HC102" i="1" s="1"/>
  <c r="HD102" i="1" s="1"/>
  <c r="GW102" i="1"/>
  <c r="GX102" i="1" s="1"/>
  <c r="GY102" i="1" s="1"/>
  <c r="GR102" i="1"/>
  <c r="GS102" i="1" s="1"/>
  <c r="GT102" i="1" s="1"/>
  <c r="GM102" i="1"/>
  <c r="GN102" i="1" s="1"/>
  <c r="GO102" i="1" s="1"/>
  <c r="GH102" i="1"/>
  <c r="GI102" i="1" s="1"/>
  <c r="GJ102" i="1" s="1"/>
  <c r="GC102" i="1"/>
  <c r="GD102" i="1" s="1"/>
  <c r="GE102" i="1" s="1"/>
  <c r="FX102" i="1"/>
  <c r="FY102" i="1" s="1"/>
  <c r="FZ102" i="1" s="1"/>
  <c r="FS102" i="1"/>
  <c r="FT102" i="1" s="1"/>
  <c r="FU102" i="1" s="1"/>
  <c r="FN102" i="1"/>
  <c r="FO102" i="1" s="1"/>
  <c r="FP102" i="1" s="1"/>
  <c r="FI102" i="1"/>
  <c r="FJ102" i="1" s="1"/>
  <c r="FK102" i="1" s="1"/>
  <c r="FD102" i="1"/>
  <c r="FE102" i="1" s="1"/>
  <c r="FF102" i="1" s="1"/>
  <c r="EY102" i="1"/>
  <c r="EZ102" i="1" s="1"/>
  <c r="FA102" i="1" s="1"/>
  <c r="ET102" i="1"/>
  <c r="EU102" i="1" s="1"/>
  <c r="EV102" i="1" s="1"/>
  <c r="EO102" i="1"/>
  <c r="EP102" i="1" s="1"/>
  <c r="EQ102" i="1" s="1"/>
  <c r="EJ102" i="1"/>
  <c r="EK102" i="1" s="1"/>
  <c r="EL102" i="1" s="1"/>
  <c r="EE102" i="1"/>
  <c r="EF102" i="1" s="1"/>
  <c r="EG102" i="1" s="1"/>
  <c r="DZ102" i="1"/>
  <c r="EA102" i="1" s="1"/>
  <c r="EB102" i="1" s="1"/>
  <c r="DU102" i="1"/>
  <c r="DV102" i="1" s="1"/>
  <c r="DW102" i="1" s="1"/>
  <c r="DP102" i="1"/>
  <c r="DQ102" i="1" s="1"/>
  <c r="DR102" i="1" s="1"/>
  <c r="DK102" i="1"/>
  <c r="DL102" i="1" s="1"/>
  <c r="DM102" i="1" s="1"/>
  <c r="DF102" i="1"/>
  <c r="DG102" i="1" s="1"/>
  <c r="DH102" i="1" s="1"/>
  <c r="DA102" i="1"/>
  <c r="DB102" i="1" s="1"/>
  <c r="DC102" i="1" s="1"/>
  <c r="CV102" i="1"/>
  <c r="CW102" i="1" s="1"/>
  <c r="CX102" i="1" s="1"/>
  <c r="CQ102" i="1"/>
  <c r="CR102" i="1" s="1"/>
  <c r="CS102" i="1" s="1"/>
  <c r="CL102" i="1"/>
  <c r="CM102" i="1" s="1"/>
  <c r="CN102" i="1" s="1"/>
  <c r="CG102" i="1"/>
  <c r="CH102" i="1" s="1"/>
  <c r="CI102" i="1" s="1"/>
  <c r="CB102" i="1"/>
  <c r="CC102" i="1" s="1"/>
  <c r="CD102" i="1" s="1"/>
  <c r="BW102" i="1"/>
  <c r="BX102" i="1" s="1"/>
  <c r="BY102" i="1" s="1"/>
  <c r="BR102" i="1"/>
  <c r="BS102" i="1" s="1"/>
  <c r="BT102" i="1" s="1"/>
  <c r="BM102" i="1"/>
  <c r="BN102" i="1" s="1"/>
  <c r="BO102" i="1" s="1"/>
  <c r="BH102" i="1"/>
  <c r="BI102" i="1" s="1"/>
  <c r="BJ102" i="1" s="1"/>
  <c r="BC102" i="1"/>
  <c r="BD102" i="1" s="1"/>
  <c r="BE102" i="1" s="1"/>
  <c r="AX102" i="1"/>
  <c r="AY102" i="1" s="1"/>
  <c r="AZ102" i="1" s="1"/>
  <c r="AS102" i="1"/>
  <c r="AT102" i="1" s="1"/>
  <c r="AU102" i="1" s="1"/>
  <c r="AN102" i="1"/>
  <c r="AO102" i="1" s="1"/>
  <c r="AP102" i="1" s="1"/>
  <c r="AI102" i="1"/>
  <c r="AJ102" i="1" s="1"/>
  <c r="AK102" i="1" s="1"/>
  <c r="AD102" i="1"/>
  <c r="AE102" i="1" s="1"/>
  <c r="AF102" i="1" s="1"/>
  <c r="X102" i="1"/>
  <c r="Y102" i="1" s="1"/>
  <c r="Z102" i="1" s="1"/>
  <c r="T102" i="1"/>
  <c r="O102" i="1"/>
  <c r="J102" i="1"/>
  <c r="PZ101" i="1"/>
  <c r="PU101" i="1"/>
  <c r="PP101" i="1"/>
  <c r="PK101" i="1"/>
  <c r="PF101" i="1"/>
  <c r="PA101" i="1"/>
  <c r="OV101" i="1"/>
  <c r="OQ101" i="1"/>
  <c r="OL101" i="1"/>
  <c r="OG101" i="1"/>
  <c r="OB101" i="1"/>
  <c r="NW101" i="1"/>
  <c r="NR101" i="1"/>
  <c r="NM101" i="1"/>
  <c r="NH101" i="1"/>
  <c r="NC101" i="1"/>
  <c r="MX101" i="1"/>
  <c r="MS101" i="1"/>
  <c r="MN101" i="1"/>
  <c r="MI101" i="1"/>
  <c r="MD101" i="1"/>
  <c r="LY101" i="1"/>
  <c r="LT101" i="1"/>
  <c r="LO101" i="1"/>
  <c r="LJ101" i="1"/>
  <c r="LC101" i="1"/>
  <c r="LD101" i="1" s="1"/>
  <c r="LE101" i="1" s="1"/>
  <c r="KZ101" i="1"/>
  <c r="KU101" i="1"/>
  <c r="KP101" i="1"/>
  <c r="KK101" i="1"/>
  <c r="KF101" i="1"/>
  <c r="IZ101" i="1"/>
  <c r="JA101" i="1" s="1"/>
  <c r="JB101" i="1" s="1"/>
  <c r="IU101" i="1"/>
  <c r="IV101" i="1" s="1"/>
  <c r="IW101" i="1" s="1"/>
  <c r="IP101" i="1"/>
  <c r="IQ101" i="1" s="1"/>
  <c r="IR101" i="1" s="1"/>
  <c r="IK101" i="1"/>
  <c r="IL101" i="1" s="1"/>
  <c r="IM101" i="1" s="1"/>
  <c r="IF101" i="1"/>
  <c r="IG101" i="1" s="1"/>
  <c r="IH101" i="1" s="1"/>
  <c r="IA101" i="1"/>
  <c r="IB101" i="1" s="1"/>
  <c r="IC101" i="1" s="1"/>
  <c r="HV101" i="1"/>
  <c r="HW101" i="1" s="1"/>
  <c r="HX101" i="1" s="1"/>
  <c r="HS101" i="1"/>
  <c r="HL101" i="1"/>
  <c r="HM101" i="1" s="1"/>
  <c r="HN101" i="1" s="1"/>
  <c r="HG101" i="1"/>
  <c r="HH101" i="1" s="1"/>
  <c r="HI101" i="1" s="1"/>
  <c r="HB101" i="1"/>
  <c r="HC101" i="1" s="1"/>
  <c r="HD101" i="1" s="1"/>
  <c r="GW101" i="1"/>
  <c r="GX101" i="1" s="1"/>
  <c r="GY101" i="1" s="1"/>
  <c r="GR101" i="1"/>
  <c r="GS101" i="1" s="1"/>
  <c r="GT101" i="1" s="1"/>
  <c r="GM101" i="1"/>
  <c r="GN101" i="1" s="1"/>
  <c r="GO101" i="1" s="1"/>
  <c r="GH101" i="1"/>
  <c r="GI101" i="1" s="1"/>
  <c r="GJ101" i="1" s="1"/>
  <c r="GC101" i="1"/>
  <c r="GD101" i="1" s="1"/>
  <c r="GE101" i="1" s="1"/>
  <c r="FX101" i="1"/>
  <c r="FY101" i="1" s="1"/>
  <c r="FZ101" i="1" s="1"/>
  <c r="FS101" i="1"/>
  <c r="FT101" i="1" s="1"/>
  <c r="FU101" i="1" s="1"/>
  <c r="FN101" i="1"/>
  <c r="FO101" i="1" s="1"/>
  <c r="FP101" i="1" s="1"/>
  <c r="FI101" i="1"/>
  <c r="FJ101" i="1" s="1"/>
  <c r="FK101" i="1" s="1"/>
  <c r="FD101" i="1"/>
  <c r="FE101" i="1" s="1"/>
  <c r="FF101" i="1" s="1"/>
  <c r="EY101" i="1"/>
  <c r="EZ101" i="1" s="1"/>
  <c r="FA101" i="1" s="1"/>
  <c r="ET101" i="1"/>
  <c r="EU101" i="1" s="1"/>
  <c r="EV101" i="1" s="1"/>
  <c r="EO101" i="1"/>
  <c r="EP101" i="1" s="1"/>
  <c r="EQ101" i="1" s="1"/>
  <c r="EJ101" i="1"/>
  <c r="EK101" i="1" s="1"/>
  <c r="EL101" i="1" s="1"/>
  <c r="EE101" i="1"/>
  <c r="EF101" i="1" s="1"/>
  <c r="EG101" i="1" s="1"/>
  <c r="DZ101" i="1"/>
  <c r="EA101" i="1" s="1"/>
  <c r="EB101" i="1" s="1"/>
  <c r="DU101" i="1"/>
  <c r="DV101" i="1" s="1"/>
  <c r="DW101" i="1" s="1"/>
  <c r="DP101" i="1"/>
  <c r="DQ101" i="1" s="1"/>
  <c r="DR101" i="1" s="1"/>
  <c r="DK101" i="1"/>
  <c r="DL101" i="1" s="1"/>
  <c r="DM101" i="1" s="1"/>
  <c r="DF101" i="1"/>
  <c r="DG101" i="1" s="1"/>
  <c r="DH101" i="1" s="1"/>
  <c r="DA101" i="1"/>
  <c r="DB101" i="1" s="1"/>
  <c r="DC101" i="1" s="1"/>
  <c r="CV101" i="1"/>
  <c r="CW101" i="1" s="1"/>
  <c r="CX101" i="1" s="1"/>
  <c r="CQ101" i="1"/>
  <c r="CR101" i="1" s="1"/>
  <c r="CS101" i="1" s="1"/>
  <c r="CL101" i="1"/>
  <c r="CM101" i="1" s="1"/>
  <c r="CN101" i="1" s="1"/>
  <c r="CG101" i="1"/>
  <c r="CH101" i="1" s="1"/>
  <c r="CI101" i="1" s="1"/>
  <c r="CB101" i="1"/>
  <c r="CC101" i="1" s="1"/>
  <c r="CD101" i="1" s="1"/>
  <c r="BW101" i="1"/>
  <c r="BX101" i="1" s="1"/>
  <c r="BY101" i="1" s="1"/>
  <c r="BR101" i="1"/>
  <c r="BS101" i="1" s="1"/>
  <c r="BT101" i="1" s="1"/>
  <c r="BM101" i="1"/>
  <c r="BN101" i="1" s="1"/>
  <c r="BO101" i="1" s="1"/>
  <c r="BH101" i="1"/>
  <c r="BI101" i="1" s="1"/>
  <c r="BJ101" i="1" s="1"/>
  <c r="BC101" i="1"/>
  <c r="BD101" i="1" s="1"/>
  <c r="BE101" i="1" s="1"/>
  <c r="AX101" i="1"/>
  <c r="AY101" i="1" s="1"/>
  <c r="AZ101" i="1" s="1"/>
  <c r="AS101" i="1"/>
  <c r="AT101" i="1" s="1"/>
  <c r="AU101" i="1" s="1"/>
  <c r="AN101" i="1"/>
  <c r="AO101" i="1" s="1"/>
  <c r="AP101" i="1" s="1"/>
  <c r="AI101" i="1"/>
  <c r="AJ101" i="1" s="1"/>
  <c r="AK101" i="1" s="1"/>
  <c r="AD101" i="1"/>
  <c r="AE101" i="1" s="1"/>
  <c r="AF101" i="1" s="1"/>
  <c r="X101" i="1"/>
  <c r="Y101" i="1" s="1"/>
  <c r="Z101" i="1" s="1"/>
  <c r="T101" i="1"/>
  <c r="O101" i="1"/>
  <c r="J101" i="1"/>
  <c r="PZ100" i="1"/>
  <c r="PU100" i="1"/>
  <c r="PP100" i="1"/>
  <c r="PK100" i="1"/>
  <c r="PF100" i="1"/>
  <c r="PA100" i="1"/>
  <c r="OV100" i="1"/>
  <c r="OQ100" i="1"/>
  <c r="OL100" i="1"/>
  <c r="OG100" i="1"/>
  <c r="OB100" i="1"/>
  <c r="NW100" i="1"/>
  <c r="NR100" i="1"/>
  <c r="NM100" i="1"/>
  <c r="NH100" i="1"/>
  <c r="NC100" i="1"/>
  <c r="MX100" i="1"/>
  <c r="MS100" i="1"/>
  <c r="MN100" i="1"/>
  <c r="MI100" i="1"/>
  <c r="MD100" i="1"/>
  <c r="LY100" i="1"/>
  <c r="LT100" i="1"/>
  <c r="LO100" i="1"/>
  <c r="LJ100" i="1"/>
  <c r="LE100" i="1"/>
  <c r="KZ100" i="1"/>
  <c r="KU100" i="1"/>
  <c r="KP100" i="1"/>
  <c r="KK100" i="1"/>
  <c r="KF100" i="1"/>
  <c r="IZ100" i="1"/>
  <c r="JA100" i="1" s="1"/>
  <c r="JB100" i="1" s="1"/>
  <c r="IU100" i="1"/>
  <c r="IV100" i="1" s="1"/>
  <c r="IW100" i="1" s="1"/>
  <c r="IP100" i="1"/>
  <c r="IQ100" i="1" s="1"/>
  <c r="IR100" i="1" s="1"/>
  <c r="IK100" i="1"/>
  <c r="IL100" i="1" s="1"/>
  <c r="IM100" i="1" s="1"/>
  <c r="IF100" i="1"/>
  <c r="IG100" i="1" s="1"/>
  <c r="IH100" i="1" s="1"/>
  <c r="IA100" i="1"/>
  <c r="IB100" i="1" s="1"/>
  <c r="IC100" i="1" s="1"/>
  <c r="HV100" i="1"/>
  <c r="HW100" i="1" s="1"/>
  <c r="HX100" i="1" s="1"/>
  <c r="HS100" i="1"/>
  <c r="HN100" i="1"/>
  <c r="HG100" i="1"/>
  <c r="HH100" i="1" s="1"/>
  <c r="HI100" i="1" s="1"/>
  <c r="HB100" i="1"/>
  <c r="HC100" i="1" s="1"/>
  <c r="HD100" i="1" s="1"/>
  <c r="GW100" i="1"/>
  <c r="GX100" i="1" s="1"/>
  <c r="GY100" i="1" s="1"/>
  <c r="GR100" i="1"/>
  <c r="GS100" i="1" s="1"/>
  <c r="GT100" i="1" s="1"/>
  <c r="GM100" i="1"/>
  <c r="GN100" i="1" s="1"/>
  <c r="GO100" i="1" s="1"/>
  <c r="GH100" i="1"/>
  <c r="GI100" i="1" s="1"/>
  <c r="GJ100" i="1" s="1"/>
  <c r="GC100" i="1"/>
  <c r="GD100" i="1" s="1"/>
  <c r="GE100" i="1" s="1"/>
  <c r="FX100" i="1"/>
  <c r="FY100" i="1" s="1"/>
  <c r="FZ100" i="1" s="1"/>
  <c r="FS100" i="1"/>
  <c r="FT100" i="1" s="1"/>
  <c r="FU100" i="1" s="1"/>
  <c r="FN100" i="1"/>
  <c r="FO100" i="1" s="1"/>
  <c r="FP100" i="1" s="1"/>
  <c r="FI100" i="1"/>
  <c r="FJ100" i="1" s="1"/>
  <c r="FK100" i="1" s="1"/>
  <c r="FD100" i="1"/>
  <c r="FE100" i="1" s="1"/>
  <c r="FF100" i="1" s="1"/>
  <c r="EY100" i="1"/>
  <c r="EZ100" i="1" s="1"/>
  <c r="FA100" i="1" s="1"/>
  <c r="ET100" i="1"/>
  <c r="EU100" i="1" s="1"/>
  <c r="EV100" i="1" s="1"/>
  <c r="EO100" i="1"/>
  <c r="EP100" i="1" s="1"/>
  <c r="EQ100" i="1" s="1"/>
  <c r="EJ100" i="1"/>
  <c r="EK100" i="1" s="1"/>
  <c r="EL100" i="1" s="1"/>
  <c r="EE100" i="1"/>
  <c r="EF100" i="1" s="1"/>
  <c r="EG100" i="1" s="1"/>
  <c r="DZ100" i="1"/>
  <c r="EA100" i="1" s="1"/>
  <c r="EB100" i="1" s="1"/>
  <c r="DU100" i="1"/>
  <c r="DV100" i="1" s="1"/>
  <c r="DW100" i="1" s="1"/>
  <c r="DP100" i="1"/>
  <c r="DQ100" i="1" s="1"/>
  <c r="DR100" i="1" s="1"/>
  <c r="DK100" i="1"/>
  <c r="DL100" i="1" s="1"/>
  <c r="DM100" i="1" s="1"/>
  <c r="DF100" i="1"/>
  <c r="DG100" i="1" s="1"/>
  <c r="DH100" i="1" s="1"/>
  <c r="DA100" i="1"/>
  <c r="DB100" i="1" s="1"/>
  <c r="DC100" i="1" s="1"/>
  <c r="CV100" i="1"/>
  <c r="CW100" i="1" s="1"/>
  <c r="CX100" i="1" s="1"/>
  <c r="CQ100" i="1"/>
  <c r="CR100" i="1" s="1"/>
  <c r="CS100" i="1" s="1"/>
  <c r="CL100" i="1"/>
  <c r="CM100" i="1" s="1"/>
  <c r="CN100" i="1" s="1"/>
  <c r="CG100" i="1"/>
  <c r="CH100" i="1" s="1"/>
  <c r="CI100" i="1" s="1"/>
  <c r="CB100" i="1"/>
  <c r="CC100" i="1" s="1"/>
  <c r="CD100" i="1" s="1"/>
  <c r="BW100" i="1"/>
  <c r="BX100" i="1" s="1"/>
  <c r="BY100" i="1" s="1"/>
  <c r="BR100" i="1"/>
  <c r="BS100" i="1" s="1"/>
  <c r="BT100" i="1" s="1"/>
  <c r="BM100" i="1"/>
  <c r="BN100" i="1" s="1"/>
  <c r="BO100" i="1" s="1"/>
  <c r="BH100" i="1"/>
  <c r="BI100" i="1" s="1"/>
  <c r="BJ100" i="1" s="1"/>
  <c r="BC100" i="1"/>
  <c r="BD100" i="1" s="1"/>
  <c r="BE100" i="1" s="1"/>
  <c r="AX100" i="1"/>
  <c r="AY100" i="1" s="1"/>
  <c r="AZ100" i="1" s="1"/>
  <c r="AS100" i="1"/>
  <c r="AT100" i="1" s="1"/>
  <c r="AU100" i="1" s="1"/>
  <c r="AN100" i="1"/>
  <c r="AO100" i="1" s="1"/>
  <c r="AP100" i="1" s="1"/>
  <c r="AI100" i="1"/>
  <c r="AJ100" i="1" s="1"/>
  <c r="AK100" i="1" s="1"/>
  <c r="AD100" i="1"/>
  <c r="AE100" i="1" s="1"/>
  <c r="AF100" i="1" s="1"/>
  <c r="X100" i="1"/>
  <c r="Y100" i="1" s="1"/>
  <c r="Z100" i="1" s="1"/>
  <c r="T100" i="1"/>
  <c r="O100" i="1"/>
  <c r="J100" i="1"/>
  <c r="PZ99" i="1"/>
  <c r="PU99" i="1"/>
  <c r="PP99" i="1"/>
  <c r="PK99" i="1"/>
  <c r="PF99" i="1"/>
  <c r="PA99" i="1"/>
  <c r="OV99" i="1"/>
  <c r="OQ99" i="1"/>
  <c r="OL99" i="1"/>
  <c r="OG99" i="1"/>
  <c r="OB99" i="1"/>
  <c r="NW99" i="1"/>
  <c r="NR99" i="1"/>
  <c r="NM99" i="1"/>
  <c r="NH99" i="1"/>
  <c r="NC99" i="1"/>
  <c r="MX99" i="1"/>
  <c r="MS99" i="1"/>
  <c r="MN99" i="1"/>
  <c r="MI99" i="1"/>
  <c r="MD99" i="1"/>
  <c r="LY99" i="1"/>
  <c r="LT99" i="1"/>
  <c r="LO99" i="1"/>
  <c r="LJ99" i="1"/>
  <c r="LE99" i="1"/>
  <c r="KZ99" i="1"/>
  <c r="KS99" i="1"/>
  <c r="KT99" i="1" s="1"/>
  <c r="KU99" i="1" s="1"/>
  <c r="KP99" i="1"/>
  <c r="KI99" i="1"/>
  <c r="KJ99" i="1" s="1"/>
  <c r="KK99" i="1" s="1"/>
  <c r="KF99" i="1"/>
  <c r="JB99" i="1"/>
  <c r="IU99" i="1"/>
  <c r="IV99" i="1" s="1"/>
  <c r="IW99" i="1" s="1"/>
  <c r="IR99" i="1"/>
  <c r="IM99" i="1"/>
  <c r="IH99" i="1"/>
  <c r="IC99" i="1"/>
  <c r="HX99" i="1"/>
  <c r="HS99" i="1"/>
  <c r="HN99" i="1"/>
  <c r="HI99" i="1"/>
  <c r="HD99" i="1"/>
  <c r="GW99" i="1"/>
  <c r="GX99" i="1" s="1"/>
  <c r="GY99" i="1" s="1"/>
  <c r="GR99" i="1"/>
  <c r="GS99" i="1" s="1"/>
  <c r="GT99" i="1" s="1"/>
  <c r="GM99" i="1"/>
  <c r="GN99" i="1" s="1"/>
  <c r="GO99" i="1" s="1"/>
  <c r="GH99" i="1"/>
  <c r="GI99" i="1" s="1"/>
  <c r="GJ99" i="1" s="1"/>
  <c r="GC99" i="1"/>
  <c r="GD99" i="1" s="1"/>
  <c r="GE99" i="1" s="1"/>
  <c r="FX99" i="1"/>
  <c r="FY99" i="1" s="1"/>
  <c r="FZ99" i="1" s="1"/>
  <c r="FS99" i="1"/>
  <c r="FT99" i="1" s="1"/>
  <c r="FU99" i="1" s="1"/>
  <c r="FN99" i="1"/>
  <c r="FO99" i="1" s="1"/>
  <c r="FP99" i="1" s="1"/>
  <c r="FI99" i="1"/>
  <c r="FJ99" i="1" s="1"/>
  <c r="FK99" i="1" s="1"/>
  <c r="FD99" i="1"/>
  <c r="FE99" i="1" s="1"/>
  <c r="FF99" i="1" s="1"/>
  <c r="EY99" i="1"/>
  <c r="EZ99" i="1" s="1"/>
  <c r="FA99" i="1" s="1"/>
  <c r="ET99" i="1"/>
  <c r="EU99" i="1" s="1"/>
  <c r="EV99" i="1" s="1"/>
  <c r="EO99" i="1"/>
  <c r="EP99" i="1" s="1"/>
  <c r="EQ99" i="1" s="1"/>
  <c r="EJ99" i="1"/>
  <c r="EK99" i="1" s="1"/>
  <c r="EL99" i="1" s="1"/>
  <c r="EE99" i="1"/>
  <c r="EF99" i="1" s="1"/>
  <c r="EG99" i="1" s="1"/>
  <c r="DZ99" i="1"/>
  <c r="EA99" i="1" s="1"/>
  <c r="EB99" i="1" s="1"/>
  <c r="DU99" i="1"/>
  <c r="DV99" i="1" s="1"/>
  <c r="DW99" i="1" s="1"/>
  <c r="DP99" i="1"/>
  <c r="DQ99" i="1" s="1"/>
  <c r="DR99" i="1" s="1"/>
  <c r="DK99" i="1"/>
  <c r="DL99" i="1" s="1"/>
  <c r="DM99" i="1" s="1"/>
  <c r="DF99" i="1"/>
  <c r="DG99" i="1" s="1"/>
  <c r="DH99" i="1" s="1"/>
  <c r="DA99" i="1"/>
  <c r="DB99" i="1" s="1"/>
  <c r="DC99" i="1" s="1"/>
  <c r="CV99" i="1"/>
  <c r="CW99" i="1" s="1"/>
  <c r="CX99" i="1" s="1"/>
  <c r="CQ99" i="1"/>
  <c r="CR99" i="1" s="1"/>
  <c r="CS99" i="1" s="1"/>
  <c r="CL99" i="1"/>
  <c r="CM99" i="1" s="1"/>
  <c r="CN99" i="1" s="1"/>
  <c r="CG99" i="1"/>
  <c r="CH99" i="1" s="1"/>
  <c r="CI99" i="1" s="1"/>
  <c r="CB99" i="1"/>
  <c r="CC99" i="1" s="1"/>
  <c r="CD99" i="1" s="1"/>
  <c r="BW99" i="1"/>
  <c r="BX99" i="1" s="1"/>
  <c r="BY99" i="1" s="1"/>
  <c r="BR99" i="1"/>
  <c r="BS99" i="1" s="1"/>
  <c r="BT99" i="1" s="1"/>
  <c r="BM99" i="1"/>
  <c r="BN99" i="1" s="1"/>
  <c r="BO99" i="1" s="1"/>
  <c r="BH99" i="1"/>
  <c r="BI99" i="1" s="1"/>
  <c r="BJ99" i="1" s="1"/>
  <c r="BC99" i="1"/>
  <c r="BD99" i="1" s="1"/>
  <c r="BE99" i="1" s="1"/>
  <c r="AX99" i="1"/>
  <c r="AY99" i="1" s="1"/>
  <c r="AZ99" i="1" s="1"/>
  <c r="AS99" i="1"/>
  <c r="AT99" i="1" s="1"/>
  <c r="AU99" i="1" s="1"/>
  <c r="AN99" i="1"/>
  <c r="AO99" i="1" s="1"/>
  <c r="AP99" i="1" s="1"/>
  <c r="AI99" i="1"/>
  <c r="AJ99" i="1" s="1"/>
  <c r="AK99" i="1" s="1"/>
  <c r="AD99" i="1"/>
  <c r="AE99" i="1" s="1"/>
  <c r="AF99" i="1" s="1"/>
  <c r="X99" i="1"/>
  <c r="Y99" i="1" s="1"/>
  <c r="Z99" i="1" s="1"/>
  <c r="T99" i="1"/>
  <c r="O99" i="1"/>
  <c r="J99" i="1"/>
  <c r="PZ98" i="1"/>
  <c r="PU98" i="1"/>
  <c r="PP98" i="1"/>
  <c r="PK98" i="1"/>
  <c r="PF98" i="1"/>
  <c r="PA98" i="1"/>
  <c r="OV98" i="1"/>
  <c r="OQ98" i="1"/>
  <c r="OL98" i="1"/>
  <c r="OG98" i="1"/>
  <c r="OB98" i="1"/>
  <c r="NW98" i="1"/>
  <c r="NR98" i="1"/>
  <c r="NM98" i="1"/>
  <c r="NH98" i="1"/>
  <c r="NC98" i="1"/>
  <c r="MX98" i="1"/>
  <c r="MS98" i="1"/>
  <c r="MN98" i="1"/>
  <c r="MI98" i="1"/>
  <c r="MD98" i="1"/>
  <c r="LY98" i="1"/>
  <c r="LT98" i="1"/>
  <c r="LO98" i="1"/>
  <c r="LJ98" i="1"/>
  <c r="LE98" i="1"/>
  <c r="KZ98" i="1"/>
  <c r="KU98" i="1"/>
  <c r="KP98" i="1"/>
  <c r="KK98" i="1"/>
  <c r="KF98" i="1"/>
  <c r="JB98" i="1"/>
  <c r="IW98" i="1"/>
  <c r="IR98" i="1"/>
  <c r="IM98" i="1"/>
  <c r="IH98" i="1"/>
  <c r="IC98" i="1"/>
  <c r="HX98" i="1"/>
  <c r="HS98" i="1"/>
  <c r="HN98" i="1"/>
  <c r="HI98" i="1"/>
  <c r="HB98" i="1"/>
  <c r="HC98" i="1" s="1"/>
  <c r="HD98" i="1" s="1"/>
  <c r="GW98" i="1"/>
  <c r="GX98" i="1" s="1"/>
  <c r="GY98" i="1" s="1"/>
  <c r="GR98" i="1"/>
  <c r="GS98" i="1" s="1"/>
  <c r="GT98" i="1" s="1"/>
  <c r="GM98" i="1"/>
  <c r="GN98" i="1" s="1"/>
  <c r="GO98" i="1" s="1"/>
  <c r="GH98" i="1"/>
  <c r="GI98" i="1" s="1"/>
  <c r="GJ98" i="1" s="1"/>
  <c r="GC98" i="1"/>
  <c r="GD98" i="1" s="1"/>
  <c r="GE98" i="1" s="1"/>
  <c r="FX98" i="1"/>
  <c r="FY98" i="1" s="1"/>
  <c r="FZ98" i="1" s="1"/>
  <c r="FS98" i="1"/>
  <c r="FT98" i="1" s="1"/>
  <c r="FU98" i="1" s="1"/>
  <c r="FN98" i="1"/>
  <c r="FO98" i="1" s="1"/>
  <c r="FP98" i="1" s="1"/>
  <c r="FI98" i="1"/>
  <c r="FJ98" i="1" s="1"/>
  <c r="FK98" i="1" s="1"/>
  <c r="FD98" i="1"/>
  <c r="FE98" i="1" s="1"/>
  <c r="FF98" i="1" s="1"/>
  <c r="EY98" i="1"/>
  <c r="EZ98" i="1" s="1"/>
  <c r="FA98" i="1" s="1"/>
  <c r="ET98" i="1"/>
  <c r="EU98" i="1" s="1"/>
  <c r="EV98" i="1" s="1"/>
  <c r="EO98" i="1"/>
  <c r="EP98" i="1" s="1"/>
  <c r="EQ98" i="1" s="1"/>
  <c r="EJ98" i="1"/>
  <c r="EK98" i="1" s="1"/>
  <c r="EL98" i="1" s="1"/>
  <c r="EE98" i="1"/>
  <c r="EF98" i="1" s="1"/>
  <c r="EG98" i="1" s="1"/>
  <c r="DZ98" i="1"/>
  <c r="EA98" i="1" s="1"/>
  <c r="EB98" i="1" s="1"/>
  <c r="DU98" i="1"/>
  <c r="DV98" i="1" s="1"/>
  <c r="DW98" i="1" s="1"/>
  <c r="DP98" i="1"/>
  <c r="DQ98" i="1" s="1"/>
  <c r="DR98" i="1" s="1"/>
  <c r="DK98" i="1"/>
  <c r="DL98" i="1" s="1"/>
  <c r="DM98" i="1" s="1"/>
  <c r="DF98" i="1"/>
  <c r="DG98" i="1" s="1"/>
  <c r="DH98" i="1" s="1"/>
  <c r="DA98" i="1"/>
  <c r="DB98" i="1" s="1"/>
  <c r="DC98" i="1" s="1"/>
  <c r="CV98" i="1"/>
  <c r="CW98" i="1" s="1"/>
  <c r="CX98" i="1" s="1"/>
  <c r="CQ98" i="1"/>
  <c r="CR98" i="1" s="1"/>
  <c r="CS98" i="1" s="1"/>
  <c r="CL98" i="1"/>
  <c r="CM98" i="1" s="1"/>
  <c r="CN98" i="1" s="1"/>
  <c r="CG98" i="1"/>
  <c r="CH98" i="1" s="1"/>
  <c r="CI98" i="1" s="1"/>
  <c r="CB98" i="1"/>
  <c r="CC98" i="1" s="1"/>
  <c r="CD98" i="1" s="1"/>
  <c r="BW98" i="1"/>
  <c r="BX98" i="1" s="1"/>
  <c r="BY98" i="1" s="1"/>
  <c r="BR98" i="1"/>
  <c r="BS98" i="1" s="1"/>
  <c r="BT98" i="1" s="1"/>
  <c r="BM98" i="1"/>
  <c r="BN98" i="1" s="1"/>
  <c r="BO98" i="1" s="1"/>
  <c r="BH98" i="1"/>
  <c r="BI98" i="1" s="1"/>
  <c r="BJ98" i="1" s="1"/>
  <c r="BC98" i="1"/>
  <c r="BD98" i="1" s="1"/>
  <c r="BE98" i="1" s="1"/>
  <c r="AX98" i="1"/>
  <c r="AY98" i="1" s="1"/>
  <c r="AZ98" i="1" s="1"/>
  <c r="AS98" i="1"/>
  <c r="AT98" i="1" s="1"/>
  <c r="AU98" i="1" s="1"/>
  <c r="AN98" i="1"/>
  <c r="AO98" i="1" s="1"/>
  <c r="AP98" i="1" s="1"/>
  <c r="AI98" i="1"/>
  <c r="AJ98" i="1" s="1"/>
  <c r="AK98" i="1" s="1"/>
  <c r="X98" i="1"/>
  <c r="Y98" i="1" s="1"/>
  <c r="Z98" i="1" s="1"/>
  <c r="T98" i="1"/>
  <c r="O98" i="1"/>
  <c r="H98" i="1"/>
  <c r="I98" i="1" s="1"/>
  <c r="J98" i="1" s="1"/>
  <c r="PZ97" i="1"/>
  <c r="PU97" i="1"/>
  <c r="PP97" i="1"/>
  <c r="PK97" i="1"/>
  <c r="PF97" i="1"/>
  <c r="PA97" i="1"/>
  <c r="OV97" i="1"/>
  <c r="OQ97" i="1"/>
  <c r="OL97" i="1"/>
  <c r="OG97" i="1"/>
  <c r="OB97" i="1"/>
  <c r="NW97" i="1"/>
  <c r="NR97" i="1"/>
  <c r="NM97" i="1"/>
  <c r="NH97" i="1"/>
  <c r="NC97" i="1"/>
  <c r="MX97" i="1"/>
  <c r="MS97" i="1"/>
  <c r="MN97" i="1"/>
  <c r="MI97" i="1"/>
  <c r="MD97" i="1"/>
  <c r="LY97" i="1"/>
  <c r="LT97" i="1"/>
  <c r="LO97" i="1"/>
  <c r="LJ97" i="1"/>
  <c r="LE97" i="1"/>
  <c r="KZ97" i="1"/>
  <c r="KS97" i="1"/>
  <c r="KT97" i="1" s="1"/>
  <c r="KU97" i="1" s="1"/>
  <c r="KP97" i="1"/>
  <c r="KI97" i="1"/>
  <c r="KJ97" i="1" s="1"/>
  <c r="KK97" i="1" s="1"/>
  <c r="KF97" i="1"/>
  <c r="JB97" i="1"/>
  <c r="IU97" i="1"/>
  <c r="IV97" i="1" s="1"/>
  <c r="IW97" i="1" s="1"/>
  <c r="IR97" i="1"/>
  <c r="IM97" i="1"/>
  <c r="IH97" i="1"/>
  <c r="IC97" i="1"/>
  <c r="HV97" i="1"/>
  <c r="HW97" i="1" s="1"/>
  <c r="HX97" i="1" s="1"/>
  <c r="HS97" i="1"/>
  <c r="HN97" i="1"/>
  <c r="HG97" i="1"/>
  <c r="HH97" i="1" s="1"/>
  <c r="HI97" i="1" s="1"/>
  <c r="HB97" i="1"/>
  <c r="HC97" i="1" s="1"/>
  <c r="HD97" i="1" s="1"/>
  <c r="GW97" i="1"/>
  <c r="GX97" i="1" s="1"/>
  <c r="GY97" i="1" s="1"/>
  <c r="GR97" i="1"/>
  <c r="GS97" i="1" s="1"/>
  <c r="GT97" i="1" s="1"/>
  <c r="GM97" i="1"/>
  <c r="GN97" i="1" s="1"/>
  <c r="GO97" i="1" s="1"/>
  <c r="GH97" i="1"/>
  <c r="GI97" i="1" s="1"/>
  <c r="GJ97" i="1" s="1"/>
  <c r="GC97" i="1"/>
  <c r="GD97" i="1" s="1"/>
  <c r="GE97" i="1" s="1"/>
  <c r="FX97" i="1"/>
  <c r="FY97" i="1" s="1"/>
  <c r="FZ97" i="1" s="1"/>
  <c r="FS97" i="1"/>
  <c r="FT97" i="1" s="1"/>
  <c r="FU97" i="1" s="1"/>
  <c r="FN97" i="1"/>
  <c r="FO97" i="1" s="1"/>
  <c r="FP97" i="1" s="1"/>
  <c r="FI97" i="1"/>
  <c r="FJ97" i="1" s="1"/>
  <c r="FK97" i="1" s="1"/>
  <c r="FD97" i="1"/>
  <c r="FE97" i="1" s="1"/>
  <c r="FF97" i="1" s="1"/>
  <c r="EY97" i="1"/>
  <c r="EZ97" i="1" s="1"/>
  <c r="FA97" i="1" s="1"/>
  <c r="ET97" i="1"/>
  <c r="EU97" i="1" s="1"/>
  <c r="EV97" i="1" s="1"/>
  <c r="EO97" i="1"/>
  <c r="EP97" i="1" s="1"/>
  <c r="EQ97" i="1" s="1"/>
  <c r="EJ97" i="1"/>
  <c r="EK97" i="1" s="1"/>
  <c r="EL97" i="1" s="1"/>
  <c r="EE97" i="1"/>
  <c r="EF97" i="1" s="1"/>
  <c r="EG97" i="1" s="1"/>
  <c r="DZ97" i="1"/>
  <c r="EA97" i="1" s="1"/>
  <c r="EB97" i="1" s="1"/>
  <c r="DU97" i="1"/>
  <c r="DV97" i="1" s="1"/>
  <c r="DW97" i="1" s="1"/>
  <c r="DP97" i="1"/>
  <c r="DQ97" i="1" s="1"/>
  <c r="DR97" i="1" s="1"/>
  <c r="DK97" i="1"/>
  <c r="DL97" i="1" s="1"/>
  <c r="DM97" i="1" s="1"/>
  <c r="DF97" i="1"/>
  <c r="DG97" i="1" s="1"/>
  <c r="DH97" i="1" s="1"/>
  <c r="DA97" i="1"/>
  <c r="DB97" i="1" s="1"/>
  <c r="DC97" i="1" s="1"/>
  <c r="CV97" i="1"/>
  <c r="CW97" i="1" s="1"/>
  <c r="CX97" i="1" s="1"/>
  <c r="CQ97" i="1"/>
  <c r="CR97" i="1" s="1"/>
  <c r="CS97" i="1" s="1"/>
  <c r="CL97" i="1"/>
  <c r="CM97" i="1" s="1"/>
  <c r="CN97" i="1" s="1"/>
  <c r="CG97" i="1"/>
  <c r="CH97" i="1" s="1"/>
  <c r="CI97" i="1" s="1"/>
  <c r="CB97" i="1"/>
  <c r="CC97" i="1" s="1"/>
  <c r="CD97" i="1" s="1"/>
  <c r="BW97" i="1"/>
  <c r="BX97" i="1" s="1"/>
  <c r="BY97" i="1" s="1"/>
  <c r="BR97" i="1"/>
  <c r="BS97" i="1" s="1"/>
  <c r="BT97" i="1" s="1"/>
  <c r="BM97" i="1"/>
  <c r="BN97" i="1" s="1"/>
  <c r="BO97" i="1" s="1"/>
  <c r="BH97" i="1"/>
  <c r="BI97" i="1" s="1"/>
  <c r="BJ97" i="1" s="1"/>
  <c r="BC97" i="1"/>
  <c r="BD97" i="1" s="1"/>
  <c r="BE97" i="1" s="1"/>
  <c r="AX97" i="1"/>
  <c r="AY97" i="1" s="1"/>
  <c r="AZ97" i="1" s="1"/>
  <c r="AS97" i="1"/>
  <c r="AT97" i="1" s="1"/>
  <c r="AU97" i="1" s="1"/>
  <c r="AN97" i="1"/>
  <c r="AO97" i="1" s="1"/>
  <c r="AP97" i="1" s="1"/>
  <c r="AI97" i="1"/>
  <c r="AJ97" i="1" s="1"/>
  <c r="AK97" i="1" s="1"/>
  <c r="AD97" i="1"/>
  <c r="AE97" i="1" s="1"/>
  <c r="AF97" i="1" s="1"/>
  <c r="X97" i="1"/>
  <c r="Y97" i="1" s="1"/>
  <c r="Z97" i="1" s="1"/>
  <c r="T97" i="1"/>
  <c r="O97" i="1"/>
  <c r="J97" i="1"/>
  <c r="PZ96" i="1"/>
  <c r="PU96" i="1"/>
  <c r="PP96" i="1"/>
  <c r="PK96" i="1"/>
  <c r="PF96" i="1"/>
  <c r="PA96" i="1"/>
  <c r="OV96" i="1"/>
  <c r="OQ96" i="1"/>
  <c r="OL96" i="1"/>
  <c r="OG96" i="1"/>
  <c r="OB96" i="1"/>
  <c r="NW96" i="1"/>
  <c r="NR96" i="1"/>
  <c r="NM96" i="1"/>
  <c r="NH96" i="1"/>
  <c r="NC96" i="1"/>
  <c r="MX96" i="1"/>
  <c r="MS96" i="1"/>
  <c r="MN96" i="1"/>
  <c r="MI96" i="1"/>
  <c r="MD96" i="1"/>
  <c r="LY96" i="1"/>
  <c r="LT96" i="1"/>
  <c r="LO96" i="1"/>
  <c r="LJ96" i="1"/>
  <c r="LC96" i="1"/>
  <c r="LD96" i="1" s="1"/>
  <c r="LE96" i="1" s="1"/>
  <c r="KZ96" i="1"/>
  <c r="KU96" i="1"/>
  <c r="KP96" i="1"/>
  <c r="KK96" i="1"/>
  <c r="KF96" i="1"/>
  <c r="IZ96" i="1"/>
  <c r="JA96" i="1" s="1"/>
  <c r="JB96" i="1" s="1"/>
  <c r="IU96" i="1"/>
  <c r="IV96" i="1" s="1"/>
  <c r="IW96" i="1" s="1"/>
  <c r="IP96" i="1"/>
  <c r="IQ96" i="1" s="1"/>
  <c r="IR96" i="1" s="1"/>
  <c r="IK96" i="1"/>
  <c r="IL96" i="1" s="1"/>
  <c r="IM96" i="1" s="1"/>
  <c r="IF96" i="1"/>
  <c r="IG96" i="1" s="1"/>
  <c r="IH96" i="1" s="1"/>
  <c r="IA96" i="1"/>
  <c r="IB96" i="1" s="1"/>
  <c r="IC96" i="1" s="1"/>
  <c r="HV96" i="1"/>
  <c r="HW96" i="1" s="1"/>
  <c r="HX96" i="1" s="1"/>
  <c r="HS96" i="1"/>
  <c r="HN96" i="1"/>
  <c r="HG96" i="1"/>
  <c r="HH96" i="1" s="1"/>
  <c r="HI96" i="1" s="1"/>
  <c r="HB96" i="1"/>
  <c r="HC96" i="1" s="1"/>
  <c r="HD96" i="1" s="1"/>
  <c r="GW96" i="1"/>
  <c r="GX96" i="1" s="1"/>
  <c r="GY96" i="1" s="1"/>
  <c r="GR96" i="1"/>
  <c r="GS96" i="1" s="1"/>
  <c r="GT96" i="1" s="1"/>
  <c r="GM96" i="1"/>
  <c r="GN96" i="1" s="1"/>
  <c r="GO96" i="1" s="1"/>
  <c r="GH96" i="1"/>
  <c r="GI96" i="1" s="1"/>
  <c r="GJ96" i="1" s="1"/>
  <c r="GC96" i="1"/>
  <c r="GD96" i="1" s="1"/>
  <c r="GE96" i="1" s="1"/>
  <c r="FX96" i="1"/>
  <c r="FY96" i="1" s="1"/>
  <c r="FZ96" i="1" s="1"/>
  <c r="FS96" i="1"/>
  <c r="FT96" i="1" s="1"/>
  <c r="FU96" i="1" s="1"/>
  <c r="FN96" i="1"/>
  <c r="FO96" i="1" s="1"/>
  <c r="FP96" i="1" s="1"/>
  <c r="FI96" i="1"/>
  <c r="FJ96" i="1" s="1"/>
  <c r="FK96" i="1" s="1"/>
  <c r="FD96" i="1"/>
  <c r="FE96" i="1" s="1"/>
  <c r="FF96" i="1" s="1"/>
  <c r="EY96" i="1"/>
  <c r="EZ96" i="1" s="1"/>
  <c r="FA96" i="1" s="1"/>
  <c r="ET96" i="1"/>
  <c r="EU96" i="1" s="1"/>
  <c r="EV96" i="1" s="1"/>
  <c r="EO96" i="1"/>
  <c r="EP96" i="1" s="1"/>
  <c r="EQ96" i="1" s="1"/>
  <c r="EJ96" i="1"/>
  <c r="EK96" i="1" s="1"/>
  <c r="EL96" i="1" s="1"/>
  <c r="EE96" i="1"/>
  <c r="EF96" i="1" s="1"/>
  <c r="EG96" i="1" s="1"/>
  <c r="DZ96" i="1"/>
  <c r="EA96" i="1" s="1"/>
  <c r="EB96" i="1" s="1"/>
  <c r="DU96" i="1"/>
  <c r="DV96" i="1" s="1"/>
  <c r="DW96" i="1" s="1"/>
  <c r="DP96" i="1"/>
  <c r="DQ96" i="1" s="1"/>
  <c r="DR96" i="1" s="1"/>
  <c r="DK96" i="1"/>
  <c r="DL96" i="1" s="1"/>
  <c r="DM96" i="1" s="1"/>
  <c r="DF96" i="1"/>
  <c r="DG96" i="1" s="1"/>
  <c r="DH96" i="1" s="1"/>
  <c r="DA96" i="1"/>
  <c r="DB96" i="1" s="1"/>
  <c r="DC96" i="1" s="1"/>
  <c r="CV96" i="1"/>
  <c r="CW96" i="1" s="1"/>
  <c r="CX96" i="1" s="1"/>
  <c r="CQ96" i="1"/>
  <c r="CR96" i="1" s="1"/>
  <c r="CS96" i="1" s="1"/>
  <c r="CL96" i="1"/>
  <c r="CM96" i="1" s="1"/>
  <c r="CN96" i="1" s="1"/>
  <c r="CG96" i="1"/>
  <c r="CH96" i="1" s="1"/>
  <c r="CI96" i="1" s="1"/>
  <c r="CB96" i="1"/>
  <c r="CC96" i="1" s="1"/>
  <c r="CD96" i="1" s="1"/>
  <c r="BW96" i="1"/>
  <c r="BX96" i="1" s="1"/>
  <c r="BY96" i="1" s="1"/>
  <c r="BR96" i="1"/>
  <c r="BS96" i="1" s="1"/>
  <c r="BT96" i="1" s="1"/>
  <c r="BM96" i="1"/>
  <c r="BN96" i="1" s="1"/>
  <c r="BO96" i="1" s="1"/>
  <c r="BH96" i="1"/>
  <c r="BI96" i="1" s="1"/>
  <c r="BJ96" i="1" s="1"/>
  <c r="BC96" i="1"/>
  <c r="BD96" i="1" s="1"/>
  <c r="BE96" i="1" s="1"/>
  <c r="AX96" i="1"/>
  <c r="AY96" i="1" s="1"/>
  <c r="AZ96" i="1" s="1"/>
  <c r="AS96" i="1"/>
  <c r="AT96" i="1" s="1"/>
  <c r="AU96" i="1" s="1"/>
  <c r="AN96" i="1"/>
  <c r="AO96" i="1" s="1"/>
  <c r="AP96" i="1" s="1"/>
  <c r="AI96" i="1"/>
  <c r="AJ96" i="1" s="1"/>
  <c r="AK96" i="1" s="1"/>
  <c r="AD96" i="1"/>
  <c r="AE96" i="1" s="1"/>
  <c r="AF96" i="1" s="1"/>
  <c r="X96" i="1"/>
  <c r="Y96" i="1" s="1"/>
  <c r="Z96" i="1" s="1"/>
  <c r="T96" i="1"/>
  <c r="O96" i="1"/>
  <c r="J96" i="1"/>
  <c r="PZ95" i="1"/>
  <c r="PU95" i="1"/>
  <c r="PP95" i="1"/>
  <c r="PK95" i="1"/>
  <c r="PF95" i="1"/>
  <c r="PA95" i="1"/>
  <c r="OV95" i="1"/>
  <c r="OQ95" i="1"/>
  <c r="OL95" i="1"/>
  <c r="OG95" i="1"/>
  <c r="OB95" i="1"/>
  <c r="NW95" i="1"/>
  <c r="NR95" i="1"/>
  <c r="NM95" i="1"/>
  <c r="NH95" i="1"/>
  <c r="NC95" i="1"/>
  <c r="MX95" i="1"/>
  <c r="MS95" i="1"/>
  <c r="MN95" i="1"/>
  <c r="MI95" i="1"/>
  <c r="MD95" i="1"/>
  <c r="LY95" i="1"/>
  <c r="LT95" i="1"/>
  <c r="LO95" i="1"/>
  <c r="LJ95" i="1"/>
  <c r="LE95" i="1"/>
  <c r="KZ95" i="1"/>
  <c r="KU95" i="1"/>
  <c r="KP95" i="1"/>
  <c r="KK95" i="1"/>
  <c r="KF95" i="1"/>
  <c r="JB95" i="1"/>
  <c r="IU95" i="1"/>
  <c r="IV95" i="1" s="1"/>
  <c r="IW95" i="1" s="1"/>
  <c r="IP95" i="1"/>
  <c r="IQ95" i="1" s="1"/>
  <c r="IR95" i="1" s="1"/>
  <c r="IM95" i="1"/>
  <c r="IF95" i="1"/>
  <c r="IG95" i="1" s="1"/>
  <c r="IH95" i="1" s="1"/>
  <c r="IA95" i="1"/>
  <c r="IB95" i="1" s="1"/>
  <c r="IC95" i="1" s="1"/>
  <c r="HX95" i="1"/>
  <c r="HS95" i="1"/>
  <c r="HN95" i="1"/>
  <c r="HG95" i="1"/>
  <c r="HH95" i="1" s="1"/>
  <c r="HI95" i="1" s="1"/>
  <c r="HB95" i="1"/>
  <c r="HC95" i="1" s="1"/>
  <c r="HD95" i="1" s="1"/>
  <c r="GW95" i="1"/>
  <c r="GX95" i="1" s="1"/>
  <c r="GY95" i="1" s="1"/>
  <c r="GR95" i="1"/>
  <c r="GS95" i="1" s="1"/>
  <c r="GT95" i="1" s="1"/>
  <c r="GM95" i="1"/>
  <c r="GN95" i="1" s="1"/>
  <c r="GO95" i="1" s="1"/>
  <c r="GH95" i="1"/>
  <c r="GI95" i="1" s="1"/>
  <c r="GJ95" i="1" s="1"/>
  <c r="GC95" i="1"/>
  <c r="GD95" i="1" s="1"/>
  <c r="GE95" i="1" s="1"/>
  <c r="FX95" i="1"/>
  <c r="FY95" i="1" s="1"/>
  <c r="FZ95" i="1" s="1"/>
  <c r="FS95" i="1"/>
  <c r="FT95" i="1" s="1"/>
  <c r="FU95" i="1" s="1"/>
  <c r="FN95" i="1"/>
  <c r="FO95" i="1" s="1"/>
  <c r="FP95" i="1" s="1"/>
  <c r="FI95" i="1"/>
  <c r="FJ95" i="1" s="1"/>
  <c r="FK95" i="1" s="1"/>
  <c r="FD95" i="1"/>
  <c r="FE95" i="1" s="1"/>
  <c r="FF95" i="1" s="1"/>
  <c r="EY95" i="1"/>
  <c r="EZ95" i="1" s="1"/>
  <c r="FA95" i="1" s="1"/>
  <c r="ET95" i="1"/>
  <c r="EU95" i="1" s="1"/>
  <c r="EV95" i="1" s="1"/>
  <c r="EO95" i="1"/>
  <c r="EP95" i="1" s="1"/>
  <c r="EQ95" i="1" s="1"/>
  <c r="EJ95" i="1"/>
  <c r="EK95" i="1" s="1"/>
  <c r="EL95" i="1" s="1"/>
  <c r="EE95" i="1"/>
  <c r="EF95" i="1" s="1"/>
  <c r="EG95" i="1" s="1"/>
  <c r="DZ95" i="1"/>
  <c r="EA95" i="1" s="1"/>
  <c r="EB95" i="1" s="1"/>
  <c r="DU95" i="1"/>
  <c r="DV95" i="1" s="1"/>
  <c r="DW95" i="1" s="1"/>
  <c r="DP95" i="1"/>
  <c r="DQ95" i="1" s="1"/>
  <c r="DR95" i="1" s="1"/>
  <c r="DK95" i="1"/>
  <c r="DL95" i="1" s="1"/>
  <c r="DM95" i="1" s="1"/>
  <c r="DF95" i="1"/>
  <c r="DG95" i="1" s="1"/>
  <c r="DH95" i="1" s="1"/>
  <c r="DA95" i="1"/>
  <c r="DB95" i="1" s="1"/>
  <c r="DC95" i="1" s="1"/>
  <c r="CV95" i="1"/>
  <c r="CW95" i="1" s="1"/>
  <c r="CX95" i="1" s="1"/>
  <c r="CQ95" i="1"/>
  <c r="CR95" i="1" s="1"/>
  <c r="CS95" i="1" s="1"/>
  <c r="CL95" i="1"/>
  <c r="CM95" i="1" s="1"/>
  <c r="CN95" i="1" s="1"/>
  <c r="CG95" i="1"/>
  <c r="CH95" i="1" s="1"/>
  <c r="CI95" i="1" s="1"/>
  <c r="CB95" i="1"/>
  <c r="CC95" i="1" s="1"/>
  <c r="CD95" i="1" s="1"/>
  <c r="BW95" i="1"/>
  <c r="BX95" i="1" s="1"/>
  <c r="BY95" i="1" s="1"/>
  <c r="BR95" i="1"/>
  <c r="BS95" i="1" s="1"/>
  <c r="BT95" i="1" s="1"/>
  <c r="BM95" i="1"/>
  <c r="BN95" i="1" s="1"/>
  <c r="BO95" i="1" s="1"/>
  <c r="BH95" i="1"/>
  <c r="BI95" i="1" s="1"/>
  <c r="BJ95" i="1" s="1"/>
  <c r="BC95" i="1"/>
  <c r="BD95" i="1" s="1"/>
  <c r="BE95" i="1" s="1"/>
  <c r="AX95" i="1"/>
  <c r="AY95" i="1" s="1"/>
  <c r="AZ95" i="1" s="1"/>
  <c r="AS95" i="1"/>
  <c r="AT95" i="1" s="1"/>
  <c r="AU95" i="1" s="1"/>
  <c r="AN95" i="1"/>
  <c r="AO95" i="1" s="1"/>
  <c r="AP95" i="1" s="1"/>
  <c r="AI95" i="1"/>
  <c r="AJ95" i="1" s="1"/>
  <c r="AK95" i="1" s="1"/>
  <c r="AD95" i="1"/>
  <c r="AE95" i="1" s="1"/>
  <c r="AF95" i="1" s="1"/>
  <c r="X95" i="1"/>
  <c r="Y95" i="1" s="1"/>
  <c r="Z95" i="1" s="1"/>
  <c r="T95" i="1"/>
  <c r="O95" i="1"/>
  <c r="J95" i="1"/>
  <c r="PZ94" i="1"/>
  <c r="PU94" i="1"/>
  <c r="PP94" i="1"/>
  <c r="PK94" i="1"/>
  <c r="PF94" i="1"/>
  <c r="PA94" i="1"/>
  <c r="OV94" i="1"/>
  <c r="OQ94" i="1"/>
  <c r="OL94" i="1"/>
  <c r="OG94" i="1"/>
  <c r="OB94" i="1"/>
  <c r="NW94" i="1"/>
  <c r="NR94" i="1"/>
  <c r="NM94" i="1"/>
  <c r="NH94" i="1"/>
  <c r="NC94" i="1"/>
  <c r="MX94" i="1"/>
  <c r="MS94" i="1"/>
  <c r="MN94" i="1"/>
  <c r="MI94" i="1"/>
  <c r="MD94" i="1"/>
  <c r="LY94" i="1"/>
  <c r="LT94" i="1"/>
  <c r="LO94" i="1"/>
  <c r="LJ94" i="1"/>
  <c r="LE94" i="1"/>
  <c r="KZ94" i="1"/>
  <c r="KS94" i="1"/>
  <c r="KT94" i="1" s="1"/>
  <c r="KU94" i="1" s="1"/>
  <c r="KP94" i="1"/>
  <c r="KK94" i="1"/>
  <c r="KF94" i="1"/>
  <c r="JB94" i="1"/>
  <c r="IW94" i="1"/>
  <c r="IR94" i="1"/>
  <c r="IM94" i="1"/>
  <c r="IH94" i="1"/>
  <c r="IC94" i="1"/>
  <c r="HX94" i="1"/>
  <c r="HS94" i="1"/>
  <c r="HN94" i="1"/>
  <c r="HG94" i="1"/>
  <c r="HH94" i="1" s="1"/>
  <c r="HI94" i="1" s="1"/>
  <c r="HB94" i="1"/>
  <c r="HC94" i="1" s="1"/>
  <c r="HD94" i="1" s="1"/>
  <c r="GW94" i="1"/>
  <c r="GX94" i="1" s="1"/>
  <c r="GY94" i="1" s="1"/>
  <c r="GR94" i="1"/>
  <c r="GS94" i="1" s="1"/>
  <c r="GT94" i="1" s="1"/>
  <c r="GM94" i="1"/>
  <c r="GN94" i="1" s="1"/>
  <c r="GO94" i="1" s="1"/>
  <c r="GH94" i="1"/>
  <c r="GI94" i="1" s="1"/>
  <c r="GJ94" i="1" s="1"/>
  <c r="GC94" i="1"/>
  <c r="GD94" i="1" s="1"/>
  <c r="GE94" i="1" s="1"/>
  <c r="FX94" i="1"/>
  <c r="FY94" i="1" s="1"/>
  <c r="FZ94" i="1" s="1"/>
  <c r="FS94" i="1"/>
  <c r="FT94" i="1" s="1"/>
  <c r="FU94" i="1" s="1"/>
  <c r="FN94" i="1"/>
  <c r="FO94" i="1" s="1"/>
  <c r="FP94" i="1" s="1"/>
  <c r="FI94" i="1"/>
  <c r="FJ94" i="1" s="1"/>
  <c r="FK94" i="1" s="1"/>
  <c r="FD94" i="1"/>
  <c r="FE94" i="1" s="1"/>
  <c r="FF94" i="1" s="1"/>
  <c r="EY94" i="1"/>
  <c r="EZ94" i="1" s="1"/>
  <c r="FA94" i="1" s="1"/>
  <c r="ET94" i="1"/>
  <c r="EU94" i="1" s="1"/>
  <c r="EV94" i="1" s="1"/>
  <c r="EO94" i="1"/>
  <c r="EP94" i="1" s="1"/>
  <c r="EQ94" i="1" s="1"/>
  <c r="EJ94" i="1"/>
  <c r="EK94" i="1" s="1"/>
  <c r="EL94" i="1" s="1"/>
  <c r="EE94" i="1"/>
  <c r="EF94" i="1" s="1"/>
  <c r="EG94" i="1" s="1"/>
  <c r="DZ94" i="1"/>
  <c r="EA94" i="1" s="1"/>
  <c r="EB94" i="1" s="1"/>
  <c r="DU94" i="1"/>
  <c r="DV94" i="1" s="1"/>
  <c r="DW94" i="1" s="1"/>
  <c r="DP94" i="1"/>
  <c r="DQ94" i="1" s="1"/>
  <c r="DR94" i="1" s="1"/>
  <c r="DK94" i="1"/>
  <c r="DL94" i="1" s="1"/>
  <c r="DM94" i="1" s="1"/>
  <c r="DF94" i="1"/>
  <c r="DG94" i="1" s="1"/>
  <c r="DH94" i="1" s="1"/>
  <c r="DA94" i="1"/>
  <c r="DB94" i="1" s="1"/>
  <c r="DC94" i="1" s="1"/>
  <c r="CV94" i="1"/>
  <c r="CW94" i="1" s="1"/>
  <c r="CX94" i="1" s="1"/>
  <c r="CQ94" i="1"/>
  <c r="CR94" i="1" s="1"/>
  <c r="CS94" i="1" s="1"/>
  <c r="CL94" i="1"/>
  <c r="CM94" i="1" s="1"/>
  <c r="CN94" i="1" s="1"/>
  <c r="CG94" i="1"/>
  <c r="CH94" i="1" s="1"/>
  <c r="CI94" i="1" s="1"/>
  <c r="CB94" i="1"/>
  <c r="CC94" i="1" s="1"/>
  <c r="CD94" i="1" s="1"/>
  <c r="BW94" i="1"/>
  <c r="BX94" i="1" s="1"/>
  <c r="BY94" i="1" s="1"/>
  <c r="BR94" i="1"/>
  <c r="BS94" i="1" s="1"/>
  <c r="BT94" i="1" s="1"/>
  <c r="BM94" i="1"/>
  <c r="BN94" i="1" s="1"/>
  <c r="BO94" i="1" s="1"/>
  <c r="BH94" i="1"/>
  <c r="BI94" i="1" s="1"/>
  <c r="BJ94" i="1" s="1"/>
  <c r="BC94" i="1"/>
  <c r="BD94" i="1" s="1"/>
  <c r="BE94" i="1" s="1"/>
  <c r="AX94" i="1"/>
  <c r="AY94" i="1" s="1"/>
  <c r="AZ94" i="1" s="1"/>
  <c r="AS94" i="1"/>
  <c r="AT94" i="1" s="1"/>
  <c r="AU94" i="1" s="1"/>
  <c r="AN94" i="1"/>
  <c r="AO94" i="1" s="1"/>
  <c r="AP94" i="1" s="1"/>
  <c r="AI94" i="1"/>
  <c r="AJ94" i="1" s="1"/>
  <c r="AK94" i="1" s="1"/>
  <c r="X94" i="1"/>
  <c r="Y94" i="1" s="1"/>
  <c r="Z94" i="1" s="1"/>
  <c r="R94" i="1"/>
  <c r="S94" i="1" s="1"/>
  <c r="T94" i="1" s="1"/>
  <c r="O94" i="1"/>
  <c r="J94" i="1"/>
  <c r="PZ93" i="1"/>
  <c r="PU93" i="1"/>
  <c r="PP93" i="1"/>
  <c r="PK93" i="1"/>
  <c r="PF93" i="1"/>
  <c r="PA93" i="1"/>
  <c r="OV93" i="1"/>
  <c r="OQ93" i="1"/>
  <c r="OL93" i="1"/>
  <c r="OG93" i="1"/>
  <c r="OB93" i="1"/>
  <c r="NW93" i="1"/>
  <c r="NR93" i="1"/>
  <c r="NM93" i="1"/>
  <c r="NH93" i="1"/>
  <c r="NC93" i="1"/>
  <c r="MX93" i="1"/>
  <c r="MS93" i="1"/>
  <c r="MN93" i="1"/>
  <c r="MI93" i="1"/>
  <c r="MD93" i="1"/>
  <c r="LY93" i="1"/>
  <c r="LT93" i="1"/>
  <c r="LO93" i="1"/>
  <c r="LH93" i="1"/>
  <c r="LI93" i="1" s="1"/>
  <c r="LJ93" i="1" s="1"/>
  <c r="LE93" i="1"/>
  <c r="KZ93" i="1"/>
  <c r="KU93" i="1"/>
  <c r="KP93" i="1"/>
  <c r="KK93" i="1"/>
  <c r="KF93" i="1"/>
  <c r="IZ93" i="1"/>
  <c r="JA93" i="1" s="1"/>
  <c r="JB93" i="1" s="1"/>
  <c r="IU93" i="1"/>
  <c r="IV93" i="1" s="1"/>
  <c r="IW93" i="1" s="1"/>
  <c r="IP93" i="1"/>
  <c r="IQ93" i="1" s="1"/>
  <c r="IR93" i="1" s="1"/>
  <c r="IK93" i="1"/>
  <c r="IL93" i="1" s="1"/>
  <c r="IM93" i="1" s="1"/>
  <c r="IF93" i="1"/>
  <c r="IG93" i="1" s="1"/>
  <c r="IH93" i="1" s="1"/>
  <c r="IA93" i="1"/>
  <c r="IB93" i="1" s="1"/>
  <c r="IC93" i="1" s="1"/>
  <c r="HV93" i="1"/>
  <c r="HW93" i="1" s="1"/>
  <c r="HX93" i="1" s="1"/>
  <c r="HQ93" i="1"/>
  <c r="HR93" i="1" s="1"/>
  <c r="HS93" i="1" s="1"/>
  <c r="HL93" i="1"/>
  <c r="HM93" i="1" s="1"/>
  <c r="HN93" i="1" s="1"/>
  <c r="HG93" i="1"/>
  <c r="HH93" i="1" s="1"/>
  <c r="HI93" i="1" s="1"/>
  <c r="HB93" i="1"/>
  <c r="HC93" i="1" s="1"/>
  <c r="HD93" i="1" s="1"/>
  <c r="GW93" i="1"/>
  <c r="GX93" i="1" s="1"/>
  <c r="GY93" i="1" s="1"/>
  <c r="GR93" i="1"/>
  <c r="GS93" i="1" s="1"/>
  <c r="GT93" i="1" s="1"/>
  <c r="GM93" i="1"/>
  <c r="GN93" i="1" s="1"/>
  <c r="GO93" i="1" s="1"/>
  <c r="GH93" i="1"/>
  <c r="GI93" i="1" s="1"/>
  <c r="GJ93" i="1" s="1"/>
  <c r="GC93" i="1"/>
  <c r="GD93" i="1" s="1"/>
  <c r="GE93" i="1" s="1"/>
  <c r="FX93" i="1"/>
  <c r="FY93" i="1" s="1"/>
  <c r="FZ93" i="1" s="1"/>
  <c r="FS93" i="1"/>
  <c r="FT93" i="1" s="1"/>
  <c r="FU93" i="1" s="1"/>
  <c r="FN93" i="1"/>
  <c r="FO93" i="1" s="1"/>
  <c r="FP93" i="1" s="1"/>
  <c r="FI93" i="1"/>
  <c r="FJ93" i="1" s="1"/>
  <c r="FK93" i="1" s="1"/>
  <c r="FD93" i="1"/>
  <c r="FE93" i="1" s="1"/>
  <c r="FF93" i="1" s="1"/>
  <c r="EY93" i="1"/>
  <c r="EZ93" i="1" s="1"/>
  <c r="FA93" i="1" s="1"/>
  <c r="ET93" i="1"/>
  <c r="EU93" i="1" s="1"/>
  <c r="EV93" i="1" s="1"/>
  <c r="EO93" i="1"/>
  <c r="EP93" i="1" s="1"/>
  <c r="EQ93" i="1" s="1"/>
  <c r="EJ93" i="1"/>
  <c r="EK93" i="1" s="1"/>
  <c r="EL93" i="1" s="1"/>
  <c r="EE93" i="1"/>
  <c r="EF93" i="1" s="1"/>
  <c r="EG93" i="1" s="1"/>
  <c r="DZ93" i="1"/>
  <c r="EA93" i="1" s="1"/>
  <c r="EB93" i="1" s="1"/>
  <c r="DU93" i="1"/>
  <c r="DV93" i="1" s="1"/>
  <c r="DW93" i="1" s="1"/>
  <c r="DP93" i="1"/>
  <c r="DQ93" i="1" s="1"/>
  <c r="DR93" i="1" s="1"/>
  <c r="DK93" i="1"/>
  <c r="DL93" i="1" s="1"/>
  <c r="DM93" i="1" s="1"/>
  <c r="DF93" i="1"/>
  <c r="DG93" i="1" s="1"/>
  <c r="DH93" i="1" s="1"/>
  <c r="DA93" i="1"/>
  <c r="DB93" i="1" s="1"/>
  <c r="DC93" i="1" s="1"/>
  <c r="CV93" i="1"/>
  <c r="CW93" i="1" s="1"/>
  <c r="CX93" i="1" s="1"/>
  <c r="CQ93" i="1"/>
  <c r="CR93" i="1" s="1"/>
  <c r="CS93" i="1" s="1"/>
  <c r="CL93" i="1"/>
  <c r="CM93" i="1" s="1"/>
  <c r="CN93" i="1" s="1"/>
  <c r="CG93" i="1"/>
  <c r="CH93" i="1" s="1"/>
  <c r="CI93" i="1" s="1"/>
  <c r="CB93" i="1"/>
  <c r="CC93" i="1" s="1"/>
  <c r="CD93" i="1" s="1"/>
  <c r="BW93" i="1"/>
  <c r="BX93" i="1" s="1"/>
  <c r="BY93" i="1" s="1"/>
  <c r="BR93" i="1"/>
  <c r="BS93" i="1" s="1"/>
  <c r="BT93" i="1" s="1"/>
  <c r="BM93" i="1"/>
  <c r="BN93" i="1" s="1"/>
  <c r="BO93" i="1" s="1"/>
  <c r="BH93" i="1"/>
  <c r="BI93" i="1" s="1"/>
  <c r="BJ93" i="1" s="1"/>
  <c r="BC93" i="1"/>
  <c r="BD93" i="1" s="1"/>
  <c r="BE93" i="1" s="1"/>
  <c r="AX93" i="1"/>
  <c r="AY93" i="1" s="1"/>
  <c r="AZ93" i="1" s="1"/>
  <c r="AS93" i="1"/>
  <c r="AT93" i="1" s="1"/>
  <c r="AU93" i="1" s="1"/>
  <c r="AN93" i="1"/>
  <c r="AO93" i="1" s="1"/>
  <c r="AP93" i="1" s="1"/>
  <c r="AI93" i="1"/>
  <c r="AJ93" i="1" s="1"/>
  <c r="AK93" i="1" s="1"/>
  <c r="AD93" i="1"/>
  <c r="AE93" i="1" s="1"/>
  <c r="AF93" i="1" s="1"/>
  <c r="X93" i="1"/>
  <c r="Y93" i="1" s="1"/>
  <c r="Z93" i="1" s="1"/>
  <c r="T93" i="1"/>
  <c r="O93" i="1"/>
  <c r="J93" i="1"/>
  <c r="PZ92" i="1"/>
  <c r="PU92" i="1"/>
  <c r="PP92" i="1"/>
  <c r="PK92" i="1"/>
  <c r="PF92" i="1"/>
  <c r="PA92" i="1"/>
  <c r="OV92" i="1"/>
  <c r="OQ92" i="1"/>
  <c r="OL92" i="1"/>
  <c r="OG92" i="1"/>
  <c r="OB92" i="1"/>
  <c r="NW92" i="1"/>
  <c r="NR92" i="1"/>
  <c r="NM92" i="1"/>
  <c r="NH92" i="1"/>
  <c r="NC92" i="1"/>
  <c r="MX92" i="1"/>
  <c r="MS92" i="1"/>
  <c r="MN92" i="1"/>
  <c r="MI92" i="1"/>
  <c r="MD92" i="1"/>
  <c r="LY92" i="1"/>
  <c r="LT92" i="1"/>
  <c r="LO92" i="1"/>
  <c r="LJ92" i="1"/>
  <c r="LE92" i="1"/>
  <c r="KZ92" i="1"/>
  <c r="KU92" i="1"/>
  <c r="KP92" i="1"/>
  <c r="KK92" i="1"/>
  <c r="KF92" i="1"/>
  <c r="JB92" i="1"/>
  <c r="IW92" i="1"/>
  <c r="IR92" i="1"/>
  <c r="IM92" i="1"/>
  <c r="IH92" i="1"/>
  <c r="IC92" i="1"/>
  <c r="HX92" i="1"/>
  <c r="HS92" i="1"/>
  <c r="HN92" i="1"/>
  <c r="HI92" i="1"/>
  <c r="HB92" i="1"/>
  <c r="HC92" i="1" s="1"/>
  <c r="HD92" i="1" s="1"/>
  <c r="GW92" i="1"/>
  <c r="GX92" i="1" s="1"/>
  <c r="GY92" i="1" s="1"/>
  <c r="GR92" i="1"/>
  <c r="GS92" i="1" s="1"/>
  <c r="GT92" i="1" s="1"/>
  <c r="GM92" i="1"/>
  <c r="GN92" i="1" s="1"/>
  <c r="GO92" i="1" s="1"/>
  <c r="GH92" i="1"/>
  <c r="GI92" i="1" s="1"/>
  <c r="GJ92" i="1" s="1"/>
  <c r="GC92" i="1"/>
  <c r="GD92" i="1" s="1"/>
  <c r="GE92" i="1" s="1"/>
  <c r="FX92" i="1"/>
  <c r="FY92" i="1" s="1"/>
  <c r="FZ92" i="1" s="1"/>
  <c r="FS92" i="1"/>
  <c r="FT92" i="1" s="1"/>
  <c r="FU92" i="1" s="1"/>
  <c r="FN92" i="1"/>
  <c r="FO92" i="1" s="1"/>
  <c r="FP92" i="1" s="1"/>
  <c r="FI92" i="1"/>
  <c r="FJ92" i="1" s="1"/>
  <c r="FK92" i="1" s="1"/>
  <c r="FD92" i="1"/>
  <c r="FE92" i="1" s="1"/>
  <c r="FF92" i="1" s="1"/>
  <c r="EY92" i="1"/>
  <c r="EZ92" i="1" s="1"/>
  <c r="FA92" i="1" s="1"/>
  <c r="ET92" i="1"/>
  <c r="EU92" i="1" s="1"/>
  <c r="EV92" i="1" s="1"/>
  <c r="EO92" i="1"/>
  <c r="EP92" i="1" s="1"/>
  <c r="EQ92" i="1" s="1"/>
  <c r="EJ92" i="1"/>
  <c r="EK92" i="1" s="1"/>
  <c r="EL92" i="1" s="1"/>
  <c r="EE92" i="1"/>
  <c r="EF92" i="1" s="1"/>
  <c r="EG92" i="1" s="1"/>
  <c r="DZ92" i="1"/>
  <c r="EA92" i="1" s="1"/>
  <c r="EB92" i="1" s="1"/>
  <c r="DU92" i="1"/>
  <c r="DV92" i="1" s="1"/>
  <c r="DW92" i="1" s="1"/>
  <c r="DP92" i="1"/>
  <c r="DQ92" i="1" s="1"/>
  <c r="DR92" i="1" s="1"/>
  <c r="DK92" i="1"/>
  <c r="DL92" i="1" s="1"/>
  <c r="DM92" i="1" s="1"/>
  <c r="DF92" i="1"/>
  <c r="DG92" i="1" s="1"/>
  <c r="DH92" i="1" s="1"/>
  <c r="DA92" i="1"/>
  <c r="DB92" i="1" s="1"/>
  <c r="DC92" i="1" s="1"/>
  <c r="CV92" i="1"/>
  <c r="CW92" i="1" s="1"/>
  <c r="CX92" i="1" s="1"/>
  <c r="CQ92" i="1"/>
  <c r="CR92" i="1" s="1"/>
  <c r="CS92" i="1" s="1"/>
  <c r="CL92" i="1"/>
  <c r="CM92" i="1" s="1"/>
  <c r="CN92" i="1" s="1"/>
  <c r="CG92" i="1"/>
  <c r="CH92" i="1" s="1"/>
  <c r="CI92" i="1" s="1"/>
  <c r="CB92" i="1"/>
  <c r="CC92" i="1" s="1"/>
  <c r="CD92" i="1" s="1"/>
  <c r="BW92" i="1"/>
  <c r="BX92" i="1" s="1"/>
  <c r="BY92" i="1" s="1"/>
  <c r="BR92" i="1"/>
  <c r="BS92" i="1" s="1"/>
  <c r="BT92" i="1" s="1"/>
  <c r="BM92" i="1"/>
  <c r="BN92" i="1" s="1"/>
  <c r="BO92" i="1" s="1"/>
  <c r="BH92" i="1"/>
  <c r="BI92" i="1" s="1"/>
  <c r="BJ92" i="1" s="1"/>
  <c r="BC92" i="1"/>
  <c r="BD92" i="1" s="1"/>
  <c r="BE92" i="1" s="1"/>
  <c r="AX92" i="1"/>
  <c r="AY92" i="1" s="1"/>
  <c r="AZ92" i="1" s="1"/>
  <c r="AS92" i="1"/>
  <c r="AT92" i="1" s="1"/>
  <c r="AU92" i="1" s="1"/>
  <c r="AN92" i="1"/>
  <c r="AO92" i="1" s="1"/>
  <c r="AP92" i="1" s="1"/>
  <c r="AI92" i="1"/>
  <c r="AJ92" i="1" s="1"/>
  <c r="AK92" i="1" s="1"/>
  <c r="X92" i="1"/>
  <c r="Y92" i="1" s="1"/>
  <c r="Z92" i="1" s="1"/>
  <c r="T92" i="1"/>
  <c r="O92" i="1"/>
  <c r="H92" i="1"/>
  <c r="I92" i="1" s="1"/>
  <c r="J92" i="1" s="1"/>
  <c r="PZ91" i="1"/>
  <c r="PU91" i="1"/>
  <c r="PP91" i="1"/>
  <c r="PK91" i="1"/>
  <c r="PF91" i="1"/>
  <c r="PA91" i="1"/>
  <c r="OV91" i="1"/>
  <c r="OQ91" i="1"/>
  <c r="OL91" i="1"/>
  <c r="OG91" i="1"/>
  <c r="OB91" i="1"/>
  <c r="NW91" i="1"/>
  <c r="NR91" i="1"/>
  <c r="NM91" i="1"/>
  <c r="NH91" i="1"/>
  <c r="NC91" i="1"/>
  <c r="MX91" i="1"/>
  <c r="MS91" i="1"/>
  <c r="MN91" i="1"/>
  <c r="MI91" i="1"/>
  <c r="MD91" i="1"/>
  <c r="LY91" i="1"/>
  <c r="LT91" i="1"/>
  <c r="LO91" i="1"/>
  <c r="LJ91" i="1"/>
  <c r="LE91" i="1"/>
  <c r="KZ91" i="1"/>
  <c r="KU91" i="1"/>
  <c r="KP91" i="1"/>
  <c r="KI91" i="1"/>
  <c r="KJ91" i="1" s="1"/>
  <c r="KK91" i="1" s="1"/>
  <c r="KF91" i="1"/>
  <c r="JB91" i="1"/>
  <c r="IW91" i="1"/>
  <c r="IR91" i="1"/>
  <c r="IM91" i="1"/>
  <c r="IH91" i="1"/>
  <c r="IC91" i="1"/>
  <c r="HX91" i="1"/>
  <c r="HS91" i="1"/>
  <c r="HN91" i="1"/>
  <c r="HG91" i="1"/>
  <c r="HH91" i="1" s="1"/>
  <c r="HI91" i="1" s="1"/>
  <c r="HB91" i="1"/>
  <c r="HC91" i="1" s="1"/>
  <c r="HD91" i="1" s="1"/>
  <c r="GW91" i="1"/>
  <c r="GX91" i="1" s="1"/>
  <c r="GY91" i="1" s="1"/>
  <c r="GR91" i="1"/>
  <c r="GS91" i="1" s="1"/>
  <c r="GT91" i="1" s="1"/>
  <c r="GM91" i="1"/>
  <c r="GN91" i="1" s="1"/>
  <c r="GO91" i="1" s="1"/>
  <c r="GH91" i="1"/>
  <c r="GI91" i="1" s="1"/>
  <c r="GJ91" i="1" s="1"/>
  <c r="GC91" i="1"/>
  <c r="GD91" i="1" s="1"/>
  <c r="GE91" i="1" s="1"/>
  <c r="FX91" i="1"/>
  <c r="FY91" i="1" s="1"/>
  <c r="FZ91" i="1" s="1"/>
  <c r="FS91" i="1"/>
  <c r="FT91" i="1" s="1"/>
  <c r="FU91" i="1" s="1"/>
  <c r="FN91" i="1"/>
  <c r="FO91" i="1" s="1"/>
  <c r="FP91" i="1" s="1"/>
  <c r="FI91" i="1"/>
  <c r="FJ91" i="1" s="1"/>
  <c r="FK91" i="1" s="1"/>
  <c r="FD91" i="1"/>
  <c r="FE91" i="1" s="1"/>
  <c r="FF91" i="1" s="1"/>
  <c r="EY91" i="1"/>
  <c r="EZ91" i="1" s="1"/>
  <c r="FA91" i="1" s="1"/>
  <c r="ET91" i="1"/>
  <c r="EU91" i="1" s="1"/>
  <c r="EV91" i="1" s="1"/>
  <c r="EO91" i="1"/>
  <c r="EP91" i="1" s="1"/>
  <c r="EQ91" i="1" s="1"/>
  <c r="EJ91" i="1"/>
  <c r="EK91" i="1" s="1"/>
  <c r="EL91" i="1" s="1"/>
  <c r="EE91" i="1"/>
  <c r="EF91" i="1" s="1"/>
  <c r="EG91" i="1" s="1"/>
  <c r="DZ91" i="1"/>
  <c r="EA91" i="1" s="1"/>
  <c r="EB91" i="1" s="1"/>
  <c r="DU91" i="1"/>
  <c r="DV91" i="1" s="1"/>
  <c r="DW91" i="1" s="1"/>
  <c r="DP91" i="1"/>
  <c r="DQ91" i="1" s="1"/>
  <c r="DR91" i="1" s="1"/>
  <c r="DK91" i="1"/>
  <c r="DL91" i="1" s="1"/>
  <c r="DM91" i="1" s="1"/>
  <c r="DF91" i="1"/>
  <c r="DG91" i="1" s="1"/>
  <c r="DH91" i="1" s="1"/>
  <c r="DA91" i="1"/>
  <c r="DB91" i="1" s="1"/>
  <c r="DC91" i="1" s="1"/>
  <c r="CV91" i="1"/>
  <c r="CW91" i="1" s="1"/>
  <c r="CX91" i="1" s="1"/>
  <c r="CQ91" i="1"/>
  <c r="CR91" i="1" s="1"/>
  <c r="CS91" i="1" s="1"/>
  <c r="CL91" i="1"/>
  <c r="CM91" i="1" s="1"/>
  <c r="CN91" i="1" s="1"/>
  <c r="CG91" i="1"/>
  <c r="CH91" i="1" s="1"/>
  <c r="CI91" i="1" s="1"/>
  <c r="CB91" i="1"/>
  <c r="CC91" i="1" s="1"/>
  <c r="CD91" i="1" s="1"/>
  <c r="BW91" i="1"/>
  <c r="BX91" i="1" s="1"/>
  <c r="BY91" i="1" s="1"/>
  <c r="BR91" i="1"/>
  <c r="BS91" i="1" s="1"/>
  <c r="BT91" i="1" s="1"/>
  <c r="BM91" i="1"/>
  <c r="BN91" i="1" s="1"/>
  <c r="BO91" i="1" s="1"/>
  <c r="BH91" i="1"/>
  <c r="BI91" i="1" s="1"/>
  <c r="BJ91" i="1" s="1"/>
  <c r="BC91" i="1"/>
  <c r="BD91" i="1" s="1"/>
  <c r="BE91" i="1" s="1"/>
  <c r="AX91" i="1"/>
  <c r="AY91" i="1" s="1"/>
  <c r="AZ91" i="1" s="1"/>
  <c r="AS91" i="1"/>
  <c r="AT91" i="1" s="1"/>
  <c r="AU91" i="1" s="1"/>
  <c r="AN91" i="1"/>
  <c r="AO91" i="1" s="1"/>
  <c r="AP91" i="1" s="1"/>
  <c r="AI91" i="1"/>
  <c r="AJ91" i="1" s="1"/>
  <c r="AK91" i="1" s="1"/>
  <c r="AD91" i="1"/>
  <c r="AE91" i="1" s="1"/>
  <c r="AF91" i="1" s="1"/>
  <c r="X91" i="1"/>
  <c r="Y91" i="1" s="1"/>
  <c r="Z91" i="1" s="1"/>
  <c r="T91" i="1"/>
  <c r="O91" i="1"/>
  <c r="J91" i="1"/>
  <c r="PZ90" i="1"/>
  <c r="PU90" i="1"/>
  <c r="PP90" i="1"/>
  <c r="PK90" i="1"/>
  <c r="PF90" i="1"/>
  <c r="PA90" i="1"/>
  <c r="OV90" i="1"/>
  <c r="OQ90" i="1"/>
  <c r="OL90" i="1"/>
  <c r="OG90" i="1"/>
  <c r="OB90" i="1"/>
  <c r="NW90" i="1"/>
  <c r="NR90" i="1"/>
  <c r="NM90" i="1"/>
  <c r="NH90" i="1"/>
  <c r="NC90" i="1"/>
  <c r="MX90" i="1"/>
  <c r="MS90" i="1"/>
  <c r="MN90" i="1"/>
  <c r="MI90" i="1"/>
  <c r="MD90" i="1"/>
  <c r="LY90" i="1"/>
  <c r="LT90" i="1"/>
  <c r="LO90" i="1"/>
  <c r="LJ90" i="1"/>
  <c r="LC90" i="1"/>
  <c r="LD90" i="1" s="1"/>
  <c r="LE90" i="1" s="1"/>
  <c r="KX90" i="1"/>
  <c r="KY90" i="1" s="1"/>
  <c r="KZ90" i="1" s="1"/>
  <c r="KU90" i="1"/>
  <c r="KP90" i="1"/>
  <c r="KK90" i="1"/>
  <c r="KF90" i="1"/>
  <c r="IZ90" i="1"/>
  <c r="JA90" i="1" s="1"/>
  <c r="JB90" i="1" s="1"/>
  <c r="IU90" i="1"/>
  <c r="IV90" i="1" s="1"/>
  <c r="IW90" i="1" s="1"/>
  <c r="IP90" i="1"/>
  <c r="IQ90" i="1" s="1"/>
  <c r="IR90" i="1" s="1"/>
  <c r="IK90" i="1"/>
  <c r="IL90" i="1" s="1"/>
  <c r="IM90" i="1" s="1"/>
  <c r="IF90" i="1"/>
  <c r="IG90" i="1" s="1"/>
  <c r="IH90" i="1" s="1"/>
  <c r="IA90" i="1"/>
  <c r="IB90" i="1" s="1"/>
  <c r="IC90" i="1" s="1"/>
  <c r="HV90" i="1"/>
  <c r="HW90" i="1" s="1"/>
  <c r="HX90" i="1" s="1"/>
  <c r="HS90" i="1"/>
  <c r="HL90" i="1"/>
  <c r="HM90" i="1" s="1"/>
  <c r="HN90" i="1" s="1"/>
  <c r="HG90" i="1"/>
  <c r="HH90" i="1" s="1"/>
  <c r="HI90" i="1" s="1"/>
  <c r="HB90" i="1"/>
  <c r="HC90" i="1" s="1"/>
  <c r="HD90" i="1" s="1"/>
  <c r="GW90" i="1"/>
  <c r="GX90" i="1" s="1"/>
  <c r="GY90" i="1" s="1"/>
  <c r="GR90" i="1"/>
  <c r="GS90" i="1" s="1"/>
  <c r="GT90" i="1" s="1"/>
  <c r="GM90" i="1"/>
  <c r="GN90" i="1" s="1"/>
  <c r="GO90" i="1" s="1"/>
  <c r="GH90" i="1"/>
  <c r="GI90" i="1" s="1"/>
  <c r="GJ90" i="1" s="1"/>
  <c r="GC90" i="1"/>
  <c r="GD90" i="1" s="1"/>
  <c r="GE90" i="1" s="1"/>
  <c r="FX90" i="1"/>
  <c r="FY90" i="1" s="1"/>
  <c r="FZ90" i="1" s="1"/>
  <c r="FS90" i="1"/>
  <c r="FT90" i="1" s="1"/>
  <c r="FU90" i="1" s="1"/>
  <c r="FN90" i="1"/>
  <c r="FO90" i="1" s="1"/>
  <c r="FP90" i="1" s="1"/>
  <c r="FI90" i="1"/>
  <c r="FJ90" i="1" s="1"/>
  <c r="FK90" i="1" s="1"/>
  <c r="FD90" i="1"/>
  <c r="FE90" i="1" s="1"/>
  <c r="FF90" i="1" s="1"/>
  <c r="EY90" i="1"/>
  <c r="EZ90" i="1" s="1"/>
  <c r="FA90" i="1" s="1"/>
  <c r="ET90" i="1"/>
  <c r="EU90" i="1" s="1"/>
  <c r="EV90" i="1" s="1"/>
  <c r="EO90" i="1"/>
  <c r="EP90" i="1" s="1"/>
  <c r="EQ90" i="1" s="1"/>
  <c r="EJ90" i="1"/>
  <c r="EK90" i="1" s="1"/>
  <c r="EL90" i="1" s="1"/>
  <c r="EE90" i="1"/>
  <c r="EF90" i="1" s="1"/>
  <c r="EG90" i="1" s="1"/>
  <c r="DZ90" i="1"/>
  <c r="EA90" i="1" s="1"/>
  <c r="EB90" i="1" s="1"/>
  <c r="DU90" i="1"/>
  <c r="DV90" i="1" s="1"/>
  <c r="DW90" i="1" s="1"/>
  <c r="DP90" i="1"/>
  <c r="DQ90" i="1" s="1"/>
  <c r="DR90" i="1" s="1"/>
  <c r="DK90" i="1"/>
  <c r="DL90" i="1" s="1"/>
  <c r="DM90" i="1" s="1"/>
  <c r="DF90" i="1"/>
  <c r="DG90" i="1" s="1"/>
  <c r="DH90" i="1" s="1"/>
  <c r="DA90" i="1"/>
  <c r="DB90" i="1" s="1"/>
  <c r="DC90" i="1" s="1"/>
  <c r="CV90" i="1"/>
  <c r="CW90" i="1" s="1"/>
  <c r="CX90" i="1" s="1"/>
  <c r="CQ90" i="1"/>
  <c r="CR90" i="1" s="1"/>
  <c r="CS90" i="1" s="1"/>
  <c r="CL90" i="1"/>
  <c r="CM90" i="1" s="1"/>
  <c r="CN90" i="1" s="1"/>
  <c r="CG90" i="1"/>
  <c r="CH90" i="1" s="1"/>
  <c r="CI90" i="1" s="1"/>
  <c r="CB90" i="1"/>
  <c r="CC90" i="1" s="1"/>
  <c r="CD90" i="1" s="1"/>
  <c r="BW90" i="1"/>
  <c r="BX90" i="1" s="1"/>
  <c r="BY90" i="1" s="1"/>
  <c r="BR90" i="1"/>
  <c r="BS90" i="1" s="1"/>
  <c r="BT90" i="1" s="1"/>
  <c r="BM90" i="1"/>
  <c r="BN90" i="1" s="1"/>
  <c r="BO90" i="1" s="1"/>
  <c r="BH90" i="1"/>
  <c r="BI90" i="1" s="1"/>
  <c r="BJ90" i="1" s="1"/>
  <c r="BC90" i="1"/>
  <c r="BD90" i="1" s="1"/>
  <c r="BE90" i="1" s="1"/>
  <c r="AX90" i="1"/>
  <c r="AY90" i="1" s="1"/>
  <c r="AZ90" i="1" s="1"/>
  <c r="AS90" i="1"/>
  <c r="AT90" i="1" s="1"/>
  <c r="AU90" i="1" s="1"/>
  <c r="AN90" i="1"/>
  <c r="AO90" i="1" s="1"/>
  <c r="AP90" i="1" s="1"/>
  <c r="AI90" i="1"/>
  <c r="AJ90" i="1" s="1"/>
  <c r="AK90" i="1" s="1"/>
  <c r="AD90" i="1"/>
  <c r="AE90" i="1" s="1"/>
  <c r="AF90" i="1" s="1"/>
  <c r="X90" i="1"/>
  <c r="Y90" i="1" s="1"/>
  <c r="Z90" i="1" s="1"/>
  <c r="T90" i="1"/>
  <c r="O90" i="1"/>
  <c r="J90" i="1"/>
  <c r="PZ89" i="1"/>
  <c r="PU89" i="1"/>
  <c r="PP89" i="1"/>
  <c r="PK89" i="1"/>
  <c r="PF89" i="1"/>
  <c r="PA89" i="1"/>
  <c r="OV89" i="1"/>
  <c r="OQ89" i="1"/>
  <c r="OL89" i="1"/>
  <c r="OG89" i="1"/>
  <c r="OB89" i="1"/>
  <c r="NW89" i="1"/>
  <c r="NR89" i="1"/>
  <c r="NM89" i="1"/>
  <c r="NH89" i="1"/>
  <c r="NC89" i="1"/>
  <c r="MV89" i="1"/>
  <c r="MW89" i="1" s="1"/>
  <c r="MX89" i="1" s="1"/>
  <c r="MQ89" i="1"/>
  <c r="MR89" i="1" s="1"/>
  <c r="MS89" i="1" s="1"/>
  <c r="MN89" i="1"/>
  <c r="MI89" i="1"/>
  <c r="MB89" i="1"/>
  <c r="MC89" i="1" s="1"/>
  <c r="MD89" i="1" s="1"/>
  <c r="LW89" i="1"/>
  <c r="LX89" i="1" s="1"/>
  <c r="LY89" i="1" s="1"/>
  <c r="LT89" i="1"/>
  <c r="LO89" i="1"/>
  <c r="LJ89" i="1"/>
  <c r="LC89" i="1"/>
  <c r="LD89" i="1" s="1"/>
  <c r="LE89" i="1" s="1"/>
  <c r="KZ89" i="1"/>
  <c r="KS89" i="1"/>
  <c r="KT89" i="1" s="1"/>
  <c r="KU89" i="1" s="1"/>
  <c r="KP89" i="1"/>
  <c r="KK89" i="1"/>
  <c r="KF89" i="1"/>
  <c r="IZ89" i="1"/>
  <c r="JA89" i="1" s="1"/>
  <c r="JB89" i="1" s="1"/>
  <c r="IU89" i="1"/>
  <c r="IV89" i="1" s="1"/>
  <c r="IW89" i="1" s="1"/>
  <c r="IP89" i="1"/>
  <c r="IQ89" i="1" s="1"/>
  <c r="IR89" i="1" s="1"/>
  <c r="IK89" i="1"/>
  <c r="IL89" i="1" s="1"/>
  <c r="IM89" i="1" s="1"/>
  <c r="IF89" i="1"/>
  <c r="IG89" i="1" s="1"/>
  <c r="IH89" i="1" s="1"/>
  <c r="IA89" i="1"/>
  <c r="IB89" i="1" s="1"/>
  <c r="IC89" i="1" s="1"/>
  <c r="HV89" i="1"/>
  <c r="HW89" i="1" s="1"/>
  <c r="HX89" i="1" s="1"/>
  <c r="HS89" i="1"/>
  <c r="HN89" i="1"/>
  <c r="HG89" i="1"/>
  <c r="HH89" i="1" s="1"/>
  <c r="HI89" i="1" s="1"/>
  <c r="HB89" i="1"/>
  <c r="HC89" i="1" s="1"/>
  <c r="HD89" i="1" s="1"/>
  <c r="GW89" i="1"/>
  <c r="GX89" i="1" s="1"/>
  <c r="GY89" i="1" s="1"/>
  <c r="GR89" i="1"/>
  <c r="GS89" i="1" s="1"/>
  <c r="GT89" i="1" s="1"/>
  <c r="GM89" i="1"/>
  <c r="GN89" i="1" s="1"/>
  <c r="GO89" i="1" s="1"/>
  <c r="GH89" i="1"/>
  <c r="GI89" i="1" s="1"/>
  <c r="GJ89" i="1" s="1"/>
  <c r="GC89" i="1"/>
  <c r="GD89" i="1" s="1"/>
  <c r="GE89" i="1" s="1"/>
  <c r="FX89" i="1"/>
  <c r="FY89" i="1" s="1"/>
  <c r="FZ89" i="1" s="1"/>
  <c r="FS89" i="1"/>
  <c r="FT89" i="1" s="1"/>
  <c r="FU89" i="1" s="1"/>
  <c r="FN89" i="1"/>
  <c r="FO89" i="1" s="1"/>
  <c r="FP89" i="1" s="1"/>
  <c r="FI89" i="1"/>
  <c r="FJ89" i="1" s="1"/>
  <c r="FK89" i="1" s="1"/>
  <c r="FD89" i="1"/>
  <c r="FE89" i="1" s="1"/>
  <c r="FF89" i="1" s="1"/>
  <c r="EY89" i="1"/>
  <c r="EZ89" i="1" s="1"/>
  <c r="FA89" i="1" s="1"/>
  <c r="ET89" i="1"/>
  <c r="EU89" i="1" s="1"/>
  <c r="EV89" i="1" s="1"/>
  <c r="EO89" i="1"/>
  <c r="EP89" i="1" s="1"/>
  <c r="EQ89" i="1" s="1"/>
  <c r="EJ89" i="1"/>
  <c r="EK89" i="1" s="1"/>
  <c r="EL89" i="1" s="1"/>
  <c r="EE89" i="1"/>
  <c r="EF89" i="1" s="1"/>
  <c r="EG89" i="1" s="1"/>
  <c r="DZ89" i="1"/>
  <c r="EA89" i="1" s="1"/>
  <c r="EB89" i="1" s="1"/>
  <c r="DU89" i="1"/>
  <c r="DV89" i="1" s="1"/>
  <c r="DW89" i="1" s="1"/>
  <c r="DP89" i="1"/>
  <c r="DQ89" i="1" s="1"/>
  <c r="DR89" i="1" s="1"/>
  <c r="DK89" i="1"/>
  <c r="DL89" i="1" s="1"/>
  <c r="DM89" i="1" s="1"/>
  <c r="DF89" i="1"/>
  <c r="DG89" i="1" s="1"/>
  <c r="DH89" i="1" s="1"/>
  <c r="DA89" i="1"/>
  <c r="DB89" i="1" s="1"/>
  <c r="DC89" i="1" s="1"/>
  <c r="CV89" i="1"/>
  <c r="CW89" i="1" s="1"/>
  <c r="CX89" i="1" s="1"/>
  <c r="CQ89" i="1"/>
  <c r="CR89" i="1" s="1"/>
  <c r="CS89" i="1" s="1"/>
  <c r="CL89" i="1"/>
  <c r="CM89" i="1" s="1"/>
  <c r="CN89" i="1" s="1"/>
  <c r="CG89" i="1"/>
  <c r="CH89" i="1" s="1"/>
  <c r="CI89" i="1" s="1"/>
  <c r="CB89" i="1"/>
  <c r="CC89" i="1" s="1"/>
  <c r="CD89" i="1" s="1"/>
  <c r="BW89" i="1"/>
  <c r="BX89" i="1" s="1"/>
  <c r="BY89" i="1" s="1"/>
  <c r="BR89" i="1"/>
  <c r="BS89" i="1" s="1"/>
  <c r="BT89" i="1" s="1"/>
  <c r="BM89" i="1"/>
  <c r="BN89" i="1" s="1"/>
  <c r="BO89" i="1" s="1"/>
  <c r="BH89" i="1"/>
  <c r="BI89" i="1" s="1"/>
  <c r="BJ89" i="1" s="1"/>
  <c r="BC89" i="1"/>
  <c r="BD89" i="1" s="1"/>
  <c r="BE89" i="1" s="1"/>
  <c r="AX89" i="1"/>
  <c r="AY89" i="1" s="1"/>
  <c r="AZ89" i="1" s="1"/>
  <c r="AS89" i="1"/>
  <c r="AT89" i="1" s="1"/>
  <c r="AU89" i="1" s="1"/>
  <c r="AN89" i="1"/>
  <c r="AO89" i="1" s="1"/>
  <c r="AP89" i="1" s="1"/>
  <c r="AI89" i="1"/>
  <c r="AJ89" i="1" s="1"/>
  <c r="AK89" i="1" s="1"/>
  <c r="AD89" i="1"/>
  <c r="AE89" i="1" s="1"/>
  <c r="AF89" i="1" s="1"/>
  <c r="X89" i="1"/>
  <c r="Y89" i="1" s="1"/>
  <c r="Z89" i="1" s="1"/>
  <c r="T89" i="1"/>
  <c r="O89" i="1"/>
  <c r="J89" i="1"/>
  <c r="PX88" i="1"/>
  <c r="PY88" i="1" s="1"/>
  <c r="PZ88" i="1" s="1"/>
  <c r="PU88" i="1"/>
  <c r="PP88" i="1"/>
  <c r="PK88" i="1"/>
  <c r="PF88" i="1"/>
  <c r="PA88" i="1"/>
  <c r="OV88" i="1"/>
  <c r="OQ88" i="1"/>
  <c r="OL88" i="1"/>
  <c r="OG88" i="1"/>
  <c r="OB88" i="1"/>
  <c r="NW88" i="1"/>
  <c r="NR88" i="1"/>
  <c r="NM88" i="1"/>
  <c r="NH88" i="1"/>
  <c r="NC88" i="1"/>
  <c r="MX88" i="1"/>
  <c r="MS88" i="1"/>
  <c r="MN88" i="1"/>
  <c r="MI88" i="1"/>
  <c r="MD88" i="1"/>
  <c r="LY88" i="1"/>
  <c r="LT88" i="1"/>
  <c r="LO88" i="1"/>
  <c r="LJ88" i="1"/>
  <c r="LE88" i="1"/>
  <c r="KZ88" i="1"/>
  <c r="KU88" i="1"/>
  <c r="KP88" i="1"/>
  <c r="KK88" i="1"/>
  <c r="KF88" i="1"/>
  <c r="JB88" i="1"/>
  <c r="IW88" i="1"/>
  <c r="IR88" i="1"/>
  <c r="IM88" i="1"/>
  <c r="IH88" i="1"/>
  <c r="IC88" i="1"/>
  <c r="HX88" i="1"/>
  <c r="HS88" i="1"/>
  <c r="HN88" i="1"/>
  <c r="HI88" i="1"/>
  <c r="HB88" i="1"/>
  <c r="HC88" i="1" s="1"/>
  <c r="HD88" i="1" s="1"/>
  <c r="GW88" i="1"/>
  <c r="GX88" i="1" s="1"/>
  <c r="GY88" i="1" s="1"/>
  <c r="GR88" i="1"/>
  <c r="GS88" i="1" s="1"/>
  <c r="GT88" i="1" s="1"/>
  <c r="GM88" i="1"/>
  <c r="GN88" i="1" s="1"/>
  <c r="GO88" i="1" s="1"/>
  <c r="GH88" i="1"/>
  <c r="GI88" i="1" s="1"/>
  <c r="GJ88" i="1" s="1"/>
  <c r="GC88" i="1"/>
  <c r="GD88" i="1" s="1"/>
  <c r="GE88" i="1" s="1"/>
  <c r="FX88" i="1"/>
  <c r="FY88" i="1" s="1"/>
  <c r="FZ88" i="1" s="1"/>
  <c r="FS88" i="1"/>
  <c r="FT88" i="1" s="1"/>
  <c r="FU88" i="1" s="1"/>
  <c r="FN88" i="1"/>
  <c r="FO88" i="1" s="1"/>
  <c r="FP88" i="1" s="1"/>
  <c r="FI88" i="1"/>
  <c r="FJ88" i="1" s="1"/>
  <c r="FK88" i="1" s="1"/>
  <c r="FD88" i="1"/>
  <c r="FE88" i="1" s="1"/>
  <c r="FF88" i="1" s="1"/>
  <c r="EY88" i="1"/>
  <c r="EZ88" i="1" s="1"/>
  <c r="FA88" i="1" s="1"/>
  <c r="ET88" i="1"/>
  <c r="EU88" i="1" s="1"/>
  <c r="EV88" i="1" s="1"/>
  <c r="EO88" i="1"/>
  <c r="EP88" i="1" s="1"/>
  <c r="EQ88" i="1" s="1"/>
  <c r="EJ88" i="1"/>
  <c r="EK88" i="1" s="1"/>
  <c r="EL88" i="1" s="1"/>
  <c r="EE88" i="1"/>
  <c r="EF88" i="1" s="1"/>
  <c r="EG88" i="1" s="1"/>
  <c r="DZ88" i="1"/>
  <c r="EA88" i="1" s="1"/>
  <c r="EB88" i="1" s="1"/>
  <c r="DU88" i="1"/>
  <c r="DV88" i="1" s="1"/>
  <c r="DW88" i="1" s="1"/>
  <c r="DP88" i="1"/>
  <c r="DQ88" i="1" s="1"/>
  <c r="DR88" i="1" s="1"/>
  <c r="DK88" i="1"/>
  <c r="DL88" i="1" s="1"/>
  <c r="DM88" i="1" s="1"/>
  <c r="DF88" i="1"/>
  <c r="DG88" i="1" s="1"/>
  <c r="DH88" i="1" s="1"/>
  <c r="DA88" i="1"/>
  <c r="DB88" i="1" s="1"/>
  <c r="DC88" i="1" s="1"/>
  <c r="CV88" i="1"/>
  <c r="CW88" i="1" s="1"/>
  <c r="CX88" i="1" s="1"/>
  <c r="CQ88" i="1"/>
  <c r="CR88" i="1" s="1"/>
  <c r="CS88" i="1" s="1"/>
  <c r="CL88" i="1"/>
  <c r="CM88" i="1" s="1"/>
  <c r="CN88" i="1" s="1"/>
  <c r="CG88" i="1"/>
  <c r="CH88" i="1" s="1"/>
  <c r="CI88" i="1" s="1"/>
  <c r="CB88" i="1"/>
  <c r="CC88" i="1" s="1"/>
  <c r="CD88" i="1" s="1"/>
  <c r="BW88" i="1"/>
  <c r="BX88" i="1" s="1"/>
  <c r="BY88" i="1" s="1"/>
  <c r="BR88" i="1"/>
  <c r="BS88" i="1" s="1"/>
  <c r="BT88" i="1" s="1"/>
  <c r="BM88" i="1"/>
  <c r="BN88" i="1" s="1"/>
  <c r="BO88" i="1" s="1"/>
  <c r="BH88" i="1"/>
  <c r="BI88" i="1" s="1"/>
  <c r="BJ88" i="1" s="1"/>
  <c r="BC88" i="1"/>
  <c r="BD88" i="1" s="1"/>
  <c r="BE88" i="1" s="1"/>
  <c r="AX88" i="1"/>
  <c r="AY88" i="1" s="1"/>
  <c r="AZ88" i="1" s="1"/>
  <c r="AS88" i="1"/>
  <c r="AT88" i="1" s="1"/>
  <c r="AU88" i="1" s="1"/>
  <c r="AN88" i="1"/>
  <c r="AO88" i="1" s="1"/>
  <c r="AP88" i="1" s="1"/>
  <c r="AI88" i="1"/>
  <c r="AJ88" i="1" s="1"/>
  <c r="AK88" i="1" s="1"/>
  <c r="X88" i="1"/>
  <c r="Y88" i="1" s="1"/>
  <c r="Z88" i="1" s="1"/>
  <c r="T88" i="1"/>
  <c r="O88" i="1"/>
  <c r="J88" i="1"/>
  <c r="PZ87" i="1"/>
  <c r="PU87" i="1"/>
  <c r="PP87" i="1"/>
  <c r="PK87" i="1"/>
  <c r="PF87" i="1"/>
  <c r="PA87" i="1"/>
  <c r="OV87" i="1"/>
  <c r="OQ87" i="1"/>
  <c r="OL87" i="1"/>
  <c r="OG87" i="1"/>
  <c r="OB87" i="1"/>
  <c r="NW87" i="1"/>
  <c r="NR87" i="1"/>
  <c r="NM87" i="1"/>
  <c r="NH87" i="1"/>
  <c r="NC87" i="1"/>
  <c r="MX87" i="1"/>
  <c r="MS87" i="1"/>
  <c r="MN87" i="1"/>
  <c r="MI87" i="1"/>
  <c r="MD87" i="1"/>
  <c r="LY87" i="1"/>
  <c r="LT87" i="1"/>
  <c r="LO87" i="1"/>
  <c r="LJ87" i="1"/>
  <c r="LE87" i="1"/>
  <c r="KX87" i="1"/>
  <c r="KY87" i="1" s="1"/>
  <c r="KZ87" i="1" s="1"/>
  <c r="KU87" i="1"/>
  <c r="KP87" i="1"/>
  <c r="KI87" i="1"/>
  <c r="KJ87" i="1" s="1"/>
  <c r="KK87" i="1" s="1"/>
  <c r="KF87" i="1"/>
  <c r="IZ87" i="1"/>
  <c r="JA87" i="1" s="1"/>
  <c r="JB87" i="1" s="1"/>
  <c r="IU87" i="1"/>
  <c r="IV87" i="1" s="1"/>
  <c r="IW87" i="1" s="1"/>
  <c r="IP87" i="1"/>
  <c r="IQ87" i="1" s="1"/>
  <c r="IR87" i="1" s="1"/>
  <c r="IK87" i="1"/>
  <c r="IL87" i="1" s="1"/>
  <c r="IM87" i="1" s="1"/>
  <c r="IF87" i="1"/>
  <c r="IG87" i="1" s="1"/>
  <c r="IH87" i="1" s="1"/>
  <c r="IA87" i="1"/>
  <c r="IB87" i="1" s="1"/>
  <c r="IC87" i="1" s="1"/>
  <c r="HV87" i="1"/>
  <c r="HW87" i="1" s="1"/>
  <c r="HX87" i="1" s="1"/>
  <c r="HS87" i="1"/>
  <c r="HN87" i="1"/>
  <c r="HG87" i="1"/>
  <c r="HH87" i="1" s="1"/>
  <c r="HI87" i="1" s="1"/>
  <c r="HB87" i="1"/>
  <c r="HC87" i="1" s="1"/>
  <c r="HD87" i="1" s="1"/>
  <c r="GW87" i="1"/>
  <c r="GX87" i="1" s="1"/>
  <c r="GY87" i="1" s="1"/>
  <c r="GR87" i="1"/>
  <c r="GS87" i="1" s="1"/>
  <c r="GT87" i="1" s="1"/>
  <c r="GM87" i="1"/>
  <c r="GN87" i="1" s="1"/>
  <c r="GO87" i="1" s="1"/>
  <c r="GH87" i="1"/>
  <c r="GI87" i="1" s="1"/>
  <c r="GJ87" i="1" s="1"/>
  <c r="GC87" i="1"/>
  <c r="GD87" i="1" s="1"/>
  <c r="GE87" i="1" s="1"/>
  <c r="FX87" i="1"/>
  <c r="FY87" i="1" s="1"/>
  <c r="FZ87" i="1" s="1"/>
  <c r="FS87" i="1"/>
  <c r="FT87" i="1" s="1"/>
  <c r="FU87" i="1" s="1"/>
  <c r="FN87" i="1"/>
  <c r="FO87" i="1" s="1"/>
  <c r="FP87" i="1" s="1"/>
  <c r="FI87" i="1"/>
  <c r="FJ87" i="1" s="1"/>
  <c r="FK87" i="1" s="1"/>
  <c r="FD87" i="1"/>
  <c r="FE87" i="1" s="1"/>
  <c r="FF87" i="1" s="1"/>
  <c r="EY87" i="1"/>
  <c r="EZ87" i="1" s="1"/>
  <c r="FA87" i="1" s="1"/>
  <c r="ET87" i="1"/>
  <c r="EU87" i="1" s="1"/>
  <c r="EV87" i="1" s="1"/>
  <c r="EO87" i="1"/>
  <c r="EP87" i="1" s="1"/>
  <c r="EQ87" i="1" s="1"/>
  <c r="EJ87" i="1"/>
  <c r="EK87" i="1" s="1"/>
  <c r="EL87" i="1" s="1"/>
  <c r="EE87" i="1"/>
  <c r="EF87" i="1" s="1"/>
  <c r="EG87" i="1" s="1"/>
  <c r="DZ87" i="1"/>
  <c r="EA87" i="1" s="1"/>
  <c r="EB87" i="1" s="1"/>
  <c r="DU87" i="1"/>
  <c r="DV87" i="1" s="1"/>
  <c r="DW87" i="1" s="1"/>
  <c r="DP87" i="1"/>
  <c r="DQ87" i="1" s="1"/>
  <c r="DR87" i="1" s="1"/>
  <c r="DK87" i="1"/>
  <c r="DL87" i="1" s="1"/>
  <c r="DM87" i="1" s="1"/>
  <c r="DF87" i="1"/>
  <c r="DG87" i="1" s="1"/>
  <c r="DH87" i="1" s="1"/>
  <c r="DA87" i="1"/>
  <c r="DB87" i="1" s="1"/>
  <c r="DC87" i="1" s="1"/>
  <c r="CV87" i="1"/>
  <c r="CW87" i="1" s="1"/>
  <c r="CX87" i="1" s="1"/>
  <c r="CQ87" i="1"/>
  <c r="CR87" i="1" s="1"/>
  <c r="CS87" i="1" s="1"/>
  <c r="CL87" i="1"/>
  <c r="CM87" i="1" s="1"/>
  <c r="CN87" i="1" s="1"/>
  <c r="CG87" i="1"/>
  <c r="CH87" i="1" s="1"/>
  <c r="CI87" i="1" s="1"/>
  <c r="CB87" i="1"/>
  <c r="CC87" i="1" s="1"/>
  <c r="CD87" i="1" s="1"/>
  <c r="BW87" i="1"/>
  <c r="BX87" i="1" s="1"/>
  <c r="BY87" i="1" s="1"/>
  <c r="BR87" i="1"/>
  <c r="BS87" i="1" s="1"/>
  <c r="BT87" i="1" s="1"/>
  <c r="BM87" i="1"/>
  <c r="BN87" i="1" s="1"/>
  <c r="BO87" i="1" s="1"/>
  <c r="BH87" i="1"/>
  <c r="BI87" i="1" s="1"/>
  <c r="BJ87" i="1" s="1"/>
  <c r="BC87" i="1"/>
  <c r="BD87" i="1" s="1"/>
  <c r="BE87" i="1" s="1"/>
  <c r="AX87" i="1"/>
  <c r="AY87" i="1" s="1"/>
  <c r="AZ87" i="1" s="1"/>
  <c r="AS87" i="1"/>
  <c r="AT87" i="1" s="1"/>
  <c r="AU87" i="1" s="1"/>
  <c r="AN87" i="1"/>
  <c r="AO87" i="1" s="1"/>
  <c r="AP87" i="1" s="1"/>
  <c r="AI87" i="1"/>
  <c r="AJ87" i="1" s="1"/>
  <c r="AK87" i="1" s="1"/>
  <c r="AD87" i="1"/>
  <c r="AE87" i="1" s="1"/>
  <c r="AF87" i="1" s="1"/>
  <c r="X87" i="1"/>
  <c r="Y87" i="1" s="1"/>
  <c r="Z87" i="1" s="1"/>
  <c r="T87" i="1"/>
  <c r="O87" i="1"/>
  <c r="J87" i="1"/>
  <c r="PX86" i="1"/>
  <c r="PY86" i="1" s="1"/>
  <c r="PZ86" i="1" s="1"/>
  <c r="PU86" i="1"/>
  <c r="PP86" i="1"/>
  <c r="PK86" i="1"/>
  <c r="PF86" i="1"/>
  <c r="PA86" i="1"/>
  <c r="OV86" i="1"/>
  <c r="OO86" i="1"/>
  <c r="OP86" i="1" s="1"/>
  <c r="OQ86" i="1" s="1"/>
  <c r="OL86" i="1"/>
  <c r="OG86" i="1"/>
  <c r="OB86" i="1"/>
  <c r="NW86" i="1"/>
  <c r="NR86" i="1"/>
  <c r="NM86" i="1"/>
  <c r="NH86" i="1"/>
  <c r="NC86" i="1"/>
  <c r="MX86" i="1"/>
  <c r="MS86" i="1"/>
  <c r="MN86" i="1"/>
  <c r="MI86" i="1"/>
  <c r="MD86" i="1"/>
  <c r="LY86" i="1"/>
  <c r="LT86" i="1"/>
  <c r="LO86" i="1"/>
  <c r="LJ86" i="1"/>
  <c r="LE86" i="1"/>
  <c r="KZ86" i="1"/>
  <c r="KU86" i="1"/>
  <c r="KP86" i="1"/>
  <c r="KK86" i="1"/>
  <c r="KF86" i="1"/>
  <c r="JB86" i="1"/>
  <c r="IW86" i="1"/>
  <c r="IR86" i="1"/>
  <c r="IM86" i="1"/>
  <c r="IH86" i="1"/>
  <c r="IC86" i="1"/>
  <c r="HX86" i="1"/>
  <c r="HS86" i="1"/>
  <c r="HN86" i="1"/>
  <c r="HG86" i="1"/>
  <c r="HH86" i="1" s="1"/>
  <c r="HI86" i="1" s="1"/>
  <c r="HB86" i="1"/>
  <c r="HC86" i="1" s="1"/>
  <c r="HD86" i="1" s="1"/>
  <c r="GW86" i="1"/>
  <c r="GX86" i="1" s="1"/>
  <c r="GY86" i="1" s="1"/>
  <c r="GR86" i="1"/>
  <c r="GS86" i="1" s="1"/>
  <c r="GT86" i="1" s="1"/>
  <c r="GM86" i="1"/>
  <c r="GN86" i="1" s="1"/>
  <c r="GO86" i="1" s="1"/>
  <c r="GH86" i="1"/>
  <c r="GI86" i="1" s="1"/>
  <c r="GJ86" i="1" s="1"/>
  <c r="GC86" i="1"/>
  <c r="GD86" i="1" s="1"/>
  <c r="GE86" i="1" s="1"/>
  <c r="FX86" i="1"/>
  <c r="FY86" i="1" s="1"/>
  <c r="FZ86" i="1" s="1"/>
  <c r="FS86" i="1"/>
  <c r="FT86" i="1" s="1"/>
  <c r="FU86" i="1" s="1"/>
  <c r="FN86" i="1"/>
  <c r="FO86" i="1" s="1"/>
  <c r="FP86" i="1" s="1"/>
  <c r="FI86" i="1"/>
  <c r="FJ86" i="1" s="1"/>
  <c r="FK86" i="1" s="1"/>
  <c r="FD86" i="1"/>
  <c r="FE86" i="1" s="1"/>
  <c r="FF86" i="1" s="1"/>
  <c r="EY86" i="1"/>
  <c r="EZ86" i="1" s="1"/>
  <c r="FA86" i="1" s="1"/>
  <c r="ET86" i="1"/>
  <c r="EU86" i="1" s="1"/>
  <c r="EV86" i="1" s="1"/>
  <c r="EO86" i="1"/>
  <c r="EP86" i="1" s="1"/>
  <c r="EQ86" i="1" s="1"/>
  <c r="EJ86" i="1"/>
  <c r="EK86" i="1" s="1"/>
  <c r="EL86" i="1" s="1"/>
  <c r="EE86" i="1"/>
  <c r="EF86" i="1" s="1"/>
  <c r="EG86" i="1" s="1"/>
  <c r="DZ86" i="1"/>
  <c r="EA86" i="1" s="1"/>
  <c r="EB86" i="1" s="1"/>
  <c r="DU86" i="1"/>
  <c r="DV86" i="1" s="1"/>
  <c r="DW86" i="1" s="1"/>
  <c r="DP86" i="1"/>
  <c r="DQ86" i="1" s="1"/>
  <c r="DR86" i="1" s="1"/>
  <c r="DK86" i="1"/>
  <c r="DL86" i="1" s="1"/>
  <c r="DM86" i="1" s="1"/>
  <c r="DF86" i="1"/>
  <c r="DG86" i="1" s="1"/>
  <c r="DH86" i="1" s="1"/>
  <c r="DA86" i="1"/>
  <c r="DB86" i="1" s="1"/>
  <c r="DC86" i="1" s="1"/>
  <c r="CV86" i="1"/>
  <c r="CW86" i="1" s="1"/>
  <c r="CX86" i="1" s="1"/>
  <c r="CQ86" i="1"/>
  <c r="CR86" i="1" s="1"/>
  <c r="CS86" i="1" s="1"/>
  <c r="CL86" i="1"/>
  <c r="CM86" i="1" s="1"/>
  <c r="CN86" i="1" s="1"/>
  <c r="CG86" i="1"/>
  <c r="CH86" i="1" s="1"/>
  <c r="CI86" i="1" s="1"/>
  <c r="CB86" i="1"/>
  <c r="CC86" i="1" s="1"/>
  <c r="CD86" i="1" s="1"/>
  <c r="BW86" i="1"/>
  <c r="BX86" i="1" s="1"/>
  <c r="BY86" i="1" s="1"/>
  <c r="BR86" i="1"/>
  <c r="BS86" i="1" s="1"/>
  <c r="BT86" i="1" s="1"/>
  <c r="BM86" i="1"/>
  <c r="BN86" i="1" s="1"/>
  <c r="BO86" i="1" s="1"/>
  <c r="BH86" i="1"/>
  <c r="BI86" i="1" s="1"/>
  <c r="BJ86" i="1" s="1"/>
  <c r="BC86" i="1"/>
  <c r="BD86" i="1" s="1"/>
  <c r="BE86" i="1" s="1"/>
  <c r="AX86" i="1"/>
  <c r="AY86" i="1" s="1"/>
  <c r="AZ86" i="1" s="1"/>
  <c r="AS86" i="1"/>
  <c r="AT86" i="1" s="1"/>
  <c r="AU86" i="1" s="1"/>
  <c r="AN86" i="1"/>
  <c r="AO86" i="1" s="1"/>
  <c r="AP86" i="1" s="1"/>
  <c r="AI86" i="1"/>
  <c r="AJ86" i="1" s="1"/>
  <c r="AK86" i="1" s="1"/>
  <c r="AD86" i="1"/>
  <c r="AE86" i="1" s="1"/>
  <c r="AF86" i="1" s="1"/>
  <c r="X86" i="1"/>
  <c r="Y86" i="1" s="1"/>
  <c r="Z86" i="1" s="1"/>
  <c r="T86" i="1"/>
  <c r="O86" i="1"/>
  <c r="J86" i="1"/>
  <c r="PZ85" i="1"/>
  <c r="PS85" i="1"/>
  <c r="PT85" i="1" s="1"/>
  <c r="PU85" i="1" s="1"/>
  <c r="PN85" i="1"/>
  <c r="PO85" i="1" s="1"/>
  <c r="PP85" i="1" s="1"/>
  <c r="PI85" i="1"/>
  <c r="PJ85" i="1" s="1"/>
  <c r="PK85" i="1" s="1"/>
  <c r="PD85" i="1"/>
  <c r="PE85" i="1" s="1"/>
  <c r="PF85" i="1" s="1"/>
  <c r="OY85" i="1"/>
  <c r="OZ85" i="1" s="1"/>
  <c r="PA85" i="1" s="1"/>
  <c r="OT85" i="1"/>
  <c r="OU85" i="1" s="1"/>
  <c r="OV85" i="1" s="1"/>
  <c r="OQ85" i="1"/>
  <c r="OL85" i="1"/>
  <c r="OG85" i="1"/>
  <c r="OB85" i="1"/>
  <c r="NW85" i="1"/>
  <c r="NR85" i="1"/>
  <c r="NM85" i="1"/>
  <c r="NH85" i="1"/>
  <c r="NC85" i="1"/>
  <c r="MX85" i="1"/>
  <c r="MS85" i="1"/>
  <c r="MN85" i="1"/>
  <c r="MI85" i="1"/>
  <c r="MD85" i="1"/>
  <c r="LY85" i="1"/>
  <c r="LT85" i="1"/>
  <c r="LO85" i="1"/>
  <c r="LJ85" i="1"/>
  <c r="LC85" i="1"/>
  <c r="LD85" i="1" s="1"/>
  <c r="LE85" i="1" s="1"/>
  <c r="KZ85" i="1"/>
  <c r="KU85" i="1"/>
  <c r="KP85" i="1"/>
  <c r="KK85" i="1"/>
  <c r="KF85" i="1"/>
  <c r="JB85" i="1"/>
  <c r="IW85" i="1"/>
  <c r="IR85" i="1"/>
  <c r="IM85" i="1"/>
  <c r="IF85" i="1"/>
  <c r="IG85" i="1" s="1"/>
  <c r="IH85" i="1" s="1"/>
  <c r="IA85" i="1"/>
  <c r="IB85" i="1" s="1"/>
  <c r="IC85" i="1" s="1"/>
  <c r="HV85" i="1"/>
  <c r="HW85" i="1" s="1"/>
  <c r="HX85" i="1" s="1"/>
  <c r="HS85" i="1"/>
  <c r="HN85" i="1"/>
  <c r="HI85" i="1"/>
  <c r="HB85" i="1"/>
  <c r="HC85" i="1" s="1"/>
  <c r="HD85" i="1" s="1"/>
  <c r="GW85" i="1"/>
  <c r="GX85" i="1" s="1"/>
  <c r="GY85" i="1" s="1"/>
  <c r="GR85" i="1"/>
  <c r="GS85" i="1" s="1"/>
  <c r="GT85" i="1" s="1"/>
  <c r="GM85" i="1"/>
  <c r="GN85" i="1" s="1"/>
  <c r="GO85" i="1" s="1"/>
  <c r="GH85" i="1"/>
  <c r="GI85" i="1" s="1"/>
  <c r="GJ85" i="1" s="1"/>
  <c r="GC85" i="1"/>
  <c r="GD85" i="1" s="1"/>
  <c r="GE85" i="1" s="1"/>
  <c r="FX85" i="1"/>
  <c r="FY85" i="1" s="1"/>
  <c r="FZ85" i="1" s="1"/>
  <c r="FS85" i="1"/>
  <c r="FT85" i="1" s="1"/>
  <c r="FU85" i="1" s="1"/>
  <c r="FN85" i="1"/>
  <c r="FO85" i="1" s="1"/>
  <c r="FP85" i="1" s="1"/>
  <c r="FI85" i="1"/>
  <c r="FJ85" i="1" s="1"/>
  <c r="FK85" i="1" s="1"/>
  <c r="FD85" i="1"/>
  <c r="FE85" i="1" s="1"/>
  <c r="FF85" i="1" s="1"/>
  <c r="EY85" i="1"/>
  <c r="EZ85" i="1" s="1"/>
  <c r="FA85" i="1" s="1"/>
  <c r="ET85" i="1"/>
  <c r="EU85" i="1" s="1"/>
  <c r="EV85" i="1" s="1"/>
  <c r="EO85" i="1"/>
  <c r="EP85" i="1" s="1"/>
  <c r="EQ85" i="1" s="1"/>
  <c r="EJ85" i="1"/>
  <c r="EK85" i="1" s="1"/>
  <c r="EL85" i="1" s="1"/>
  <c r="EE85" i="1"/>
  <c r="EF85" i="1" s="1"/>
  <c r="EG85" i="1" s="1"/>
  <c r="DZ85" i="1"/>
  <c r="EA85" i="1" s="1"/>
  <c r="EB85" i="1" s="1"/>
  <c r="DU85" i="1"/>
  <c r="DV85" i="1" s="1"/>
  <c r="DW85" i="1" s="1"/>
  <c r="DP85" i="1"/>
  <c r="DQ85" i="1" s="1"/>
  <c r="DR85" i="1" s="1"/>
  <c r="DK85" i="1"/>
  <c r="DL85" i="1" s="1"/>
  <c r="DM85" i="1" s="1"/>
  <c r="DF85" i="1"/>
  <c r="DG85" i="1" s="1"/>
  <c r="DH85" i="1" s="1"/>
  <c r="DA85" i="1"/>
  <c r="DB85" i="1" s="1"/>
  <c r="DC85" i="1" s="1"/>
  <c r="CV85" i="1"/>
  <c r="CW85" i="1" s="1"/>
  <c r="CX85" i="1" s="1"/>
  <c r="CQ85" i="1"/>
  <c r="CR85" i="1" s="1"/>
  <c r="CS85" i="1" s="1"/>
  <c r="CL85" i="1"/>
  <c r="CM85" i="1" s="1"/>
  <c r="CN85" i="1" s="1"/>
  <c r="CI85" i="1"/>
  <c r="CB85" i="1"/>
  <c r="CC85" i="1" s="1"/>
  <c r="CD85" i="1" s="1"/>
  <c r="BW85" i="1"/>
  <c r="BX85" i="1" s="1"/>
  <c r="BY85" i="1" s="1"/>
  <c r="BR85" i="1"/>
  <c r="BS85" i="1" s="1"/>
  <c r="BT85" i="1" s="1"/>
  <c r="BM85" i="1"/>
  <c r="BN85" i="1" s="1"/>
  <c r="BO85" i="1" s="1"/>
  <c r="BH85" i="1"/>
  <c r="BI85" i="1" s="1"/>
  <c r="BJ85" i="1" s="1"/>
  <c r="BC85" i="1"/>
  <c r="BD85" i="1" s="1"/>
  <c r="BE85" i="1" s="1"/>
  <c r="AX85" i="1"/>
  <c r="AY85" i="1" s="1"/>
  <c r="AZ85" i="1" s="1"/>
  <c r="AS85" i="1"/>
  <c r="AT85" i="1" s="1"/>
  <c r="AU85" i="1" s="1"/>
  <c r="AN85" i="1"/>
  <c r="AO85" i="1" s="1"/>
  <c r="AP85" i="1" s="1"/>
  <c r="AI85" i="1"/>
  <c r="AJ85" i="1" s="1"/>
  <c r="AK85" i="1" s="1"/>
  <c r="X85" i="1"/>
  <c r="Y85" i="1" s="1"/>
  <c r="Z85" i="1" s="1"/>
  <c r="T85" i="1"/>
  <c r="O85" i="1"/>
  <c r="J85" i="1"/>
  <c r="PZ84" i="1"/>
  <c r="PU84" i="1"/>
  <c r="PP84" i="1"/>
  <c r="PK84" i="1"/>
  <c r="PF84" i="1"/>
  <c r="PA84" i="1"/>
  <c r="OV84" i="1"/>
  <c r="OQ84" i="1"/>
  <c r="OL84" i="1"/>
  <c r="OG84" i="1"/>
  <c r="OB84" i="1"/>
  <c r="NW84" i="1"/>
  <c r="NR84" i="1"/>
  <c r="NM84" i="1"/>
  <c r="NH84" i="1"/>
  <c r="NC84" i="1"/>
  <c r="MX84" i="1"/>
  <c r="MS84" i="1"/>
  <c r="MN84" i="1"/>
  <c r="MI84" i="1"/>
  <c r="MD84" i="1"/>
  <c r="LY84" i="1"/>
  <c r="LT84" i="1"/>
  <c r="LO84" i="1"/>
  <c r="LJ84" i="1"/>
  <c r="LE84" i="1"/>
  <c r="KZ84" i="1"/>
  <c r="KU84" i="1"/>
  <c r="KP84" i="1"/>
  <c r="KK84" i="1"/>
  <c r="KF84" i="1"/>
  <c r="JB84" i="1"/>
  <c r="IW84" i="1"/>
  <c r="IR84" i="1"/>
  <c r="IM84" i="1"/>
  <c r="IH84" i="1"/>
  <c r="IC84" i="1"/>
  <c r="HX84" i="1"/>
  <c r="HS84" i="1"/>
  <c r="HN84" i="1"/>
  <c r="HI84" i="1"/>
  <c r="HB84" i="1"/>
  <c r="HC84" i="1" s="1"/>
  <c r="HD84" i="1" s="1"/>
  <c r="GW84" i="1"/>
  <c r="GX84" i="1" s="1"/>
  <c r="GY84" i="1" s="1"/>
  <c r="GR84" i="1"/>
  <c r="GS84" i="1" s="1"/>
  <c r="GT84" i="1" s="1"/>
  <c r="GM84" i="1"/>
  <c r="GN84" i="1" s="1"/>
  <c r="GO84" i="1" s="1"/>
  <c r="GH84" i="1"/>
  <c r="GI84" i="1" s="1"/>
  <c r="GJ84" i="1" s="1"/>
  <c r="GC84" i="1"/>
  <c r="GD84" i="1" s="1"/>
  <c r="GE84" i="1" s="1"/>
  <c r="FX84" i="1"/>
  <c r="FY84" i="1" s="1"/>
  <c r="FZ84" i="1" s="1"/>
  <c r="FS84" i="1"/>
  <c r="FT84" i="1" s="1"/>
  <c r="FU84" i="1" s="1"/>
  <c r="FN84" i="1"/>
  <c r="FO84" i="1" s="1"/>
  <c r="FP84" i="1" s="1"/>
  <c r="FI84" i="1"/>
  <c r="FJ84" i="1" s="1"/>
  <c r="FK84" i="1" s="1"/>
  <c r="FD84" i="1"/>
  <c r="FE84" i="1" s="1"/>
  <c r="FF84" i="1" s="1"/>
  <c r="EY84" i="1"/>
  <c r="EZ84" i="1" s="1"/>
  <c r="FA84" i="1" s="1"/>
  <c r="ET84" i="1"/>
  <c r="EU84" i="1" s="1"/>
  <c r="EV84" i="1" s="1"/>
  <c r="EO84" i="1"/>
  <c r="EP84" i="1" s="1"/>
  <c r="EQ84" i="1" s="1"/>
  <c r="EJ84" i="1"/>
  <c r="EK84" i="1" s="1"/>
  <c r="EL84" i="1" s="1"/>
  <c r="EE84" i="1"/>
  <c r="EF84" i="1" s="1"/>
  <c r="EG84" i="1" s="1"/>
  <c r="DZ84" i="1"/>
  <c r="EA84" i="1" s="1"/>
  <c r="EB84" i="1" s="1"/>
  <c r="DU84" i="1"/>
  <c r="DV84" i="1" s="1"/>
  <c r="DW84" i="1" s="1"/>
  <c r="DP84" i="1"/>
  <c r="DQ84" i="1" s="1"/>
  <c r="DR84" i="1" s="1"/>
  <c r="DK84" i="1"/>
  <c r="DL84" i="1" s="1"/>
  <c r="DM84" i="1" s="1"/>
  <c r="DF84" i="1"/>
  <c r="DG84" i="1" s="1"/>
  <c r="DH84" i="1" s="1"/>
  <c r="DA84" i="1"/>
  <c r="DB84" i="1" s="1"/>
  <c r="DC84" i="1" s="1"/>
  <c r="CV84" i="1"/>
  <c r="CW84" i="1" s="1"/>
  <c r="CX84" i="1" s="1"/>
  <c r="CQ84" i="1"/>
  <c r="CR84" i="1" s="1"/>
  <c r="CS84" i="1" s="1"/>
  <c r="CL84" i="1"/>
  <c r="CM84" i="1" s="1"/>
  <c r="CN84" i="1" s="1"/>
  <c r="CG84" i="1"/>
  <c r="CH84" i="1" s="1"/>
  <c r="CI84" i="1" s="1"/>
  <c r="CB84" i="1"/>
  <c r="CC84" i="1" s="1"/>
  <c r="CD84" i="1" s="1"/>
  <c r="BW84" i="1"/>
  <c r="BX84" i="1" s="1"/>
  <c r="BY84" i="1" s="1"/>
  <c r="BR84" i="1"/>
  <c r="BS84" i="1" s="1"/>
  <c r="BT84" i="1" s="1"/>
  <c r="BM84" i="1"/>
  <c r="BN84" i="1" s="1"/>
  <c r="BO84" i="1" s="1"/>
  <c r="BH84" i="1"/>
  <c r="BI84" i="1" s="1"/>
  <c r="BJ84" i="1" s="1"/>
  <c r="BC84" i="1"/>
  <c r="BD84" i="1" s="1"/>
  <c r="BE84" i="1" s="1"/>
  <c r="AX84" i="1"/>
  <c r="AY84" i="1" s="1"/>
  <c r="AZ84" i="1" s="1"/>
  <c r="AS84" i="1"/>
  <c r="AT84" i="1" s="1"/>
  <c r="AU84" i="1" s="1"/>
  <c r="AN84" i="1"/>
  <c r="AO84" i="1" s="1"/>
  <c r="AP84" i="1" s="1"/>
  <c r="AI84" i="1"/>
  <c r="AJ84" i="1" s="1"/>
  <c r="AK84" i="1" s="1"/>
  <c r="X84" i="1"/>
  <c r="Y84" i="1" s="1"/>
  <c r="Z84" i="1" s="1"/>
  <c r="T84" i="1"/>
  <c r="O84" i="1"/>
  <c r="H84" i="1"/>
  <c r="I84" i="1" s="1"/>
  <c r="J84" i="1" s="1"/>
  <c r="PX83" i="1"/>
  <c r="PY83" i="1" s="1"/>
  <c r="PZ83" i="1" s="1"/>
  <c r="PU83" i="1"/>
  <c r="PP83" i="1"/>
  <c r="PK83" i="1"/>
  <c r="PF83" i="1"/>
  <c r="PA83" i="1"/>
  <c r="OV83" i="1"/>
  <c r="OQ83" i="1"/>
  <c r="OL83" i="1"/>
  <c r="OG83" i="1"/>
  <c r="OB83" i="1"/>
  <c r="NW83" i="1"/>
  <c r="NR83" i="1"/>
  <c r="NM83" i="1"/>
  <c r="NH83" i="1"/>
  <c r="NC83" i="1"/>
  <c r="MX83" i="1"/>
  <c r="MS83" i="1"/>
  <c r="MN83" i="1"/>
  <c r="MI83" i="1"/>
  <c r="MD83" i="1"/>
  <c r="LY83" i="1"/>
  <c r="LT83" i="1"/>
  <c r="LO83" i="1"/>
  <c r="LJ83" i="1"/>
  <c r="LE83" i="1"/>
  <c r="KZ83" i="1"/>
  <c r="KS83" i="1"/>
  <c r="KT83" i="1" s="1"/>
  <c r="KU83" i="1" s="1"/>
  <c r="KN83" i="1"/>
  <c r="KO83" i="1" s="1"/>
  <c r="KP83" i="1" s="1"/>
  <c r="KK83" i="1"/>
  <c r="KF83" i="1"/>
  <c r="JB83" i="1"/>
  <c r="IW83" i="1"/>
  <c r="IR83" i="1"/>
  <c r="IM83" i="1"/>
  <c r="IH83" i="1"/>
  <c r="IC83" i="1"/>
  <c r="HX83" i="1"/>
  <c r="HS83" i="1"/>
  <c r="HN83" i="1"/>
  <c r="HG83" i="1"/>
  <c r="HH83" i="1" s="1"/>
  <c r="HI83" i="1" s="1"/>
  <c r="HB83" i="1"/>
  <c r="HC83" i="1" s="1"/>
  <c r="HD83" i="1" s="1"/>
  <c r="GW83" i="1"/>
  <c r="GX83" i="1" s="1"/>
  <c r="GY83" i="1" s="1"/>
  <c r="GR83" i="1"/>
  <c r="GS83" i="1" s="1"/>
  <c r="GT83" i="1" s="1"/>
  <c r="GM83" i="1"/>
  <c r="GN83" i="1" s="1"/>
  <c r="GO83" i="1" s="1"/>
  <c r="GH83" i="1"/>
  <c r="GI83" i="1" s="1"/>
  <c r="GJ83" i="1" s="1"/>
  <c r="GC83" i="1"/>
  <c r="GD83" i="1" s="1"/>
  <c r="GE83" i="1" s="1"/>
  <c r="FX83" i="1"/>
  <c r="FY83" i="1" s="1"/>
  <c r="FZ83" i="1" s="1"/>
  <c r="FS83" i="1"/>
  <c r="FT83" i="1" s="1"/>
  <c r="FU83" i="1" s="1"/>
  <c r="FN83" i="1"/>
  <c r="FO83" i="1" s="1"/>
  <c r="FP83" i="1" s="1"/>
  <c r="FI83" i="1"/>
  <c r="FJ83" i="1" s="1"/>
  <c r="FK83" i="1" s="1"/>
  <c r="FD83" i="1"/>
  <c r="FE83" i="1" s="1"/>
  <c r="FF83" i="1" s="1"/>
  <c r="EY83" i="1"/>
  <c r="EZ83" i="1" s="1"/>
  <c r="FA83" i="1" s="1"/>
  <c r="ET83" i="1"/>
  <c r="EU83" i="1" s="1"/>
  <c r="EV83" i="1" s="1"/>
  <c r="EO83" i="1"/>
  <c r="EP83" i="1" s="1"/>
  <c r="EQ83" i="1" s="1"/>
  <c r="EJ83" i="1"/>
  <c r="EK83" i="1" s="1"/>
  <c r="EL83" i="1" s="1"/>
  <c r="EE83" i="1"/>
  <c r="EF83" i="1" s="1"/>
  <c r="EG83" i="1" s="1"/>
  <c r="DZ83" i="1"/>
  <c r="EA83" i="1" s="1"/>
  <c r="EB83" i="1" s="1"/>
  <c r="DU83" i="1"/>
  <c r="DV83" i="1" s="1"/>
  <c r="DW83" i="1" s="1"/>
  <c r="DP83" i="1"/>
  <c r="DQ83" i="1" s="1"/>
  <c r="DR83" i="1" s="1"/>
  <c r="DK83" i="1"/>
  <c r="DL83" i="1" s="1"/>
  <c r="DM83" i="1" s="1"/>
  <c r="DF83" i="1"/>
  <c r="DG83" i="1" s="1"/>
  <c r="DH83" i="1" s="1"/>
  <c r="DA83" i="1"/>
  <c r="DB83" i="1" s="1"/>
  <c r="DC83" i="1" s="1"/>
  <c r="CV83" i="1"/>
  <c r="CW83" i="1" s="1"/>
  <c r="CX83" i="1" s="1"/>
  <c r="CQ83" i="1"/>
  <c r="CR83" i="1" s="1"/>
  <c r="CS83" i="1" s="1"/>
  <c r="CL83" i="1"/>
  <c r="CM83" i="1" s="1"/>
  <c r="CN83" i="1" s="1"/>
  <c r="CG83" i="1"/>
  <c r="CH83" i="1" s="1"/>
  <c r="CI83" i="1" s="1"/>
  <c r="CB83" i="1"/>
  <c r="CC83" i="1" s="1"/>
  <c r="CD83" i="1" s="1"/>
  <c r="BW83" i="1"/>
  <c r="BX83" i="1" s="1"/>
  <c r="BY83" i="1" s="1"/>
  <c r="BR83" i="1"/>
  <c r="BS83" i="1" s="1"/>
  <c r="BT83" i="1" s="1"/>
  <c r="BM83" i="1"/>
  <c r="BN83" i="1" s="1"/>
  <c r="BO83" i="1" s="1"/>
  <c r="BH83" i="1"/>
  <c r="BI83" i="1" s="1"/>
  <c r="BJ83" i="1" s="1"/>
  <c r="BC83" i="1"/>
  <c r="BD83" i="1" s="1"/>
  <c r="BE83" i="1" s="1"/>
  <c r="AX83" i="1"/>
  <c r="AY83" i="1" s="1"/>
  <c r="AZ83" i="1" s="1"/>
  <c r="AS83" i="1"/>
  <c r="AT83" i="1" s="1"/>
  <c r="AU83" i="1" s="1"/>
  <c r="AN83" i="1"/>
  <c r="AO83" i="1" s="1"/>
  <c r="AP83" i="1" s="1"/>
  <c r="AI83" i="1"/>
  <c r="AJ83" i="1" s="1"/>
  <c r="AK83" i="1" s="1"/>
  <c r="AD83" i="1"/>
  <c r="AE83" i="1" s="1"/>
  <c r="AF83" i="1" s="1"/>
  <c r="X83" i="1"/>
  <c r="Y83" i="1" s="1"/>
  <c r="Z83" i="1" s="1"/>
  <c r="R83" i="1"/>
  <c r="S83" i="1" s="1"/>
  <c r="T83" i="1" s="1"/>
  <c r="O83" i="1"/>
  <c r="J83" i="1"/>
  <c r="PZ82" i="1"/>
  <c r="PU82" i="1"/>
  <c r="PP82" i="1"/>
  <c r="PK82" i="1"/>
  <c r="PF82" i="1"/>
  <c r="PA82" i="1"/>
  <c r="OV82" i="1"/>
  <c r="OQ82" i="1"/>
  <c r="OL82" i="1"/>
  <c r="OG82" i="1"/>
  <c r="OB82" i="1"/>
  <c r="NW82" i="1"/>
  <c r="NR82" i="1"/>
  <c r="NM82" i="1"/>
  <c r="NH82" i="1"/>
  <c r="NC82" i="1"/>
  <c r="MX82" i="1"/>
  <c r="MS82" i="1"/>
  <c r="MN82" i="1"/>
  <c r="MI82" i="1"/>
  <c r="MD82" i="1"/>
  <c r="LY82" i="1"/>
  <c r="LT82" i="1"/>
  <c r="LO82" i="1"/>
  <c r="LJ82" i="1"/>
  <c r="LE82" i="1"/>
  <c r="KZ82" i="1"/>
  <c r="KU82" i="1"/>
  <c r="KP82" i="1"/>
  <c r="KK82" i="1"/>
  <c r="KF82" i="1"/>
  <c r="JB82" i="1"/>
  <c r="IU82" i="1"/>
  <c r="IV82" i="1" s="1"/>
  <c r="IW82" i="1" s="1"/>
  <c r="IR82" i="1"/>
  <c r="IM82" i="1"/>
  <c r="IH82" i="1"/>
  <c r="IA82" i="1"/>
  <c r="IB82" i="1" s="1"/>
  <c r="IC82" i="1" s="1"/>
  <c r="HX82" i="1"/>
  <c r="HS82" i="1"/>
  <c r="HN82" i="1"/>
  <c r="HG82" i="1"/>
  <c r="HH82" i="1" s="1"/>
  <c r="HI82" i="1" s="1"/>
  <c r="HB82" i="1"/>
  <c r="HC82" i="1" s="1"/>
  <c r="HD82" i="1" s="1"/>
  <c r="GW82" i="1"/>
  <c r="GX82" i="1" s="1"/>
  <c r="GY82" i="1" s="1"/>
  <c r="GR82" i="1"/>
  <c r="GS82" i="1" s="1"/>
  <c r="GT82" i="1" s="1"/>
  <c r="GM82" i="1"/>
  <c r="GN82" i="1" s="1"/>
  <c r="GO82" i="1" s="1"/>
  <c r="GH82" i="1"/>
  <c r="GI82" i="1" s="1"/>
  <c r="GJ82" i="1" s="1"/>
  <c r="GC82" i="1"/>
  <c r="GD82" i="1" s="1"/>
  <c r="GE82" i="1" s="1"/>
  <c r="FX82" i="1"/>
  <c r="FY82" i="1" s="1"/>
  <c r="FZ82" i="1" s="1"/>
  <c r="FS82" i="1"/>
  <c r="FT82" i="1" s="1"/>
  <c r="FU82" i="1" s="1"/>
  <c r="FN82" i="1"/>
  <c r="FO82" i="1" s="1"/>
  <c r="FP82" i="1" s="1"/>
  <c r="FI82" i="1"/>
  <c r="FJ82" i="1" s="1"/>
  <c r="FK82" i="1" s="1"/>
  <c r="FD82" i="1"/>
  <c r="FE82" i="1" s="1"/>
  <c r="FF82" i="1" s="1"/>
  <c r="EY82" i="1"/>
  <c r="EZ82" i="1" s="1"/>
  <c r="FA82" i="1" s="1"/>
  <c r="ET82" i="1"/>
  <c r="EU82" i="1" s="1"/>
  <c r="EV82" i="1" s="1"/>
  <c r="EO82" i="1"/>
  <c r="EP82" i="1" s="1"/>
  <c r="EQ82" i="1" s="1"/>
  <c r="EJ82" i="1"/>
  <c r="EK82" i="1" s="1"/>
  <c r="EL82" i="1" s="1"/>
  <c r="EE82" i="1"/>
  <c r="EF82" i="1" s="1"/>
  <c r="EG82" i="1" s="1"/>
  <c r="DZ82" i="1"/>
  <c r="EA82" i="1" s="1"/>
  <c r="EB82" i="1" s="1"/>
  <c r="DU82" i="1"/>
  <c r="DV82" i="1" s="1"/>
  <c r="DW82" i="1" s="1"/>
  <c r="DP82" i="1"/>
  <c r="DQ82" i="1" s="1"/>
  <c r="DR82" i="1" s="1"/>
  <c r="DK82" i="1"/>
  <c r="DL82" i="1" s="1"/>
  <c r="DM82" i="1" s="1"/>
  <c r="DF82" i="1"/>
  <c r="DG82" i="1" s="1"/>
  <c r="DH82" i="1" s="1"/>
  <c r="DA82" i="1"/>
  <c r="DB82" i="1" s="1"/>
  <c r="DC82" i="1" s="1"/>
  <c r="CV82" i="1"/>
  <c r="CW82" i="1" s="1"/>
  <c r="CX82" i="1" s="1"/>
  <c r="CQ82" i="1"/>
  <c r="CR82" i="1" s="1"/>
  <c r="CS82" i="1" s="1"/>
  <c r="CL82" i="1"/>
  <c r="CM82" i="1" s="1"/>
  <c r="CN82" i="1" s="1"/>
  <c r="CG82" i="1"/>
  <c r="CH82" i="1" s="1"/>
  <c r="CI82" i="1" s="1"/>
  <c r="CB82" i="1"/>
  <c r="CC82" i="1" s="1"/>
  <c r="CD82" i="1" s="1"/>
  <c r="BW82" i="1"/>
  <c r="BX82" i="1" s="1"/>
  <c r="BY82" i="1" s="1"/>
  <c r="BR82" i="1"/>
  <c r="BS82" i="1" s="1"/>
  <c r="BT82" i="1" s="1"/>
  <c r="BM82" i="1"/>
  <c r="BN82" i="1" s="1"/>
  <c r="BO82" i="1" s="1"/>
  <c r="BH82" i="1"/>
  <c r="BI82" i="1" s="1"/>
  <c r="BJ82" i="1" s="1"/>
  <c r="BC82" i="1"/>
  <c r="BD82" i="1" s="1"/>
  <c r="BE82" i="1" s="1"/>
  <c r="AX82" i="1"/>
  <c r="AY82" i="1" s="1"/>
  <c r="AZ82" i="1" s="1"/>
  <c r="AS82" i="1"/>
  <c r="AT82" i="1" s="1"/>
  <c r="AU82" i="1" s="1"/>
  <c r="AN82" i="1"/>
  <c r="AO82" i="1" s="1"/>
  <c r="AP82" i="1" s="1"/>
  <c r="AI82" i="1"/>
  <c r="AJ82" i="1" s="1"/>
  <c r="AK82" i="1" s="1"/>
  <c r="AD82" i="1"/>
  <c r="AE82" i="1" s="1"/>
  <c r="AF82" i="1" s="1"/>
  <c r="X82" i="1"/>
  <c r="Y82" i="1" s="1"/>
  <c r="Z82" i="1" s="1"/>
  <c r="T82" i="1"/>
  <c r="O82" i="1"/>
  <c r="J82" i="1"/>
  <c r="PZ81" i="1"/>
  <c r="PU81" i="1"/>
  <c r="PP81" i="1"/>
  <c r="PK81" i="1"/>
  <c r="PF81" i="1"/>
  <c r="PA81" i="1"/>
  <c r="OV81" i="1"/>
  <c r="OQ81" i="1"/>
  <c r="OL81" i="1"/>
  <c r="OG81" i="1"/>
  <c r="OB81" i="1"/>
  <c r="NW81" i="1"/>
  <c r="NR81" i="1"/>
  <c r="NM81" i="1"/>
  <c r="NH81" i="1"/>
  <c r="NC81" i="1"/>
  <c r="MX81" i="1"/>
  <c r="MS81" i="1"/>
  <c r="MN81" i="1"/>
  <c r="MI81" i="1"/>
  <c r="MD81" i="1"/>
  <c r="LY81" i="1"/>
  <c r="LT81" i="1"/>
  <c r="LO81" i="1"/>
  <c r="LJ81" i="1"/>
  <c r="LE81" i="1"/>
  <c r="KZ81" i="1"/>
  <c r="KU81" i="1"/>
  <c r="KP81" i="1"/>
  <c r="KK81" i="1"/>
  <c r="KF81" i="1"/>
  <c r="IZ81" i="1"/>
  <c r="JA81" i="1" s="1"/>
  <c r="JB81" i="1" s="1"/>
  <c r="IU81" i="1"/>
  <c r="IV81" i="1" s="1"/>
  <c r="IW81" i="1" s="1"/>
  <c r="IP81" i="1"/>
  <c r="IQ81" i="1" s="1"/>
  <c r="IR81" i="1" s="1"/>
  <c r="IK81" i="1"/>
  <c r="IL81" i="1" s="1"/>
  <c r="IM81" i="1" s="1"/>
  <c r="IF81" i="1"/>
  <c r="IG81" i="1" s="1"/>
  <c r="IH81" i="1" s="1"/>
  <c r="IA81" i="1"/>
  <c r="IB81" i="1" s="1"/>
  <c r="IC81" i="1" s="1"/>
  <c r="HV81" i="1"/>
  <c r="HW81" i="1" s="1"/>
  <c r="HX81" i="1" s="1"/>
  <c r="HS81" i="1"/>
  <c r="HN81" i="1"/>
  <c r="HG81" i="1"/>
  <c r="HH81" i="1" s="1"/>
  <c r="HI81" i="1" s="1"/>
  <c r="HB81" i="1"/>
  <c r="HC81" i="1" s="1"/>
  <c r="HD81" i="1" s="1"/>
  <c r="GW81" i="1"/>
  <c r="GX81" i="1" s="1"/>
  <c r="GY81" i="1" s="1"/>
  <c r="GR81" i="1"/>
  <c r="GS81" i="1" s="1"/>
  <c r="GT81" i="1" s="1"/>
  <c r="GM81" i="1"/>
  <c r="GN81" i="1" s="1"/>
  <c r="GO81" i="1" s="1"/>
  <c r="GH81" i="1"/>
  <c r="GI81" i="1" s="1"/>
  <c r="GJ81" i="1" s="1"/>
  <c r="GC81" i="1"/>
  <c r="GD81" i="1" s="1"/>
  <c r="GE81" i="1" s="1"/>
  <c r="FX81" i="1"/>
  <c r="FY81" i="1" s="1"/>
  <c r="FZ81" i="1" s="1"/>
  <c r="FS81" i="1"/>
  <c r="FT81" i="1" s="1"/>
  <c r="FU81" i="1" s="1"/>
  <c r="FN81" i="1"/>
  <c r="FO81" i="1" s="1"/>
  <c r="FP81" i="1" s="1"/>
  <c r="FI81" i="1"/>
  <c r="FJ81" i="1" s="1"/>
  <c r="FK81" i="1" s="1"/>
  <c r="FD81" i="1"/>
  <c r="FE81" i="1" s="1"/>
  <c r="FF81" i="1" s="1"/>
  <c r="EY81" i="1"/>
  <c r="EZ81" i="1" s="1"/>
  <c r="FA81" i="1" s="1"/>
  <c r="ET81" i="1"/>
  <c r="EU81" i="1" s="1"/>
  <c r="EV81" i="1" s="1"/>
  <c r="EO81" i="1"/>
  <c r="EP81" i="1" s="1"/>
  <c r="EQ81" i="1" s="1"/>
  <c r="EJ81" i="1"/>
  <c r="EK81" i="1" s="1"/>
  <c r="EL81" i="1" s="1"/>
  <c r="EE81" i="1"/>
  <c r="EF81" i="1" s="1"/>
  <c r="EG81" i="1" s="1"/>
  <c r="DZ81" i="1"/>
  <c r="EA81" i="1" s="1"/>
  <c r="EB81" i="1" s="1"/>
  <c r="DU81" i="1"/>
  <c r="DV81" i="1" s="1"/>
  <c r="DW81" i="1" s="1"/>
  <c r="DP81" i="1"/>
  <c r="DQ81" i="1" s="1"/>
  <c r="DR81" i="1" s="1"/>
  <c r="DK81" i="1"/>
  <c r="DL81" i="1" s="1"/>
  <c r="DM81" i="1" s="1"/>
  <c r="DF81" i="1"/>
  <c r="DG81" i="1" s="1"/>
  <c r="DH81" i="1" s="1"/>
  <c r="DA81" i="1"/>
  <c r="DB81" i="1" s="1"/>
  <c r="DC81" i="1" s="1"/>
  <c r="CV81" i="1"/>
  <c r="CW81" i="1" s="1"/>
  <c r="CX81" i="1" s="1"/>
  <c r="CQ81" i="1"/>
  <c r="CR81" i="1" s="1"/>
  <c r="CS81" i="1" s="1"/>
  <c r="CL81" i="1"/>
  <c r="CM81" i="1" s="1"/>
  <c r="CN81" i="1" s="1"/>
  <c r="CG81" i="1"/>
  <c r="CH81" i="1" s="1"/>
  <c r="CI81" i="1" s="1"/>
  <c r="CB81" i="1"/>
  <c r="CC81" i="1" s="1"/>
  <c r="CD81" i="1" s="1"/>
  <c r="BW81" i="1"/>
  <c r="BX81" i="1" s="1"/>
  <c r="BY81" i="1" s="1"/>
  <c r="BR81" i="1"/>
  <c r="BS81" i="1" s="1"/>
  <c r="BT81" i="1" s="1"/>
  <c r="BM81" i="1"/>
  <c r="BN81" i="1" s="1"/>
  <c r="BO81" i="1" s="1"/>
  <c r="BH81" i="1"/>
  <c r="BI81" i="1" s="1"/>
  <c r="BJ81" i="1" s="1"/>
  <c r="BC81" i="1"/>
  <c r="BD81" i="1" s="1"/>
  <c r="BE81" i="1" s="1"/>
  <c r="AX81" i="1"/>
  <c r="AY81" i="1" s="1"/>
  <c r="AZ81" i="1" s="1"/>
  <c r="AS81" i="1"/>
  <c r="AT81" i="1" s="1"/>
  <c r="AU81" i="1" s="1"/>
  <c r="AN81" i="1"/>
  <c r="AO81" i="1" s="1"/>
  <c r="AP81" i="1" s="1"/>
  <c r="AI81" i="1"/>
  <c r="AJ81" i="1" s="1"/>
  <c r="AK81" i="1" s="1"/>
  <c r="AD81" i="1"/>
  <c r="AE81" i="1" s="1"/>
  <c r="AF81" i="1" s="1"/>
  <c r="X81" i="1"/>
  <c r="Y81" i="1" s="1"/>
  <c r="Z81" i="1" s="1"/>
  <c r="T81" i="1"/>
  <c r="O81" i="1"/>
  <c r="J81" i="1"/>
  <c r="PZ80" i="1"/>
  <c r="PU80" i="1"/>
  <c r="PP80" i="1"/>
  <c r="PK80" i="1"/>
  <c r="PF80" i="1"/>
  <c r="PA80" i="1"/>
  <c r="OV80" i="1"/>
  <c r="OQ80" i="1"/>
  <c r="OL80" i="1"/>
  <c r="OG80" i="1"/>
  <c r="OB80" i="1"/>
  <c r="NW80" i="1"/>
  <c r="NR80" i="1"/>
  <c r="NM80" i="1"/>
  <c r="NH80" i="1"/>
  <c r="NC80" i="1"/>
  <c r="MX80" i="1"/>
  <c r="MS80" i="1"/>
  <c r="MN80" i="1"/>
  <c r="MI80" i="1"/>
  <c r="MD80" i="1"/>
  <c r="LY80" i="1"/>
  <c r="LT80" i="1"/>
  <c r="LO80" i="1"/>
  <c r="LH80" i="1"/>
  <c r="LI80" i="1" s="1"/>
  <c r="LJ80" i="1" s="1"/>
  <c r="LE80" i="1"/>
  <c r="KZ80" i="1"/>
  <c r="KS80" i="1"/>
  <c r="KT80" i="1" s="1"/>
  <c r="KU80" i="1" s="1"/>
  <c r="KP80" i="1"/>
  <c r="KK80" i="1"/>
  <c r="KF80" i="1"/>
  <c r="IZ80" i="1"/>
  <c r="JA80" i="1" s="1"/>
  <c r="JB80" i="1" s="1"/>
  <c r="IU80" i="1"/>
  <c r="IV80" i="1" s="1"/>
  <c r="IW80" i="1" s="1"/>
  <c r="IP80" i="1"/>
  <c r="IQ80" i="1" s="1"/>
  <c r="IR80" i="1" s="1"/>
  <c r="IK80" i="1"/>
  <c r="IL80" i="1" s="1"/>
  <c r="IM80" i="1" s="1"/>
  <c r="IF80" i="1"/>
  <c r="IG80" i="1" s="1"/>
  <c r="IH80" i="1" s="1"/>
  <c r="IA80" i="1"/>
  <c r="IB80" i="1" s="1"/>
  <c r="IC80" i="1" s="1"/>
  <c r="HV80" i="1"/>
  <c r="HW80" i="1" s="1"/>
  <c r="HX80" i="1" s="1"/>
  <c r="HS80" i="1"/>
  <c r="HN80" i="1"/>
  <c r="HG80" i="1"/>
  <c r="HH80" i="1" s="1"/>
  <c r="HI80" i="1" s="1"/>
  <c r="HB80" i="1"/>
  <c r="HC80" i="1" s="1"/>
  <c r="HD80" i="1" s="1"/>
  <c r="GW80" i="1"/>
  <c r="GX80" i="1" s="1"/>
  <c r="GY80" i="1" s="1"/>
  <c r="GR80" i="1"/>
  <c r="GS80" i="1" s="1"/>
  <c r="GT80" i="1" s="1"/>
  <c r="GM80" i="1"/>
  <c r="GN80" i="1" s="1"/>
  <c r="GO80" i="1" s="1"/>
  <c r="GH80" i="1"/>
  <c r="GI80" i="1" s="1"/>
  <c r="GJ80" i="1" s="1"/>
  <c r="GC80" i="1"/>
  <c r="GD80" i="1" s="1"/>
  <c r="GE80" i="1" s="1"/>
  <c r="FX80" i="1"/>
  <c r="FY80" i="1" s="1"/>
  <c r="FZ80" i="1" s="1"/>
  <c r="FS80" i="1"/>
  <c r="FT80" i="1" s="1"/>
  <c r="FU80" i="1" s="1"/>
  <c r="FN80" i="1"/>
  <c r="FO80" i="1" s="1"/>
  <c r="FP80" i="1" s="1"/>
  <c r="FI80" i="1"/>
  <c r="FJ80" i="1" s="1"/>
  <c r="FK80" i="1" s="1"/>
  <c r="FD80" i="1"/>
  <c r="FE80" i="1" s="1"/>
  <c r="FF80" i="1" s="1"/>
  <c r="EY80" i="1"/>
  <c r="EZ80" i="1" s="1"/>
  <c r="FA80" i="1" s="1"/>
  <c r="ET80" i="1"/>
  <c r="EU80" i="1" s="1"/>
  <c r="EV80" i="1" s="1"/>
  <c r="EO80" i="1"/>
  <c r="EP80" i="1" s="1"/>
  <c r="EQ80" i="1" s="1"/>
  <c r="EJ80" i="1"/>
  <c r="EK80" i="1" s="1"/>
  <c r="EL80" i="1" s="1"/>
  <c r="EE80" i="1"/>
  <c r="EF80" i="1" s="1"/>
  <c r="EG80" i="1" s="1"/>
  <c r="DZ80" i="1"/>
  <c r="EA80" i="1" s="1"/>
  <c r="EB80" i="1" s="1"/>
  <c r="DU80" i="1"/>
  <c r="DV80" i="1" s="1"/>
  <c r="DW80" i="1" s="1"/>
  <c r="DP80" i="1"/>
  <c r="DQ80" i="1" s="1"/>
  <c r="DR80" i="1" s="1"/>
  <c r="DK80" i="1"/>
  <c r="DL80" i="1" s="1"/>
  <c r="DM80" i="1" s="1"/>
  <c r="DF80" i="1"/>
  <c r="DG80" i="1" s="1"/>
  <c r="DH80" i="1" s="1"/>
  <c r="DA80" i="1"/>
  <c r="DB80" i="1" s="1"/>
  <c r="DC80" i="1" s="1"/>
  <c r="CV80" i="1"/>
  <c r="CW80" i="1" s="1"/>
  <c r="CX80" i="1" s="1"/>
  <c r="CQ80" i="1"/>
  <c r="CR80" i="1" s="1"/>
  <c r="CS80" i="1" s="1"/>
  <c r="CL80" i="1"/>
  <c r="CM80" i="1" s="1"/>
  <c r="CN80" i="1" s="1"/>
  <c r="CG80" i="1"/>
  <c r="CH80" i="1" s="1"/>
  <c r="CI80" i="1" s="1"/>
  <c r="CB80" i="1"/>
  <c r="CC80" i="1" s="1"/>
  <c r="CD80" i="1" s="1"/>
  <c r="BW80" i="1"/>
  <c r="BX80" i="1" s="1"/>
  <c r="BY80" i="1" s="1"/>
  <c r="BR80" i="1"/>
  <c r="BS80" i="1" s="1"/>
  <c r="BT80" i="1" s="1"/>
  <c r="BM80" i="1"/>
  <c r="BN80" i="1" s="1"/>
  <c r="BO80" i="1" s="1"/>
  <c r="BH80" i="1"/>
  <c r="BI80" i="1" s="1"/>
  <c r="BJ80" i="1" s="1"/>
  <c r="BC80" i="1"/>
  <c r="BD80" i="1" s="1"/>
  <c r="BE80" i="1" s="1"/>
  <c r="AX80" i="1"/>
  <c r="AY80" i="1" s="1"/>
  <c r="AZ80" i="1" s="1"/>
  <c r="AS80" i="1"/>
  <c r="AT80" i="1" s="1"/>
  <c r="AU80" i="1" s="1"/>
  <c r="AN80" i="1"/>
  <c r="AO80" i="1" s="1"/>
  <c r="AP80" i="1" s="1"/>
  <c r="AI80" i="1"/>
  <c r="AJ80" i="1" s="1"/>
  <c r="AK80" i="1" s="1"/>
  <c r="AD80" i="1"/>
  <c r="AE80" i="1" s="1"/>
  <c r="AF80" i="1" s="1"/>
  <c r="X80" i="1"/>
  <c r="Y80" i="1" s="1"/>
  <c r="Z80" i="1" s="1"/>
  <c r="T80" i="1"/>
  <c r="O80" i="1"/>
  <c r="J80" i="1"/>
  <c r="PZ79" i="1"/>
  <c r="PU79" i="1"/>
  <c r="PP79" i="1"/>
  <c r="PK79" i="1"/>
  <c r="PF79" i="1"/>
  <c r="PA79" i="1"/>
  <c r="OV79" i="1"/>
  <c r="OQ79" i="1"/>
  <c r="OL79" i="1"/>
  <c r="OG79" i="1"/>
  <c r="OB79" i="1"/>
  <c r="NW79" i="1"/>
  <c r="NR79" i="1"/>
  <c r="NM79" i="1"/>
  <c r="NH79" i="1"/>
  <c r="NC79" i="1"/>
  <c r="MX79" i="1"/>
  <c r="MS79" i="1"/>
  <c r="MN79" i="1"/>
  <c r="MI79" i="1"/>
  <c r="MD79" i="1"/>
  <c r="LY79" i="1"/>
  <c r="LT79" i="1"/>
  <c r="LO79" i="1"/>
  <c r="LJ79" i="1"/>
  <c r="LE79" i="1"/>
  <c r="KZ79" i="1"/>
  <c r="KU79" i="1"/>
  <c r="KP79" i="1"/>
  <c r="KK79" i="1"/>
  <c r="KF79" i="1"/>
  <c r="JB79" i="1"/>
  <c r="IW79" i="1"/>
  <c r="IR79" i="1"/>
  <c r="IM79" i="1"/>
  <c r="IH79" i="1"/>
  <c r="IC79" i="1"/>
  <c r="HX79" i="1"/>
  <c r="HS79" i="1"/>
  <c r="HN79" i="1"/>
  <c r="HG79" i="1"/>
  <c r="HH79" i="1" s="1"/>
  <c r="HI79" i="1" s="1"/>
  <c r="HB79" i="1"/>
  <c r="HC79" i="1" s="1"/>
  <c r="HD79" i="1" s="1"/>
  <c r="GW79" i="1"/>
  <c r="GX79" i="1" s="1"/>
  <c r="GY79" i="1" s="1"/>
  <c r="GR79" i="1"/>
  <c r="GS79" i="1" s="1"/>
  <c r="GT79" i="1" s="1"/>
  <c r="GM79" i="1"/>
  <c r="GN79" i="1" s="1"/>
  <c r="GO79" i="1" s="1"/>
  <c r="GH79" i="1"/>
  <c r="GI79" i="1" s="1"/>
  <c r="GJ79" i="1" s="1"/>
  <c r="GC79" i="1"/>
  <c r="GD79" i="1" s="1"/>
  <c r="GE79" i="1" s="1"/>
  <c r="FX79" i="1"/>
  <c r="FY79" i="1" s="1"/>
  <c r="FZ79" i="1" s="1"/>
  <c r="FS79" i="1"/>
  <c r="FT79" i="1" s="1"/>
  <c r="FU79" i="1" s="1"/>
  <c r="FN79" i="1"/>
  <c r="FO79" i="1" s="1"/>
  <c r="FP79" i="1" s="1"/>
  <c r="FI79" i="1"/>
  <c r="FJ79" i="1" s="1"/>
  <c r="FK79" i="1" s="1"/>
  <c r="FD79" i="1"/>
  <c r="FE79" i="1" s="1"/>
  <c r="FF79" i="1" s="1"/>
  <c r="EY79" i="1"/>
  <c r="EZ79" i="1" s="1"/>
  <c r="FA79" i="1" s="1"/>
  <c r="ET79" i="1"/>
  <c r="EU79" i="1" s="1"/>
  <c r="EV79" i="1" s="1"/>
  <c r="EO79" i="1"/>
  <c r="EP79" i="1" s="1"/>
  <c r="EQ79" i="1" s="1"/>
  <c r="EJ79" i="1"/>
  <c r="EK79" i="1" s="1"/>
  <c r="EL79" i="1" s="1"/>
  <c r="EE79" i="1"/>
  <c r="EF79" i="1" s="1"/>
  <c r="EG79" i="1" s="1"/>
  <c r="DZ79" i="1"/>
  <c r="EA79" i="1" s="1"/>
  <c r="EB79" i="1" s="1"/>
  <c r="DU79" i="1"/>
  <c r="DV79" i="1" s="1"/>
  <c r="DW79" i="1" s="1"/>
  <c r="DP79" i="1"/>
  <c r="DQ79" i="1" s="1"/>
  <c r="DR79" i="1" s="1"/>
  <c r="DK79" i="1"/>
  <c r="DL79" i="1" s="1"/>
  <c r="DM79" i="1" s="1"/>
  <c r="DF79" i="1"/>
  <c r="DG79" i="1" s="1"/>
  <c r="DH79" i="1" s="1"/>
  <c r="DA79" i="1"/>
  <c r="DB79" i="1" s="1"/>
  <c r="DC79" i="1" s="1"/>
  <c r="CV79" i="1"/>
  <c r="CW79" i="1" s="1"/>
  <c r="CX79" i="1" s="1"/>
  <c r="CQ79" i="1"/>
  <c r="CR79" i="1" s="1"/>
  <c r="CS79" i="1" s="1"/>
  <c r="CL79" i="1"/>
  <c r="CM79" i="1" s="1"/>
  <c r="CN79" i="1" s="1"/>
  <c r="CG79" i="1"/>
  <c r="CH79" i="1" s="1"/>
  <c r="CI79" i="1" s="1"/>
  <c r="CB79" i="1"/>
  <c r="CC79" i="1" s="1"/>
  <c r="CD79" i="1" s="1"/>
  <c r="BW79" i="1"/>
  <c r="BX79" i="1" s="1"/>
  <c r="BY79" i="1" s="1"/>
  <c r="BR79" i="1"/>
  <c r="BS79" i="1" s="1"/>
  <c r="BT79" i="1" s="1"/>
  <c r="BM79" i="1"/>
  <c r="BN79" i="1" s="1"/>
  <c r="BO79" i="1" s="1"/>
  <c r="BH79" i="1"/>
  <c r="BI79" i="1" s="1"/>
  <c r="BJ79" i="1" s="1"/>
  <c r="BC79" i="1"/>
  <c r="BD79" i="1" s="1"/>
  <c r="BE79" i="1" s="1"/>
  <c r="AX79" i="1"/>
  <c r="AY79" i="1" s="1"/>
  <c r="AZ79" i="1" s="1"/>
  <c r="AS79" i="1"/>
  <c r="AT79" i="1" s="1"/>
  <c r="AU79" i="1" s="1"/>
  <c r="AN79" i="1"/>
  <c r="AO79" i="1" s="1"/>
  <c r="AP79" i="1" s="1"/>
  <c r="AI79" i="1"/>
  <c r="AJ79" i="1" s="1"/>
  <c r="AK79" i="1" s="1"/>
  <c r="AD79" i="1"/>
  <c r="AE79" i="1" s="1"/>
  <c r="AF79" i="1" s="1"/>
  <c r="X79" i="1"/>
  <c r="Y79" i="1" s="1"/>
  <c r="Z79" i="1" s="1"/>
  <c r="T79" i="1"/>
  <c r="O79" i="1"/>
  <c r="J79" i="1"/>
  <c r="PZ78" i="1"/>
  <c r="PU78" i="1"/>
  <c r="PP78" i="1"/>
  <c r="PK78" i="1"/>
  <c r="PF78" i="1"/>
  <c r="PA78" i="1"/>
  <c r="OV78" i="1"/>
  <c r="OQ78" i="1"/>
  <c r="OL78" i="1"/>
  <c r="OG78" i="1"/>
  <c r="OB78" i="1"/>
  <c r="NW78" i="1"/>
  <c r="NR78" i="1"/>
  <c r="NM78" i="1"/>
  <c r="NH78" i="1"/>
  <c r="NC78" i="1"/>
  <c r="MX78" i="1"/>
  <c r="MS78" i="1"/>
  <c r="MN78" i="1"/>
  <c r="MI78" i="1"/>
  <c r="MD78" i="1"/>
  <c r="LY78" i="1"/>
  <c r="LT78" i="1"/>
  <c r="LO78" i="1"/>
  <c r="LJ78" i="1"/>
  <c r="LE78" i="1"/>
  <c r="KZ78" i="1"/>
  <c r="KS78" i="1"/>
  <c r="KT78" i="1" s="1"/>
  <c r="KU78" i="1" s="1"/>
  <c r="KP78" i="1"/>
  <c r="KK78" i="1"/>
  <c r="KF78" i="1"/>
  <c r="IZ78" i="1"/>
  <c r="JA78" i="1" s="1"/>
  <c r="JB78" i="1" s="1"/>
  <c r="IU78" i="1"/>
  <c r="IV78" i="1" s="1"/>
  <c r="IW78" i="1" s="1"/>
  <c r="IP78" i="1"/>
  <c r="IQ78" i="1" s="1"/>
  <c r="IR78" i="1" s="1"/>
  <c r="IK78" i="1"/>
  <c r="IL78" i="1" s="1"/>
  <c r="IM78" i="1" s="1"/>
  <c r="IF78" i="1"/>
  <c r="IG78" i="1" s="1"/>
  <c r="IH78" i="1" s="1"/>
  <c r="IA78" i="1"/>
  <c r="IB78" i="1" s="1"/>
  <c r="IC78" i="1" s="1"/>
  <c r="HV78" i="1"/>
  <c r="HW78" i="1" s="1"/>
  <c r="HX78" i="1" s="1"/>
  <c r="HS78" i="1"/>
  <c r="HN78" i="1"/>
  <c r="HG78" i="1"/>
  <c r="HH78" i="1" s="1"/>
  <c r="HI78" i="1" s="1"/>
  <c r="HB78" i="1"/>
  <c r="HC78" i="1" s="1"/>
  <c r="HD78" i="1" s="1"/>
  <c r="GW78" i="1"/>
  <c r="GX78" i="1" s="1"/>
  <c r="GY78" i="1" s="1"/>
  <c r="GR78" i="1"/>
  <c r="GS78" i="1" s="1"/>
  <c r="GT78" i="1" s="1"/>
  <c r="GM78" i="1"/>
  <c r="GN78" i="1" s="1"/>
  <c r="GO78" i="1" s="1"/>
  <c r="GH78" i="1"/>
  <c r="GI78" i="1" s="1"/>
  <c r="GJ78" i="1" s="1"/>
  <c r="GC78" i="1"/>
  <c r="GD78" i="1" s="1"/>
  <c r="GE78" i="1" s="1"/>
  <c r="FX78" i="1"/>
  <c r="FY78" i="1" s="1"/>
  <c r="FZ78" i="1" s="1"/>
  <c r="FS78" i="1"/>
  <c r="FT78" i="1" s="1"/>
  <c r="FU78" i="1" s="1"/>
  <c r="FN78" i="1"/>
  <c r="FO78" i="1" s="1"/>
  <c r="FP78" i="1" s="1"/>
  <c r="FI78" i="1"/>
  <c r="FJ78" i="1" s="1"/>
  <c r="FK78" i="1" s="1"/>
  <c r="FD78" i="1"/>
  <c r="FE78" i="1" s="1"/>
  <c r="FF78" i="1" s="1"/>
  <c r="EY78" i="1"/>
  <c r="EZ78" i="1" s="1"/>
  <c r="FA78" i="1" s="1"/>
  <c r="ET78" i="1"/>
  <c r="EU78" i="1" s="1"/>
  <c r="EV78" i="1" s="1"/>
  <c r="EO78" i="1"/>
  <c r="EP78" i="1" s="1"/>
  <c r="EQ78" i="1" s="1"/>
  <c r="EJ78" i="1"/>
  <c r="EK78" i="1" s="1"/>
  <c r="EL78" i="1" s="1"/>
  <c r="EE78" i="1"/>
  <c r="EF78" i="1" s="1"/>
  <c r="EG78" i="1" s="1"/>
  <c r="DZ78" i="1"/>
  <c r="EA78" i="1" s="1"/>
  <c r="EB78" i="1" s="1"/>
  <c r="DU78" i="1"/>
  <c r="DV78" i="1" s="1"/>
  <c r="DW78" i="1" s="1"/>
  <c r="DP78" i="1"/>
  <c r="DQ78" i="1" s="1"/>
  <c r="DR78" i="1" s="1"/>
  <c r="DK78" i="1"/>
  <c r="DL78" i="1" s="1"/>
  <c r="DM78" i="1" s="1"/>
  <c r="DF78" i="1"/>
  <c r="DG78" i="1" s="1"/>
  <c r="DH78" i="1" s="1"/>
  <c r="DA78" i="1"/>
  <c r="DB78" i="1" s="1"/>
  <c r="DC78" i="1" s="1"/>
  <c r="CV78" i="1"/>
  <c r="CW78" i="1" s="1"/>
  <c r="CX78" i="1" s="1"/>
  <c r="CQ78" i="1"/>
  <c r="CR78" i="1" s="1"/>
  <c r="CS78" i="1" s="1"/>
  <c r="CL78" i="1"/>
  <c r="CM78" i="1" s="1"/>
  <c r="CN78" i="1" s="1"/>
  <c r="CG78" i="1"/>
  <c r="CH78" i="1" s="1"/>
  <c r="CI78" i="1" s="1"/>
  <c r="CB78" i="1"/>
  <c r="CC78" i="1" s="1"/>
  <c r="CD78" i="1" s="1"/>
  <c r="BW78" i="1"/>
  <c r="BX78" i="1" s="1"/>
  <c r="BY78" i="1" s="1"/>
  <c r="BR78" i="1"/>
  <c r="BS78" i="1" s="1"/>
  <c r="BT78" i="1" s="1"/>
  <c r="BM78" i="1"/>
  <c r="BN78" i="1" s="1"/>
  <c r="BO78" i="1" s="1"/>
  <c r="BH78" i="1"/>
  <c r="BI78" i="1" s="1"/>
  <c r="BJ78" i="1" s="1"/>
  <c r="BC78" i="1"/>
  <c r="BD78" i="1" s="1"/>
  <c r="BE78" i="1" s="1"/>
  <c r="AX78" i="1"/>
  <c r="AY78" i="1" s="1"/>
  <c r="AZ78" i="1" s="1"/>
  <c r="AS78" i="1"/>
  <c r="AT78" i="1" s="1"/>
  <c r="AU78" i="1" s="1"/>
  <c r="AN78" i="1"/>
  <c r="AO78" i="1" s="1"/>
  <c r="AP78" i="1" s="1"/>
  <c r="AI78" i="1"/>
  <c r="AJ78" i="1" s="1"/>
  <c r="AK78" i="1" s="1"/>
  <c r="AD78" i="1"/>
  <c r="AE78" i="1" s="1"/>
  <c r="AF78" i="1" s="1"/>
  <c r="X78" i="1"/>
  <c r="Y78" i="1" s="1"/>
  <c r="Z78" i="1" s="1"/>
  <c r="R78" i="1"/>
  <c r="S78" i="1" s="1"/>
  <c r="T78" i="1" s="1"/>
  <c r="O78" i="1"/>
  <c r="J78" i="1"/>
  <c r="PZ77" i="1"/>
  <c r="PU77" i="1"/>
  <c r="PP77" i="1"/>
  <c r="PK77" i="1"/>
  <c r="PF77" i="1"/>
  <c r="PA77" i="1"/>
  <c r="OV77" i="1"/>
  <c r="OQ77" i="1"/>
  <c r="OL77" i="1"/>
  <c r="OG77" i="1"/>
  <c r="OB77" i="1"/>
  <c r="NW77" i="1"/>
  <c r="NR77" i="1"/>
  <c r="NM77" i="1"/>
  <c r="NH77" i="1"/>
  <c r="NC77" i="1"/>
  <c r="MX77" i="1"/>
  <c r="MS77" i="1"/>
  <c r="MN77" i="1"/>
  <c r="MI77" i="1"/>
  <c r="MD77" i="1"/>
  <c r="LY77" i="1"/>
  <c r="LT77" i="1"/>
  <c r="LO77" i="1"/>
  <c r="LJ77" i="1"/>
  <c r="LE77" i="1"/>
  <c r="KZ77" i="1"/>
  <c r="KU77" i="1"/>
  <c r="KP77" i="1"/>
  <c r="KK77" i="1"/>
  <c r="KF77" i="1"/>
  <c r="IZ77" i="1"/>
  <c r="JA77" i="1" s="1"/>
  <c r="JB77" i="1" s="1"/>
  <c r="IU77" i="1"/>
  <c r="IV77" i="1" s="1"/>
  <c r="IW77" i="1" s="1"/>
  <c r="IP77" i="1"/>
  <c r="IQ77" i="1" s="1"/>
  <c r="IR77" i="1" s="1"/>
  <c r="IK77" i="1"/>
  <c r="IL77" i="1" s="1"/>
  <c r="IM77" i="1" s="1"/>
  <c r="IF77" i="1"/>
  <c r="IG77" i="1" s="1"/>
  <c r="IH77" i="1" s="1"/>
  <c r="IA77" i="1"/>
  <c r="IB77" i="1" s="1"/>
  <c r="IC77" i="1" s="1"/>
  <c r="HV77" i="1"/>
  <c r="HW77" i="1" s="1"/>
  <c r="HX77" i="1" s="1"/>
  <c r="HQ77" i="1"/>
  <c r="HR77" i="1" s="1"/>
  <c r="HS77" i="1" s="1"/>
  <c r="HL77" i="1"/>
  <c r="HM77" i="1" s="1"/>
  <c r="HN77" i="1" s="1"/>
  <c r="HG77" i="1"/>
  <c r="HH77" i="1" s="1"/>
  <c r="HI77" i="1" s="1"/>
  <c r="HB77" i="1"/>
  <c r="HC77" i="1" s="1"/>
  <c r="HD77" i="1" s="1"/>
  <c r="GW77" i="1"/>
  <c r="GX77" i="1" s="1"/>
  <c r="GY77" i="1" s="1"/>
  <c r="GR77" i="1"/>
  <c r="GS77" i="1" s="1"/>
  <c r="GT77" i="1" s="1"/>
  <c r="GM77" i="1"/>
  <c r="GN77" i="1" s="1"/>
  <c r="GO77" i="1" s="1"/>
  <c r="GH77" i="1"/>
  <c r="GI77" i="1" s="1"/>
  <c r="GJ77" i="1" s="1"/>
  <c r="GC77" i="1"/>
  <c r="GD77" i="1" s="1"/>
  <c r="GE77" i="1" s="1"/>
  <c r="FX77" i="1"/>
  <c r="FY77" i="1" s="1"/>
  <c r="FZ77" i="1" s="1"/>
  <c r="FS77" i="1"/>
  <c r="FT77" i="1" s="1"/>
  <c r="FU77" i="1" s="1"/>
  <c r="FN77" i="1"/>
  <c r="FO77" i="1" s="1"/>
  <c r="FP77" i="1" s="1"/>
  <c r="FI77" i="1"/>
  <c r="FJ77" i="1" s="1"/>
  <c r="FK77" i="1" s="1"/>
  <c r="FD77" i="1"/>
  <c r="FE77" i="1" s="1"/>
  <c r="FF77" i="1" s="1"/>
  <c r="EY77" i="1"/>
  <c r="EZ77" i="1" s="1"/>
  <c r="FA77" i="1" s="1"/>
  <c r="ET77" i="1"/>
  <c r="EU77" i="1" s="1"/>
  <c r="EV77" i="1" s="1"/>
  <c r="EO77" i="1"/>
  <c r="EP77" i="1" s="1"/>
  <c r="EQ77" i="1" s="1"/>
  <c r="EJ77" i="1"/>
  <c r="EK77" i="1" s="1"/>
  <c r="EL77" i="1" s="1"/>
  <c r="EE77" i="1"/>
  <c r="EF77" i="1" s="1"/>
  <c r="EG77" i="1" s="1"/>
  <c r="DZ77" i="1"/>
  <c r="EA77" i="1" s="1"/>
  <c r="EB77" i="1" s="1"/>
  <c r="DU77" i="1"/>
  <c r="DV77" i="1" s="1"/>
  <c r="DW77" i="1" s="1"/>
  <c r="DP77" i="1"/>
  <c r="DQ77" i="1" s="1"/>
  <c r="DR77" i="1" s="1"/>
  <c r="DK77" i="1"/>
  <c r="DL77" i="1" s="1"/>
  <c r="DM77" i="1" s="1"/>
  <c r="DF77" i="1"/>
  <c r="DG77" i="1" s="1"/>
  <c r="DH77" i="1" s="1"/>
  <c r="DA77" i="1"/>
  <c r="DB77" i="1" s="1"/>
  <c r="DC77" i="1" s="1"/>
  <c r="CV77" i="1"/>
  <c r="CW77" i="1" s="1"/>
  <c r="CX77" i="1" s="1"/>
  <c r="CQ77" i="1"/>
  <c r="CR77" i="1" s="1"/>
  <c r="CS77" i="1" s="1"/>
  <c r="CL77" i="1"/>
  <c r="CM77" i="1" s="1"/>
  <c r="CN77" i="1" s="1"/>
  <c r="CG77" i="1"/>
  <c r="CH77" i="1" s="1"/>
  <c r="CI77" i="1" s="1"/>
  <c r="CB77" i="1"/>
  <c r="CC77" i="1" s="1"/>
  <c r="CD77" i="1" s="1"/>
  <c r="BW77" i="1"/>
  <c r="BX77" i="1" s="1"/>
  <c r="BY77" i="1" s="1"/>
  <c r="BR77" i="1"/>
  <c r="BS77" i="1" s="1"/>
  <c r="BT77" i="1" s="1"/>
  <c r="BM77" i="1"/>
  <c r="BN77" i="1" s="1"/>
  <c r="BO77" i="1" s="1"/>
  <c r="BH77" i="1"/>
  <c r="BI77" i="1" s="1"/>
  <c r="BJ77" i="1" s="1"/>
  <c r="BC77" i="1"/>
  <c r="BD77" i="1" s="1"/>
  <c r="BE77" i="1" s="1"/>
  <c r="AX77" i="1"/>
  <c r="AY77" i="1" s="1"/>
  <c r="AZ77" i="1" s="1"/>
  <c r="AS77" i="1"/>
  <c r="AT77" i="1" s="1"/>
  <c r="AU77" i="1" s="1"/>
  <c r="AN77" i="1"/>
  <c r="AO77" i="1" s="1"/>
  <c r="AP77" i="1" s="1"/>
  <c r="AI77" i="1"/>
  <c r="AJ77" i="1" s="1"/>
  <c r="AK77" i="1" s="1"/>
  <c r="AD77" i="1"/>
  <c r="AE77" i="1" s="1"/>
  <c r="AF77" i="1" s="1"/>
  <c r="X77" i="1"/>
  <c r="Y77" i="1" s="1"/>
  <c r="Z77" i="1" s="1"/>
  <c r="T77" i="1"/>
  <c r="O77" i="1"/>
  <c r="J77" i="1"/>
  <c r="PZ76" i="1"/>
  <c r="PU76" i="1"/>
  <c r="PP76" i="1"/>
  <c r="PK76" i="1"/>
  <c r="PF76" i="1"/>
  <c r="PA76" i="1"/>
  <c r="OV76" i="1"/>
  <c r="OQ76" i="1"/>
  <c r="OL76" i="1"/>
  <c r="OG76" i="1"/>
  <c r="OB76" i="1"/>
  <c r="NW76" i="1"/>
  <c r="NR76" i="1"/>
  <c r="NM76" i="1"/>
  <c r="NH76" i="1"/>
  <c r="NC76" i="1"/>
  <c r="MX76" i="1"/>
  <c r="MS76" i="1"/>
  <c r="MN76" i="1"/>
  <c r="MI76" i="1"/>
  <c r="MD76" i="1"/>
  <c r="LY76" i="1"/>
  <c r="LT76" i="1"/>
  <c r="LO76" i="1"/>
  <c r="LJ76" i="1"/>
  <c r="LE76" i="1"/>
  <c r="KX76" i="1"/>
  <c r="KY76" i="1" s="1"/>
  <c r="KZ76" i="1" s="1"/>
  <c r="KS76" i="1"/>
  <c r="KT76" i="1" s="1"/>
  <c r="KU76" i="1" s="1"/>
  <c r="KP76" i="1"/>
  <c r="KK76" i="1"/>
  <c r="KF76" i="1"/>
  <c r="IZ76" i="1"/>
  <c r="JA76" i="1" s="1"/>
  <c r="JB76" i="1" s="1"/>
  <c r="IU76" i="1"/>
  <c r="IV76" i="1" s="1"/>
  <c r="IW76" i="1" s="1"/>
  <c r="IP76" i="1"/>
  <c r="IQ76" i="1" s="1"/>
  <c r="IR76" i="1" s="1"/>
  <c r="IK76" i="1"/>
  <c r="IL76" i="1" s="1"/>
  <c r="IM76" i="1" s="1"/>
  <c r="IF76" i="1"/>
  <c r="IG76" i="1" s="1"/>
  <c r="IH76" i="1" s="1"/>
  <c r="IA76" i="1"/>
  <c r="IB76" i="1" s="1"/>
  <c r="IC76" i="1" s="1"/>
  <c r="HV76" i="1"/>
  <c r="HW76" i="1" s="1"/>
  <c r="HX76" i="1" s="1"/>
  <c r="HQ76" i="1"/>
  <c r="HR76" i="1" s="1"/>
  <c r="HS76" i="1" s="1"/>
  <c r="HL76" i="1"/>
  <c r="HM76" i="1" s="1"/>
  <c r="HN76" i="1" s="1"/>
  <c r="HG76" i="1"/>
  <c r="HH76" i="1" s="1"/>
  <c r="HI76" i="1" s="1"/>
  <c r="HB76" i="1"/>
  <c r="HC76" i="1" s="1"/>
  <c r="HD76" i="1" s="1"/>
  <c r="GW76" i="1"/>
  <c r="GX76" i="1" s="1"/>
  <c r="GY76" i="1" s="1"/>
  <c r="GR76" i="1"/>
  <c r="GS76" i="1" s="1"/>
  <c r="GT76" i="1" s="1"/>
  <c r="GM76" i="1"/>
  <c r="GN76" i="1" s="1"/>
  <c r="GO76" i="1" s="1"/>
  <c r="GH76" i="1"/>
  <c r="GI76" i="1" s="1"/>
  <c r="GJ76" i="1" s="1"/>
  <c r="GC76" i="1"/>
  <c r="GD76" i="1" s="1"/>
  <c r="GE76" i="1" s="1"/>
  <c r="FX76" i="1"/>
  <c r="FY76" i="1" s="1"/>
  <c r="FZ76" i="1" s="1"/>
  <c r="FS76" i="1"/>
  <c r="FT76" i="1" s="1"/>
  <c r="FU76" i="1" s="1"/>
  <c r="FN76" i="1"/>
  <c r="FO76" i="1" s="1"/>
  <c r="FP76" i="1" s="1"/>
  <c r="FI76" i="1"/>
  <c r="FJ76" i="1" s="1"/>
  <c r="FK76" i="1" s="1"/>
  <c r="FD76" i="1"/>
  <c r="FE76" i="1" s="1"/>
  <c r="FF76" i="1" s="1"/>
  <c r="EY76" i="1"/>
  <c r="EZ76" i="1" s="1"/>
  <c r="FA76" i="1" s="1"/>
  <c r="ET76" i="1"/>
  <c r="EU76" i="1" s="1"/>
  <c r="EV76" i="1" s="1"/>
  <c r="EO76" i="1"/>
  <c r="EP76" i="1" s="1"/>
  <c r="EQ76" i="1" s="1"/>
  <c r="EJ76" i="1"/>
  <c r="EK76" i="1" s="1"/>
  <c r="EL76" i="1" s="1"/>
  <c r="EE76" i="1"/>
  <c r="EF76" i="1" s="1"/>
  <c r="EG76" i="1" s="1"/>
  <c r="DZ76" i="1"/>
  <c r="EA76" i="1" s="1"/>
  <c r="EB76" i="1" s="1"/>
  <c r="DU76" i="1"/>
  <c r="DV76" i="1" s="1"/>
  <c r="DW76" i="1" s="1"/>
  <c r="DP76" i="1"/>
  <c r="DQ76" i="1" s="1"/>
  <c r="DR76" i="1" s="1"/>
  <c r="DK76" i="1"/>
  <c r="DL76" i="1" s="1"/>
  <c r="DM76" i="1" s="1"/>
  <c r="DF76" i="1"/>
  <c r="DG76" i="1" s="1"/>
  <c r="DH76" i="1" s="1"/>
  <c r="DA76" i="1"/>
  <c r="DB76" i="1" s="1"/>
  <c r="DC76" i="1" s="1"/>
  <c r="CV76" i="1"/>
  <c r="CW76" i="1" s="1"/>
  <c r="CX76" i="1" s="1"/>
  <c r="CQ76" i="1"/>
  <c r="CR76" i="1" s="1"/>
  <c r="CS76" i="1" s="1"/>
  <c r="CL76" i="1"/>
  <c r="CM76" i="1" s="1"/>
  <c r="CN76" i="1" s="1"/>
  <c r="CG76" i="1"/>
  <c r="CH76" i="1" s="1"/>
  <c r="CI76" i="1" s="1"/>
  <c r="CB76" i="1"/>
  <c r="CC76" i="1" s="1"/>
  <c r="CD76" i="1" s="1"/>
  <c r="BW76" i="1"/>
  <c r="BX76" i="1" s="1"/>
  <c r="BY76" i="1" s="1"/>
  <c r="BR76" i="1"/>
  <c r="BS76" i="1" s="1"/>
  <c r="BT76" i="1" s="1"/>
  <c r="BM76" i="1"/>
  <c r="BN76" i="1" s="1"/>
  <c r="BO76" i="1" s="1"/>
  <c r="BH76" i="1"/>
  <c r="BI76" i="1" s="1"/>
  <c r="BJ76" i="1" s="1"/>
  <c r="BC76" i="1"/>
  <c r="BD76" i="1" s="1"/>
  <c r="BE76" i="1" s="1"/>
  <c r="AX76" i="1"/>
  <c r="AY76" i="1" s="1"/>
  <c r="AZ76" i="1" s="1"/>
  <c r="AS76" i="1"/>
  <c r="AT76" i="1" s="1"/>
  <c r="AU76" i="1" s="1"/>
  <c r="AN76" i="1"/>
  <c r="AO76" i="1" s="1"/>
  <c r="AP76" i="1" s="1"/>
  <c r="AI76" i="1"/>
  <c r="AJ76" i="1" s="1"/>
  <c r="AK76" i="1" s="1"/>
  <c r="AD76" i="1"/>
  <c r="AE76" i="1" s="1"/>
  <c r="AF76" i="1" s="1"/>
  <c r="X76" i="1"/>
  <c r="Y76" i="1" s="1"/>
  <c r="Z76" i="1" s="1"/>
  <c r="T76" i="1"/>
  <c r="O76" i="1"/>
  <c r="J76" i="1"/>
  <c r="PZ75" i="1"/>
  <c r="PU75" i="1"/>
  <c r="PP75" i="1"/>
  <c r="PK75" i="1"/>
  <c r="PF75" i="1"/>
  <c r="PA75" i="1"/>
  <c r="OV75" i="1"/>
  <c r="OQ75" i="1"/>
  <c r="OL75" i="1"/>
  <c r="OG75" i="1"/>
  <c r="OB75" i="1"/>
  <c r="NW75" i="1"/>
  <c r="NR75" i="1"/>
  <c r="NK75" i="1"/>
  <c r="NL75" i="1" s="1"/>
  <c r="NM75" i="1" s="1"/>
  <c r="NF75" i="1"/>
  <c r="NG75" i="1" s="1"/>
  <c r="NH75" i="1" s="1"/>
  <c r="NA75" i="1"/>
  <c r="NB75" i="1" s="1"/>
  <c r="NC75" i="1" s="1"/>
  <c r="MX75" i="1"/>
  <c r="MS75" i="1"/>
  <c r="MN75" i="1"/>
  <c r="MI75" i="1"/>
  <c r="MB75" i="1"/>
  <c r="MC75" i="1" s="1"/>
  <c r="MD75" i="1" s="1"/>
  <c r="LW75" i="1"/>
  <c r="LX75" i="1" s="1"/>
  <c r="LY75" i="1" s="1"/>
  <c r="LT75" i="1"/>
  <c r="LO75" i="1"/>
  <c r="LH75" i="1"/>
  <c r="LI75" i="1" s="1"/>
  <c r="LJ75" i="1" s="1"/>
  <c r="LC75" i="1"/>
  <c r="LD75" i="1" s="1"/>
  <c r="LE75" i="1" s="1"/>
  <c r="KX75" i="1"/>
  <c r="KY75" i="1" s="1"/>
  <c r="KZ75" i="1" s="1"/>
  <c r="KU75" i="1"/>
  <c r="KP75" i="1"/>
  <c r="KK75" i="1"/>
  <c r="KF75" i="1"/>
  <c r="IZ75" i="1"/>
  <c r="JA75" i="1" s="1"/>
  <c r="JB75" i="1" s="1"/>
  <c r="IU75" i="1"/>
  <c r="IV75" i="1" s="1"/>
  <c r="IW75" i="1" s="1"/>
  <c r="IP75" i="1"/>
  <c r="IQ75" i="1" s="1"/>
  <c r="IR75" i="1" s="1"/>
  <c r="IK75" i="1"/>
  <c r="IL75" i="1" s="1"/>
  <c r="IM75" i="1" s="1"/>
  <c r="IF75" i="1"/>
  <c r="IG75" i="1" s="1"/>
  <c r="IH75" i="1" s="1"/>
  <c r="IA75" i="1"/>
  <c r="IB75" i="1" s="1"/>
  <c r="IC75" i="1" s="1"/>
  <c r="HV75" i="1"/>
  <c r="HW75" i="1" s="1"/>
  <c r="HX75" i="1" s="1"/>
  <c r="HQ75" i="1"/>
  <c r="HR75" i="1" s="1"/>
  <c r="HS75" i="1" s="1"/>
  <c r="HL75" i="1"/>
  <c r="HM75" i="1" s="1"/>
  <c r="HN75" i="1" s="1"/>
  <c r="HG75" i="1"/>
  <c r="HH75" i="1" s="1"/>
  <c r="HI75" i="1" s="1"/>
  <c r="HB75" i="1"/>
  <c r="HC75" i="1" s="1"/>
  <c r="HD75" i="1" s="1"/>
  <c r="GW75" i="1"/>
  <c r="GX75" i="1" s="1"/>
  <c r="GY75" i="1" s="1"/>
  <c r="GR75" i="1"/>
  <c r="GS75" i="1" s="1"/>
  <c r="GT75" i="1" s="1"/>
  <c r="GM75" i="1"/>
  <c r="GN75" i="1" s="1"/>
  <c r="GO75" i="1" s="1"/>
  <c r="GH75" i="1"/>
  <c r="GI75" i="1" s="1"/>
  <c r="GJ75" i="1" s="1"/>
  <c r="GC75" i="1"/>
  <c r="GD75" i="1" s="1"/>
  <c r="GE75" i="1" s="1"/>
  <c r="FX75" i="1"/>
  <c r="FY75" i="1" s="1"/>
  <c r="FZ75" i="1" s="1"/>
  <c r="FS75" i="1"/>
  <c r="FT75" i="1" s="1"/>
  <c r="FU75" i="1" s="1"/>
  <c r="FN75" i="1"/>
  <c r="FO75" i="1" s="1"/>
  <c r="FP75" i="1" s="1"/>
  <c r="FI75" i="1"/>
  <c r="FJ75" i="1" s="1"/>
  <c r="FK75" i="1" s="1"/>
  <c r="FD75" i="1"/>
  <c r="FE75" i="1" s="1"/>
  <c r="FF75" i="1" s="1"/>
  <c r="EY75" i="1"/>
  <c r="EZ75" i="1" s="1"/>
  <c r="FA75" i="1" s="1"/>
  <c r="ET75" i="1"/>
  <c r="EU75" i="1" s="1"/>
  <c r="EV75" i="1" s="1"/>
  <c r="EO75" i="1"/>
  <c r="EP75" i="1" s="1"/>
  <c r="EQ75" i="1" s="1"/>
  <c r="EJ75" i="1"/>
  <c r="EK75" i="1" s="1"/>
  <c r="EL75" i="1" s="1"/>
  <c r="EE75" i="1"/>
  <c r="EF75" i="1" s="1"/>
  <c r="EG75" i="1" s="1"/>
  <c r="DZ75" i="1"/>
  <c r="EA75" i="1" s="1"/>
  <c r="EB75" i="1" s="1"/>
  <c r="DU75" i="1"/>
  <c r="DV75" i="1" s="1"/>
  <c r="DW75" i="1" s="1"/>
  <c r="DP75" i="1"/>
  <c r="DQ75" i="1" s="1"/>
  <c r="DR75" i="1" s="1"/>
  <c r="DK75" i="1"/>
  <c r="DL75" i="1" s="1"/>
  <c r="DM75" i="1" s="1"/>
  <c r="DF75" i="1"/>
  <c r="DG75" i="1" s="1"/>
  <c r="DH75" i="1" s="1"/>
  <c r="DA75" i="1"/>
  <c r="DB75" i="1" s="1"/>
  <c r="DC75" i="1" s="1"/>
  <c r="CV75" i="1"/>
  <c r="CW75" i="1" s="1"/>
  <c r="CX75" i="1" s="1"/>
  <c r="CQ75" i="1"/>
  <c r="CR75" i="1" s="1"/>
  <c r="CS75" i="1" s="1"/>
  <c r="CL75" i="1"/>
  <c r="CM75" i="1" s="1"/>
  <c r="CN75" i="1" s="1"/>
  <c r="CG75" i="1"/>
  <c r="CH75" i="1" s="1"/>
  <c r="CI75" i="1" s="1"/>
  <c r="CB75" i="1"/>
  <c r="CC75" i="1" s="1"/>
  <c r="CD75" i="1" s="1"/>
  <c r="BW75" i="1"/>
  <c r="BX75" i="1" s="1"/>
  <c r="BY75" i="1" s="1"/>
  <c r="BR75" i="1"/>
  <c r="BS75" i="1" s="1"/>
  <c r="BT75" i="1" s="1"/>
  <c r="BM75" i="1"/>
  <c r="BN75" i="1" s="1"/>
  <c r="BO75" i="1" s="1"/>
  <c r="BH75" i="1"/>
  <c r="BI75" i="1" s="1"/>
  <c r="BJ75" i="1" s="1"/>
  <c r="BC75" i="1"/>
  <c r="BD75" i="1" s="1"/>
  <c r="BE75" i="1" s="1"/>
  <c r="AX75" i="1"/>
  <c r="AY75" i="1" s="1"/>
  <c r="AZ75" i="1" s="1"/>
  <c r="AS75" i="1"/>
  <c r="AT75" i="1" s="1"/>
  <c r="AU75" i="1" s="1"/>
  <c r="AN75" i="1"/>
  <c r="AO75" i="1" s="1"/>
  <c r="AP75" i="1" s="1"/>
  <c r="AI75" i="1"/>
  <c r="AJ75" i="1" s="1"/>
  <c r="AK75" i="1" s="1"/>
  <c r="AD75" i="1"/>
  <c r="AE75" i="1" s="1"/>
  <c r="AF75" i="1" s="1"/>
  <c r="X75" i="1"/>
  <c r="Y75" i="1" s="1"/>
  <c r="Z75" i="1" s="1"/>
  <c r="T75" i="1"/>
  <c r="O75" i="1"/>
  <c r="J75" i="1"/>
  <c r="PZ74" i="1"/>
  <c r="PU74" i="1"/>
  <c r="PP74" i="1"/>
  <c r="PK74" i="1"/>
  <c r="PF74" i="1"/>
  <c r="PA74" i="1"/>
  <c r="OV74" i="1"/>
  <c r="OQ74" i="1"/>
  <c r="OL74" i="1"/>
  <c r="OG74" i="1"/>
  <c r="OB74" i="1"/>
  <c r="NW74" i="1"/>
  <c r="NR74" i="1"/>
  <c r="NM74" i="1"/>
  <c r="NH74" i="1"/>
  <c r="NC74" i="1"/>
  <c r="MX74" i="1"/>
  <c r="MS74" i="1"/>
  <c r="MN74" i="1"/>
  <c r="MI74" i="1"/>
  <c r="MD74" i="1"/>
  <c r="LY74" i="1"/>
  <c r="LT74" i="1"/>
  <c r="LO74" i="1"/>
  <c r="LJ74" i="1"/>
  <c r="LC74" i="1"/>
  <c r="LD74" i="1" s="1"/>
  <c r="LE74" i="1" s="1"/>
  <c r="KX74" i="1"/>
  <c r="KY74" i="1" s="1"/>
  <c r="KZ74" i="1" s="1"/>
  <c r="KS74" i="1"/>
  <c r="KT74" i="1" s="1"/>
  <c r="KU74" i="1" s="1"/>
  <c r="KP74" i="1"/>
  <c r="KK74" i="1"/>
  <c r="KF74" i="1"/>
  <c r="IZ74" i="1"/>
  <c r="JA74" i="1" s="1"/>
  <c r="JB74" i="1" s="1"/>
  <c r="IU74" i="1"/>
  <c r="IV74" i="1" s="1"/>
  <c r="IW74" i="1" s="1"/>
  <c r="IP74" i="1"/>
  <c r="IQ74" i="1" s="1"/>
  <c r="IR74" i="1" s="1"/>
  <c r="IK74" i="1"/>
  <c r="IL74" i="1" s="1"/>
  <c r="IM74" i="1" s="1"/>
  <c r="IF74" i="1"/>
  <c r="IG74" i="1" s="1"/>
  <c r="IH74" i="1" s="1"/>
  <c r="IA74" i="1"/>
  <c r="IB74" i="1" s="1"/>
  <c r="IC74" i="1" s="1"/>
  <c r="HV74" i="1"/>
  <c r="HW74" i="1" s="1"/>
  <c r="HX74" i="1" s="1"/>
  <c r="HS74" i="1"/>
  <c r="HN74" i="1"/>
  <c r="HG74" i="1"/>
  <c r="HH74" i="1" s="1"/>
  <c r="HI74" i="1" s="1"/>
  <c r="HB74" i="1"/>
  <c r="HC74" i="1" s="1"/>
  <c r="HD74" i="1" s="1"/>
  <c r="GW74" i="1"/>
  <c r="GX74" i="1" s="1"/>
  <c r="GY74" i="1" s="1"/>
  <c r="GR74" i="1"/>
  <c r="GS74" i="1" s="1"/>
  <c r="GT74" i="1" s="1"/>
  <c r="GM74" i="1"/>
  <c r="GN74" i="1" s="1"/>
  <c r="GO74" i="1" s="1"/>
  <c r="GH74" i="1"/>
  <c r="GI74" i="1" s="1"/>
  <c r="GJ74" i="1" s="1"/>
  <c r="GC74" i="1"/>
  <c r="GD74" i="1" s="1"/>
  <c r="GE74" i="1" s="1"/>
  <c r="FX74" i="1"/>
  <c r="FY74" i="1" s="1"/>
  <c r="FZ74" i="1" s="1"/>
  <c r="FS74" i="1"/>
  <c r="FT74" i="1" s="1"/>
  <c r="FU74" i="1" s="1"/>
  <c r="FN74" i="1"/>
  <c r="FO74" i="1" s="1"/>
  <c r="FP74" i="1" s="1"/>
  <c r="FI74" i="1"/>
  <c r="FJ74" i="1" s="1"/>
  <c r="FK74" i="1" s="1"/>
  <c r="FD74" i="1"/>
  <c r="FE74" i="1" s="1"/>
  <c r="FF74" i="1" s="1"/>
  <c r="EY74" i="1"/>
  <c r="EZ74" i="1" s="1"/>
  <c r="FA74" i="1" s="1"/>
  <c r="ET74" i="1"/>
  <c r="EU74" i="1" s="1"/>
  <c r="EV74" i="1" s="1"/>
  <c r="EO74" i="1"/>
  <c r="EP74" i="1" s="1"/>
  <c r="EQ74" i="1" s="1"/>
  <c r="EJ74" i="1"/>
  <c r="EK74" i="1" s="1"/>
  <c r="EL74" i="1" s="1"/>
  <c r="EE74" i="1"/>
  <c r="EF74" i="1" s="1"/>
  <c r="EG74" i="1" s="1"/>
  <c r="DZ74" i="1"/>
  <c r="EA74" i="1" s="1"/>
  <c r="EB74" i="1" s="1"/>
  <c r="DU74" i="1"/>
  <c r="DV74" i="1" s="1"/>
  <c r="DW74" i="1" s="1"/>
  <c r="DP74" i="1"/>
  <c r="DQ74" i="1" s="1"/>
  <c r="DR74" i="1" s="1"/>
  <c r="DK74" i="1"/>
  <c r="DL74" i="1" s="1"/>
  <c r="DM74" i="1" s="1"/>
  <c r="DF74" i="1"/>
  <c r="DG74" i="1" s="1"/>
  <c r="DH74" i="1" s="1"/>
  <c r="DA74" i="1"/>
  <c r="DB74" i="1" s="1"/>
  <c r="DC74" i="1" s="1"/>
  <c r="CV74" i="1"/>
  <c r="CW74" i="1" s="1"/>
  <c r="CX74" i="1" s="1"/>
  <c r="CQ74" i="1"/>
  <c r="CR74" i="1" s="1"/>
  <c r="CS74" i="1" s="1"/>
  <c r="CL74" i="1"/>
  <c r="CM74" i="1" s="1"/>
  <c r="CN74" i="1" s="1"/>
  <c r="CG74" i="1"/>
  <c r="CH74" i="1" s="1"/>
  <c r="CI74" i="1" s="1"/>
  <c r="CB74" i="1"/>
  <c r="CC74" i="1" s="1"/>
  <c r="CD74" i="1" s="1"/>
  <c r="BW74" i="1"/>
  <c r="BX74" i="1" s="1"/>
  <c r="BY74" i="1" s="1"/>
  <c r="BR74" i="1"/>
  <c r="BS74" i="1" s="1"/>
  <c r="BT74" i="1" s="1"/>
  <c r="BM74" i="1"/>
  <c r="BN74" i="1" s="1"/>
  <c r="BO74" i="1" s="1"/>
  <c r="BH74" i="1"/>
  <c r="BI74" i="1" s="1"/>
  <c r="BJ74" i="1" s="1"/>
  <c r="BC74" i="1"/>
  <c r="BD74" i="1" s="1"/>
  <c r="BE74" i="1" s="1"/>
  <c r="AX74" i="1"/>
  <c r="AY74" i="1" s="1"/>
  <c r="AZ74" i="1" s="1"/>
  <c r="AS74" i="1"/>
  <c r="AT74" i="1" s="1"/>
  <c r="AU74" i="1" s="1"/>
  <c r="AN74" i="1"/>
  <c r="AO74" i="1" s="1"/>
  <c r="AP74" i="1" s="1"/>
  <c r="AI74" i="1"/>
  <c r="AJ74" i="1" s="1"/>
  <c r="AK74" i="1" s="1"/>
  <c r="AD74" i="1"/>
  <c r="AE74" i="1" s="1"/>
  <c r="AF74" i="1" s="1"/>
  <c r="X74" i="1"/>
  <c r="Y74" i="1" s="1"/>
  <c r="Z74" i="1" s="1"/>
  <c r="R74" i="1"/>
  <c r="S74" i="1" s="1"/>
  <c r="T74" i="1" s="1"/>
  <c r="O74" i="1"/>
  <c r="J74" i="1"/>
  <c r="PZ73" i="1"/>
  <c r="PU73" i="1"/>
  <c r="PP73" i="1"/>
  <c r="PK73" i="1"/>
  <c r="PF73" i="1"/>
  <c r="PA73" i="1"/>
  <c r="OV73" i="1"/>
  <c r="OQ73" i="1"/>
  <c r="OL73" i="1"/>
  <c r="OG73" i="1"/>
  <c r="OB73" i="1"/>
  <c r="NW73" i="1"/>
  <c r="NR73" i="1"/>
  <c r="NM73" i="1"/>
  <c r="NH73" i="1"/>
  <c r="NC73" i="1"/>
  <c r="MX73" i="1"/>
  <c r="MS73" i="1"/>
  <c r="MN73" i="1"/>
  <c r="MI73" i="1"/>
  <c r="MD73" i="1"/>
  <c r="LY73" i="1"/>
  <c r="LT73" i="1"/>
  <c r="LO73" i="1"/>
  <c r="LJ73" i="1"/>
  <c r="LE73" i="1"/>
  <c r="KZ73" i="1"/>
  <c r="KU73" i="1"/>
  <c r="KP73" i="1"/>
  <c r="KK73" i="1"/>
  <c r="KF73" i="1"/>
  <c r="JB73" i="1"/>
  <c r="IW73" i="1"/>
  <c r="IR73" i="1"/>
  <c r="IM73" i="1"/>
  <c r="IH73" i="1"/>
  <c r="IC73" i="1"/>
  <c r="HX73" i="1"/>
  <c r="HS73" i="1"/>
  <c r="HN73" i="1"/>
  <c r="HI73" i="1"/>
  <c r="HD73" i="1"/>
  <c r="GY73" i="1"/>
  <c r="GT73" i="1"/>
  <c r="GM73" i="1"/>
  <c r="GN73" i="1" s="1"/>
  <c r="GO73" i="1" s="1"/>
  <c r="GH73" i="1"/>
  <c r="GI73" i="1" s="1"/>
  <c r="GJ73" i="1" s="1"/>
  <c r="GC73" i="1"/>
  <c r="GD73" i="1" s="1"/>
  <c r="GE73" i="1" s="1"/>
  <c r="FX73" i="1"/>
  <c r="FY73" i="1" s="1"/>
  <c r="FZ73" i="1" s="1"/>
  <c r="FS73" i="1"/>
  <c r="FT73" i="1" s="1"/>
  <c r="FU73" i="1" s="1"/>
  <c r="FN73" i="1"/>
  <c r="FO73" i="1" s="1"/>
  <c r="FP73" i="1" s="1"/>
  <c r="FI73" i="1"/>
  <c r="FJ73" i="1" s="1"/>
  <c r="FK73" i="1" s="1"/>
  <c r="FD73" i="1"/>
  <c r="FE73" i="1" s="1"/>
  <c r="FF73" i="1" s="1"/>
  <c r="EY73" i="1"/>
  <c r="EZ73" i="1" s="1"/>
  <c r="FA73" i="1" s="1"/>
  <c r="ET73" i="1"/>
  <c r="EU73" i="1" s="1"/>
  <c r="EV73" i="1" s="1"/>
  <c r="EO73" i="1"/>
  <c r="EP73" i="1" s="1"/>
  <c r="EQ73" i="1" s="1"/>
  <c r="EJ73" i="1"/>
  <c r="EK73" i="1" s="1"/>
  <c r="EL73" i="1" s="1"/>
  <c r="EE73" i="1"/>
  <c r="EF73" i="1" s="1"/>
  <c r="EG73" i="1" s="1"/>
  <c r="DZ73" i="1"/>
  <c r="EA73" i="1" s="1"/>
  <c r="EB73" i="1" s="1"/>
  <c r="DU73" i="1"/>
  <c r="DV73" i="1" s="1"/>
  <c r="DW73" i="1" s="1"/>
  <c r="DP73" i="1"/>
  <c r="DQ73" i="1" s="1"/>
  <c r="DR73" i="1" s="1"/>
  <c r="DK73" i="1"/>
  <c r="DL73" i="1" s="1"/>
  <c r="DM73" i="1" s="1"/>
  <c r="DF73" i="1"/>
  <c r="DG73" i="1" s="1"/>
  <c r="DH73" i="1" s="1"/>
  <c r="DA73" i="1"/>
  <c r="DB73" i="1" s="1"/>
  <c r="DC73" i="1" s="1"/>
  <c r="CV73" i="1"/>
  <c r="CW73" i="1" s="1"/>
  <c r="CX73" i="1" s="1"/>
  <c r="CQ73" i="1"/>
  <c r="CR73" i="1" s="1"/>
  <c r="CS73" i="1" s="1"/>
  <c r="CL73" i="1"/>
  <c r="CM73" i="1" s="1"/>
  <c r="CN73" i="1" s="1"/>
  <c r="CG73" i="1"/>
  <c r="CH73" i="1" s="1"/>
  <c r="CI73" i="1" s="1"/>
  <c r="CB73" i="1"/>
  <c r="CC73" i="1" s="1"/>
  <c r="CD73" i="1" s="1"/>
  <c r="BW73" i="1"/>
  <c r="BX73" i="1" s="1"/>
  <c r="BY73" i="1" s="1"/>
  <c r="BR73" i="1"/>
  <c r="BS73" i="1" s="1"/>
  <c r="BT73" i="1" s="1"/>
  <c r="BM73" i="1"/>
  <c r="BN73" i="1" s="1"/>
  <c r="BO73" i="1" s="1"/>
  <c r="BH73" i="1"/>
  <c r="BI73" i="1" s="1"/>
  <c r="BJ73" i="1" s="1"/>
  <c r="BC73" i="1"/>
  <c r="BD73" i="1" s="1"/>
  <c r="BE73" i="1" s="1"/>
  <c r="AX73" i="1"/>
  <c r="AY73" i="1" s="1"/>
  <c r="AZ73" i="1" s="1"/>
  <c r="AS73" i="1"/>
  <c r="AT73" i="1" s="1"/>
  <c r="AU73" i="1" s="1"/>
  <c r="AN73" i="1"/>
  <c r="AO73" i="1" s="1"/>
  <c r="AP73" i="1" s="1"/>
  <c r="AI73" i="1"/>
  <c r="AJ73" i="1" s="1"/>
  <c r="AK73" i="1" s="1"/>
  <c r="X73" i="1"/>
  <c r="Y73" i="1" s="1"/>
  <c r="Z73" i="1" s="1"/>
  <c r="R73" i="1"/>
  <c r="S73" i="1" s="1"/>
  <c r="T73" i="1" s="1"/>
  <c r="O73" i="1"/>
  <c r="J73" i="1"/>
  <c r="PZ72" i="1"/>
  <c r="PU72" i="1"/>
  <c r="PP72" i="1"/>
  <c r="PK72" i="1"/>
  <c r="PF72" i="1"/>
  <c r="PA72" i="1"/>
  <c r="OV72" i="1"/>
  <c r="OQ72" i="1"/>
  <c r="OL72" i="1"/>
  <c r="OG72" i="1"/>
  <c r="OB72" i="1"/>
  <c r="NW72" i="1"/>
  <c r="NR72" i="1"/>
  <c r="NM72" i="1"/>
  <c r="NH72" i="1"/>
  <c r="NC72" i="1"/>
  <c r="MX72" i="1"/>
  <c r="MS72" i="1"/>
  <c r="MN72" i="1"/>
  <c r="MI72" i="1"/>
  <c r="MB72" i="1"/>
  <c r="MC72" i="1" s="1"/>
  <c r="MD72" i="1" s="1"/>
  <c r="LW72" i="1"/>
  <c r="LX72" i="1" s="1"/>
  <c r="LY72" i="1" s="1"/>
  <c r="LT72" i="1"/>
  <c r="LO72" i="1"/>
  <c r="LJ72" i="1"/>
  <c r="LE72" i="1"/>
  <c r="KZ72" i="1"/>
  <c r="KU72" i="1"/>
  <c r="KP72" i="1"/>
  <c r="KK72" i="1"/>
  <c r="KF72" i="1"/>
  <c r="IZ72" i="1"/>
  <c r="JA72" i="1" s="1"/>
  <c r="JB72" i="1" s="1"/>
  <c r="IU72" i="1"/>
  <c r="IV72" i="1" s="1"/>
  <c r="IW72" i="1" s="1"/>
  <c r="IP72" i="1"/>
  <c r="IQ72" i="1" s="1"/>
  <c r="IR72" i="1" s="1"/>
  <c r="IK72" i="1"/>
  <c r="IL72" i="1" s="1"/>
  <c r="IM72" i="1" s="1"/>
  <c r="IF72" i="1"/>
  <c r="IG72" i="1" s="1"/>
  <c r="IH72" i="1" s="1"/>
  <c r="IA72" i="1"/>
  <c r="IB72" i="1" s="1"/>
  <c r="IC72" i="1" s="1"/>
  <c r="HV72" i="1"/>
  <c r="HW72" i="1" s="1"/>
  <c r="HX72" i="1" s="1"/>
  <c r="HS72" i="1"/>
  <c r="HL72" i="1"/>
  <c r="HM72" i="1" s="1"/>
  <c r="HN72" i="1" s="1"/>
  <c r="HG72" i="1"/>
  <c r="HH72" i="1" s="1"/>
  <c r="HI72" i="1" s="1"/>
  <c r="HB72" i="1"/>
  <c r="HC72" i="1" s="1"/>
  <c r="HD72" i="1" s="1"/>
  <c r="GW72" i="1"/>
  <c r="GX72" i="1" s="1"/>
  <c r="GY72" i="1" s="1"/>
  <c r="GR72" i="1"/>
  <c r="GS72" i="1" s="1"/>
  <c r="GT72" i="1" s="1"/>
  <c r="GM72" i="1"/>
  <c r="GN72" i="1" s="1"/>
  <c r="GO72" i="1" s="1"/>
  <c r="GH72" i="1"/>
  <c r="GI72" i="1" s="1"/>
  <c r="GJ72" i="1" s="1"/>
  <c r="GC72" i="1"/>
  <c r="GD72" i="1" s="1"/>
  <c r="GE72" i="1" s="1"/>
  <c r="FX72" i="1"/>
  <c r="FY72" i="1" s="1"/>
  <c r="FZ72" i="1" s="1"/>
  <c r="FS72" i="1"/>
  <c r="FT72" i="1" s="1"/>
  <c r="FU72" i="1" s="1"/>
  <c r="FN72" i="1"/>
  <c r="FO72" i="1" s="1"/>
  <c r="FP72" i="1" s="1"/>
  <c r="FI72" i="1"/>
  <c r="FJ72" i="1" s="1"/>
  <c r="FK72" i="1" s="1"/>
  <c r="FD72" i="1"/>
  <c r="FE72" i="1" s="1"/>
  <c r="FF72" i="1" s="1"/>
  <c r="EY72" i="1"/>
  <c r="EZ72" i="1" s="1"/>
  <c r="FA72" i="1" s="1"/>
  <c r="ET72" i="1"/>
  <c r="EU72" i="1" s="1"/>
  <c r="EV72" i="1" s="1"/>
  <c r="EO72" i="1"/>
  <c r="EP72" i="1" s="1"/>
  <c r="EQ72" i="1" s="1"/>
  <c r="EJ72" i="1"/>
  <c r="EK72" i="1" s="1"/>
  <c r="EL72" i="1" s="1"/>
  <c r="EE72" i="1"/>
  <c r="EF72" i="1" s="1"/>
  <c r="EG72" i="1" s="1"/>
  <c r="DZ72" i="1"/>
  <c r="EA72" i="1" s="1"/>
  <c r="EB72" i="1" s="1"/>
  <c r="DU72" i="1"/>
  <c r="DV72" i="1" s="1"/>
  <c r="DW72" i="1" s="1"/>
  <c r="DP72" i="1"/>
  <c r="DQ72" i="1" s="1"/>
  <c r="DR72" i="1" s="1"/>
  <c r="DK72" i="1"/>
  <c r="DL72" i="1" s="1"/>
  <c r="DM72" i="1" s="1"/>
  <c r="DF72" i="1"/>
  <c r="DG72" i="1" s="1"/>
  <c r="DH72" i="1" s="1"/>
  <c r="DA72" i="1"/>
  <c r="DB72" i="1" s="1"/>
  <c r="DC72" i="1" s="1"/>
  <c r="CV72" i="1"/>
  <c r="CW72" i="1" s="1"/>
  <c r="CX72" i="1" s="1"/>
  <c r="CQ72" i="1"/>
  <c r="CR72" i="1" s="1"/>
  <c r="CS72" i="1" s="1"/>
  <c r="CL72" i="1"/>
  <c r="CM72" i="1" s="1"/>
  <c r="CN72" i="1" s="1"/>
  <c r="CG72" i="1"/>
  <c r="CH72" i="1" s="1"/>
  <c r="CI72" i="1" s="1"/>
  <c r="CB72" i="1"/>
  <c r="CC72" i="1" s="1"/>
  <c r="CD72" i="1" s="1"/>
  <c r="BW72" i="1"/>
  <c r="BX72" i="1" s="1"/>
  <c r="BY72" i="1" s="1"/>
  <c r="BR72" i="1"/>
  <c r="BS72" i="1" s="1"/>
  <c r="BT72" i="1" s="1"/>
  <c r="BM72" i="1"/>
  <c r="BN72" i="1" s="1"/>
  <c r="BO72" i="1" s="1"/>
  <c r="BH72" i="1"/>
  <c r="BI72" i="1" s="1"/>
  <c r="BJ72" i="1" s="1"/>
  <c r="BC72" i="1"/>
  <c r="BD72" i="1" s="1"/>
  <c r="BE72" i="1" s="1"/>
  <c r="AX72" i="1"/>
  <c r="AY72" i="1" s="1"/>
  <c r="AZ72" i="1" s="1"/>
  <c r="AS72" i="1"/>
  <c r="AT72" i="1" s="1"/>
  <c r="AU72" i="1" s="1"/>
  <c r="AN72" i="1"/>
  <c r="AO72" i="1" s="1"/>
  <c r="AP72" i="1" s="1"/>
  <c r="AI72" i="1"/>
  <c r="AJ72" i="1" s="1"/>
  <c r="AK72" i="1" s="1"/>
  <c r="AD72" i="1"/>
  <c r="AE72" i="1" s="1"/>
  <c r="AF72" i="1" s="1"/>
  <c r="X72" i="1"/>
  <c r="Y72" i="1" s="1"/>
  <c r="Z72" i="1" s="1"/>
  <c r="T72" i="1"/>
  <c r="O72" i="1"/>
  <c r="J72" i="1"/>
  <c r="PZ71" i="1"/>
  <c r="PU71" i="1"/>
  <c r="PP71" i="1"/>
  <c r="PK71" i="1"/>
  <c r="PF71" i="1"/>
  <c r="PA71" i="1"/>
  <c r="OV71" i="1"/>
  <c r="OQ71" i="1"/>
  <c r="OL71" i="1"/>
  <c r="OG71" i="1"/>
  <c r="OB71" i="1"/>
  <c r="NW71" i="1"/>
  <c r="NR71" i="1"/>
  <c r="NM71" i="1"/>
  <c r="NH71" i="1"/>
  <c r="NC71" i="1"/>
  <c r="MX71" i="1"/>
  <c r="MS71" i="1"/>
  <c r="MN71" i="1"/>
  <c r="MI71" i="1"/>
  <c r="MD71" i="1"/>
  <c r="LY71" i="1"/>
  <c r="LT71" i="1"/>
  <c r="LO71" i="1"/>
  <c r="LJ71" i="1"/>
  <c r="LE71" i="1"/>
  <c r="KZ71" i="1"/>
  <c r="KU71" i="1"/>
  <c r="KP71" i="1"/>
  <c r="KK71" i="1"/>
  <c r="KF71" i="1"/>
  <c r="JB71" i="1"/>
  <c r="IW71" i="1"/>
  <c r="IR71" i="1"/>
  <c r="IM71" i="1"/>
  <c r="IH71" i="1"/>
  <c r="IC71" i="1"/>
  <c r="HX71" i="1"/>
  <c r="HS71" i="1"/>
  <c r="HN71" i="1"/>
  <c r="HI71" i="1"/>
  <c r="HB71" i="1"/>
  <c r="HC71" i="1" s="1"/>
  <c r="HD71" i="1" s="1"/>
  <c r="GW71" i="1"/>
  <c r="GX71" i="1" s="1"/>
  <c r="GY71" i="1" s="1"/>
  <c r="GR71" i="1"/>
  <c r="GS71" i="1" s="1"/>
  <c r="GT71" i="1" s="1"/>
  <c r="GM71" i="1"/>
  <c r="GN71" i="1" s="1"/>
  <c r="GO71" i="1" s="1"/>
  <c r="GH71" i="1"/>
  <c r="GI71" i="1" s="1"/>
  <c r="GJ71" i="1" s="1"/>
  <c r="GC71" i="1"/>
  <c r="GD71" i="1" s="1"/>
  <c r="GE71" i="1" s="1"/>
  <c r="FX71" i="1"/>
  <c r="FY71" i="1" s="1"/>
  <c r="FZ71" i="1" s="1"/>
  <c r="FS71" i="1"/>
  <c r="FT71" i="1" s="1"/>
  <c r="FU71" i="1" s="1"/>
  <c r="FN71" i="1"/>
  <c r="FO71" i="1" s="1"/>
  <c r="FP71" i="1" s="1"/>
  <c r="FI71" i="1"/>
  <c r="FJ71" i="1" s="1"/>
  <c r="FK71" i="1" s="1"/>
  <c r="FD71" i="1"/>
  <c r="FE71" i="1" s="1"/>
  <c r="FF71" i="1" s="1"/>
  <c r="EY71" i="1"/>
  <c r="EZ71" i="1" s="1"/>
  <c r="FA71" i="1" s="1"/>
  <c r="ET71" i="1"/>
  <c r="EU71" i="1" s="1"/>
  <c r="EV71" i="1" s="1"/>
  <c r="EO71" i="1"/>
  <c r="EP71" i="1" s="1"/>
  <c r="EQ71" i="1" s="1"/>
  <c r="EJ71" i="1"/>
  <c r="EK71" i="1" s="1"/>
  <c r="EL71" i="1" s="1"/>
  <c r="EE71" i="1"/>
  <c r="EF71" i="1" s="1"/>
  <c r="EG71" i="1" s="1"/>
  <c r="DZ71" i="1"/>
  <c r="EA71" i="1" s="1"/>
  <c r="EB71" i="1" s="1"/>
  <c r="DU71" i="1"/>
  <c r="DV71" i="1" s="1"/>
  <c r="DW71" i="1" s="1"/>
  <c r="DP71" i="1"/>
  <c r="DQ71" i="1" s="1"/>
  <c r="DR71" i="1" s="1"/>
  <c r="DK71" i="1"/>
  <c r="DL71" i="1" s="1"/>
  <c r="DM71" i="1" s="1"/>
  <c r="DF71" i="1"/>
  <c r="DG71" i="1" s="1"/>
  <c r="DH71" i="1" s="1"/>
  <c r="DA71" i="1"/>
  <c r="DB71" i="1" s="1"/>
  <c r="DC71" i="1" s="1"/>
  <c r="CV71" i="1"/>
  <c r="CW71" i="1" s="1"/>
  <c r="CX71" i="1" s="1"/>
  <c r="CQ71" i="1"/>
  <c r="CR71" i="1" s="1"/>
  <c r="CS71" i="1" s="1"/>
  <c r="CL71" i="1"/>
  <c r="CM71" i="1" s="1"/>
  <c r="CN71" i="1" s="1"/>
  <c r="CG71" i="1"/>
  <c r="CH71" i="1" s="1"/>
  <c r="CI71" i="1" s="1"/>
  <c r="CB71" i="1"/>
  <c r="CC71" i="1" s="1"/>
  <c r="CD71" i="1" s="1"/>
  <c r="BW71" i="1"/>
  <c r="BX71" i="1" s="1"/>
  <c r="BY71" i="1" s="1"/>
  <c r="BR71" i="1"/>
  <c r="BS71" i="1" s="1"/>
  <c r="BT71" i="1" s="1"/>
  <c r="BM71" i="1"/>
  <c r="BN71" i="1" s="1"/>
  <c r="BO71" i="1" s="1"/>
  <c r="BH71" i="1"/>
  <c r="BI71" i="1" s="1"/>
  <c r="BJ71" i="1" s="1"/>
  <c r="BC71" i="1"/>
  <c r="BD71" i="1" s="1"/>
  <c r="BE71" i="1" s="1"/>
  <c r="AX71" i="1"/>
  <c r="AY71" i="1" s="1"/>
  <c r="AZ71" i="1" s="1"/>
  <c r="AS71" i="1"/>
  <c r="AT71" i="1" s="1"/>
  <c r="AU71" i="1" s="1"/>
  <c r="AN71" i="1"/>
  <c r="AO71" i="1" s="1"/>
  <c r="AP71" i="1" s="1"/>
  <c r="AI71" i="1"/>
  <c r="AJ71" i="1" s="1"/>
  <c r="AK71" i="1" s="1"/>
  <c r="AF71" i="1"/>
  <c r="X71" i="1"/>
  <c r="Y71" i="1" s="1"/>
  <c r="Z71" i="1" s="1"/>
  <c r="T71" i="1"/>
  <c r="O71" i="1"/>
  <c r="H71" i="1"/>
  <c r="I71" i="1" s="1"/>
  <c r="J71" i="1" s="1"/>
  <c r="PZ70" i="1"/>
  <c r="PU70" i="1"/>
  <c r="PP70" i="1"/>
  <c r="PK70" i="1"/>
  <c r="PF70" i="1"/>
  <c r="PA70" i="1"/>
  <c r="OV70" i="1"/>
  <c r="OQ70" i="1"/>
  <c r="OL70" i="1"/>
  <c r="OG70" i="1"/>
  <c r="OB70" i="1"/>
  <c r="NW70" i="1"/>
  <c r="NR70" i="1"/>
  <c r="NM70" i="1"/>
  <c r="NH70" i="1"/>
  <c r="NC70" i="1"/>
  <c r="MX70" i="1"/>
  <c r="MS70" i="1"/>
  <c r="MN70" i="1"/>
  <c r="MI70" i="1"/>
  <c r="MD70" i="1"/>
  <c r="LY70" i="1"/>
  <c r="LT70" i="1"/>
  <c r="LO70" i="1"/>
  <c r="LJ70" i="1"/>
  <c r="LE70" i="1"/>
  <c r="KZ70" i="1"/>
  <c r="KU70" i="1"/>
  <c r="KP70" i="1"/>
  <c r="KK70" i="1"/>
  <c r="KF70" i="1"/>
  <c r="JB70" i="1"/>
  <c r="IW70" i="1"/>
  <c r="IR70" i="1"/>
  <c r="IM70" i="1"/>
  <c r="IH70" i="1"/>
  <c r="IC70" i="1"/>
  <c r="HX70" i="1"/>
  <c r="HS70" i="1"/>
  <c r="HN70" i="1"/>
  <c r="HI70" i="1"/>
  <c r="HB70" i="1"/>
  <c r="HC70" i="1" s="1"/>
  <c r="HD70" i="1" s="1"/>
  <c r="GW70" i="1"/>
  <c r="GX70" i="1" s="1"/>
  <c r="GY70" i="1" s="1"/>
  <c r="GR70" i="1"/>
  <c r="GS70" i="1" s="1"/>
  <c r="GT70" i="1" s="1"/>
  <c r="GM70" i="1"/>
  <c r="GN70" i="1" s="1"/>
  <c r="GO70" i="1" s="1"/>
  <c r="GH70" i="1"/>
  <c r="GI70" i="1" s="1"/>
  <c r="GJ70" i="1" s="1"/>
  <c r="GC70" i="1"/>
  <c r="GD70" i="1" s="1"/>
  <c r="GE70" i="1" s="1"/>
  <c r="FX70" i="1"/>
  <c r="FY70" i="1" s="1"/>
  <c r="FZ70" i="1" s="1"/>
  <c r="FS70" i="1"/>
  <c r="FT70" i="1" s="1"/>
  <c r="FU70" i="1" s="1"/>
  <c r="FN70" i="1"/>
  <c r="FO70" i="1" s="1"/>
  <c r="FP70" i="1" s="1"/>
  <c r="FI70" i="1"/>
  <c r="FJ70" i="1" s="1"/>
  <c r="FK70" i="1" s="1"/>
  <c r="FD70" i="1"/>
  <c r="FE70" i="1" s="1"/>
  <c r="FF70" i="1" s="1"/>
  <c r="EY70" i="1"/>
  <c r="EZ70" i="1" s="1"/>
  <c r="FA70" i="1" s="1"/>
  <c r="ET70" i="1"/>
  <c r="EU70" i="1" s="1"/>
  <c r="EV70" i="1" s="1"/>
  <c r="EO70" i="1"/>
  <c r="EP70" i="1" s="1"/>
  <c r="EQ70" i="1" s="1"/>
  <c r="EJ70" i="1"/>
  <c r="EK70" i="1" s="1"/>
  <c r="EL70" i="1" s="1"/>
  <c r="EE70" i="1"/>
  <c r="EF70" i="1" s="1"/>
  <c r="EG70" i="1" s="1"/>
  <c r="DZ70" i="1"/>
  <c r="EA70" i="1" s="1"/>
  <c r="EB70" i="1" s="1"/>
  <c r="DU70" i="1"/>
  <c r="DV70" i="1" s="1"/>
  <c r="DW70" i="1" s="1"/>
  <c r="DP70" i="1"/>
  <c r="DQ70" i="1" s="1"/>
  <c r="DR70" i="1" s="1"/>
  <c r="DK70" i="1"/>
  <c r="DL70" i="1" s="1"/>
  <c r="DM70" i="1" s="1"/>
  <c r="DF70" i="1"/>
  <c r="DG70" i="1" s="1"/>
  <c r="DH70" i="1" s="1"/>
  <c r="DA70" i="1"/>
  <c r="DB70" i="1" s="1"/>
  <c r="DC70" i="1" s="1"/>
  <c r="CV70" i="1"/>
  <c r="CW70" i="1" s="1"/>
  <c r="CX70" i="1" s="1"/>
  <c r="CQ70" i="1"/>
  <c r="CR70" i="1" s="1"/>
  <c r="CS70" i="1" s="1"/>
  <c r="CL70" i="1"/>
  <c r="CM70" i="1" s="1"/>
  <c r="CN70" i="1" s="1"/>
  <c r="CG70" i="1"/>
  <c r="CH70" i="1" s="1"/>
  <c r="CI70" i="1" s="1"/>
  <c r="CB70" i="1"/>
  <c r="CC70" i="1" s="1"/>
  <c r="CD70" i="1" s="1"/>
  <c r="BW70" i="1"/>
  <c r="BX70" i="1" s="1"/>
  <c r="BY70" i="1" s="1"/>
  <c r="BR70" i="1"/>
  <c r="BS70" i="1" s="1"/>
  <c r="BT70" i="1" s="1"/>
  <c r="BM70" i="1"/>
  <c r="BN70" i="1" s="1"/>
  <c r="BO70" i="1" s="1"/>
  <c r="BH70" i="1"/>
  <c r="BI70" i="1" s="1"/>
  <c r="BJ70" i="1" s="1"/>
  <c r="BC70" i="1"/>
  <c r="BD70" i="1" s="1"/>
  <c r="BE70" i="1" s="1"/>
  <c r="AX70" i="1"/>
  <c r="AY70" i="1" s="1"/>
  <c r="AZ70" i="1" s="1"/>
  <c r="AS70" i="1"/>
  <c r="AT70" i="1" s="1"/>
  <c r="AU70" i="1" s="1"/>
  <c r="AN70" i="1"/>
  <c r="AO70" i="1" s="1"/>
  <c r="AP70" i="1" s="1"/>
  <c r="AI70" i="1"/>
  <c r="AJ70" i="1" s="1"/>
  <c r="AK70" i="1" s="1"/>
  <c r="AF70" i="1"/>
  <c r="X70" i="1"/>
  <c r="Y70" i="1" s="1"/>
  <c r="Z70" i="1" s="1"/>
  <c r="T70" i="1"/>
  <c r="O70" i="1"/>
  <c r="H70" i="1"/>
  <c r="I70" i="1" s="1"/>
  <c r="J70" i="1" s="1"/>
  <c r="PZ69" i="1"/>
  <c r="PU69" i="1"/>
  <c r="PP69" i="1"/>
  <c r="PK69" i="1"/>
  <c r="PF69" i="1"/>
  <c r="PA69" i="1"/>
  <c r="OV69" i="1"/>
  <c r="OQ69" i="1"/>
  <c r="OL69" i="1"/>
  <c r="OG69" i="1"/>
  <c r="OB69" i="1"/>
  <c r="NW69" i="1"/>
  <c r="NR69" i="1"/>
  <c r="NM69" i="1"/>
  <c r="NH69" i="1"/>
  <c r="NC69" i="1"/>
  <c r="MX69" i="1"/>
  <c r="MS69" i="1"/>
  <c r="MN69" i="1"/>
  <c r="MI69" i="1"/>
  <c r="MD69" i="1"/>
  <c r="LY69" i="1"/>
  <c r="LT69" i="1"/>
  <c r="LO69" i="1"/>
  <c r="LJ69" i="1"/>
  <c r="LE69" i="1"/>
  <c r="KZ69" i="1"/>
  <c r="KU69" i="1"/>
  <c r="KP69" i="1"/>
  <c r="KK69" i="1"/>
  <c r="KF69" i="1"/>
  <c r="IZ69" i="1"/>
  <c r="JA69" i="1" s="1"/>
  <c r="JB69" i="1" s="1"/>
  <c r="IU69" i="1"/>
  <c r="IV69" i="1" s="1"/>
  <c r="IW69" i="1" s="1"/>
  <c r="IP69" i="1"/>
  <c r="IQ69" i="1" s="1"/>
  <c r="IR69" i="1" s="1"/>
  <c r="IK69" i="1"/>
  <c r="IL69" i="1" s="1"/>
  <c r="IM69" i="1" s="1"/>
  <c r="IF69" i="1"/>
  <c r="IG69" i="1" s="1"/>
  <c r="IH69" i="1" s="1"/>
  <c r="IA69" i="1"/>
  <c r="IB69" i="1" s="1"/>
  <c r="IC69" i="1" s="1"/>
  <c r="HV69" i="1"/>
  <c r="HW69" i="1" s="1"/>
  <c r="HX69" i="1" s="1"/>
  <c r="HS69" i="1"/>
  <c r="HN69" i="1"/>
  <c r="HG69" i="1"/>
  <c r="HH69" i="1" s="1"/>
  <c r="HI69" i="1" s="1"/>
  <c r="HB69" i="1"/>
  <c r="HC69" i="1" s="1"/>
  <c r="HD69" i="1" s="1"/>
  <c r="GW69" i="1"/>
  <c r="GX69" i="1" s="1"/>
  <c r="GY69" i="1" s="1"/>
  <c r="GR69" i="1"/>
  <c r="GS69" i="1" s="1"/>
  <c r="GT69" i="1" s="1"/>
  <c r="GM69" i="1"/>
  <c r="GN69" i="1" s="1"/>
  <c r="GO69" i="1" s="1"/>
  <c r="GH69" i="1"/>
  <c r="GI69" i="1" s="1"/>
  <c r="GJ69" i="1" s="1"/>
  <c r="GC69" i="1"/>
  <c r="GD69" i="1" s="1"/>
  <c r="GE69" i="1" s="1"/>
  <c r="FX69" i="1"/>
  <c r="FY69" i="1" s="1"/>
  <c r="FZ69" i="1" s="1"/>
  <c r="FS69" i="1"/>
  <c r="FT69" i="1" s="1"/>
  <c r="FU69" i="1" s="1"/>
  <c r="FN69" i="1"/>
  <c r="FO69" i="1" s="1"/>
  <c r="FP69" i="1" s="1"/>
  <c r="FI69" i="1"/>
  <c r="FJ69" i="1" s="1"/>
  <c r="FK69" i="1" s="1"/>
  <c r="FD69" i="1"/>
  <c r="FE69" i="1" s="1"/>
  <c r="FF69" i="1" s="1"/>
  <c r="EY69" i="1"/>
  <c r="EZ69" i="1" s="1"/>
  <c r="FA69" i="1" s="1"/>
  <c r="ET69" i="1"/>
  <c r="EU69" i="1" s="1"/>
  <c r="EV69" i="1" s="1"/>
  <c r="EO69" i="1"/>
  <c r="EP69" i="1" s="1"/>
  <c r="EQ69" i="1" s="1"/>
  <c r="EJ69" i="1"/>
  <c r="EK69" i="1" s="1"/>
  <c r="EL69" i="1" s="1"/>
  <c r="EE69" i="1"/>
  <c r="EF69" i="1" s="1"/>
  <c r="EG69" i="1" s="1"/>
  <c r="DZ69" i="1"/>
  <c r="EA69" i="1" s="1"/>
  <c r="EB69" i="1" s="1"/>
  <c r="DU69" i="1"/>
  <c r="DV69" i="1" s="1"/>
  <c r="DW69" i="1" s="1"/>
  <c r="DP69" i="1"/>
  <c r="DQ69" i="1" s="1"/>
  <c r="DR69" i="1" s="1"/>
  <c r="DK69" i="1"/>
  <c r="DL69" i="1" s="1"/>
  <c r="DM69" i="1" s="1"/>
  <c r="DF69" i="1"/>
  <c r="DG69" i="1" s="1"/>
  <c r="DH69" i="1" s="1"/>
  <c r="DA69" i="1"/>
  <c r="DB69" i="1" s="1"/>
  <c r="DC69" i="1" s="1"/>
  <c r="CV69" i="1"/>
  <c r="CW69" i="1" s="1"/>
  <c r="CX69" i="1" s="1"/>
  <c r="CQ69" i="1"/>
  <c r="CR69" i="1" s="1"/>
  <c r="CS69" i="1" s="1"/>
  <c r="CL69" i="1"/>
  <c r="CM69" i="1" s="1"/>
  <c r="CN69" i="1" s="1"/>
  <c r="CG69" i="1"/>
  <c r="CH69" i="1" s="1"/>
  <c r="CI69" i="1" s="1"/>
  <c r="CB69" i="1"/>
  <c r="CC69" i="1" s="1"/>
  <c r="CD69" i="1" s="1"/>
  <c r="BW69" i="1"/>
  <c r="BX69" i="1" s="1"/>
  <c r="BY69" i="1" s="1"/>
  <c r="BR69" i="1"/>
  <c r="BS69" i="1" s="1"/>
  <c r="BT69" i="1" s="1"/>
  <c r="BM69" i="1"/>
  <c r="BN69" i="1" s="1"/>
  <c r="BO69" i="1" s="1"/>
  <c r="BH69" i="1"/>
  <c r="BI69" i="1" s="1"/>
  <c r="BJ69" i="1" s="1"/>
  <c r="BC69" i="1"/>
  <c r="BD69" i="1" s="1"/>
  <c r="BE69" i="1" s="1"/>
  <c r="AX69" i="1"/>
  <c r="AY69" i="1" s="1"/>
  <c r="AZ69" i="1" s="1"/>
  <c r="AS69" i="1"/>
  <c r="AT69" i="1" s="1"/>
  <c r="AU69" i="1" s="1"/>
  <c r="AN69" i="1"/>
  <c r="AO69" i="1" s="1"/>
  <c r="AP69" i="1" s="1"/>
  <c r="AI69" i="1"/>
  <c r="AJ69" i="1" s="1"/>
  <c r="AK69" i="1" s="1"/>
  <c r="AD69" i="1"/>
  <c r="AE69" i="1" s="1"/>
  <c r="AF69" i="1" s="1"/>
  <c r="X69" i="1"/>
  <c r="Y69" i="1" s="1"/>
  <c r="Z69" i="1" s="1"/>
  <c r="T69" i="1"/>
  <c r="O69" i="1"/>
  <c r="J69" i="1"/>
  <c r="PZ68" i="1"/>
  <c r="PU68" i="1"/>
  <c r="PP68" i="1"/>
  <c r="PK68" i="1"/>
  <c r="PF68" i="1"/>
  <c r="PA68" i="1"/>
  <c r="OV68" i="1"/>
  <c r="OQ68" i="1"/>
  <c r="OL68" i="1"/>
  <c r="OG68" i="1"/>
  <c r="OB68" i="1"/>
  <c r="NW68" i="1"/>
  <c r="NR68" i="1"/>
  <c r="NM68" i="1"/>
  <c r="NH68" i="1"/>
  <c r="NC68" i="1"/>
  <c r="MX68" i="1"/>
  <c r="MS68" i="1"/>
  <c r="MN68" i="1"/>
  <c r="MI68" i="1"/>
  <c r="MD68" i="1"/>
  <c r="LY68" i="1"/>
  <c r="LT68" i="1"/>
  <c r="LO68" i="1"/>
  <c r="LJ68" i="1"/>
  <c r="LE68" i="1"/>
  <c r="KZ68" i="1"/>
  <c r="KU68" i="1"/>
  <c r="KP68" i="1"/>
  <c r="KK68" i="1"/>
  <c r="KF68" i="1"/>
  <c r="JB68" i="1"/>
  <c r="IW68" i="1"/>
  <c r="IR68" i="1"/>
  <c r="IM68" i="1"/>
  <c r="IH68" i="1"/>
  <c r="IC68" i="1"/>
  <c r="HX68" i="1"/>
  <c r="HS68" i="1"/>
  <c r="HN68" i="1"/>
  <c r="HI68" i="1"/>
  <c r="HB68" i="1"/>
  <c r="HC68" i="1" s="1"/>
  <c r="HD68" i="1" s="1"/>
  <c r="GW68" i="1"/>
  <c r="GX68" i="1" s="1"/>
  <c r="GY68" i="1" s="1"/>
  <c r="GR68" i="1"/>
  <c r="GS68" i="1" s="1"/>
  <c r="GT68" i="1" s="1"/>
  <c r="GM68" i="1"/>
  <c r="GN68" i="1" s="1"/>
  <c r="GO68" i="1" s="1"/>
  <c r="GH68" i="1"/>
  <c r="GI68" i="1" s="1"/>
  <c r="GJ68" i="1" s="1"/>
  <c r="GC68" i="1"/>
  <c r="GD68" i="1" s="1"/>
  <c r="GE68" i="1" s="1"/>
  <c r="FX68" i="1"/>
  <c r="FY68" i="1" s="1"/>
  <c r="FZ68" i="1" s="1"/>
  <c r="FS68" i="1"/>
  <c r="FT68" i="1" s="1"/>
  <c r="FU68" i="1" s="1"/>
  <c r="FN68" i="1"/>
  <c r="FO68" i="1" s="1"/>
  <c r="FP68" i="1" s="1"/>
  <c r="FI68" i="1"/>
  <c r="FJ68" i="1" s="1"/>
  <c r="FK68" i="1" s="1"/>
  <c r="FD68" i="1"/>
  <c r="FE68" i="1" s="1"/>
  <c r="FF68" i="1" s="1"/>
  <c r="EY68" i="1"/>
  <c r="EZ68" i="1" s="1"/>
  <c r="FA68" i="1" s="1"/>
  <c r="ET68" i="1"/>
  <c r="EU68" i="1" s="1"/>
  <c r="EV68" i="1" s="1"/>
  <c r="EO68" i="1"/>
  <c r="EP68" i="1" s="1"/>
  <c r="EQ68" i="1" s="1"/>
  <c r="EJ68" i="1"/>
  <c r="EK68" i="1" s="1"/>
  <c r="EL68" i="1" s="1"/>
  <c r="EE68" i="1"/>
  <c r="EF68" i="1" s="1"/>
  <c r="EG68" i="1" s="1"/>
  <c r="DZ68" i="1"/>
  <c r="EA68" i="1" s="1"/>
  <c r="EB68" i="1" s="1"/>
  <c r="DU68" i="1"/>
  <c r="DV68" i="1" s="1"/>
  <c r="DW68" i="1" s="1"/>
  <c r="DP68" i="1"/>
  <c r="DQ68" i="1" s="1"/>
  <c r="DR68" i="1" s="1"/>
  <c r="DK68" i="1"/>
  <c r="DL68" i="1" s="1"/>
  <c r="DM68" i="1" s="1"/>
  <c r="DF68" i="1"/>
  <c r="DG68" i="1" s="1"/>
  <c r="DH68" i="1" s="1"/>
  <c r="DA68" i="1"/>
  <c r="DB68" i="1" s="1"/>
  <c r="DC68" i="1" s="1"/>
  <c r="CV68" i="1"/>
  <c r="CW68" i="1" s="1"/>
  <c r="CX68" i="1" s="1"/>
  <c r="CQ68" i="1"/>
  <c r="CR68" i="1" s="1"/>
  <c r="CS68" i="1" s="1"/>
  <c r="CL68" i="1"/>
  <c r="CM68" i="1" s="1"/>
  <c r="CN68" i="1" s="1"/>
  <c r="CG68" i="1"/>
  <c r="CH68" i="1" s="1"/>
  <c r="CI68" i="1" s="1"/>
  <c r="CB68" i="1"/>
  <c r="CC68" i="1" s="1"/>
  <c r="CD68" i="1" s="1"/>
  <c r="BW68" i="1"/>
  <c r="BX68" i="1" s="1"/>
  <c r="BY68" i="1" s="1"/>
  <c r="BR68" i="1"/>
  <c r="BS68" i="1" s="1"/>
  <c r="BT68" i="1" s="1"/>
  <c r="BM68" i="1"/>
  <c r="BN68" i="1" s="1"/>
  <c r="BO68" i="1" s="1"/>
  <c r="BH68" i="1"/>
  <c r="BI68" i="1" s="1"/>
  <c r="BJ68" i="1" s="1"/>
  <c r="BC68" i="1"/>
  <c r="BD68" i="1" s="1"/>
  <c r="BE68" i="1" s="1"/>
  <c r="AX68" i="1"/>
  <c r="AY68" i="1" s="1"/>
  <c r="AZ68" i="1" s="1"/>
  <c r="AS68" i="1"/>
  <c r="AT68" i="1" s="1"/>
  <c r="AU68" i="1" s="1"/>
  <c r="AN68" i="1"/>
  <c r="AO68" i="1" s="1"/>
  <c r="AP68" i="1" s="1"/>
  <c r="AI68" i="1"/>
  <c r="AJ68" i="1" s="1"/>
  <c r="AK68" i="1" s="1"/>
  <c r="AF68" i="1"/>
  <c r="X68" i="1"/>
  <c r="Y68" i="1" s="1"/>
  <c r="Z68" i="1" s="1"/>
  <c r="T68" i="1"/>
  <c r="O68" i="1"/>
  <c r="H68" i="1"/>
  <c r="I68" i="1" s="1"/>
  <c r="J68" i="1" s="1"/>
  <c r="PZ67" i="1"/>
  <c r="PU67" i="1"/>
  <c r="PP67" i="1"/>
  <c r="PK67" i="1"/>
  <c r="PF67" i="1"/>
  <c r="PA67" i="1"/>
  <c r="OV67" i="1"/>
  <c r="OQ67" i="1"/>
  <c r="OL67" i="1"/>
  <c r="OG67" i="1"/>
  <c r="OB67" i="1"/>
  <c r="NW67" i="1"/>
  <c r="NR67" i="1"/>
  <c r="NM67" i="1"/>
  <c r="NH67" i="1"/>
  <c r="NC67" i="1"/>
  <c r="MX67" i="1"/>
  <c r="MS67" i="1"/>
  <c r="MN67" i="1"/>
  <c r="MI67" i="1"/>
  <c r="MD67" i="1"/>
  <c r="LY67" i="1"/>
  <c r="LT67" i="1"/>
  <c r="LO67" i="1"/>
  <c r="LJ67" i="1"/>
  <c r="LE67" i="1"/>
  <c r="KZ67" i="1"/>
  <c r="KU67" i="1"/>
  <c r="KP67" i="1"/>
  <c r="KK67" i="1"/>
  <c r="KF67" i="1"/>
  <c r="JB67" i="1"/>
  <c r="IW67" i="1"/>
  <c r="IR67" i="1"/>
  <c r="IM67" i="1"/>
  <c r="IH67" i="1"/>
  <c r="IC67" i="1"/>
  <c r="HX67" i="1"/>
  <c r="HS67" i="1"/>
  <c r="HN67" i="1"/>
  <c r="HI67" i="1"/>
  <c r="HB67" i="1"/>
  <c r="HC67" i="1" s="1"/>
  <c r="HD67" i="1" s="1"/>
  <c r="GW67" i="1"/>
  <c r="GX67" i="1" s="1"/>
  <c r="GY67" i="1" s="1"/>
  <c r="GR67" i="1"/>
  <c r="GS67" i="1" s="1"/>
  <c r="GT67" i="1" s="1"/>
  <c r="GM67" i="1"/>
  <c r="GN67" i="1" s="1"/>
  <c r="GO67" i="1" s="1"/>
  <c r="GH67" i="1"/>
  <c r="GI67" i="1" s="1"/>
  <c r="GJ67" i="1" s="1"/>
  <c r="GC67" i="1"/>
  <c r="GD67" i="1" s="1"/>
  <c r="GE67" i="1" s="1"/>
  <c r="FX67" i="1"/>
  <c r="FY67" i="1" s="1"/>
  <c r="FZ67" i="1" s="1"/>
  <c r="FS67" i="1"/>
  <c r="FT67" i="1" s="1"/>
  <c r="FU67" i="1" s="1"/>
  <c r="FN67" i="1"/>
  <c r="FO67" i="1" s="1"/>
  <c r="FP67" i="1" s="1"/>
  <c r="FI67" i="1"/>
  <c r="FJ67" i="1" s="1"/>
  <c r="FK67" i="1" s="1"/>
  <c r="FD67" i="1"/>
  <c r="FE67" i="1" s="1"/>
  <c r="FF67" i="1" s="1"/>
  <c r="EY67" i="1"/>
  <c r="EZ67" i="1" s="1"/>
  <c r="FA67" i="1" s="1"/>
  <c r="ET67" i="1"/>
  <c r="EU67" i="1" s="1"/>
  <c r="EV67" i="1" s="1"/>
  <c r="EO67" i="1"/>
  <c r="EP67" i="1" s="1"/>
  <c r="EQ67" i="1" s="1"/>
  <c r="EJ67" i="1"/>
  <c r="EK67" i="1" s="1"/>
  <c r="EL67" i="1" s="1"/>
  <c r="EE67" i="1"/>
  <c r="EF67" i="1" s="1"/>
  <c r="EG67" i="1" s="1"/>
  <c r="DZ67" i="1"/>
  <c r="EA67" i="1" s="1"/>
  <c r="EB67" i="1" s="1"/>
  <c r="DU67" i="1"/>
  <c r="DV67" i="1" s="1"/>
  <c r="DW67" i="1" s="1"/>
  <c r="DP67" i="1"/>
  <c r="DQ67" i="1" s="1"/>
  <c r="DR67" i="1" s="1"/>
  <c r="DK67" i="1"/>
  <c r="DL67" i="1" s="1"/>
  <c r="DM67" i="1" s="1"/>
  <c r="DF67" i="1"/>
  <c r="DG67" i="1" s="1"/>
  <c r="DH67" i="1" s="1"/>
  <c r="DA67" i="1"/>
  <c r="DB67" i="1" s="1"/>
  <c r="DC67" i="1" s="1"/>
  <c r="CV67" i="1"/>
  <c r="CW67" i="1" s="1"/>
  <c r="CX67" i="1" s="1"/>
  <c r="CQ67" i="1"/>
  <c r="CR67" i="1" s="1"/>
  <c r="CS67" i="1" s="1"/>
  <c r="CL67" i="1"/>
  <c r="CM67" i="1" s="1"/>
  <c r="CN67" i="1" s="1"/>
  <c r="CG67" i="1"/>
  <c r="CH67" i="1" s="1"/>
  <c r="CI67" i="1" s="1"/>
  <c r="CB67" i="1"/>
  <c r="CC67" i="1" s="1"/>
  <c r="CD67" i="1" s="1"/>
  <c r="BW67" i="1"/>
  <c r="BX67" i="1" s="1"/>
  <c r="BY67" i="1" s="1"/>
  <c r="BR67" i="1"/>
  <c r="BS67" i="1" s="1"/>
  <c r="BT67" i="1" s="1"/>
  <c r="BM67" i="1"/>
  <c r="BN67" i="1" s="1"/>
  <c r="BO67" i="1" s="1"/>
  <c r="BH67" i="1"/>
  <c r="BI67" i="1" s="1"/>
  <c r="BJ67" i="1" s="1"/>
  <c r="BC67" i="1"/>
  <c r="BD67" i="1" s="1"/>
  <c r="BE67" i="1" s="1"/>
  <c r="AX67" i="1"/>
  <c r="AY67" i="1" s="1"/>
  <c r="AZ67" i="1" s="1"/>
  <c r="AS67" i="1"/>
  <c r="AT67" i="1" s="1"/>
  <c r="AU67" i="1" s="1"/>
  <c r="AN67" i="1"/>
  <c r="AO67" i="1" s="1"/>
  <c r="AP67" i="1" s="1"/>
  <c r="AI67" i="1"/>
  <c r="AJ67" i="1" s="1"/>
  <c r="AK67" i="1" s="1"/>
  <c r="AF67" i="1"/>
  <c r="X67" i="1"/>
  <c r="Y67" i="1" s="1"/>
  <c r="Z67" i="1" s="1"/>
  <c r="T67" i="1"/>
  <c r="O67" i="1"/>
  <c r="H67" i="1"/>
  <c r="I67" i="1" s="1"/>
  <c r="J67" i="1" s="1"/>
  <c r="PZ66" i="1"/>
  <c r="PU66" i="1"/>
  <c r="PP66" i="1"/>
  <c r="PK66" i="1"/>
  <c r="PF66" i="1"/>
  <c r="PA66" i="1"/>
  <c r="OV66" i="1"/>
  <c r="OQ66" i="1"/>
  <c r="OL66" i="1"/>
  <c r="OG66" i="1"/>
  <c r="OB66" i="1"/>
  <c r="NW66" i="1"/>
  <c r="NR66" i="1"/>
  <c r="NM66" i="1"/>
  <c r="NH66" i="1"/>
  <c r="NC66" i="1"/>
  <c r="MX66" i="1"/>
  <c r="MS66" i="1"/>
  <c r="MN66" i="1"/>
  <c r="MI66" i="1"/>
  <c r="MD66" i="1"/>
  <c r="LY66" i="1"/>
  <c r="LT66" i="1"/>
  <c r="LO66" i="1"/>
  <c r="LJ66" i="1"/>
  <c r="LE66" i="1"/>
  <c r="KX66" i="1"/>
  <c r="KY66" i="1" s="1"/>
  <c r="KZ66" i="1" s="1"/>
  <c r="KU66" i="1"/>
  <c r="KP66" i="1"/>
  <c r="KK66" i="1"/>
  <c r="KF66" i="1"/>
  <c r="JB66" i="1"/>
  <c r="IW66" i="1"/>
  <c r="IR66" i="1"/>
  <c r="IM66" i="1"/>
  <c r="IH66" i="1"/>
  <c r="IC66" i="1"/>
  <c r="HX66" i="1"/>
  <c r="HS66" i="1"/>
  <c r="HN66" i="1"/>
  <c r="HG66" i="1"/>
  <c r="HH66" i="1" s="1"/>
  <c r="HI66" i="1" s="1"/>
  <c r="HB66" i="1"/>
  <c r="HC66" i="1" s="1"/>
  <c r="HD66" i="1" s="1"/>
  <c r="GW66" i="1"/>
  <c r="GX66" i="1" s="1"/>
  <c r="GY66" i="1" s="1"/>
  <c r="GR66" i="1"/>
  <c r="GS66" i="1" s="1"/>
  <c r="GT66" i="1" s="1"/>
  <c r="GM66" i="1"/>
  <c r="GN66" i="1" s="1"/>
  <c r="GO66" i="1" s="1"/>
  <c r="GH66" i="1"/>
  <c r="GI66" i="1" s="1"/>
  <c r="GJ66" i="1" s="1"/>
  <c r="GC66" i="1"/>
  <c r="GD66" i="1" s="1"/>
  <c r="GE66" i="1" s="1"/>
  <c r="FX66" i="1"/>
  <c r="FY66" i="1" s="1"/>
  <c r="FZ66" i="1" s="1"/>
  <c r="FS66" i="1"/>
  <c r="FT66" i="1" s="1"/>
  <c r="FU66" i="1" s="1"/>
  <c r="FN66" i="1"/>
  <c r="FO66" i="1" s="1"/>
  <c r="FP66" i="1" s="1"/>
  <c r="FI66" i="1"/>
  <c r="FJ66" i="1" s="1"/>
  <c r="FK66" i="1" s="1"/>
  <c r="FD66" i="1"/>
  <c r="FE66" i="1" s="1"/>
  <c r="FF66" i="1" s="1"/>
  <c r="EY66" i="1"/>
  <c r="EZ66" i="1" s="1"/>
  <c r="FA66" i="1" s="1"/>
  <c r="ET66" i="1"/>
  <c r="EU66" i="1" s="1"/>
  <c r="EV66" i="1" s="1"/>
  <c r="EO66" i="1"/>
  <c r="EP66" i="1" s="1"/>
  <c r="EQ66" i="1" s="1"/>
  <c r="EJ66" i="1"/>
  <c r="EK66" i="1" s="1"/>
  <c r="EL66" i="1" s="1"/>
  <c r="EE66" i="1"/>
  <c r="EF66" i="1" s="1"/>
  <c r="EG66" i="1" s="1"/>
  <c r="DZ66" i="1"/>
  <c r="EA66" i="1" s="1"/>
  <c r="EB66" i="1" s="1"/>
  <c r="DU66" i="1"/>
  <c r="DV66" i="1" s="1"/>
  <c r="DW66" i="1" s="1"/>
  <c r="DP66" i="1"/>
  <c r="DQ66" i="1" s="1"/>
  <c r="DR66" i="1" s="1"/>
  <c r="DK66" i="1"/>
  <c r="DL66" i="1" s="1"/>
  <c r="DM66" i="1" s="1"/>
  <c r="DF66" i="1"/>
  <c r="DG66" i="1" s="1"/>
  <c r="DH66" i="1" s="1"/>
  <c r="DA66" i="1"/>
  <c r="DB66" i="1" s="1"/>
  <c r="DC66" i="1" s="1"/>
  <c r="CV66" i="1"/>
  <c r="CW66" i="1" s="1"/>
  <c r="CX66" i="1" s="1"/>
  <c r="CQ66" i="1"/>
  <c r="CR66" i="1" s="1"/>
  <c r="CS66" i="1" s="1"/>
  <c r="CL66" i="1"/>
  <c r="CM66" i="1" s="1"/>
  <c r="CN66" i="1" s="1"/>
  <c r="CG66" i="1"/>
  <c r="CH66" i="1" s="1"/>
  <c r="CI66" i="1" s="1"/>
  <c r="CB66" i="1"/>
  <c r="CC66" i="1" s="1"/>
  <c r="CD66" i="1" s="1"/>
  <c r="BW66" i="1"/>
  <c r="BX66" i="1" s="1"/>
  <c r="BY66" i="1" s="1"/>
  <c r="BR66" i="1"/>
  <c r="BS66" i="1" s="1"/>
  <c r="BT66" i="1" s="1"/>
  <c r="BM66" i="1"/>
  <c r="BN66" i="1" s="1"/>
  <c r="BO66" i="1" s="1"/>
  <c r="BH66" i="1"/>
  <c r="BI66" i="1" s="1"/>
  <c r="BJ66" i="1" s="1"/>
  <c r="BC66" i="1"/>
  <c r="BD66" i="1" s="1"/>
  <c r="BE66" i="1" s="1"/>
  <c r="AX66" i="1"/>
  <c r="AY66" i="1" s="1"/>
  <c r="AZ66" i="1" s="1"/>
  <c r="AS66" i="1"/>
  <c r="AT66" i="1" s="1"/>
  <c r="AU66" i="1" s="1"/>
  <c r="AN66" i="1"/>
  <c r="AO66" i="1" s="1"/>
  <c r="AP66" i="1" s="1"/>
  <c r="AI66" i="1"/>
  <c r="AJ66" i="1" s="1"/>
  <c r="AK66" i="1" s="1"/>
  <c r="AD66" i="1"/>
  <c r="AE66" i="1" s="1"/>
  <c r="AF66" i="1" s="1"/>
  <c r="X66" i="1"/>
  <c r="Y66" i="1" s="1"/>
  <c r="Z66" i="1" s="1"/>
  <c r="R66" i="1"/>
  <c r="S66" i="1" s="1"/>
  <c r="T66" i="1" s="1"/>
  <c r="O66" i="1"/>
  <c r="J66" i="1"/>
  <c r="PZ65" i="1"/>
  <c r="PU65" i="1"/>
  <c r="PP65" i="1"/>
  <c r="PK65" i="1"/>
  <c r="PF65" i="1"/>
  <c r="PA65" i="1"/>
  <c r="OV65" i="1"/>
  <c r="OQ65" i="1"/>
  <c r="OL65" i="1"/>
  <c r="OG65" i="1"/>
  <c r="OB65" i="1"/>
  <c r="NW65" i="1"/>
  <c r="NR65" i="1"/>
  <c r="NM65" i="1"/>
  <c r="NH65" i="1"/>
  <c r="NC65" i="1"/>
  <c r="MV65" i="1"/>
  <c r="MW65" i="1" s="1"/>
  <c r="MX65" i="1" s="1"/>
  <c r="MQ65" i="1"/>
  <c r="MR65" i="1" s="1"/>
  <c r="MS65" i="1" s="1"/>
  <c r="MN65" i="1"/>
  <c r="MI65" i="1"/>
  <c r="MD65" i="1"/>
  <c r="LY65" i="1"/>
  <c r="LT65" i="1"/>
  <c r="LO65" i="1"/>
  <c r="LH65" i="1"/>
  <c r="LI65" i="1" s="1"/>
  <c r="LJ65" i="1" s="1"/>
  <c r="LC65" i="1"/>
  <c r="LD65" i="1" s="1"/>
  <c r="LE65" i="1" s="1"/>
  <c r="KZ65" i="1"/>
  <c r="KS65" i="1"/>
  <c r="KT65" i="1" s="1"/>
  <c r="KU65" i="1" s="1"/>
  <c r="KP65" i="1"/>
  <c r="KK65" i="1"/>
  <c r="KF65" i="1"/>
  <c r="IZ65" i="1"/>
  <c r="JA65" i="1" s="1"/>
  <c r="JB65" i="1" s="1"/>
  <c r="IU65" i="1"/>
  <c r="IV65" i="1" s="1"/>
  <c r="IW65" i="1" s="1"/>
  <c r="IP65" i="1"/>
  <c r="IQ65" i="1" s="1"/>
  <c r="IR65" i="1" s="1"/>
  <c r="IK65" i="1"/>
  <c r="IL65" i="1" s="1"/>
  <c r="IM65" i="1" s="1"/>
  <c r="IF65" i="1"/>
  <c r="IG65" i="1" s="1"/>
  <c r="IH65" i="1" s="1"/>
  <c r="IA65" i="1"/>
  <c r="IB65" i="1" s="1"/>
  <c r="IC65" i="1" s="1"/>
  <c r="HV65" i="1"/>
  <c r="HW65" i="1" s="1"/>
  <c r="HX65" i="1" s="1"/>
  <c r="HQ65" i="1"/>
  <c r="HR65" i="1" s="1"/>
  <c r="HS65" i="1" s="1"/>
  <c r="HL65" i="1"/>
  <c r="HM65" i="1" s="1"/>
  <c r="HN65" i="1" s="1"/>
  <c r="HG65" i="1"/>
  <c r="HH65" i="1" s="1"/>
  <c r="HI65" i="1" s="1"/>
  <c r="HB65" i="1"/>
  <c r="HC65" i="1" s="1"/>
  <c r="HD65" i="1" s="1"/>
  <c r="GW65" i="1"/>
  <c r="GX65" i="1" s="1"/>
  <c r="GY65" i="1" s="1"/>
  <c r="GR65" i="1"/>
  <c r="GS65" i="1" s="1"/>
  <c r="GT65" i="1" s="1"/>
  <c r="GM65" i="1"/>
  <c r="GN65" i="1" s="1"/>
  <c r="GO65" i="1" s="1"/>
  <c r="GH65" i="1"/>
  <c r="GI65" i="1" s="1"/>
  <c r="GJ65" i="1" s="1"/>
  <c r="GC65" i="1"/>
  <c r="GD65" i="1" s="1"/>
  <c r="GE65" i="1" s="1"/>
  <c r="FX65" i="1"/>
  <c r="FY65" i="1" s="1"/>
  <c r="FZ65" i="1" s="1"/>
  <c r="FS65" i="1"/>
  <c r="FT65" i="1" s="1"/>
  <c r="FU65" i="1" s="1"/>
  <c r="FN65" i="1"/>
  <c r="FO65" i="1" s="1"/>
  <c r="FP65" i="1" s="1"/>
  <c r="FI65" i="1"/>
  <c r="FJ65" i="1" s="1"/>
  <c r="FK65" i="1" s="1"/>
  <c r="FD65" i="1"/>
  <c r="FE65" i="1" s="1"/>
  <c r="FF65" i="1" s="1"/>
  <c r="EY65" i="1"/>
  <c r="EZ65" i="1" s="1"/>
  <c r="FA65" i="1" s="1"/>
  <c r="ET65" i="1"/>
  <c r="EU65" i="1" s="1"/>
  <c r="EV65" i="1" s="1"/>
  <c r="EO65" i="1"/>
  <c r="EP65" i="1" s="1"/>
  <c r="EQ65" i="1" s="1"/>
  <c r="EJ65" i="1"/>
  <c r="EK65" i="1" s="1"/>
  <c r="EL65" i="1" s="1"/>
  <c r="EE65" i="1"/>
  <c r="EF65" i="1" s="1"/>
  <c r="EG65" i="1" s="1"/>
  <c r="DZ65" i="1"/>
  <c r="EA65" i="1" s="1"/>
  <c r="EB65" i="1" s="1"/>
  <c r="DU65" i="1"/>
  <c r="DV65" i="1" s="1"/>
  <c r="DW65" i="1" s="1"/>
  <c r="DP65" i="1"/>
  <c r="DQ65" i="1" s="1"/>
  <c r="DR65" i="1" s="1"/>
  <c r="DK65" i="1"/>
  <c r="DL65" i="1" s="1"/>
  <c r="DM65" i="1" s="1"/>
  <c r="DF65" i="1"/>
  <c r="DG65" i="1" s="1"/>
  <c r="DH65" i="1" s="1"/>
  <c r="DA65" i="1"/>
  <c r="DB65" i="1" s="1"/>
  <c r="DC65" i="1" s="1"/>
  <c r="CV65" i="1"/>
  <c r="CW65" i="1" s="1"/>
  <c r="CX65" i="1" s="1"/>
  <c r="CQ65" i="1"/>
  <c r="CR65" i="1" s="1"/>
  <c r="CS65" i="1" s="1"/>
  <c r="CL65" i="1"/>
  <c r="CM65" i="1" s="1"/>
  <c r="CN65" i="1" s="1"/>
  <c r="CG65" i="1"/>
  <c r="CH65" i="1" s="1"/>
  <c r="CI65" i="1" s="1"/>
  <c r="CB65" i="1"/>
  <c r="CC65" i="1" s="1"/>
  <c r="CD65" i="1" s="1"/>
  <c r="BW65" i="1"/>
  <c r="BX65" i="1" s="1"/>
  <c r="BY65" i="1" s="1"/>
  <c r="BR65" i="1"/>
  <c r="BS65" i="1" s="1"/>
  <c r="BT65" i="1" s="1"/>
  <c r="BM65" i="1"/>
  <c r="BN65" i="1" s="1"/>
  <c r="BO65" i="1" s="1"/>
  <c r="BH65" i="1"/>
  <c r="BI65" i="1" s="1"/>
  <c r="BJ65" i="1" s="1"/>
  <c r="BC65" i="1"/>
  <c r="BD65" i="1" s="1"/>
  <c r="BE65" i="1" s="1"/>
  <c r="AX65" i="1"/>
  <c r="AY65" i="1" s="1"/>
  <c r="AZ65" i="1" s="1"/>
  <c r="AS65" i="1"/>
  <c r="AT65" i="1" s="1"/>
  <c r="AU65" i="1" s="1"/>
  <c r="AN65" i="1"/>
  <c r="AO65" i="1" s="1"/>
  <c r="AP65" i="1" s="1"/>
  <c r="AI65" i="1"/>
  <c r="AJ65" i="1" s="1"/>
  <c r="AK65" i="1" s="1"/>
  <c r="AD65" i="1"/>
  <c r="AE65" i="1" s="1"/>
  <c r="AF65" i="1" s="1"/>
  <c r="X65" i="1"/>
  <c r="Y65" i="1" s="1"/>
  <c r="Z65" i="1" s="1"/>
  <c r="R65" i="1"/>
  <c r="S65" i="1" s="1"/>
  <c r="T65" i="1" s="1"/>
  <c r="O65" i="1"/>
  <c r="J65" i="1"/>
  <c r="PZ64" i="1"/>
  <c r="PU64" i="1"/>
  <c r="PP64" i="1"/>
  <c r="PK64" i="1"/>
  <c r="PF64" i="1"/>
  <c r="PA64" i="1"/>
  <c r="OV64" i="1"/>
  <c r="OQ64" i="1"/>
  <c r="OL64" i="1"/>
  <c r="OG64" i="1"/>
  <c r="OB64" i="1"/>
  <c r="NW64" i="1"/>
  <c r="NR64" i="1"/>
  <c r="NM64" i="1"/>
  <c r="NH64" i="1"/>
  <c r="NC64" i="1"/>
  <c r="MX64" i="1"/>
  <c r="MS64" i="1"/>
  <c r="MN64" i="1"/>
  <c r="MI64" i="1"/>
  <c r="MD64" i="1"/>
  <c r="LY64" i="1"/>
  <c r="LT64" i="1"/>
  <c r="LO64" i="1"/>
  <c r="LJ64" i="1"/>
  <c r="LE64" i="1"/>
  <c r="KX64" i="1"/>
  <c r="KY64" i="1" s="1"/>
  <c r="KZ64" i="1" s="1"/>
  <c r="KU64" i="1"/>
  <c r="KP64" i="1"/>
  <c r="KI64" i="1"/>
  <c r="KJ64" i="1" s="1"/>
  <c r="KK64" i="1" s="1"/>
  <c r="KF64" i="1"/>
  <c r="IZ64" i="1"/>
  <c r="JA64" i="1" s="1"/>
  <c r="JB64" i="1" s="1"/>
  <c r="IU64" i="1"/>
  <c r="IV64" i="1" s="1"/>
  <c r="IW64" i="1" s="1"/>
  <c r="IP64" i="1"/>
  <c r="IQ64" i="1" s="1"/>
  <c r="IR64" i="1" s="1"/>
  <c r="IK64" i="1"/>
  <c r="IL64" i="1" s="1"/>
  <c r="IM64" i="1" s="1"/>
  <c r="IF64" i="1"/>
  <c r="IG64" i="1" s="1"/>
  <c r="IH64" i="1" s="1"/>
  <c r="IA64" i="1"/>
  <c r="IB64" i="1" s="1"/>
  <c r="IC64" i="1" s="1"/>
  <c r="HV64" i="1"/>
  <c r="HW64" i="1" s="1"/>
  <c r="HX64" i="1" s="1"/>
  <c r="HQ64" i="1"/>
  <c r="HR64" i="1" s="1"/>
  <c r="HS64" i="1" s="1"/>
  <c r="HL64" i="1"/>
  <c r="HM64" i="1" s="1"/>
  <c r="HN64" i="1" s="1"/>
  <c r="HG64" i="1"/>
  <c r="HH64" i="1" s="1"/>
  <c r="HI64" i="1" s="1"/>
  <c r="HB64" i="1"/>
  <c r="HC64" i="1" s="1"/>
  <c r="HD64" i="1" s="1"/>
  <c r="GW64" i="1"/>
  <c r="GX64" i="1" s="1"/>
  <c r="GY64" i="1" s="1"/>
  <c r="GR64" i="1"/>
  <c r="GS64" i="1" s="1"/>
  <c r="GT64" i="1" s="1"/>
  <c r="GM64" i="1"/>
  <c r="GN64" i="1" s="1"/>
  <c r="GO64" i="1" s="1"/>
  <c r="GH64" i="1"/>
  <c r="GI64" i="1" s="1"/>
  <c r="GJ64" i="1" s="1"/>
  <c r="GC64" i="1"/>
  <c r="GD64" i="1" s="1"/>
  <c r="GE64" i="1" s="1"/>
  <c r="FX64" i="1"/>
  <c r="FY64" i="1" s="1"/>
  <c r="FZ64" i="1" s="1"/>
  <c r="FS64" i="1"/>
  <c r="FT64" i="1" s="1"/>
  <c r="FU64" i="1" s="1"/>
  <c r="FN64" i="1"/>
  <c r="FO64" i="1" s="1"/>
  <c r="FP64" i="1" s="1"/>
  <c r="FI64" i="1"/>
  <c r="FJ64" i="1" s="1"/>
  <c r="FK64" i="1" s="1"/>
  <c r="FD64" i="1"/>
  <c r="FE64" i="1" s="1"/>
  <c r="FF64" i="1" s="1"/>
  <c r="EY64" i="1"/>
  <c r="EZ64" i="1" s="1"/>
  <c r="FA64" i="1" s="1"/>
  <c r="ET64" i="1"/>
  <c r="EU64" i="1" s="1"/>
  <c r="EV64" i="1" s="1"/>
  <c r="EO64" i="1"/>
  <c r="EP64" i="1" s="1"/>
  <c r="EQ64" i="1" s="1"/>
  <c r="EJ64" i="1"/>
  <c r="EK64" i="1" s="1"/>
  <c r="EL64" i="1" s="1"/>
  <c r="EE64" i="1"/>
  <c r="EF64" i="1" s="1"/>
  <c r="EG64" i="1" s="1"/>
  <c r="DZ64" i="1"/>
  <c r="EA64" i="1" s="1"/>
  <c r="EB64" i="1" s="1"/>
  <c r="DU64" i="1"/>
  <c r="DV64" i="1" s="1"/>
  <c r="DW64" i="1" s="1"/>
  <c r="DP64" i="1"/>
  <c r="DQ64" i="1" s="1"/>
  <c r="DR64" i="1" s="1"/>
  <c r="DK64" i="1"/>
  <c r="DL64" i="1" s="1"/>
  <c r="DM64" i="1" s="1"/>
  <c r="DF64" i="1"/>
  <c r="DG64" i="1" s="1"/>
  <c r="DH64" i="1" s="1"/>
  <c r="DA64" i="1"/>
  <c r="DB64" i="1" s="1"/>
  <c r="DC64" i="1" s="1"/>
  <c r="CV64" i="1"/>
  <c r="CW64" i="1" s="1"/>
  <c r="CX64" i="1" s="1"/>
  <c r="CQ64" i="1"/>
  <c r="CR64" i="1" s="1"/>
  <c r="CS64" i="1" s="1"/>
  <c r="CL64" i="1"/>
  <c r="CM64" i="1" s="1"/>
  <c r="CN64" i="1" s="1"/>
  <c r="CG64" i="1"/>
  <c r="CH64" i="1" s="1"/>
  <c r="CI64" i="1" s="1"/>
  <c r="CB64" i="1"/>
  <c r="CC64" i="1" s="1"/>
  <c r="CD64" i="1" s="1"/>
  <c r="BW64" i="1"/>
  <c r="BX64" i="1" s="1"/>
  <c r="BY64" i="1" s="1"/>
  <c r="BR64" i="1"/>
  <c r="BS64" i="1" s="1"/>
  <c r="BT64" i="1" s="1"/>
  <c r="BM64" i="1"/>
  <c r="BN64" i="1" s="1"/>
  <c r="BO64" i="1" s="1"/>
  <c r="BH64" i="1"/>
  <c r="BI64" i="1" s="1"/>
  <c r="BJ64" i="1" s="1"/>
  <c r="BC64" i="1"/>
  <c r="BD64" i="1" s="1"/>
  <c r="BE64" i="1" s="1"/>
  <c r="AX64" i="1"/>
  <c r="AY64" i="1" s="1"/>
  <c r="AZ64" i="1" s="1"/>
  <c r="AS64" i="1"/>
  <c r="AT64" i="1" s="1"/>
  <c r="AU64" i="1" s="1"/>
  <c r="AN64" i="1"/>
  <c r="AO64" i="1" s="1"/>
  <c r="AP64" i="1" s="1"/>
  <c r="AI64" i="1"/>
  <c r="AJ64" i="1" s="1"/>
  <c r="AK64" i="1" s="1"/>
  <c r="AD64" i="1"/>
  <c r="AE64" i="1" s="1"/>
  <c r="AF64" i="1" s="1"/>
  <c r="X64" i="1"/>
  <c r="Y64" i="1" s="1"/>
  <c r="Z64" i="1" s="1"/>
  <c r="T64" i="1"/>
  <c r="O64" i="1"/>
  <c r="J64" i="1"/>
  <c r="PZ63" i="1"/>
  <c r="PU63" i="1"/>
  <c r="PP63" i="1"/>
  <c r="PK63" i="1"/>
  <c r="PF63" i="1"/>
  <c r="PA63" i="1"/>
  <c r="OV63" i="1"/>
  <c r="OQ63" i="1"/>
  <c r="OL63" i="1"/>
  <c r="OG63" i="1"/>
  <c r="OB63" i="1"/>
  <c r="NW63" i="1"/>
  <c r="NR63" i="1"/>
  <c r="NM63" i="1"/>
  <c r="NH63" i="1"/>
  <c r="NC63" i="1"/>
  <c r="MX63" i="1"/>
  <c r="MS63" i="1"/>
  <c r="MN63" i="1"/>
  <c r="MI63" i="1"/>
  <c r="MD63" i="1"/>
  <c r="LY63" i="1"/>
  <c r="LT63" i="1"/>
  <c r="LO63" i="1"/>
  <c r="LJ63" i="1"/>
  <c r="LE63" i="1"/>
  <c r="KX63" i="1"/>
  <c r="KY63" i="1" s="1"/>
  <c r="KZ63" i="1" s="1"/>
  <c r="KU63" i="1"/>
  <c r="KP63" i="1"/>
  <c r="KI63" i="1"/>
  <c r="KJ63" i="1" s="1"/>
  <c r="KK63" i="1" s="1"/>
  <c r="KF63" i="1"/>
  <c r="IZ63" i="1"/>
  <c r="JA63" i="1" s="1"/>
  <c r="JB63" i="1" s="1"/>
  <c r="IU63" i="1"/>
  <c r="IV63" i="1" s="1"/>
  <c r="IW63" i="1" s="1"/>
  <c r="IP63" i="1"/>
  <c r="IQ63" i="1" s="1"/>
  <c r="IR63" i="1" s="1"/>
  <c r="IK63" i="1"/>
  <c r="IL63" i="1" s="1"/>
  <c r="IM63" i="1" s="1"/>
  <c r="IF63" i="1"/>
  <c r="IG63" i="1" s="1"/>
  <c r="IH63" i="1" s="1"/>
  <c r="IA63" i="1"/>
  <c r="IB63" i="1" s="1"/>
  <c r="IC63" i="1" s="1"/>
  <c r="HV63" i="1"/>
  <c r="HW63" i="1" s="1"/>
  <c r="HX63" i="1" s="1"/>
  <c r="HQ63" i="1"/>
  <c r="HR63" i="1" s="1"/>
  <c r="HS63" i="1" s="1"/>
  <c r="HL63" i="1"/>
  <c r="HM63" i="1" s="1"/>
  <c r="HN63" i="1" s="1"/>
  <c r="HG63" i="1"/>
  <c r="HH63" i="1" s="1"/>
  <c r="HI63" i="1" s="1"/>
  <c r="HB63" i="1"/>
  <c r="HC63" i="1" s="1"/>
  <c r="HD63" i="1" s="1"/>
  <c r="GW63" i="1"/>
  <c r="GX63" i="1" s="1"/>
  <c r="GY63" i="1" s="1"/>
  <c r="GR63" i="1"/>
  <c r="GS63" i="1" s="1"/>
  <c r="GT63" i="1" s="1"/>
  <c r="GM63" i="1"/>
  <c r="GN63" i="1" s="1"/>
  <c r="GO63" i="1" s="1"/>
  <c r="GH63" i="1"/>
  <c r="GI63" i="1" s="1"/>
  <c r="GJ63" i="1" s="1"/>
  <c r="GC63" i="1"/>
  <c r="GD63" i="1" s="1"/>
  <c r="GE63" i="1" s="1"/>
  <c r="FX63" i="1"/>
  <c r="FY63" i="1" s="1"/>
  <c r="FZ63" i="1" s="1"/>
  <c r="FS63" i="1"/>
  <c r="FT63" i="1" s="1"/>
  <c r="FU63" i="1" s="1"/>
  <c r="FN63" i="1"/>
  <c r="FO63" i="1" s="1"/>
  <c r="FP63" i="1" s="1"/>
  <c r="FI63" i="1"/>
  <c r="FJ63" i="1" s="1"/>
  <c r="FK63" i="1" s="1"/>
  <c r="FD63" i="1"/>
  <c r="FE63" i="1" s="1"/>
  <c r="FF63" i="1" s="1"/>
  <c r="EY63" i="1"/>
  <c r="EZ63" i="1" s="1"/>
  <c r="FA63" i="1" s="1"/>
  <c r="ET63" i="1"/>
  <c r="EU63" i="1" s="1"/>
  <c r="EV63" i="1" s="1"/>
  <c r="EO63" i="1"/>
  <c r="EP63" i="1" s="1"/>
  <c r="EQ63" i="1" s="1"/>
  <c r="EJ63" i="1"/>
  <c r="EK63" i="1" s="1"/>
  <c r="EL63" i="1" s="1"/>
  <c r="EE63" i="1"/>
  <c r="EF63" i="1" s="1"/>
  <c r="EG63" i="1" s="1"/>
  <c r="DZ63" i="1"/>
  <c r="EA63" i="1" s="1"/>
  <c r="EB63" i="1" s="1"/>
  <c r="DU63" i="1"/>
  <c r="DV63" i="1" s="1"/>
  <c r="DW63" i="1" s="1"/>
  <c r="DP63" i="1"/>
  <c r="DQ63" i="1" s="1"/>
  <c r="DR63" i="1" s="1"/>
  <c r="DK63" i="1"/>
  <c r="DL63" i="1" s="1"/>
  <c r="DM63" i="1" s="1"/>
  <c r="DF63" i="1"/>
  <c r="DG63" i="1" s="1"/>
  <c r="DH63" i="1" s="1"/>
  <c r="DA63" i="1"/>
  <c r="DB63" i="1" s="1"/>
  <c r="DC63" i="1" s="1"/>
  <c r="CV63" i="1"/>
  <c r="CW63" i="1" s="1"/>
  <c r="CX63" i="1" s="1"/>
  <c r="CQ63" i="1"/>
  <c r="CR63" i="1" s="1"/>
  <c r="CS63" i="1" s="1"/>
  <c r="CL63" i="1"/>
  <c r="CM63" i="1" s="1"/>
  <c r="CN63" i="1" s="1"/>
  <c r="CG63" i="1"/>
  <c r="CH63" i="1" s="1"/>
  <c r="CI63" i="1" s="1"/>
  <c r="CB63" i="1"/>
  <c r="CC63" i="1" s="1"/>
  <c r="CD63" i="1" s="1"/>
  <c r="BW63" i="1"/>
  <c r="BX63" i="1" s="1"/>
  <c r="BY63" i="1" s="1"/>
  <c r="BR63" i="1"/>
  <c r="BS63" i="1" s="1"/>
  <c r="BT63" i="1" s="1"/>
  <c r="BM63" i="1"/>
  <c r="BN63" i="1" s="1"/>
  <c r="BO63" i="1" s="1"/>
  <c r="BH63" i="1"/>
  <c r="BI63" i="1" s="1"/>
  <c r="BJ63" i="1" s="1"/>
  <c r="BC63" i="1"/>
  <c r="BD63" i="1" s="1"/>
  <c r="BE63" i="1" s="1"/>
  <c r="AX63" i="1"/>
  <c r="AY63" i="1" s="1"/>
  <c r="AZ63" i="1" s="1"/>
  <c r="AS63" i="1"/>
  <c r="AT63" i="1" s="1"/>
  <c r="AU63" i="1" s="1"/>
  <c r="AN63" i="1"/>
  <c r="AO63" i="1" s="1"/>
  <c r="AP63" i="1" s="1"/>
  <c r="AI63" i="1"/>
  <c r="AJ63" i="1" s="1"/>
  <c r="AK63" i="1" s="1"/>
  <c r="AD63" i="1"/>
  <c r="AE63" i="1" s="1"/>
  <c r="AF63" i="1" s="1"/>
  <c r="X63" i="1"/>
  <c r="Y63" i="1" s="1"/>
  <c r="Z63" i="1" s="1"/>
  <c r="T63" i="1"/>
  <c r="O63" i="1"/>
  <c r="J63" i="1"/>
  <c r="PZ62" i="1"/>
  <c r="PU62" i="1"/>
  <c r="PP62" i="1"/>
  <c r="PK62" i="1"/>
  <c r="PF62" i="1"/>
  <c r="PA62" i="1"/>
  <c r="OV62" i="1"/>
  <c r="OQ62" i="1"/>
  <c r="OL62" i="1"/>
  <c r="OG62" i="1"/>
  <c r="OB62" i="1"/>
  <c r="NW62" i="1"/>
  <c r="NR62" i="1"/>
  <c r="NM62" i="1"/>
  <c r="NH62" i="1"/>
  <c r="NC62" i="1"/>
  <c r="MX62" i="1"/>
  <c r="MS62" i="1"/>
  <c r="MN62" i="1"/>
  <c r="MI62" i="1"/>
  <c r="MD62" i="1"/>
  <c r="LY62" i="1"/>
  <c r="LT62" i="1"/>
  <c r="LO62" i="1"/>
  <c r="LJ62" i="1"/>
  <c r="LE62" i="1"/>
  <c r="KZ62" i="1"/>
  <c r="KU62" i="1"/>
  <c r="KN62" i="1"/>
  <c r="KO62" i="1" s="1"/>
  <c r="KP62" i="1" s="1"/>
  <c r="KK62" i="1"/>
  <c r="KF62" i="1"/>
  <c r="IZ62" i="1"/>
  <c r="JA62" i="1" s="1"/>
  <c r="JB62" i="1" s="1"/>
  <c r="IU62" i="1"/>
  <c r="IV62" i="1" s="1"/>
  <c r="IW62" i="1" s="1"/>
  <c r="IP62" i="1"/>
  <c r="IQ62" i="1" s="1"/>
  <c r="IR62" i="1" s="1"/>
  <c r="IM62" i="1"/>
  <c r="IF62" i="1"/>
  <c r="IG62" i="1" s="1"/>
  <c r="IH62" i="1" s="1"/>
  <c r="IA62" i="1"/>
  <c r="IB62" i="1" s="1"/>
  <c r="IC62" i="1" s="1"/>
  <c r="HX62" i="1"/>
  <c r="HS62" i="1"/>
  <c r="HN62" i="1"/>
  <c r="HG62" i="1"/>
  <c r="HH62" i="1" s="1"/>
  <c r="HI62" i="1" s="1"/>
  <c r="HB62" i="1"/>
  <c r="HC62" i="1" s="1"/>
  <c r="HD62" i="1" s="1"/>
  <c r="GW62" i="1"/>
  <c r="GX62" i="1" s="1"/>
  <c r="GY62" i="1" s="1"/>
  <c r="GR62" i="1"/>
  <c r="GS62" i="1" s="1"/>
  <c r="GT62" i="1" s="1"/>
  <c r="GM62" i="1"/>
  <c r="GN62" i="1" s="1"/>
  <c r="GO62" i="1" s="1"/>
  <c r="GH62" i="1"/>
  <c r="GI62" i="1" s="1"/>
  <c r="GJ62" i="1" s="1"/>
  <c r="GC62" i="1"/>
  <c r="GD62" i="1" s="1"/>
  <c r="GE62" i="1" s="1"/>
  <c r="FX62" i="1"/>
  <c r="FY62" i="1" s="1"/>
  <c r="FZ62" i="1" s="1"/>
  <c r="FS62" i="1"/>
  <c r="FT62" i="1" s="1"/>
  <c r="FU62" i="1" s="1"/>
  <c r="FN62" i="1"/>
  <c r="FO62" i="1" s="1"/>
  <c r="FP62" i="1" s="1"/>
  <c r="FI62" i="1"/>
  <c r="FJ62" i="1" s="1"/>
  <c r="FK62" i="1" s="1"/>
  <c r="FD62" i="1"/>
  <c r="FE62" i="1" s="1"/>
  <c r="FF62" i="1" s="1"/>
  <c r="EY62" i="1"/>
  <c r="EZ62" i="1" s="1"/>
  <c r="FA62" i="1" s="1"/>
  <c r="ET62" i="1"/>
  <c r="EU62" i="1" s="1"/>
  <c r="EV62" i="1" s="1"/>
  <c r="EO62" i="1"/>
  <c r="EP62" i="1" s="1"/>
  <c r="EQ62" i="1" s="1"/>
  <c r="EJ62" i="1"/>
  <c r="EK62" i="1" s="1"/>
  <c r="EL62" i="1" s="1"/>
  <c r="EE62" i="1"/>
  <c r="EF62" i="1" s="1"/>
  <c r="EG62" i="1" s="1"/>
  <c r="DZ62" i="1"/>
  <c r="EA62" i="1" s="1"/>
  <c r="EB62" i="1" s="1"/>
  <c r="DU62" i="1"/>
  <c r="DV62" i="1" s="1"/>
  <c r="DW62" i="1" s="1"/>
  <c r="DP62" i="1"/>
  <c r="DQ62" i="1" s="1"/>
  <c r="DR62" i="1" s="1"/>
  <c r="DK62" i="1"/>
  <c r="DL62" i="1" s="1"/>
  <c r="DM62" i="1" s="1"/>
  <c r="DF62" i="1"/>
  <c r="DG62" i="1" s="1"/>
  <c r="DH62" i="1" s="1"/>
  <c r="DA62" i="1"/>
  <c r="DB62" i="1" s="1"/>
  <c r="DC62" i="1" s="1"/>
  <c r="CV62" i="1"/>
  <c r="CW62" i="1" s="1"/>
  <c r="CX62" i="1" s="1"/>
  <c r="CQ62" i="1"/>
  <c r="CR62" i="1" s="1"/>
  <c r="CS62" i="1" s="1"/>
  <c r="CL62" i="1"/>
  <c r="CM62" i="1" s="1"/>
  <c r="CN62" i="1" s="1"/>
  <c r="CG62" i="1"/>
  <c r="CH62" i="1" s="1"/>
  <c r="CI62" i="1" s="1"/>
  <c r="CB62" i="1"/>
  <c r="CC62" i="1" s="1"/>
  <c r="CD62" i="1" s="1"/>
  <c r="BW62" i="1"/>
  <c r="BX62" i="1" s="1"/>
  <c r="BY62" i="1" s="1"/>
  <c r="BR62" i="1"/>
  <c r="BS62" i="1" s="1"/>
  <c r="BT62" i="1" s="1"/>
  <c r="BM62" i="1"/>
  <c r="BN62" i="1" s="1"/>
  <c r="BO62" i="1" s="1"/>
  <c r="BH62" i="1"/>
  <c r="BI62" i="1" s="1"/>
  <c r="BJ62" i="1" s="1"/>
  <c r="BC62" i="1"/>
  <c r="BD62" i="1" s="1"/>
  <c r="BE62" i="1" s="1"/>
  <c r="AX62" i="1"/>
  <c r="AY62" i="1" s="1"/>
  <c r="AZ62" i="1" s="1"/>
  <c r="AS62" i="1"/>
  <c r="AT62" i="1" s="1"/>
  <c r="AU62" i="1" s="1"/>
  <c r="AN62" i="1"/>
  <c r="AO62" i="1" s="1"/>
  <c r="AP62" i="1" s="1"/>
  <c r="AI62" i="1"/>
  <c r="AJ62" i="1" s="1"/>
  <c r="AK62" i="1" s="1"/>
  <c r="AD62" i="1"/>
  <c r="AE62" i="1" s="1"/>
  <c r="AF62" i="1" s="1"/>
  <c r="X62" i="1"/>
  <c r="Y62" i="1" s="1"/>
  <c r="Z62" i="1" s="1"/>
  <c r="R62" i="1"/>
  <c r="S62" i="1" s="1"/>
  <c r="T62" i="1" s="1"/>
  <c r="O62" i="1"/>
  <c r="J62" i="1"/>
  <c r="PZ61" i="1"/>
  <c r="PU61" i="1"/>
  <c r="PP61" i="1"/>
  <c r="PK61" i="1"/>
  <c r="PF61" i="1"/>
  <c r="PA61" i="1"/>
  <c r="OV61" i="1"/>
  <c r="OQ61" i="1"/>
  <c r="OL61" i="1"/>
  <c r="OG61" i="1"/>
  <c r="OB61" i="1"/>
  <c r="NW61" i="1"/>
  <c r="NR61" i="1"/>
  <c r="NM61" i="1"/>
  <c r="NH61" i="1"/>
  <c r="NC61" i="1"/>
  <c r="MX61" i="1"/>
  <c r="MS61" i="1"/>
  <c r="MN61" i="1"/>
  <c r="MI61" i="1"/>
  <c r="MD61" i="1"/>
  <c r="LY61" i="1"/>
  <c r="LT61" i="1"/>
  <c r="LO61" i="1"/>
  <c r="LJ61" i="1"/>
  <c r="LE61" i="1"/>
  <c r="KZ61" i="1"/>
  <c r="KU61" i="1"/>
  <c r="KP61" i="1"/>
  <c r="KK61" i="1"/>
  <c r="KF61" i="1"/>
  <c r="JB61" i="1"/>
  <c r="IW61" i="1"/>
  <c r="IR61" i="1"/>
  <c r="IM61" i="1"/>
  <c r="IH61" i="1"/>
  <c r="IC61" i="1"/>
  <c r="HX61" i="1"/>
  <c r="HS61" i="1"/>
  <c r="HN61" i="1"/>
  <c r="HI61" i="1"/>
  <c r="HB61" i="1"/>
  <c r="HC61" i="1" s="1"/>
  <c r="HD61" i="1" s="1"/>
  <c r="GW61" i="1"/>
  <c r="GX61" i="1" s="1"/>
  <c r="GY61" i="1" s="1"/>
  <c r="GR61" i="1"/>
  <c r="GS61" i="1" s="1"/>
  <c r="GT61" i="1" s="1"/>
  <c r="GM61" i="1"/>
  <c r="GN61" i="1" s="1"/>
  <c r="GO61" i="1" s="1"/>
  <c r="GH61" i="1"/>
  <c r="GI61" i="1" s="1"/>
  <c r="GJ61" i="1" s="1"/>
  <c r="GC61" i="1"/>
  <c r="GD61" i="1" s="1"/>
  <c r="GE61" i="1" s="1"/>
  <c r="FX61" i="1"/>
  <c r="FY61" i="1" s="1"/>
  <c r="FZ61" i="1" s="1"/>
  <c r="FS61" i="1"/>
  <c r="FT61" i="1" s="1"/>
  <c r="FU61" i="1" s="1"/>
  <c r="FN61" i="1"/>
  <c r="FO61" i="1" s="1"/>
  <c r="FP61" i="1" s="1"/>
  <c r="FI61" i="1"/>
  <c r="FJ61" i="1" s="1"/>
  <c r="FK61" i="1" s="1"/>
  <c r="FD61" i="1"/>
  <c r="FE61" i="1" s="1"/>
  <c r="FF61" i="1" s="1"/>
  <c r="EY61" i="1"/>
  <c r="EZ61" i="1" s="1"/>
  <c r="FA61" i="1" s="1"/>
  <c r="ET61" i="1"/>
  <c r="EU61" i="1" s="1"/>
  <c r="EV61" i="1" s="1"/>
  <c r="EO61" i="1"/>
  <c r="EP61" i="1" s="1"/>
  <c r="EQ61" i="1" s="1"/>
  <c r="EJ61" i="1"/>
  <c r="EK61" i="1" s="1"/>
  <c r="EL61" i="1" s="1"/>
  <c r="EE61" i="1"/>
  <c r="EF61" i="1" s="1"/>
  <c r="EG61" i="1" s="1"/>
  <c r="DZ61" i="1"/>
  <c r="EA61" i="1" s="1"/>
  <c r="EB61" i="1" s="1"/>
  <c r="DU61" i="1"/>
  <c r="DV61" i="1" s="1"/>
  <c r="DW61" i="1" s="1"/>
  <c r="DP61" i="1"/>
  <c r="DQ61" i="1" s="1"/>
  <c r="DR61" i="1" s="1"/>
  <c r="DK61" i="1"/>
  <c r="DL61" i="1" s="1"/>
  <c r="DM61" i="1" s="1"/>
  <c r="DF61" i="1"/>
  <c r="DG61" i="1" s="1"/>
  <c r="DH61" i="1" s="1"/>
  <c r="DA61" i="1"/>
  <c r="DB61" i="1" s="1"/>
  <c r="DC61" i="1" s="1"/>
  <c r="CV61" i="1"/>
  <c r="CW61" i="1" s="1"/>
  <c r="CX61" i="1" s="1"/>
  <c r="CQ61" i="1"/>
  <c r="CR61" i="1" s="1"/>
  <c r="CS61" i="1" s="1"/>
  <c r="CL61" i="1"/>
  <c r="CM61" i="1" s="1"/>
  <c r="CN61" i="1" s="1"/>
  <c r="CG61" i="1"/>
  <c r="CH61" i="1" s="1"/>
  <c r="CI61" i="1" s="1"/>
  <c r="CB61" i="1"/>
  <c r="CC61" i="1" s="1"/>
  <c r="CD61" i="1" s="1"/>
  <c r="BW61" i="1"/>
  <c r="BX61" i="1" s="1"/>
  <c r="BY61" i="1" s="1"/>
  <c r="BR61" i="1"/>
  <c r="BS61" i="1" s="1"/>
  <c r="BT61" i="1" s="1"/>
  <c r="BM61" i="1"/>
  <c r="BN61" i="1" s="1"/>
  <c r="BO61" i="1" s="1"/>
  <c r="BH61" i="1"/>
  <c r="BI61" i="1" s="1"/>
  <c r="BJ61" i="1" s="1"/>
  <c r="BC61" i="1"/>
  <c r="BD61" i="1" s="1"/>
  <c r="BE61" i="1" s="1"/>
  <c r="AX61" i="1"/>
  <c r="AY61" i="1" s="1"/>
  <c r="AZ61" i="1" s="1"/>
  <c r="AS61" i="1"/>
  <c r="AT61" i="1" s="1"/>
  <c r="AU61" i="1" s="1"/>
  <c r="AN61" i="1"/>
  <c r="AO61" i="1" s="1"/>
  <c r="AP61" i="1" s="1"/>
  <c r="AI61" i="1"/>
  <c r="AJ61" i="1" s="1"/>
  <c r="AK61" i="1" s="1"/>
  <c r="AF61" i="1"/>
  <c r="X61" i="1"/>
  <c r="Y61" i="1" s="1"/>
  <c r="Z61" i="1" s="1"/>
  <c r="T61" i="1"/>
  <c r="O61" i="1"/>
  <c r="H61" i="1"/>
  <c r="I61" i="1" s="1"/>
  <c r="J61" i="1" s="1"/>
  <c r="PZ60" i="1"/>
  <c r="PU60" i="1"/>
  <c r="PP60" i="1"/>
  <c r="PK60" i="1"/>
  <c r="PF60" i="1"/>
  <c r="PA60" i="1"/>
  <c r="OV60" i="1"/>
  <c r="OQ60" i="1"/>
  <c r="OL60" i="1"/>
  <c r="OG60" i="1"/>
  <c r="OB60" i="1"/>
  <c r="NW60" i="1"/>
  <c r="NP60" i="1"/>
  <c r="NQ60" i="1" s="1"/>
  <c r="NR60" i="1" s="1"/>
  <c r="NK60" i="1"/>
  <c r="NL60" i="1" s="1"/>
  <c r="NM60" i="1" s="1"/>
  <c r="NH60" i="1"/>
  <c r="NC60" i="1"/>
  <c r="MX60" i="1"/>
  <c r="MS60" i="1"/>
  <c r="MN60" i="1"/>
  <c r="MG60" i="1"/>
  <c r="MH60" i="1" s="1"/>
  <c r="MI60" i="1" s="1"/>
  <c r="MD60" i="1"/>
  <c r="LY60" i="1"/>
  <c r="LT60" i="1"/>
  <c r="LO60" i="1"/>
  <c r="LJ60" i="1"/>
  <c r="LC60" i="1"/>
  <c r="LD60" i="1" s="1"/>
  <c r="LE60" i="1" s="1"/>
  <c r="KX60" i="1"/>
  <c r="KY60" i="1" s="1"/>
  <c r="KZ60" i="1" s="1"/>
  <c r="KU60" i="1"/>
  <c r="KN60" i="1"/>
  <c r="KO60" i="1" s="1"/>
  <c r="KP60" i="1" s="1"/>
  <c r="KI60" i="1"/>
  <c r="KJ60" i="1" s="1"/>
  <c r="KK60" i="1" s="1"/>
  <c r="KF60" i="1"/>
  <c r="JB60" i="1"/>
  <c r="IW60" i="1"/>
  <c r="IR60" i="1"/>
  <c r="IM60" i="1"/>
  <c r="IH60" i="1"/>
  <c r="IC60" i="1"/>
  <c r="HX60" i="1"/>
  <c r="HS60" i="1"/>
  <c r="HL60" i="1"/>
  <c r="HM60" i="1" s="1"/>
  <c r="HN60" i="1" s="1"/>
  <c r="HG60" i="1"/>
  <c r="HH60" i="1" s="1"/>
  <c r="HI60" i="1" s="1"/>
  <c r="HB60" i="1"/>
  <c r="HC60" i="1" s="1"/>
  <c r="HD60" i="1" s="1"/>
  <c r="GW60" i="1"/>
  <c r="GX60" i="1" s="1"/>
  <c r="GY60" i="1" s="1"/>
  <c r="GR60" i="1"/>
  <c r="GS60" i="1" s="1"/>
  <c r="GT60" i="1" s="1"/>
  <c r="GM60" i="1"/>
  <c r="GN60" i="1" s="1"/>
  <c r="GO60" i="1" s="1"/>
  <c r="GH60" i="1"/>
  <c r="GI60" i="1" s="1"/>
  <c r="GJ60" i="1" s="1"/>
  <c r="GC60" i="1"/>
  <c r="GD60" i="1" s="1"/>
  <c r="GE60" i="1" s="1"/>
  <c r="FX60" i="1"/>
  <c r="FY60" i="1" s="1"/>
  <c r="FZ60" i="1" s="1"/>
  <c r="FS60" i="1"/>
  <c r="FT60" i="1" s="1"/>
  <c r="FU60" i="1" s="1"/>
  <c r="FN60" i="1"/>
  <c r="FO60" i="1" s="1"/>
  <c r="FP60" i="1" s="1"/>
  <c r="FI60" i="1"/>
  <c r="FJ60" i="1" s="1"/>
  <c r="FK60" i="1" s="1"/>
  <c r="FD60" i="1"/>
  <c r="FE60" i="1" s="1"/>
  <c r="FF60" i="1" s="1"/>
  <c r="EY60" i="1"/>
  <c r="EZ60" i="1" s="1"/>
  <c r="FA60" i="1" s="1"/>
  <c r="ET60" i="1"/>
  <c r="EU60" i="1" s="1"/>
  <c r="EV60" i="1" s="1"/>
  <c r="EO60" i="1"/>
  <c r="EP60" i="1" s="1"/>
  <c r="EQ60" i="1" s="1"/>
  <c r="EJ60" i="1"/>
  <c r="EK60" i="1" s="1"/>
  <c r="EL60" i="1" s="1"/>
  <c r="EE60" i="1"/>
  <c r="EF60" i="1" s="1"/>
  <c r="EG60" i="1" s="1"/>
  <c r="DZ60" i="1"/>
  <c r="EA60" i="1" s="1"/>
  <c r="EB60" i="1" s="1"/>
  <c r="DU60" i="1"/>
  <c r="DV60" i="1" s="1"/>
  <c r="DW60" i="1" s="1"/>
  <c r="DP60" i="1"/>
  <c r="DQ60" i="1" s="1"/>
  <c r="DR60" i="1" s="1"/>
  <c r="DK60" i="1"/>
  <c r="DL60" i="1" s="1"/>
  <c r="DM60" i="1" s="1"/>
  <c r="DF60" i="1"/>
  <c r="DG60" i="1" s="1"/>
  <c r="DH60" i="1" s="1"/>
  <c r="DA60" i="1"/>
  <c r="DB60" i="1" s="1"/>
  <c r="DC60" i="1" s="1"/>
  <c r="CV60" i="1"/>
  <c r="CW60" i="1" s="1"/>
  <c r="CX60" i="1" s="1"/>
  <c r="CQ60" i="1"/>
  <c r="CR60" i="1" s="1"/>
  <c r="CS60" i="1" s="1"/>
  <c r="CL60" i="1"/>
  <c r="CM60" i="1" s="1"/>
  <c r="CN60" i="1" s="1"/>
  <c r="CG60" i="1"/>
  <c r="CH60" i="1" s="1"/>
  <c r="CI60" i="1" s="1"/>
  <c r="CB60" i="1"/>
  <c r="CC60" i="1" s="1"/>
  <c r="CD60" i="1" s="1"/>
  <c r="BW60" i="1"/>
  <c r="BX60" i="1" s="1"/>
  <c r="BY60" i="1" s="1"/>
  <c r="BR60" i="1"/>
  <c r="BS60" i="1" s="1"/>
  <c r="BT60" i="1" s="1"/>
  <c r="BM60" i="1"/>
  <c r="BN60" i="1" s="1"/>
  <c r="BO60" i="1" s="1"/>
  <c r="BH60" i="1"/>
  <c r="BI60" i="1" s="1"/>
  <c r="BJ60" i="1" s="1"/>
  <c r="BC60" i="1"/>
  <c r="BD60" i="1" s="1"/>
  <c r="BE60" i="1" s="1"/>
  <c r="AX60" i="1"/>
  <c r="AY60" i="1" s="1"/>
  <c r="AZ60" i="1" s="1"/>
  <c r="AS60" i="1"/>
  <c r="AT60" i="1" s="1"/>
  <c r="AU60" i="1" s="1"/>
  <c r="AN60" i="1"/>
  <c r="AO60" i="1" s="1"/>
  <c r="AP60" i="1" s="1"/>
  <c r="AI60" i="1"/>
  <c r="AJ60" i="1" s="1"/>
  <c r="AK60" i="1" s="1"/>
  <c r="AD60" i="1"/>
  <c r="AE60" i="1" s="1"/>
  <c r="AF60" i="1" s="1"/>
  <c r="X60" i="1"/>
  <c r="Y60" i="1" s="1"/>
  <c r="Z60" i="1" s="1"/>
  <c r="T60" i="1"/>
  <c r="O60" i="1"/>
  <c r="J60" i="1"/>
  <c r="PZ59" i="1"/>
  <c r="PU59" i="1"/>
  <c r="PP59" i="1"/>
  <c r="PK59" i="1"/>
  <c r="PF59" i="1"/>
  <c r="PA59" i="1"/>
  <c r="OV59" i="1"/>
  <c r="OQ59" i="1"/>
  <c r="OL59" i="1"/>
  <c r="OG59" i="1"/>
  <c r="OB59" i="1"/>
  <c r="NW59" i="1"/>
  <c r="NR59" i="1"/>
  <c r="NM59" i="1"/>
  <c r="NH59" i="1"/>
  <c r="NC59" i="1"/>
  <c r="MV59" i="1"/>
  <c r="MW59" i="1" s="1"/>
  <c r="MX59" i="1" s="1"/>
  <c r="MQ59" i="1"/>
  <c r="MR59" i="1" s="1"/>
  <c r="MS59" i="1" s="1"/>
  <c r="MN59" i="1"/>
  <c r="MI59" i="1"/>
  <c r="MD59" i="1"/>
  <c r="LY59" i="1"/>
  <c r="LT59" i="1"/>
  <c r="LO59" i="1"/>
  <c r="LJ59" i="1"/>
  <c r="LE59" i="1"/>
  <c r="KZ59" i="1"/>
  <c r="KS59" i="1"/>
  <c r="KT59" i="1" s="1"/>
  <c r="KU59" i="1" s="1"/>
  <c r="KP59" i="1"/>
  <c r="KK59" i="1"/>
  <c r="KF59" i="1"/>
  <c r="IZ59" i="1"/>
  <c r="JA59" i="1" s="1"/>
  <c r="JB59" i="1" s="1"/>
  <c r="IU59" i="1"/>
  <c r="IV59" i="1" s="1"/>
  <c r="IW59" i="1" s="1"/>
  <c r="IP59" i="1"/>
  <c r="IQ59" i="1" s="1"/>
  <c r="IR59" i="1" s="1"/>
  <c r="IK59" i="1"/>
  <c r="IL59" i="1" s="1"/>
  <c r="IM59" i="1" s="1"/>
  <c r="IF59" i="1"/>
  <c r="IG59" i="1" s="1"/>
  <c r="IH59" i="1" s="1"/>
  <c r="IA59" i="1"/>
  <c r="IB59" i="1" s="1"/>
  <c r="IC59" i="1" s="1"/>
  <c r="HV59" i="1"/>
  <c r="HW59" i="1" s="1"/>
  <c r="HX59" i="1" s="1"/>
  <c r="HS59" i="1"/>
  <c r="HN59" i="1"/>
  <c r="HG59" i="1"/>
  <c r="HH59" i="1" s="1"/>
  <c r="HI59" i="1" s="1"/>
  <c r="HB59" i="1"/>
  <c r="HC59" i="1" s="1"/>
  <c r="HD59" i="1" s="1"/>
  <c r="GW59" i="1"/>
  <c r="GX59" i="1" s="1"/>
  <c r="GY59" i="1" s="1"/>
  <c r="GR59" i="1"/>
  <c r="GS59" i="1" s="1"/>
  <c r="GT59" i="1" s="1"/>
  <c r="GM59" i="1"/>
  <c r="GN59" i="1" s="1"/>
  <c r="GO59" i="1" s="1"/>
  <c r="GH59" i="1"/>
  <c r="GI59" i="1" s="1"/>
  <c r="GJ59" i="1" s="1"/>
  <c r="GC59" i="1"/>
  <c r="GD59" i="1" s="1"/>
  <c r="GE59" i="1" s="1"/>
  <c r="FX59" i="1"/>
  <c r="FY59" i="1" s="1"/>
  <c r="FZ59" i="1" s="1"/>
  <c r="FS59" i="1"/>
  <c r="FT59" i="1" s="1"/>
  <c r="FU59" i="1" s="1"/>
  <c r="FN59" i="1"/>
  <c r="FO59" i="1" s="1"/>
  <c r="FP59" i="1" s="1"/>
  <c r="FI59" i="1"/>
  <c r="FJ59" i="1" s="1"/>
  <c r="FK59" i="1" s="1"/>
  <c r="FD59" i="1"/>
  <c r="FE59" i="1" s="1"/>
  <c r="FF59" i="1" s="1"/>
  <c r="EY59" i="1"/>
  <c r="EZ59" i="1" s="1"/>
  <c r="FA59" i="1" s="1"/>
  <c r="ET59" i="1"/>
  <c r="EU59" i="1" s="1"/>
  <c r="EV59" i="1" s="1"/>
  <c r="EO59" i="1"/>
  <c r="EP59" i="1" s="1"/>
  <c r="EQ59" i="1" s="1"/>
  <c r="EJ59" i="1"/>
  <c r="EK59" i="1" s="1"/>
  <c r="EL59" i="1" s="1"/>
  <c r="EE59" i="1"/>
  <c r="EF59" i="1" s="1"/>
  <c r="EG59" i="1" s="1"/>
  <c r="DZ59" i="1"/>
  <c r="EA59" i="1" s="1"/>
  <c r="EB59" i="1" s="1"/>
  <c r="DU59" i="1"/>
  <c r="DV59" i="1" s="1"/>
  <c r="DW59" i="1" s="1"/>
  <c r="DP59" i="1"/>
  <c r="DQ59" i="1" s="1"/>
  <c r="DR59" i="1" s="1"/>
  <c r="DK59" i="1"/>
  <c r="DL59" i="1" s="1"/>
  <c r="DM59" i="1" s="1"/>
  <c r="DF59" i="1"/>
  <c r="DG59" i="1" s="1"/>
  <c r="DH59" i="1" s="1"/>
  <c r="DA59" i="1"/>
  <c r="DB59" i="1" s="1"/>
  <c r="DC59" i="1" s="1"/>
  <c r="CV59" i="1"/>
  <c r="CW59" i="1" s="1"/>
  <c r="CX59" i="1" s="1"/>
  <c r="CQ59" i="1"/>
  <c r="CR59" i="1" s="1"/>
  <c r="CS59" i="1" s="1"/>
  <c r="CL59" i="1"/>
  <c r="CM59" i="1" s="1"/>
  <c r="CN59" i="1" s="1"/>
  <c r="CG59" i="1"/>
  <c r="CH59" i="1" s="1"/>
  <c r="CI59" i="1" s="1"/>
  <c r="CB59" i="1"/>
  <c r="CC59" i="1" s="1"/>
  <c r="CD59" i="1" s="1"/>
  <c r="BW59" i="1"/>
  <c r="BX59" i="1" s="1"/>
  <c r="BY59" i="1" s="1"/>
  <c r="BR59" i="1"/>
  <c r="BS59" i="1" s="1"/>
  <c r="BT59" i="1" s="1"/>
  <c r="BM59" i="1"/>
  <c r="BN59" i="1" s="1"/>
  <c r="BO59" i="1" s="1"/>
  <c r="BH59" i="1"/>
  <c r="BI59" i="1" s="1"/>
  <c r="BJ59" i="1" s="1"/>
  <c r="BC59" i="1"/>
  <c r="BD59" i="1" s="1"/>
  <c r="BE59" i="1" s="1"/>
  <c r="AX59" i="1"/>
  <c r="AY59" i="1" s="1"/>
  <c r="AZ59" i="1" s="1"/>
  <c r="AS59" i="1"/>
  <c r="AT59" i="1" s="1"/>
  <c r="AU59" i="1" s="1"/>
  <c r="AN59" i="1"/>
  <c r="AO59" i="1" s="1"/>
  <c r="AP59" i="1" s="1"/>
  <c r="AI59" i="1"/>
  <c r="AJ59" i="1" s="1"/>
  <c r="AK59" i="1" s="1"/>
  <c r="AD59" i="1"/>
  <c r="AE59" i="1" s="1"/>
  <c r="AF59" i="1" s="1"/>
  <c r="X59" i="1"/>
  <c r="Y59" i="1" s="1"/>
  <c r="Z59" i="1" s="1"/>
  <c r="T59" i="1"/>
  <c r="O59" i="1"/>
  <c r="J59" i="1"/>
  <c r="PZ58" i="1"/>
  <c r="PU58" i="1"/>
  <c r="PP58" i="1"/>
  <c r="PK58" i="1"/>
  <c r="PF58" i="1"/>
  <c r="PA58" i="1"/>
  <c r="OV58" i="1"/>
  <c r="OQ58" i="1"/>
  <c r="OL58" i="1"/>
  <c r="OG58" i="1"/>
  <c r="OB58" i="1"/>
  <c r="NU58" i="1"/>
  <c r="NV58" i="1" s="1"/>
  <c r="NW58" i="1" s="1"/>
  <c r="NR58" i="1"/>
  <c r="NM58" i="1"/>
  <c r="NH58" i="1"/>
  <c r="NC58" i="1"/>
  <c r="MX58" i="1"/>
  <c r="MS58" i="1"/>
  <c r="MN58" i="1"/>
  <c r="MI58" i="1"/>
  <c r="MB58" i="1"/>
  <c r="MC58" i="1" s="1"/>
  <c r="MD58" i="1" s="1"/>
  <c r="LW58" i="1"/>
  <c r="LX58" i="1" s="1"/>
  <c r="LY58" i="1" s="1"/>
  <c r="LT58" i="1"/>
  <c r="LO58" i="1"/>
  <c r="LJ58" i="1"/>
  <c r="LE58" i="1"/>
  <c r="KZ58" i="1"/>
  <c r="KU58" i="1"/>
  <c r="KP58" i="1"/>
  <c r="KK58" i="1"/>
  <c r="KD58" i="1"/>
  <c r="KE58" i="1" s="1"/>
  <c r="KF58" i="1" s="1"/>
  <c r="IZ58" i="1"/>
  <c r="JA58" i="1" s="1"/>
  <c r="JB58" i="1" s="1"/>
  <c r="IU58" i="1"/>
  <c r="IV58" i="1" s="1"/>
  <c r="IW58" i="1" s="1"/>
  <c r="IP58" i="1"/>
  <c r="IQ58" i="1" s="1"/>
  <c r="IR58" i="1" s="1"/>
  <c r="IK58" i="1"/>
  <c r="IL58" i="1" s="1"/>
  <c r="IM58" i="1" s="1"/>
  <c r="IF58" i="1"/>
  <c r="IG58" i="1" s="1"/>
  <c r="IH58" i="1" s="1"/>
  <c r="IA58" i="1"/>
  <c r="IB58" i="1" s="1"/>
  <c r="IC58" i="1" s="1"/>
  <c r="HV58" i="1"/>
  <c r="HW58" i="1" s="1"/>
  <c r="HX58" i="1" s="1"/>
  <c r="HQ58" i="1"/>
  <c r="HR58" i="1" s="1"/>
  <c r="HS58" i="1" s="1"/>
  <c r="HL58" i="1"/>
  <c r="HM58" i="1" s="1"/>
  <c r="HN58" i="1" s="1"/>
  <c r="HG58" i="1"/>
  <c r="HH58" i="1" s="1"/>
  <c r="HI58" i="1" s="1"/>
  <c r="HB58" i="1"/>
  <c r="HC58" i="1" s="1"/>
  <c r="HD58" i="1" s="1"/>
  <c r="GW58" i="1"/>
  <c r="GX58" i="1" s="1"/>
  <c r="GY58" i="1" s="1"/>
  <c r="GR58" i="1"/>
  <c r="GS58" i="1" s="1"/>
  <c r="GT58" i="1" s="1"/>
  <c r="GM58" i="1"/>
  <c r="GN58" i="1" s="1"/>
  <c r="GO58" i="1" s="1"/>
  <c r="GH58" i="1"/>
  <c r="GI58" i="1" s="1"/>
  <c r="GJ58" i="1" s="1"/>
  <c r="GC58" i="1"/>
  <c r="GD58" i="1" s="1"/>
  <c r="GE58" i="1" s="1"/>
  <c r="FX58" i="1"/>
  <c r="FY58" i="1" s="1"/>
  <c r="FZ58" i="1" s="1"/>
  <c r="FS58" i="1"/>
  <c r="FT58" i="1" s="1"/>
  <c r="FU58" i="1" s="1"/>
  <c r="FN58" i="1"/>
  <c r="FO58" i="1" s="1"/>
  <c r="FP58" i="1" s="1"/>
  <c r="FI58" i="1"/>
  <c r="FJ58" i="1" s="1"/>
  <c r="FK58" i="1" s="1"/>
  <c r="FD58" i="1"/>
  <c r="FE58" i="1" s="1"/>
  <c r="FF58" i="1" s="1"/>
  <c r="EY58" i="1"/>
  <c r="EZ58" i="1" s="1"/>
  <c r="FA58" i="1" s="1"/>
  <c r="ET58" i="1"/>
  <c r="EU58" i="1" s="1"/>
  <c r="EV58" i="1" s="1"/>
  <c r="EO58" i="1"/>
  <c r="EP58" i="1" s="1"/>
  <c r="EQ58" i="1" s="1"/>
  <c r="EJ58" i="1"/>
  <c r="EK58" i="1" s="1"/>
  <c r="EL58" i="1" s="1"/>
  <c r="EE58" i="1"/>
  <c r="EF58" i="1" s="1"/>
  <c r="EG58" i="1" s="1"/>
  <c r="DZ58" i="1"/>
  <c r="EA58" i="1" s="1"/>
  <c r="EB58" i="1" s="1"/>
  <c r="DU58" i="1"/>
  <c r="DV58" i="1" s="1"/>
  <c r="DW58" i="1" s="1"/>
  <c r="DP58" i="1"/>
  <c r="DQ58" i="1" s="1"/>
  <c r="DR58" i="1" s="1"/>
  <c r="DK58" i="1"/>
  <c r="DL58" i="1" s="1"/>
  <c r="DM58" i="1" s="1"/>
  <c r="DF58" i="1"/>
  <c r="DG58" i="1" s="1"/>
  <c r="DH58" i="1" s="1"/>
  <c r="DA58" i="1"/>
  <c r="DB58" i="1" s="1"/>
  <c r="DC58" i="1" s="1"/>
  <c r="CV58" i="1"/>
  <c r="CW58" i="1" s="1"/>
  <c r="CX58" i="1" s="1"/>
  <c r="CQ58" i="1"/>
  <c r="CR58" i="1" s="1"/>
  <c r="CS58" i="1" s="1"/>
  <c r="CL58" i="1"/>
  <c r="CM58" i="1" s="1"/>
  <c r="CN58" i="1" s="1"/>
  <c r="CG58" i="1"/>
  <c r="CH58" i="1" s="1"/>
  <c r="CI58" i="1" s="1"/>
  <c r="CB58" i="1"/>
  <c r="CC58" i="1" s="1"/>
  <c r="CD58" i="1" s="1"/>
  <c r="BW58" i="1"/>
  <c r="BX58" i="1" s="1"/>
  <c r="BY58" i="1" s="1"/>
  <c r="BR58" i="1"/>
  <c r="BS58" i="1" s="1"/>
  <c r="BT58" i="1" s="1"/>
  <c r="BM58" i="1"/>
  <c r="BN58" i="1" s="1"/>
  <c r="BO58" i="1" s="1"/>
  <c r="BH58" i="1"/>
  <c r="BI58" i="1" s="1"/>
  <c r="BJ58" i="1" s="1"/>
  <c r="BC58" i="1"/>
  <c r="BD58" i="1" s="1"/>
  <c r="BE58" i="1" s="1"/>
  <c r="AX58" i="1"/>
  <c r="AY58" i="1" s="1"/>
  <c r="AZ58" i="1" s="1"/>
  <c r="AS58" i="1"/>
  <c r="AT58" i="1" s="1"/>
  <c r="AU58" i="1" s="1"/>
  <c r="AN58" i="1"/>
  <c r="AO58" i="1" s="1"/>
  <c r="AP58" i="1" s="1"/>
  <c r="AI58" i="1"/>
  <c r="AJ58" i="1" s="1"/>
  <c r="AK58" i="1" s="1"/>
  <c r="AD58" i="1"/>
  <c r="AE58" i="1" s="1"/>
  <c r="AF58" i="1" s="1"/>
  <c r="X58" i="1"/>
  <c r="Y58" i="1" s="1"/>
  <c r="Z58" i="1" s="1"/>
  <c r="T58" i="1"/>
  <c r="O58" i="1"/>
  <c r="J58" i="1"/>
  <c r="PZ57" i="1"/>
  <c r="PU57" i="1"/>
  <c r="PP57" i="1"/>
  <c r="PK57" i="1"/>
  <c r="PF57" i="1"/>
  <c r="PA57" i="1"/>
  <c r="OV57" i="1"/>
  <c r="OQ57" i="1"/>
  <c r="OL57" i="1"/>
  <c r="OG57" i="1"/>
  <c r="OB57" i="1"/>
  <c r="NW57" i="1"/>
  <c r="NR57" i="1"/>
  <c r="NM57" i="1"/>
  <c r="NH57" i="1"/>
  <c r="NC57" i="1"/>
  <c r="MX57" i="1"/>
  <c r="MS57" i="1"/>
  <c r="MN57" i="1"/>
  <c r="MI57" i="1"/>
  <c r="MB57" i="1"/>
  <c r="MC57" i="1" s="1"/>
  <c r="MD57" i="1" s="1"/>
  <c r="LW57" i="1"/>
  <c r="LX57" i="1" s="1"/>
  <c r="LY57" i="1" s="1"/>
  <c r="LT57" i="1"/>
  <c r="LO57" i="1"/>
  <c r="LH57" i="1"/>
  <c r="LI57" i="1" s="1"/>
  <c r="LJ57" i="1" s="1"/>
  <c r="LC57" i="1"/>
  <c r="LD57" i="1" s="1"/>
  <c r="LE57" i="1" s="1"/>
  <c r="KZ57" i="1"/>
  <c r="KS57" i="1"/>
  <c r="KT57" i="1" s="1"/>
  <c r="KU57" i="1" s="1"/>
  <c r="KP57" i="1"/>
  <c r="KK57" i="1"/>
  <c r="KF57" i="1"/>
  <c r="IZ57" i="1"/>
  <c r="JA57" i="1" s="1"/>
  <c r="JB57" i="1" s="1"/>
  <c r="IU57" i="1"/>
  <c r="IV57" i="1" s="1"/>
  <c r="IW57" i="1" s="1"/>
  <c r="IP57" i="1"/>
  <c r="IQ57" i="1" s="1"/>
  <c r="IR57" i="1" s="1"/>
  <c r="IK57" i="1"/>
  <c r="IL57" i="1" s="1"/>
  <c r="IM57" i="1" s="1"/>
  <c r="IF57" i="1"/>
  <c r="IG57" i="1" s="1"/>
  <c r="IH57" i="1" s="1"/>
  <c r="IA57" i="1"/>
  <c r="IB57" i="1" s="1"/>
  <c r="IC57" i="1" s="1"/>
  <c r="HV57" i="1"/>
  <c r="HW57" i="1" s="1"/>
  <c r="HX57" i="1" s="1"/>
  <c r="HQ57" i="1"/>
  <c r="HR57" i="1" s="1"/>
  <c r="HS57" i="1" s="1"/>
  <c r="HL57" i="1"/>
  <c r="HM57" i="1" s="1"/>
  <c r="HN57" i="1" s="1"/>
  <c r="HG57" i="1"/>
  <c r="HH57" i="1" s="1"/>
  <c r="HI57" i="1" s="1"/>
  <c r="HB57" i="1"/>
  <c r="HC57" i="1" s="1"/>
  <c r="HD57" i="1" s="1"/>
  <c r="GW57" i="1"/>
  <c r="GX57" i="1" s="1"/>
  <c r="GY57" i="1" s="1"/>
  <c r="GR57" i="1"/>
  <c r="GS57" i="1" s="1"/>
  <c r="GT57" i="1" s="1"/>
  <c r="GM57" i="1"/>
  <c r="GN57" i="1" s="1"/>
  <c r="GO57" i="1" s="1"/>
  <c r="GH57" i="1"/>
  <c r="GI57" i="1" s="1"/>
  <c r="GJ57" i="1" s="1"/>
  <c r="GC57" i="1"/>
  <c r="GD57" i="1" s="1"/>
  <c r="GE57" i="1" s="1"/>
  <c r="FX57" i="1"/>
  <c r="FY57" i="1" s="1"/>
  <c r="FZ57" i="1" s="1"/>
  <c r="FS57" i="1"/>
  <c r="FT57" i="1" s="1"/>
  <c r="FU57" i="1" s="1"/>
  <c r="FN57" i="1"/>
  <c r="FO57" i="1" s="1"/>
  <c r="FP57" i="1" s="1"/>
  <c r="FI57" i="1"/>
  <c r="FJ57" i="1" s="1"/>
  <c r="FK57" i="1" s="1"/>
  <c r="FD57" i="1"/>
  <c r="FE57" i="1" s="1"/>
  <c r="FF57" i="1" s="1"/>
  <c r="EY57" i="1"/>
  <c r="EZ57" i="1" s="1"/>
  <c r="FA57" i="1" s="1"/>
  <c r="ET57" i="1"/>
  <c r="EU57" i="1" s="1"/>
  <c r="EV57" i="1" s="1"/>
  <c r="EO57" i="1"/>
  <c r="EP57" i="1" s="1"/>
  <c r="EQ57" i="1" s="1"/>
  <c r="EJ57" i="1"/>
  <c r="EK57" i="1" s="1"/>
  <c r="EL57" i="1" s="1"/>
  <c r="EE57" i="1"/>
  <c r="EF57" i="1" s="1"/>
  <c r="EG57" i="1" s="1"/>
  <c r="DZ57" i="1"/>
  <c r="EA57" i="1" s="1"/>
  <c r="EB57" i="1" s="1"/>
  <c r="DU57" i="1"/>
  <c r="DV57" i="1" s="1"/>
  <c r="DW57" i="1" s="1"/>
  <c r="DP57" i="1"/>
  <c r="DQ57" i="1" s="1"/>
  <c r="DR57" i="1" s="1"/>
  <c r="DK57" i="1"/>
  <c r="DL57" i="1" s="1"/>
  <c r="DM57" i="1" s="1"/>
  <c r="DF57" i="1"/>
  <c r="DG57" i="1" s="1"/>
  <c r="DH57" i="1" s="1"/>
  <c r="DA57" i="1"/>
  <c r="DB57" i="1" s="1"/>
  <c r="DC57" i="1" s="1"/>
  <c r="CV57" i="1"/>
  <c r="CW57" i="1" s="1"/>
  <c r="CX57" i="1" s="1"/>
  <c r="CQ57" i="1"/>
  <c r="CR57" i="1" s="1"/>
  <c r="CS57" i="1" s="1"/>
  <c r="CL57" i="1"/>
  <c r="CM57" i="1" s="1"/>
  <c r="CN57" i="1" s="1"/>
  <c r="CG57" i="1"/>
  <c r="CH57" i="1" s="1"/>
  <c r="CI57" i="1" s="1"/>
  <c r="CB57" i="1"/>
  <c r="CC57" i="1" s="1"/>
  <c r="CD57" i="1" s="1"/>
  <c r="BW57" i="1"/>
  <c r="BX57" i="1" s="1"/>
  <c r="BY57" i="1" s="1"/>
  <c r="BR57" i="1"/>
  <c r="BS57" i="1" s="1"/>
  <c r="BT57" i="1" s="1"/>
  <c r="BM57" i="1"/>
  <c r="BN57" i="1" s="1"/>
  <c r="BO57" i="1" s="1"/>
  <c r="BH57" i="1"/>
  <c r="BI57" i="1" s="1"/>
  <c r="BJ57" i="1" s="1"/>
  <c r="BC57" i="1"/>
  <c r="BD57" i="1" s="1"/>
  <c r="BE57" i="1" s="1"/>
  <c r="AX57" i="1"/>
  <c r="AY57" i="1" s="1"/>
  <c r="AZ57" i="1" s="1"/>
  <c r="AS57" i="1"/>
  <c r="AT57" i="1" s="1"/>
  <c r="AU57" i="1" s="1"/>
  <c r="AN57" i="1"/>
  <c r="AO57" i="1" s="1"/>
  <c r="AP57" i="1" s="1"/>
  <c r="AI57" i="1"/>
  <c r="AJ57" i="1" s="1"/>
  <c r="AK57" i="1" s="1"/>
  <c r="AD57" i="1"/>
  <c r="AE57" i="1" s="1"/>
  <c r="AF57" i="1" s="1"/>
  <c r="X57" i="1"/>
  <c r="Y57" i="1" s="1"/>
  <c r="Z57" i="1" s="1"/>
  <c r="T57" i="1"/>
  <c r="O57" i="1"/>
  <c r="J57" i="1"/>
  <c r="PZ56" i="1"/>
  <c r="PU56" i="1"/>
  <c r="PP56" i="1"/>
  <c r="PK56" i="1"/>
  <c r="PF56" i="1"/>
  <c r="PA56" i="1"/>
  <c r="OV56" i="1"/>
  <c r="OQ56" i="1"/>
  <c r="OL56" i="1"/>
  <c r="OG56" i="1"/>
  <c r="OB56" i="1"/>
  <c r="NW56" i="1"/>
  <c r="NR56" i="1"/>
  <c r="NM56" i="1"/>
  <c r="NH56" i="1"/>
  <c r="NC56" i="1"/>
  <c r="MX56" i="1"/>
  <c r="MS56" i="1"/>
  <c r="MN56" i="1"/>
  <c r="MI56" i="1"/>
  <c r="MD56" i="1"/>
  <c r="LY56" i="1"/>
  <c r="LT56" i="1"/>
  <c r="LO56" i="1"/>
  <c r="LJ56" i="1"/>
  <c r="LE56" i="1"/>
  <c r="KZ56" i="1"/>
  <c r="KU56" i="1"/>
  <c r="KP56" i="1"/>
  <c r="KK56" i="1"/>
  <c r="KF56" i="1"/>
  <c r="IZ56" i="1"/>
  <c r="JA56" i="1" s="1"/>
  <c r="JB56" i="1" s="1"/>
  <c r="IU56" i="1"/>
  <c r="IV56" i="1" s="1"/>
  <c r="IW56" i="1" s="1"/>
  <c r="IP56" i="1"/>
  <c r="IQ56" i="1" s="1"/>
  <c r="IR56" i="1" s="1"/>
  <c r="IK56" i="1"/>
  <c r="IL56" i="1" s="1"/>
  <c r="IM56" i="1" s="1"/>
  <c r="IF56" i="1"/>
  <c r="IG56" i="1" s="1"/>
  <c r="IH56" i="1" s="1"/>
  <c r="IA56" i="1"/>
  <c r="IB56" i="1" s="1"/>
  <c r="IC56" i="1" s="1"/>
  <c r="HV56" i="1"/>
  <c r="HW56" i="1" s="1"/>
  <c r="HX56" i="1" s="1"/>
  <c r="HQ56" i="1"/>
  <c r="HR56" i="1" s="1"/>
  <c r="HS56" i="1" s="1"/>
  <c r="HL56" i="1"/>
  <c r="HM56" i="1" s="1"/>
  <c r="HN56" i="1" s="1"/>
  <c r="HG56" i="1"/>
  <c r="HH56" i="1" s="1"/>
  <c r="HI56" i="1" s="1"/>
  <c r="HB56" i="1"/>
  <c r="HC56" i="1" s="1"/>
  <c r="HD56" i="1" s="1"/>
  <c r="GW56" i="1"/>
  <c r="GX56" i="1" s="1"/>
  <c r="GY56" i="1" s="1"/>
  <c r="GR56" i="1"/>
  <c r="GS56" i="1" s="1"/>
  <c r="GT56" i="1" s="1"/>
  <c r="GM56" i="1"/>
  <c r="GN56" i="1" s="1"/>
  <c r="GO56" i="1" s="1"/>
  <c r="GH56" i="1"/>
  <c r="GI56" i="1" s="1"/>
  <c r="GJ56" i="1" s="1"/>
  <c r="GC56" i="1"/>
  <c r="GD56" i="1" s="1"/>
  <c r="GE56" i="1" s="1"/>
  <c r="FX56" i="1"/>
  <c r="FY56" i="1" s="1"/>
  <c r="FZ56" i="1" s="1"/>
  <c r="FS56" i="1"/>
  <c r="FT56" i="1" s="1"/>
  <c r="FU56" i="1" s="1"/>
  <c r="FN56" i="1"/>
  <c r="FO56" i="1" s="1"/>
  <c r="FP56" i="1" s="1"/>
  <c r="FI56" i="1"/>
  <c r="FJ56" i="1" s="1"/>
  <c r="FK56" i="1" s="1"/>
  <c r="FD56" i="1"/>
  <c r="FE56" i="1" s="1"/>
  <c r="FF56" i="1" s="1"/>
  <c r="EY56" i="1"/>
  <c r="EZ56" i="1" s="1"/>
  <c r="FA56" i="1" s="1"/>
  <c r="ET56" i="1"/>
  <c r="EU56" i="1" s="1"/>
  <c r="EV56" i="1" s="1"/>
  <c r="EO56" i="1"/>
  <c r="EP56" i="1" s="1"/>
  <c r="EQ56" i="1" s="1"/>
  <c r="EJ56" i="1"/>
  <c r="EK56" i="1" s="1"/>
  <c r="EL56" i="1" s="1"/>
  <c r="EE56" i="1"/>
  <c r="EF56" i="1" s="1"/>
  <c r="EG56" i="1" s="1"/>
  <c r="DZ56" i="1"/>
  <c r="EA56" i="1" s="1"/>
  <c r="EB56" i="1" s="1"/>
  <c r="DU56" i="1"/>
  <c r="DV56" i="1" s="1"/>
  <c r="DW56" i="1" s="1"/>
  <c r="DP56" i="1"/>
  <c r="DQ56" i="1" s="1"/>
  <c r="DR56" i="1" s="1"/>
  <c r="DK56" i="1"/>
  <c r="DL56" i="1" s="1"/>
  <c r="DM56" i="1" s="1"/>
  <c r="DF56" i="1"/>
  <c r="DG56" i="1" s="1"/>
  <c r="DH56" i="1" s="1"/>
  <c r="DA56" i="1"/>
  <c r="DB56" i="1" s="1"/>
  <c r="DC56" i="1" s="1"/>
  <c r="CV56" i="1"/>
  <c r="CW56" i="1" s="1"/>
  <c r="CX56" i="1" s="1"/>
  <c r="CQ56" i="1"/>
  <c r="CR56" i="1" s="1"/>
  <c r="CS56" i="1" s="1"/>
  <c r="CL56" i="1"/>
  <c r="CM56" i="1" s="1"/>
  <c r="CN56" i="1" s="1"/>
  <c r="CG56" i="1"/>
  <c r="CH56" i="1" s="1"/>
  <c r="CI56" i="1" s="1"/>
  <c r="CB56" i="1"/>
  <c r="CC56" i="1" s="1"/>
  <c r="CD56" i="1" s="1"/>
  <c r="BW56" i="1"/>
  <c r="BX56" i="1" s="1"/>
  <c r="BY56" i="1" s="1"/>
  <c r="BR56" i="1"/>
  <c r="BS56" i="1" s="1"/>
  <c r="BT56" i="1" s="1"/>
  <c r="BM56" i="1"/>
  <c r="BN56" i="1" s="1"/>
  <c r="BO56" i="1" s="1"/>
  <c r="BH56" i="1"/>
  <c r="BI56" i="1" s="1"/>
  <c r="BJ56" i="1" s="1"/>
  <c r="BC56" i="1"/>
  <c r="BD56" i="1" s="1"/>
  <c r="BE56" i="1" s="1"/>
  <c r="AX56" i="1"/>
  <c r="AY56" i="1" s="1"/>
  <c r="AZ56" i="1" s="1"/>
  <c r="AS56" i="1"/>
  <c r="AT56" i="1" s="1"/>
  <c r="AU56" i="1" s="1"/>
  <c r="AN56" i="1"/>
  <c r="AO56" i="1" s="1"/>
  <c r="AP56" i="1" s="1"/>
  <c r="AI56" i="1"/>
  <c r="AJ56" i="1" s="1"/>
  <c r="AK56" i="1" s="1"/>
  <c r="AD56" i="1"/>
  <c r="AE56" i="1" s="1"/>
  <c r="AF56" i="1" s="1"/>
  <c r="X56" i="1"/>
  <c r="Y56" i="1" s="1"/>
  <c r="Z56" i="1" s="1"/>
  <c r="R56" i="1"/>
  <c r="S56" i="1" s="1"/>
  <c r="T56" i="1" s="1"/>
  <c r="O56" i="1"/>
  <c r="J56" i="1"/>
  <c r="PZ55" i="1"/>
  <c r="PU55" i="1"/>
  <c r="PP55" i="1"/>
  <c r="PK55" i="1"/>
  <c r="PF55" i="1"/>
  <c r="PA55" i="1"/>
  <c r="OV55" i="1"/>
  <c r="OQ55" i="1"/>
  <c r="OL55" i="1"/>
  <c r="OG55" i="1"/>
  <c r="OB55" i="1"/>
  <c r="NW55" i="1"/>
  <c r="NR55" i="1"/>
  <c r="NM55" i="1"/>
  <c r="NH55" i="1"/>
  <c r="NC55" i="1"/>
  <c r="MX55" i="1"/>
  <c r="MS55" i="1"/>
  <c r="MN55" i="1"/>
  <c r="MI55" i="1"/>
  <c r="MD55" i="1"/>
  <c r="LY55" i="1"/>
  <c r="LT55" i="1"/>
  <c r="LO55" i="1"/>
  <c r="LJ55" i="1"/>
  <c r="LE55" i="1"/>
  <c r="KZ55" i="1"/>
  <c r="KU55" i="1"/>
  <c r="KP55" i="1"/>
  <c r="KK55" i="1"/>
  <c r="KF55" i="1"/>
  <c r="JB55" i="1"/>
  <c r="IW55" i="1"/>
  <c r="IR55" i="1"/>
  <c r="IM55" i="1"/>
  <c r="IH55" i="1"/>
  <c r="IC55" i="1"/>
  <c r="HX55" i="1"/>
  <c r="HS55" i="1"/>
  <c r="HN55" i="1"/>
  <c r="HI55" i="1"/>
  <c r="HB55" i="1"/>
  <c r="HC55" i="1" s="1"/>
  <c r="HD55" i="1" s="1"/>
  <c r="GW55" i="1"/>
  <c r="GX55" i="1" s="1"/>
  <c r="GY55" i="1" s="1"/>
  <c r="GR55" i="1"/>
  <c r="GS55" i="1" s="1"/>
  <c r="GT55" i="1" s="1"/>
  <c r="GM55" i="1"/>
  <c r="GN55" i="1" s="1"/>
  <c r="GO55" i="1" s="1"/>
  <c r="GH55" i="1"/>
  <c r="GI55" i="1" s="1"/>
  <c r="GJ55" i="1" s="1"/>
  <c r="GC55" i="1"/>
  <c r="GD55" i="1" s="1"/>
  <c r="GE55" i="1" s="1"/>
  <c r="FX55" i="1"/>
  <c r="FY55" i="1" s="1"/>
  <c r="FZ55" i="1" s="1"/>
  <c r="FS55" i="1"/>
  <c r="FT55" i="1" s="1"/>
  <c r="FU55" i="1" s="1"/>
  <c r="FN55" i="1"/>
  <c r="FO55" i="1" s="1"/>
  <c r="FP55" i="1" s="1"/>
  <c r="FI55" i="1"/>
  <c r="FJ55" i="1" s="1"/>
  <c r="FK55" i="1" s="1"/>
  <c r="FD55" i="1"/>
  <c r="FE55" i="1" s="1"/>
  <c r="FF55" i="1" s="1"/>
  <c r="EY55" i="1"/>
  <c r="EZ55" i="1" s="1"/>
  <c r="FA55" i="1" s="1"/>
  <c r="ET55" i="1"/>
  <c r="EU55" i="1" s="1"/>
  <c r="EV55" i="1" s="1"/>
  <c r="EO55" i="1"/>
  <c r="EP55" i="1" s="1"/>
  <c r="EQ55" i="1" s="1"/>
  <c r="EJ55" i="1"/>
  <c r="EK55" i="1" s="1"/>
  <c r="EL55" i="1" s="1"/>
  <c r="EE55" i="1"/>
  <c r="EF55" i="1" s="1"/>
  <c r="EG55" i="1" s="1"/>
  <c r="DZ55" i="1"/>
  <c r="EA55" i="1" s="1"/>
  <c r="EB55" i="1" s="1"/>
  <c r="DU55" i="1"/>
  <c r="DV55" i="1" s="1"/>
  <c r="DW55" i="1" s="1"/>
  <c r="DP55" i="1"/>
  <c r="DQ55" i="1" s="1"/>
  <c r="DR55" i="1" s="1"/>
  <c r="DK55" i="1"/>
  <c r="DL55" i="1" s="1"/>
  <c r="DM55" i="1" s="1"/>
  <c r="DF55" i="1"/>
  <c r="DG55" i="1" s="1"/>
  <c r="DH55" i="1" s="1"/>
  <c r="DA55" i="1"/>
  <c r="DB55" i="1" s="1"/>
  <c r="DC55" i="1" s="1"/>
  <c r="CV55" i="1"/>
  <c r="CW55" i="1" s="1"/>
  <c r="CX55" i="1" s="1"/>
  <c r="CQ55" i="1"/>
  <c r="CR55" i="1" s="1"/>
  <c r="CS55" i="1" s="1"/>
  <c r="CL55" i="1"/>
  <c r="CM55" i="1" s="1"/>
  <c r="CN55" i="1" s="1"/>
  <c r="CG55" i="1"/>
  <c r="CH55" i="1" s="1"/>
  <c r="CI55" i="1" s="1"/>
  <c r="CB55" i="1"/>
  <c r="CC55" i="1" s="1"/>
  <c r="CD55" i="1" s="1"/>
  <c r="BW55" i="1"/>
  <c r="BX55" i="1" s="1"/>
  <c r="BY55" i="1" s="1"/>
  <c r="BR55" i="1"/>
  <c r="BS55" i="1" s="1"/>
  <c r="BT55" i="1" s="1"/>
  <c r="BM55" i="1"/>
  <c r="BN55" i="1" s="1"/>
  <c r="BO55" i="1" s="1"/>
  <c r="BH55" i="1"/>
  <c r="BI55" i="1" s="1"/>
  <c r="BJ55" i="1" s="1"/>
  <c r="BC55" i="1"/>
  <c r="BD55" i="1" s="1"/>
  <c r="BE55" i="1" s="1"/>
  <c r="AX55" i="1"/>
  <c r="AY55" i="1" s="1"/>
  <c r="AZ55" i="1" s="1"/>
  <c r="AS55" i="1"/>
  <c r="AT55" i="1" s="1"/>
  <c r="AU55" i="1" s="1"/>
  <c r="AN55" i="1"/>
  <c r="AO55" i="1" s="1"/>
  <c r="AP55" i="1" s="1"/>
  <c r="AI55" i="1"/>
  <c r="AJ55" i="1" s="1"/>
  <c r="AK55" i="1" s="1"/>
  <c r="AF55" i="1"/>
  <c r="X55" i="1"/>
  <c r="Y55" i="1" s="1"/>
  <c r="Z55" i="1" s="1"/>
  <c r="T55" i="1"/>
  <c r="O55" i="1"/>
  <c r="H55" i="1"/>
  <c r="I55" i="1" s="1"/>
  <c r="J55" i="1" s="1"/>
  <c r="PZ54" i="1"/>
  <c r="PU54" i="1"/>
  <c r="PP54" i="1"/>
  <c r="PK54" i="1"/>
  <c r="PF54" i="1"/>
  <c r="PA54" i="1"/>
  <c r="OV54" i="1"/>
  <c r="OQ54" i="1"/>
  <c r="OL54" i="1"/>
  <c r="OG54" i="1"/>
  <c r="OB54" i="1"/>
  <c r="NW54" i="1"/>
  <c r="NR54" i="1"/>
  <c r="NM54" i="1"/>
  <c r="NH54" i="1"/>
  <c r="NC54" i="1"/>
  <c r="MX54" i="1"/>
  <c r="MS54" i="1"/>
  <c r="MN54" i="1"/>
  <c r="MG54" i="1"/>
  <c r="MH54" i="1" s="1"/>
  <c r="MI54" i="1" s="1"/>
  <c r="MD54" i="1"/>
  <c r="LY54" i="1"/>
  <c r="LT54" i="1"/>
  <c r="LO54" i="1"/>
  <c r="LJ54" i="1"/>
  <c r="LE54" i="1"/>
  <c r="KZ54" i="1"/>
  <c r="KU54" i="1"/>
  <c r="KN54" i="1"/>
  <c r="KO54" i="1" s="1"/>
  <c r="KP54" i="1" s="1"/>
  <c r="KK54" i="1"/>
  <c r="KF54" i="1"/>
  <c r="IZ54" i="1"/>
  <c r="JA54" i="1" s="1"/>
  <c r="JB54" i="1" s="1"/>
  <c r="IU54" i="1"/>
  <c r="IV54" i="1" s="1"/>
  <c r="IW54" i="1" s="1"/>
  <c r="IP54" i="1"/>
  <c r="IQ54" i="1" s="1"/>
  <c r="IR54" i="1" s="1"/>
  <c r="IK54" i="1"/>
  <c r="IL54" i="1" s="1"/>
  <c r="IM54" i="1" s="1"/>
  <c r="IF54" i="1"/>
  <c r="IG54" i="1" s="1"/>
  <c r="IH54" i="1" s="1"/>
  <c r="IA54" i="1"/>
  <c r="IB54" i="1" s="1"/>
  <c r="IC54" i="1" s="1"/>
  <c r="HV54" i="1"/>
  <c r="HW54" i="1" s="1"/>
  <c r="HX54" i="1" s="1"/>
  <c r="HS54" i="1"/>
  <c r="HN54" i="1"/>
  <c r="HG54" i="1"/>
  <c r="HH54" i="1" s="1"/>
  <c r="HI54" i="1" s="1"/>
  <c r="HB54" i="1"/>
  <c r="HC54" i="1" s="1"/>
  <c r="HD54" i="1" s="1"/>
  <c r="GW54" i="1"/>
  <c r="GX54" i="1" s="1"/>
  <c r="GY54" i="1" s="1"/>
  <c r="GR54" i="1"/>
  <c r="GS54" i="1" s="1"/>
  <c r="GT54" i="1" s="1"/>
  <c r="GM54" i="1"/>
  <c r="GN54" i="1" s="1"/>
  <c r="GO54" i="1" s="1"/>
  <c r="GH54" i="1"/>
  <c r="GI54" i="1" s="1"/>
  <c r="GJ54" i="1" s="1"/>
  <c r="GC54" i="1"/>
  <c r="GD54" i="1" s="1"/>
  <c r="GE54" i="1" s="1"/>
  <c r="FX54" i="1"/>
  <c r="FY54" i="1" s="1"/>
  <c r="FZ54" i="1" s="1"/>
  <c r="FS54" i="1"/>
  <c r="FT54" i="1" s="1"/>
  <c r="FU54" i="1" s="1"/>
  <c r="FN54" i="1"/>
  <c r="FO54" i="1" s="1"/>
  <c r="FP54" i="1" s="1"/>
  <c r="FI54" i="1"/>
  <c r="FJ54" i="1" s="1"/>
  <c r="FK54" i="1" s="1"/>
  <c r="FD54" i="1"/>
  <c r="FE54" i="1" s="1"/>
  <c r="FF54" i="1" s="1"/>
  <c r="EY54" i="1"/>
  <c r="EZ54" i="1" s="1"/>
  <c r="FA54" i="1" s="1"/>
  <c r="ET54" i="1"/>
  <c r="EU54" i="1" s="1"/>
  <c r="EV54" i="1" s="1"/>
  <c r="EO54" i="1"/>
  <c r="EP54" i="1" s="1"/>
  <c r="EQ54" i="1" s="1"/>
  <c r="EJ54" i="1"/>
  <c r="EK54" i="1" s="1"/>
  <c r="EL54" i="1" s="1"/>
  <c r="EE54" i="1"/>
  <c r="EF54" i="1" s="1"/>
  <c r="EG54" i="1" s="1"/>
  <c r="DZ54" i="1"/>
  <c r="EA54" i="1" s="1"/>
  <c r="EB54" i="1" s="1"/>
  <c r="DU54" i="1"/>
  <c r="DV54" i="1" s="1"/>
  <c r="DW54" i="1" s="1"/>
  <c r="DP54" i="1"/>
  <c r="DQ54" i="1" s="1"/>
  <c r="DR54" i="1" s="1"/>
  <c r="DK54" i="1"/>
  <c r="DL54" i="1" s="1"/>
  <c r="DM54" i="1" s="1"/>
  <c r="DF54" i="1"/>
  <c r="DG54" i="1" s="1"/>
  <c r="DH54" i="1" s="1"/>
  <c r="DA54" i="1"/>
  <c r="DB54" i="1" s="1"/>
  <c r="DC54" i="1" s="1"/>
  <c r="CV54" i="1"/>
  <c r="CW54" i="1" s="1"/>
  <c r="CX54" i="1" s="1"/>
  <c r="CQ54" i="1"/>
  <c r="CR54" i="1" s="1"/>
  <c r="CS54" i="1" s="1"/>
  <c r="CL54" i="1"/>
  <c r="CM54" i="1" s="1"/>
  <c r="CN54" i="1" s="1"/>
  <c r="CG54" i="1"/>
  <c r="CH54" i="1" s="1"/>
  <c r="CI54" i="1" s="1"/>
  <c r="CB54" i="1"/>
  <c r="CC54" i="1" s="1"/>
  <c r="CD54" i="1" s="1"/>
  <c r="BW54" i="1"/>
  <c r="BX54" i="1" s="1"/>
  <c r="BY54" i="1" s="1"/>
  <c r="BR54" i="1"/>
  <c r="BS54" i="1" s="1"/>
  <c r="BT54" i="1" s="1"/>
  <c r="BM54" i="1"/>
  <c r="BN54" i="1" s="1"/>
  <c r="BO54" i="1" s="1"/>
  <c r="BH54" i="1"/>
  <c r="BI54" i="1" s="1"/>
  <c r="BJ54" i="1" s="1"/>
  <c r="BC54" i="1"/>
  <c r="BD54" i="1" s="1"/>
  <c r="BE54" i="1" s="1"/>
  <c r="AX54" i="1"/>
  <c r="AY54" i="1" s="1"/>
  <c r="AZ54" i="1" s="1"/>
  <c r="AS54" i="1"/>
  <c r="AT54" i="1" s="1"/>
  <c r="AU54" i="1" s="1"/>
  <c r="AN54" i="1"/>
  <c r="AO54" i="1" s="1"/>
  <c r="AP54" i="1" s="1"/>
  <c r="AI54" i="1"/>
  <c r="AJ54" i="1" s="1"/>
  <c r="AK54" i="1" s="1"/>
  <c r="AD54" i="1"/>
  <c r="AE54" i="1" s="1"/>
  <c r="AF54" i="1" s="1"/>
  <c r="X54" i="1"/>
  <c r="Y54" i="1" s="1"/>
  <c r="Z54" i="1" s="1"/>
  <c r="T54" i="1"/>
  <c r="O54" i="1"/>
  <c r="J54" i="1"/>
  <c r="PZ53" i="1"/>
  <c r="PU53" i="1"/>
  <c r="PP53" i="1"/>
  <c r="PK53" i="1"/>
  <c r="PF53" i="1"/>
  <c r="PA53" i="1"/>
  <c r="OV53" i="1"/>
  <c r="OQ53" i="1"/>
  <c r="OL53" i="1"/>
  <c r="OG53" i="1"/>
  <c r="OB53" i="1"/>
  <c r="NW53" i="1"/>
  <c r="NR53" i="1"/>
  <c r="NM53" i="1"/>
  <c r="NH53" i="1"/>
  <c r="NC53" i="1"/>
  <c r="MX53" i="1"/>
  <c r="MS53" i="1"/>
  <c r="MN53" i="1"/>
  <c r="MI53" i="1"/>
  <c r="MD53" i="1"/>
  <c r="LY53" i="1"/>
  <c r="LT53" i="1"/>
  <c r="LO53" i="1"/>
  <c r="LJ53" i="1"/>
  <c r="LE53" i="1"/>
  <c r="KZ53" i="1"/>
  <c r="KU53" i="1"/>
  <c r="KP53" i="1"/>
  <c r="KK53" i="1"/>
  <c r="KF53" i="1"/>
  <c r="JB53" i="1"/>
  <c r="IW53" i="1"/>
  <c r="IR53" i="1"/>
  <c r="IM53" i="1"/>
  <c r="IH53" i="1"/>
  <c r="IC53" i="1"/>
  <c r="HX53" i="1"/>
  <c r="HS53" i="1"/>
  <c r="HN53" i="1"/>
  <c r="HI53" i="1"/>
  <c r="HB53" i="1"/>
  <c r="HC53" i="1" s="1"/>
  <c r="HD53" i="1" s="1"/>
  <c r="GW53" i="1"/>
  <c r="GX53" i="1" s="1"/>
  <c r="GY53" i="1" s="1"/>
  <c r="GR53" i="1"/>
  <c r="GS53" i="1" s="1"/>
  <c r="GT53" i="1" s="1"/>
  <c r="GM53" i="1"/>
  <c r="GN53" i="1" s="1"/>
  <c r="GO53" i="1" s="1"/>
  <c r="GH53" i="1"/>
  <c r="GI53" i="1" s="1"/>
  <c r="GJ53" i="1" s="1"/>
  <c r="GC53" i="1"/>
  <c r="GD53" i="1" s="1"/>
  <c r="GE53" i="1" s="1"/>
  <c r="FX53" i="1"/>
  <c r="FY53" i="1" s="1"/>
  <c r="FZ53" i="1" s="1"/>
  <c r="FS53" i="1"/>
  <c r="FT53" i="1" s="1"/>
  <c r="FU53" i="1" s="1"/>
  <c r="FN53" i="1"/>
  <c r="FO53" i="1" s="1"/>
  <c r="FP53" i="1" s="1"/>
  <c r="FI53" i="1"/>
  <c r="FJ53" i="1" s="1"/>
  <c r="FK53" i="1" s="1"/>
  <c r="FD53" i="1"/>
  <c r="FE53" i="1" s="1"/>
  <c r="FF53" i="1" s="1"/>
  <c r="EY53" i="1"/>
  <c r="EZ53" i="1" s="1"/>
  <c r="FA53" i="1" s="1"/>
  <c r="ET53" i="1"/>
  <c r="EU53" i="1" s="1"/>
  <c r="EV53" i="1" s="1"/>
  <c r="EO53" i="1"/>
  <c r="EP53" i="1" s="1"/>
  <c r="EQ53" i="1" s="1"/>
  <c r="EJ53" i="1"/>
  <c r="EK53" i="1" s="1"/>
  <c r="EL53" i="1" s="1"/>
  <c r="EE53" i="1"/>
  <c r="EF53" i="1" s="1"/>
  <c r="EG53" i="1" s="1"/>
  <c r="DZ53" i="1"/>
  <c r="EA53" i="1" s="1"/>
  <c r="EB53" i="1" s="1"/>
  <c r="DU53" i="1"/>
  <c r="DV53" i="1" s="1"/>
  <c r="DW53" i="1" s="1"/>
  <c r="DP53" i="1"/>
  <c r="DQ53" i="1" s="1"/>
  <c r="DR53" i="1" s="1"/>
  <c r="DK53" i="1"/>
  <c r="DL53" i="1" s="1"/>
  <c r="DM53" i="1" s="1"/>
  <c r="DF53" i="1"/>
  <c r="DG53" i="1" s="1"/>
  <c r="DH53" i="1" s="1"/>
  <c r="DA53" i="1"/>
  <c r="DB53" i="1" s="1"/>
  <c r="DC53" i="1" s="1"/>
  <c r="CV53" i="1"/>
  <c r="CW53" i="1" s="1"/>
  <c r="CX53" i="1" s="1"/>
  <c r="CQ53" i="1"/>
  <c r="CR53" i="1" s="1"/>
  <c r="CS53" i="1" s="1"/>
  <c r="CL53" i="1"/>
  <c r="CM53" i="1" s="1"/>
  <c r="CN53" i="1" s="1"/>
  <c r="CG53" i="1"/>
  <c r="CH53" i="1" s="1"/>
  <c r="CI53" i="1" s="1"/>
  <c r="CB53" i="1"/>
  <c r="CC53" i="1" s="1"/>
  <c r="CD53" i="1" s="1"/>
  <c r="BW53" i="1"/>
  <c r="BX53" i="1" s="1"/>
  <c r="BY53" i="1" s="1"/>
  <c r="BR53" i="1"/>
  <c r="BS53" i="1" s="1"/>
  <c r="BT53" i="1" s="1"/>
  <c r="BM53" i="1"/>
  <c r="BN53" i="1" s="1"/>
  <c r="BO53" i="1" s="1"/>
  <c r="BH53" i="1"/>
  <c r="BI53" i="1" s="1"/>
  <c r="BJ53" i="1" s="1"/>
  <c r="BC53" i="1"/>
  <c r="BD53" i="1" s="1"/>
  <c r="BE53" i="1" s="1"/>
  <c r="AX53" i="1"/>
  <c r="AY53" i="1" s="1"/>
  <c r="AZ53" i="1" s="1"/>
  <c r="AS53" i="1"/>
  <c r="AT53" i="1" s="1"/>
  <c r="AU53" i="1" s="1"/>
  <c r="AN53" i="1"/>
  <c r="AO53" i="1" s="1"/>
  <c r="AP53" i="1" s="1"/>
  <c r="AI53" i="1"/>
  <c r="AJ53" i="1" s="1"/>
  <c r="AK53" i="1" s="1"/>
  <c r="AF53" i="1"/>
  <c r="X53" i="1"/>
  <c r="Y53" i="1" s="1"/>
  <c r="Z53" i="1" s="1"/>
  <c r="T53" i="1"/>
  <c r="O53" i="1"/>
  <c r="H53" i="1"/>
  <c r="I53" i="1" s="1"/>
  <c r="J53" i="1" s="1"/>
  <c r="PZ52" i="1"/>
  <c r="PU52" i="1"/>
  <c r="PP52" i="1"/>
  <c r="PK52" i="1"/>
  <c r="PF52" i="1"/>
  <c r="PA52" i="1"/>
  <c r="OV52" i="1"/>
  <c r="OQ52" i="1"/>
  <c r="OL52" i="1"/>
  <c r="OG52" i="1"/>
  <c r="OB52" i="1"/>
  <c r="NW52" i="1"/>
  <c r="NR52" i="1"/>
  <c r="NM52" i="1"/>
  <c r="NH52" i="1"/>
  <c r="NC52" i="1"/>
  <c r="MX52" i="1"/>
  <c r="MS52" i="1"/>
  <c r="MN52" i="1"/>
  <c r="MI52" i="1"/>
  <c r="MD52" i="1"/>
  <c r="LY52" i="1"/>
  <c r="LT52" i="1"/>
  <c r="LO52" i="1"/>
  <c r="LJ52" i="1"/>
  <c r="LE52" i="1"/>
  <c r="KZ52" i="1"/>
  <c r="KU52" i="1"/>
  <c r="KP52" i="1"/>
  <c r="KK52" i="1"/>
  <c r="KF52" i="1"/>
  <c r="JB52" i="1"/>
  <c r="IW52" i="1"/>
  <c r="IR52" i="1"/>
  <c r="IM52" i="1"/>
  <c r="IH52" i="1"/>
  <c r="IC52" i="1"/>
  <c r="HX52" i="1"/>
  <c r="HS52" i="1"/>
  <c r="HN52" i="1"/>
  <c r="HI52" i="1"/>
  <c r="HB52" i="1"/>
  <c r="HC52" i="1" s="1"/>
  <c r="HD52" i="1" s="1"/>
  <c r="GW52" i="1"/>
  <c r="GX52" i="1" s="1"/>
  <c r="GY52" i="1" s="1"/>
  <c r="GR52" i="1"/>
  <c r="GS52" i="1" s="1"/>
  <c r="GT52" i="1" s="1"/>
  <c r="GM52" i="1"/>
  <c r="GN52" i="1" s="1"/>
  <c r="GO52" i="1" s="1"/>
  <c r="GH52" i="1"/>
  <c r="GI52" i="1" s="1"/>
  <c r="GJ52" i="1" s="1"/>
  <c r="GC52" i="1"/>
  <c r="GD52" i="1" s="1"/>
  <c r="GE52" i="1" s="1"/>
  <c r="FX52" i="1"/>
  <c r="FY52" i="1" s="1"/>
  <c r="FZ52" i="1" s="1"/>
  <c r="FS52" i="1"/>
  <c r="FT52" i="1" s="1"/>
  <c r="FU52" i="1" s="1"/>
  <c r="FN52" i="1"/>
  <c r="FO52" i="1" s="1"/>
  <c r="FP52" i="1" s="1"/>
  <c r="FI52" i="1"/>
  <c r="FJ52" i="1" s="1"/>
  <c r="FK52" i="1" s="1"/>
  <c r="FD52" i="1"/>
  <c r="FE52" i="1" s="1"/>
  <c r="FF52" i="1" s="1"/>
  <c r="EY52" i="1"/>
  <c r="EZ52" i="1" s="1"/>
  <c r="FA52" i="1" s="1"/>
  <c r="ET52" i="1"/>
  <c r="EU52" i="1" s="1"/>
  <c r="EV52" i="1" s="1"/>
  <c r="EO52" i="1"/>
  <c r="EP52" i="1" s="1"/>
  <c r="EQ52" i="1" s="1"/>
  <c r="EJ52" i="1"/>
  <c r="EK52" i="1" s="1"/>
  <c r="EL52" i="1" s="1"/>
  <c r="EE52" i="1"/>
  <c r="EF52" i="1" s="1"/>
  <c r="EG52" i="1" s="1"/>
  <c r="DZ52" i="1"/>
  <c r="EA52" i="1" s="1"/>
  <c r="EB52" i="1" s="1"/>
  <c r="DU52" i="1"/>
  <c r="DV52" i="1" s="1"/>
  <c r="DW52" i="1" s="1"/>
  <c r="DP52" i="1"/>
  <c r="DQ52" i="1" s="1"/>
  <c r="DR52" i="1" s="1"/>
  <c r="DK52" i="1"/>
  <c r="DL52" i="1" s="1"/>
  <c r="DM52" i="1" s="1"/>
  <c r="DF52" i="1"/>
  <c r="DG52" i="1" s="1"/>
  <c r="DH52" i="1" s="1"/>
  <c r="DA52" i="1"/>
  <c r="DB52" i="1" s="1"/>
  <c r="DC52" i="1" s="1"/>
  <c r="CV52" i="1"/>
  <c r="CW52" i="1" s="1"/>
  <c r="CX52" i="1" s="1"/>
  <c r="CQ52" i="1"/>
  <c r="CR52" i="1" s="1"/>
  <c r="CS52" i="1" s="1"/>
  <c r="CL52" i="1"/>
  <c r="CM52" i="1" s="1"/>
  <c r="CN52" i="1" s="1"/>
  <c r="CG52" i="1"/>
  <c r="CH52" i="1" s="1"/>
  <c r="CI52" i="1" s="1"/>
  <c r="CB52" i="1"/>
  <c r="CC52" i="1" s="1"/>
  <c r="CD52" i="1" s="1"/>
  <c r="BW52" i="1"/>
  <c r="BX52" i="1" s="1"/>
  <c r="BY52" i="1" s="1"/>
  <c r="BR52" i="1"/>
  <c r="BS52" i="1" s="1"/>
  <c r="BT52" i="1" s="1"/>
  <c r="BM52" i="1"/>
  <c r="BN52" i="1" s="1"/>
  <c r="BO52" i="1" s="1"/>
  <c r="BH52" i="1"/>
  <c r="BI52" i="1" s="1"/>
  <c r="BJ52" i="1" s="1"/>
  <c r="BC52" i="1"/>
  <c r="BD52" i="1" s="1"/>
  <c r="BE52" i="1" s="1"/>
  <c r="AX52" i="1"/>
  <c r="AY52" i="1" s="1"/>
  <c r="AZ52" i="1" s="1"/>
  <c r="AS52" i="1"/>
  <c r="AT52" i="1" s="1"/>
  <c r="AU52" i="1" s="1"/>
  <c r="AN52" i="1"/>
  <c r="AO52" i="1" s="1"/>
  <c r="AP52" i="1" s="1"/>
  <c r="AI52" i="1"/>
  <c r="AJ52" i="1" s="1"/>
  <c r="AK52" i="1" s="1"/>
  <c r="AF52" i="1"/>
  <c r="X52" i="1"/>
  <c r="Y52" i="1" s="1"/>
  <c r="Z52" i="1" s="1"/>
  <c r="T52" i="1"/>
  <c r="O52" i="1"/>
  <c r="H52" i="1"/>
  <c r="I52" i="1" s="1"/>
  <c r="J52" i="1" s="1"/>
  <c r="PZ51" i="1"/>
  <c r="PU51" i="1"/>
  <c r="PP51" i="1"/>
  <c r="PK51" i="1"/>
  <c r="PF51" i="1"/>
  <c r="PA51" i="1"/>
  <c r="OV51" i="1"/>
  <c r="OQ51" i="1"/>
  <c r="OL51" i="1"/>
  <c r="OE51" i="1"/>
  <c r="OF51" i="1" s="1"/>
  <c r="OG51" i="1" s="1"/>
  <c r="OB51" i="1"/>
  <c r="NW51" i="1"/>
  <c r="NR51" i="1"/>
  <c r="NM51" i="1"/>
  <c r="NH51" i="1"/>
  <c r="NC51" i="1"/>
  <c r="MX51" i="1"/>
  <c r="MS51" i="1"/>
  <c r="MN51" i="1"/>
  <c r="MI51" i="1"/>
  <c r="MD51" i="1"/>
  <c r="LY51" i="1"/>
  <c r="LT51" i="1"/>
  <c r="LO51" i="1"/>
  <c r="LJ51" i="1"/>
  <c r="LC51" i="1"/>
  <c r="LD51" i="1" s="1"/>
  <c r="LE51" i="1" s="1"/>
  <c r="KX51" i="1"/>
  <c r="KY51" i="1" s="1"/>
  <c r="KZ51" i="1" s="1"/>
  <c r="KU51" i="1"/>
  <c r="KP51" i="1"/>
  <c r="KK51" i="1"/>
  <c r="KF51" i="1"/>
  <c r="JB51" i="1"/>
  <c r="IW51" i="1"/>
  <c r="IR51" i="1"/>
  <c r="IM51" i="1"/>
  <c r="IH51" i="1"/>
  <c r="IC51" i="1"/>
  <c r="HX51" i="1"/>
  <c r="HS51" i="1"/>
  <c r="HL51" i="1"/>
  <c r="HM51" i="1" s="1"/>
  <c r="HN51" i="1" s="1"/>
  <c r="HG51" i="1"/>
  <c r="HH51" i="1" s="1"/>
  <c r="HI51" i="1" s="1"/>
  <c r="HB51" i="1"/>
  <c r="HC51" i="1" s="1"/>
  <c r="HD51" i="1" s="1"/>
  <c r="GW51" i="1"/>
  <c r="GX51" i="1" s="1"/>
  <c r="GY51" i="1" s="1"/>
  <c r="GR51" i="1"/>
  <c r="GS51" i="1" s="1"/>
  <c r="GT51" i="1" s="1"/>
  <c r="GM51" i="1"/>
  <c r="GN51" i="1" s="1"/>
  <c r="GO51" i="1" s="1"/>
  <c r="GH51" i="1"/>
  <c r="GI51" i="1" s="1"/>
  <c r="GJ51" i="1" s="1"/>
  <c r="GC51" i="1"/>
  <c r="GD51" i="1" s="1"/>
  <c r="GE51" i="1" s="1"/>
  <c r="FX51" i="1"/>
  <c r="FY51" i="1" s="1"/>
  <c r="FZ51" i="1" s="1"/>
  <c r="FS51" i="1"/>
  <c r="FT51" i="1" s="1"/>
  <c r="FU51" i="1" s="1"/>
  <c r="FN51" i="1"/>
  <c r="FO51" i="1" s="1"/>
  <c r="FP51" i="1" s="1"/>
  <c r="FI51" i="1"/>
  <c r="FJ51" i="1" s="1"/>
  <c r="FK51" i="1" s="1"/>
  <c r="FD51" i="1"/>
  <c r="FE51" i="1" s="1"/>
  <c r="FF51" i="1" s="1"/>
  <c r="EY51" i="1"/>
  <c r="EZ51" i="1" s="1"/>
  <c r="FA51" i="1" s="1"/>
  <c r="ET51" i="1"/>
  <c r="EU51" i="1" s="1"/>
  <c r="EV51" i="1" s="1"/>
  <c r="EO51" i="1"/>
  <c r="EP51" i="1" s="1"/>
  <c r="EQ51" i="1" s="1"/>
  <c r="EJ51" i="1"/>
  <c r="EK51" i="1" s="1"/>
  <c r="EL51" i="1" s="1"/>
  <c r="EE51" i="1"/>
  <c r="EF51" i="1" s="1"/>
  <c r="EG51" i="1" s="1"/>
  <c r="DZ51" i="1"/>
  <c r="EA51" i="1" s="1"/>
  <c r="EB51" i="1" s="1"/>
  <c r="DU51" i="1"/>
  <c r="DV51" i="1" s="1"/>
  <c r="DW51" i="1" s="1"/>
  <c r="DP51" i="1"/>
  <c r="DQ51" i="1" s="1"/>
  <c r="DR51" i="1" s="1"/>
  <c r="DK51" i="1"/>
  <c r="DL51" i="1" s="1"/>
  <c r="DM51" i="1" s="1"/>
  <c r="DF51" i="1"/>
  <c r="DG51" i="1" s="1"/>
  <c r="DH51" i="1" s="1"/>
  <c r="DA51" i="1"/>
  <c r="DB51" i="1" s="1"/>
  <c r="DC51" i="1" s="1"/>
  <c r="CV51" i="1"/>
  <c r="CW51" i="1" s="1"/>
  <c r="CX51" i="1" s="1"/>
  <c r="CQ51" i="1"/>
  <c r="CR51" i="1" s="1"/>
  <c r="CS51" i="1" s="1"/>
  <c r="CL51" i="1"/>
  <c r="CM51" i="1" s="1"/>
  <c r="CN51" i="1" s="1"/>
  <c r="CG51" i="1"/>
  <c r="CH51" i="1" s="1"/>
  <c r="CI51" i="1" s="1"/>
  <c r="CB51" i="1"/>
  <c r="CC51" i="1" s="1"/>
  <c r="CD51" i="1" s="1"/>
  <c r="BW51" i="1"/>
  <c r="BX51" i="1" s="1"/>
  <c r="BY51" i="1" s="1"/>
  <c r="BR51" i="1"/>
  <c r="BS51" i="1" s="1"/>
  <c r="BT51" i="1" s="1"/>
  <c r="BM51" i="1"/>
  <c r="BN51" i="1" s="1"/>
  <c r="BO51" i="1" s="1"/>
  <c r="BH51" i="1"/>
  <c r="BI51" i="1" s="1"/>
  <c r="BJ51" i="1" s="1"/>
  <c r="BC51" i="1"/>
  <c r="BD51" i="1" s="1"/>
  <c r="BE51" i="1" s="1"/>
  <c r="AX51" i="1"/>
  <c r="AY51" i="1" s="1"/>
  <c r="AZ51" i="1" s="1"/>
  <c r="AS51" i="1"/>
  <c r="AT51" i="1" s="1"/>
  <c r="AU51" i="1" s="1"/>
  <c r="AN51" i="1"/>
  <c r="AO51" i="1" s="1"/>
  <c r="AP51" i="1" s="1"/>
  <c r="AI51" i="1"/>
  <c r="AJ51" i="1" s="1"/>
  <c r="AK51" i="1" s="1"/>
  <c r="AD51" i="1"/>
  <c r="AE51" i="1" s="1"/>
  <c r="AF51" i="1" s="1"/>
  <c r="X51" i="1"/>
  <c r="Y51" i="1" s="1"/>
  <c r="Z51" i="1" s="1"/>
  <c r="R51" i="1"/>
  <c r="S51" i="1" s="1"/>
  <c r="T51" i="1" s="1"/>
  <c r="O51" i="1"/>
  <c r="J51" i="1"/>
  <c r="PZ50" i="1"/>
  <c r="PU50" i="1"/>
  <c r="PP50" i="1"/>
  <c r="PK50" i="1"/>
  <c r="PF50" i="1"/>
  <c r="PA50" i="1"/>
  <c r="OV50" i="1"/>
  <c r="OQ50" i="1"/>
  <c r="OL50" i="1"/>
  <c r="OG50" i="1"/>
  <c r="OB50" i="1"/>
  <c r="NW50" i="1"/>
  <c r="NR50" i="1"/>
  <c r="NM50" i="1"/>
  <c r="NH50" i="1"/>
  <c r="NC50" i="1"/>
  <c r="MX50" i="1"/>
  <c r="MS50" i="1"/>
  <c r="MN50" i="1"/>
  <c r="MI50" i="1"/>
  <c r="MD50" i="1"/>
  <c r="LY50" i="1"/>
  <c r="LT50" i="1"/>
  <c r="LO50" i="1"/>
  <c r="LJ50" i="1"/>
  <c r="LE50" i="1"/>
  <c r="KX50" i="1"/>
  <c r="KY50" i="1" s="1"/>
  <c r="KZ50" i="1" s="1"/>
  <c r="KU50" i="1"/>
  <c r="KP50" i="1"/>
  <c r="KK50" i="1"/>
  <c r="KF50" i="1"/>
  <c r="IZ50" i="1"/>
  <c r="JA50" i="1" s="1"/>
  <c r="JB50" i="1" s="1"/>
  <c r="IU50" i="1"/>
  <c r="IV50" i="1" s="1"/>
  <c r="IW50" i="1" s="1"/>
  <c r="IP50" i="1"/>
  <c r="IQ50" i="1" s="1"/>
  <c r="IR50" i="1" s="1"/>
  <c r="IK50" i="1"/>
  <c r="IL50" i="1" s="1"/>
  <c r="IM50" i="1" s="1"/>
  <c r="IF50" i="1"/>
  <c r="IG50" i="1" s="1"/>
  <c r="IH50" i="1" s="1"/>
  <c r="IA50" i="1"/>
  <c r="IB50" i="1" s="1"/>
  <c r="IC50" i="1" s="1"/>
  <c r="HV50" i="1"/>
  <c r="HW50" i="1" s="1"/>
  <c r="HX50" i="1" s="1"/>
  <c r="HS50" i="1"/>
  <c r="HN50" i="1"/>
  <c r="HG50" i="1"/>
  <c r="HH50" i="1" s="1"/>
  <c r="HI50" i="1" s="1"/>
  <c r="HB50" i="1"/>
  <c r="HC50" i="1" s="1"/>
  <c r="HD50" i="1" s="1"/>
  <c r="GW50" i="1"/>
  <c r="GX50" i="1" s="1"/>
  <c r="GY50" i="1" s="1"/>
  <c r="GR50" i="1"/>
  <c r="GS50" i="1" s="1"/>
  <c r="GT50" i="1" s="1"/>
  <c r="GM50" i="1"/>
  <c r="GN50" i="1" s="1"/>
  <c r="GO50" i="1" s="1"/>
  <c r="GH50" i="1"/>
  <c r="GI50" i="1" s="1"/>
  <c r="GJ50" i="1" s="1"/>
  <c r="GC50" i="1"/>
  <c r="GD50" i="1" s="1"/>
  <c r="GE50" i="1" s="1"/>
  <c r="FX50" i="1"/>
  <c r="FY50" i="1" s="1"/>
  <c r="FZ50" i="1" s="1"/>
  <c r="FS50" i="1"/>
  <c r="FT50" i="1" s="1"/>
  <c r="FU50" i="1" s="1"/>
  <c r="FN50" i="1"/>
  <c r="FO50" i="1" s="1"/>
  <c r="FP50" i="1" s="1"/>
  <c r="FI50" i="1"/>
  <c r="FJ50" i="1" s="1"/>
  <c r="FK50" i="1" s="1"/>
  <c r="FD50" i="1"/>
  <c r="FE50" i="1" s="1"/>
  <c r="FF50" i="1" s="1"/>
  <c r="EY50" i="1"/>
  <c r="EZ50" i="1" s="1"/>
  <c r="FA50" i="1" s="1"/>
  <c r="ET50" i="1"/>
  <c r="EU50" i="1" s="1"/>
  <c r="EV50" i="1" s="1"/>
  <c r="EO50" i="1"/>
  <c r="EP50" i="1" s="1"/>
  <c r="EQ50" i="1" s="1"/>
  <c r="EJ50" i="1"/>
  <c r="EK50" i="1" s="1"/>
  <c r="EL50" i="1" s="1"/>
  <c r="EE50" i="1"/>
  <c r="EF50" i="1" s="1"/>
  <c r="EG50" i="1" s="1"/>
  <c r="DZ50" i="1"/>
  <c r="EA50" i="1" s="1"/>
  <c r="EB50" i="1" s="1"/>
  <c r="DU50" i="1"/>
  <c r="DV50" i="1" s="1"/>
  <c r="DW50" i="1" s="1"/>
  <c r="DP50" i="1"/>
  <c r="DQ50" i="1" s="1"/>
  <c r="DR50" i="1" s="1"/>
  <c r="DK50" i="1"/>
  <c r="DL50" i="1" s="1"/>
  <c r="DM50" i="1" s="1"/>
  <c r="DF50" i="1"/>
  <c r="DG50" i="1" s="1"/>
  <c r="DH50" i="1" s="1"/>
  <c r="DA50" i="1"/>
  <c r="DB50" i="1" s="1"/>
  <c r="DC50" i="1" s="1"/>
  <c r="CV50" i="1"/>
  <c r="CW50" i="1" s="1"/>
  <c r="CX50" i="1" s="1"/>
  <c r="CQ50" i="1"/>
  <c r="CR50" i="1" s="1"/>
  <c r="CS50" i="1" s="1"/>
  <c r="CL50" i="1"/>
  <c r="CM50" i="1" s="1"/>
  <c r="CN50" i="1" s="1"/>
  <c r="CG50" i="1"/>
  <c r="CH50" i="1" s="1"/>
  <c r="CI50" i="1" s="1"/>
  <c r="CB50" i="1"/>
  <c r="CC50" i="1" s="1"/>
  <c r="CD50" i="1" s="1"/>
  <c r="BW50" i="1"/>
  <c r="BX50" i="1" s="1"/>
  <c r="BY50" i="1" s="1"/>
  <c r="BR50" i="1"/>
  <c r="BS50" i="1" s="1"/>
  <c r="BT50" i="1" s="1"/>
  <c r="BN50" i="1"/>
  <c r="BO50" i="1" s="1"/>
  <c r="BH50" i="1"/>
  <c r="BI50" i="1" s="1"/>
  <c r="BJ50" i="1" s="1"/>
  <c r="BC50" i="1"/>
  <c r="BD50" i="1" s="1"/>
  <c r="BE50" i="1" s="1"/>
  <c r="AX50" i="1"/>
  <c r="AY50" i="1" s="1"/>
  <c r="AZ50" i="1" s="1"/>
  <c r="AS50" i="1"/>
  <c r="AT50" i="1" s="1"/>
  <c r="AU50" i="1" s="1"/>
  <c r="AN50" i="1"/>
  <c r="AO50" i="1" s="1"/>
  <c r="AP50" i="1" s="1"/>
  <c r="AI50" i="1"/>
  <c r="AJ50" i="1" s="1"/>
  <c r="AK50" i="1" s="1"/>
  <c r="AD50" i="1"/>
  <c r="AE50" i="1" s="1"/>
  <c r="AF50" i="1" s="1"/>
  <c r="X50" i="1"/>
  <c r="Y50" i="1" s="1"/>
  <c r="Z50" i="1" s="1"/>
  <c r="T50" i="1"/>
  <c r="O50" i="1"/>
  <c r="J50" i="1"/>
  <c r="PZ49" i="1"/>
  <c r="PU49" i="1"/>
  <c r="PP49" i="1"/>
  <c r="PK49" i="1"/>
  <c r="PF49" i="1"/>
  <c r="PA49" i="1"/>
  <c r="OV49" i="1"/>
  <c r="OQ49" i="1"/>
  <c r="OL49" i="1"/>
  <c r="OG49" i="1"/>
  <c r="OB49" i="1"/>
  <c r="NW49" i="1"/>
  <c r="NR49" i="1"/>
  <c r="NM49" i="1"/>
  <c r="NH49" i="1"/>
  <c r="NC49" i="1"/>
  <c r="MX49" i="1"/>
  <c r="MS49" i="1"/>
  <c r="MN49" i="1"/>
  <c r="MI49" i="1"/>
  <c r="MD49" i="1"/>
  <c r="LY49" i="1"/>
  <c r="LT49" i="1"/>
  <c r="LO49" i="1"/>
  <c r="LJ49" i="1"/>
  <c r="LE49" i="1"/>
  <c r="KZ49" i="1"/>
  <c r="KU49" i="1"/>
  <c r="KP49" i="1"/>
  <c r="KK49" i="1"/>
  <c r="KF49" i="1"/>
  <c r="IZ49" i="1"/>
  <c r="JA49" i="1" s="1"/>
  <c r="JB49" i="1" s="1"/>
  <c r="IU49" i="1"/>
  <c r="IV49" i="1" s="1"/>
  <c r="IW49" i="1" s="1"/>
  <c r="IP49" i="1"/>
  <c r="IQ49" i="1" s="1"/>
  <c r="IR49" i="1" s="1"/>
  <c r="IM49" i="1"/>
  <c r="IH49" i="1"/>
  <c r="IC49" i="1"/>
  <c r="HX49" i="1"/>
  <c r="HS49" i="1"/>
  <c r="HN49" i="1"/>
  <c r="HG49" i="1"/>
  <c r="HH49" i="1" s="1"/>
  <c r="HI49" i="1" s="1"/>
  <c r="HB49" i="1"/>
  <c r="HC49" i="1" s="1"/>
  <c r="HD49" i="1" s="1"/>
  <c r="GW49" i="1"/>
  <c r="GX49" i="1" s="1"/>
  <c r="GY49" i="1" s="1"/>
  <c r="GR49" i="1"/>
  <c r="GS49" i="1" s="1"/>
  <c r="GT49" i="1" s="1"/>
  <c r="GM49" i="1"/>
  <c r="GN49" i="1" s="1"/>
  <c r="GO49" i="1" s="1"/>
  <c r="GH49" i="1"/>
  <c r="GI49" i="1" s="1"/>
  <c r="GJ49" i="1" s="1"/>
  <c r="GC49" i="1"/>
  <c r="GD49" i="1" s="1"/>
  <c r="GE49" i="1" s="1"/>
  <c r="FX49" i="1"/>
  <c r="FY49" i="1" s="1"/>
  <c r="FZ49" i="1" s="1"/>
  <c r="FS49" i="1"/>
  <c r="FT49" i="1" s="1"/>
  <c r="FU49" i="1" s="1"/>
  <c r="FN49" i="1"/>
  <c r="FO49" i="1" s="1"/>
  <c r="FP49" i="1" s="1"/>
  <c r="FI49" i="1"/>
  <c r="FJ49" i="1" s="1"/>
  <c r="FK49" i="1" s="1"/>
  <c r="FD49" i="1"/>
  <c r="FE49" i="1" s="1"/>
  <c r="FF49" i="1" s="1"/>
  <c r="EY49" i="1"/>
  <c r="EZ49" i="1" s="1"/>
  <c r="FA49" i="1" s="1"/>
  <c r="ET49" i="1"/>
  <c r="EU49" i="1" s="1"/>
  <c r="EV49" i="1" s="1"/>
  <c r="EO49" i="1"/>
  <c r="EP49" i="1" s="1"/>
  <c r="EQ49" i="1" s="1"/>
  <c r="EJ49" i="1"/>
  <c r="EK49" i="1" s="1"/>
  <c r="EL49" i="1" s="1"/>
  <c r="EE49" i="1"/>
  <c r="EF49" i="1" s="1"/>
  <c r="EG49" i="1" s="1"/>
  <c r="DZ49" i="1"/>
  <c r="EA49" i="1" s="1"/>
  <c r="EB49" i="1" s="1"/>
  <c r="DU49" i="1"/>
  <c r="DV49" i="1" s="1"/>
  <c r="DW49" i="1" s="1"/>
  <c r="DP49" i="1"/>
  <c r="DQ49" i="1" s="1"/>
  <c r="DR49" i="1" s="1"/>
  <c r="DK49" i="1"/>
  <c r="DL49" i="1" s="1"/>
  <c r="DM49" i="1" s="1"/>
  <c r="DF49" i="1"/>
  <c r="DG49" i="1" s="1"/>
  <c r="DH49" i="1" s="1"/>
  <c r="DA49" i="1"/>
  <c r="DB49" i="1" s="1"/>
  <c r="DC49" i="1" s="1"/>
  <c r="CV49" i="1"/>
  <c r="CW49" i="1" s="1"/>
  <c r="CX49" i="1" s="1"/>
  <c r="CQ49" i="1"/>
  <c r="CR49" i="1" s="1"/>
  <c r="CS49" i="1" s="1"/>
  <c r="CL49" i="1"/>
  <c r="CM49" i="1" s="1"/>
  <c r="CN49" i="1" s="1"/>
  <c r="CG49" i="1"/>
  <c r="CH49" i="1" s="1"/>
  <c r="CI49" i="1" s="1"/>
  <c r="CB49" i="1"/>
  <c r="CC49" i="1" s="1"/>
  <c r="CD49" i="1" s="1"/>
  <c r="BW49" i="1"/>
  <c r="BX49" i="1" s="1"/>
  <c r="BY49" i="1" s="1"/>
  <c r="BR49" i="1"/>
  <c r="BS49" i="1" s="1"/>
  <c r="BT49" i="1" s="1"/>
  <c r="BM49" i="1"/>
  <c r="BN49" i="1" s="1"/>
  <c r="BO49" i="1" s="1"/>
  <c r="BH49" i="1"/>
  <c r="BI49" i="1" s="1"/>
  <c r="BJ49" i="1" s="1"/>
  <c r="BC49" i="1"/>
  <c r="BD49" i="1" s="1"/>
  <c r="BE49" i="1" s="1"/>
  <c r="AX49" i="1"/>
  <c r="AY49" i="1" s="1"/>
  <c r="AZ49" i="1" s="1"/>
  <c r="AS49" i="1"/>
  <c r="AT49" i="1" s="1"/>
  <c r="AU49" i="1" s="1"/>
  <c r="AN49" i="1"/>
  <c r="AO49" i="1" s="1"/>
  <c r="AP49" i="1" s="1"/>
  <c r="AI49" i="1"/>
  <c r="AJ49" i="1" s="1"/>
  <c r="AK49" i="1" s="1"/>
  <c r="AD49" i="1"/>
  <c r="AE49" i="1" s="1"/>
  <c r="AF49" i="1" s="1"/>
  <c r="X49" i="1"/>
  <c r="Y49" i="1" s="1"/>
  <c r="Z49" i="1" s="1"/>
  <c r="T49" i="1"/>
  <c r="O49" i="1"/>
  <c r="J49" i="1"/>
  <c r="PZ48" i="1"/>
  <c r="PU48" i="1"/>
  <c r="PP48" i="1"/>
  <c r="PK48" i="1"/>
  <c r="PF48" i="1"/>
  <c r="PA48" i="1"/>
  <c r="OV48" i="1"/>
  <c r="OQ48" i="1"/>
  <c r="OL48" i="1"/>
  <c r="OG48" i="1"/>
  <c r="OB48" i="1"/>
  <c r="NU48" i="1"/>
  <c r="NV48" i="1" s="1"/>
  <c r="NW48" i="1" s="1"/>
  <c r="NR48" i="1"/>
  <c r="NM48" i="1"/>
  <c r="NH48" i="1"/>
  <c r="NC48" i="1"/>
  <c r="MX48" i="1"/>
  <c r="MS48" i="1"/>
  <c r="MN48" i="1"/>
  <c r="MI48" i="1"/>
  <c r="MD48" i="1"/>
  <c r="LY48" i="1"/>
  <c r="LT48" i="1"/>
  <c r="LO48" i="1"/>
  <c r="LJ48" i="1"/>
  <c r="LC48" i="1"/>
  <c r="LD48" i="1" s="1"/>
  <c r="LE48" i="1" s="1"/>
  <c r="KX48" i="1"/>
  <c r="KY48" i="1" s="1"/>
  <c r="KZ48" i="1" s="1"/>
  <c r="KU48" i="1"/>
  <c r="KP48" i="1"/>
  <c r="KI48" i="1"/>
  <c r="KJ48" i="1" s="1"/>
  <c r="KK48" i="1" s="1"/>
  <c r="KF48" i="1"/>
  <c r="IZ48" i="1"/>
  <c r="JA48" i="1" s="1"/>
  <c r="JB48" i="1" s="1"/>
  <c r="IU48" i="1"/>
  <c r="IV48" i="1" s="1"/>
  <c r="IW48" i="1" s="1"/>
  <c r="IP48" i="1"/>
  <c r="IQ48" i="1" s="1"/>
  <c r="IR48" i="1" s="1"/>
  <c r="IK48" i="1"/>
  <c r="IL48" i="1" s="1"/>
  <c r="IM48" i="1" s="1"/>
  <c r="IF48" i="1"/>
  <c r="IG48" i="1" s="1"/>
  <c r="IH48" i="1" s="1"/>
  <c r="IA48" i="1"/>
  <c r="IB48" i="1" s="1"/>
  <c r="IC48" i="1" s="1"/>
  <c r="HV48" i="1"/>
  <c r="HW48" i="1" s="1"/>
  <c r="HX48" i="1" s="1"/>
  <c r="HS48" i="1"/>
  <c r="HN48" i="1"/>
  <c r="HG48" i="1"/>
  <c r="HH48" i="1" s="1"/>
  <c r="HI48" i="1" s="1"/>
  <c r="HB48" i="1"/>
  <c r="HC48" i="1" s="1"/>
  <c r="HD48" i="1" s="1"/>
  <c r="GW48" i="1"/>
  <c r="GX48" i="1" s="1"/>
  <c r="GY48" i="1" s="1"/>
  <c r="GR48" i="1"/>
  <c r="GS48" i="1" s="1"/>
  <c r="GT48" i="1" s="1"/>
  <c r="GM48" i="1"/>
  <c r="GN48" i="1" s="1"/>
  <c r="GO48" i="1" s="1"/>
  <c r="GH48" i="1"/>
  <c r="GI48" i="1" s="1"/>
  <c r="GJ48" i="1" s="1"/>
  <c r="GC48" i="1"/>
  <c r="GD48" i="1" s="1"/>
  <c r="GE48" i="1" s="1"/>
  <c r="FX48" i="1"/>
  <c r="FY48" i="1" s="1"/>
  <c r="FZ48" i="1" s="1"/>
  <c r="FS48" i="1"/>
  <c r="FT48" i="1" s="1"/>
  <c r="FU48" i="1" s="1"/>
  <c r="FN48" i="1"/>
  <c r="FO48" i="1" s="1"/>
  <c r="FP48" i="1" s="1"/>
  <c r="FI48" i="1"/>
  <c r="FJ48" i="1" s="1"/>
  <c r="FK48" i="1" s="1"/>
  <c r="FD48" i="1"/>
  <c r="FE48" i="1" s="1"/>
  <c r="FF48" i="1" s="1"/>
  <c r="EY48" i="1"/>
  <c r="EZ48" i="1" s="1"/>
  <c r="FA48" i="1" s="1"/>
  <c r="ET48" i="1"/>
  <c r="EU48" i="1" s="1"/>
  <c r="EV48" i="1" s="1"/>
  <c r="EO48" i="1"/>
  <c r="EP48" i="1" s="1"/>
  <c r="EQ48" i="1" s="1"/>
  <c r="EJ48" i="1"/>
  <c r="EK48" i="1" s="1"/>
  <c r="EL48" i="1" s="1"/>
  <c r="EE48" i="1"/>
  <c r="EF48" i="1" s="1"/>
  <c r="EG48" i="1" s="1"/>
  <c r="DZ48" i="1"/>
  <c r="EA48" i="1" s="1"/>
  <c r="EB48" i="1" s="1"/>
  <c r="DU48" i="1"/>
  <c r="DV48" i="1" s="1"/>
  <c r="DW48" i="1" s="1"/>
  <c r="DP48" i="1"/>
  <c r="DQ48" i="1" s="1"/>
  <c r="DR48" i="1" s="1"/>
  <c r="DK48" i="1"/>
  <c r="DL48" i="1" s="1"/>
  <c r="DM48" i="1" s="1"/>
  <c r="DF48" i="1"/>
  <c r="DG48" i="1" s="1"/>
  <c r="DH48" i="1" s="1"/>
  <c r="DA48" i="1"/>
  <c r="DB48" i="1" s="1"/>
  <c r="DC48" i="1" s="1"/>
  <c r="CV48" i="1"/>
  <c r="CW48" i="1" s="1"/>
  <c r="CX48" i="1" s="1"/>
  <c r="CQ48" i="1"/>
  <c r="CR48" i="1" s="1"/>
  <c r="CS48" i="1" s="1"/>
  <c r="CL48" i="1"/>
  <c r="CM48" i="1" s="1"/>
  <c r="CN48" i="1" s="1"/>
  <c r="CG48" i="1"/>
  <c r="CH48" i="1" s="1"/>
  <c r="CI48" i="1" s="1"/>
  <c r="CB48" i="1"/>
  <c r="CC48" i="1" s="1"/>
  <c r="CD48" i="1" s="1"/>
  <c r="BW48" i="1"/>
  <c r="BX48" i="1" s="1"/>
  <c r="BY48" i="1" s="1"/>
  <c r="BR48" i="1"/>
  <c r="BS48" i="1" s="1"/>
  <c r="BT48" i="1" s="1"/>
  <c r="BM48" i="1"/>
  <c r="BN48" i="1" s="1"/>
  <c r="BO48" i="1" s="1"/>
  <c r="BH48" i="1"/>
  <c r="BI48" i="1" s="1"/>
  <c r="BJ48" i="1" s="1"/>
  <c r="BC48" i="1"/>
  <c r="BD48" i="1" s="1"/>
  <c r="BE48" i="1" s="1"/>
  <c r="AX48" i="1"/>
  <c r="AY48" i="1" s="1"/>
  <c r="AZ48" i="1" s="1"/>
  <c r="AS48" i="1"/>
  <c r="AT48" i="1" s="1"/>
  <c r="AU48" i="1" s="1"/>
  <c r="AN48" i="1"/>
  <c r="AO48" i="1" s="1"/>
  <c r="AP48" i="1" s="1"/>
  <c r="AI48" i="1"/>
  <c r="AJ48" i="1" s="1"/>
  <c r="AK48" i="1" s="1"/>
  <c r="AD48" i="1"/>
  <c r="AE48" i="1" s="1"/>
  <c r="AF48" i="1" s="1"/>
  <c r="X48" i="1"/>
  <c r="Y48" i="1" s="1"/>
  <c r="Z48" i="1" s="1"/>
  <c r="T48" i="1"/>
  <c r="O48" i="1"/>
  <c r="J48" i="1"/>
  <c r="PZ47" i="1"/>
  <c r="PU47" i="1"/>
  <c r="PP47" i="1"/>
  <c r="PK47" i="1"/>
  <c r="PF47" i="1"/>
  <c r="PA47" i="1"/>
  <c r="OV47" i="1"/>
  <c r="OQ47" i="1"/>
  <c r="OL47" i="1"/>
  <c r="OG47" i="1"/>
  <c r="OB47" i="1"/>
  <c r="NW47" i="1"/>
  <c r="NR47" i="1"/>
  <c r="NM47" i="1"/>
  <c r="NH47" i="1"/>
  <c r="NC47" i="1"/>
  <c r="MX47" i="1"/>
  <c r="MS47" i="1"/>
  <c r="MN47" i="1"/>
  <c r="MI47" i="1"/>
  <c r="MD47" i="1"/>
  <c r="LY47" i="1"/>
  <c r="LT47" i="1"/>
  <c r="LO47" i="1"/>
  <c r="LJ47" i="1"/>
  <c r="LE47" i="1"/>
  <c r="KZ47" i="1"/>
  <c r="KU47" i="1"/>
  <c r="KP47" i="1"/>
  <c r="KK47" i="1"/>
  <c r="KF47" i="1"/>
  <c r="JB47" i="1"/>
  <c r="IW47" i="1"/>
  <c r="IR47" i="1"/>
  <c r="IM47" i="1"/>
  <c r="IH47" i="1"/>
  <c r="IC47" i="1"/>
  <c r="HX47" i="1"/>
  <c r="HS47" i="1"/>
  <c r="HN47" i="1"/>
  <c r="HI47" i="1"/>
  <c r="HB47" i="1"/>
  <c r="HC47" i="1" s="1"/>
  <c r="HD47" i="1" s="1"/>
  <c r="GW47" i="1"/>
  <c r="GX47" i="1" s="1"/>
  <c r="GY47" i="1" s="1"/>
  <c r="GR47" i="1"/>
  <c r="GS47" i="1" s="1"/>
  <c r="GT47" i="1" s="1"/>
  <c r="GM47" i="1"/>
  <c r="GN47" i="1" s="1"/>
  <c r="GO47" i="1" s="1"/>
  <c r="GH47" i="1"/>
  <c r="GI47" i="1" s="1"/>
  <c r="GJ47" i="1" s="1"/>
  <c r="GC47" i="1"/>
  <c r="GD47" i="1" s="1"/>
  <c r="GE47" i="1" s="1"/>
  <c r="FX47" i="1"/>
  <c r="FY47" i="1" s="1"/>
  <c r="FZ47" i="1" s="1"/>
  <c r="FS47" i="1"/>
  <c r="FT47" i="1" s="1"/>
  <c r="FU47" i="1" s="1"/>
  <c r="FN47" i="1"/>
  <c r="FO47" i="1" s="1"/>
  <c r="FP47" i="1" s="1"/>
  <c r="FI47" i="1"/>
  <c r="FJ47" i="1" s="1"/>
  <c r="FK47" i="1" s="1"/>
  <c r="FD47" i="1"/>
  <c r="FE47" i="1" s="1"/>
  <c r="FF47" i="1" s="1"/>
  <c r="EY47" i="1"/>
  <c r="EZ47" i="1" s="1"/>
  <c r="FA47" i="1" s="1"/>
  <c r="ET47" i="1"/>
  <c r="EU47" i="1" s="1"/>
  <c r="EV47" i="1" s="1"/>
  <c r="EO47" i="1"/>
  <c r="EP47" i="1" s="1"/>
  <c r="EQ47" i="1" s="1"/>
  <c r="EJ47" i="1"/>
  <c r="EK47" i="1" s="1"/>
  <c r="EL47" i="1" s="1"/>
  <c r="EE47" i="1"/>
  <c r="EF47" i="1" s="1"/>
  <c r="EG47" i="1" s="1"/>
  <c r="DZ47" i="1"/>
  <c r="EA47" i="1" s="1"/>
  <c r="EB47" i="1" s="1"/>
  <c r="DU47" i="1"/>
  <c r="DV47" i="1" s="1"/>
  <c r="DW47" i="1" s="1"/>
  <c r="DP47" i="1"/>
  <c r="DQ47" i="1" s="1"/>
  <c r="DR47" i="1" s="1"/>
  <c r="DK47" i="1"/>
  <c r="DL47" i="1" s="1"/>
  <c r="DM47" i="1" s="1"/>
  <c r="DF47" i="1"/>
  <c r="DG47" i="1" s="1"/>
  <c r="DH47" i="1" s="1"/>
  <c r="DA47" i="1"/>
  <c r="DB47" i="1" s="1"/>
  <c r="DC47" i="1" s="1"/>
  <c r="CV47" i="1"/>
  <c r="CW47" i="1" s="1"/>
  <c r="CX47" i="1" s="1"/>
  <c r="CQ47" i="1"/>
  <c r="CR47" i="1" s="1"/>
  <c r="CS47" i="1" s="1"/>
  <c r="CL47" i="1"/>
  <c r="CM47" i="1" s="1"/>
  <c r="CN47" i="1" s="1"/>
  <c r="CG47" i="1"/>
  <c r="CH47" i="1" s="1"/>
  <c r="CI47" i="1" s="1"/>
  <c r="CB47" i="1"/>
  <c r="CC47" i="1" s="1"/>
  <c r="CD47" i="1" s="1"/>
  <c r="BW47" i="1"/>
  <c r="BX47" i="1" s="1"/>
  <c r="BY47" i="1" s="1"/>
  <c r="BR47" i="1"/>
  <c r="BS47" i="1" s="1"/>
  <c r="BT47" i="1" s="1"/>
  <c r="BM47" i="1"/>
  <c r="BN47" i="1" s="1"/>
  <c r="BO47" i="1" s="1"/>
  <c r="BH47" i="1"/>
  <c r="BI47" i="1" s="1"/>
  <c r="BJ47" i="1" s="1"/>
  <c r="BC47" i="1"/>
  <c r="BD47" i="1" s="1"/>
  <c r="BE47" i="1" s="1"/>
  <c r="AX47" i="1"/>
  <c r="AY47" i="1" s="1"/>
  <c r="AZ47" i="1" s="1"/>
  <c r="AS47" i="1"/>
  <c r="AT47" i="1" s="1"/>
  <c r="AU47" i="1" s="1"/>
  <c r="AN47" i="1"/>
  <c r="AO47" i="1" s="1"/>
  <c r="AP47" i="1" s="1"/>
  <c r="AI47" i="1"/>
  <c r="AJ47" i="1" s="1"/>
  <c r="AK47" i="1" s="1"/>
  <c r="AF47" i="1"/>
  <c r="X47" i="1"/>
  <c r="Y47" i="1" s="1"/>
  <c r="Z47" i="1" s="1"/>
  <c r="T47" i="1"/>
  <c r="O47" i="1"/>
  <c r="H47" i="1"/>
  <c r="I47" i="1" s="1"/>
  <c r="J47" i="1" s="1"/>
  <c r="PZ46" i="1"/>
  <c r="PU46" i="1"/>
  <c r="PP46" i="1"/>
  <c r="PK46" i="1"/>
  <c r="PF46" i="1"/>
  <c r="PA46" i="1"/>
  <c r="OV46" i="1"/>
  <c r="OQ46" i="1"/>
  <c r="OL46" i="1"/>
  <c r="OG46" i="1"/>
  <c r="OB46" i="1"/>
  <c r="NW46" i="1"/>
  <c r="NR46" i="1"/>
  <c r="NM46" i="1"/>
  <c r="NH46" i="1"/>
  <c r="NC46" i="1"/>
  <c r="MX46" i="1"/>
  <c r="MS46" i="1"/>
  <c r="MN46" i="1"/>
  <c r="MI46" i="1"/>
  <c r="MD46" i="1"/>
  <c r="LY46" i="1"/>
  <c r="LT46" i="1"/>
  <c r="LO46" i="1"/>
  <c r="LJ46" i="1"/>
  <c r="LE46" i="1"/>
  <c r="KX46" i="1"/>
  <c r="KY46" i="1" s="1"/>
  <c r="KZ46" i="1" s="1"/>
  <c r="KU46" i="1"/>
  <c r="KP46" i="1"/>
  <c r="KK46" i="1"/>
  <c r="KF46" i="1"/>
  <c r="IZ46" i="1"/>
  <c r="JA46" i="1" s="1"/>
  <c r="JB46" i="1" s="1"/>
  <c r="IU46" i="1"/>
  <c r="IV46" i="1" s="1"/>
  <c r="IW46" i="1" s="1"/>
  <c r="IP46" i="1"/>
  <c r="IQ46" i="1" s="1"/>
  <c r="IR46" i="1" s="1"/>
  <c r="IK46" i="1"/>
  <c r="IL46" i="1" s="1"/>
  <c r="IM46" i="1" s="1"/>
  <c r="IF46" i="1"/>
  <c r="IG46" i="1" s="1"/>
  <c r="IH46" i="1" s="1"/>
  <c r="IA46" i="1"/>
  <c r="IB46" i="1" s="1"/>
  <c r="IC46" i="1" s="1"/>
  <c r="HV46" i="1"/>
  <c r="HW46" i="1" s="1"/>
  <c r="HX46" i="1" s="1"/>
  <c r="HQ46" i="1"/>
  <c r="HR46" i="1" s="1"/>
  <c r="HS46" i="1" s="1"/>
  <c r="HL46" i="1"/>
  <c r="HM46" i="1" s="1"/>
  <c r="HN46" i="1" s="1"/>
  <c r="HG46" i="1"/>
  <c r="HH46" i="1" s="1"/>
  <c r="HI46" i="1" s="1"/>
  <c r="HB46" i="1"/>
  <c r="HC46" i="1" s="1"/>
  <c r="HD46" i="1" s="1"/>
  <c r="GW46" i="1"/>
  <c r="GX46" i="1" s="1"/>
  <c r="GY46" i="1" s="1"/>
  <c r="GR46" i="1"/>
  <c r="GS46" i="1" s="1"/>
  <c r="GT46" i="1" s="1"/>
  <c r="GM46" i="1"/>
  <c r="GN46" i="1" s="1"/>
  <c r="GO46" i="1" s="1"/>
  <c r="GH46" i="1"/>
  <c r="GI46" i="1" s="1"/>
  <c r="GJ46" i="1" s="1"/>
  <c r="GC46" i="1"/>
  <c r="GD46" i="1" s="1"/>
  <c r="GE46" i="1" s="1"/>
  <c r="FX46" i="1"/>
  <c r="FY46" i="1" s="1"/>
  <c r="FZ46" i="1" s="1"/>
  <c r="FS46" i="1"/>
  <c r="FT46" i="1" s="1"/>
  <c r="FU46" i="1" s="1"/>
  <c r="FN46" i="1"/>
  <c r="FO46" i="1" s="1"/>
  <c r="FP46" i="1" s="1"/>
  <c r="FI46" i="1"/>
  <c r="FJ46" i="1" s="1"/>
  <c r="FK46" i="1" s="1"/>
  <c r="FD46" i="1"/>
  <c r="FE46" i="1" s="1"/>
  <c r="FF46" i="1" s="1"/>
  <c r="EY46" i="1"/>
  <c r="EZ46" i="1" s="1"/>
  <c r="FA46" i="1" s="1"/>
  <c r="ET46" i="1"/>
  <c r="EU46" i="1" s="1"/>
  <c r="EV46" i="1" s="1"/>
  <c r="EO46" i="1"/>
  <c r="EP46" i="1" s="1"/>
  <c r="EQ46" i="1" s="1"/>
  <c r="EJ46" i="1"/>
  <c r="EK46" i="1" s="1"/>
  <c r="EL46" i="1" s="1"/>
  <c r="EE46" i="1"/>
  <c r="EF46" i="1" s="1"/>
  <c r="EG46" i="1" s="1"/>
  <c r="DZ46" i="1"/>
  <c r="EA46" i="1" s="1"/>
  <c r="EB46" i="1" s="1"/>
  <c r="DU46" i="1"/>
  <c r="DV46" i="1" s="1"/>
  <c r="DW46" i="1" s="1"/>
  <c r="DP46" i="1"/>
  <c r="DQ46" i="1" s="1"/>
  <c r="DR46" i="1" s="1"/>
  <c r="DK46" i="1"/>
  <c r="DL46" i="1" s="1"/>
  <c r="DM46" i="1" s="1"/>
  <c r="DF46" i="1"/>
  <c r="DG46" i="1" s="1"/>
  <c r="DH46" i="1" s="1"/>
  <c r="DA46" i="1"/>
  <c r="DB46" i="1" s="1"/>
  <c r="DC46" i="1" s="1"/>
  <c r="CV46" i="1"/>
  <c r="CW46" i="1" s="1"/>
  <c r="CX46" i="1" s="1"/>
  <c r="CQ46" i="1"/>
  <c r="CR46" i="1" s="1"/>
  <c r="CS46" i="1" s="1"/>
  <c r="CL46" i="1"/>
  <c r="CM46" i="1" s="1"/>
  <c r="CN46" i="1" s="1"/>
  <c r="CG46" i="1"/>
  <c r="CH46" i="1" s="1"/>
  <c r="CI46" i="1" s="1"/>
  <c r="CB46" i="1"/>
  <c r="CC46" i="1" s="1"/>
  <c r="CD46" i="1" s="1"/>
  <c r="BW46" i="1"/>
  <c r="BX46" i="1" s="1"/>
  <c r="BY46" i="1" s="1"/>
  <c r="BR46" i="1"/>
  <c r="BS46" i="1" s="1"/>
  <c r="BT46" i="1" s="1"/>
  <c r="BM46" i="1"/>
  <c r="BN46" i="1" s="1"/>
  <c r="BO46" i="1" s="1"/>
  <c r="BH46" i="1"/>
  <c r="BI46" i="1" s="1"/>
  <c r="BJ46" i="1" s="1"/>
  <c r="BC46" i="1"/>
  <c r="BD46" i="1" s="1"/>
  <c r="BE46" i="1" s="1"/>
  <c r="AX46" i="1"/>
  <c r="AY46" i="1" s="1"/>
  <c r="AZ46" i="1" s="1"/>
  <c r="AS46" i="1"/>
  <c r="AT46" i="1" s="1"/>
  <c r="AU46" i="1" s="1"/>
  <c r="AN46" i="1"/>
  <c r="AO46" i="1" s="1"/>
  <c r="AP46" i="1" s="1"/>
  <c r="AI46" i="1"/>
  <c r="AJ46" i="1" s="1"/>
  <c r="AK46" i="1" s="1"/>
  <c r="AD46" i="1"/>
  <c r="AE46" i="1" s="1"/>
  <c r="AF46" i="1" s="1"/>
  <c r="X46" i="1"/>
  <c r="Y46" i="1" s="1"/>
  <c r="Z46" i="1" s="1"/>
  <c r="T46" i="1"/>
  <c r="O46" i="1"/>
  <c r="J46" i="1"/>
  <c r="PZ45" i="1"/>
  <c r="PU45" i="1"/>
  <c r="PP45" i="1"/>
  <c r="PK45" i="1"/>
  <c r="PF45" i="1"/>
  <c r="PA45" i="1"/>
  <c r="OV45" i="1"/>
  <c r="OQ45" i="1"/>
  <c r="OL45" i="1"/>
  <c r="OG45" i="1"/>
  <c r="OB45" i="1"/>
  <c r="NW45" i="1"/>
  <c r="NR45" i="1"/>
  <c r="NM45" i="1"/>
  <c r="NH45" i="1"/>
  <c r="NC45" i="1"/>
  <c r="MX45" i="1"/>
  <c r="MS45" i="1"/>
  <c r="MN45" i="1"/>
  <c r="MI45" i="1"/>
  <c r="MD45" i="1"/>
  <c r="LY45" i="1"/>
  <c r="LT45" i="1"/>
  <c r="LO45" i="1"/>
  <c r="LJ45" i="1"/>
  <c r="LE45" i="1"/>
  <c r="KZ45" i="1"/>
  <c r="KS45" i="1"/>
  <c r="KT45" i="1" s="1"/>
  <c r="KU45" i="1" s="1"/>
  <c r="KP45" i="1"/>
  <c r="KI45" i="1"/>
  <c r="KJ45" i="1" s="1"/>
  <c r="KK45" i="1" s="1"/>
  <c r="KF45" i="1"/>
  <c r="JB45" i="1"/>
  <c r="IW45" i="1"/>
  <c r="IR45" i="1"/>
  <c r="IM45" i="1"/>
  <c r="IH45" i="1"/>
  <c r="IC45" i="1"/>
  <c r="HX45" i="1"/>
  <c r="HS45" i="1"/>
  <c r="HN45" i="1"/>
  <c r="HI45" i="1"/>
  <c r="HB45" i="1"/>
  <c r="HC45" i="1" s="1"/>
  <c r="HD45" i="1" s="1"/>
  <c r="GW45" i="1"/>
  <c r="GX45" i="1" s="1"/>
  <c r="GY45" i="1" s="1"/>
  <c r="GR45" i="1"/>
  <c r="GS45" i="1" s="1"/>
  <c r="GT45" i="1" s="1"/>
  <c r="GM45" i="1"/>
  <c r="GN45" i="1" s="1"/>
  <c r="GO45" i="1" s="1"/>
  <c r="GH45" i="1"/>
  <c r="GI45" i="1" s="1"/>
  <c r="GJ45" i="1" s="1"/>
  <c r="GC45" i="1"/>
  <c r="GD45" i="1" s="1"/>
  <c r="GE45" i="1" s="1"/>
  <c r="FX45" i="1"/>
  <c r="FY45" i="1" s="1"/>
  <c r="FZ45" i="1" s="1"/>
  <c r="FS45" i="1"/>
  <c r="FT45" i="1" s="1"/>
  <c r="FU45" i="1" s="1"/>
  <c r="FN45" i="1"/>
  <c r="FO45" i="1" s="1"/>
  <c r="FP45" i="1" s="1"/>
  <c r="FI45" i="1"/>
  <c r="FJ45" i="1" s="1"/>
  <c r="FK45" i="1" s="1"/>
  <c r="FD45" i="1"/>
  <c r="FE45" i="1" s="1"/>
  <c r="FF45" i="1" s="1"/>
  <c r="EY45" i="1"/>
  <c r="EZ45" i="1" s="1"/>
  <c r="FA45" i="1" s="1"/>
  <c r="ET45" i="1"/>
  <c r="EU45" i="1" s="1"/>
  <c r="EV45" i="1" s="1"/>
  <c r="EO45" i="1"/>
  <c r="EP45" i="1" s="1"/>
  <c r="EQ45" i="1" s="1"/>
  <c r="EJ45" i="1"/>
  <c r="EK45" i="1" s="1"/>
  <c r="EL45" i="1" s="1"/>
  <c r="EE45" i="1"/>
  <c r="EF45" i="1" s="1"/>
  <c r="EG45" i="1" s="1"/>
  <c r="DZ45" i="1"/>
  <c r="EA45" i="1" s="1"/>
  <c r="EB45" i="1" s="1"/>
  <c r="DU45" i="1"/>
  <c r="DV45" i="1" s="1"/>
  <c r="DW45" i="1" s="1"/>
  <c r="DP45" i="1"/>
  <c r="DQ45" i="1" s="1"/>
  <c r="DR45" i="1" s="1"/>
  <c r="DK45" i="1"/>
  <c r="DL45" i="1" s="1"/>
  <c r="DM45" i="1" s="1"/>
  <c r="DF45" i="1"/>
  <c r="DG45" i="1" s="1"/>
  <c r="DH45" i="1" s="1"/>
  <c r="DA45" i="1"/>
  <c r="DB45" i="1" s="1"/>
  <c r="DC45" i="1" s="1"/>
  <c r="CV45" i="1"/>
  <c r="CW45" i="1" s="1"/>
  <c r="CX45" i="1" s="1"/>
  <c r="CQ45" i="1"/>
  <c r="CR45" i="1" s="1"/>
  <c r="CS45" i="1" s="1"/>
  <c r="CL45" i="1"/>
  <c r="CM45" i="1" s="1"/>
  <c r="CN45" i="1" s="1"/>
  <c r="CG45" i="1"/>
  <c r="CH45" i="1" s="1"/>
  <c r="CI45" i="1" s="1"/>
  <c r="CB45" i="1"/>
  <c r="CC45" i="1" s="1"/>
  <c r="CD45" i="1" s="1"/>
  <c r="BW45" i="1"/>
  <c r="BX45" i="1" s="1"/>
  <c r="BY45" i="1" s="1"/>
  <c r="BR45" i="1"/>
  <c r="BS45" i="1" s="1"/>
  <c r="BT45" i="1" s="1"/>
  <c r="BM45" i="1"/>
  <c r="BN45" i="1" s="1"/>
  <c r="BO45" i="1" s="1"/>
  <c r="BH45" i="1"/>
  <c r="BI45" i="1" s="1"/>
  <c r="BJ45" i="1" s="1"/>
  <c r="BC45" i="1"/>
  <c r="BD45" i="1" s="1"/>
  <c r="BE45" i="1" s="1"/>
  <c r="AX45" i="1"/>
  <c r="AY45" i="1" s="1"/>
  <c r="AZ45" i="1" s="1"/>
  <c r="AS45" i="1"/>
  <c r="AT45" i="1" s="1"/>
  <c r="AU45" i="1" s="1"/>
  <c r="AN45" i="1"/>
  <c r="AO45" i="1" s="1"/>
  <c r="AP45" i="1" s="1"/>
  <c r="AI45" i="1"/>
  <c r="AJ45" i="1" s="1"/>
  <c r="AK45" i="1" s="1"/>
  <c r="AD45" i="1"/>
  <c r="AE45" i="1" s="1"/>
  <c r="AF45" i="1" s="1"/>
  <c r="X45" i="1"/>
  <c r="Y45" i="1" s="1"/>
  <c r="Z45" i="1" s="1"/>
  <c r="T45" i="1"/>
  <c r="O45" i="1"/>
  <c r="J45" i="1"/>
  <c r="PZ44" i="1"/>
  <c r="PU44" i="1"/>
  <c r="PP44" i="1"/>
  <c r="PK44" i="1"/>
  <c r="PF44" i="1"/>
  <c r="PA44" i="1"/>
  <c r="OV44" i="1"/>
  <c r="OQ44" i="1"/>
  <c r="OL44" i="1"/>
  <c r="OG44" i="1"/>
  <c r="OB44" i="1"/>
  <c r="NW44" i="1"/>
  <c r="NR44" i="1"/>
  <c r="NM44" i="1"/>
  <c r="NH44" i="1"/>
  <c r="NC44" i="1"/>
  <c r="MX44" i="1"/>
  <c r="MS44" i="1"/>
  <c r="MN44" i="1"/>
  <c r="MI44" i="1"/>
  <c r="MD44" i="1"/>
  <c r="LY44" i="1"/>
  <c r="LT44" i="1"/>
  <c r="LO44" i="1"/>
  <c r="LJ44" i="1"/>
  <c r="LE44" i="1"/>
  <c r="KZ44" i="1"/>
  <c r="KU44" i="1"/>
  <c r="KP44" i="1"/>
  <c r="KK44" i="1"/>
  <c r="KF44" i="1"/>
  <c r="JB44" i="1"/>
  <c r="IW44" i="1"/>
  <c r="IR44" i="1"/>
  <c r="IM44" i="1"/>
  <c r="IH44" i="1"/>
  <c r="IC44" i="1"/>
  <c r="HX44" i="1"/>
  <c r="HS44" i="1"/>
  <c r="HN44" i="1"/>
  <c r="HI44" i="1"/>
  <c r="HB44" i="1"/>
  <c r="HC44" i="1" s="1"/>
  <c r="HD44" i="1" s="1"/>
  <c r="GW44" i="1"/>
  <c r="GX44" i="1" s="1"/>
  <c r="GY44" i="1" s="1"/>
  <c r="GR44" i="1"/>
  <c r="GS44" i="1" s="1"/>
  <c r="GT44" i="1" s="1"/>
  <c r="GM44" i="1"/>
  <c r="GN44" i="1" s="1"/>
  <c r="GO44" i="1" s="1"/>
  <c r="GH44" i="1"/>
  <c r="GI44" i="1" s="1"/>
  <c r="GJ44" i="1" s="1"/>
  <c r="GC44" i="1"/>
  <c r="GD44" i="1" s="1"/>
  <c r="GE44" i="1" s="1"/>
  <c r="FX44" i="1"/>
  <c r="FY44" i="1" s="1"/>
  <c r="FZ44" i="1" s="1"/>
  <c r="FS44" i="1"/>
  <c r="FT44" i="1" s="1"/>
  <c r="FU44" i="1" s="1"/>
  <c r="FN44" i="1"/>
  <c r="FO44" i="1" s="1"/>
  <c r="FP44" i="1" s="1"/>
  <c r="FI44" i="1"/>
  <c r="FJ44" i="1" s="1"/>
  <c r="FK44" i="1" s="1"/>
  <c r="FD44" i="1"/>
  <c r="FE44" i="1" s="1"/>
  <c r="FF44" i="1" s="1"/>
  <c r="EY44" i="1"/>
  <c r="EZ44" i="1" s="1"/>
  <c r="FA44" i="1" s="1"/>
  <c r="ET44" i="1"/>
  <c r="EU44" i="1" s="1"/>
  <c r="EV44" i="1" s="1"/>
  <c r="EO44" i="1"/>
  <c r="EP44" i="1" s="1"/>
  <c r="EQ44" i="1" s="1"/>
  <c r="EJ44" i="1"/>
  <c r="EK44" i="1" s="1"/>
  <c r="EL44" i="1" s="1"/>
  <c r="EE44" i="1"/>
  <c r="EF44" i="1" s="1"/>
  <c r="EG44" i="1" s="1"/>
  <c r="DZ44" i="1"/>
  <c r="EA44" i="1" s="1"/>
  <c r="EB44" i="1" s="1"/>
  <c r="DU44" i="1"/>
  <c r="DV44" i="1" s="1"/>
  <c r="DW44" i="1" s="1"/>
  <c r="DP44" i="1"/>
  <c r="DQ44" i="1" s="1"/>
  <c r="DR44" i="1" s="1"/>
  <c r="DK44" i="1"/>
  <c r="DL44" i="1" s="1"/>
  <c r="DM44" i="1" s="1"/>
  <c r="DF44" i="1"/>
  <c r="DG44" i="1" s="1"/>
  <c r="DH44" i="1" s="1"/>
  <c r="DA44" i="1"/>
  <c r="DB44" i="1" s="1"/>
  <c r="DC44" i="1" s="1"/>
  <c r="CV44" i="1"/>
  <c r="CW44" i="1" s="1"/>
  <c r="CX44" i="1" s="1"/>
  <c r="CQ44" i="1"/>
  <c r="CR44" i="1" s="1"/>
  <c r="CS44" i="1" s="1"/>
  <c r="CL44" i="1"/>
  <c r="CM44" i="1" s="1"/>
  <c r="CN44" i="1" s="1"/>
  <c r="CG44" i="1"/>
  <c r="CH44" i="1" s="1"/>
  <c r="CI44" i="1" s="1"/>
  <c r="CB44" i="1"/>
  <c r="CC44" i="1" s="1"/>
  <c r="CD44" i="1" s="1"/>
  <c r="BW44" i="1"/>
  <c r="BX44" i="1" s="1"/>
  <c r="BY44" i="1" s="1"/>
  <c r="BR44" i="1"/>
  <c r="BS44" i="1" s="1"/>
  <c r="BT44" i="1" s="1"/>
  <c r="BM44" i="1"/>
  <c r="BN44" i="1" s="1"/>
  <c r="BO44" i="1" s="1"/>
  <c r="BH44" i="1"/>
  <c r="BI44" i="1" s="1"/>
  <c r="BJ44" i="1" s="1"/>
  <c r="BC44" i="1"/>
  <c r="BD44" i="1" s="1"/>
  <c r="BE44" i="1" s="1"/>
  <c r="AX44" i="1"/>
  <c r="AY44" i="1" s="1"/>
  <c r="AZ44" i="1" s="1"/>
  <c r="AS44" i="1"/>
  <c r="AT44" i="1" s="1"/>
  <c r="AU44" i="1" s="1"/>
  <c r="AN44" i="1"/>
  <c r="AO44" i="1" s="1"/>
  <c r="AP44" i="1" s="1"/>
  <c r="AI44" i="1"/>
  <c r="AJ44" i="1" s="1"/>
  <c r="AK44" i="1" s="1"/>
  <c r="AF44" i="1"/>
  <c r="X44" i="1"/>
  <c r="Y44" i="1" s="1"/>
  <c r="Z44" i="1" s="1"/>
  <c r="T44" i="1"/>
  <c r="O44" i="1"/>
  <c r="H44" i="1"/>
  <c r="I44" i="1" s="1"/>
  <c r="J44" i="1" s="1"/>
  <c r="PZ43" i="1"/>
  <c r="PU43" i="1"/>
  <c r="PP43" i="1"/>
  <c r="PK43" i="1"/>
  <c r="PF43" i="1"/>
  <c r="PA43" i="1"/>
  <c r="OV43" i="1"/>
  <c r="OQ43" i="1"/>
  <c r="OL43" i="1"/>
  <c r="OG43" i="1"/>
  <c r="OB43" i="1"/>
  <c r="NW43" i="1"/>
  <c r="NR43" i="1"/>
  <c r="NM43" i="1"/>
  <c r="NH43" i="1"/>
  <c r="NC43" i="1"/>
  <c r="MX43" i="1"/>
  <c r="MS43" i="1"/>
  <c r="MN43" i="1"/>
  <c r="MG43" i="1"/>
  <c r="MH43" i="1" s="1"/>
  <c r="MI43" i="1" s="1"/>
  <c r="MB43" i="1"/>
  <c r="MC43" i="1" s="1"/>
  <c r="MD43" i="1" s="1"/>
  <c r="LW43" i="1"/>
  <c r="LX43" i="1" s="1"/>
  <c r="LY43" i="1" s="1"/>
  <c r="LR43" i="1"/>
  <c r="LS43" i="1" s="1"/>
  <c r="LT43" i="1" s="1"/>
  <c r="LO43" i="1"/>
  <c r="LJ43" i="1"/>
  <c r="LC43" i="1"/>
  <c r="LD43" i="1" s="1"/>
  <c r="LE43" i="1" s="1"/>
  <c r="KX43" i="1"/>
  <c r="KY43" i="1" s="1"/>
  <c r="KZ43" i="1" s="1"/>
  <c r="KU43" i="1"/>
  <c r="KN43" i="1"/>
  <c r="KO43" i="1" s="1"/>
  <c r="KP43" i="1" s="1"/>
  <c r="KK43" i="1"/>
  <c r="KF43" i="1"/>
  <c r="IZ43" i="1"/>
  <c r="JA43" i="1" s="1"/>
  <c r="JB43" i="1" s="1"/>
  <c r="IU43" i="1"/>
  <c r="IV43" i="1" s="1"/>
  <c r="IW43" i="1" s="1"/>
  <c r="IP43" i="1"/>
  <c r="IQ43" i="1" s="1"/>
  <c r="IR43" i="1" s="1"/>
  <c r="IK43" i="1"/>
  <c r="IL43" i="1" s="1"/>
  <c r="IM43" i="1" s="1"/>
  <c r="IF43" i="1"/>
  <c r="IG43" i="1" s="1"/>
  <c r="IH43" i="1" s="1"/>
  <c r="IA43" i="1"/>
  <c r="IB43" i="1" s="1"/>
  <c r="IC43" i="1" s="1"/>
  <c r="HV43" i="1"/>
  <c r="HW43" i="1" s="1"/>
  <c r="HX43" i="1" s="1"/>
  <c r="HS43" i="1"/>
  <c r="HL43" i="1"/>
  <c r="HM43" i="1" s="1"/>
  <c r="HN43" i="1" s="1"/>
  <c r="HG43" i="1"/>
  <c r="HH43" i="1" s="1"/>
  <c r="HI43" i="1" s="1"/>
  <c r="HB43" i="1"/>
  <c r="HC43" i="1" s="1"/>
  <c r="HD43" i="1" s="1"/>
  <c r="GW43" i="1"/>
  <c r="GX43" i="1" s="1"/>
  <c r="GY43" i="1" s="1"/>
  <c r="GR43" i="1"/>
  <c r="GS43" i="1" s="1"/>
  <c r="GT43" i="1" s="1"/>
  <c r="GM43" i="1"/>
  <c r="GN43" i="1" s="1"/>
  <c r="GO43" i="1" s="1"/>
  <c r="GH43" i="1"/>
  <c r="GI43" i="1" s="1"/>
  <c r="GJ43" i="1" s="1"/>
  <c r="GC43" i="1"/>
  <c r="GD43" i="1" s="1"/>
  <c r="GE43" i="1" s="1"/>
  <c r="FX43" i="1"/>
  <c r="FY43" i="1" s="1"/>
  <c r="FZ43" i="1" s="1"/>
  <c r="FS43" i="1"/>
  <c r="FT43" i="1" s="1"/>
  <c r="FU43" i="1" s="1"/>
  <c r="FN43" i="1"/>
  <c r="FO43" i="1" s="1"/>
  <c r="FP43" i="1" s="1"/>
  <c r="FI43" i="1"/>
  <c r="FJ43" i="1" s="1"/>
  <c r="FK43" i="1" s="1"/>
  <c r="FD43" i="1"/>
  <c r="FE43" i="1" s="1"/>
  <c r="FF43" i="1" s="1"/>
  <c r="EY43" i="1"/>
  <c r="EZ43" i="1" s="1"/>
  <c r="FA43" i="1" s="1"/>
  <c r="ET43" i="1"/>
  <c r="EU43" i="1" s="1"/>
  <c r="EV43" i="1" s="1"/>
  <c r="EO43" i="1"/>
  <c r="EP43" i="1" s="1"/>
  <c r="EQ43" i="1" s="1"/>
  <c r="EJ43" i="1"/>
  <c r="EK43" i="1" s="1"/>
  <c r="EL43" i="1" s="1"/>
  <c r="EE43" i="1"/>
  <c r="EF43" i="1" s="1"/>
  <c r="EG43" i="1" s="1"/>
  <c r="DZ43" i="1"/>
  <c r="EA43" i="1" s="1"/>
  <c r="EB43" i="1" s="1"/>
  <c r="DU43" i="1"/>
  <c r="DV43" i="1" s="1"/>
  <c r="DW43" i="1" s="1"/>
  <c r="DP43" i="1"/>
  <c r="DQ43" i="1" s="1"/>
  <c r="DR43" i="1" s="1"/>
  <c r="DK43" i="1"/>
  <c r="DL43" i="1" s="1"/>
  <c r="DM43" i="1" s="1"/>
  <c r="DF43" i="1"/>
  <c r="DG43" i="1" s="1"/>
  <c r="DH43" i="1" s="1"/>
  <c r="DA43" i="1"/>
  <c r="DB43" i="1" s="1"/>
  <c r="DC43" i="1" s="1"/>
  <c r="CV43" i="1"/>
  <c r="CW43" i="1" s="1"/>
  <c r="CX43" i="1" s="1"/>
  <c r="CQ43" i="1"/>
  <c r="CR43" i="1" s="1"/>
  <c r="CS43" i="1" s="1"/>
  <c r="CL43" i="1"/>
  <c r="CM43" i="1" s="1"/>
  <c r="CN43" i="1" s="1"/>
  <c r="CG43" i="1"/>
  <c r="CH43" i="1" s="1"/>
  <c r="CI43" i="1" s="1"/>
  <c r="CB43" i="1"/>
  <c r="CC43" i="1" s="1"/>
  <c r="CD43" i="1" s="1"/>
  <c r="BW43" i="1"/>
  <c r="BX43" i="1" s="1"/>
  <c r="BY43" i="1" s="1"/>
  <c r="BR43" i="1"/>
  <c r="BS43" i="1" s="1"/>
  <c r="BT43" i="1" s="1"/>
  <c r="BM43" i="1"/>
  <c r="BN43" i="1" s="1"/>
  <c r="BO43" i="1" s="1"/>
  <c r="BH43" i="1"/>
  <c r="BI43" i="1" s="1"/>
  <c r="BJ43" i="1" s="1"/>
  <c r="BC43" i="1"/>
  <c r="BD43" i="1" s="1"/>
  <c r="BE43" i="1" s="1"/>
  <c r="AX43" i="1"/>
  <c r="AY43" i="1" s="1"/>
  <c r="AZ43" i="1" s="1"/>
  <c r="AS43" i="1"/>
  <c r="AT43" i="1" s="1"/>
  <c r="AU43" i="1" s="1"/>
  <c r="AN43" i="1"/>
  <c r="AO43" i="1" s="1"/>
  <c r="AP43" i="1" s="1"/>
  <c r="AI43" i="1"/>
  <c r="AJ43" i="1" s="1"/>
  <c r="AK43" i="1" s="1"/>
  <c r="AD43" i="1"/>
  <c r="AE43" i="1" s="1"/>
  <c r="AF43" i="1" s="1"/>
  <c r="X43" i="1"/>
  <c r="Y43" i="1" s="1"/>
  <c r="Z43" i="1" s="1"/>
  <c r="T43" i="1"/>
  <c r="O43" i="1"/>
  <c r="J43" i="1"/>
  <c r="PZ42" i="1"/>
  <c r="PU42" i="1"/>
  <c r="PP42" i="1"/>
  <c r="PK42" i="1"/>
  <c r="PF42" i="1"/>
  <c r="PA42" i="1"/>
  <c r="OV42" i="1"/>
  <c r="OQ42" i="1"/>
  <c r="OL42" i="1"/>
  <c r="OG42" i="1"/>
  <c r="OB42" i="1"/>
  <c r="NW42" i="1"/>
  <c r="NR42" i="1"/>
  <c r="NM42" i="1"/>
  <c r="NH42" i="1"/>
  <c r="NC42" i="1"/>
  <c r="MX42" i="1"/>
  <c r="MS42" i="1"/>
  <c r="MN42" i="1"/>
  <c r="MI42" i="1"/>
  <c r="MD42" i="1"/>
  <c r="LY42" i="1"/>
  <c r="LT42" i="1"/>
  <c r="LO42" i="1"/>
  <c r="LJ42" i="1"/>
  <c r="LC42" i="1"/>
  <c r="LD42" i="1" s="1"/>
  <c r="LE42" i="1" s="1"/>
  <c r="KZ42" i="1"/>
  <c r="KU42" i="1"/>
  <c r="KP42" i="1"/>
  <c r="KK42" i="1"/>
  <c r="KF42" i="1"/>
  <c r="IZ42" i="1"/>
  <c r="JA42" i="1" s="1"/>
  <c r="JB42" i="1" s="1"/>
  <c r="IU42" i="1"/>
  <c r="IV42" i="1" s="1"/>
  <c r="IW42" i="1" s="1"/>
  <c r="IP42" i="1"/>
  <c r="IQ42" i="1" s="1"/>
  <c r="IR42" i="1" s="1"/>
  <c r="IK42" i="1"/>
  <c r="IL42" i="1" s="1"/>
  <c r="IM42" i="1" s="1"/>
  <c r="IF42" i="1"/>
  <c r="IG42" i="1" s="1"/>
  <c r="IH42" i="1" s="1"/>
  <c r="IA42" i="1"/>
  <c r="IB42" i="1" s="1"/>
  <c r="IC42" i="1" s="1"/>
  <c r="HV42" i="1"/>
  <c r="HW42" i="1" s="1"/>
  <c r="HX42" i="1" s="1"/>
  <c r="HQ42" i="1"/>
  <c r="HR42" i="1" s="1"/>
  <c r="HS42" i="1" s="1"/>
  <c r="HL42" i="1"/>
  <c r="HM42" i="1" s="1"/>
  <c r="HN42" i="1" s="1"/>
  <c r="HG42" i="1"/>
  <c r="HH42" i="1" s="1"/>
  <c r="HI42" i="1" s="1"/>
  <c r="HB42" i="1"/>
  <c r="HC42" i="1" s="1"/>
  <c r="HD42" i="1" s="1"/>
  <c r="GW42" i="1"/>
  <c r="GX42" i="1" s="1"/>
  <c r="GY42" i="1" s="1"/>
  <c r="GR42" i="1"/>
  <c r="GS42" i="1" s="1"/>
  <c r="GT42" i="1" s="1"/>
  <c r="GM42" i="1"/>
  <c r="GN42" i="1" s="1"/>
  <c r="GO42" i="1" s="1"/>
  <c r="GH42" i="1"/>
  <c r="GI42" i="1" s="1"/>
  <c r="GJ42" i="1" s="1"/>
  <c r="GC42" i="1"/>
  <c r="GD42" i="1" s="1"/>
  <c r="GE42" i="1" s="1"/>
  <c r="FX42" i="1"/>
  <c r="FY42" i="1" s="1"/>
  <c r="FZ42" i="1" s="1"/>
  <c r="FS42" i="1"/>
  <c r="FT42" i="1" s="1"/>
  <c r="FU42" i="1" s="1"/>
  <c r="FN42" i="1"/>
  <c r="FO42" i="1" s="1"/>
  <c r="FP42" i="1" s="1"/>
  <c r="FI42" i="1"/>
  <c r="FJ42" i="1" s="1"/>
  <c r="FK42" i="1" s="1"/>
  <c r="FD42" i="1"/>
  <c r="FE42" i="1" s="1"/>
  <c r="FF42" i="1" s="1"/>
  <c r="EY42" i="1"/>
  <c r="EZ42" i="1" s="1"/>
  <c r="FA42" i="1" s="1"/>
  <c r="ET42" i="1"/>
  <c r="EU42" i="1" s="1"/>
  <c r="EV42" i="1" s="1"/>
  <c r="EO42" i="1"/>
  <c r="EP42" i="1" s="1"/>
  <c r="EQ42" i="1" s="1"/>
  <c r="EJ42" i="1"/>
  <c r="EK42" i="1" s="1"/>
  <c r="EL42" i="1" s="1"/>
  <c r="EE42" i="1"/>
  <c r="EF42" i="1" s="1"/>
  <c r="EG42" i="1" s="1"/>
  <c r="DZ42" i="1"/>
  <c r="EA42" i="1" s="1"/>
  <c r="EB42" i="1" s="1"/>
  <c r="DU42" i="1"/>
  <c r="DV42" i="1" s="1"/>
  <c r="DW42" i="1" s="1"/>
  <c r="DP42" i="1"/>
  <c r="DQ42" i="1" s="1"/>
  <c r="DR42" i="1" s="1"/>
  <c r="DK42" i="1"/>
  <c r="DL42" i="1" s="1"/>
  <c r="DM42" i="1" s="1"/>
  <c r="DF42" i="1"/>
  <c r="DG42" i="1" s="1"/>
  <c r="DH42" i="1" s="1"/>
  <c r="DA42" i="1"/>
  <c r="DB42" i="1" s="1"/>
  <c r="DC42" i="1" s="1"/>
  <c r="CV42" i="1"/>
  <c r="CW42" i="1" s="1"/>
  <c r="CX42" i="1" s="1"/>
  <c r="CQ42" i="1"/>
  <c r="CR42" i="1" s="1"/>
  <c r="CS42" i="1" s="1"/>
  <c r="CL42" i="1"/>
  <c r="CM42" i="1" s="1"/>
  <c r="CN42" i="1" s="1"/>
  <c r="CG42" i="1"/>
  <c r="CH42" i="1" s="1"/>
  <c r="CI42" i="1" s="1"/>
  <c r="CB42" i="1"/>
  <c r="CC42" i="1" s="1"/>
  <c r="CD42" i="1" s="1"/>
  <c r="BW42" i="1"/>
  <c r="BX42" i="1" s="1"/>
  <c r="BY42" i="1" s="1"/>
  <c r="BR42" i="1"/>
  <c r="BS42" i="1" s="1"/>
  <c r="BT42" i="1" s="1"/>
  <c r="BM42" i="1"/>
  <c r="BN42" i="1" s="1"/>
  <c r="BO42" i="1" s="1"/>
  <c r="BH42" i="1"/>
  <c r="BI42" i="1" s="1"/>
  <c r="BJ42" i="1" s="1"/>
  <c r="BC42" i="1"/>
  <c r="BD42" i="1" s="1"/>
  <c r="BE42" i="1" s="1"/>
  <c r="AX42" i="1"/>
  <c r="AY42" i="1" s="1"/>
  <c r="AZ42" i="1" s="1"/>
  <c r="AS42" i="1"/>
  <c r="AT42" i="1" s="1"/>
  <c r="AU42" i="1" s="1"/>
  <c r="AN42" i="1"/>
  <c r="AO42" i="1" s="1"/>
  <c r="AP42" i="1" s="1"/>
  <c r="AI42" i="1"/>
  <c r="AJ42" i="1" s="1"/>
  <c r="AK42" i="1" s="1"/>
  <c r="AD42" i="1"/>
  <c r="AE42" i="1" s="1"/>
  <c r="AF42" i="1" s="1"/>
  <c r="X42" i="1"/>
  <c r="Y42" i="1" s="1"/>
  <c r="Z42" i="1" s="1"/>
  <c r="T42" i="1"/>
  <c r="O42" i="1"/>
  <c r="J42" i="1"/>
  <c r="PZ41" i="1"/>
  <c r="PU41" i="1"/>
  <c r="PP41" i="1"/>
  <c r="PK41" i="1"/>
  <c r="PF41" i="1"/>
  <c r="PA41" i="1"/>
  <c r="OV41" i="1"/>
  <c r="OQ41" i="1"/>
  <c r="OL41" i="1"/>
  <c r="OG41" i="1"/>
  <c r="OB41" i="1"/>
  <c r="NW41" i="1"/>
  <c r="NR41" i="1"/>
  <c r="NM41" i="1"/>
  <c r="NH41" i="1"/>
  <c r="NC41" i="1"/>
  <c r="MX41" i="1"/>
  <c r="MS41" i="1"/>
  <c r="MN41" i="1"/>
  <c r="MI41" i="1"/>
  <c r="MB41" i="1"/>
  <c r="MC41" i="1" s="1"/>
  <c r="MD41" i="1" s="1"/>
  <c r="LW41" i="1"/>
  <c r="LX41" i="1" s="1"/>
  <c r="LY41" i="1" s="1"/>
  <c r="LT41" i="1"/>
  <c r="LO41" i="1"/>
  <c r="LJ41" i="1"/>
  <c r="LE41" i="1"/>
  <c r="KX41" i="1"/>
  <c r="KY41" i="1" s="1"/>
  <c r="KZ41" i="1" s="1"/>
  <c r="KU41" i="1"/>
  <c r="KP41" i="1"/>
  <c r="KK41" i="1"/>
  <c r="KF41" i="1"/>
  <c r="IZ41" i="1"/>
  <c r="JA41" i="1" s="1"/>
  <c r="JB41" i="1" s="1"/>
  <c r="IU41" i="1"/>
  <c r="IV41" i="1" s="1"/>
  <c r="IW41" i="1" s="1"/>
  <c r="IP41" i="1"/>
  <c r="IQ41" i="1" s="1"/>
  <c r="IR41" i="1" s="1"/>
  <c r="IK41" i="1"/>
  <c r="IL41" i="1" s="1"/>
  <c r="IM41" i="1" s="1"/>
  <c r="IF41" i="1"/>
  <c r="IG41" i="1" s="1"/>
  <c r="IH41" i="1" s="1"/>
  <c r="IA41" i="1"/>
  <c r="IB41" i="1" s="1"/>
  <c r="IC41" i="1" s="1"/>
  <c r="HV41" i="1"/>
  <c r="HW41" i="1" s="1"/>
  <c r="HX41" i="1" s="1"/>
  <c r="HS41" i="1"/>
  <c r="HL41" i="1"/>
  <c r="HM41" i="1" s="1"/>
  <c r="HN41" i="1" s="1"/>
  <c r="HG41" i="1"/>
  <c r="HH41" i="1" s="1"/>
  <c r="HI41" i="1" s="1"/>
  <c r="HB41" i="1"/>
  <c r="HC41" i="1" s="1"/>
  <c r="HD41" i="1" s="1"/>
  <c r="GW41" i="1"/>
  <c r="GX41" i="1" s="1"/>
  <c r="GY41" i="1" s="1"/>
  <c r="GR41" i="1"/>
  <c r="GS41" i="1" s="1"/>
  <c r="GT41" i="1" s="1"/>
  <c r="GM41" i="1"/>
  <c r="GN41" i="1" s="1"/>
  <c r="GO41" i="1" s="1"/>
  <c r="GH41" i="1"/>
  <c r="GI41" i="1" s="1"/>
  <c r="GJ41" i="1" s="1"/>
  <c r="GC41" i="1"/>
  <c r="GD41" i="1" s="1"/>
  <c r="GE41" i="1" s="1"/>
  <c r="FX41" i="1"/>
  <c r="FY41" i="1" s="1"/>
  <c r="FZ41" i="1" s="1"/>
  <c r="FS41" i="1"/>
  <c r="FT41" i="1" s="1"/>
  <c r="FU41" i="1" s="1"/>
  <c r="FN41" i="1"/>
  <c r="FO41" i="1" s="1"/>
  <c r="FP41" i="1" s="1"/>
  <c r="FI41" i="1"/>
  <c r="FJ41" i="1" s="1"/>
  <c r="FK41" i="1" s="1"/>
  <c r="FD41" i="1"/>
  <c r="FE41" i="1" s="1"/>
  <c r="FF41" i="1" s="1"/>
  <c r="EY41" i="1"/>
  <c r="EZ41" i="1" s="1"/>
  <c r="FA41" i="1" s="1"/>
  <c r="ET41" i="1"/>
  <c r="EU41" i="1" s="1"/>
  <c r="EV41" i="1" s="1"/>
  <c r="EO41" i="1"/>
  <c r="EP41" i="1" s="1"/>
  <c r="EQ41" i="1" s="1"/>
  <c r="EJ41" i="1"/>
  <c r="EK41" i="1" s="1"/>
  <c r="EL41" i="1" s="1"/>
  <c r="EE41" i="1"/>
  <c r="EF41" i="1" s="1"/>
  <c r="EG41" i="1" s="1"/>
  <c r="DZ41" i="1"/>
  <c r="EA41" i="1" s="1"/>
  <c r="EB41" i="1" s="1"/>
  <c r="DU41" i="1"/>
  <c r="DV41" i="1" s="1"/>
  <c r="DW41" i="1" s="1"/>
  <c r="DP41" i="1"/>
  <c r="DQ41" i="1" s="1"/>
  <c r="DR41" i="1" s="1"/>
  <c r="DK41" i="1"/>
  <c r="DL41" i="1" s="1"/>
  <c r="DM41" i="1" s="1"/>
  <c r="DF41" i="1"/>
  <c r="DG41" i="1" s="1"/>
  <c r="DH41" i="1" s="1"/>
  <c r="DA41" i="1"/>
  <c r="DB41" i="1" s="1"/>
  <c r="DC41" i="1" s="1"/>
  <c r="CV41" i="1"/>
  <c r="CW41" i="1" s="1"/>
  <c r="CX41" i="1" s="1"/>
  <c r="CQ41" i="1"/>
  <c r="CR41" i="1" s="1"/>
  <c r="CS41" i="1" s="1"/>
  <c r="CL41" i="1"/>
  <c r="CM41" i="1" s="1"/>
  <c r="CN41" i="1" s="1"/>
  <c r="CG41" i="1"/>
  <c r="CH41" i="1" s="1"/>
  <c r="CI41" i="1" s="1"/>
  <c r="CB41" i="1"/>
  <c r="CC41" i="1" s="1"/>
  <c r="CD41" i="1" s="1"/>
  <c r="BW41" i="1"/>
  <c r="BX41" i="1" s="1"/>
  <c r="BY41" i="1" s="1"/>
  <c r="BR41" i="1"/>
  <c r="BS41" i="1" s="1"/>
  <c r="BT41" i="1" s="1"/>
  <c r="BM41" i="1"/>
  <c r="BN41" i="1" s="1"/>
  <c r="BO41" i="1" s="1"/>
  <c r="BH41" i="1"/>
  <c r="BI41" i="1" s="1"/>
  <c r="BJ41" i="1" s="1"/>
  <c r="BC41" i="1"/>
  <c r="BD41" i="1" s="1"/>
  <c r="BE41" i="1" s="1"/>
  <c r="AX41" i="1"/>
  <c r="AY41" i="1" s="1"/>
  <c r="AZ41" i="1" s="1"/>
  <c r="AS41" i="1"/>
  <c r="AT41" i="1" s="1"/>
  <c r="AU41" i="1" s="1"/>
  <c r="AN41" i="1"/>
  <c r="AO41" i="1" s="1"/>
  <c r="AP41" i="1" s="1"/>
  <c r="AI41" i="1"/>
  <c r="AJ41" i="1" s="1"/>
  <c r="AK41" i="1" s="1"/>
  <c r="AD41" i="1"/>
  <c r="AE41" i="1" s="1"/>
  <c r="AF41" i="1" s="1"/>
  <c r="X41" i="1"/>
  <c r="Y41" i="1" s="1"/>
  <c r="Z41" i="1" s="1"/>
  <c r="T41" i="1"/>
  <c r="O41" i="1"/>
  <c r="J41" i="1"/>
  <c r="PZ40" i="1"/>
  <c r="PU40" i="1"/>
  <c r="PP40" i="1"/>
  <c r="PK40" i="1"/>
  <c r="PF40" i="1"/>
  <c r="PA40" i="1"/>
  <c r="OV40" i="1"/>
  <c r="OQ40" i="1"/>
  <c r="OL40" i="1"/>
  <c r="OG40" i="1"/>
  <c r="OB40" i="1"/>
  <c r="NW40" i="1"/>
  <c r="NR40" i="1"/>
  <c r="NM40" i="1"/>
  <c r="NH40" i="1"/>
  <c r="NC40" i="1"/>
  <c r="MX40" i="1"/>
  <c r="MS40" i="1"/>
  <c r="MN40" i="1"/>
  <c r="MI40" i="1"/>
  <c r="MD40" i="1"/>
  <c r="LY40" i="1"/>
  <c r="LT40" i="1"/>
  <c r="LO40" i="1"/>
  <c r="LJ40" i="1"/>
  <c r="LC40" i="1"/>
  <c r="LD40" i="1" s="1"/>
  <c r="LE40" i="1" s="1"/>
  <c r="KX40" i="1"/>
  <c r="KY40" i="1" s="1"/>
  <c r="KZ40" i="1" s="1"/>
  <c r="KU40" i="1"/>
  <c r="KP40" i="1"/>
  <c r="KK40" i="1"/>
  <c r="KF40" i="1"/>
  <c r="IZ40" i="1"/>
  <c r="JA40" i="1" s="1"/>
  <c r="JB40" i="1" s="1"/>
  <c r="IU40" i="1"/>
  <c r="IV40" i="1" s="1"/>
  <c r="IW40" i="1" s="1"/>
  <c r="IP40" i="1"/>
  <c r="IQ40" i="1" s="1"/>
  <c r="IR40" i="1" s="1"/>
  <c r="IK40" i="1"/>
  <c r="IL40" i="1" s="1"/>
  <c r="IM40" i="1" s="1"/>
  <c r="IF40" i="1"/>
  <c r="IG40" i="1" s="1"/>
  <c r="IH40" i="1" s="1"/>
  <c r="IA40" i="1"/>
  <c r="IB40" i="1" s="1"/>
  <c r="IC40" i="1" s="1"/>
  <c r="HV40" i="1"/>
  <c r="HW40" i="1" s="1"/>
  <c r="HX40" i="1" s="1"/>
  <c r="HQ40" i="1"/>
  <c r="HR40" i="1" s="1"/>
  <c r="HS40" i="1" s="1"/>
  <c r="HL40" i="1"/>
  <c r="HM40" i="1" s="1"/>
  <c r="HN40" i="1" s="1"/>
  <c r="HG40" i="1"/>
  <c r="HH40" i="1" s="1"/>
  <c r="HI40" i="1" s="1"/>
  <c r="HB40" i="1"/>
  <c r="HC40" i="1" s="1"/>
  <c r="HD40" i="1" s="1"/>
  <c r="GW40" i="1"/>
  <c r="GX40" i="1" s="1"/>
  <c r="GY40" i="1" s="1"/>
  <c r="GR40" i="1"/>
  <c r="GS40" i="1" s="1"/>
  <c r="GT40" i="1" s="1"/>
  <c r="GM40" i="1"/>
  <c r="GN40" i="1" s="1"/>
  <c r="GO40" i="1" s="1"/>
  <c r="GH40" i="1"/>
  <c r="GI40" i="1" s="1"/>
  <c r="GJ40" i="1" s="1"/>
  <c r="GC40" i="1"/>
  <c r="GD40" i="1" s="1"/>
  <c r="GE40" i="1" s="1"/>
  <c r="FX40" i="1"/>
  <c r="FY40" i="1" s="1"/>
  <c r="FZ40" i="1" s="1"/>
  <c r="FS40" i="1"/>
  <c r="FT40" i="1" s="1"/>
  <c r="FU40" i="1" s="1"/>
  <c r="FN40" i="1"/>
  <c r="FO40" i="1" s="1"/>
  <c r="FP40" i="1" s="1"/>
  <c r="FI40" i="1"/>
  <c r="FJ40" i="1" s="1"/>
  <c r="FK40" i="1" s="1"/>
  <c r="FD40" i="1"/>
  <c r="FE40" i="1" s="1"/>
  <c r="FF40" i="1" s="1"/>
  <c r="EY40" i="1"/>
  <c r="EZ40" i="1" s="1"/>
  <c r="FA40" i="1" s="1"/>
  <c r="ET40" i="1"/>
  <c r="EU40" i="1" s="1"/>
  <c r="EV40" i="1" s="1"/>
  <c r="EO40" i="1"/>
  <c r="EP40" i="1" s="1"/>
  <c r="EQ40" i="1" s="1"/>
  <c r="EJ40" i="1"/>
  <c r="EK40" i="1" s="1"/>
  <c r="EL40" i="1" s="1"/>
  <c r="EE40" i="1"/>
  <c r="EF40" i="1" s="1"/>
  <c r="EG40" i="1" s="1"/>
  <c r="DZ40" i="1"/>
  <c r="EA40" i="1" s="1"/>
  <c r="EB40" i="1" s="1"/>
  <c r="DU40" i="1"/>
  <c r="DV40" i="1" s="1"/>
  <c r="DW40" i="1" s="1"/>
  <c r="DP40" i="1"/>
  <c r="DQ40" i="1" s="1"/>
  <c r="DR40" i="1" s="1"/>
  <c r="DK40" i="1"/>
  <c r="DL40" i="1" s="1"/>
  <c r="DM40" i="1" s="1"/>
  <c r="DF40" i="1"/>
  <c r="DG40" i="1" s="1"/>
  <c r="DH40" i="1" s="1"/>
  <c r="DA40" i="1"/>
  <c r="DB40" i="1" s="1"/>
  <c r="DC40" i="1" s="1"/>
  <c r="CV40" i="1"/>
  <c r="CW40" i="1" s="1"/>
  <c r="CX40" i="1" s="1"/>
  <c r="CQ40" i="1"/>
  <c r="CR40" i="1" s="1"/>
  <c r="CS40" i="1" s="1"/>
  <c r="CL40" i="1"/>
  <c r="CM40" i="1" s="1"/>
  <c r="CN40" i="1" s="1"/>
  <c r="CG40" i="1"/>
  <c r="CH40" i="1" s="1"/>
  <c r="CI40" i="1" s="1"/>
  <c r="CB40" i="1"/>
  <c r="CC40" i="1" s="1"/>
  <c r="CD40" i="1" s="1"/>
  <c r="BW40" i="1"/>
  <c r="BX40" i="1" s="1"/>
  <c r="BY40" i="1" s="1"/>
  <c r="BR40" i="1"/>
  <c r="BS40" i="1" s="1"/>
  <c r="BT40" i="1" s="1"/>
  <c r="BN40" i="1"/>
  <c r="BO40" i="1" s="1"/>
  <c r="BH40" i="1"/>
  <c r="BI40" i="1" s="1"/>
  <c r="BJ40" i="1" s="1"/>
  <c r="BC40" i="1"/>
  <c r="BD40" i="1" s="1"/>
  <c r="BE40" i="1" s="1"/>
  <c r="AX40" i="1"/>
  <c r="AY40" i="1" s="1"/>
  <c r="AZ40" i="1" s="1"/>
  <c r="AS40" i="1"/>
  <c r="AT40" i="1" s="1"/>
  <c r="AU40" i="1" s="1"/>
  <c r="AN40" i="1"/>
  <c r="AO40" i="1" s="1"/>
  <c r="AP40" i="1" s="1"/>
  <c r="AI40" i="1"/>
  <c r="AJ40" i="1" s="1"/>
  <c r="AK40" i="1" s="1"/>
  <c r="AD40" i="1"/>
  <c r="AE40" i="1" s="1"/>
  <c r="AF40" i="1" s="1"/>
  <c r="X40" i="1"/>
  <c r="Y40" i="1" s="1"/>
  <c r="Z40" i="1" s="1"/>
  <c r="T40" i="1"/>
  <c r="O40" i="1"/>
  <c r="J40" i="1"/>
  <c r="PZ39" i="1"/>
  <c r="PU39" i="1"/>
  <c r="PP39" i="1"/>
  <c r="PK39" i="1"/>
  <c r="PF39" i="1"/>
  <c r="PA39" i="1"/>
  <c r="OV39" i="1"/>
  <c r="OQ39" i="1"/>
  <c r="OL39" i="1"/>
  <c r="OG39" i="1"/>
  <c r="OB39" i="1"/>
  <c r="NW39" i="1"/>
  <c r="NR39" i="1"/>
  <c r="NM39" i="1"/>
  <c r="NH39" i="1"/>
  <c r="NC39" i="1"/>
  <c r="MX39" i="1"/>
  <c r="MS39" i="1"/>
  <c r="MN39" i="1"/>
  <c r="MI39" i="1"/>
  <c r="MD39" i="1"/>
  <c r="LY39" i="1"/>
  <c r="LT39" i="1"/>
  <c r="LO39" i="1"/>
  <c r="LJ39" i="1"/>
  <c r="LE39" i="1"/>
  <c r="KZ39" i="1"/>
  <c r="KU39" i="1"/>
  <c r="KP39" i="1"/>
  <c r="KI39" i="1"/>
  <c r="KJ39" i="1" s="1"/>
  <c r="KK39" i="1" s="1"/>
  <c r="KF39" i="1"/>
  <c r="IZ39" i="1"/>
  <c r="JA39" i="1" s="1"/>
  <c r="JB39" i="1" s="1"/>
  <c r="IU39" i="1"/>
  <c r="IV39" i="1" s="1"/>
  <c r="IW39" i="1" s="1"/>
  <c r="IP39" i="1"/>
  <c r="IQ39" i="1" s="1"/>
  <c r="IR39" i="1" s="1"/>
  <c r="IK39" i="1"/>
  <c r="IL39" i="1" s="1"/>
  <c r="IM39" i="1" s="1"/>
  <c r="IF39" i="1"/>
  <c r="IG39" i="1" s="1"/>
  <c r="IH39" i="1" s="1"/>
  <c r="IA39" i="1"/>
  <c r="IB39" i="1" s="1"/>
  <c r="IC39" i="1" s="1"/>
  <c r="HV39" i="1"/>
  <c r="HW39" i="1" s="1"/>
  <c r="HX39" i="1" s="1"/>
  <c r="HS39" i="1"/>
  <c r="HN39" i="1"/>
  <c r="HG39" i="1"/>
  <c r="HH39" i="1" s="1"/>
  <c r="HI39" i="1" s="1"/>
  <c r="HB39" i="1"/>
  <c r="HC39" i="1" s="1"/>
  <c r="HD39" i="1" s="1"/>
  <c r="GW39" i="1"/>
  <c r="GX39" i="1" s="1"/>
  <c r="GY39" i="1" s="1"/>
  <c r="GR39" i="1"/>
  <c r="GS39" i="1" s="1"/>
  <c r="GT39" i="1" s="1"/>
  <c r="GM39" i="1"/>
  <c r="GN39" i="1" s="1"/>
  <c r="GO39" i="1" s="1"/>
  <c r="GH39" i="1"/>
  <c r="GI39" i="1" s="1"/>
  <c r="GJ39" i="1" s="1"/>
  <c r="GC39" i="1"/>
  <c r="GD39" i="1" s="1"/>
  <c r="GE39" i="1" s="1"/>
  <c r="FX39" i="1"/>
  <c r="FY39" i="1" s="1"/>
  <c r="FZ39" i="1" s="1"/>
  <c r="FS39" i="1"/>
  <c r="FT39" i="1" s="1"/>
  <c r="FU39" i="1" s="1"/>
  <c r="FN39" i="1"/>
  <c r="FO39" i="1" s="1"/>
  <c r="FP39" i="1" s="1"/>
  <c r="FI39" i="1"/>
  <c r="FJ39" i="1" s="1"/>
  <c r="FK39" i="1" s="1"/>
  <c r="FD39" i="1"/>
  <c r="FE39" i="1" s="1"/>
  <c r="FF39" i="1" s="1"/>
  <c r="EY39" i="1"/>
  <c r="EZ39" i="1" s="1"/>
  <c r="FA39" i="1" s="1"/>
  <c r="ET39" i="1"/>
  <c r="EU39" i="1" s="1"/>
  <c r="EV39" i="1" s="1"/>
  <c r="EO39" i="1"/>
  <c r="EP39" i="1" s="1"/>
  <c r="EQ39" i="1" s="1"/>
  <c r="EJ39" i="1"/>
  <c r="EK39" i="1" s="1"/>
  <c r="EL39" i="1" s="1"/>
  <c r="EE39" i="1"/>
  <c r="EF39" i="1" s="1"/>
  <c r="EG39" i="1" s="1"/>
  <c r="DZ39" i="1"/>
  <c r="EA39" i="1" s="1"/>
  <c r="EB39" i="1" s="1"/>
  <c r="DU39" i="1"/>
  <c r="DV39" i="1" s="1"/>
  <c r="DW39" i="1" s="1"/>
  <c r="DP39" i="1"/>
  <c r="DQ39" i="1" s="1"/>
  <c r="DR39" i="1" s="1"/>
  <c r="DK39" i="1"/>
  <c r="DL39" i="1" s="1"/>
  <c r="DM39" i="1" s="1"/>
  <c r="DF39" i="1"/>
  <c r="DG39" i="1" s="1"/>
  <c r="DH39" i="1" s="1"/>
  <c r="DA39" i="1"/>
  <c r="DB39" i="1" s="1"/>
  <c r="DC39" i="1" s="1"/>
  <c r="CV39" i="1"/>
  <c r="CW39" i="1" s="1"/>
  <c r="CX39" i="1" s="1"/>
  <c r="CQ39" i="1"/>
  <c r="CR39" i="1" s="1"/>
  <c r="CS39" i="1" s="1"/>
  <c r="CL39" i="1"/>
  <c r="CM39" i="1" s="1"/>
  <c r="CN39" i="1" s="1"/>
  <c r="CG39" i="1"/>
  <c r="CH39" i="1" s="1"/>
  <c r="CI39" i="1" s="1"/>
  <c r="CB39" i="1"/>
  <c r="CC39" i="1" s="1"/>
  <c r="CD39" i="1" s="1"/>
  <c r="BW39" i="1"/>
  <c r="BX39" i="1" s="1"/>
  <c r="BY39" i="1" s="1"/>
  <c r="BR39" i="1"/>
  <c r="BS39" i="1" s="1"/>
  <c r="BT39" i="1" s="1"/>
  <c r="BM39" i="1"/>
  <c r="BN39" i="1" s="1"/>
  <c r="BO39" i="1" s="1"/>
  <c r="BH39" i="1"/>
  <c r="BI39" i="1" s="1"/>
  <c r="BJ39" i="1" s="1"/>
  <c r="BC39" i="1"/>
  <c r="BD39" i="1" s="1"/>
  <c r="BE39" i="1" s="1"/>
  <c r="AX39" i="1"/>
  <c r="AY39" i="1" s="1"/>
  <c r="AZ39" i="1" s="1"/>
  <c r="AS39" i="1"/>
  <c r="AT39" i="1" s="1"/>
  <c r="AU39" i="1" s="1"/>
  <c r="AN39" i="1"/>
  <c r="AO39" i="1" s="1"/>
  <c r="AP39" i="1" s="1"/>
  <c r="AI39" i="1"/>
  <c r="AJ39" i="1" s="1"/>
  <c r="AK39" i="1" s="1"/>
  <c r="AD39" i="1"/>
  <c r="AE39" i="1" s="1"/>
  <c r="AF39" i="1" s="1"/>
  <c r="X39" i="1"/>
  <c r="Y39" i="1" s="1"/>
  <c r="Z39" i="1" s="1"/>
  <c r="R39" i="1"/>
  <c r="S39" i="1" s="1"/>
  <c r="T39" i="1" s="1"/>
  <c r="O39" i="1"/>
  <c r="J39" i="1"/>
  <c r="PX38" i="1"/>
  <c r="PY38" i="1" s="1"/>
  <c r="PZ38" i="1" s="1"/>
  <c r="PU38" i="1"/>
  <c r="PP38" i="1"/>
  <c r="PK38" i="1"/>
  <c r="PF38" i="1"/>
  <c r="PA38" i="1"/>
  <c r="OV38" i="1"/>
  <c r="OQ38" i="1"/>
  <c r="OL38" i="1"/>
  <c r="OG38" i="1"/>
  <c r="OB38" i="1"/>
  <c r="NW38" i="1"/>
  <c r="NR38" i="1"/>
  <c r="NM38" i="1"/>
  <c r="NH38" i="1"/>
  <c r="NC38" i="1"/>
  <c r="MX38" i="1"/>
  <c r="MS38" i="1"/>
  <c r="MN38" i="1"/>
  <c r="MI38" i="1"/>
  <c r="MD38" i="1"/>
  <c r="LY38" i="1"/>
  <c r="LT38" i="1"/>
  <c r="LO38" i="1"/>
  <c r="LJ38" i="1"/>
  <c r="LE38" i="1"/>
  <c r="KZ38" i="1"/>
  <c r="KU38" i="1"/>
  <c r="KP38" i="1"/>
  <c r="KK38" i="1"/>
  <c r="KF38" i="1"/>
  <c r="JB38" i="1"/>
  <c r="IW38" i="1"/>
  <c r="IR38" i="1"/>
  <c r="IM38" i="1"/>
  <c r="IH38" i="1"/>
  <c r="IC38" i="1"/>
  <c r="HX38" i="1"/>
  <c r="HS38" i="1"/>
  <c r="HN38" i="1"/>
  <c r="HG38" i="1"/>
  <c r="HH38" i="1" s="1"/>
  <c r="HI38" i="1" s="1"/>
  <c r="HB38" i="1"/>
  <c r="HC38" i="1" s="1"/>
  <c r="HD38" i="1" s="1"/>
  <c r="GW38" i="1"/>
  <c r="GX38" i="1" s="1"/>
  <c r="GY38" i="1" s="1"/>
  <c r="GR38" i="1"/>
  <c r="GS38" i="1" s="1"/>
  <c r="GT38" i="1" s="1"/>
  <c r="GM38" i="1"/>
  <c r="GN38" i="1" s="1"/>
  <c r="GO38" i="1" s="1"/>
  <c r="GH38" i="1"/>
  <c r="GI38" i="1" s="1"/>
  <c r="GJ38" i="1" s="1"/>
  <c r="GC38" i="1"/>
  <c r="GD38" i="1" s="1"/>
  <c r="GE38" i="1" s="1"/>
  <c r="FX38" i="1"/>
  <c r="FY38" i="1" s="1"/>
  <c r="FZ38" i="1" s="1"/>
  <c r="FS38" i="1"/>
  <c r="FT38" i="1" s="1"/>
  <c r="FU38" i="1" s="1"/>
  <c r="FN38" i="1"/>
  <c r="FO38" i="1" s="1"/>
  <c r="FP38" i="1" s="1"/>
  <c r="FI38" i="1"/>
  <c r="FJ38" i="1" s="1"/>
  <c r="FK38" i="1" s="1"/>
  <c r="FD38" i="1"/>
  <c r="FE38" i="1" s="1"/>
  <c r="FF38" i="1" s="1"/>
  <c r="EY38" i="1"/>
  <c r="EZ38" i="1" s="1"/>
  <c r="FA38" i="1" s="1"/>
  <c r="ET38" i="1"/>
  <c r="EU38" i="1" s="1"/>
  <c r="EV38" i="1" s="1"/>
  <c r="EO38" i="1"/>
  <c r="EP38" i="1" s="1"/>
  <c r="EQ38" i="1" s="1"/>
  <c r="EJ38" i="1"/>
  <c r="EK38" i="1" s="1"/>
  <c r="EL38" i="1" s="1"/>
  <c r="EE38" i="1"/>
  <c r="EF38" i="1" s="1"/>
  <c r="EG38" i="1" s="1"/>
  <c r="DZ38" i="1"/>
  <c r="EA38" i="1" s="1"/>
  <c r="EB38" i="1" s="1"/>
  <c r="DU38" i="1"/>
  <c r="DV38" i="1" s="1"/>
  <c r="DW38" i="1" s="1"/>
  <c r="DP38" i="1"/>
  <c r="DQ38" i="1" s="1"/>
  <c r="DR38" i="1" s="1"/>
  <c r="DK38" i="1"/>
  <c r="DL38" i="1" s="1"/>
  <c r="DM38" i="1" s="1"/>
  <c r="DF38" i="1"/>
  <c r="DG38" i="1" s="1"/>
  <c r="DH38" i="1" s="1"/>
  <c r="DA38" i="1"/>
  <c r="DB38" i="1" s="1"/>
  <c r="DC38" i="1" s="1"/>
  <c r="CV38" i="1"/>
  <c r="CW38" i="1" s="1"/>
  <c r="CX38" i="1" s="1"/>
  <c r="CQ38" i="1"/>
  <c r="CR38" i="1" s="1"/>
  <c r="CS38" i="1" s="1"/>
  <c r="CL38" i="1"/>
  <c r="CM38" i="1" s="1"/>
  <c r="CN38" i="1" s="1"/>
  <c r="CG38" i="1"/>
  <c r="CH38" i="1" s="1"/>
  <c r="CI38" i="1" s="1"/>
  <c r="CB38" i="1"/>
  <c r="CC38" i="1" s="1"/>
  <c r="CD38" i="1" s="1"/>
  <c r="BW38" i="1"/>
  <c r="BX38" i="1" s="1"/>
  <c r="BY38" i="1" s="1"/>
  <c r="BR38" i="1"/>
  <c r="BS38" i="1" s="1"/>
  <c r="BT38" i="1" s="1"/>
  <c r="BM38" i="1"/>
  <c r="BN38" i="1" s="1"/>
  <c r="BO38" i="1" s="1"/>
  <c r="BH38" i="1"/>
  <c r="BI38" i="1" s="1"/>
  <c r="BJ38" i="1" s="1"/>
  <c r="BC38" i="1"/>
  <c r="BD38" i="1" s="1"/>
  <c r="BE38" i="1" s="1"/>
  <c r="AX38" i="1"/>
  <c r="AY38" i="1" s="1"/>
  <c r="AZ38" i="1" s="1"/>
  <c r="AS38" i="1"/>
  <c r="AT38" i="1" s="1"/>
  <c r="AU38" i="1" s="1"/>
  <c r="AN38" i="1"/>
  <c r="AO38" i="1" s="1"/>
  <c r="AP38" i="1" s="1"/>
  <c r="AI38" i="1"/>
  <c r="AJ38" i="1" s="1"/>
  <c r="AK38" i="1" s="1"/>
  <c r="AD38" i="1"/>
  <c r="AE38" i="1" s="1"/>
  <c r="AF38" i="1" s="1"/>
  <c r="X38" i="1"/>
  <c r="Y38" i="1" s="1"/>
  <c r="Z38" i="1" s="1"/>
  <c r="R38" i="1"/>
  <c r="S38" i="1" s="1"/>
  <c r="T38" i="1" s="1"/>
  <c r="M38" i="1"/>
  <c r="N38" i="1" s="1"/>
  <c r="O38" i="1" s="1"/>
  <c r="J38" i="1"/>
  <c r="PZ37" i="1"/>
  <c r="PU37" i="1"/>
  <c r="PP37" i="1"/>
  <c r="PK37" i="1"/>
  <c r="PF37" i="1"/>
  <c r="PA37" i="1"/>
  <c r="OV37" i="1"/>
  <c r="OQ37" i="1"/>
  <c r="OL37" i="1"/>
  <c r="OG37" i="1"/>
  <c r="OB37" i="1"/>
  <c r="NW37" i="1"/>
  <c r="NR37" i="1"/>
  <c r="NM37" i="1"/>
  <c r="NH37" i="1"/>
  <c r="NC37" i="1"/>
  <c r="MX37" i="1"/>
  <c r="MS37" i="1"/>
  <c r="MN37" i="1"/>
  <c r="MG37" i="1"/>
  <c r="MH37" i="1" s="1"/>
  <c r="MI37" i="1" s="1"/>
  <c r="MD37" i="1"/>
  <c r="LY37" i="1"/>
  <c r="LT37" i="1"/>
  <c r="LO37" i="1"/>
  <c r="LJ37" i="1"/>
  <c r="LC37" i="1"/>
  <c r="LD37" i="1" s="1"/>
  <c r="LE37" i="1" s="1"/>
  <c r="KX37" i="1"/>
  <c r="KY37" i="1" s="1"/>
  <c r="KZ37" i="1" s="1"/>
  <c r="KU37" i="1"/>
  <c r="KP37" i="1"/>
  <c r="KK37" i="1"/>
  <c r="KF37" i="1"/>
  <c r="JB37" i="1"/>
  <c r="IW37" i="1"/>
  <c r="IR37" i="1"/>
  <c r="IM37" i="1"/>
  <c r="IH37" i="1"/>
  <c r="IC37" i="1"/>
  <c r="HX37" i="1"/>
  <c r="HS37" i="1"/>
  <c r="HN37" i="1"/>
  <c r="HG37" i="1"/>
  <c r="HH37" i="1" s="1"/>
  <c r="HI37" i="1" s="1"/>
  <c r="HB37" i="1"/>
  <c r="HC37" i="1" s="1"/>
  <c r="HD37" i="1" s="1"/>
  <c r="GW37" i="1"/>
  <c r="GX37" i="1" s="1"/>
  <c r="GY37" i="1" s="1"/>
  <c r="GR37" i="1"/>
  <c r="GS37" i="1" s="1"/>
  <c r="GT37" i="1" s="1"/>
  <c r="GM37" i="1"/>
  <c r="GN37" i="1" s="1"/>
  <c r="GO37" i="1" s="1"/>
  <c r="GH37" i="1"/>
  <c r="GI37" i="1" s="1"/>
  <c r="GJ37" i="1" s="1"/>
  <c r="GC37" i="1"/>
  <c r="GD37" i="1" s="1"/>
  <c r="GE37" i="1" s="1"/>
  <c r="FX37" i="1"/>
  <c r="FY37" i="1" s="1"/>
  <c r="FZ37" i="1" s="1"/>
  <c r="FS37" i="1"/>
  <c r="FT37" i="1" s="1"/>
  <c r="FU37" i="1" s="1"/>
  <c r="FN37" i="1"/>
  <c r="FO37" i="1" s="1"/>
  <c r="FP37" i="1" s="1"/>
  <c r="FI37" i="1"/>
  <c r="FJ37" i="1" s="1"/>
  <c r="FK37" i="1" s="1"/>
  <c r="FD37" i="1"/>
  <c r="FE37" i="1" s="1"/>
  <c r="FF37" i="1" s="1"/>
  <c r="EY37" i="1"/>
  <c r="EZ37" i="1" s="1"/>
  <c r="FA37" i="1" s="1"/>
  <c r="ET37" i="1"/>
  <c r="EU37" i="1" s="1"/>
  <c r="EV37" i="1" s="1"/>
  <c r="EO37" i="1"/>
  <c r="EP37" i="1" s="1"/>
  <c r="EQ37" i="1" s="1"/>
  <c r="EJ37" i="1"/>
  <c r="EK37" i="1" s="1"/>
  <c r="EL37" i="1" s="1"/>
  <c r="EE37" i="1"/>
  <c r="EF37" i="1" s="1"/>
  <c r="EG37" i="1" s="1"/>
  <c r="DZ37" i="1"/>
  <c r="EA37" i="1" s="1"/>
  <c r="EB37" i="1" s="1"/>
  <c r="DU37" i="1"/>
  <c r="DV37" i="1" s="1"/>
  <c r="DW37" i="1" s="1"/>
  <c r="DP37" i="1"/>
  <c r="DQ37" i="1" s="1"/>
  <c r="DR37" i="1" s="1"/>
  <c r="DK37" i="1"/>
  <c r="DL37" i="1" s="1"/>
  <c r="DM37" i="1" s="1"/>
  <c r="DF37" i="1"/>
  <c r="DG37" i="1" s="1"/>
  <c r="DH37" i="1" s="1"/>
  <c r="DA37" i="1"/>
  <c r="DB37" i="1" s="1"/>
  <c r="DC37" i="1" s="1"/>
  <c r="CV37" i="1"/>
  <c r="CW37" i="1" s="1"/>
  <c r="CX37" i="1" s="1"/>
  <c r="CQ37" i="1"/>
  <c r="CR37" i="1" s="1"/>
  <c r="CS37" i="1" s="1"/>
  <c r="CL37" i="1"/>
  <c r="CM37" i="1" s="1"/>
  <c r="CN37" i="1" s="1"/>
  <c r="CG37" i="1"/>
  <c r="CH37" i="1" s="1"/>
  <c r="CI37" i="1" s="1"/>
  <c r="CB37" i="1"/>
  <c r="CC37" i="1" s="1"/>
  <c r="CD37" i="1" s="1"/>
  <c r="BW37" i="1"/>
  <c r="BX37" i="1" s="1"/>
  <c r="BY37" i="1" s="1"/>
  <c r="BR37" i="1"/>
  <c r="BS37" i="1" s="1"/>
  <c r="BT37" i="1" s="1"/>
  <c r="BM37" i="1"/>
  <c r="BN37" i="1" s="1"/>
  <c r="BO37" i="1" s="1"/>
  <c r="BH37" i="1"/>
  <c r="BI37" i="1" s="1"/>
  <c r="BJ37" i="1" s="1"/>
  <c r="BC37" i="1"/>
  <c r="BD37" i="1" s="1"/>
  <c r="BE37" i="1" s="1"/>
  <c r="AX37" i="1"/>
  <c r="AY37" i="1" s="1"/>
  <c r="AZ37" i="1" s="1"/>
  <c r="AS37" i="1"/>
  <c r="AT37" i="1" s="1"/>
  <c r="AU37" i="1" s="1"/>
  <c r="AN37" i="1"/>
  <c r="AO37" i="1" s="1"/>
  <c r="AP37" i="1" s="1"/>
  <c r="AI37" i="1"/>
  <c r="AJ37" i="1" s="1"/>
  <c r="AK37" i="1" s="1"/>
  <c r="AD37" i="1"/>
  <c r="AE37" i="1" s="1"/>
  <c r="AF37" i="1" s="1"/>
  <c r="X37" i="1"/>
  <c r="Y37" i="1" s="1"/>
  <c r="Z37" i="1" s="1"/>
  <c r="R37" i="1"/>
  <c r="S37" i="1" s="1"/>
  <c r="T37" i="1" s="1"/>
  <c r="O37" i="1"/>
  <c r="J37" i="1"/>
  <c r="PZ36" i="1"/>
  <c r="PU36" i="1"/>
  <c r="PP36" i="1"/>
  <c r="PK36" i="1"/>
  <c r="PF36" i="1"/>
  <c r="PA36" i="1"/>
  <c r="OV36" i="1"/>
  <c r="OQ36" i="1"/>
  <c r="OL36" i="1"/>
  <c r="OG36" i="1"/>
  <c r="OB36" i="1"/>
  <c r="NW36" i="1"/>
  <c r="NR36" i="1"/>
  <c r="NM36" i="1"/>
  <c r="NH36" i="1"/>
  <c r="NC36" i="1"/>
  <c r="MX36" i="1"/>
  <c r="MS36" i="1"/>
  <c r="MN36" i="1"/>
  <c r="MI36" i="1"/>
  <c r="MD36" i="1"/>
  <c r="LY36" i="1"/>
  <c r="LT36" i="1"/>
  <c r="LO36" i="1"/>
  <c r="LJ36" i="1"/>
  <c r="LE36" i="1"/>
  <c r="KZ36" i="1"/>
  <c r="KU36" i="1"/>
  <c r="KP36" i="1"/>
  <c r="KK36" i="1"/>
  <c r="KF36" i="1"/>
  <c r="JB36" i="1"/>
  <c r="IW36" i="1"/>
  <c r="IR36" i="1"/>
  <c r="IM36" i="1"/>
  <c r="IH36" i="1"/>
  <c r="IC36" i="1"/>
  <c r="HX36" i="1"/>
  <c r="HS36" i="1"/>
  <c r="HN36" i="1"/>
  <c r="HI36" i="1"/>
  <c r="HB36" i="1"/>
  <c r="HC36" i="1" s="1"/>
  <c r="HD36" i="1" s="1"/>
  <c r="GW36" i="1"/>
  <c r="GX36" i="1" s="1"/>
  <c r="GY36" i="1" s="1"/>
  <c r="GR36" i="1"/>
  <c r="GS36" i="1" s="1"/>
  <c r="GT36" i="1" s="1"/>
  <c r="GM36" i="1"/>
  <c r="GN36" i="1" s="1"/>
  <c r="GO36" i="1" s="1"/>
  <c r="GH36" i="1"/>
  <c r="GI36" i="1" s="1"/>
  <c r="GJ36" i="1" s="1"/>
  <c r="GC36" i="1"/>
  <c r="GD36" i="1" s="1"/>
  <c r="GE36" i="1" s="1"/>
  <c r="FX36" i="1"/>
  <c r="FY36" i="1" s="1"/>
  <c r="FZ36" i="1" s="1"/>
  <c r="FS36" i="1"/>
  <c r="FT36" i="1" s="1"/>
  <c r="FU36" i="1" s="1"/>
  <c r="FN36" i="1"/>
  <c r="FO36" i="1" s="1"/>
  <c r="FP36" i="1" s="1"/>
  <c r="FI36" i="1"/>
  <c r="FJ36" i="1" s="1"/>
  <c r="FK36" i="1" s="1"/>
  <c r="FD36" i="1"/>
  <c r="FE36" i="1" s="1"/>
  <c r="FF36" i="1" s="1"/>
  <c r="EY36" i="1"/>
  <c r="EZ36" i="1" s="1"/>
  <c r="FA36" i="1" s="1"/>
  <c r="ET36" i="1"/>
  <c r="EU36" i="1" s="1"/>
  <c r="EV36" i="1" s="1"/>
  <c r="EO36" i="1"/>
  <c r="EP36" i="1" s="1"/>
  <c r="EQ36" i="1" s="1"/>
  <c r="EJ36" i="1"/>
  <c r="EK36" i="1" s="1"/>
  <c r="EL36" i="1" s="1"/>
  <c r="EE36" i="1"/>
  <c r="EF36" i="1" s="1"/>
  <c r="EG36" i="1" s="1"/>
  <c r="DZ36" i="1"/>
  <c r="EA36" i="1" s="1"/>
  <c r="EB36" i="1" s="1"/>
  <c r="DU36" i="1"/>
  <c r="DV36" i="1" s="1"/>
  <c r="DW36" i="1" s="1"/>
  <c r="DP36" i="1"/>
  <c r="DQ36" i="1" s="1"/>
  <c r="DR36" i="1" s="1"/>
  <c r="DK36" i="1"/>
  <c r="DL36" i="1" s="1"/>
  <c r="DM36" i="1" s="1"/>
  <c r="DF36" i="1"/>
  <c r="DG36" i="1" s="1"/>
  <c r="DH36" i="1" s="1"/>
  <c r="DA36" i="1"/>
  <c r="DB36" i="1" s="1"/>
  <c r="DC36" i="1" s="1"/>
  <c r="CV36" i="1"/>
  <c r="CW36" i="1" s="1"/>
  <c r="CX36" i="1" s="1"/>
  <c r="CQ36" i="1"/>
  <c r="CR36" i="1" s="1"/>
  <c r="CS36" i="1" s="1"/>
  <c r="CL36" i="1"/>
  <c r="CM36" i="1" s="1"/>
  <c r="CN36" i="1" s="1"/>
  <c r="CG36" i="1"/>
  <c r="CH36" i="1" s="1"/>
  <c r="CI36" i="1" s="1"/>
  <c r="CB36" i="1"/>
  <c r="CC36" i="1" s="1"/>
  <c r="CD36" i="1" s="1"/>
  <c r="BW36" i="1"/>
  <c r="BX36" i="1" s="1"/>
  <c r="BY36" i="1" s="1"/>
  <c r="BR36" i="1"/>
  <c r="BS36" i="1" s="1"/>
  <c r="BT36" i="1" s="1"/>
  <c r="BM36" i="1"/>
  <c r="BN36" i="1" s="1"/>
  <c r="BO36" i="1" s="1"/>
  <c r="BH36" i="1"/>
  <c r="BI36" i="1" s="1"/>
  <c r="BJ36" i="1" s="1"/>
  <c r="BC36" i="1"/>
  <c r="BD36" i="1" s="1"/>
  <c r="BE36" i="1" s="1"/>
  <c r="AX36" i="1"/>
  <c r="AY36" i="1" s="1"/>
  <c r="AZ36" i="1" s="1"/>
  <c r="AS36" i="1"/>
  <c r="AT36" i="1" s="1"/>
  <c r="AU36" i="1" s="1"/>
  <c r="AN36" i="1"/>
  <c r="AO36" i="1" s="1"/>
  <c r="AP36" i="1" s="1"/>
  <c r="AI36" i="1"/>
  <c r="AJ36" i="1" s="1"/>
  <c r="AK36" i="1" s="1"/>
  <c r="AF36" i="1"/>
  <c r="X36" i="1"/>
  <c r="Y36" i="1" s="1"/>
  <c r="Z36" i="1" s="1"/>
  <c r="T36" i="1"/>
  <c r="O36" i="1"/>
  <c r="J36" i="1"/>
  <c r="PX35" i="1"/>
  <c r="PY35" i="1" s="1"/>
  <c r="PZ35" i="1" s="1"/>
  <c r="PU35" i="1"/>
  <c r="PP35" i="1"/>
  <c r="PK35" i="1"/>
  <c r="PF35" i="1"/>
  <c r="PA35" i="1"/>
  <c r="OV35" i="1"/>
  <c r="OQ35" i="1"/>
  <c r="OL35" i="1"/>
  <c r="OG35" i="1"/>
  <c r="OB35" i="1"/>
  <c r="NW35" i="1"/>
  <c r="NR35" i="1"/>
  <c r="NM35" i="1"/>
  <c r="NH35" i="1"/>
  <c r="NC35" i="1"/>
  <c r="MX35" i="1"/>
  <c r="MS35" i="1"/>
  <c r="MN35" i="1"/>
  <c r="MI35" i="1"/>
  <c r="MD35" i="1"/>
  <c r="LY35" i="1"/>
  <c r="LT35" i="1"/>
  <c r="LO35" i="1"/>
  <c r="LJ35" i="1"/>
  <c r="LE35" i="1"/>
  <c r="KZ35" i="1"/>
  <c r="KU35" i="1"/>
  <c r="KP35" i="1"/>
  <c r="KK35" i="1"/>
  <c r="KF35" i="1"/>
  <c r="JB35" i="1"/>
  <c r="IW35" i="1"/>
  <c r="IR35" i="1"/>
  <c r="IM35" i="1"/>
  <c r="IH35" i="1"/>
  <c r="IC35" i="1"/>
  <c r="HX35" i="1"/>
  <c r="HS35" i="1"/>
  <c r="HN35" i="1"/>
  <c r="HG35" i="1"/>
  <c r="HH35" i="1" s="1"/>
  <c r="HI35" i="1" s="1"/>
  <c r="HB35" i="1"/>
  <c r="HC35" i="1" s="1"/>
  <c r="HD35" i="1" s="1"/>
  <c r="GW35" i="1"/>
  <c r="GX35" i="1" s="1"/>
  <c r="GY35" i="1" s="1"/>
  <c r="GR35" i="1"/>
  <c r="GS35" i="1" s="1"/>
  <c r="GT35" i="1" s="1"/>
  <c r="GM35" i="1"/>
  <c r="GN35" i="1" s="1"/>
  <c r="GO35" i="1" s="1"/>
  <c r="GH35" i="1"/>
  <c r="GI35" i="1" s="1"/>
  <c r="GJ35" i="1" s="1"/>
  <c r="GC35" i="1"/>
  <c r="GD35" i="1" s="1"/>
  <c r="GE35" i="1" s="1"/>
  <c r="FX35" i="1"/>
  <c r="FY35" i="1" s="1"/>
  <c r="FZ35" i="1" s="1"/>
  <c r="FS35" i="1"/>
  <c r="FT35" i="1" s="1"/>
  <c r="FU35" i="1" s="1"/>
  <c r="FN35" i="1"/>
  <c r="FO35" i="1" s="1"/>
  <c r="FP35" i="1" s="1"/>
  <c r="FI35" i="1"/>
  <c r="FJ35" i="1" s="1"/>
  <c r="FK35" i="1" s="1"/>
  <c r="FD35" i="1"/>
  <c r="FE35" i="1" s="1"/>
  <c r="FF35" i="1" s="1"/>
  <c r="EY35" i="1"/>
  <c r="EZ35" i="1" s="1"/>
  <c r="FA35" i="1" s="1"/>
  <c r="ET35" i="1"/>
  <c r="EU35" i="1" s="1"/>
  <c r="EV35" i="1" s="1"/>
  <c r="EO35" i="1"/>
  <c r="EP35" i="1" s="1"/>
  <c r="EQ35" i="1" s="1"/>
  <c r="EJ35" i="1"/>
  <c r="EK35" i="1" s="1"/>
  <c r="EL35" i="1" s="1"/>
  <c r="EE35" i="1"/>
  <c r="EF35" i="1" s="1"/>
  <c r="EG35" i="1" s="1"/>
  <c r="DZ35" i="1"/>
  <c r="EA35" i="1" s="1"/>
  <c r="EB35" i="1" s="1"/>
  <c r="DU35" i="1"/>
  <c r="DV35" i="1" s="1"/>
  <c r="DW35" i="1" s="1"/>
  <c r="DP35" i="1"/>
  <c r="DQ35" i="1" s="1"/>
  <c r="DR35" i="1" s="1"/>
  <c r="DK35" i="1"/>
  <c r="DL35" i="1" s="1"/>
  <c r="DM35" i="1" s="1"/>
  <c r="DF35" i="1"/>
  <c r="DG35" i="1" s="1"/>
  <c r="DH35" i="1" s="1"/>
  <c r="DA35" i="1"/>
  <c r="DB35" i="1" s="1"/>
  <c r="DC35" i="1" s="1"/>
  <c r="CV35" i="1"/>
  <c r="CW35" i="1" s="1"/>
  <c r="CX35" i="1" s="1"/>
  <c r="CQ35" i="1"/>
  <c r="CR35" i="1" s="1"/>
  <c r="CS35" i="1" s="1"/>
  <c r="CL35" i="1"/>
  <c r="CM35" i="1" s="1"/>
  <c r="CN35" i="1" s="1"/>
  <c r="CG35" i="1"/>
  <c r="CH35" i="1" s="1"/>
  <c r="CI35" i="1" s="1"/>
  <c r="CB35" i="1"/>
  <c r="CC35" i="1" s="1"/>
  <c r="CD35" i="1" s="1"/>
  <c r="BW35" i="1"/>
  <c r="BX35" i="1" s="1"/>
  <c r="BY35" i="1" s="1"/>
  <c r="BR35" i="1"/>
  <c r="BS35" i="1" s="1"/>
  <c r="BT35" i="1" s="1"/>
  <c r="BM35" i="1"/>
  <c r="BN35" i="1" s="1"/>
  <c r="BO35" i="1" s="1"/>
  <c r="BH35" i="1"/>
  <c r="BI35" i="1" s="1"/>
  <c r="BJ35" i="1" s="1"/>
  <c r="BC35" i="1"/>
  <c r="BD35" i="1" s="1"/>
  <c r="BE35" i="1" s="1"/>
  <c r="AX35" i="1"/>
  <c r="AY35" i="1" s="1"/>
  <c r="AZ35" i="1" s="1"/>
  <c r="AS35" i="1"/>
  <c r="AT35" i="1" s="1"/>
  <c r="AU35" i="1" s="1"/>
  <c r="AN35" i="1"/>
  <c r="AO35" i="1" s="1"/>
  <c r="AP35" i="1" s="1"/>
  <c r="AI35" i="1"/>
  <c r="AJ35" i="1" s="1"/>
  <c r="AK35" i="1" s="1"/>
  <c r="AD35" i="1"/>
  <c r="AE35" i="1" s="1"/>
  <c r="AF35" i="1" s="1"/>
  <c r="X35" i="1"/>
  <c r="Y35" i="1" s="1"/>
  <c r="Z35" i="1" s="1"/>
  <c r="R35" i="1"/>
  <c r="S35" i="1" s="1"/>
  <c r="T35" i="1" s="1"/>
  <c r="O35" i="1"/>
  <c r="J35" i="1"/>
  <c r="PZ34" i="1"/>
  <c r="PU34" i="1"/>
  <c r="PP34" i="1"/>
  <c r="PK34" i="1"/>
  <c r="PF34" i="1"/>
  <c r="PA34" i="1"/>
  <c r="OV34" i="1"/>
  <c r="OQ34" i="1"/>
  <c r="OL34" i="1"/>
  <c r="OG34" i="1"/>
  <c r="OB34" i="1"/>
  <c r="NW34" i="1"/>
  <c r="NR34" i="1"/>
  <c r="NM34" i="1"/>
  <c r="NH34" i="1"/>
  <c r="NC34" i="1"/>
  <c r="MX34" i="1"/>
  <c r="MS34" i="1"/>
  <c r="MN34" i="1"/>
  <c r="MI34" i="1"/>
  <c r="MD34" i="1"/>
  <c r="LY34" i="1"/>
  <c r="LT34" i="1"/>
  <c r="LO34" i="1"/>
  <c r="LJ34" i="1"/>
  <c r="LC34" i="1"/>
  <c r="LD34" i="1" s="1"/>
  <c r="LE34" i="1" s="1"/>
  <c r="KZ34" i="1"/>
  <c r="KU34" i="1"/>
  <c r="KP34" i="1"/>
  <c r="KK34" i="1"/>
  <c r="KF34" i="1"/>
  <c r="IZ34" i="1"/>
  <c r="JA34" i="1" s="1"/>
  <c r="JB34" i="1" s="1"/>
  <c r="IU34" i="1"/>
  <c r="IV34" i="1" s="1"/>
  <c r="IW34" i="1" s="1"/>
  <c r="IP34" i="1"/>
  <c r="IQ34" i="1" s="1"/>
  <c r="IR34" i="1" s="1"/>
  <c r="IK34" i="1"/>
  <c r="IL34" i="1" s="1"/>
  <c r="IM34" i="1" s="1"/>
  <c r="IF34" i="1"/>
  <c r="IG34" i="1" s="1"/>
  <c r="IH34" i="1" s="1"/>
  <c r="IA34" i="1"/>
  <c r="IB34" i="1" s="1"/>
  <c r="IC34" i="1" s="1"/>
  <c r="HV34" i="1"/>
  <c r="HW34" i="1" s="1"/>
  <c r="HX34" i="1" s="1"/>
  <c r="HS34" i="1"/>
  <c r="HL34" i="1"/>
  <c r="HM34" i="1" s="1"/>
  <c r="HN34" i="1" s="1"/>
  <c r="HG34" i="1"/>
  <c r="HH34" i="1" s="1"/>
  <c r="HI34" i="1" s="1"/>
  <c r="HB34" i="1"/>
  <c r="HC34" i="1" s="1"/>
  <c r="HD34" i="1" s="1"/>
  <c r="GW34" i="1"/>
  <c r="GX34" i="1" s="1"/>
  <c r="GY34" i="1" s="1"/>
  <c r="GR34" i="1"/>
  <c r="GS34" i="1" s="1"/>
  <c r="GT34" i="1" s="1"/>
  <c r="GM34" i="1"/>
  <c r="GN34" i="1" s="1"/>
  <c r="GO34" i="1" s="1"/>
  <c r="GH34" i="1"/>
  <c r="GI34" i="1" s="1"/>
  <c r="GJ34" i="1" s="1"/>
  <c r="GC34" i="1"/>
  <c r="GD34" i="1" s="1"/>
  <c r="GE34" i="1" s="1"/>
  <c r="FX34" i="1"/>
  <c r="FY34" i="1" s="1"/>
  <c r="FZ34" i="1" s="1"/>
  <c r="FS34" i="1"/>
  <c r="FT34" i="1" s="1"/>
  <c r="FU34" i="1" s="1"/>
  <c r="FN34" i="1"/>
  <c r="FO34" i="1" s="1"/>
  <c r="FP34" i="1" s="1"/>
  <c r="FI34" i="1"/>
  <c r="FJ34" i="1" s="1"/>
  <c r="FK34" i="1" s="1"/>
  <c r="FD34" i="1"/>
  <c r="FE34" i="1" s="1"/>
  <c r="FF34" i="1" s="1"/>
  <c r="EY34" i="1"/>
  <c r="EZ34" i="1" s="1"/>
  <c r="FA34" i="1" s="1"/>
  <c r="ET34" i="1"/>
  <c r="EU34" i="1" s="1"/>
  <c r="EV34" i="1" s="1"/>
  <c r="EO34" i="1"/>
  <c r="EP34" i="1" s="1"/>
  <c r="EQ34" i="1" s="1"/>
  <c r="EJ34" i="1"/>
  <c r="EK34" i="1" s="1"/>
  <c r="EL34" i="1" s="1"/>
  <c r="EE34" i="1"/>
  <c r="EF34" i="1" s="1"/>
  <c r="EG34" i="1" s="1"/>
  <c r="DZ34" i="1"/>
  <c r="EA34" i="1" s="1"/>
  <c r="EB34" i="1" s="1"/>
  <c r="DU34" i="1"/>
  <c r="DV34" i="1" s="1"/>
  <c r="DW34" i="1" s="1"/>
  <c r="DP34" i="1"/>
  <c r="DQ34" i="1" s="1"/>
  <c r="DR34" i="1" s="1"/>
  <c r="DK34" i="1"/>
  <c r="DL34" i="1" s="1"/>
  <c r="DM34" i="1" s="1"/>
  <c r="DF34" i="1"/>
  <c r="DG34" i="1" s="1"/>
  <c r="DH34" i="1" s="1"/>
  <c r="DA34" i="1"/>
  <c r="DB34" i="1" s="1"/>
  <c r="DC34" i="1" s="1"/>
  <c r="CV34" i="1"/>
  <c r="CW34" i="1" s="1"/>
  <c r="CX34" i="1" s="1"/>
  <c r="CQ34" i="1"/>
  <c r="CR34" i="1" s="1"/>
  <c r="CS34" i="1" s="1"/>
  <c r="CL34" i="1"/>
  <c r="CM34" i="1" s="1"/>
  <c r="CN34" i="1" s="1"/>
  <c r="CG34" i="1"/>
  <c r="CH34" i="1" s="1"/>
  <c r="CI34" i="1" s="1"/>
  <c r="CB34" i="1"/>
  <c r="CC34" i="1" s="1"/>
  <c r="CD34" i="1" s="1"/>
  <c r="BW34" i="1"/>
  <c r="BX34" i="1" s="1"/>
  <c r="BY34" i="1" s="1"/>
  <c r="BR34" i="1"/>
  <c r="BS34" i="1" s="1"/>
  <c r="BT34" i="1" s="1"/>
  <c r="BM34" i="1"/>
  <c r="BN34" i="1" s="1"/>
  <c r="BO34" i="1" s="1"/>
  <c r="BH34" i="1"/>
  <c r="BI34" i="1" s="1"/>
  <c r="BJ34" i="1" s="1"/>
  <c r="BC34" i="1"/>
  <c r="BD34" i="1" s="1"/>
  <c r="BE34" i="1" s="1"/>
  <c r="AX34" i="1"/>
  <c r="AY34" i="1" s="1"/>
  <c r="AZ34" i="1" s="1"/>
  <c r="AS34" i="1"/>
  <c r="AT34" i="1" s="1"/>
  <c r="AU34" i="1" s="1"/>
  <c r="AN34" i="1"/>
  <c r="AO34" i="1" s="1"/>
  <c r="AP34" i="1" s="1"/>
  <c r="AI34" i="1"/>
  <c r="AJ34" i="1" s="1"/>
  <c r="AK34" i="1" s="1"/>
  <c r="AD34" i="1"/>
  <c r="AE34" i="1" s="1"/>
  <c r="AF34" i="1" s="1"/>
  <c r="X34" i="1"/>
  <c r="Y34" i="1" s="1"/>
  <c r="Z34" i="1" s="1"/>
  <c r="T34" i="1"/>
  <c r="O34" i="1"/>
  <c r="J34" i="1"/>
  <c r="PZ33" i="1"/>
  <c r="PU33" i="1"/>
  <c r="PP33" i="1"/>
  <c r="PK33" i="1"/>
  <c r="PF33" i="1"/>
  <c r="PA33" i="1"/>
  <c r="OV33" i="1"/>
  <c r="OQ33" i="1"/>
  <c r="OL33" i="1"/>
  <c r="OG33" i="1"/>
  <c r="OB33" i="1"/>
  <c r="NW33" i="1"/>
  <c r="NR33" i="1"/>
  <c r="NM33" i="1"/>
  <c r="NH33" i="1"/>
  <c r="NC33" i="1"/>
  <c r="MX33" i="1"/>
  <c r="MS33" i="1"/>
  <c r="MN33" i="1"/>
  <c r="MI33" i="1"/>
  <c r="MD33" i="1"/>
  <c r="LY33" i="1"/>
  <c r="LT33" i="1"/>
  <c r="LO33" i="1"/>
  <c r="LJ33" i="1"/>
  <c r="LC33" i="1"/>
  <c r="LD33" i="1" s="1"/>
  <c r="LE33" i="1" s="1"/>
  <c r="KZ33" i="1"/>
  <c r="KU33" i="1"/>
  <c r="KP33" i="1"/>
  <c r="KK33" i="1"/>
  <c r="KF33" i="1"/>
  <c r="IZ33" i="1"/>
  <c r="JA33" i="1" s="1"/>
  <c r="JB33" i="1" s="1"/>
  <c r="IU33" i="1"/>
  <c r="IV33" i="1" s="1"/>
  <c r="IW33" i="1" s="1"/>
  <c r="IP33" i="1"/>
  <c r="IQ33" i="1" s="1"/>
  <c r="IR33" i="1" s="1"/>
  <c r="IK33" i="1"/>
  <c r="IL33" i="1" s="1"/>
  <c r="IM33" i="1" s="1"/>
  <c r="IF33" i="1"/>
  <c r="IG33" i="1" s="1"/>
  <c r="IH33" i="1" s="1"/>
  <c r="IA33" i="1"/>
  <c r="IB33" i="1" s="1"/>
  <c r="IC33" i="1" s="1"/>
  <c r="HV33" i="1"/>
  <c r="HW33" i="1" s="1"/>
  <c r="HX33" i="1" s="1"/>
  <c r="HS33" i="1"/>
  <c r="HN33" i="1"/>
  <c r="HG33" i="1"/>
  <c r="HH33" i="1" s="1"/>
  <c r="HI33" i="1" s="1"/>
  <c r="HB33" i="1"/>
  <c r="HC33" i="1" s="1"/>
  <c r="HD33" i="1" s="1"/>
  <c r="GW33" i="1"/>
  <c r="GX33" i="1" s="1"/>
  <c r="GY33" i="1" s="1"/>
  <c r="GR33" i="1"/>
  <c r="GS33" i="1" s="1"/>
  <c r="GT33" i="1" s="1"/>
  <c r="GM33" i="1"/>
  <c r="GN33" i="1" s="1"/>
  <c r="GO33" i="1" s="1"/>
  <c r="GH33" i="1"/>
  <c r="GI33" i="1" s="1"/>
  <c r="GJ33" i="1" s="1"/>
  <c r="GC33" i="1"/>
  <c r="GD33" i="1" s="1"/>
  <c r="GE33" i="1" s="1"/>
  <c r="FX33" i="1"/>
  <c r="FY33" i="1" s="1"/>
  <c r="FZ33" i="1" s="1"/>
  <c r="FS33" i="1"/>
  <c r="FT33" i="1" s="1"/>
  <c r="FU33" i="1" s="1"/>
  <c r="FN33" i="1"/>
  <c r="FO33" i="1" s="1"/>
  <c r="FP33" i="1" s="1"/>
  <c r="FI33" i="1"/>
  <c r="FJ33" i="1" s="1"/>
  <c r="FK33" i="1" s="1"/>
  <c r="FD33" i="1"/>
  <c r="FE33" i="1" s="1"/>
  <c r="FF33" i="1" s="1"/>
  <c r="EY33" i="1"/>
  <c r="EZ33" i="1" s="1"/>
  <c r="FA33" i="1" s="1"/>
  <c r="ET33" i="1"/>
  <c r="EU33" i="1" s="1"/>
  <c r="EV33" i="1" s="1"/>
  <c r="EO33" i="1"/>
  <c r="EP33" i="1" s="1"/>
  <c r="EQ33" i="1" s="1"/>
  <c r="EJ33" i="1"/>
  <c r="EK33" i="1" s="1"/>
  <c r="EL33" i="1" s="1"/>
  <c r="EE33" i="1"/>
  <c r="EF33" i="1" s="1"/>
  <c r="EG33" i="1" s="1"/>
  <c r="DZ33" i="1"/>
  <c r="EA33" i="1" s="1"/>
  <c r="EB33" i="1" s="1"/>
  <c r="DU33" i="1"/>
  <c r="DV33" i="1" s="1"/>
  <c r="DW33" i="1" s="1"/>
  <c r="DP33" i="1"/>
  <c r="DQ33" i="1" s="1"/>
  <c r="DR33" i="1" s="1"/>
  <c r="DK33" i="1"/>
  <c r="DL33" i="1" s="1"/>
  <c r="DM33" i="1" s="1"/>
  <c r="DF33" i="1"/>
  <c r="DG33" i="1" s="1"/>
  <c r="DH33" i="1" s="1"/>
  <c r="DA33" i="1"/>
  <c r="DB33" i="1" s="1"/>
  <c r="DC33" i="1" s="1"/>
  <c r="CV33" i="1"/>
  <c r="CW33" i="1" s="1"/>
  <c r="CX33" i="1" s="1"/>
  <c r="CQ33" i="1"/>
  <c r="CR33" i="1" s="1"/>
  <c r="CS33" i="1" s="1"/>
  <c r="CL33" i="1"/>
  <c r="CM33" i="1" s="1"/>
  <c r="CN33" i="1" s="1"/>
  <c r="CG33" i="1"/>
  <c r="CH33" i="1" s="1"/>
  <c r="CI33" i="1" s="1"/>
  <c r="CB33" i="1"/>
  <c r="CC33" i="1" s="1"/>
  <c r="CD33" i="1" s="1"/>
  <c r="BW33" i="1"/>
  <c r="BX33" i="1" s="1"/>
  <c r="BY33" i="1" s="1"/>
  <c r="BR33" i="1"/>
  <c r="BS33" i="1" s="1"/>
  <c r="BT33" i="1" s="1"/>
  <c r="BM33" i="1"/>
  <c r="BN33" i="1" s="1"/>
  <c r="BO33" i="1" s="1"/>
  <c r="BH33" i="1"/>
  <c r="BI33" i="1" s="1"/>
  <c r="BJ33" i="1" s="1"/>
  <c r="BC33" i="1"/>
  <c r="BD33" i="1" s="1"/>
  <c r="BE33" i="1" s="1"/>
  <c r="AX33" i="1"/>
  <c r="AY33" i="1" s="1"/>
  <c r="AZ33" i="1" s="1"/>
  <c r="AS33" i="1"/>
  <c r="AT33" i="1" s="1"/>
  <c r="AU33" i="1" s="1"/>
  <c r="AN33" i="1"/>
  <c r="AO33" i="1" s="1"/>
  <c r="AP33" i="1" s="1"/>
  <c r="AI33" i="1"/>
  <c r="AJ33" i="1" s="1"/>
  <c r="AK33" i="1" s="1"/>
  <c r="AD33" i="1"/>
  <c r="AE33" i="1" s="1"/>
  <c r="AF33" i="1" s="1"/>
  <c r="X33" i="1"/>
  <c r="Y33" i="1" s="1"/>
  <c r="Z33" i="1" s="1"/>
  <c r="T33" i="1"/>
  <c r="O33" i="1"/>
  <c r="J33" i="1"/>
  <c r="PZ32" i="1"/>
  <c r="PU32" i="1"/>
  <c r="PP32" i="1"/>
  <c r="PK32" i="1"/>
  <c r="PF32" i="1"/>
  <c r="PA32" i="1"/>
  <c r="OV32" i="1"/>
  <c r="OQ32" i="1"/>
  <c r="OL32" i="1"/>
  <c r="OG32" i="1"/>
  <c r="OB32" i="1"/>
  <c r="NW32" i="1"/>
  <c r="NR32" i="1"/>
  <c r="NM32" i="1"/>
  <c r="NH32" i="1"/>
  <c r="NC32" i="1"/>
  <c r="MX32" i="1"/>
  <c r="MS32" i="1"/>
  <c r="MN32" i="1"/>
  <c r="MI32" i="1"/>
  <c r="MD32" i="1"/>
  <c r="LY32" i="1"/>
  <c r="LT32" i="1"/>
  <c r="LO32" i="1"/>
  <c r="LJ32" i="1"/>
  <c r="LE32" i="1"/>
  <c r="KZ32" i="1"/>
  <c r="KU32" i="1"/>
  <c r="KP32" i="1"/>
  <c r="KK32" i="1"/>
  <c r="KF32" i="1"/>
  <c r="JB32" i="1"/>
  <c r="IW32" i="1"/>
  <c r="IR32" i="1"/>
  <c r="IM32" i="1"/>
  <c r="IH32" i="1"/>
  <c r="IC32" i="1"/>
  <c r="HX32" i="1"/>
  <c r="HS32" i="1"/>
  <c r="HN32" i="1"/>
  <c r="HG32" i="1"/>
  <c r="HH32" i="1" s="1"/>
  <c r="HI32" i="1" s="1"/>
  <c r="HB32" i="1"/>
  <c r="HC32" i="1" s="1"/>
  <c r="HD32" i="1" s="1"/>
  <c r="GW32" i="1"/>
  <c r="GX32" i="1" s="1"/>
  <c r="GY32" i="1" s="1"/>
  <c r="GR32" i="1"/>
  <c r="GS32" i="1" s="1"/>
  <c r="GT32" i="1" s="1"/>
  <c r="GM32" i="1"/>
  <c r="GN32" i="1" s="1"/>
  <c r="GO32" i="1" s="1"/>
  <c r="GH32" i="1"/>
  <c r="GI32" i="1" s="1"/>
  <c r="GJ32" i="1" s="1"/>
  <c r="GC32" i="1"/>
  <c r="GD32" i="1" s="1"/>
  <c r="GE32" i="1" s="1"/>
  <c r="FX32" i="1"/>
  <c r="FY32" i="1" s="1"/>
  <c r="FZ32" i="1" s="1"/>
  <c r="FS32" i="1"/>
  <c r="FT32" i="1" s="1"/>
  <c r="FU32" i="1" s="1"/>
  <c r="FN32" i="1"/>
  <c r="FO32" i="1" s="1"/>
  <c r="FP32" i="1" s="1"/>
  <c r="FI32" i="1"/>
  <c r="FJ32" i="1" s="1"/>
  <c r="FK32" i="1" s="1"/>
  <c r="FD32" i="1"/>
  <c r="FE32" i="1" s="1"/>
  <c r="FF32" i="1" s="1"/>
  <c r="EY32" i="1"/>
  <c r="EZ32" i="1" s="1"/>
  <c r="FA32" i="1" s="1"/>
  <c r="ET32" i="1"/>
  <c r="EU32" i="1" s="1"/>
  <c r="EV32" i="1" s="1"/>
  <c r="EO32" i="1"/>
  <c r="EP32" i="1" s="1"/>
  <c r="EQ32" i="1" s="1"/>
  <c r="EJ32" i="1"/>
  <c r="EK32" i="1" s="1"/>
  <c r="EL32" i="1" s="1"/>
  <c r="EE32" i="1"/>
  <c r="EF32" i="1" s="1"/>
  <c r="EG32" i="1" s="1"/>
  <c r="DZ32" i="1"/>
  <c r="EA32" i="1" s="1"/>
  <c r="EB32" i="1" s="1"/>
  <c r="DU32" i="1"/>
  <c r="DV32" i="1" s="1"/>
  <c r="DW32" i="1" s="1"/>
  <c r="DP32" i="1"/>
  <c r="DQ32" i="1" s="1"/>
  <c r="DR32" i="1" s="1"/>
  <c r="DK32" i="1"/>
  <c r="DL32" i="1" s="1"/>
  <c r="DM32" i="1" s="1"/>
  <c r="DF32" i="1"/>
  <c r="DG32" i="1" s="1"/>
  <c r="DH32" i="1" s="1"/>
  <c r="DA32" i="1"/>
  <c r="DB32" i="1" s="1"/>
  <c r="DC32" i="1" s="1"/>
  <c r="CV32" i="1"/>
  <c r="CW32" i="1" s="1"/>
  <c r="CX32" i="1" s="1"/>
  <c r="CQ32" i="1"/>
  <c r="CR32" i="1" s="1"/>
  <c r="CS32" i="1" s="1"/>
  <c r="CL32" i="1"/>
  <c r="CM32" i="1" s="1"/>
  <c r="CN32" i="1" s="1"/>
  <c r="CG32" i="1"/>
  <c r="CH32" i="1" s="1"/>
  <c r="CI32" i="1" s="1"/>
  <c r="CB32" i="1"/>
  <c r="CC32" i="1" s="1"/>
  <c r="CD32" i="1" s="1"/>
  <c r="BW32" i="1"/>
  <c r="BX32" i="1" s="1"/>
  <c r="BY32" i="1" s="1"/>
  <c r="BR32" i="1"/>
  <c r="BS32" i="1" s="1"/>
  <c r="BT32" i="1" s="1"/>
  <c r="BM32" i="1"/>
  <c r="BN32" i="1" s="1"/>
  <c r="BO32" i="1" s="1"/>
  <c r="BH32" i="1"/>
  <c r="BI32" i="1" s="1"/>
  <c r="BJ32" i="1" s="1"/>
  <c r="BC32" i="1"/>
  <c r="BD32" i="1" s="1"/>
  <c r="BE32" i="1" s="1"/>
  <c r="AX32" i="1"/>
  <c r="AY32" i="1" s="1"/>
  <c r="AZ32" i="1" s="1"/>
  <c r="AS32" i="1"/>
  <c r="AT32" i="1" s="1"/>
  <c r="AU32" i="1" s="1"/>
  <c r="AN32" i="1"/>
  <c r="AO32" i="1" s="1"/>
  <c r="AP32" i="1" s="1"/>
  <c r="AI32" i="1"/>
  <c r="AJ32" i="1" s="1"/>
  <c r="AK32" i="1" s="1"/>
  <c r="AD32" i="1"/>
  <c r="AE32" i="1" s="1"/>
  <c r="AF32" i="1" s="1"/>
  <c r="X32" i="1"/>
  <c r="Y32" i="1" s="1"/>
  <c r="Z32" i="1" s="1"/>
  <c r="R32" i="1"/>
  <c r="S32" i="1" s="1"/>
  <c r="T32" i="1" s="1"/>
  <c r="M32" i="1"/>
  <c r="N32" i="1" s="1"/>
  <c r="O32" i="1" s="1"/>
  <c r="J32" i="1"/>
  <c r="PZ31" i="1"/>
  <c r="PU31" i="1"/>
  <c r="PP31" i="1"/>
  <c r="PK31" i="1"/>
  <c r="PF31" i="1"/>
  <c r="PA31" i="1"/>
  <c r="OV31" i="1"/>
  <c r="OQ31" i="1"/>
  <c r="OL31" i="1"/>
  <c r="OG31" i="1"/>
  <c r="OB31" i="1"/>
  <c r="NU31" i="1"/>
  <c r="NV31" i="1" s="1"/>
  <c r="NW31" i="1" s="1"/>
  <c r="NP31" i="1"/>
  <c r="NQ31" i="1" s="1"/>
  <c r="NR31" i="1" s="1"/>
  <c r="NM31" i="1"/>
  <c r="NF31" i="1"/>
  <c r="NG31" i="1" s="1"/>
  <c r="NH31" i="1" s="1"/>
  <c r="NA31" i="1"/>
  <c r="NB31" i="1" s="1"/>
  <c r="NC31" i="1" s="1"/>
  <c r="MX31" i="1"/>
  <c r="MS31" i="1"/>
  <c r="MN31" i="1"/>
  <c r="MI31" i="1"/>
  <c r="MD31" i="1"/>
  <c r="LY31" i="1"/>
  <c r="LT31" i="1"/>
  <c r="LO31" i="1"/>
  <c r="LJ31" i="1"/>
  <c r="LE31" i="1"/>
  <c r="KZ31" i="1"/>
  <c r="KU31" i="1"/>
  <c r="KP31" i="1"/>
  <c r="KK31" i="1"/>
  <c r="KF31" i="1"/>
  <c r="JB31" i="1"/>
  <c r="IW31" i="1"/>
  <c r="IR31" i="1"/>
  <c r="IM31" i="1"/>
  <c r="IH31" i="1"/>
  <c r="IC31" i="1"/>
  <c r="HX31" i="1"/>
  <c r="HS31" i="1"/>
  <c r="HN31" i="1"/>
  <c r="HG31" i="1"/>
  <c r="HH31" i="1" s="1"/>
  <c r="HI31" i="1" s="1"/>
  <c r="HB31" i="1"/>
  <c r="HC31" i="1" s="1"/>
  <c r="HD31" i="1" s="1"/>
  <c r="GW31" i="1"/>
  <c r="GX31" i="1" s="1"/>
  <c r="GY31" i="1" s="1"/>
  <c r="GR31" i="1"/>
  <c r="GS31" i="1" s="1"/>
  <c r="GT31" i="1" s="1"/>
  <c r="GM31" i="1"/>
  <c r="GN31" i="1" s="1"/>
  <c r="GO31" i="1" s="1"/>
  <c r="GH31" i="1"/>
  <c r="GI31" i="1" s="1"/>
  <c r="GJ31" i="1" s="1"/>
  <c r="GC31" i="1"/>
  <c r="GD31" i="1" s="1"/>
  <c r="GE31" i="1" s="1"/>
  <c r="FX31" i="1"/>
  <c r="FY31" i="1" s="1"/>
  <c r="FZ31" i="1" s="1"/>
  <c r="FS31" i="1"/>
  <c r="FT31" i="1" s="1"/>
  <c r="FU31" i="1" s="1"/>
  <c r="FN31" i="1"/>
  <c r="FO31" i="1" s="1"/>
  <c r="FP31" i="1" s="1"/>
  <c r="FI31" i="1"/>
  <c r="FJ31" i="1" s="1"/>
  <c r="FK31" i="1" s="1"/>
  <c r="FD31" i="1"/>
  <c r="FE31" i="1" s="1"/>
  <c r="FF31" i="1" s="1"/>
  <c r="EY31" i="1"/>
  <c r="EZ31" i="1" s="1"/>
  <c r="FA31" i="1" s="1"/>
  <c r="ET31" i="1"/>
  <c r="EU31" i="1" s="1"/>
  <c r="EV31" i="1" s="1"/>
  <c r="EO31" i="1"/>
  <c r="EP31" i="1" s="1"/>
  <c r="EQ31" i="1" s="1"/>
  <c r="EJ31" i="1"/>
  <c r="EK31" i="1" s="1"/>
  <c r="EL31" i="1" s="1"/>
  <c r="EE31" i="1"/>
  <c r="EF31" i="1" s="1"/>
  <c r="EG31" i="1" s="1"/>
  <c r="DZ31" i="1"/>
  <c r="EA31" i="1" s="1"/>
  <c r="EB31" i="1" s="1"/>
  <c r="DU31" i="1"/>
  <c r="DV31" i="1" s="1"/>
  <c r="DW31" i="1" s="1"/>
  <c r="DP31" i="1"/>
  <c r="DQ31" i="1" s="1"/>
  <c r="DR31" i="1" s="1"/>
  <c r="DK31" i="1"/>
  <c r="DL31" i="1" s="1"/>
  <c r="DM31" i="1" s="1"/>
  <c r="DF31" i="1"/>
  <c r="DG31" i="1" s="1"/>
  <c r="DH31" i="1" s="1"/>
  <c r="DA31" i="1"/>
  <c r="DB31" i="1" s="1"/>
  <c r="DC31" i="1" s="1"/>
  <c r="CV31" i="1"/>
  <c r="CW31" i="1" s="1"/>
  <c r="CX31" i="1" s="1"/>
  <c r="CQ31" i="1"/>
  <c r="CR31" i="1" s="1"/>
  <c r="CS31" i="1" s="1"/>
  <c r="CL31" i="1"/>
  <c r="CM31" i="1" s="1"/>
  <c r="CN31" i="1" s="1"/>
  <c r="CG31" i="1"/>
  <c r="CH31" i="1" s="1"/>
  <c r="CI31" i="1" s="1"/>
  <c r="CB31" i="1"/>
  <c r="CC31" i="1" s="1"/>
  <c r="CD31" i="1" s="1"/>
  <c r="BW31" i="1"/>
  <c r="BX31" i="1" s="1"/>
  <c r="BY31" i="1" s="1"/>
  <c r="BR31" i="1"/>
  <c r="BS31" i="1" s="1"/>
  <c r="BT31" i="1" s="1"/>
  <c r="BM31" i="1"/>
  <c r="BN31" i="1" s="1"/>
  <c r="BO31" i="1" s="1"/>
  <c r="BH31" i="1"/>
  <c r="BI31" i="1" s="1"/>
  <c r="BJ31" i="1" s="1"/>
  <c r="BC31" i="1"/>
  <c r="BD31" i="1" s="1"/>
  <c r="BE31" i="1" s="1"/>
  <c r="AX31" i="1"/>
  <c r="AY31" i="1" s="1"/>
  <c r="AZ31" i="1" s="1"/>
  <c r="AS31" i="1"/>
  <c r="AT31" i="1" s="1"/>
  <c r="AU31" i="1" s="1"/>
  <c r="AN31" i="1"/>
  <c r="AO31" i="1" s="1"/>
  <c r="AP31" i="1" s="1"/>
  <c r="AI31" i="1"/>
  <c r="AJ31" i="1" s="1"/>
  <c r="AK31" i="1" s="1"/>
  <c r="AD31" i="1"/>
  <c r="AE31" i="1" s="1"/>
  <c r="AF31" i="1" s="1"/>
  <c r="X31" i="1"/>
  <c r="Y31" i="1" s="1"/>
  <c r="Z31" i="1" s="1"/>
  <c r="T31" i="1"/>
  <c r="O31" i="1"/>
  <c r="J31" i="1"/>
  <c r="PZ30" i="1"/>
  <c r="PU30" i="1"/>
  <c r="PP30" i="1"/>
  <c r="PK30" i="1"/>
  <c r="PF30" i="1"/>
  <c r="PA30" i="1"/>
  <c r="OV30" i="1"/>
  <c r="OQ30" i="1"/>
  <c r="OL30" i="1"/>
  <c r="OG30" i="1"/>
  <c r="OB30" i="1"/>
  <c r="NW30" i="1"/>
  <c r="NP30" i="1"/>
  <c r="NQ30" i="1" s="1"/>
  <c r="NR30" i="1" s="1"/>
  <c r="NM30" i="1"/>
  <c r="NF30" i="1"/>
  <c r="NG30" i="1" s="1"/>
  <c r="NH30" i="1" s="1"/>
  <c r="NA30" i="1"/>
  <c r="NB30" i="1" s="1"/>
  <c r="NC30" i="1" s="1"/>
  <c r="MX30" i="1"/>
  <c r="MS30" i="1"/>
  <c r="MN30" i="1"/>
  <c r="MI30" i="1"/>
  <c r="MB30" i="1"/>
  <c r="MC30" i="1" s="1"/>
  <c r="MD30" i="1" s="1"/>
  <c r="LW30" i="1"/>
  <c r="LX30" i="1" s="1"/>
  <c r="LY30" i="1" s="1"/>
  <c r="LT30" i="1"/>
  <c r="LO30" i="1"/>
  <c r="LJ30" i="1"/>
  <c r="LC30" i="1"/>
  <c r="LD30" i="1" s="1"/>
  <c r="LE30" i="1" s="1"/>
  <c r="KZ30" i="1"/>
  <c r="KS30" i="1"/>
  <c r="KT30" i="1" s="1"/>
  <c r="KU30" i="1" s="1"/>
  <c r="KN30" i="1"/>
  <c r="KO30" i="1" s="1"/>
  <c r="KP30" i="1" s="1"/>
  <c r="KK30" i="1"/>
  <c r="KD30" i="1"/>
  <c r="KE30" i="1" s="1"/>
  <c r="KF30" i="1" s="1"/>
  <c r="IZ30" i="1"/>
  <c r="JA30" i="1" s="1"/>
  <c r="JB30" i="1" s="1"/>
  <c r="IU30" i="1"/>
  <c r="IV30" i="1" s="1"/>
  <c r="IW30" i="1" s="1"/>
  <c r="IP30" i="1"/>
  <c r="IQ30" i="1" s="1"/>
  <c r="IR30" i="1" s="1"/>
  <c r="IK30" i="1"/>
  <c r="IL30" i="1" s="1"/>
  <c r="IM30" i="1" s="1"/>
  <c r="IF30" i="1"/>
  <c r="IG30" i="1" s="1"/>
  <c r="IH30" i="1" s="1"/>
  <c r="IA30" i="1"/>
  <c r="IB30" i="1" s="1"/>
  <c r="IC30" i="1" s="1"/>
  <c r="HV30" i="1"/>
  <c r="HW30" i="1" s="1"/>
  <c r="HX30" i="1" s="1"/>
  <c r="HS30" i="1"/>
  <c r="HL30" i="1"/>
  <c r="HM30" i="1" s="1"/>
  <c r="HN30" i="1" s="1"/>
  <c r="HG30" i="1"/>
  <c r="HH30" i="1" s="1"/>
  <c r="HI30" i="1" s="1"/>
  <c r="HB30" i="1"/>
  <c r="HC30" i="1" s="1"/>
  <c r="HD30" i="1" s="1"/>
  <c r="GW30" i="1"/>
  <c r="GX30" i="1" s="1"/>
  <c r="GY30" i="1" s="1"/>
  <c r="GR30" i="1"/>
  <c r="GS30" i="1" s="1"/>
  <c r="GT30" i="1" s="1"/>
  <c r="GM30" i="1"/>
  <c r="GN30" i="1" s="1"/>
  <c r="GO30" i="1" s="1"/>
  <c r="GH30" i="1"/>
  <c r="GI30" i="1" s="1"/>
  <c r="GJ30" i="1" s="1"/>
  <c r="GC30" i="1"/>
  <c r="GD30" i="1" s="1"/>
  <c r="GE30" i="1" s="1"/>
  <c r="FX30" i="1"/>
  <c r="FY30" i="1" s="1"/>
  <c r="FZ30" i="1" s="1"/>
  <c r="FS30" i="1"/>
  <c r="FT30" i="1" s="1"/>
  <c r="FU30" i="1" s="1"/>
  <c r="FN30" i="1"/>
  <c r="FO30" i="1" s="1"/>
  <c r="FP30" i="1" s="1"/>
  <c r="FI30" i="1"/>
  <c r="FJ30" i="1" s="1"/>
  <c r="FK30" i="1" s="1"/>
  <c r="FD30" i="1"/>
  <c r="FE30" i="1" s="1"/>
  <c r="FF30" i="1" s="1"/>
  <c r="EY30" i="1"/>
  <c r="EZ30" i="1" s="1"/>
  <c r="FA30" i="1" s="1"/>
  <c r="ET30" i="1"/>
  <c r="EU30" i="1" s="1"/>
  <c r="EV30" i="1" s="1"/>
  <c r="EO30" i="1"/>
  <c r="EP30" i="1" s="1"/>
  <c r="EQ30" i="1" s="1"/>
  <c r="EJ30" i="1"/>
  <c r="EK30" i="1" s="1"/>
  <c r="EL30" i="1" s="1"/>
  <c r="EE30" i="1"/>
  <c r="EF30" i="1" s="1"/>
  <c r="EG30" i="1" s="1"/>
  <c r="DZ30" i="1"/>
  <c r="EA30" i="1" s="1"/>
  <c r="EB30" i="1" s="1"/>
  <c r="DU30" i="1"/>
  <c r="DV30" i="1" s="1"/>
  <c r="DW30" i="1" s="1"/>
  <c r="DP30" i="1"/>
  <c r="DQ30" i="1" s="1"/>
  <c r="DR30" i="1" s="1"/>
  <c r="DK30" i="1"/>
  <c r="DL30" i="1" s="1"/>
  <c r="DM30" i="1" s="1"/>
  <c r="DF30" i="1"/>
  <c r="DG30" i="1" s="1"/>
  <c r="DH30" i="1" s="1"/>
  <c r="DA30" i="1"/>
  <c r="DB30" i="1" s="1"/>
  <c r="DC30" i="1" s="1"/>
  <c r="CV30" i="1"/>
  <c r="CW30" i="1" s="1"/>
  <c r="CX30" i="1" s="1"/>
  <c r="CQ30" i="1"/>
  <c r="CR30" i="1" s="1"/>
  <c r="CS30" i="1" s="1"/>
  <c r="CL30" i="1"/>
  <c r="CM30" i="1" s="1"/>
  <c r="CN30" i="1" s="1"/>
  <c r="CG30" i="1"/>
  <c r="CH30" i="1" s="1"/>
  <c r="CI30" i="1" s="1"/>
  <c r="CB30" i="1"/>
  <c r="CC30" i="1" s="1"/>
  <c r="CD30" i="1" s="1"/>
  <c r="BW30" i="1"/>
  <c r="BX30" i="1" s="1"/>
  <c r="BY30" i="1" s="1"/>
  <c r="BR30" i="1"/>
  <c r="BS30" i="1" s="1"/>
  <c r="BT30" i="1" s="1"/>
  <c r="BM30" i="1"/>
  <c r="BN30" i="1" s="1"/>
  <c r="BO30" i="1" s="1"/>
  <c r="BH30" i="1"/>
  <c r="BI30" i="1" s="1"/>
  <c r="BJ30" i="1" s="1"/>
  <c r="BC30" i="1"/>
  <c r="BD30" i="1" s="1"/>
  <c r="BE30" i="1" s="1"/>
  <c r="AX30" i="1"/>
  <c r="AY30" i="1" s="1"/>
  <c r="AZ30" i="1" s="1"/>
  <c r="AS30" i="1"/>
  <c r="AT30" i="1" s="1"/>
  <c r="AU30" i="1" s="1"/>
  <c r="AN30" i="1"/>
  <c r="AO30" i="1" s="1"/>
  <c r="AP30" i="1" s="1"/>
  <c r="AI30" i="1"/>
  <c r="AJ30" i="1" s="1"/>
  <c r="AK30" i="1" s="1"/>
  <c r="AD30" i="1"/>
  <c r="AE30" i="1" s="1"/>
  <c r="AF30" i="1" s="1"/>
  <c r="X30" i="1"/>
  <c r="Y30" i="1" s="1"/>
  <c r="Z30" i="1" s="1"/>
  <c r="R30" i="1"/>
  <c r="S30" i="1" s="1"/>
  <c r="T30" i="1" s="1"/>
  <c r="O30" i="1"/>
  <c r="J30" i="1"/>
  <c r="PZ29" i="1"/>
  <c r="PU29" i="1"/>
  <c r="PP29" i="1"/>
  <c r="PK29" i="1"/>
  <c r="PF29" i="1"/>
  <c r="PA29" i="1"/>
  <c r="OV29" i="1"/>
  <c r="OQ29" i="1"/>
  <c r="OL29" i="1"/>
  <c r="OG29" i="1"/>
  <c r="OB29" i="1"/>
  <c r="NW29" i="1"/>
  <c r="NR29" i="1"/>
  <c r="NM29" i="1"/>
  <c r="NH29" i="1"/>
  <c r="NC29" i="1"/>
  <c r="MX29" i="1"/>
  <c r="MS29" i="1"/>
  <c r="MN29" i="1"/>
  <c r="MI29" i="1"/>
  <c r="MD29" i="1"/>
  <c r="LY29" i="1"/>
  <c r="LT29" i="1"/>
  <c r="LO29" i="1"/>
  <c r="LJ29" i="1"/>
  <c r="LE29" i="1"/>
  <c r="KZ29" i="1"/>
  <c r="KU29" i="1"/>
  <c r="KP29" i="1"/>
  <c r="KK29" i="1"/>
  <c r="KF29" i="1"/>
  <c r="JB29" i="1"/>
  <c r="IW29" i="1"/>
  <c r="IR29" i="1"/>
  <c r="IM29" i="1"/>
  <c r="IH29" i="1"/>
  <c r="IC29" i="1"/>
  <c r="HX29" i="1"/>
  <c r="HS29" i="1"/>
  <c r="HN29" i="1"/>
  <c r="HI29" i="1"/>
  <c r="HB29" i="1"/>
  <c r="HC29" i="1" s="1"/>
  <c r="HD29" i="1" s="1"/>
  <c r="GW29" i="1"/>
  <c r="GX29" i="1" s="1"/>
  <c r="GY29" i="1" s="1"/>
  <c r="GR29" i="1"/>
  <c r="GS29" i="1" s="1"/>
  <c r="GT29" i="1" s="1"/>
  <c r="GM29" i="1"/>
  <c r="GN29" i="1" s="1"/>
  <c r="GO29" i="1" s="1"/>
  <c r="GH29" i="1"/>
  <c r="GI29" i="1" s="1"/>
  <c r="GJ29" i="1" s="1"/>
  <c r="GC29" i="1"/>
  <c r="GD29" i="1" s="1"/>
  <c r="GE29" i="1" s="1"/>
  <c r="FX29" i="1"/>
  <c r="FY29" i="1" s="1"/>
  <c r="FZ29" i="1" s="1"/>
  <c r="FS29" i="1"/>
  <c r="FT29" i="1" s="1"/>
  <c r="FU29" i="1" s="1"/>
  <c r="FN29" i="1"/>
  <c r="FO29" i="1" s="1"/>
  <c r="FP29" i="1" s="1"/>
  <c r="FI29" i="1"/>
  <c r="FJ29" i="1" s="1"/>
  <c r="FK29" i="1" s="1"/>
  <c r="FD29" i="1"/>
  <c r="FE29" i="1" s="1"/>
  <c r="FF29" i="1" s="1"/>
  <c r="EY29" i="1"/>
  <c r="EZ29" i="1" s="1"/>
  <c r="FA29" i="1" s="1"/>
  <c r="ET29" i="1"/>
  <c r="EU29" i="1" s="1"/>
  <c r="EV29" i="1" s="1"/>
  <c r="EO29" i="1"/>
  <c r="EP29" i="1" s="1"/>
  <c r="EQ29" i="1" s="1"/>
  <c r="EJ29" i="1"/>
  <c r="EK29" i="1" s="1"/>
  <c r="EL29" i="1" s="1"/>
  <c r="EE29" i="1"/>
  <c r="EF29" i="1" s="1"/>
  <c r="EG29" i="1" s="1"/>
  <c r="DZ29" i="1"/>
  <c r="EA29" i="1" s="1"/>
  <c r="EB29" i="1" s="1"/>
  <c r="DU29" i="1"/>
  <c r="DV29" i="1" s="1"/>
  <c r="DW29" i="1" s="1"/>
  <c r="DP29" i="1"/>
  <c r="DQ29" i="1" s="1"/>
  <c r="DR29" i="1" s="1"/>
  <c r="DK29" i="1"/>
  <c r="DL29" i="1" s="1"/>
  <c r="DM29" i="1" s="1"/>
  <c r="DF29" i="1"/>
  <c r="DG29" i="1" s="1"/>
  <c r="DH29" i="1" s="1"/>
  <c r="DA29" i="1"/>
  <c r="DB29" i="1" s="1"/>
  <c r="DC29" i="1" s="1"/>
  <c r="CV29" i="1"/>
  <c r="CW29" i="1" s="1"/>
  <c r="CX29" i="1" s="1"/>
  <c r="CQ29" i="1"/>
  <c r="CR29" i="1" s="1"/>
  <c r="CS29" i="1" s="1"/>
  <c r="CL29" i="1"/>
  <c r="CM29" i="1" s="1"/>
  <c r="CN29" i="1" s="1"/>
  <c r="CG29" i="1"/>
  <c r="CH29" i="1" s="1"/>
  <c r="CI29" i="1" s="1"/>
  <c r="CB29" i="1"/>
  <c r="CC29" i="1" s="1"/>
  <c r="CD29" i="1" s="1"/>
  <c r="BW29" i="1"/>
  <c r="BX29" i="1" s="1"/>
  <c r="BY29" i="1" s="1"/>
  <c r="BR29" i="1"/>
  <c r="BS29" i="1" s="1"/>
  <c r="BT29" i="1" s="1"/>
  <c r="BM29" i="1"/>
  <c r="BN29" i="1" s="1"/>
  <c r="BO29" i="1" s="1"/>
  <c r="BH29" i="1"/>
  <c r="BI29" i="1" s="1"/>
  <c r="BJ29" i="1" s="1"/>
  <c r="BC29" i="1"/>
  <c r="BD29" i="1" s="1"/>
  <c r="BE29" i="1" s="1"/>
  <c r="AX29" i="1"/>
  <c r="AY29" i="1" s="1"/>
  <c r="AZ29" i="1" s="1"/>
  <c r="AS29" i="1"/>
  <c r="AT29" i="1" s="1"/>
  <c r="AU29" i="1" s="1"/>
  <c r="AN29" i="1"/>
  <c r="AO29" i="1" s="1"/>
  <c r="AP29" i="1" s="1"/>
  <c r="AI29" i="1"/>
  <c r="AJ29" i="1" s="1"/>
  <c r="AK29" i="1" s="1"/>
  <c r="AF29" i="1"/>
  <c r="X29" i="1"/>
  <c r="Y29" i="1" s="1"/>
  <c r="Z29" i="1" s="1"/>
  <c r="T29" i="1"/>
  <c r="O29" i="1"/>
  <c r="H29" i="1"/>
  <c r="I29" i="1" s="1"/>
  <c r="J29" i="1" s="1"/>
  <c r="PZ28" i="1"/>
  <c r="PU28" i="1"/>
  <c r="PP28" i="1"/>
  <c r="PK28" i="1"/>
  <c r="PF28" i="1"/>
  <c r="PA28" i="1"/>
  <c r="OV28" i="1"/>
  <c r="OQ28" i="1"/>
  <c r="OL28" i="1"/>
  <c r="OG28" i="1"/>
  <c r="OB28" i="1"/>
  <c r="NW28" i="1"/>
  <c r="NR28" i="1"/>
  <c r="NM28" i="1"/>
  <c r="NH28" i="1"/>
  <c r="NC28" i="1"/>
  <c r="MX28" i="1"/>
  <c r="MS28" i="1"/>
  <c r="MN28" i="1"/>
  <c r="MI28" i="1"/>
  <c r="MD28" i="1"/>
  <c r="LY28" i="1"/>
  <c r="LT28" i="1"/>
  <c r="LO28" i="1"/>
  <c r="LJ28" i="1"/>
  <c r="LE28" i="1"/>
  <c r="KZ28" i="1"/>
  <c r="KU28" i="1"/>
  <c r="KP28" i="1"/>
  <c r="KK28" i="1"/>
  <c r="KF28" i="1"/>
  <c r="JB28" i="1"/>
  <c r="IW28" i="1"/>
  <c r="IR28" i="1"/>
  <c r="IM28" i="1"/>
  <c r="IH28" i="1"/>
  <c r="IC28" i="1"/>
  <c r="HX28" i="1"/>
  <c r="HS28" i="1"/>
  <c r="HN28" i="1"/>
  <c r="HI28" i="1"/>
  <c r="HB28" i="1"/>
  <c r="HC28" i="1" s="1"/>
  <c r="HD28" i="1" s="1"/>
  <c r="GW28" i="1"/>
  <c r="GX28" i="1" s="1"/>
  <c r="GY28" i="1" s="1"/>
  <c r="GR28" i="1"/>
  <c r="GS28" i="1" s="1"/>
  <c r="GT28" i="1" s="1"/>
  <c r="GM28" i="1"/>
  <c r="GN28" i="1" s="1"/>
  <c r="GO28" i="1" s="1"/>
  <c r="GH28" i="1"/>
  <c r="GI28" i="1" s="1"/>
  <c r="GJ28" i="1" s="1"/>
  <c r="GC28" i="1"/>
  <c r="GD28" i="1" s="1"/>
  <c r="GE28" i="1" s="1"/>
  <c r="FX28" i="1"/>
  <c r="FY28" i="1" s="1"/>
  <c r="FZ28" i="1" s="1"/>
  <c r="FS28" i="1"/>
  <c r="FT28" i="1" s="1"/>
  <c r="FU28" i="1" s="1"/>
  <c r="FN28" i="1"/>
  <c r="FO28" i="1" s="1"/>
  <c r="FP28" i="1" s="1"/>
  <c r="FI28" i="1"/>
  <c r="FJ28" i="1" s="1"/>
  <c r="FK28" i="1" s="1"/>
  <c r="FD28" i="1"/>
  <c r="FE28" i="1" s="1"/>
  <c r="FF28" i="1" s="1"/>
  <c r="EY28" i="1"/>
  <c r="EZ28" i="1" s="1"/>
  <c r="FA28" i="1" s="1"/>
  <c r="ET28" i="1"/>
  <c r="EU28" i="1" s="1"/>
  <c r="EV28" i="1" s="1"/>
  <c r="EO28" i="1"/>
  <c r="EP28" i="1" s="1"/>
  <c r="EQ28" i="1" s="1"/>
  <c r="EJ28" i="1"/>
  <c r="EK28" i="1" s="1"/>
  <c r="EL28" i="1" s="1"/>
  <c r="EE28" i="1"/>
  <c r="EF28" i="1" s="1"/>
  <c r="EG28" i="1" s="1"/>
  <c r="DZ28" i="1"/>
  <c r="EA28" i="1" s="1"/>
  <c r="EB28" i="1" s="1"/>
  <c r="DU28" i="1"/>
  <c r="DV28" i="1" s="1"/>
  <c r="DW28" i="1" s="1"/>
  <c r="DP28" i="1"/>
  <c r="DQ28" i="1" s="1"/>
  <c r="DR28" i="1" s="1"/>
  <c r="DK28" i="1"/>
  <c r="DL28" i="1" s="1"/>
  <c r="DM28" i="1" s="1"/>
  <c r="DF28" i="1"/>
  <c r="DG28" i="1" s="1"/>
  <c r="DH28" i="1" s="1"/>
  <c r="DA28" i="1"/>
  <c r="DB28" i="1" s="1"/>
  <c r="DC28" i="1" s="1"/>
  <c r="CV28" i="1"/>
  <c r="CW28" i="1" s="1"/>
  <c r="CX28" i="1" s="1"/>
  <c r="CQ28" i="1"/>
  <c r="CR28" i="1" s="1"/>
  <c r="CS28" i="1" s="1"/>
  <c r="CL28" i="1"/>
  <c r="CM28" i="1" s="1"/>
  <c r="CN28" i="1" s="1"/>
  <c r="CG28" i="1"/>
  <c r="CH28" i="1" s="1"/>
  <c r="CI28" i="1" s="1"/>
  <c r="CB28" i="1"/>
  <c r="CC28" i="1" s="1"/>
  <c r="CD28" i="1" s="1"/>
  <c r="BW28" i="1"/>
  <c r="BX28" i="1" s="1"/>
  <c r="BY28" i="1" s="1"/>
  <c r="BR28" i="1"/>
  <c r="BS28" i="1" s="1"/>
  <c r="BT28" i="1" s="1"/>
  <c r="BM28" i="1"/>
  <c r="BN28" i="1" s="1"/>
  <c r="BO28" i="1" s="1"/>
  <c r="BH28" i="1"/>
  <c r="BI28" i="1" s="1"/>
  <c r="BJ28" i="1" s="1"/>
  <c r="BC28" i="1"/>
  <c r="BD28" i="1" s="1"/>
  <c r="BE28" i="1" s="1"/>
  <c r="AX28" i="1"/>
  <c r="AY28" i="1" s="1"/>
  <c r="AZ28" i="1" s="1"/>
  <c r="AS28" i="1"/>
  <c r="AT28" i="1" s="1"/>
  <c r="AU28" i="1" s="1"/>
  <c r="AN28" i="1"/>
  <c r="AO28" i="1" s="1"/>
  <c r="AP28" i="1" s="1"/>
  <c r="AI28" i="1"/>
  <c r="AJ28" i="1" s="1"/>
  <c r="AK28" i="1" s="1"/>
  <c r="AF28" i="1"/>
  <c r="X28" i="1"/>
  <c r="Y28" i="1" s="1"/>
  <c r="Z28" i="1" s="1"/>
  <c r="T28" i="1"/>
  <c r="O28" i="1"/>
  <c r="H28" i="1"/>
  <c r="I28" i="1" s="1"/>
  <c r="J28" i="1" s="1"/>
  <c r="PZ27" i="1"/>
  <c r="PU27" i="1"/>
  <c r="PP27" i="1"/>
  <c r="PK27" i="1"/>
  <c r="PF27" i="1"/>
  <c r="PA27" i="1"/>
  <c r="OV27" i="1"/>
  <c r="OQ27" i="1"/>
  <c r="OL27" i="1"/>
  <c r="OG27" i="1"/>
  <c r="OB27" i="1"/>
  <c r="NW27" i="1"/>
  <c r="NR27" i="1"/>
  <c r="NM27" i="1"/>
  <c r="NH27" i="1"/>
  <c r="NC27" i="1"/>
  <c r="MX27" i="1"/>
  <c r="MS27" i="1"/>
  <c r="MN27" i="1"/>
  <c r="MI27" i="1"/>
  <c r="MD27" i="1"/>
  <c r="LY27" i="1"/>
  <c r="LT27" i="1"/>
  <c r="LO27" i="1"/>
  <c r="LJ27" i="1"/>
  <c r="LE27" i="1"/>
  <c r="KZ27" i="1"/>
  <c r="KU27" i="1"/>
  <c r="KP27" i="1"/>
  <c r="KK27" i="1"/>
  <c r="KF27" i="1"/>
  <c r="IZ27" i="1"/>
  <c r="JA27" i="1" s="1"/>
  <c r="JB27" i="1" s="1"/>
  <c r="IU27" i="1"/>
  <c r="IV27" i="1" s="1"/>
  <c r="IW27" i="1" s="1"/>
  <c r="IP27" i="1"/>
  <c r="IQ27" i="1" s="1"/>
  <c r="IR27" i="1" s="1"/>
  <c r="IK27" i="1"/>
  <c r="IL27" i="1" s="1"/>
  <c r="IM27" i="1" s="1"/>
  <c r="IF27" i="1"/>
  <c r="IG27" i="1" s="1"/>
  <c r="IH27" i="1" s="1"/>
  <c r="IA27" i="1"/>
  <c r="IB27" i="1" s="1"/>
  <c r="IC27" i="1" s="1"/>
  <c r="HV27" i="1"/>
  <c r="HW27" i="1" s="1"/>
  <c r="HX27" i="1" s="1"/>
  <c r="HS27" i="1"/>
  <c r="HN27" i="1"/>
  <c r="HG27" i="1"/>
  <c r="HH27" i="1" s="1"/>
  <c r="HI27" i="1" s="1"/>
  <c r="HB27" i="1"/>
  <c r="HC27" i="1" s="1"/>
  <c r="HD27" i="1" s="1"/>
  <c r="GW27" i="1"/>
  <c r="GX27" i="1" s="1"/>
  <c r="GY27" i="1" s="1"/>
  <c r="GR27" i="1"/>
  <c r="GS27" i="1" s="1"/>
  <c r="GT27" i="1" s="1"/>
  <c r="GM27" i="1"/>
  <c r="GN27" i="1" s="1"/>
  <c r="GO27" i="1" s="1"/>
  <c r="GH27" i="1"/>
  <c r="GI27" i="1" s="1"/>
  <c r="GJ27" i="1" s="1"/>
  <c r="GC27" i="1"/>
  <c r="GD27" i="1" s="1"/>
  <c r="GE27" i="1" s="1"/>
  <c r="FX27" i="1"/>
  <c r="FY27" i="1" s="1"/>
  <c r="FZ27" i="1" s="1"/>
  <c r="FS27" i="1"/>
  <c r="FT27" i="1" s="1"/>
  <c r="FU27" i="1" s="1"/>
  <c r="FN27" i="1"/>
  <c r="FO27" i="1" s="1"/>
  <c r="FP27" i="1" s="1"/>
  <c r="FI27" i="1"/>
  <c r="FJ27" i="1" s="1"/>
  <c r="FK27" i="1" s="1"/>
  <c r="FD27" i="1"/>
  <c r="FE27" i="1" s="1"/>
  <c r="FF27" i="1" s="1"/>
  <c r="EY27" i="1"/>
  <c r="EZ27" i="1" s="1"/>
  <c r="FA27" i="1" s="1"/>
  <c r="ET27" i="1"/>
  <c r="EU27" i="1" s="1"/>
  <c r="EV27" i="1" s="1"/>
  <c r="EO27" i="1"/>
  <c r="EP27" i="1" s="1"/>
  <c r="EQ27" i="1" s="1"/>
  <c r="EJ27" i="1"/>
  <c r="EK27" i="1" s="1"/>
  <c r="EL27" i="1" s="1"/>
  <c r="EE27" i="1"/>
  <c r="EF27" i="1" s="1"/>
  <c r="EG27" i="1" s="1"/>
  <c r="DZ27" i="1"/>
  <c r="EA27" i="1" s="1"/>
  <c r="EB27" i="1" s="1"/>
  <c r="DU27" i="1"/>
  <c r="DV27" i="1" s="1"/>
  <c r="DW27" i="1" s="1"/>
  <c r="DP27" i="1"/>
  <c r="DQ27" i="1" s="1"/>
  <c r="DR27" i="1" s="1"/>
  <c r="DK27" i="1"/>
  <c r="DL27" i="1" s="1"/>
  <c r="DM27" i="1" s="1"/>
  <c r="DF27" i="1"/>
  <c r="DG27" i="1" s="1"/>
  <c r="DH27" i="1" s="1"/>
  <c r="DA27" i="1"/>
  <c r="DB27" i="1" s="1"/>
  <c r="DC27" i="1" s="1"/>
  <c r="CV27" i="1"/>
  <c r="CW27" i="1" s="1"/>
  <c r="CX27" i="1" s="1"/>
  <c r="CQ27" i="1"/>
  <c r="CR27" i="1" s="1"/>
  <c r="CS27" i="1" s="1"/>
  <c r="CL27" i="1"/>
  <c r="CM27" i="1" s="1"/>
  <c r="CN27" i="1" s="1"/>
  <c r="CG27" i="1"/>
  <c r="CH27" i="1" s="1"/>
  <c r="CI27" i="1" s="1"/>
  <c r="CB27" i="1"/>
  <c r="CC27" i="1" s="1"/>
  <c r="CD27" i="1" s="1"/>
  <c r="BW27" i="1"/>
  <c r="BX27" i="1" s="1"/>
  <c r="BY27" i="1" s="1"/>
  <c r="BR27" i="1"/>
  <c r="BS27" i="1" s="1"/>
  <c r="BT27" i="1" s="1"/>
  <c r="BM27" i="1"/>
  <c r="BN27" i="1" s="1"/>
  <c r="BO27" i="1" s="1"/>
  <c r="BH27" i="1"/>
  <c r="BI27" i="1" s="1"/>
  <c r="BJ27" i="1" s="1"/>
  <c r="BC27" i="1"/>
  <c r="BD27" i="1" s="1"/>
  <c r="BE27" i="1" s="1"/>
  <c r="AX27" i="1"/>
  <c r="AY27" i="1" s="1"/>
  <c r="AZ27" i="1" s="1"/>
  <c r="AS27" i="1"/>
  <c r="AT27" i="1" s="1"/>
  <c r="AU27" i="1" s="1"/>
  <c r="AN27" i="1"/>
  <c r="AO27" i="1" s="1"/>
  <c r="AP27" i="1" s="1"/>
  <c r="AI27" i="1"/>
  <c r="AJ27" i="1" s="1"/>
  <c r="AK27" i="1" s="1"/>
  <c r="AD27" i="1"/>
  <c r="AE27" i="1" s="1"/>
  <c r="AF27" i="1" s="1"/>
  <c r="X27" i="1"/>
  <c r="Y27" i="1" s="1"/>
  <c r="Z27" i="1" s="1"/>
  <c r="T27" i="1"/>
  <c r="O27" i="1"/>
  <c r="J27" i="1"/>
  <c r="PZ26" i="1"/>
  <c r="PU26" i="1"/>
  <c r="PP26" i="1"/>
  <c r="PK26" i="1"/>
  <c r="PF26" i="1"/>
  <c r="PA26" i="1"/>
  <c r="OV26" i="1"/>
  <c r="OQ26" i="1"/>
  <c r="OL26" i="1"/>
  <c r="OG26" i="1"/>
  <c r="OB26" i="1"/>
  <c r="NW26" i="1"/>
  <c r="NR26" i="1"/>
  <c r="NM26" i="1"/>
  <c r="NH26" i="1"/>
  <c r="NC26" i="1"/>
  <c r="MX26" i="1"/>
  <c r="MS26" i="1"/>
  <c r="MN26" i="1"/>
  <c r="MI26" i="1"/>
  <c r="MD26" i="1"/>
  <c r="LY26" i="1"/>
  <c r="LT26" i="1"/>
  <c r="LO26" i="1"/>
  <c r="LJ26" i="1"/>
  <c r="LE26" i="1"/>
  <c r="KZ26" i="1"/>
  <c r="KU26" i="1"/>
  <c r="KP26" i="1"/>
  <c r="KK26" i="1"/>
  <c r="KF26" i="1"/>
  <c r="JB26" i="1"/>
  <c r="IW26" i="1"/>
  <c r="IR26" i="1"/>
  <c r="IM26" i="1"/>
  <c r="IH26" i="1"/>
  <c r="IC26" i="1"/>
  <c r="HX26" i="1"/>
  <c r="HS26" i="1"/>
  <c r="HN26" i="1"/>
  <c r="HI26" i="1"/>
  <c r="HB26" i="1"/>
  <c r="HC26" i="1" s="1"/>
  <c r="HD26" i="1" s="1"/>
  <c r="GW26" i="1"/>
  <c r="GX26" i="1" s="1"/>
  <c r="GY26" i="1" s="1"/>
  <c r="GR26" i="1"/>
  <c r="GS26" i="1" s="1"/>
  <c r="GT26" i="1" s="1"/>
  <c r="GM26" i="1"/>
  <c r="GN26" i="1" s="1"/>
  <c r="GO26" i="1" s="1"/>
  <c r="GH26" i="1"/>
  <c r="GI26" i="1" s="1"/>
  <c r="GJ26" i="1" s="1"/>
  <c r="GC26" i="1"/>
  <c r="GD26" i="1" s="1"/>
  <c r="GE26" i="1" s="1"/>
  <c r="FX26" i="1"/>
  <c r="FY26" i="1" s="1"/>
  <c r="FZ26" i="1" s="1"/>
  <c r="FS26" i="1"/>
  <c r="FT26" i="1" s="1"/>
  <c r="FU26" i="1" s="1"/>
  <c r="FN26" i="1"/>
  <c r="FO26" i="1" s="1"/>
  <c r="FP26" i="1" s="1"/>
  <c r="FI26" i="1"/>
  <c r="FJ26" i="1" s="1"/>
  <c r="FK26" i="1" s="1"/>
  <c r="FD26" i="1"/>
  <c r="FE26" i="1" s="1"/>
  <c r="FF26" i="1" s="1"/>
  <c r="EY26" i="1"/>
  <c r="EZ26" i="1" s="1"/>
  <c r="FA26" i="1" s="1"/>
  <c r="ET26" i="1"/>
  <c r="EU26" i="1" s="1"/>
  <c r="EV26" i="1" s="1"/>
  <c r="EO26" i="1"/>
  <c r="EP26" i="1" s="1"/>
  <c r="EQ26" i="1" s="1"/>
  <c r="EJ26" i="1"/>
  <c r="EK26" i="1" s="1"/>
  <c r="EL26" i="1" s="1"/>
  <c r="EE26" i="1"/>
  <c r="EF26" i="1" s="1"/>
  <c r="EG26" i="1" s="1"/>
  <c r="DZ26" i="1"/>
  <c r="EA26" i="1" s="1"/>
  <c r="EB26" i="1" s="1"/>
  <c r="DU26" i="1"/>
  <c r="DV26" i="1" s="1"/>
  <c r="DW26" i="1" s="1"/>
  <c r="DP26" i="1"/>
  <c r="DQ26" i="1" s="1"/>
  <c r="DR26" i="1" s="1"/>
  <c r="DK26" i="1"/>
  <c r="DL26" i="1" s="1"/>
  <c r="DM26" i="1" s="1"/>
  <c r="DF26" i="1"/>
  <c r="DG26" i="1" s="1"/>
  <c r="DH26" i="1" s="1"/>
  <c r="DA26" i="1"/>
  <c r="DB26" i="1" s="1"/>
  <c r="DC26" i="1" s="1"/>
  <c r="CV26" i="1"/>
  <c r="CW26" i="1" s="1"/>
  <c r="CX26" i="1" s="1"/>
  <c r="CQ26" i="1"/>
  <c r="CR26" i="1" s="1"/>
  <c r="CS26" i="1" s="1"/>
  <c r="CL26" i="1"/>
  <c r="CM26" i="1" s="1"/>
  <c r="CN26" i="1" s="1"/>
  <c r="CG26" i="1"/>
  <c r="CH26" i="1" s="1"/>
  <c r="CI26" i="1" s="1"/>
  <c r="CB26" i="1"/>
  <c r="CC26" i="1" s="1"/>
  <c r="CD26" i="1" s="1"/>
  <c r="BW26" i="1"/>
  <c r="BX26" i="1" s="1"/>
  <c r="BY26" i="1" s="1"/>
  <c r="BR26" i="1"/>
  <c r="BS26" i="1" s="1"/>
  <c r="BT26" i="1" s="1"/>
  <c r="BM26" i="1"/>
  <c r="BN26" i="1" s="1"/>
  <c r="BO26" i="1" s="1"/>
  <c r="BH26" i="1"/>
  <c r="BI26" i="1" s="1"/>
  <c r="BJ26" i="1" s="1"/>
  <c r="BC26" i="1"/>
  <c r="BD26" i="1" s="1"/>
  <c r="BE26" i="1" s="1"/>
  <c r="AX26" i="1"/>
  <c r="AY26" i="1" s="1"/>
  <c r="AZ26" i="1" s="1"/>
  <c r="AS26" i="1"/>
  <c r="AT26" i="1" s="1"/>
  <c r="AU26" i="1" s="1"/>
  <c r="AN26" i="1"/>
  <c r="AO26" i="1" s="1"/>
  <c r="AP26" i="1" s="1"/>
  <c r="AI26" i="1"/>
  <c r="AJ26" i="1" s="1"/>
  <c r="AK26" i="1" s="1"/>
  <c r="AF26" i="1"/>
  <c r="X26" i="1"/>
  <c r="Y26" i="1" s="1"/>
  <c r="Z26" i="1" s="1"/>
  <c r="T26" i="1"/>
  <c r="O26" i="1"/>
  <c r="H26" i="1"/>
  <c r="I26" i="1" s="1"/>
  <c r="J26" i="1" s="1"/>
  <c r="PZ25" i="1"/>
  <c r="PU25" i="1"/>
  <c r="PP25" i="1"/>
  <c r="PK25" i="1"/>
  <c r="PF25" i="1"/>
  <c r="PA25" i="1"/>
  <c r="OV25" i="1"/>
  <c r="OQ25" i="1"/>
  <c r="OL25" i="1"/>
  <c r="OG25" i="1"/>
  <c r="OB25" i="1"/>
  <c r="NW25" i="1"/>
  <c r="NR25" i="1"/>
  <c r="NM25" i="1"/>
  <c r="NH25" i="1"/>
  <c r="NC25" i="1"/>
  <c r="MV25" i="1"/>
  <c r="MW25" i="1" s="1"/>
  <c r="MX25" i="1" s="1"/>
  <c r="MQ25" i="1"/>
  <c r="MR25" i="1" s="1"/>
  <c r="MS25" i="1" s="1"/>
  <c r="MN25" i="1"/>
  <c r="MI25" i="1"/>
  <c r="MD25" i="1"/>
  <c r="LY25" i="1"/>
  <c r="LT25" i="1"/>
  <c r="LO25" i="1"/>
  <c r="LJ25" i="1"/>
  <c r="LE25" i="1"/>
  <c r="KZ25" i="1"/>
  <c r="KU25" i="1"/>
  <c r="KP25" i="1"/>
  <c r="KK25" i="1"/>
  <c r="KF25" i="1"/>
  <c r="IZ25" i="1"/>
  <c r="JA25" i="1" s="1"/>
  <c r="JB25" i="1" s="1"/>
  <c r="IU25" i="1"/>
  <c r="IV25" i="1" s="1"/>
  <c r="IW25" i="1" s="1"/>
  <c r="IP25" i="1"/>
  <c r="IQ25" i="1" s="1"/>
  <c r="IR25" i="1" s="1"/>
  <c r="IM25" i="1"/>
  <c r="IF25" i="1"/>
  <c r="IG25" i="1" s="1"/>
  <c r="IH25" i="1" s="1"/>
  <c r="IC25" i="1"/>
  <c r="HX25" i="1"/>
  <c r="HS25" i="1"/>
  <c r="HN25" i="1"/>
  <c r="HG25" i="1"/>
  <c r="HH25" i="1" s="1"/>
  <c r="HI25" i="1" s="1"/>
  <c r="HB25" i="1"/>
  <c r="HC25" i="1" s="1"/>
  <c r="HD25" i="1" s="1"/>
  <c r="GW25" i="1"/>
  <c r="GX25" i="1" s="1"/>
  <c r="GY25" i="1" s="1"/>
  <c r="GR25" i="1"/>
  <c r="GS25" i="1" s="1"/>
  <c r="GT25" i="1" s="1"/>
  <c r="GM25" i="1"/>
  <c r="GN25" i="1" s="1"/>
  <c r="GO25" i="1" s="1"/>
  <c r="GH25" i="1"/>
  <c r="GI25" i="1" s="1"/>
  <c r="GJ25" i="1" s="1"/>
  <c r="GC25" i="1"/>
  <c r="GD25" i="1" s="1"/>
  <c r="GE25" i="1" s="1"/>
  <c r="FX25" i="1"/>
  <c r="FY25" i="1" s="1"/>
  <c r="FZ25" i="1" s="1"/>
  <c r="FS25" i="1"/>
  <c r="FT25" i="1" s="1"/>
  <c r="FU25" i="1" s="1"/>
  <c r="FN25" i="1"/>
  <c r="FO25" i="1" s="1"/>
  <c r="FP25" i="1" s="1"/>
  <c r="FI25" i="1"/>
  <c r="FJ25" i="1" s="1"/>
  <c r="FK25" i="1" s="1"/>
  <c r="FD25" i="1"/>
  <c r="FE25" i="1" s="1"/>
  <c r="FF25" i="1" s="1"/>
  <c r="EY25" i="1"/>
  <c r="EZ25" i="1" s="1"/>
  <c r="FA25" i="1" s="1"/>
  <c r="ET25" i="1"/>
  <c r="EU25" i="1" s="1"/>
  <c r="EV25" i="1" s="1"/>
  <c r="EO25" i="1"/>
  <c r="EP25" i="1" s="1"/>
  <c r="EQ25" i="1" s="1"/>
  <c r="EJ25" i="1"/>
  <c r="EK25" i="1" s="1"/>
  <c r="EL25" i="1" s="1"/>
  <c r="EE25" i="1"/>
  <c r="EF25" i="1" s="1"/>
  <c r="EG25" i="1" s="1"/>
  <c r="DZ25" i="1"/>
  <c r="EA25" i="1" s="1"/>
  <c r="EB25" i="1" s="1"/>
  <c r="DU25" i="1"/>
  <c r="DV25" i="1" s="1"/>
  <c r="DW25" i="1" s="1"/>
  <c r="DP25" i="1"/>
  <c r="DQ25" i="1" s="1"/>
  <c r="DR25" i="1" s="1"/>
  <c r="DK25" i="1"/>
  <c r="DL25" i="1" s="1"/>
  <c r="DM25" i="1" s="1"/>
  <c r="DF25" i="1"/>
  <c r="DG25" i="1" s="1"/>
  <c r="DH25" i="1" s="1"/>
  <c r="DA25" i="1"/>
  <c r="DB25" i="1" s="1"/>
  <c r="DC25" i="1" s="1"/>
  <c r="CV25" i="1"/>
  <c r="CW25" i="1" s="1"/>
  <c r="CX25" i="1" s="1"/>
  <c r="CQ25" i="1"/>
  <c r="CR25" i="1" s="1"/>
  <c r="CS25" i="1" s="1"/>
  <c r="CL25" i="1"/>
  <c r="CM25" i="1" s="1"/>
  <c r="CN25" i="1" s="1"/>
  <c r="CG25" i="1"/>
  <c r="CH25" i="1" s="1"/>
  <c r="CI25" i="1" s="1"/>
  <c r="CB25" i="1"/>
  <c r="CC25" i="1" s="1"/>
  <c r="CD25" i="1" s="1"/>
  <c r="BW25" i="1"/>
  <c r="BX25" i="1" s="1"/>
  <c r="BY25" i="1" s="1"/>
  <c r="BR25" i="1"/>
  <c r="BS25" i="1" s="1"/>
  <c r="BT25" i="1" s="1"/>
  <c r="BM25" i="1"/>
  <c r="BN25" i="1" s="1"/>
  <c r="BO25" i="1" s="1"/>
  <c r="BH25" i="1"/>
  <c r="BI25" i="1" s="1"/>
  <c r="BJ25" i="1" s="1"/>
  <c r="BC25" i="1"/>
  <c r="BD25" i="1" s="1"/>
  <c r="BE25" i="1" s="1"/>
  <c r="AX25" i="1"/>
  <c r="AY25" i="1" s="1"/>
  <c r="AZ25" i="1" s="1"/>
  <c r="AS25" i="1"/>
  <c r="AT25" i="1" s="1"/>
  <c r="AU25" i="1" s="1"/>
  <c r="AN25" i="1"/>
  <c r="AO25" i="1" s="1"/>
  <c r="AP25" i="1" s="1"/>
  <c r="AI25" i="1"/>
  <c r="AJ25" i="1" s="1"/>
  <c r="AK25" i="1" s="1"/>
  <c r="AD25" i="1"/>
  <c r="AE25" i="1" s="1"/>
  <c r="AF25" i="1" s="1"/>
  <c r="X25" i="1"/>
  <c r="Y25" i="1" s="1"/>
  <c r="Z25" i="1" s="1"/>
  <c r="T25" i="1"/>
  <c r="O25" i="1"/>
  <c r="J25" i="1"/>
  <c r="PX24" i="1"/>
  <c r="PY24" i="1" s="1"/>
  <c r="PZ24" i="1" s="1"/>
  <c r="PU24" i="1"/>
  <c r="PP24" i="1"/>
  <c r="PK24" i="1"/>
  <c r="PF24" i="1"/>
  <c r="PA24" i="1"/>
  <c r="OV24" i="1"/>
  <c r="OQ24" i="1"/>
  <c r="OL24" i="1"/>
  <c r="OG24" i="1"/>
  <c r="OB24" i="1"/>
  <c r="NW24" i="1"/>
  <c r="NR24" i="1"/>
  <c r="NM24" i="1"/>
  <c r="NH24" i="1"/>
  <c r="NC24" i="1"/>
  <c r="MX24" i="1"/>
  <c r="MS24" i="1"/>
  <c r="MN24" i="1"/>
  <c r="MI24" i="1"/>
  <c r="MD24" i="1"/>
  <c r="LY24" i="1"/>
  <c r="LT24" i="1"/>
  <c r="LO24" i="1"/>
  <c r="LJ24" i="1"/>
  <c r="LC24" i="1"/>
  <c r="LD24" i="1" s="1"/>
  <c r="LE24" i="1" s="1"/>
  <c r="KX24" i="1"/>
  <c r="KY24" i="1" s="1"/>
  <c r="KZ24" i="1" s="1"/>
  <c r="KU24" i="1"/>
  <c r="KP24" i="1"/>
  <c r="KK24" i="1"/>
  <c r="KF24" i="1"/>
  <c r="IZ24" i="1"/>
  <c r="JA24" i="1" s="1"/>
  <c r="JB24" i="1" s="1"/>
  <c r="IU24" i="1"/>
  <c r="IV24" i="1" s="1"/>
  <c r="IW24" i="1" s="1"/>
  <c r="IP24" i="1"/>
  <c r="IQ24" i="1" s="1"/>
  <c r="IR24" i="1" s="1"/>
  <c r="IK24" i="1"/>
  <c r="IL24" i="1" s="1"/>
  <c r="IM24" i="1" s="1"/>
  <c r="IF24" i="1"/>
  <c r="IG24" i="1" s="1"/>
  <c r="IH24" i="1" s="1"/>
  <c r="IA24" i="1"/>
  <c r="IB24" i="1" s="1"/>
  <c r="IC24" i="1" s="1"/>
  <c r="HV24" i="1"/>
  <c r="HW24" i="1" s="1"/>
  <c r="HX24" i="1" s="1"/>
  <c r="HS24" i="1"/>
  <c r="HL24" i="1"/>
  <c r="HM24" i="1" s="1"/>
  <c r="HN24" i="1" s="1"/>
  <c r="HG24" i="1"/>
  <c r="HH24" i="1" s="1"/>
  <c r="HI24" i="1" s="1"/>
  <c r="HB24" i="1"/>
  <c r="HC24" i="1" s="1"/>
  <c r="HD24" i="1" s="1"/>
  <c r="GW24" i="1"/>
  <c r="GX24" i="1" s="1"/>
  <c r="GY24" i="1" s="1"/>
  <c r="GR24" i="1"/>
  <c r="GS24" i="1" s="1"/>
  <c r="GT24" i="1" s="1"/>
  <c r="GM24" i="1"/>
  <c r="GN24" i="1" s="1"/>
  <c r="GO24" i="1" s="1"/>
  <c r="GH24" i="1"/>
  <c r="GI24" i="1" s="1"/>
  <c r="GJ24" i="1" s="1"/>
  <c r="GC24" i="1"/>
  <c r="GD24" i="1" s="1"/>
  <c r="GE24" i="1" s="1"/>
  <c r="FX24" i="1"/>
  <c r="FY24" i="1" s="1"/>
  <c r="FZ24" i="1" s="1"/>
  <c r="FS24" i="1"/>
  <c r="FT24" i="1" s="1"/>
  <c r="FU24" i="1" s="1"/>
  <c r="FN24" i="1"/>
  <c r="FO24" i="1" s="1"/>
  <c r="FP24" i="1" s="1"/>
  <c r="FI24" i="1"/>
  <c r="FJ24" i="1" s="1"/>
  <c r="FK24" i="1" s="1"/>
  <c r="FD24" i="1"/>
  <c r="FE24" i="1" s="1"/>
  <c r="FF24" i="1" s="1"/>
  <c r="EY24" i="1"/>
  <c r="EZ24" i="1" s="1"/>
  <c r="FA24" i="1" s="1"/>
  <c r="ET24" i="1"/>
  <c r="EU24" i="1" s="1"/>
  <c r="EV24" i="1" s="1"/>
  <c r="EO24" i="1"/>
  <c r="EP24" i="1" s="1"/>
  <c r="EQ24" i="1" s="1"/>
  <c r="EJ24" i="1"/>
  <c r="EK24" i="1" s="1"/>
  <c r="EL24" i="1" s="1"/>
  <c r="EE24" i="1"/>
  <c r="EF24" i="1" s="1"/>
  <c r="EG24" i="1" s="1"/>
  <c r="DZ24" i="1"/>
  <c r="EA24" i="1" s="1"/>
  <c r="EB24" i="1" s="1"/>
  <c r="DU24" i="1"/>
  <c r="DV24" i="1" s="1"/>
  <c r="DW24" i="1" s="1"/>
  <c r="DP24" i="1"/>
  <c r="DQ24" i="1" s="1"/>
  <c r="DR24" i="1" s="1"/>
  <c r="DK24" i="1"/>
  <c r="DL24" i="1" s="1"/>
  <c r="DM24" i="1" s="1"/>
  <c r="DF24" i="1"/>
  <c r="DG24" i="1" s="1"/>
  <c r="DH24" i="1" s="1"/>
  <c r="DA24" i="1"/>
  <c r="DB24" i="1" s="1"/>
  <c r="DC24" i="1" s="1"/>
  <c r="CV24" i="1"/>
  <c r="CW24" i="1" s="1"/>
  <c r="CX24" i="1" s="1"/>
  <c r="CQ24" i="1"/>
  <c r="CR24" i="1" s="1"/>
  <c r="CS24" i="1" s="1"/>
  <c r="CL24" i="1"/>
  <c r="CM24" i="1" s="1"/>
  <c r="CN24" i="1" s="1"/>
  <c r="CG24" i="1"/>
  <c r="CH24" i="1" s="1"/>
  <c r="CI24" i="1" s="1"/>
  <c r="CB24" i="1"/>
  <c r="CC24" i="1" s="1"/>
  <c r="CD24" i="1" s="1"/>
  <c r="BW24" i="1"/>
  <c r="BX24" i="1" s="1"/>
  <c r="BY24" i="1" s="1"/>
  <c r="BR24" i="1"/>
  <c r="BS24" i="1" s="1"/>
  <c r="BT24" i="1" s="1"/>
  <c r="BM24" i="1"/>
  <c r="BN24" i="1" s="1"/>
  <c r="BO24" i="1" s="1"/>
  <c r="BH24" i="1"/>
  <c r="BI24" i="1" s="1"/>
  <c r="BJ24" i="1" s="1"/>
  <c r="BC24" i="1"/>
  <c r="BD24" i="1" s="1"/>
  <c r="BE24" i="1" s="1"/>
  <c r="AX24" i="1"/>
  <c r="AY24" i="1" s="1"/>
  <c r="AZ24" i="1" s="1"/>
  <c r="AS24" i="1"/>
  <c r="AT24" i="1" s="1"/>
  <c r="AU24" i="1" s="1"/>
  <c r="AN24" i="1"/>
  <c r="AO24" i="1" s="1"/>
  <c r="AP24" i="1" s="1"/>
  <c r="AI24" i="1"/>
  <c r="AJ24" i="1" s="1"/>
  <c r="AK24" i="1" s="1"/>
  <c r="AD24" i="1"/>
  <c r="AE24" i="1" s="1"/>
  <c r="AF24" i="1" s="1"/>
  <c r="X24" i="1"/>
  <c r="Y24" i="1" s="1"/>
  <c r="Z24" i="1" s="1"/>
  <c r="R24" i="1"/>
  <c r="S24" i="1" s="1"/>
  <c r="T24" i="1" s="1"/>
  <c r="O24" i="1"/>
  <c r="J24" i="1"/>
  <c r="PZ23" i="1"/>
  <c r="PU23" i="1"/>
  <c r="PP23" i="1"/>
  <c r="PK23" i="1"/>
  <c r="PF23" i="1"/>
  <c r="PA23" i="1"/>
  <c r="OV23" i="1"/>
  <c r="OQ23" i="1"/>
  <c r="OL23" i="1"/>
  <c r="OG23" i="1"/>
  <c r="OB23" i="1"/>
  <c r="NW23" i="1"/>
  <c r="NR23" i="1"/>
  <c r="NM23" i="1"/>
  <c r="NH23" i="1"/>
  <c r="NC23" i="1"/>
  <c r="MX23" i="1"/>
  <c r="MS23" i="1"/>
  <c r="MN23" i="1"/>
  <c r="MI23" i="1"/>
  <c r="MD23" i="1"/>
  <c r="LY23" i="1"/>
  <c r="LT23" i="1"/>
  <c r="LO23" i="1"/>
  <c r="LJ23" i="1"/>
  <c r="LC23" i="1"/>
  <c r="LD23" i="1" s="1"/>
  <c r="LE23" i="1" s="1"/>
  <c r="KX23" i="1"/>
  <c r="KY23" i="1" s="1"/>
  <c r="KZ23" i="1" s="1"/>
  <c r="KU23" i="1"/>
  <c r="KP23" i="1"/>
  <c r="KK23" i="1"/>
  <c r="KF23" i="1"/>
  <c r="JB23" i="1"/>
  <c r="IW23" i="1"/>
  <c r="IR23" i="1"/>
  <c r="IM23" i="1"/>
  <c r="IH23" i="1"/>
  <c r="IC23" i="1"/>
  <c r="HX23" i="1"/>
  <c r="HS23" i="1"/>
  <c r="HN23" i="1"/>
  <c r="HI23" i="1"/>
  <c r="HB23" i="1"/>
  <c r="HC23" i="1" s="1"/>
  <c r="HD23" i="1" s="1"/>
  <c r="GW23" i="1"/>
  <c r="GX23" i="1" s="1"/>
  <c r="GY23" i="1" s="1"/>
  <c r="GR23" i="1"/>
  <c r="GS23" i="1" s="1"/>
  <c r="GT23" i="1" s="1"/>
  <c r="GM23" i="1"/>
  <c r="GN23" i="1" s="1"/>
  <c r="GO23" i="1" s="1"/>
  <c r="GH23" i="1"/>
  <c r="GI23" i="1" s="1"/>
  <c r="GJ23" i="1" s="1"/>
  <c r="GC23" i="1"/>
  <c r="GD23" i="1" s="1"/>
  <c r="GE23" i="1" s="1"/>
  <c r="FX23" i="1"/>
  <c r="FY23" i="1" s="1"/>
  <c r="FZ23" i="1" s="1"/>
  <c r="FS23" i="1"/>
  <c r="FT23" i="1" s="1"/>
  <c r="FU23" i="1" s="1"/>
  <c r="FN23" i="1"/>
  <c r="FO23" i="1" s="1"/>
  <c r="FP23" i="1" s="1"/>
  <c r="FI23" i="1"/>
  <c r="FJ23" i="1" s="1"/>
  <c r="FK23" i="1" s="1"/>
  <c r="FD23" i="1"/>
  <c r="FE23" i="1" s="1"/>
  <c r="FF23" i="1" s="1"/>
  <c r="EY23" i="1"/>
  <c r="EZ23" i="1" s="1"/>
  <c r="FA23" i="1" s="1"/>
  <c r="ET23" i="1"/>
  <c r="EU23" i="1" s="1"/>
  <c r="EV23" i="1" s="1"/>
  <c r="EO23" i="1"/>
  <c r="EP23" i="1" s="1"/>
  <c r="EQ23" i="1" s="1"/>
  <c r="EJ23" i="1"/>
  <c r="EK23" i="1" s="1"/>
  <c r="EL23" i="1" s="1"/>
  <c r="EE23" i="1"/>
  <c r="EF23" i="1" s="1"/>
  <c r="EG23" i="1" s="1"/>
  <c r="DZ23" i="1"/>
  <c r="EA23" i="1" s="1"/>
  <c r="EB23" i="1" s="1"/>
  <c r="DU23" i="1"/>
  <c r="DV23" i="1" s="1"/>
  <c r="DW23" i="1" s="1"/>
  <c r="DP23" i="1"/>
  <c r="DQ23" i="1" s="1"/>
  <c r="DR23" i="1" s="1"/>
  <c r="DK23" i="1"/>
  <c r="DL23" i="1" s="1"/>
  <c r="DM23" i="1" s="1"/>
  <c r="DF23" i="1"/>
  <c r="DG23" i="1" s="1"/>
  <c r="DH23" i="1" s="1"/>
  <c r="DA23" i="1"/>
  <c r="DB23" i="1" s="1"/>
  <c r="DC23" i="1" s="1"/>
  <c r="CV23" i="1"/>
  <c r="CW23" i="1" s="1"/>
  <c r="CX23" i="1" s="1"/>
  <c r="CQ23" i="1"/>
  <c r="CR23" i="1" s="1"/>
  <c r="CS23" i="1" s="1"/>
  <c r="CL23" i="1"/>
  <c r="CM23" i="1" s="1"/>
  <c r="CN23" i="1" s="1"/>
  <c r="CG23" i="1"/>
  <c r="CH23" i="1" s="1"/>
  <c r="CI23" i="1" s="1"/>
  <c r="CB23" i="1"/>
  <c r="CC23" i="1" s="1"/>
  <c r="CD23" i="1" s="1"/>
  <c r="BW23" i="1"/>
  <c r="BX23" i="1" s="1"/>
  <c r="BY23" i="1" s="1"/>
  <c r="BR23" i="1"/>
  <c r="BS23" i="1" s="1"/>
  <c r="BT23" i="1" s="1"/>
  <c r="BM23" i="1"/>
  <c r="BN23" i="1" s="1"/>
  <c r="BO23" i="1" s="1"/>
  <c r="BH23" i="1"/>
  <c r="BI23" i="1" s="1"/>
  <c r="BJ23" i="1" s="1"/>
  <c r="BC23" i="1"/>
  <c r="BD23" i="1" s="1"/>
  <c r="BE23" i="1" s="1"/>
  <c r="AX23" i="1"/>
  <c r="AY23" i="1" s="1"/>
  <c r="AZ23" i="1" s="1"/>
  <c r="AS23" i="1"/>
  <c r="AT23" i="1" s="1"/>
  <c r="AU23" i="1" s="1"/>
  <c r="AN23" i="1"/>
  <c r="AO23" i="1" s="1"/>
  <c r="AP23" i="1" s="1"/>
  <c r="AI23" i="1"/>
  <c r="AJ23" i="1" s="1"/>
  <c r="AK23" i="1" s="1"/>
  <c r="AD23" i="1"/>
  <c r="AE23" i="1" s="1"/>
  <c r="AF23" i="1" s="1"/>
  <c r="X23" i="1"/>
  <c r="Y23" i="1" s="1"/>
  <c r="Z23" i="1" s="1"/>
  <c r="R23" i="1"/>
  <c r="S23" i="1" s="1"/>
  <c r="T23" i="1" s="1"/>
  <c r="O23" i="1"/>
  <c r="J23" i="1"/>
  <c r="PZ22" i="1"/>
  <c r="PU22" i="1"/>
  <c r="PP22" i="1"/>
  <c r="PK22" i="1"/>
  <c r="PF22" i="1"/>
  <c r="PA22" i="1"/>
  <c r="OV22" i="1"/>
  <c r="OQ22" i="1"/>
  <c r="OL22" i="1"/>
  <c r="OG22" i="1"/>
  <c r="OB22" i="1"/>
  <c r="NW22" i="1"/>
  <c r="NR22" i="1"/>
  <c r="NM22" i="1"/>
  <c r="NH22" i="1"/>
  <c r="NC22" i="1"/>
  <c r="MX22" i="1"/>
  <c r="MS22" i="1"/>
  <c r="MN22" i="1"/>
  <c r="MI22" i="1"/>
  <c r="MD22" i="1"/>
  <c r="LY22" i="1"/>
  <c r="LT22" i="1"/>
  <c r="LO22" i="1"/>
  <c r="LJ22" i="1"/>
  <c r="LE22" i="1"/>
  <c r="KX22" i="1"/>
  <c r="KY22" i="1" s="1"/>
  <c r="KZ22" i="1" s="1"/>
  <c r="KU22" i="1"/>
  <c r="KP22" i="1"/>
  <c r="KK22" i="1"/>
  <c r="KF22" i="1"/>
  <c r="IZ22" i="1"/>
  <c r="JA22" i="1" s="1"/>
  <c r="JB22" i="1" s="1"/>
  <c r="IU22" i="1"/>
  <c r="IV22" i="1" s="1"/>
  <c r="IW22" i="1" s="1"/>
  <c r="IP22" i="1"/>
  <c r="IQ22" i="1" s="1"/>
  <c r="IR22" i="1" s="1"/>
  <c r="IK22" i="1"/>
  <c r="IL22" i="1" s="1"/>
  <c r="IM22" i="1" s="1"/>
  <c r="IF22" i="1"/>
  <c r="IG22" i="1" s="1"/>
  <c r="IH22" i="1" s="1"/>
  <c r="IA22" i="1"/>
  <c r="IB22" i="1" s="1"/>
  <c r="IC22" i="1" s="1"/>
  <c r="HV22" i="1"/>
  <c r="HW22" i="1" s="1"/>
  <c r="HX22" i="1" s="1"/>
  <c r="HQ22" i="1"/>
  <c r="HR22" i="1" s="1"/>
  <c r="HS22" i="1" s="1"/>
  <c r="HL22" i="1"/>
  <c r="HM22" i="1" s="1"/>
  <c r="HN22" i="1" s="1"/>
  <c r="HG22" i="1"/>
  <c r="HH22" i="1" s="1"/>
  <c r="HI22" i="1" s="1"/>
  <c r="HB22" i="1"/>
  <c r="HC22" i="1" s="1"/>
  <c r="HD22" i="1" s="1"/>
  <c r="GW22" i="1"/>
  <c r="GX22" i="1" s="1"/>
  <c r="GY22" i="1" s="1"/>
  <c r="GR22" i="1"/>
  <c r="GS22" i="1" s="1"/>
  <c r="GT22" i="1" s="1"/>
  <c r="GM22" i="1"/>
  <c r="GN22" i="1" s="1"/>
  <c r="GO22" i="1" s="1"/>
  <c r="GH22" i="1"/>
  <c r="GI22" i="1" s="1"/>
  <c r="GJ22" i="1" s="1"/>
  <c r="GC22" i="1"/>
  <c r="GD22" i="1" s="1"/>
  <c r="GE22" i="1" s="1"/>
  <c r="FX22" i="1"/>
  <c r="FY22" i="1" s="1"/>
  <c r="FZ22" i="1" s="1"/>
  <c r="FS22" i="1"/>
  <c r="FT22" i="1" s="1"/>
  <c r="FU22" i="1" s="1"/>
  <c r="FN22" i="1"/>
  <c r="FO22" i="1" s="1"/>
  <c r="FP22" i="1" s="1"/>
  <c r="FI22" i="1"/>
  <c r="FJ22" i="1" s="1"/>
  <c r="FK22" i="1" s="1"/>
  <c r="FD22" i="1"/>
  <c r="FE22" i="1" s="1"/>
  <c r="FF22" i="1" s="1"/>
  <c r="EY22" i="1"/>
  <c r="EZ22" i="1" s="1"/>
  <c r="FA22" i="1" s="1"/>
  <c r="ET22" i="1"/>
  <c r="EU22" i="1" s="1"/>
  <c r="EV22" i="1" s="1"/>
  <c r="EO22" i="1"/>
  <c r="EP22" i="1" s="1"/>
  <c r="EQ22" i="1" s="1"/>
  <c r="EJ22" i="1"/>
  <c r="EK22" i="1" s="1"/>
  <c r="EL22" i="1" s="1"/>
  <c r="EE22" i="1"/>
  <c r="EF22" i="1" s="1"/>
  <c r="EG22" i="1" s="1"/>
  <c r="DZ22" i="1"/>
  <c r="EA22" i="1" s="1"/>
  <c r="EB22" i="1" s="1"/>
  <c r="DU22" i="1"/>
  <c r="DV22" i="1" s="1"/>
  <c r="DW22" i="1" s="1"/>
  <c r="DP22" i="1"/>
  <c r="DQ22" i="1" s="1"/>
  <c r="DR22" i="1" s="1"/>
  <c r="DK22" i="1"/>
  <c r="DL22" i="1" s="1"/>
  <c r="DM22" i="1" s="1"/>
  <c r="DF22" i="1"/>
  <c r="DG22" i="1" s="1"/>
  <c r="DH22" i="1" s="1"/>
  <c r="DA22" i="1"/>
  <c r="DB22" i="1" s="1"/>
  <c r="DC22" i="1" s="1"/>
  <c r="CV22" i="1"/>
  <c r="CW22" i="1" s="1"/>
  <c r="CX22" i="1" s="1"/>
  <c r="CQ22" i="1"/>
  <c r="CR22" i="1" s="1"/>
  <c r="CS22" i="1" s="1"/>
  <c r="CL22" i="1"/>
  <c r="CM22" i="1" s="1"/>
  <c r="CN22" i="1" s="1"/>
  <c r="CG22" i="1"/>
  <c r="CH22" i="1" s="1"/>
  <c r="CI22" i="1" s="1"/>
  <c r="CB22" i="1"/>
  <c r="CC22" i="1" s="1"/>
  <c r="CD22" i="1" s="1"/>
  <c r="BW22" i="1"/>
  <c r="BX22" i="1" s="1"/>
  <c r="BY22" i="1" s="1"/>
  <c r="BR22" i="1"/>
  <c r="BS22" i="1" s="1"/>
  <c r="BT22" i="1" s="1"/>
  <c r="BM22" i="1"/>
  <c r="BN22" i="1" s="1"/>
  <c r="BO22" i="1" s="1"/>
  <c r="BH22" i="1"/>
  <c r="BI22" i="1" s="1"/>
  <c r="BJ22" i="1" s="1"/>
  <c r="BC22" i="1"/>
  <c r="BD22" i="1" s="1"/>
  <c r="BE22" i="1" s="1"/>
  <c r="AX22" i="1"/>
  <c r="AY22" i="1" s="1"/>
  <c r="AZ22" i="1" s="1"/>
  <c r="AS22" i="1"/>
  <c r="AT22" i="1" s="1"/>
  <c r="AU22" i="1" s="1"/>
  <c r="AN22" i="1"/>
  <c r="AO22" i="1" s="1"/>
  <c r="AP22" i="1" s="1"/>
  <c r="AI22" i="1"/>
  <c r="AJ22" i="1" s="1"/>
  <c r="AK22" i="1" s="1"/>
  <c r="AD22" i="1"/>
  <c r="AE22" i="1" s="1"/>
  <c r="AF22" i="1" s="1"/>
  <c r="X22" i="1"/>
  <c r="Y22" i="1" s="1"/>
  <c r="Z22" i="1" s="1"/>
  <c r="T22" i="1"/>
  <c r="O22" i="1"/>
  <c r="J22" i="1"/>
  <c r="PZ21" i="1"/>
  <c r="PU21" i="1"/>
  <c r="PP21" i="1"/>
  <c r="PK21" i="1"/>
  <c r="PF21" i="1"/>
  <c r="PA21" i="1"/>
  <c r="OV21" i="1"/>
  <c r="OQ21" i="1"/>
  <c r="OL21" i="1"/>
  <c r="OG21" i="1"/>
  <c r="OB21" i="1"/>
  <c r="NW21" i="1"/>
  <c r="NR21" i="1"/>
  <c r="NM21" i="1"/>
  <c r="NH21" i="1"/>
  <c r="NC21" i="1"/>
  <c r="MX21" i="1"/>
  <c r="MS21" i="1"/>
  <c r="MN21" i="1"/>
  <c r="MI21" i="1"/>
  <c r="MD21" i="1"/>
  <c r="LY21" i="1"/>
  <c r="LT21" i="1"/>
  <c r="LO21" i="1"/>
  <c r="LJ21" i="1"/>
  <c r="LE21" i="1"/>
  <c r="KZ21" i="1"/>
  <c r="KU21" i="1"/>
  <c r="KP21" i="1"/>
  <c r="KK21" i="1"/>
  <c r="KF21" i="1"/>
  <c r="JB21" i="1"/>
  <c r="IW21" i="1"/>
  <c r="IR21" i="1"/>
  <c r="IM21" i="1"/>
  <c r="IH21" i="1"/>
  <c r="IC21" i="1"/>
  <c r="HX21" i="1"/>
  <c r="HS21" i="1"/>
  <c r="HN21" i="1"/>
  <c r="HI21" i="1"/>
  <c r="HB21" i="1"/>
  <c r="HC21" i="1" s="1"/>
  <c r="HD21" i="1" s="1"/>
  <c r="GW21" i="1"/>
  <c r="GX21" i="1" s="1"/>
  <c r="GY21" i="1" s="1"/>
  <c r="GR21" i="1"/>
  <c r="GS21" i="1" s="1"/>
  <c r="GT21" i="1" s="1"/>
  <c r="GM21" i="1"/>
  <c r="GN21" i="1" s="1"/>
  <c r="GO21" i="1" s="1"/>
  <c r="GH21" i="1"/>
  <c r="GI21" i="1" s="1"/>
  <c r="GJ21" i="1" s="1"/>
  <c r="GC21" i="1"/>
  <c r="GD21" i="1" s="1"/>
  <c r="GE21" i="1" s="1"/>
  <c r="FX21" i="1"/>
  <c r="FY21" i="1" s="1"/>
  <c r="FZ21" i="1" s="1"/>
  <c r="FS21" i="1"/>
  <c r="FT21" i="1" s="1"/>
  <c r="FU21" i="1" s="1"/>
  <c r="FN21" i="1"/>
  <c r="FO21" i="1" s="1"/>
  <c r="FP21" i="1" s="1"/>
  <c r="FI21" i="1"/>
  <c r="FJ21" i="1" s="1"/>
  <c r="FK21" i="1" s="1"/>
  <c r="FD21" i="1"/>
  <c r="FE21" i="1" s="1"/>
  <c r="FF21" i="1" s="1"/>
  <c r="EY21" i="1"/>
  <c r="EZ21" i="1" s="1"/>
  <c r="FA21" i="1" s="1"/>
  <c r="ET21" i="1"/>
  <c r="EU21" i="1" s="1"/>
  <c r="EV21" i="1" s="1"/>
  <c r="EO21" i="1"/>
  <c r="EP21" i="1" s="1"/>
  <c r="EQ21" i="1" s="1"/>
  <c r="EJ21" i="1"/>
  <c r="EK21" i="1" s="1"/>
  <c r="EL21" i="1" s="1"/>
  <c r="EE21" i="1"/>
  <c r="EF21" i="1" s="1"/>
  <c r="EG21" i="1" s="1"/>
  <c r="DZ21" i="1"/>
  <c r="EA21" i="1" s="1"/>
  <c r="EB21" i="1" s="1"/>
  <c r="DU21" i="1"/>
  <c r="DV21" i="1" s="1"/>
  <c r="DW21" i="1" s="1"/>
  <c r="DP21" i="1"/>
  <c r="DQ21" i="1" s="1"/>
  <c r="DR21" i="1" s="1"/>
  <c r="DK21" i="1"/>
  <c r="DL21" i="1" s="1"/>
  <c r="DM21" i="1" s="1"/>
  <c r="DF21" i="1"/>
  <c r="DG21" i="1" s="1"/>
  <c r="DH21" i="1" s="1"/>
  <c r="DA21" i="1"/>
  <c r="DB21" i="1" s="1"/>
  <c r="DC21" i="1" s="1"/>
  <c r="CV21" i="1"/>
  <c r="CW21" i="1" s="1"/>
  <c r="CX21" i="1" s="1"/>
  <c r="CQ21" i="1"/>
  <c r="CR21" i="1" s="1"/>
  <c r="CS21" i="1" s="1"/>
  <c r="CL21" i="1"/>
  <c r="CM21" i="1" s="1"/>
  <c r="CN21" i="1" s="1"/>
  <c r="CG21" i="1"/>
  <c r="CH21" i="1" s="1"/>
  <c r="CI21" i="1" s="1"/>
  <c r="CB21" i="1"/>
  <c r="CC21" i="1" s="1"/>
  <c r="CD21" i="1" s="1"/>
  <c r="BW21" i="1"/>
  <c r="BX21" i="1" s="1"/>
  <c r="BY21" i="1" s="1"/>
  <c r="BR21" i="1"/>
  <c r="BS21" i="1" s="1"/>
  <c r="BT21" i="1" s="1"/>
  <c r="BM21" i="1"/>
  <c r="BN21" i="1" s="1"/>
  <c r="BO21" i="1" s="1"/>
  <c r="BH21" i="1"/>
  <c r="BI21" i="1" s="1"/>
  <c r="BJ21" i="1" s="1"/>
  <c r="BC21" i="1"/>
  <c r="BD21" i="1" s="1"/>
  <c r="BE21" i="1" s="1"/>
  <c r="AX21" i="1"/>
  <c r="AY21" i="1" s="1"/>
  <c r="AZ21" i="1" s="1"/>
  <c r="AS21" i="1"/>
  <c r="AT21" i="1" s="1"/>
  <c r="AU21" i="1" s="1"/>
  <c r="AN21" i="1"/>
  <c r="AO21" i="1" s="1"/>
  <c r="AP21" i="1" s="1"/>
  <c r="AI21" i="1"/>
  <c r="AJ21" i="1" s="1"/>
  <c r="AK21" i="1" s="1"/>
  <c r="AF21" i="1"/>
  <c r="X21" i="1"/>
  <c r="Y21" i="1" s="1"/>
  <c r="Z21" i="1" s="1"/>
  <c r="T21" i="1"/>
  <c r="O21" i="1"/>
  <c r="H21" i="1"/>
  <c r="I21" i="1" s="1"/>
  <c r="J21" i="1" s="1"/>
  <c r="PZ20" i="1"/>
  <c r="PU20" i="1"/>
  <c r="PP20" i="1"/>
  <c r="PK20" i="1"/>
  <c r="PF20" i="1"/>
  <c r="PA20" i="1"/>
  <c r="OV20" i="1"/>
  <c r="OQ20" i="1"/>
  <c r="OL20" i="1"/>
  <c r="OG20" i="1"/>
  <c r="OB20" i="1"/>
  <c r="NW20" i="1"/>
  <c r="NR20" i="1"/>
  <c r="NM20" i="1"/>
  <c r="NH20" i="1"/>
  <c r="NC20" i="1"/>
  <c r="MX20" i="1"/>
  <c r="MS20" i="1"/>
  <c r="MN20" i="1"/>
  <c r="MI20" i="1"/>
  <c r="MB20" i="1"/>
  <c r="MC20" i="1" s="1"/>
  <c r="MD20" i="1" s="1"/>
  <c r="LW20" i="1"/>
  <c r="LX20" i="1" s="1"/>
  <c r="LY20" i="1" s="1"/>
  <c r="LT20" i="1"/>
  <c r="LO20" i="1"/>
  <c r="LJ20" i="1"/>
  <c r="LC20" i="1"/>
  <c r="LD20" i="1" s="1"/>
  <c r="LE20" i="1" s="1"/>
  <c r="KZ20" i="1"/>
  <c r="KU20" i="1"/>
  <c r="KP20" i="1"/>
  <c r="KK20" i="1"/>
  <c r="KF20" i="1"/>
  <c r="IZ20" i="1"/>
  <c r="JA20" i="1" s="1"/>
  <c r="JB20" i="1" s="1"/>
  <c r="IU20" i="1"/>
  <c r="IV20" i="1" s="1"/>
  <c r="IW20" i="1" s="1"/>
  <c r="IP20" i="1"/>
  <c r="IQ20" i="1" s="1"/>
  <c r="IR20" i="1" s="1"/>
  <c r="IK20" i="1"/>
  <c r="IL20" i="1" s="1"/>
  <c r="IM20" i="1" s="1"/>
  <c r="IF20" i="1"/>
  <c r="IG20" i="1" s="1"/>
  <c r="IH20" i="1" s="1"/>
  <c r="IA20" i="1"/>
  <c r="IB20" i="1" s="1"/>
  <c r="IC20" i="1" s="1"/>
  <c r="HV20" i="1"/>
  <c r="HW20" i="1" s="1"/>
  <c r="HX20" i="1" s="1"/>
  <c r="HQ20" i="1"/>
  <c r="HR20" i="1" s="1"/>
  <c r="HS20" i="1" s="1"/>
  <c r="HL20" i="1"/>
  <c r="HM20" i="1" s="1"/>
  <c r="HN20" i="1" s="1"/>
  <c r="HG20" i="1"/>
  <c r="HH20" i="1" s="1"/>
  <c r="HI20" i="1" s="1"/>
  <c r="HB20" i="1"/>
  <c r="HC20" i="1" s="1"/>
  <c r="HD20" i="1" s="1"/>
  <c r="GW20" i="1"/>
  <c r="GX20" i="1" s="1"/>
  <c r="GY20" i="1" s="1"/>
  <c r="GR20" i="1"/>
  <c r="GS20" i="1" s="1"/>
  <c r="GT20" i="1" s="1"/>
  <c r="GM20" i="1"/>
  <c r="GN20" i="1" s="1"/>
  <c r="GO20" i="1" s="1"/>
  <c r="GH20" i="1"/>
  <c r="GI20" i="1" s="1"/>
  <c r="GJ20" i="1" s="1"/>
  <c r="GC20" i="1"/>
  <c r="GD20" i="1" s="1"/>
  <c r="GE20" i="1" s="1"/>
  <c r="FX20" i="1"/>
  <c r="FY20" i="1" s="1"/>
  <c r="FZ20" i="1" s="1"/>
  <c r="FS20" i="1"/>
  <c r="FT20" i="1" s="1"/>
  <c r="FU20" i="1" s="1"/>
  <c r="FN20" i="1"/>
  <c r="FO20" i="1" s="1"/>
  <c r="FP20" i="1" s="1"/>
  <c r="FI20" i="1"/>
  <c r="FJ20" i="1" s="1"/>
  <c r="FK20" i="1" s="1"/>
  <c r="FD20" i="1"/>
  <c r="FE20" i="1" s="1"/>
  <c r="FF20" i="1" s="1"/>
  <c r="EY20" i="1"/>
  <c r="EZ20" i="1" s="1"/>
  <c r="FA20" i="1" s="1"/>
  <c r="ET20" i="1"/>
  <c r="EU20" i="1" s="1"/>
  <c r="EV20" i="1" s="1"/>
  <c r="EO20" i="1"/>
  <c r="EP20" i="1" s="1"/>
  <c r="EQ20" i="1" s="1"/>
  <c r="EJ20" i="1"/>
  <c r="EK20" i="1" s="1"/>
  <c r="EL20" i="1" s="1"/>
  <c r="EE20" i="1"/>
  <c r="EF20" i="1" s="1"/>
  <c r="EG20" i="1" s="1"/>
  <c r="DZ20" i="1"/>
  <c r="EA20" i="1" s="1"/>
  <c r="EB20" i="1" s="1"/>
  <c r="DU20" i="1"/>
  <c r="DV20" i="1" s="1"/>
  <c r="DW20" i="1" s="1"/>
  <c r="DP20" i="1"/>
  <c r="DQ20" i="1" s="1"/>
  <c r="DR20" i="1" s="1"/>
  <c r="DK20" i="1"/>
  <c r="DL20" i="1" s="1"/>
  <c r="DM20" i="1" s="1"/>
  <c r="DF20" i="1"/>
  <c r="DG20" i="1" s="1"/>
  <c r="DH20" i="1" s="1"/>
  <c r="DA20" i="1"/>
  <c r="DB20" i="1" s="1"/>
  <c r="DC20" i="1" s="1"/>
  <c r="CV20" i="1"/>
  <c r="CW20" i="1" s="1"/>
  <c r="CX20" i="1" s="1"/>
  <c r="CQ20" i="1"/>
  <c r="CR20" i="1" s="1"/>
  <c r="CS20" i="1" s="1"/>
  <c r="CL20" i="1"/>
  <c r="CM20" i="1" s="1"/>
  <c r="CN20" i="1" s="1"/>
  <c r="CG20" i="1"/>
  <c r="CH20" i="1" s="1"/>
  <c r="CI20" i="1" s="1"/>
  <c r="CB20" i="1"/>
  <c r="CC20" i="1" s="1"/>
  <c r="CD20" i="1" s="1"/>
  <c r="BW20" i="1"/>
  <c r="BX20" i="1" s="1"/>
  <c r="BY20" i="1" s="1"/>
  <c r="BR20" i="1"/>
  <c r="BS20" i="1" s="1"/>
  <c r="BT20" i="1" s="1"/>
  <c r="BM20" i="1"/>
  <c r="BN20" i="1" s="1"/>
  <c r="BO20" i="1" s="1"/>
  <c r="BH20" i="1"/>
  <c r="BI20" i="1" s="1"/>
  <c r="BJ20" i="1" s="1"/>
  <c r="BC20" i="1"/>
  <c r="BD20" i="1" s="1"/>
  <c r="BE20" i="1" s="1"/>
  <c r="AX20" i="1"/>
  <c r="AY20" i="1" s="1"/>
  <c r="AZ20" i="1" s="1"/>
  <c r="AS20" i="1"/>
  <c r="AT20" i="1" s="1"/>
  <c r="AU20" i="1" s="1"/>
  <c r="AN20" i="1"/>
  <c r="AO20" i="1" s="1"/>
  <c r="AP20" i="1" s="1"/>
  <c r="AI20" i="1"/>
  <c r="AJ20" i="1" s="1"/>
  <c r="AK20" i="1" s="1"/>
  <c r="AD20" i="1"/>
  <c r="AE20" i="1" s="1"/>
  <c r="AF20" i="1" s="1"/>
  <c r="X20" i="1"/>
  <c r="Y20" i="1" s="1"/>
  <c r="Z20" i="1" s="1"/>
  <c r="T20" i="1"/>
  <c r="O20" i="1"/>
  <c r="J20" i="1"/>
  <c r="PX19" i="1"/>
  <c r="PY19" i="1" s="1"/>
  <c r="PZ19" i="1" s="1"/>
  <c r="PU19" i="1"/>
  <c r="PP19" i="1"/>
  <c r="PK19" i="1"/>
  <c r="PF19" i="1"/>
  <c r="PA19" i="1"/>
  <c r="OV19" i="1"/>
  <c r="OO19" i="1"/>
  <c r="OP19" i="1" s="1"/>
  <c r="OQ19" i="1" s="1"/>
  <c r="OL19" i="1"/>
  <c r="OG19" i="1"/>
  <c r="OB19" i="1"/>
  <c r="NW19" i="1"/>
  <c r="NR19" i="1"/>
  <c r="NM19" i="1"/>
  <c r="NH19" i="1"/>
  <c r="NC19" i="1"/>
  <c r="MX19" i="1"/>
  <c r="MS19" i="1"/>
  <c r="MN19" i="1"/>
  <c r="MI19" i="1"/>
  <c r="MD19" i="1"/>
  <c r="LY19" i="1"/>
  <c r="LT19" i="1"/>
  <c r="LO19" i="1"/>
  <c r="LJ19" i="1"/>
  <c r="LE19" i="1"/>
  <c r="KZ19" i="1"/>
  <c r="KU19" i="1"/>
  <c r="KP19" i="1"/>
  <c r="KK19" i="1"/>
  <c r="KF19" i="1"/>
  <c r="JB19" i="1"/>
  <c r="IW19" i="1"/>
  <c r="IR19" i="1"/>
  <c r="IM19" i="1"/>
  <c r="IH19" i="1"/>
  <c r="IC19" i="1"/>
  <c r="HX19" i="1"/>
  <c r="HS19" i="1"/>
  <c r="HN19" i="1"/>
  <c r="HG19" i="1"/>
  <c r="HH19" i="1" s="1"/>
  <c r="HI19" i="1" s="1"/>
  <c r="HB19" i="1"/>
  <c r="HC19" i="1" s="1"/>
  <c r="HD19" i="1" s="1"/>
  <c r="GW19" i="1"/>
  <c r="GX19" i="1" s="1"/>
  <c r="GY19" i="1" s="1"/>
  <c r="GR19" i="1"/>
  <c r="GS19" i="1" s="1"/>
  <c r="GT19" i="1" s="1"/>
  <c r="GM19" i="1"/>
  <c r="GN19" i="1" s="1"/>
  <c r="GO19" i="1" s="1"/>
  <c r="GH19" i="1"/>
  <c r="GI19" i="1" s="1"/>
  <c r="GJ19" i="1" s="1"/>
  <c r="GC19" i="1"/>
  <c r="GD19" i="1" s="1"/>
  <c r="GE19" i="1" s="1"/>
  <c r="FX19" i="1"/>
  <c r="FY19" i="1" s="1"/>
  <c r="FZ19" i="1" s="1"/>
  <c r="FS19" i="1"/>
  <c r="FT19" i="1" s="1"/>
  <c r="FU19" i="1" s="1"/>
  <c r="FN19" i="1"/>
  <c r="FO19" i="1" s="1"/>
  <c r="FP19" i="1" s="1"/>
  <c r="FI19" i="1"/>
  <c r="FJ19" i="1" s="1"/>
  <c r="FK19" i="1" s="1"/>
  <c r="FD19" i="1"/>
  <c r="FE19" i="1" s="1"/>
  <c r="FF19" i="1" s="1"/>
  <c r="EY19" i="1"/>
  <c r="EZ19" i="1" s="1"/>
  <c r="FA19" i="1" s="1"/>
  <c r="ET19" i="1"/>
  <c r="EU19" i="1" s="1"/>
  <c r="EV19" i="1" s="1"/>
  <c r="EO19" i="1"/>
  <c r="EP19" i="1" s="1"/>
  <c r="EQ19" i="1" s="1"/>
  <c r="EJ19" i="1"/>
  <c r="EK19" i="1" s="1"/>
  <c r="EL19" i="1" s="1"/>
  <c r="EE19" i="1"/>
  <c r="EF19" i="1" s="1"/>
  <c r="EG19" i="1" s="1"/>
  <c r="DZ19" i="1"/>
  <c r="EA19" i="1" s="1"/>
  <c r="EB19" i="1" s="1"/>
  <c r="DU19" i="1"/>
  <c r="DV19" i="1" s="1"/>
  <c r="DW19" i="1" s="1"/>
  <c r="DP19" i="1"/>
  <c r="DQ19" i="1" s="1"/>
  <c r="DR19" i="1" s="1"/>
  <c r="DK19" i="1"/>
  <c r="DL19" i="1" s="1"/>
  <c r="DM19" i="1" s="1"/>
  <c r="DF19" i="1"/>
  <c r="DG19" i="1" s="1"/>
  <c r="DH19" i="1" s="1"/>
  <c r="DA19" i="1"/>
  <c r="DB19" i="1" s="1"/>
  <c r="DC19" i="1" s="1"/>
  <c r="CV19" i="1"/>
  <c r="CW19" i="1" s="1"/>
  <c r="CX19" i="1" s="1"/>
  <c r="CQ19" i="1"/>
  <c r="CR19" i="1" s="1"/>
  <c r="CS19" i="1" s="1"/>
  <c r="CL19" i="1"/>
  <c r="CM19" i="1" s="1"/>
  <c r="CN19" i="1" s="1"/>
  <c r="CG19" i="1"/>
  <c r="CH19" i="1" s="1"/>
  <c r="CI19" i="1" s="1"/>
  <c r="CB19" i="1"/>
  <c r="CC19" i="1" s="1"/>
  <c r="CD19" i="1" s="1"/>
  <c r="BW19" i="1"/>
  <c r="BX19" i="1" s="1"/>
  <c r="BY19" i="1" s="1"/>
  <c r="BR19" i="1"/>
  <c r="BS19" i="1" s="1"/>
  <c r="BT19" i="1" s="1"/>
  <c r="BM19" i="1"/>
  <c r="BN19" i="1" s="1"/>
  <c r="BO19" i="1" s="1"/>
  <c r="BH19" i="1"/>
  <c r="BI19" i="1" s="1"/>
  <c r="BJ19" i="1" s="1"/>
  <c r="BC19" i="1"/>
  <c r="BD19" i="1" s="1"/>
  <c r="BE19" i="1" s="1"/>
  <c r="AX19" i="1"/>
  <c r="AY19" i="1" s="1"/>
  <c r="AZ19" i="1" s="1"/>
  <c r="AS19" i="1"/>
  <c r="AT19" i="1" s="1"/>
  <c r="AU19" i="1" s="1"/>
  <c r="AN19" i="1"/>
  <c r="AO19" i="1" s="1"/>
  <c r="AP19" i="1" s="1"/>
  <c r="AI19" i="1"/>
  <c r="AJ19" i="1" s="1"/>
  <c r="AK19" i="1" s="1"/>
  <c r="AD19" i="1"/>
  <c r="AE19" i="1" s="1"/>
  <c r="AF19" i="1" s="1"/>
  <c r="X19" i="1"/>
  <c r="Y19" i="1" s="1"/>
  <c r="Z19" i="1" s="1"/>
  <c r="T19" i="1"/>
  <c r="O19" i="1"/>
  <c r="J19" i="1"/>
  <c r="PX18" i="1"/>
  <c r="PY18" i="1" s="1"/>
  <c r="PZ18" i="1" s="1"/>
  <c r="PU18" i="1"/>
  <c r="PP18" i="1"/>
  <c r="PK18" i="1"/>
  <c r="PF18" i="1"/>
  <c r="PA18" i="1"/>
  <c r="OV18" i="1"/>
  <c r="OQ18" i="1"/>
  <c r="OL18" i="1"/>
  <c r="OG18" i="1"/>
  <c r="OB18" i="1"/>
  <c r="NW18" i="1"/>
  <c r="NR18" i="1"/>
  <c r="NM18" i="1"/>
  <c r="NH18" i="1"/>
  <c r="NC18" i="1"/>
  <c r="MX18" i="1"/>
  <c r="MS18" i="1"/>
  <c r="MN18" i="1"/>
  <c r="MI18" i="1"/>
  <c r="MD18" i="1"/>
  <c r="LY18" i="1"/>
  <c r="LT18" i="1"/>
  <c r="LO18" i="1"/>
  <c r="LJ18" i="1"/>
  <c r="LE18" i="1"/>
  <c r="KZ18" i="1"/>
  <c r="KU18" i="1"/>
  <c r="KP18" i="1"/>
  <c r="KK18" i="1"/>
  <c r="KF18" i="1"/>
  <c r="JB18" i="1"/>
  <c r="IW18" i="1"/>
  <c r="IR18" i="1"/>
  <c r="IM18" i="1"/>
  <c r="IH18" i="1"/>
  <c r="IC18" i="1"/>
  <c r="HX18" i="1"/>
  <c r="HS18" i="1"/>
  <c r="HN18" i="1"/>
  <c r="HI18" i="1"/>
  <c r="HB18" i="1"/>
  <c r="HC18" i="1" s="1"/>
  <c r="HD18" i="1" s="1"/>
  <c r="GW18" i="1"/>
  <c r="GX18" i="1" s="1"/>
  <c r="GY18" i="1" s="1"/>
  <c r="GR18" i="1"/>
  <c r="GS18" i="1" s="1"/>
  <c r="GT18" i="1" s="1"/>
  <c r="GM18" i="1"/>
  <c r="GN18" i="1" s="1"/>
  <c r="GO18" i="1" s="1"/>
  <c r="GH18" i="1"/>
  <c r="GI18" i="1" s="1"/>
  <c r="GJ18" i="1" s="1"/>
  <c r="GC18" i="1"/>
  <c r="GD18" i="1" s="1"/>
  <c r="GE18" i="1" s="1"/>
  <c r="FX18" i="1"/>
  <c r="FY18" i="1" s="1"/>
  <c r="FZ18" i="1" s="1"/>
  <c r="FS18" i="1"/>
  <c r="FT18" i="1" s="1"/>
  <c r="FU18" i="1" s="1"/>
  <c r="FN18" i="1"/>
  <c r="FO18" i="1" s="1"/>
  <c r="FP18" i="1" s="1"/>
  <c r="FI18" i="1"/>
  <c r="FJ18" i="1" s="1"/>
  <c r="FK18" i="1" s="1"/>
  <c r="FD18" i="1"/>
  <c r="FE18" i="1" s="1"/>
  <c r="FF18" i="1" s="1"/>
  <c r="EY18" i="1"/>
  <c r="EZ18" i="1" s="1"/>
  <c r="FA18" i="1" s="1"/>
  <c r="ET18" i="1"/>
  <c r="EU18" i="1" s="1"/>
  <c r="EV18" i="1" s="1"/>
  <c r="EO18" i="1"/>
  <c r="EP18" i="1" s="1"/>
  <c r="EQ18" i="1" s="1"/>
  <c r="EJ18" i="1"/>
  <c r="EK18" i="1" s="1"/>
  <c r="EL18" i="1" s="1"/>
  <c r="EE18" i="1"/>
  <c r="EF18" i="1" s="1"/>
  <c r="EG18" i="1" s="1"/>
  <c r="DZ18" i="1"/>
  <c r="EA18" i="1" s="1"/>
  <c r="EB18" i="1" s="1"/>
  <c r="DU18" i="1"/>
  <c r="DV18" i="1" s="1"/>
  <c r="DW18" i="1" s="1"/>
  <c r="DP18" i="1"/>
  <c r="DQ18" i="1" s="1"/>
  <c r="DR18" i="1" s="1"/>
  <c r="DK18" i="1"/>
  <c r="DL18" i="1" s="1"/>
  <c r="DM18" i="1" s="1"/>
  <c r="DF18" i="1"/>
  <c r="DG18" i="1" s="1"/>
  <c r="DH18" i="1" s="1"/>
  <c r="DA18" i="1"/>
  <c r="DB18" i="1" s="1"/>
  <c r="DC18" i="1" s="1"/>
  <c r="CV18" i="1"/>
  <c r="CW18" i="1" s="1"/>
  <c r="CX18" i="1" s="1"/>
  <c r="CQ18" i="1"/>
  <c r="CR18" i="1" s="1"/>
  <c r="CS18" i="1" s="1"/>
  <c r="CL18" i="1"/>
  <c r="CM18" i="1" s="1"/>
  <c r="CN18" i="1" s="1"/>
  <c r="CG18" i="1"/>
  <c r="CH18" i="1" s="1"/>
  <c r="CI18" i="1" s="1"/>
  <c r="CB18" i="1"/>
  <c r="CC18" i="1" s="1"/>
  <c r="CD18" i="1" s="1"/>
  <c r="BW18" i="1"/>
  <c r="BX18" i="1" s="1"/>
  <c r="BY18" i="1" s="1"/>
  <c r="BR18" i="1"/>
  <c r="BS18" i="1" s="1"/>
  <c r="BT18" i="1" s="1"/>
  <c r="BM18" i="1"/>
  <c r="BN18" i="1" s="1"/>
  <c r="BO18" i="1" s="1"/>
  <c r="BH18" i="1"/>
  <c r="BI18" i="1" s="1"/>
  <c r="BJ18" i="1" s="1"/>
  <c r="BC18" i="1"/>
  <c r="BD18" i="1" s="1"/>
  <c r="BE18" i="1" s="1"/>
  <c r="AX18" i="1"/>
  <c r="AY18" i="1" s="1"/>
  <c r="AZ18" i="1" s="1"/>
  <c r="AS18" i="1"/>
  <c r="AT18" i="1" s="1"/>
  <c r="AU18" i="1" s="1"/>
  <c r="AN18" i="1"/>
  <c r="AO18" i="1" s="1"/>
  <c r="AP18" i="1" s="1"/>
  <c r="AI18" i="1"/>
  <c r="AJ18" i="1" s="1"/>
  <c r="AK18" i="1" s="1"/>
  <c r="AF18" i="1"/>
  <c r="X18" i="1"/>
  <c r="Y18" i="1" s="1"/>
  <c r="Z18" i="1" s="1"/>
  <c r="T18" i="1"/>
  <c r="O18" i="1"/>
  <c r="J18" i="1"/>
  <c r="PX17" i="1"/>
  <c r="PY17" i="1" s="1"/>
  <c r="PZ17" i="1" s="1"/>
  <c r="PU17" i="1"/>
  <c r="PP17" i="1"/>
  <c r="PK17" i="1"/>
  <c r="PF17" i="1"/>
  <c r="PA17" i="1"/>
  <c r="OV17" i="1"/>
  <c r="OQ17" i="1"/>
  <c r="OL17" i="1"/>
  <c r="OG17" i="1"/>
  <c r="OB17" i="1"/>
  <c r="NW17" i="1"/>
  <c r="NR17" i="1"/>
  <c r="NM17" i="1"/>
  <c r="NH17" i="1"/>
  <c r="NC17" i="1"/>
  <c r="MV17" i="1"/>
  <c r="MW17" i="1" s="1"/>
  <c r="MX17" i="1" s="1"/>
  <c r="MQ17" i="1"/>
  <c r="MR17" i="1" s="1"/>
  <c r="MS17" i="1" s="1"/>
  <c r="MN17" i="1"/>
  <c r="MG17" i="1"/>
  <c r="MH17" i="1" s="1"/>
  <c r="MI17" i="1" s="1"/>
  <c r="MB17" i="1"/>
  <c r="MC17" i="1" s="1"/>
  <c r="MD17" i="1" s="1"/>
  <c r="LW17" i="1"/>
  <c r="LX17" i="1" s="1"/>
  <c r="LY17" i="1" s="1"/>
  <c r="LT17" i="1"/>
  <c r="LO17" i="1"/>
  <c r="LJ17" i="1"/>
  <c r="LC17" i="1"/>
  <c r="LD17" i="1" s="1"/>
  <c r="LE17" i="1" s="1"/>
  <c r="KZ17" i="1"/>
  <c r="KU17" i="1"/>
  <c r="KP17" i="1"/>
  <c r="KK17" i="1"/>
  <c r="KF17" i="1"/>
  <c r="IZ17" i="1"/>
  <c r="JA17" i="1" s="1"/>
  <c r="JB17" i="1" s="1"/>
  <c r="IU17" i="1"/>
  <c r="IV17" i="1" s="1"/>
  <c r="IW17" i="1" s="1"/>
  <c r="IP17" i="1"/>
  <c r="IQ17" i="1" s="1"/>
  <c r="IR17" i="1" s="1"/>
  <c r="IK17" i="1"/>
  <c r="IL17" i="1" s="1"/>
  <c r="IM17" i="1" s="1"/>
  <c r="IF17" i="1"/>
  <c r="IG17" i="1" s="1"/>
  <c r="IH17" i="1" s="1"/>
  <c r="IA17" i="1"/>
  <c r="IB17" i="1" s="1"/>
  <c r="IC17" i="1" s="1"/>
  <c r="HV17" i="1"/>
  <c r="HW17" i="1" s="1"/>
  <c r="HX17" i="1" s="1"/>
  <c r="HS17" i="1"/>
  <c r="HN17" i="1"/>
  <c r="HG17" i="1"/>
  <c r="HH17" i="1" s="1"/>
  <c r="HI17" i="1" s="1"/>
  <c r="HB17" i="1"/>
  <c r="HC17" i="1" s="1"/>
  <c r="HD17" i="1" s="1"/>
  <c r="GW17" i="1"/>
  <c r="GX17" i="1" s="1"/>
  <c r="GY17" i="1" s="1"/>
  <c r="GR17" i="1"/>
  <c r="GS17" i="1" s="1"/>
  <c r="GT17" i="1" s="1"/>
  <c r="GM17" i="1"/>
  <c r="GN17" i="1" s="1"/>
  <c r="GO17" i="1" s="1"/>
  <c r="GH17" i="1"/>
  <c r="GI17" i="1" s="1"/>
  <c r="GJ17" i="1" s="1"/>
  <c r="GC17" i="1"/>
  <c r="GD17" i="1" s="1"/>
  <c r="GE17" i="1" s="1"/>
  <c r="FX17" i="1"/>
  <c r="FY17" i="1" s="1"/>
  <c r="FZ17" i="1" s="1"/>
  <c r="FS17" i="1"/>
  <c r="FT17" i="1" s="1"/>
  <c r="FU17" i="1" s="1"/>
  <c r="FN17" i="1"/>
  <c r="FO17" i="1" s="1"/>
  <c r="FP17" i="1" s="1"/>
  <c r="FI17" i="1"/>
  <c r="FJ17" i="1" s="1"/>
  <c r="FK17" i="1" s="1"/>
  <c r="FD17" i="1"/>
  <c r="FE17" i="1" s="1"/>
  <c r="FF17" i="1" s="1"/>
  <c r="EY17" i="1"/>
  <c r="EZ17" i="1" s="1"/>
  <c r="FA17" i="1" s="1"/>
  <c r="ET17" i="1"/>
  <c r="EU17" i="1" s="1"/>
  <c r="EV17" i="1" s="1"/>
  <c r="EO17" i="1"/>
  <c r="EP17" i="1" s="1"/>
  <c r="EQ17" i="1" s="1"/>
  <c r="EJ17" i="1"/>
  <c r="EK17" i="1" s="1"/>
  <c r="EL17" i="1" s="1"/>
  <c r="EE17" i="1"/>
  <c r="EF17" i="1" s="1"/>
  <c r="EG17" i="1" s="1"/>
  <c r="DZ17" i="1"/>
  <c r="EA17" i="1" s="1"/>
  <c r="EB17" i="1" s="1"/>
  <c r="DU17" i="1"/>
  <c r="DV17" i="1" s="1"/>
  <c r="DW17" i="1" s="1"/>
  <c r="DP17" i="1"/>
  <c r="DQ17" i="1" s="1"/>
  <c r="DR17" i="1" s="1"/>
  <c r="DK17" i="1"/>
  <c r="DL17" i="1" s="1"/>
  <c r="DM17" i="1" s="1"/>
  <c r="DF17" i="1"/>
  <c r="DG17" i="1" s="1"/>
  <c r="DH17" i="1" s="1"/>
  <c r="DA17" i="1"/>
  <c r="DB17" i="1" s="1"/>
  <c r="DC17" i="1" s="1"/>
  <c r="CV17" i="1"/>
  <c r="CW17" i="1" s="1"/>
  <c r="CX17" i="1" s="1"/>
  <c r="CQ17" i="1"/>
  <c r="CR17" i="1" s="1"/>
  <c r="CS17" i="1" s="1"/>
  <c r="CL17" i="1"/>
  <c r="CM17" i="1" s="1"/>
  <c r="CN17" i="1" s="1"/>
  <c r="CG17" i="1"/>
  <c r="CH17" i="1" s="1"/>
  <c r="CI17" i="1" s="1"/>
  <c r="CB17" i="1"/>
  <c r="CC17" i="1" s="1"/>
  <c r="CD17" i="1" s="1"/>
  <c r="BW17" i="1"/>
  <c r="BX17" i="1" s="1"/>
  <c r="BY17" i="1" s="1"/>
  <c r="BR17" i="1"/>
  <c r="BS17" i="1" s="1"/>
  <c r="BT17" i="1" s="1"/>
  <c r="BM17" i="1"/>
  <c r="BN17" i="1" s="1"/>
  <c r="BO17" i="1" s="1"/>
  <c r="BH17" i="1"/>
  <c r="BI17" i="1" s="1"/>
  <c r="BJ17" i="1" s="1"/>
  <c r="BC17" i="1"/>
  <c r="BD17" i="1" s="1"/>
  <c r="BE17" i="1" s="1"/>
  <c r="AX17" i="1"/>
  <c r="AY17" i="1" s="1"/>
  <c r="AZ17" i="1" s="1"/>
  <c r="AS17" i="1"/>
  <c r="AT17" i="1" s="1"/>
  <c r="AU17" i="1" s="1"/>
  <c r="AN17" i="1"/>
  <c r="AO17" i="1" s="1"/>
  <c r="AP17" i="1" s="1"/>
  <c r="AI17" i="1"/>
  <c r="AJ17" i="1" s="1"/>
  <c r="AK17" i="1" s="1"/>
  <c r="AD17" i="1"/>
  <c r="AE17" i="1" s="1"/>
  <c r="AF17" i="1" s="1"/>
  <c r="X17" i="1"/>
  <c r="Y17" i="1" s="1"/>
  <c r="Z17" i="1" s="1"/>
  <c r="R17" i="1"/>
  <c r="S17" i="1" s="1"/>
  <c r="T17" i="1" s="1"/>
  <c r="O17" i="1"/>
  <c r="J17" i="1"/>
  <c r="PZ16" i="1"/>
  <c r="PU16" i="1"/>
  <c r="PP16" i="1"/>
  <c r="PK16" i="1"/>
  <c r="PF16" i="1"/>
  <c r="PA16" i="1"/>
  <c r="OV16" i="1"/>
  <c r="OQ16" i="1"/>
  <c r="OL16" i="1"/>
  <c r="OG16" i="1"/>
  <c r="OB16" i="1"/>
  <c r="NW16" i="1"/>
  <c r="NR16" i="1"/>
  <c r="NM16" i="1"/>
  <c r="NF16" i="1"/>
  <c r="NG16" i="1" s="1"/>
  <c r="NH16" i="1" s="1"/>
  <c r="NA16" i="1"/>
  <c r="NB16" i="1" s="1"/>
  <c r="NC16" i="1" s="1"/>
  <c r="MX16" i="1"/>
  <c r="MS16" i="1"/>
  <c r="MN16" i="1"/>
  <c r="MG16" i="1"/>
  <c r="MH16" i="1" s="1"/>
  <c r="MI16" i="1" s="1"/>
  <c r="MB16" i="1"/>
  <c r="MC16" i="1" s="1"/>
  <c r="MD16" i="1" s="1"/>
  <c r="LW16" i="1"/>
  <c r="LX16" i="1" s="1"/>
  <c r="LY16" i="1" s="1"/>
  <c r="LT16" i="1"/>
  <c r="LO16" i="1"/>
  <c r="LJ16" i="1"/>
  <c r="LC16" i="1"/>
  <c r="LD16" i="1" s="1"/>
  <c r="LE16" i="1" s="1"/>
  <c r="KX16" i="1"/>
  <c r="KY16" i="1" s="1"/>
  <c r="KZ16" i="1" s="1"/>
  <c r="KU16" i="1"/>
  <c r="KN16" i="1"/>
  <c r="KO16" i="1" s="1"/>
  <c r="KP16" i="1" s="1"/>
  <c r="KK16" i="1"/>
  <c r="KF16" i="1"/>
  <c r="IZ16" i="1"/>
  <c r="JA16" i="1" s="1"/>
  <c r="JB16" i="1" s="1"/>
  <c r="IU16" i="1"/>
  <c r="IV16" i="1" s="1"/>
  <c r="IW16" i="1" s="1"/>
  <c r="IP16" i="1"/>
  <c r="IQ16" i="1" s="1"/>
  <c r="IR16" i="1" s="1"/>
  <c r="IK16" i="1"/>
  <c r="IL16" i="1" s="1"/>
  <c r="IM16" i="1" s="1"/>
  <c r="IF16" i="1"/>
  <c r="IG16" i="1" s="1"/>
  <c r="IH16" i="1" s="1"/>
  <c r="IA16" i="1"/>
  <c r="IB16" i="1" s="1"/>
  <c r="IC16" i="1" s="1"/>
  <c r="HV16" i="1"/>
  <c r="HW16" i="1" s="1"/>
  <c r="HX16" i="1" s="1"/>
  <c r="HS16" i="1"/>
  <c r="HL16" i="1"/>
  <c r="HM16" i="1" s="1"/>
  <c r="HN16" i="1" s="1"/>
  <c r="HG16" i="1"/>
  <c r="HH16" i="1" s="1"/>
  <c r="HI16" i="1" s="1"/>
  <c r="HB16" i="1"/>
  <c r="HC16" i="1" s="1"/>
  <c r="HD16" i="1" s="1"/>
  <c r="GW16" i="1"/>
  <c r="GX16" i="1" s="1"/>
  <c r="GY16" i="1" s="1"/>
  <c r="GR16" i="1"/>
  <c r="GS16" i="1" s="1"/>
  <c r="GT16" i="1" s="1"/>
  <c r="GM16" i="1"/>
  <c r="GN16" i="1" s="1"/>
  <c r="GO16" i="1" s="1"/>
  <c r="GH16" i="1"/>
  <c r="GI16" i="1" s="1"/>
  <c r="GJ16" i="1" s="1"/>
  <c r="GC16" i="1"/>
  <c r="GD16" i="1" s="1"/>
  <c r="GE16" i="1" s="1"/>
  <c r="FX16" i="1"/>
  <c r="FY16" i="1" s="1"/>
  <c r="FZ16" i="1" s="1"/>
  <c r="FS16" i="1"/>
  <c r="FT16" i="1" s="1"/>
  <c r="FU16" i="1" s="1"/>
  <c r="FN16" i="1"/>
  <c r="FO16" i="1" s="1"/>
  <c r="FP16" i="1" s="1"/>
  <c r="FI16" i="1"/>
  <c r="FJ16" i="1" s="1"/>
  <c r="FK16" i="1" s="1"/>
  <c r="FD16" i="1"/>
  <c r="FE16" i="1" s="1"/>
  <c r="FF16" i="1" s="1"/>
  <c r="EY16" i="1"/>
  <c r="EZ16" i="1" s="1"/>
  <c r="FA16" i="1" s="1"/>
  <c r="ET16" i="1"/>
  <c r="EU16" i="1" s="1"/>
  <c r="EV16" i="1" s="1"/>
  <c r="EO16" i="1"/>
  <c r="EP16" i="1" s="1"/>
  <c r="EQ16" i="1" s="1"/>
  <c r="EJ16" i="1"/>
  <c r="EK16" i="1" s="1"/>
  <c r="EL16" i="1" s="1"/>
  <c r="EE16" i="1"/>
  <c r="EF16" i="1" s="1"/>
  <c r="EG16" i="1" s="1"/>
  <c r="DZ16" i="1"/>
  <c r="EA16" i="1" s="1"/>
  <c r="EB16" i="1" s="1"/>
  <c r="DU16" i="1"/>
  <c r="DV16" i="1" s="1"/>
  <c r="DW16" i="1" s="1"/>
  <c r="DP16" i="1"/>
  <c r="DQ16" i="1" s="1"/>
  <c r="DR16" i="1" s="1"/>
  <c r="DK16" i="1"/>
  <c r="DL16" i="1" s="1"/>
  <c r="DM16" i="1" s="1"/>
  <c r="DF16" i="1"/>
  <c r="DG16" i="1" s="1"/>
  <c r="DH16" i="1" s="1"/>
  <c r="DA16" i="1"/>
  <c r="DB16" i="1" s="1"/>
  <c r="DC16" i="1" s="1"/>
  <c r="CV16" i="1"/>
  <c r="CW16" i="1" s="1"/>
  <c r="CX16" i="1" s="1"/>
  <c r="CQ16" i="1"/>
  <c r="CR16" i="1" s="1"/>
  <c r="CS16" i="1" s="1"/>
  <c r="CL16" i="1"/>
  <c r="CM16" i="1" s="1"/>
  <c r="CN16" i="1" s="1"/>
  <c r="CG16" i="1"/>
  <c r="CH16" i="1" s="1"/>
  <c r="CI16" i="1" s="1"/>
  <c r="CB16" i="1"/>
  <c r="CC16" i="1" s="1"/>
  <c r="CD16" i="1" s="1"/>
  <c r="BW16" i="1"/>
  <c r="BX16" i="1" s="1"/>
  <c r="BY16" i="1" s="1"/>
  <c r="BR16" i="1"/>
  <c r="BS16" i="1" s="1"/>
  <c r="BT16" i="1" s="1"/>
  <c r="BM16" i="1"/>
  <c r="BN16" i="1" s="1"/>
  <c r="BO16" i="1" s="1"/>
  <c r="BH16" i="1"/>
  <c r="BI16" i="1" s="1"/>
  <c r="BJ16" i="1" s="1"/>
  <c r="BC16" i="1"/>
  <c r="BD16" i="1" s="1"/>
  <c r="BE16" i="1" s="1"/>
  <c r="AX16" i="1"/>
  <c r="AY16" i="1" s="1"/>
  <c r="AZ16" i="1" s="1"/>
  <c r="AS16" i="1"/>
  <c r="AT16" i="1" s="1"/>
  <c r="AU16" i="1" s="1"/>
  <c r="AN16" i="1"/>
  <c r="AO16" i="1" s="1"/>
  <c r="AP16" i="1" s="1"/>
  <c r="AI16" i="1"/>
  <c r="AJ16" i="1" s="1"/>
  <c r="AK16" i="1" s="1"/>
  <c r="AD16" i="1"/>
  <c r="AE16" i="1" s="1"/>
  <c r="AF16" i="1" s="1"/>
  <c r="X16" i="1"/>
  <c r="Y16" i="1" s="1"/>
  <c r="Z16" i="1" s="1"/>
  <c r="T16" i="1"/>
  <c r="O16" i="1"/>
  <c r="J16" i="1"/>
  <c r="PZ15" i="1"/>
  <c r="PU15" i="1"/>
  <c r="PP15" i="1"/>
  <c r="PK15" i="1"/>
  <c r="PF15" i="1"/>
  <c r="PA15" i="1"/>
  <c r="OV15" i="1"/>
  <c r="OQ15" i="1"/>
  <c r="OL15" i="1"/>
  <c r="OG15" i="1"/>
  <c r="OB15" i="1"/>
  <c r="NW15" i="1"/>
  <c r="NR15" i="1"/>
  <c r="NM15" i="1"/>
  <c r="NH15" i="1"/>
  <c r="NC15" i="1"/>
  <c r="MX15" i="1"/>
  <c r="MS15" i="1"/>
  <c r="MN15" i="1"/>
  <c r="MI15" i="1"/>
  <c r="MD15" i="1"/>
  <c r="LY15" i="1"/>
  <c r="LT15" i="1"/>
  <c r="LO15" i="1"/>
  <c r="LJ15" i="1"/>
  <c r="LE15" i="1"/>
  <c r="KX15" i="1"/>
  <c r="KY15" i="1" s="1"/>
  <c r="KZ15" i="1" s="1"/>
  <c r="KU15" i="1"/>
  <c r="KP15" i="1"/>
  <c r="KI15" i="1"/>
  <c r="KJ15" i="1" s="1"/>
  <c r="KK15" i="1" s="1"/>
  <c r="KF15" i="1"/>
  <c r="JB15" i="1"/>
  <c r="IW15" i="1"/>
  <c r="IR15" i="1"/>
  <c r="IM15" i="1"/>
  <c r="IH15" i="1"/>
  <c r="IC15" i="1"/>
  <c r="HX15" i="1"/>
  <c r="HS15" i="1"/>
  <c r="HN15" i="1"/>
  <c r="HG15" i="1"/>
  <c r="HH15" i="1" s="1"/>
  <c r="HI15" i="1" s="1"/>
  <c r="HB15" i="1"/>
  <c r="HC15" i="1" s="1"/>
  <c r="HD15" i="1" s="1"/>
  <c r="GW15" i="1"/>
  <c r="GX15" i="1" s="1"/>
  <c r="GY15" i="1" s="1"/>
  <c r="GR15" i="1"/>
  <c r="GS15" i="1" s="1"/>
  <c r="GT15" i="1" s="1"/>
  <c r="GM15" i="1"/>
  <c r="GN15" i="1" s="1"/>
  <c r="GO15" i="1" s="1"/>
  <c r="GH15" i="1"/>
  <c r="GI15" i="1" s="1"/>
  <c r="GJ15" i="1" s="1"/>
  <c r="GC15" i="1"/>
  <c r="GD15" i="1" s="1"/>
  <c r="GE15" i="1" s="1"/>
  <c r="FX15" i="1"/>
  <c r="FY15" i="1" s="1"/>
  <c r="FZ15" i="1" s="1"/>
  <c r="FS15" i="1"/>
  <c r="FT15" i="1" s="1"/>
  <c r="FU15" i="1" s="1"/>
  <c r="FN15" i="1"/>
  <c r="FO15" i="1" s="1"/>
  <c r="FP15" i="1" s="1"/>
  <c r="FI15" i="1"/>
  <c r="FJ15" i="1" s="1"/>
  <c r="FK15" i="1" s="1"/>
  <c r="FD15" i="1"/>
  <c r="FE15" i="1" s="1"/>
  <c r="FF15" i="1" s="1"/>
  <c r="EY15" i="1"/>
  <c r="EZ15" i="1" s="1"/>
  <c r="FA15" i="1" s="1"/>
  <c r="ET15" i="1"/>
  <c r="EU15" i="1" s="1"/>
  <c r="EV15" i="1" s="1"/>
  <c r="EO15" i="1"/>
  <c r="EP15" i="1" s="1"/>
  <c r="EQ15" i="1" s="1"/>
  <c r="EJ15" i="1"/>
  <c r="EK15" i="1" s="1"/>
  <c r="EL15" i="1" s="1"/>
  <c r="EE15" i="1"/>
  <c r="EF15" i="1" s="1"/>
  <c r="EG15" i="1" s="1"/>
  <c r="DZ15" i="1"/>
  <c r="EA15" i="1" s="1"/>
  <c r="EB15" i="1" s="1"/>
  <c r="DU15" i="1"/>
  <c r="DV15" i="1" s="1"/>
  <c r="DW15" i="1" s="1"/>
  <c r="DP15" i="1"/>
  <c r="DQ15" i="1" s="1"/>
  <c r="DR15" i="1" s="1"/>
  <c r="DK15" i="1"/>
  <c r="DL15" i="1" s="1"/>
  <c r="DM15" i="1" s="1"/>
  <c r="DF15" i="1"/>
  <c r="DG15" i="1" s="1"/>
  <c r="DH15" i="1" s="1"/>
  <c r="DA15" i="1"/>
  <c r="DB15" i="1" s="1"/>
  <c r="DC15" i="1" s="1"/>
  <c r="CV15" i="1"/>
  <c r="CW15" i="1" s="1"/>
  <c r="CX15" i="1" s="1"/>
  <c r="CQ15" i="1"/>
  <c r="CR15" i="1" s="1"/>
  <c r="CS15" i="1" s="1"/>
  <c r="CL15" i="1"/>
  <c r="CM15" i="1" s="1"/>
  <c r="CN15" i="1" s="1"/>
  <c r="CG15" i="1"/>
  <c r="CH15" i="1" s="1"/>
  <c r="CI15" i="1" s="1"/>
  <c r="CB15" i="1"/>
  <c r="CC15" i="1" s="1"/>
  <c r="CD15" i="1" s="1"/>
  <c r="BW15" i="1"/>
  <c r="BX15" i="1" s="1"/>
  <c r="BY15" i="1" s="1"/>
  <c r="BR15" i="1"/>
  <c r="BS15" i="1" s="1"/>
  <c r="BT15" i="1" s="1"/>
  <c r="BM15" i="1"/>
  <c r="BN15" i="1" s="1"/>
  <c r="BO15" i="1" s="1"/>
  <c r="BH15" i="1"/>
  <c r="BI15" i="1" s="1"/>
  <c r="BJ15" i="1" s="1"/>
  <c r="BC15" i="1"/>
  <c r="BD15" i="1" s="1"/>
  <c r="BE15" i="1" s="1"/>
  <c r="AX15" i="1"/>
  <c r="AY15" i="1" s="1"/>
  <c r="AZ15" i="1" s="1"/>
  <c r="AS15" i="1"/>
  <c r="AT15" i="1" s="1"/>
  <c r="AU15" i="1" s="1"/>
  <c r="AN15" i="1"/>
  <c r="AO15" i="1" s="1"/>
  <c r="AP15" i="1" s="1"/>
  <c r="AI15" i="1"/>
  <c r="AJ15" i="1" s="1"/>
  <c r="AK15" i="1" s="1"/>
  <c r="AD15" i="1"/>
  <c r="AE15" i="1" s="1"/>
  <c r="AF15" i="1" s="1"/>
  <c r="X15" i="1"/>
  <c r="Y15" i="1" s="1"/>
  <c r="Z15" i="1" s="1"/>
  <c r="R15" i="1"/>
  <c r="S15" i="1" s="1"/>
  <c r="T15" i="1" s="1"/>
  <c r="O15" i="1"/>
  <c r="J15" i="1"/>
  <c r="PZ14" i="1"/>
  <c r="PU14" i="1"/>
  <c r="PN14" i="1"/>
  <c r="PO14" i="1" s="1"/>
  <c r="PP14" i="1" s="1"/>
  <c r="PK14" i="1"/>
  <c r="PF14" i="1"/>
  <c r="PA14" i="1"/>
  <c r="OV14" i="1"/>
  <c r="OQ14" i="1"/>
  <c r="OL14" i="1"/>
  <c r="OG14" i="1"/>
  <c r="OB14" i="1"/>
  <c r="NW14" i="1"/>
  <c r="NR14" i="1"/>
  <c r="NM14" i="1"/>
  <c r="NH14" i="1"/>
  <c r="NC14" i="1"/>
  <c r="MV14" i="1"/>
  <c r="MW14" i="1" s="1"/>
  <c r="MX14" i="1" s="1"/>
  <c r="MQ14" i="1"/>
  <c r="MR14" i="1" s="1"/>
  <c r="MS14" i="1" s="1"/>
  <c r="MN14" i="1"/>
  <c r="MG14" i="1"/>
  <c r="MH14" i="1" s="1"/>
  <c r="MI14" i="1" s="1"/>
  <c r="MB14" i="1"/>
  <c r="MC14" i="1" s="1"/>
  <c r="MD14" i="1" s="1"/>
  <c r="LW14" i="1"/>
  <c r="LX14" i="1" s="1"/>
  <c r="LY14" i="1" s="1"/>
  <c r="LR14" i="1"/>
  <c r="LS14" i="1" s="1"/>
  <c r="LT14" i="1" s="1"/>
  <c r="LO14" i="1"/>
  <c r="LJ14" i="1"/>
  <c r="LE14" i="1"/>
  <c r="KX14" i="1"/>
  <c r="KY14" i="1" s="1"/>
  <c r="KZ14" i="1" s="1"/>
  <c r="KS14" i="1"/>
  <c r="KT14" i="1" s="1"/>
  <c r="KU14" i="1" s="1"/>
  <c r="KN14" i="1"/>
  <c r="KO14" i="1" s="1"/>
  <c r="KP14" i="1" s="1"/>
  <c r="KK14" i="1"/>
  <c r="KF14" i="1"/>
  <c r="IZ14" i="1"/>
  <c r="JA14" i="1" s="1"/>
  <c r="JB14" i="1" s="1"/>
  <c r="IU14" i="1"/>
  <c r="IV14" i="1" s="1"/>
  <c r="IW14" i="1" s="1"/>
  <c r="IP14" i="1"/>
  <c r="IQ14" i="1" s="1"/>
  <c r="IR14" i="1" s="1"/>
  <c r="IK14" i="1"/>
  <c r="IL14" i="1" s="1"/>
  <c r="IM14" i="1" s="1"/>
  <c r="IF14" i="1"/>
  <c r="IG14" i="1" s="1"/>
  <c r="IH14" i="1" s="1"/>
  <c r="IA14" i="1"/>
  <c r="IB14" i="1" s="1"/>
  <c r="IC14" i="1" s="1"/>
  <c r="HV14" i="1"/>
  <c r="HW14" i="1" s="1"/>
  <c r="HX14" i="1" s="1"/>
  <c r="HS14" i="1"/>
  <c r="HN14" i="1"/>
  <c r="HI14" i="1"/>
  <c r="HB14" i="1"/>
  <c r="HC14" i="1" s="1"/>
  <c r="HD14" i="1" s="1"/>
  <c r="GW14" i="1"/>
  <c r="GX14" i="1" s="1"/>
  <c r="GY14" i="1" s="1"/>
  <c r="GT14" i="1"/>
  <c r="GM14" i="1"/>
  <c r="GN14" i="1" s="1"/>
  <c r="GO14" i="1" s="1"/>
  <c r="GH14" i="1"/>
  <c r="GI14" i="1" s="1"/>
  <c r="GJ14" i="1" s="1"/>
  <c r="GC14" i="1"/>
  <c r="GD14" i="1" s="1"/>
  <c r="GE14" i="1" s="1"/>
  <c r="FX14" i="1"/>
  <c r="FY14" i="1" s="1"/>
  <c r="FZ14" i="1" s="1"/>
  <c r="FS14" i="1"/>
  <c r="FT14" i="1" s="1"/>
  <c r="FU14" i="1" s="1"/>
  <c r="FN14" i="1"/>
  <c r="FO14" i="1" s="1"/>
  <c r="FP14" i="1" s="1"/>
  <c r="FI14" i="1"/>
  <c r="FJ14" i="1" s="1"/>
  <c r="FK14" i="1" s="1"/>
  <c r="FD14" i="1"/>
  <c r="FE14" i="1" s="1"/>
  <c r="FF14" i="1" s="1"/>
  <c r="EY14" i="1"/>
  <c r="EZ14" i="1" s="1"/>
  <c r="FA14" i="1" s="1"/>
  <c r="ET14" i="1"/>
  <c r="EU14" i="1" s="1"/>
  <c r="EV14" i="1" s="1"/>
  <c r="EO14" i="1"/>
  <c r="EP14" i="1" s="1"/>
  <c r="EQ14" i="1" s="1"/>
  <c r="EJ14" i="1"/>
  <c r="EK14" i="1" s="1"/>
  <c r="EL14" i="1" s="1"/>
  <c r="EE14" i="1"/>
  <c r="EF14" i="1" s="1"/>
  <c r="EG14" i="1" s="1"/>
  <c r="DZ14" i="1"/>
  <c r="EA14" i="1" s="1"/>
  <c r="EB14" i="1" s="1"/>
  <c r="DU14" i="1"/>
  <c r="DV14" i="1" s="1"/>
  <c r="DW14" i="1" s="1"/>
  <c r="DP14" i="1"/>
  <c r="DQ14" i="1" s="1"/>
  <c r="DR14" i="1" s="1"/>
  <c r="DK14" i="1"/>
  <c r="DL14" i="1" s="1"/>
  <c r="DM14" i="1" s="1"/>
  <c r="DF14" i="1"/>
  <c r="DG14" i="1" s="1"/>
  <c r="DH14" i="1" s="1"/>
  <c r="DA14" i="1"/>
  <c r="DB14" i="1" s="1"/>
  <c r="DC14" i="1" s="1"/>
  <c r="CV14" i="1"/>
  <c r="CW14" i="1" s="1"/>
  <c r="CX14" i="1" s="1"/>
  <c r="CQ14" i="1"/>
  <c r="CR14" i="1" s="1"/>
  <c r="CS14" i="1" s="1"/>
  <c r="CL14" i="1"/>
  <c r="CM14" i="1" s="1"/>
  <c r="CN14" i="1" s="1"/>
  <c r="CG14" i="1"/>
  <c r="CH14" i="1" s="1"/>
  <c r="CI14" i="1" s="1"/>
  <c r="CB14" i="1"/>
  <c r="CC14" i="1" s="1"/>
  <c r="CD14" i="1" s="1"/>
  <c r="BW14" i="1"/>
  <c r="BX14" i="1" s="1"/>
  <c r="BY14" i="1" s="1"/>
  <c r="BR14" i="1"/>
  <c r="BS14" i="1" s="1"/>
  <c r="BT14" i="1" s="1"/>
  <c r="BM14" i="1"/>
  <c r="BN14" i="1" s="1"/>
  <c r="BO14" i="1" s="1"/>
  <c r="BH14" i="1"/>
  <c r="BI14" i="1" s="1"/>
  <c r="BJ14" i="1" s="1"/>
  <c r="BC14" i="1"/>
  <c r="BD14" i="1" s="1"/>
  <c r="BE14" i="1" s="1"/>
  <c r="AX14" i="1"/>
  <c r="AY14" i="1" s="1"/>
  <c r="AZ14" i="1" s="1"/>
  <c r="AS14" i="1"/>
  <c r="AT14" i="1" s="1"/>
  <c r="AU14" i="1" s="1"/>
  <c r="AN14" i="1"/>
  <c r="AO14" i="1" s="1"/>
  <c r="AP14" i="1" s="1"/>
  <c r="AI14" i="1"/>
  <c r="AJ14" i="1" s="1"/>
  <c r="AK14" i="1" s="1"/>
  <c r="AD14" i="1"/>
  <c r="AE14" i="1" s="1"/>
  <c r="AF14" i="1" s="1"/>
  <c r="X14" i="1"/>
  <c r="Y14" i="1" s="1"/>
  <c r="Z14" i="1" s="1"/>
  <c r="R14" i="1"/>
  <c r="S14" i="1" s="1"/>
  <c r="T14" i="1" s="1"/>
  <c r="O14" i="1"/>
  <c r="J14" i="1"/>
  <c r="PZ13" i="1"/>
  <c r="PU13" i="1"/>
  <c r="PP13" i="1"/>
  <c r="PK13" i="1"/>
  <c r="PF13" i="1"/>
  <c r="PA13" i="1"/>
  <c r="OV13" i="1"/>
  <c r="OQ13" i="1"/>
  <c r="OL13" i="1"/>
  <c r="OG13" i="1"/>
  <c r="OB13" i="1"/>
  <c r="NW13" i="1"/>
  <c r="NR13" i="1"/>
  <c r="NM13" i="1"/>
  <c r="NH13" i="1"/>
  <c r="NC13" i="1"/>
  <c r="MX13" i="1"/>
  <c r="MS13" i="1"/>
  <c r="MN13" i="1"/>
  <c r="MI13" i="1"/>
  <c r="MD13" i="1"/>
  <c r="LY13" i="1"/>
  <c r="LT13" i="1"/>
  <c r="LO13" i="1"/>
  <c r="LJ13" i="1"/>
  <c r="LE13" i="1"/>
  <c r="KZ13" i="1"/>
  <c r="KU13" i="1"/>
  <c r="KP13" i="1"/>
  <c r="KK13" i="1"/>
  <c r="KF13" i="1"/>
  <c r="IZ13" i="1"/>
  <c r="JA13" i="1" s="1"/>
  <c r="JB13" i="1" s="1"/>
  <c r="IU13" i="1"/>
  <c r="IV13" i="1" s="1"/>
  <c r="IW13" i="1" s="1"/>
  <c r="IP13" i="1"/>
  <c r="IQ13" i="1" s="1"/>
  <c r="IR13" i="1" s="1"/>
  <c r="IK13" i="1"/>
  <c r="IL13" i="1" s="1"/>
  <c r="IM13" i="1" s="1"/>
  <c r="IF13" i="1"/>
  <c r="IG13" i="1" s="1"/>
  <c r="IH13" i="1" s="1"/>
  <c r="IA13" i="1"/>
  <c r="IB13" i="1" s="1"/>
  <c r="IC13" i="1" s="1"/>
  <c r="HV13" i="1"/>
  <c r="HW13" i="1" s="1"/>
  <c r="HX13" i="1" s="1"/>
  <c r="HS13" i="1"/>
  <c r="HN13" i="1"/>
  <c r="HG13" i="1"/>
  <c r="HH13" i="1" s="1"/>
  <c r="HI13" i="1" s="1"/>
  <c r="HB13" i="1"/>
  <c r="HC13" i="1" s="1"/>
  <c r="HD13" i="1" s="1"/>
  <c r="GW13" i="1"/>
  <c r="GX13" i="1" s="1"/>
  <c r="GY13" i="1" s="1"/>
  <c r="GR13" i="1"/>
  <c r="GS13" i="1" s="1"/>
  <c r="GT13" i="1" s="1"/>
  <c r="GM13" i="1"/>
  <c r="GN13" i="1" s="1"/>
  <c r="GO13" i="1" s="1"/>
  <c r="GH13" i="1"/>
  <c r="GI13" i="1" s="1"/>
  <c r="GJ13" i="1" s="1"/>
  <c r="GC13" i="1"/>
  <c r="GD13" i="1" s="1"/>
  <c r="GE13" i="1" s="1"/>
  <c r="FX13" i="1"/>
  <c r="FY13" i="1" s="1"/>
  <c r="FZ13" i="1" s="1"/>
  <c r="FS13" i="1"/>
  <c r="FT13" i="1" s="1"/>
  <c r="FU13" i="1" s="1"/>
  <c r="FN13" i="1"/>
  <c r="FO13" i="1" s="1"/>
  <c r="FP13" i="1" s="1"/>
  <c r="FI13" i="1"/>
  <c r="FJ13" i="1" s="1"/>
  <c r="FK13" i="1" s="1"/>
  <c r="FD13" i="1"/>
  <c r="FE13" i="1" s="1"/>
  <c r="FF13" i="1" s="1"/>
  <c r="EY13" i="1"/>
  <c r="EZ13" i="1" s="1"/>
  <c r="FA13" i="1" s="1"/>
  <c r="ET13" i="1"/>
  <c r="EU13" i="1" s="1"/>
  <c r="EV13" i="1" s="1"/>
  <c r="EO13" i="1"/>
  <c r="EP13" i="1" s="1"/>
  <c r="EQ13" i="1" s="1"/>
  <c r="EJ13" i="1"/>
  <c r="EK13" i="1" s="1"/>
  <c r="EL13" i="1" s="1"/>
  <c r="EE13" i="1"/>
  <c r="EF13" i="1" s="1"/>
  <c r="EG13" i="1" s="1"/>
  <c r="DZ13" i="1"/>
  <c r="EA13" i="1" s="1"/>
  <c r="EB13" i="1" s="1"/>
  <c r="DU13" i="1"/>
  <c r="DV13" i="1" s="1"/>
  <c r="DW13" i="1" s="1"/>
  <c r="DP13" i="1"/>
  <c r="DQ13" i="1" s="1"/>
  <c r="DR13" i="1" s="1"/>
  <c r="DK13" i="1"/>
  <c r="DL13" i="1" s="1"/>
  <c r="DM13" i="1" s="1"/>
  <c r="DF13" i="1"/>
  <c r="DG13" i="1" s="1"/>
  <c r="DH13" i="1" s="1"/>
  <c r="DA13" i="1"/>
  <c r="DB13" i="1" s="1"/>
  <c r="DC13" i="1" s="1"/>
  <c r="CV13" i="1"/>
  <c r="CW13" i="1" s="1"/>
  <c r="CX13" i="1" s="1"/>
  <c r="CQ13" i="1"/>
  <c r="CR13" i="1" s="1"/>
  <c r="CS13" i="1" s="1"/>
  <c r="CL13" i="1"/>
  <c r="CM13" i="1" s="1"/>
  <c r="CN13" i="1" s="1"/>
  <c r="CG13" i="1"/>
  <c r="CH13" i="1" s="1"/>
  <c r="CI13" i="1" s="1"/>
  <c r="CB13" i="1"/>
  <c r="CC13" i="1" s="1"/>
  <c r="CD13" i="1" s="1"/>
  <c r="BW13" i="1"/>
  <c r="BX13" i="1" s="1"/>
  <c r="BY13" i="1" s="1"/>
  <c r="BR13" i="1"/>
  <c r="BS13" i="1" s="1"/>
  <c r="BT13" i="1" s="1"/>
  <c r="BM13" i="1"/>
  <c r="BN13" i="1" s="1"/>
  <c r="BO13" i="1" s="1"/>
  <c r="BH13" i="1"/>
  <c r="BI13" i="1" s="1"/>
  <c r="BJ13" i="1" s="1"/>
  <c r="BC13" i="1"/>
  <c r="BD13" i="1" s="1"/>
  <c r="BE13" i="1" s="1"/>
  <c r="AX13" i="1"/>
  <c r="AY13" i="1" s="1"/>
  <c r="AZ13" i="1" s="1"/>
  <c r="AS13" i="1"/>
  <c r="AT13" i="1" s="1"/>
  <c r="AU13" i="1" s="1"/>
  <c r="AN13" i="1"/>
  <c r="AO13" i="1" s="1"/>
  <c r="AP13" i="1" s="1"/>
  <c r="AI13" i="1"/>
  <c r="AJ13" i="1" s="1"/>
  <c r="AK13" i="1" s="1"/>
  <c r="AD13" i="1"/>
  <c r="AE13" i="1" s="1"/>
  <c r="AF13" i="1" s="1"/>
  <c r="X13" i="1"/>
  <c r="Y13" i="1" s="1"/>
  <c r="Z13" i="1" s="1"/>
  <c r="T13" i="1"/>
  <c r="O13" i="1"/>
  <c r="J13" i="1"/>
  <c r="PZ12" i="1"/>
  <c r="PU12" i="1"/>
  <c r="PP12" i="1"/>
  <c r="PK12" i="1"/>
  <c r="PF12" i="1"/>
  <c r="PA12" i="1"/>
  <c r="OV12" i="1"/>
  <c r="OQ12" i="1"/>
  <c r="OL12" i="1"/>
  <c r="OG12" i="1"/>
  <c r="OB12" i="1"/>
  <c r="NW12" i="1"/>
  <c r="NR12" i="1"/>
  <c r="NM12" i="1"/>
  <c r="NH12" i="1"/>
  <c r="NC12" i="1"/>
  <c r="MX12" i="1"/>
  <c r="MS12" i="1"/>
  <c r="MN12" i="1"/>
  <c r="MI12" i="1"/>
  <c r="MD12" i="1"/>
  <c r="LY12" i="1"/>
  <c r="LT12" i="1"/>
  <c r="LO12" i="1"/>
  <c r="LJ12" i="1"/>
  <c r="LE12" i="1"/>
  <c r="KX12" i="1"/>
  <c r="KY12" i="1" s="1"/>
  <c r="KZ12" i="1" s="1"/>
  <c r="KU12" i="1"/>
  <c r="KP12" i="1"/>
  <c r="KK12" i="1"/>
  <c r="KF12" i="1"/>
  <c r="IZ12" i="1"/>
  <c r="JA12" i="1" s="1"/>
  <c r="JB12" i="1" s="1"/>
  <c r="IU12" i="1"/>
  <c r="IV12" i="1" s="1"/>
  <c r="IW12" i="1" s="1"/>
  <c r="IP12" i="1"/>
  <c r="IQ12" i="1" s="1"/>
  <c r="IR12" i="1" s="1"/>
  <c r="IK12" i="1"/>
  <c r="IL12" i="1" s="1"/>
  <c r="IM12" i="1" s="1"/>
  <c r="IF12" i="1"/>
  <c r="IG12" i="1" s="1"/>
  <c r="IH12" i="1" s="1"/>
  <c r="IA12" i="1"/>
  <c r="IB12" i="1" s="1"/>
  <c r="IC12" i="1" s="1"/>
  <c r="HV12" i="1"/>
  <c r="HW12" i="1" s="1"/>
  <c r="HX12" i="1" s="1"/>
  <c r="HQ12" i="1"/>
  <c r="HR12" i="1" s="1"/>
  <c r="HS12" i="1" s="1"/>
  <c r="HL12" i="1"/>
  <c r="HM12" i="1" s="1"/>
  <c r="HN12" i="1" s="1"/>
  <c r="HG12" i="1"/>
  <c r="HH12" i="1" s="1"/>
  <c r="HI12" i="1" s="1"/>
  <c r="HB12" i="1"/>
  <c r="HC12" i="1" s="1"/>
  <c r="HD12" i="1" s="1"/>
  <c r="GW12" i="1"/>
  <c r="GX12" i="1" s="1"/>
  <c r="GY12" i="1" s="1"/>
  <c r="GR12" i="1"/>
  <c r="GS12" i="1" s="1"/>
  <c r="GT12" i="1" s="1"/>
  <c r="GM12" i="1"/>
  <c r="GN12" i="1" s="1"/>
  <c r="GO12" i="1" s="1"/>
  <c r="GH12" i="1"/>
  <c r="GI12" i="1" s="1"/>
  <c r="GJ12" i="1" s="1"/>
  <c r="GC12" i="1"/>
  <c r="GD12" i="1" s="1"/>
  <c r="GE12" i="1" s="1"/>
  <c r="FX12" i="1"/>
  <c r="FY12" i="1" s="1"/>
  <c r="FZ12" i="1" s="1"/>
  <c r="FS12" i="1"/>
  <c r="FT12" i="1" s="1"/>
  <c r="FU12" i="1" s="1"/>
  <c r="FN12" i="1"/>
  <c r="FO12" i="1" s="1"/>
  <c r="FP12" i="1" s="1"/>
  <c r="FI12" i="1"/>
  <c r="FJ12" i="1" s="1"/>
  <c r="FK12" i="1" s="1"/>
  <c r="FD12" i="1"/>
  <c r="FE12" i="1" s="1"/>
  <c r="FF12" i="1" s="1"/>
  <c r="EY12" i="1"/>
  <c r="EZ12" i="1" s="1"/>
  <c r="FA12" i="1" s="1"/>
  <c r="ET12" i="1"/>
  <c r="EU12" i="1" s="1"/>
  <c r="EV12" i="1" s="1"/>
  <c r="EO12" i="1"/>
  <c r="EP12" i="1" s="1"/>
  <c r="EQ12" i="1" s="1"/>
  <c r="EJ12" i="1"/>
  <c r="EK12" i="1" s="1"/>
  <c r="EL12" i="1" s="1"/>
  <c r="EE12" i="1"/>
  <c r="EF12" i="1" s="1"/>
  <c r="EG12" i="1" s="1"/>
  <c r="DZ12" i="1"/>
  <c r="EA12" i="1" s="1"/>
  <c r="EB12" i="1" s="1"/>
  <c r="DU12" i="1"/>
  <c r="DV12" i="1" s="1"/>
  <c r="DW12" i="1" s="1"/>
  <c r="DP12" i="1"/>
  <c r="DQ12" i="1" s="1"/>
  <c r="DR12" i="1" s="1"/>
  <c r="DK12" i="1"/>
  <c r="DL12" i="1" s="1"/>
  <c r="DM12" i="1" s="1"/>
  <c r="DF12" i="1"/>
  <c r="DG12" i="1" s="1"/>
  <c r="DH12" i="1" s="1"/>
  <c r="DA12" i="1"/>
  <c r="DB12" i="1" s="1"/>
  <c r="DC12" i="1" s="1"/>
  <c r="CV12" i="1"/>
  <c r="CW12" i="1" s="1"/>
  <c r="CX12" i="1" s="1"/>
  <c r="CQ12" i="1"/>
  <c r="CR12" i="1" s="1"/>
  <c r="CS12" i="1" s="1"/>
  <c r="CL12" i="1"/>
  <c r="CM12" i="1" s="1"/>
  <c r="CN12" i="1" s="1"/>
  <c r="CG12" i="1"/>
  <c r="CH12" i="1" s="1"/>
  <c r="CI12" i="1" s="1"/>
  <c r="CB12" i="1"/>
  <c r="CC12" i="1" s="1"/>
  <c r="CD12" i="1" s="1"/>
  <c r="BW12" i="1"/>
  <c r="BX12" i="1" s="1"/>
  <c r="BY12" i="1" s="1"/>
  <c r="BR12" i="1"/>
  <c r="BS12" i="1" s="1"/>
  <c r="BT12" i="1" s="1"/>
  <c r="BM12" i="1"/>
  <c r="BN12" i="1" s="1"/>
  <c r="BO12" i="1" s="1"/>
  <c r="BH12" i="1"/>
  <c r="BI12" i="1" s="1"/>
  <c r="BJ12" i="1" s="1"/>
  <c r="BC12" i="1"/>
  <c r="BD12" i="1" s="1"/>
  <c r="BE12" i="1" s="1"/>
  <c r="AX12" i="1"/>
  <c r="AY12" i="1" s="1"/>
  <c r="AZ12" i="1" s="1"/>
  <c r="AS12" i="1"/>
  <c r="AT12" i="1" s="1"/>
  <c r="AU12" i="1" s="1"/>
  <c r="AN12" i="1"/>
  <c r="AO12" i="1" s="1"/>
  <c r="AP12" i="1" s="1"/>
  <c r="AI12" i="1"/>
  <c r="AJ12" i="1" s="1"/>
  <c r="AK12" i="1" s="1"/>
  <c r="AD12" i="1"/>
  <c r="AE12" i="1" s="1"/>
  <c r="AF12" i="1" s="1"/>
  <c r="X12" i="1"/>
  <c r="Y12" i="1" s="1"/>
  <c r="Z12" i="1" s="1"/>
  <c r="T12" i="1"/>
  <c r="O12" i="1"/>
  <c r="J12" i="1"/>
  <c r="PZ11" i="1"/>
  <c r="PU11" i="1"/>
  <c r="PP11" i="1"/>
  <c r="PK11" i="1"/>
  <c r="PF11" i="1"/>
  <c r="PA11" i="1"/>
  <c r="OV11" i="1"/>
  <c r="OQ11" i="1"/>
  <c r="OL11" i="1"/>
  <c r="OG11" i="1"/>
  <c r="OB11" i="1"/>
  <c r="NW11" i="1"/>
  <c r="NR11" i="1"/>
  <c r="NM11" i="1"/>
  <c r="NH11" i="1"/>
  <c r="NC11" i="1"/>
  <c r="MX11" i="1"/>
  <c r="MS11" i="1"/>
  <c r="MN11" i="1"/>
  <c r="MI11" i="1"/>
  <c r="MD11" i="1"/>
  <c r="LY11" i="1"/>
  <c r="LT11" i="1"/>
  <c r="LO11" i="1"/>
  <c r="LJ11" i="1"/>
  <c r="LE11" i="1"/>
  <c r="KZ11" i="1"/>
  <c r="KU11" i="1"/>
  <c r="KN11" i="1"/>
  <c r="KO11" i="1" s="1"/>
  <c r="KP11" i="1" s="1"/>
  <c r="KK11" i="1"/>
  <c r="KF11" i="1"/>
  <c r="JB11" i="1"/>
  <c r="IW11" i="1"/>
  <c r="IR11" i="1"/>
  <c r="IM11" i="1"/>
  <c r="IH11" i="1"/>
  <c r="IC11" i="1"/>
  <c r="HX11" i="1"/>
  <c r="HS11" i="1"/>
  <c r="HN11" i="1"/>
  <c r="HI11" i="1"/>
  <c r="HB11" i="1"/>
  <c r="HC11" i="1" s="1"/>
  <c r="HD11" i="1" s="1"/>
  <c r="GW11" i="1"/>
  <c r="GX11" i="1" s="1"/>
  <c r="GY11" i="1" s="1"/>
  <c r="GR11" i="1"/>
  <c r="GS11" i="1" s="1"/>
  <c r="GT11" i="1" s="1"/>
  <c r="GM11" i="1"/>
  <c r="GN11" i="1" s="1"/>
  <c r="GO11" i="1" s="1"/>
  <c r="GH11" i="1"/>
  <c r="GI11" i="1" s="1"/>
  <c r="GJ11" i="1" s="1"/>
  <c r="GC11" i="1"/>
  <c r="GD11" i="1" s="1"/>
  <c r="GE11" i="1" s="1"/>
  <c r="FX11" i="1"/>
  <c r="FY11" i="1" s="1"/>
  <c r="FZ11" i="1" s="1"/>
  <c r="FS11" i="1"/>
  <c r="FT11" i="1" s="1"/>
  <c r="FU11" i="1" s="1"/>
  <c r="FN11" i="1"/>
  <c r="FO11" i="1" s="1"/>
  <c r="FP11" i="1" s="1"/>
  <c r="FI11" i="1"/>
  <c r="FJ11" i="1" s="1"/>
  <c r="FK11" i="1" s="1"/>
  <c r="FD11" i="1"/>
  <c r="FE11" i="1" s="1"/>
  <c r="FF11" i="1" s="1"/>
  <c r="EY11" i="1"/>
  <c r="EZ11" i="1" s="1"/>
  <c r="FA11" i="1" s="1"/>
  <c r="ET11" i="1"/>
  <c r="EU11" i="1" s="1"/>
  <c r="EV11" i="1" s="1"/>
  <c r="EO11" i="1"/>
  <c r="EP11" i="1" s="1"/>
  <c r="EQ11" i="1" s="1"/>
  <c r="EJ11" i="1"/>
  <c r="EK11" i="1" s="1"/>
  <c r="EL11" i="1" s="1"/>
  <c r="EE11" i="1"/>
  <c r="EF11" i="1" s="1"/>
  <c r="EG11" i="1" s="1"/>
  <c r="DZ11" i="1"/>
  <c r="EA11" i="1" s="1"/>
  <c r="EB11" i="1" s="1"/>
  <c r="DU11" i="1"/>
  <c r="DV11" i="1" s="1"/>
  <c r="DW11" i="1" s="1"/>
  <c r="DP11" i="1"/>
  <c r="DQ11" i="1" s="1"/>
  <c r="DR11" i="1" s="1"/>
  <c r="DK11" i="1"/>
  <c r="DL11" i="1" s="1"/>
  <c r="DM11" i="1" s="1"/>
  <c r="DF11" i="1"/>
  <c r="DG11" i="1" s="1"/>
  <c r="DH11" i="1" s="1"/>
  <c r="DA11" i="1"/>
  <c r="DB11" i="1" s="1"/>
  <c r="DC11" i="1" s="1"/>
  <c r="CV11" i="1"/>
  <c r="CW11" i="1" s="1"/>
  <c r="CX11" i="1" s="1"/>
  <c r="CQ11" i="1"/>
  <c r="CR11" i="1" s="1"/>
  <c r="CS11" i="1" s="1"/>
  <c r="CL11" i="1"/>
  <c r="CM11" i="1" s="1"/>
  <c r="CN11" i="1" s="1"/>
  <c r="CG11" i="1"/>
  <c r="CH11" i="1" s="1"/>
  <c r="CI11" i="1" s="1"/>
  <c r="CB11" i="1"/>
  <c r="CC11" i="1" s="1"/>
  <c r="CD11" i="1" s="1"/>
  <c r="BW11" i="1"/>
  <c r="BX11" i="1" s="1"/>
  <c r="BY11" i="1" s="1"/>
  <c r="BR11" i="1"/>
  <c r="BS11" i="1" s="1"/>
  <c r="BT11" i="1" s="1"/>
  <c r="BM11" i="1"/>
  <c r="BN11" i="1" s="1"/>
  <c r="BO11" i="1" s="1"/>
  <c r="BH11" i="1"/>
  <c r="BI11" i="1" s="1"/>
  <c r="BJ11" i="1" s="1"/>
  <c r="BC11" i="1"/>
  <c r="BD11" i="1" s="1"/>
  <c r="BE11" i="1" s="1"/>
  <c r="AX11" i="1"/>
  <c r="AY11" i="1" s="1"/>
  <c r="AZ11" i="1" s="1"/>
  <c r="AS11" i="1"/>
  <c r="AT11" i="1" s="1"/>
  <c r="AU11" i="1" s="1"/>
  <c r="AN11" i="1"/>
  <c r="AO11" i="1" s="1"/>
  <c r="AP11" i="1" s="1"/>
  <c r="AI11" i="1"/>
  <c r="AJ11" i="1" s="1"/>
  <c r="AK11" i="1" s="1"/>
  <c r="AD11" i="1"/>
  <c r="AE11" i="1" s="1"/>
  <c r="AF11" i="1" s="1"/>
  <c r="X11" i="1"/>
  <c r="Y11" i="1" s="1"/>
  <c r="Z11" i="1" s="1"/>
  <c r="R11" i="1"/>
  <c r="S11" i="1" s="1"/>
  <c r="T11" i="1" s="1"/>
  <c r="O11" i="1"/>
  <c r="J11" i="1"/>
  <c r="PZ10" i="1"/>
  <c r="PU10" i="1"/>
  <c r="PP10" i="1"/>
  <c r="PK10" i="1"/>
  <c r="PF10" i="1"/>
  <c r="PA10" i="1"/>
  <c r="OV10" i="1"/>
  <c r="OQ10" i="1"/>
  <c r="OL10" i="1"/>
  <c r="OG10" i="1"/>
  <c r="OB10" i="1"/>
  <c r="NW10" i="1"/>
  <c r="NR10" i="1"/>
  <c r="NM10" i="1"/>
  <c r="NH10" i="1"/>
  <c r="NC10" i="1"/>
  <c r="MX10" i="1"/>
  <c r="MS10" i="1"/>
  <c r="MN10" i="1"/>
  <c r="MI10" i="1"/>
  <c r="MD10" i="1"/>
  <c r="LY10" i="1"/>
  <c r="LT10" i="1"/>
  <c r="LO10" i="1"/>
  <c r="LJ10" i="1"/>
  <c r="LE10" i="1"/>
  <c r="KZ10" i="1"/>
  <c r="KU10" i="1"/>
  <c r="KP10" i="1"/>
  <c r="KK10" i="1"/>
  <c r="KF10" i="1"/>
  <c r="IZ10" i="1"/>
  <c r="JA10" i="1" s="1"/>
  <c r="JB10" i="1" s="1"/>
  <c r="IU10" i="1"/>
  <c r="IV10" i="1" s="1"/>
  <c r="IW10" i="1" s="1"/>
  <c r="IP10" i="1"/>
  <c r="IQ10" i="1" s="1"/>
  <c r="IR10" i="1" s="1"/>
  <c r="IM10" i="1"/>
  <c r="IH10" i="1"/>
  <c r="IA10" i="1"/>
  <c r="IB10" i="1" s="1"/>
  <c r="IC10" i="1" s="1"/>
  <c r="HX10" i="1"/>
  <c r="HS10" i="1"/>
  <c r="HN10" i="1"/>
  <c r="HG10" i="1"/>
  <c r="HH10" i="1" s="1"/>
  <c r="HI10" i="1" s="1"/>
  <c r="HB10" i="1"/>
  <c r="HC10" i="1" s="1"/>
  <c r="HD10" i="1" s="1"/>
  <c r="GW10" i="1"/>
  <c r="GX10" i="1" s="1"/>
  <c r="GY10" i="1" s="1"/>
  <c r="GR10" i="1"/>
  <c r="GS10" i="1" s="1"/>
  <c r="GT10" i="1" s="1"/>
  <c r="GM10" i="1"/>
  <c r="GN10" i="1" s="1"/>
  <c r="GO10" i="1" s="1"/>
  <c r="GH10" i="1"/>
  <c r="GI10" i="1" s="1"/>
  <c r="GJ10" i="1" s="1"/>
  <c r="GC10" i="1"/>
  <c r="GD10" i="1" s="1"/>
  <c r="GE10" i="1" s="1"/>
  <c r="FX10" i="1"/>
  <c r="FY10" i="1" s="1"/>
  <c r="FZ10" i="1" s="1"/>
  <c r="FS10" i="1"/>
  <c r="FT10" i="1" s="1"/>
  <c r="FU10" i="1" s="1"/>
  <c r="FN10" i="1"/>
  <c r="FO10" i="1" s="1"/>
  <c r="FP10" i="1" s="1"/>
  <c r="FI10" i="1"/>
  <c r="FJ10" i="1" s="1"/>
  <c r="FK10" i="1" s="1"/>
  <c r="FD10" i="1"/>
  <c r="FE10" i="1" s="1"/>
  <c r="FF10" i="1" s="1"/>
  <c r="EY10" i="1"/>
  <c r="EZ10" i="1" s="1"/>
  <c r="FA10" i="1" s="1"/>
  <c r="ET10" i="1"/>
  <c r="EU10" i="1" s="1"/>
  <c r="EV10" i="1" s="1"/>
  <c r="EO10" i="1"/>
  <c r="EP10" i="1" s="1"/>
  <c r="EQ10" i="1" s="1"/>
  <c r="EJ10" i="1"/>
  <c r="EK10" i="1" s="1"/>
  <c r="EL10" i="1" s="1"/>
  <c r="EE10" i="1"/>
  <c r="EF10" i="1" s="1"/>
  <c r="EG10" i="1" s="1"/>
  <c r="DZ10" i="1"/>
  <c r="EA10" i="1" s="1"/>
  <c r="EB10" i="1" s="1"/>
  <c r="DU10" i="1"/>
  <c r="DV10" i="1" s="1"/>
  <c r="DW10" i="1" s="1"/>
  <c r="DP10" i="1"/>
  <c r="DQ10" i="1" s="1"/>
  <c r="DR10" i="1" s="1"/>
  <c r="DK10" i="1"/>
  <c r="DL10" i="1" s="1"/>
  <c r="DM10" i="1" s="1"/>
  <c r="DF10" i="1"/>
  <c r="DG10" i="1" s="1"/>
  <c r="DH10" i="1" s="1"/>
  <c r="DA10" i="1"/>
  <c r="DB10" i="1" s="1"/>
  <c r="DC10" i="1" s="1"/>
  <c r="CV10" i="1"/>
  <c r="CW10" i="1" s="1"/>
  <c r="CX10" i="1" s="1"/>
  <c r="CQ10" i="1"/>
  <c r="CR10" i="1" s="1"/>
  <c r="CS10" i="1" s="1"/>
  <c r="CL10" i="1"/>
  <c r="CM10" i="1" s="1"/>
  <c r="CN10" i="1" s="1"/>
  <c r="CG10" i="1"/>
  <c r="CH10" i="1" s="1"/>
  <c r="CI10" i="1" s="1"/>
  <c r="CB10" i="1"/>
  <c r="CC10" i="1" s="1"/>
  <c r="CD10" i="1" s="1"/>
  <c r="BW10" i="1"/>
  <c r="BX10" i="1" s="1"/>
  <c r="BY10" i="1" s="1"/>
  <c r="BR10" i="1"/>
  <c r="BS10" i="1" s="1"/>
  <c r="BT10" i="1" s="1"/>
  <c r="BM10" i="1"/>
  <c r="BN10" i="1" s="1"/>
  <c r="BO10" i="1" s="1"/>
  <c r="BH10" i="1"/>
  <c r="BI10" i="1" s="1"/>
  <c r="BJ10" i="1" s="1"/>
  <c r="BC10" i="1"/>
  <c r="BD10" i="1" s="1"/>
  <c r="BE10" i="1" s="1"/>
  <c r="AX10" i="1"/>
  <c r="AY10" i="1" s="1"/>
  <c r="AZ10" i="1" s="1"/>
  <c r="AS10" i="1"/>
  <c r="AT10" i="1" s="1"/>
  <c r="AU10" i="1" s="1"/>
  <c r="AN10" i="1"/>
  <c r="AO10" i="1" s="1"/>
  <c r="AP10" i="1" s="1"/>
  <c r="AI10" i="1"/>
  <c r="AJ10" i="1" s="1"/>
  <c r="AK10" i="1" s="1"/>
  <c r="AD10" i="1"/>
  <c r="AE10" i="1" s="1"/>
  <c r="AF10" i="1" s="1"/>
  <c r="X10" i="1"/>
  <c r="Y10" i="1" s="1"/>
  <c r="Z10" i="1" s="1"/>
  <c r="T10" i="1"/>
  <c r="O10" i="1"/>
  <c r="J10" i="1"/>
  <c r="PZ9" i="1"/>
  <c r="PU9" i="1"/>
  <c r="PP9" i="1"/>
  <c r="PK9" i="1"/>
  <c r="PF9" i="1"/>
  <c r="PA9" i="1"/>
  <c r="OV9" i="1"/>
  <c r="OQ9" i="1"/>
  <c r="OL9" i="1"/>
  <c r="OG9" i="1"/>
  <c r="OB9" i="1"/>
  <c r="NW9" i="1"/>
  <c r="NR9" i="1"/>
  <c r="NM9" i="1"/>
  <c r="NH9" i="1"/>
  <c r="NC9" i="1"/>
  <c r="MX9" i="1"/>
  <c r="MS9" i="1"/>
  <c r="MN9" i="1"/>
  <c r="MI9" i="1"/>
  <c r="MD9" i="1"/>
  <c r="LY9" i="1"/>
  <c r="LT9" i="1"/>
  <c r="LO9" i="1"/>
  <c r="LJ9" i="1"/>
  <c r="LE9" i="1"/>
  <c r="KZ9" i="1"/>
  <c r="KU9" i="1"/>
  <c r="KP9" i="1"/>
  <c r="KK9" i="1"/>
  <c r="KF9" i="1"/>
  <c r="JB9" i="1"/>
  <c r="IW9" i="1"/>
  <c r="IR9" i="1"/>
  <c r="IM9" i="1"/>
  <c r="IH9" i="1"/>
  <c r="IC9" i="1"/>
  <c r="HX9" i="1"/>
  <c r="HS9" i="1"/>
  <c r="HN9" i="1"/>
  <c r="HG9" i="1"/>
  <c r="HH9" i="1" s="1"/>
  <c r="HI9" i="1" s="1"/>
  <c r="HB9" i="1"/>
  <c r="HC9" i="1" s="1"/>
  <c r="HD9" i="1" s="1"/>
  <c r="GW9" i="1"/>
  <c r="GX9" i="1" s="1"/>
  <c r="GY9" i="1" s="1"/>
  <c r="GR9" i="1"/>
  <c r="GS9" i="1" s="1"/>
  <c r="GT9" i="1" s="1"/>
  <c r="GM9" i="1"/>
  <c r="GN9" i="1" s="1"/>
  <c r="GO9" i="1" s="1"/>
  <c r="GH9" i="1"/>
  <c r="GI9" i="1" s="1"/>
  <c r="GJ9" i="1" s="1"/>
  <c r="GC9" i="1"/>
  <c r="GD9" i="1" s="1"/>
  <c r="GE9" i="1" s="1"/>
  <c r="FX9" i="1"/>
  <c r="FY9" i="1" s="1"/>
  <c r="FZ9" i="1" s="1"/>
  <c r="FS9" i="1"/>
  <c r="FT9" i="1" s="1"/>
  <c r="FU9" i="1" s="1"/>
  <c r="FN9" i="1"/>
  <c r="FO9" i="1" s="1"/>
  <c r="FP9" i="1" s="1"/>
  <c r="FI9" i="1"/>
  <c r="FJ9" i="1" s="1"/>
  <c r="FK9" i="1" s="1"/>
  <c r="FD9" i="1"/>
  <c r="FE9" i="1" s="1"/>
  <c r="FF9" i="1" s="1"/>
  <c r="EY9" i="1"/>
  <c r="EZ9" i="1" s="1"/>
  <c r="FA9" i="1" s="1"/>
  <c r="ET9" i="1"/>
  <c r="EU9" i="1" s="1"/>
  <c r="EV9" i="1" s="1"/>
  <c r="EO9" i="1"/>
  <c r="EP9" i="1" s="1"/>
  <c r="EQ9" i="1" s="1"/>
  <c r="EJ9" i="1"/>
  <c r="EK9" i="1" s="1"/>
  <c r="EL9" i="1" s="1"/>
  <c r="EE9" i="1"/>
  <c r="EF9" i="1" s="1"/>
  <c r="EG9" i="1" s="1"/>
  <c r="DZ9" i="1"/>
  <c r="EA9" i="1" s="1"/>
  <c r="EB9" i="1" s="1"/>
  <c r="DU9" i="1"/>
  <c r="DV9" i="1" s="1"/>
  <c r="DW9" i="1" s="1"/>
  <c r="DP9" i="1"/>
  <c r="DQ9" i="1" s="1"/>
  <c r="DR9" i="1" s="1"/>
  <c r="DK9" i="1"/>
  <c r="DL9" i="1" s="1"/>
  <c r="DM9" i="1" s="1"/>
  <c r="DF9" i="1"/>
  <c r="DG9" i="1" s="1"/>
  <c r="DH9" i="1" s="1"/>
  <c r="DA9" i="1"/>
  <c r="DB9" i="1" s="1"/>
  <c r="DC9" i="1" s="1"/>
  <c r="CV9" i="1"/>
  <c r="CW9" i="1" s="1"/>
  <c r="CX9" i="1" s="1"/>
  <c r="CQ9" i="1"/>
  <c r="CR9" i="1" s="1"/>
  <c r="CS9" i="1" s="1"/>
  <c r="CL9" i="1"/>
  <c r="CM9" i="1" s="1"/>
  <c r="CN9" i="1" s="1"/>
  <c r="CG9" i="1"/>
  <c r="CH9" i="1" s="1"/>
  <c r="CI9" i="1" s="1"/>
  <c r="CB9" i="1"/>
  <c r="CC9" i="1" s="1"/>
  <c r="CD9" i="1" s="1"/>
  <c r="BW9" i="1"/>
  <c r="BX9" i="1" s="1"/>
  <c r="BY9" i="1" s="1"/>
  <c r="BR9" i="1"/>
  <c r="BS9" i="1" s="1"/>
  <c r="BT9" i="1" s="1"/>
  <c r="BM9" i="1"/>
  <c r="BN9" i="1" s="1"/>
  <c r="BO9" i="1" s="1"/>
  <c r="BH9" i="1"/>
  <c r="BI9" i="1" s="1"/>
  <c r="BJ9" i="1" s="1"/>
  <c r="BC9" i="1"/>
  <c r="BD9" i="1" s="1"/>
  <c r="BE9" i="1" s="1"/>
  <c r="AX9" i="1"/>
  <c r="AY9" i="1" s="1"/>
  <c r="AZ9" i="1" s="1"/>
  <c r="AS9" i="1"/>
  <c r="AT9" i="1" s="1"/>
  <c r="AU9" i="1" s="1"/>
  <c r="AN9" i="1"/>
  <c r="AO9" i="1" s="1"/>
  <c r="AP9" i="1" s="1"/>
  <c r="AI9" i="1"/>
  <c r="AJ9" i="1" s="1"/>
  <c r="AK9" i="1" s="1"/>
  <c r="AD9" i="1"/>
  <c r="AE9" i="1" s="1"/>
  <c r="AF9" i="1" s="1"/>
  <c r="X9" i="1"/>
  <c r="Y9" i="1" s="1"/>
  <c r="Z9" i="1" s="1"/>
  <c r="R9" i="1"/>
  <c r="S9" i="1" s="1"/>
  <c r="T9" i="1" s="1"/>
  <c r="O9" i="1"/>
  <c r="J9" i="1"/>
  <c r="PX8" i="1"/>
  <c r="PY8" i="1" s="1"/>
  <c r="PZ8" i="1" s="1"/>
  <c r="PU8" i="1"/>
  <c r="PP8" i="1"/>
  <c r="PK8" i="1"/>
  <c r="PF8" i="1"/>
  <c r="PA8" i="1"/>
  <c r="OV8" i="1"/>
  <c r="OQ8" i="1"/>
  <c r="OL8" i="1"/>
  <c r="OG8" i="1"/>
  <c r="OB8" i="1"/>
  <c r="NW8" i="1"/>
  <c r="NR8" i="1"/>
  <c r="NM8" i="1"/>
  <c r="NH8" i="1"/>
  <c r="NC8" i="1"/>
  <c r="MX8" i="1"/>
  <c r="MS8" i="1"/>
  <c r="MN8" i="1"/>
  <c r="MG8" i="1"/>
  <c r="MH8" i="1" s="1"/>
  <c r="MI8" i="1" s="1"/>
  <c r="MD8" i="1"/>
  <c r="LY8" i="1"/>
  <c r="LT8" i="1"/>
  <c r="LO8" i="1"/>
  <c r="LJ8" i="1"/>
  <c r="LC8" i="1"/>
  <c r="LD8" i="1" s="1"/>
  <c r="LE8" i="1" s="1"/>
  <c r="KX8" i="1"/>
  <c r="KY8" i="1" s="1"/>
  <c r="KZ8" i="1" s="1"/>
  <c r="KS8" i="1"/>
  <c r="KT8" i="1" s="1"/>
  <c r="KU8" i="1" s="1"/>
  <c r="KP8" i="1"/>
  <c r="KK8" i="1"/>
  <c r="KF8" i="1"/>
  <c r="IZ8" i="1"/>
  <c r="JA8" i="1" s="1"/>
  <c r="JB8" i="1" s="1"/>
  <c r="IU8" i="1"/>
  <c r="IV8" i="1" s="1"/>
  <c r="IW8" i="1" s="1"/>
  <c r="IP8" i="1"/>
  <c r="IQ8" i="1" s="1"/>
  <c r="IR8" i="1" s="1"/>
  <c r="IK8" i="1"/>
  <c r="IL8" i="1" s="1"/>
  <c r="IM8" i="1" s="1"/>
  <c r="IF8" i="1"/>
  <c r="IG8" i="1" s="1"/>
  <c r="IH8" i="1" s="1"/>
  <c r="IA8" i="1"/>
  <c r="IB8" i="1" s="1"/>
  <c r="IC8" i="1" s="1"/>
  <c r="HV8" i="1"/>
  <c r="HW8" i="1" s="1"/>
  <c r="HX8" i="1" s="1"/>
  <c r="HS8" i="1"/>
  <c r="HN8" i="1"/>
  <c r="HG8" i="1"/>
  <c r="HH8" i="1" s="1"/>
  <c r="HI8" i="1" s="1"/>
  <c r="HB8" i="1"/>
  <c r="HC8" i="1" s="1"/>
  <c r="HD8" i="1" s="1"/>
  <c r="GW8" i="1"/>
  <c r="GX8" i="1" s="1"/>
  <c r="GY8" i="1" s="1"/>
  <c r="GR8" i="1"/>
  <c r="GS8" i="1" s="1"/>
  <c r="GT8" i="1" s="1"/>
  <c r="GM8" i="1"/>
  <c r="GN8" i="1" s="1"/>
  <c r="GO8" i="1" s="1"/>
  <c r="GH8" i="1"/>
  <c r="GI8" i="1" s="1"/>
  <c r="GJ8" i="1" s="1"/>
  <c r="GC8" i="1"/>
  <c r="GD8" i="1" s="1"/>
  <c r="GE8" i="1" s="1"/>
  <c r="FX8" i="1"/>
  <c r="FY8" i="1" s="1"/>
  <c r="FZ8" i="1" s="1"/>
  <c r="FS8" i="1"/>
  <c r="FT8" i="1" s="1"/>
  <c r="FU8" i="1" s="1"/>
  <c r="FN8" i="1"/>
  <c r="FO8" i="1" s="1"/>
  <c r="FP8" i="1" s="1"/>
  <c r="FI8" i="1"/>
  <c r="FJ8" i="1" s="1"/>
  <c r="FK8" i="1" s="1"/>
  <c r="FD8" i="1"/>
  <c r="FE8" i="1" s="1"/>
  <c r="FF8" i="1" s="1"/>
  <c r="EY8" i="1"/>
  <c r="EZ8" i="1" s="1"/>
  <c r="FA8" i="1" s="1"/>
  <c r="ET8" i="1"/>
  <c r="EU8" i="1" s="1"/>
  <c r="EV8" i="1" s="1"/>
  <c r="EO8" i="1"/>
  <c r="EP8" i="1" s="1"/>
  <c r="EQ8" i="1" s="1"/>
  <c r="EJ8" i="1"/>
  <c r="EK8" i="1" s="1"/>
  <c r="EL8" i="1" s="1"/>
  <c r="EE8" i="1"/>
  <c r="EF8" i="1" s="1"/>
  <c r="EG8" i="1" s="1"/>
  <c r="DZ8" i="1"/>
  <c r="EA8" i="1" s="1"/>
  <c r="EB8" i="1" s="1"/>
  <c r="DU8" i="1"/>
  <c r="DV8" i="1" s="1"/>
  <c r="DW8" i="1" s="1"/>
  <c r="DP8" i="1"/>
  <c r="DQ8" i="1" s="1"/>
  <c r="DR8" i="1" s="1"/>
  <c r="DK8" i="1"/>
  <c r="DL8" i="1" s="1"/>
  <c r="DM8" i="1" s="1"/>
  <c r="DF8" i="1"/>
  <c r="DG8" i="1" s="1"/>
  <c r="DH8" i="1" s="1"/>
  <c r="DA8" i="1"/>
  <c r="DB8" i="1" s="1"/>
  <c r="DC8" i="1" s="1"/>
  <c r="CV8" i="1"/>
  <c r="CW8" i="1" s="1"/>
  <c r="CX8" i="1" s="1"/>
  <c r="CQ8" i="1"/>
  <c r="CR8" i="1" s="1"/>
  <c r="CS8" i="1" s="1"/>
  <c r="CL8" i="1"/>
  <c r="CM8" i="1" s="1"/>
  <c r="CN8" i="1" s="1"/>
  <c r="CG8" i="1"/>
  <c r="CH8" i="1" s="1"/>
  <c r="CI8" i="1" s="1"/>
  <c r="CB8" i="1"/>
  <c r="CC8" i="1" s="1"/>
  <c r="CD8" i="1" s="1"/>
  <c r="BW8" i="1"/>
  <c r="BX8" i="1" s="1"/>
  <c r="BY8" i="1" s="1"/>
  <c r="BR8" i="1"/>
  <c r="BS8" i="1" s="1"/>
  <c r="BT8" i="1" s="1"/>
  <c r="BM8" i="1"/>
  <c r="BN8" i="1" s="1"/>
  <c r="BO8" i="1" s="1"/>
  <c r="BH8" i="1"/>
  <c r="BI8" i="1" s="1"/>
  <c r="BJ8" i="1" s="1"/>
  <c r="BC8" i="1"/>
  <c r="BD8" i="1" s="1"/>
  <c r="BE8" i="1" s="1"/>
  <c r="AX8" i="1"/>
  <c r="AY8" i="1" s="1"/>
  <c r="AZ8" i="1" s="1"/>
  <c r="AS8" i="1"/>
  <c r="AT8" i="1" s="1"/>
  <c r="AU8" i="1" s="1"/>
  <c r="AN8" i="1"/>
  <c r="AO8" i="1" s="1"/>
  <c r="AP8" i="1" s="1"/>
  <c r="AI8" i="1"/>
  <c r="AJ8" i="1" s="1"/>
  <c r="AK8" i="1" s="1"/>
  <c r="AD8" i="1"/>
  <c r="AE8" i="1" s="1"/>
  <c r="AF8" i="1" s="1"/>
  <c r="X8" i="1"/>
  <c r="Y8" i="1" s="1"/>
  <c r="Z8" i="1" s="1"/>
  <c r="R8" i="1"/>
  <c r="S8" i="1" s="1"/>
  <c r="T8" i="1" s="1"/>
  <c r="O8" i="1"/>
  <c r="J8" i="1"/>
  <c r="PZ7" i="1"/>
  <c r="PU7" i="1"/>
  <c r="PP7" i="1"/>
  <c r="PK7" i="1"/>
  <c r="PF7" i="1"/>
  <c r="PA7" i="1"/>
  <c r="OV7" i="1"/>
  <c r="OQ7" i="1"/>
  <c r="OL7" i="1"/>
  <c r="OG7" i="1"/>
  <c r="OB7" i="1"/>
  <c r="NW7" i="1"/>
  <c r="NR7" i="1"/>
  <c r="NM7" i="1"/>
  <c r="NH7" i="1"/>
  <c r="NC7" i="1"/>
  <c r="MX7" i="1"/>
  <c r="MS7" i="1"/>
  <c r="MN7" i="1"/>
  <c r="MI7" i="1"/>
  <c r="MD7" i="1"/>
  <c r="LY7" i="1"/>
  <c r="LR7" i="1"/>
  <c r="LS7" i="1" s="1"/>
  <c r="LT7" i="1" s="1"/>
  <c r="LO7" i="1"/>
  <c r="LJ7" i="1"/>
  <c r="LC7" i="1"/>
  <c r="LD7" i="1" s="1"/>
  <c r="LE7" i="1" s="1"/>
  <c r="KZ7" i="1"/>
  <c r="KU7" i="1"/>
  <c r="KN7" i="1"/>
  <c r="KO7" i="1" s="1"/>
  <c r="KP7" i="1" s="1"/>
  <c r="KK7" i="1"/>
  <c r="KF7" i="1"/>
  <c r="IZ7" i="1"/>
  <c r="JA7" i="1" s="1"/>
  <c r="JB7" i="1" s="1"/>
  <c r="IU7" i="1"/>
  <c r="IV7" i="1" s="1"/>
  <c r="IW7" i="1" s="1"/>
  <c r="IP7" i="1"/>
  <c r="IQ7" i="1" s="1"/>
  <c r="IR7" i="1" s="1"/>
  <c r="IK7" i="1"/>
  <c r="IL7" i="1" s="1"/>
  <c r="IM7" i="1" s="1"/>
  <c r="IF7" i="1"/>
  <c r="IG7" i="1" s="1"/>
  <c r="IH7" i="1" s="1"/>
  <c r="IA7" i="1"/>
  <c r="IB7" i="1" s="1"/>
  <c r="IC7" i="1" s="1"/>
  <c r="HV7" i="1"/>
  <c r="HW7" i="1" s="1"/>
  <c r="HX7" i="1" s="1"/>
  <c r="HS7" i="1"/>
  <c r="HL7" i="1"/>
  <c r="HM7" i="1" s="1"/>
  <c r="HN7" i="1" s="1"/>
  <c r="HG7" i="1"/>
  <c r="HH7" i="1" s="1"/>
  <c r="HI7" i="1" s="1"/>
  <c r="HB7" i="1"/>
  <c r="HC7" i="1" s="1"/>
  <c r="HD7" i="1" s="1"/>
  <c r="GW7" i="1"/>
  <c r="GX7" i="1" s="1"/>
  <c r="GY7" i="1" s="1"/>
  <c r="GR7" i="1"/>
  <c r="GS7" i="1" s="1"/>
  <c r="GT7" i="1" s="1"/>
  <c r="GM7" i="1"/>
  <c r="GN7" i="1" s="1"/>
  <c r="GO7" i="1" s="1"/>
  <c r="GH7" i="1"/>
  <c r="GI7" i="1" s="1"/>
  <c r="GJ7" i="1" s="1"/>
  <c r="GC7" i="1"/>
  <c r="GD7" i="1" s="1"/>
  <c r="GE7" i="1" s="1"/>
  <c r="FX7" i="1"/>
  <c r="FY7" i="1" s="1"/>
  <c r="FZ7" i="1" s="1"/>
  <c r="FS7" i="1"/>
  <c r="FT7" i="1" s="1"/>
  <c r="FU7" i="1" s="1"/>
  <c r="FN7" i="1"/>
  <c r="FO7" i="1" s="1"/>
  <c r="FP7" i="1" s="1"/>
  <c r="FI7" i="1"/>
  <c r="FJ7" i="1" s="1"/>
  <c r="FK7" i="1" s="1"/>
  <c r="FD7" i="1"/>
  <c r="FE7" i="1" s="1"/>
  <c r="FF7" i="1" s="1"/>
  <c r="EY7" i="1"/>
  <c r="EZ7" i="1" s="1"/>
  <c r="FA7" i="1" s="1"/>
  <c r="ET7" i="1"/>
  <c r="EU7" i="1" s="1"/>
  <c r="EV7" i="1" s="1"/>
  <c r="EO7" i="1"/>
  <c r="EP7" i="1" s="1"/>
  <c r="EQ7" i="1" s="1"/>
  <c r="EJ7" i="1"/>
  <c r="EK7" i="1" s="1"/>
  <c r="EL7" i="1" s="1"/>
  <c r="EE7" i="1"/>
  <c r="EF7" i="1" s="1"/>
  <c r="EG7" i="1" s="1"/>
  <c r="DZ7" i="1"/>
  <c r="EA7" i="1" s="1"/>
  <c r="EB7" i="1" s="1"/>
  <c r="DU7" i="1"/>
  <c r="DV7" i="1" s="1"/>
  <c r="DW7" i="1" s="1"/>
  <c r="DP7" i="1"/>
  <c r="DQ7" i="1" s="1"/>
  <c r="DR7" i="1" s="1"/>
  <c r="DK7" i="1"/>
  <c r="DL7" i="1" s="1"/>
  <c r="DM7" i="1" s="1"/>
  <c r="DF7" i="1"/>
  <c r="DG7" i="1" s="1"/>
  <c r="DH7" i="1" s="1"/>
  <c r="DA7" i="1"/>
  <c r="DB7" i="1" s="1"/>
  <c r="DC7" i="1" s="1"/>
  <c r="CV7" i="1"/>
  <c r="CW7" i="1" s="1"/>
  <c r="CX7" i="1" s="1"/>
  <c r="CQ7" i="1"/>
  <c r="CR7" i="1" s="1"/>
  <c r="CS7" i="1" s="1"/>
  <c r="CL7" i="1"/>
  <c r="CM7" i="1" s="1"/>
  <c r="CN7" i="1" s="1"/>
  <c r="CG7" i="1"/>
  <c r="CH7" i="1" s="1"/>
  <c r="CI7" i="1" s="1"/>
  <c r="CB7" i="1"/>
  <c r="CC7" i="1" s="1"/>
  <c r="CD7" i="1" s="1"/>
  <c r="BW7" i="1"/>
  <c r="BX7" i="1" s="1"/>
  <c r="BY7" i="1" s="1"/>
  <c r="BR7" i="1"/>
  <c r="BS7" i="1" s="1"/>
  <c r="BT7" i="1" s="1"/>
  <c r="BM7" i="1"/>
  <c r="BN7" i="1" s="1"/>
  <c r="BO7" i="1" s="1"/>
  <c r="BH7" i="1"/>
  <c r="BI7" i="1" s="1"/>
  <c r="BJ7" i="1" s="1"/>
  <c r="BC7" i="1"/>
  <c r="BD7" i="1" s="1"/>
  <c r="BE7" i="1" s="1"/>
  <c r="AX7" i="1"/>
  <c r="AY7" i="1" s="1"/>
  <c r="AZ7" i="1" s="1"/>
  <c r="AS7" i="1"/>
  <c r="AT7" i="1" s="1"/>
  <c r="AU7" i="1" s="1"/>
  <c r="AN7" i="1"/>
  <c r="AO7" i="1" s="1"/>
  <c r="AP7" i="1" s="1"/>
  <c r="AI7" i="1"/>
  <c r="AJ7" i="1" s="1"/>
  <c r="AK7" i="1" s="1"/>
  <c r="AD7" i="1"/>
  <c r="AE7" i="1" s="1"/>
  <c r="AF7" i="1" s="1"/>
  <c r="X7" i="1"/>
  <c r="Y7" i="1" s="1"/>
  <c r="Z7" i="1" s="1"/>
  <c r="R7" i="1"/>
  <c r="S7" i="1" s="1"/>
  <c r="T7" i="1" s="1"/>
  <c r="O7" i="1"/>
  <c r="J7" i="1"/>
  <c r="PZ6" i="1"/>
  <c r="PU6" i="1"/>
  <c r="PP6" i="1"/>
  <c r="PK6" i="1"/>
  <c r="PF6" i="1"/>
  <c r="PA6" i="1"/>
  <c r="OV6" i="1"/>
  <c r="OQ6" i="1"/>
  <c r="OL6" i="1"/>
  <c r="OG6" i="1"/>
  <c r="OB6" i="1"/>
  <c r="NW6" i="1"/>
  <c r="NR6" i="1"/>
  <c r="NM6" i="1"/>
  <c r="NH6" i="1"/>
  <c r="NC6" i="1"/>
  <c r="MX6" i="1"/>
  <c r="MS6" i="1"/>
  <c r="MN6" i="1"/>
  <c r="MI6" i="1"/>
  <c r="MD6" i="1"/>
  <c r="LY6" i="1"/>
  <c r="LT6" i="1"/>
  <c r="LO6" i="1"/>
  <c r="LJ6" i="1"/>
  <c r="LC6" i="1"/>
  <c r="LD6" i="1" s="1"/>
  <c r="LE6" i="1" s="1"/>
  <c r="KZ6" i="1"/>
  <c r="KU6" i="1"/>
  <c r="KP6" i="1"/>
  <c r="KK6" i="1"/>
  <c r="KF6" i="1"/>
  <c r="IZ6" i="1"/>
  <c r="JA6" i="1" s="1"/>
  <c r="JB6" i="1" s="1"/>
  <c r="IU6" i="1"/>
  <c r="IV6" i="1" s="1"/>
  <c r="IW6" i="1" s="1"/>
  <c r="IP6" i="1"/>
  <c r="IQ6" i="1" s="1"/>
  <c r="IR6" i="1" s="1"/>
  <c r="IK6" i="1"/>
  <c r="IL6" i="1" s="1"/>
  <c r="IM6" i="1" s="1"/>
  <c r="IF6" i="1"/>
  <c r="IG6" i="1" s="1"/>
  <c r="IH6" i="1" s="1"/>
  <c r="IA6" i="1"/>
  <c r="IB6" i="1" s="1"/>
  <c r="IC6" i="1" s="1"/>
  <c r="HV6" i="1"/>
  <c r="HW6" i="1" s="1"/>
  <c r="HX6" i="1" s="1"/>
  <c r="HS6" i="1"/>
  <c r="HL6" i="1"/>
  <c r="HM6" i="1" s="1"/>
  <c r="HN6" i="1" s="1"/>
  <c r="HG6" i="1"/>
  <c r="HH6" i="1" s="1"/>
  <c r="HI6" i="1" s="1"/>
  <c r="HB6" i="1"/>
  <c r="HC6" i="1" s="1"/>
  <c r="HD6" i="1" s="1"/>
  <c r="GW6" i="1"/>
  <c r="GX6" i="1" s="1"/>
  <c r="GY6" i="1" s="1"/>
  <c r="GR6" i="1"/>
  <c r="GS6" i="1" s="1"/>
  <c r="GT6" i="1" s="1"/>
  <c r="GM6" i="1"/>
  <c r="GN6" i="1" s="1"/>
  <c r="GO6" i="1" s="1"/>
  <c r="GH6" i="1"/>
  <c r="GI6" i="1" s="1"/>
  <c r="GJ6" i="1" s="1"/>
  <c r="GC6" i="1"/>
  <c r="GD6" i="1" s="1"/>
  <c r="GE6" i="1" s="1"/>
  <c r="FX6" i="1"/>
  <c r="FY6" i="1" s="1"/>
  <c r="FZ6" i="1" s="1"/>
  <c r="FS6" i="1"/>
  <c r="FT6" i="1" s="1"/>
  <c r="FU6" i="1" s="1"/>
  <c r="FN6" i="1"/>
  <c r="FO6" i="1" s="1"/>
  <c r="FP6" i="1" s="1"/>
  <c r="FI6" i="1"/>
  <c r="FJ6" i="1" s="1"/>
  <c r="FK6" i="1" s="1"/>
  <c r="FD6" i="1"/>
  <c r="FE6" i="1" s="1"/>
  <c r="FF6" i="1" s="1"/>
  <c r="EY6" i="1"/>
  <c r="EZ6" i="1" s="1"/>
  <c r="FA6" i="1" s="1"/>
  <c r="ET6" i="1"/>
  <c r="EU6" i="1" s="1"/>
  <c r="EV6" i="1" s="1"/>
  <c r="EO6" i="1"/>
  <c r="EP6" i="1" s="1"/>
  <c r="EQ6" i="1" s="1"/>
  <c r="EJ6" i="1"/>
  <c r="EK6" i="1" s="1"/>
  <c r="EL6" i="1" s="1"/>
  <c r="EE6" i="1"/>
  <c r="EF6" i="1" s="1"/>
  <c r="EG6" i="1" s="1"/>
  <c r="DZ6" i="1"/>
  <c r="EA6" i="1" s="1"/>
  <c r="EB6" i="1" s="1"/>
  <c r="DU6" i="1"/>
  <c r="DV6" i="1" s="1"/>
  <c r="DW6" i="1" s="1"/>
  <c r="DP6" i="1"/>
  <c r="DQ6" i="1" s="1"/>
  <c r="DR6" i="1" s="1"/>
  <c r="DK6" i="1"/>
  <c r="DL6" i="1" s="1"/>
  <c r="DM6" i="1" s="1"/>
  <c r="DF6" i="1"/>
  <c r="DG6" i="1" s="1"/>
  <c r="DH6" i="1" s="1"/>
  <c r="DA6" i="1"/>
  <c r="DB6" i="1" s="1"/>
  <c r="DC6" i="1" s="1"/>
  <c r="CV6" i="1"/>
  <c r="CW6" i="1" s="1"/>
  <c r="CX6" i="1" s="1"/>
  <c r="CQ6" i="1"/>
  <c r="CR6" i="1" s="1"/>
  <c r="CS6" i="1" s="1"/>
  <c r="CL6" i="1"/>
  <c r="CM6" i="1" s="1"/>
  <c r="CN6" i="1" s="1"/>
  <c r="CG6" i="1"/>
  <c r="CH6" i="1" s="1"/>
  <c r="CI6" i="1" s="1"/>
  <c r="CB6" i="1"/>
  <c r="CC6" i="1" s="1"/>
  <c r="CD6" i="1" s="1"/>
  <c r="BW6" i="1"/>
  <c r="BX6" i="1" s="1"/>
  <c r="BY6" i="1" s="1"/>
  <c r="BR6" i="1"/>
  <c r="BS6" i="1" s="1"/>
  <c r="BT6" i="1" s="1"/>
  <c r="BM6" i="1"/>
  <c r="BN6" i="1" s="1"/>
  <c r="BO6" i="1" s="1"/>
  <c r="BH6" i="1"/>
  <c r="BI6" i="1" s="1"/>
  <c r="BJ6" i="1" s="1"/>
  <c r="BC6" i="1"/>
  <c r="BD6" i="1" s="1"/>
  <c r="BE6" i="1" s="1"/>
  <c r="AX6" i="1"/>
  <c r="AY6" i="1" s="1"/>
  <c r="AZ6" i="1" s="1"/>
  <c r="AS6" i="1"/>
  <c r="AT6" i="1" s="1"/>
  <c r="AU6" i="1" s="1"/>
  <c r="AN6" i="1"/>
  <c r="AO6" i="1" s="1"/>
  <c r="AP6" i="1" s="1"/>
  <c r="AI6" i="1"/>
  <c r="AJ6" i="1" s="1"/>
  <c r="AK6" i="1" s="1"/>
  <c r="AD6" i="1"/>
  <c r="AE6" i="1" s="1"/>
  <c r="AF6" i="1" s="1"/>
  <c r="X6" i="1"/>
  <c r="Y6" i="1" s="1"/>
  <c r="Z6" i="1" s="1"/>
  <c r="T6" i="1"/>
  <c r="O6" i="1"/>
  <c r="J6" i="1"/>
  <c r="PZ5" i="1"/>
  <c r="PU5" i="1"/>
  <c r="PP5" i="1"/>
  <c r="PK5" i="1"/>
  <c r="PF5" i="1"/>
  <c r="PA5" i="1"/>
  <c r="OV5" i="1"/>
  <c r="OQ5" i="1"/>
  <c r="OL5" i="1"/>
  <c r="OG5" i="1"/>
  <c r="OB5" i="1"/>
  <c r="NW5" i="1"/>
  <c r="NR5" i="1"/>
  <c r="NM5" i="1"/>
  <c r="NH5" i="1"/>
  <c r="NC5" i="1"/>
  <c r="MX5" i="1"/>
  <c r="MS5" i="1"/>
  <c r="MN5" i="1"/>
  <c r="MG5" i="1"/>
  <c r="MH5" i="1" s="1"/>
  <c r="MI5" i="1" s="1"/>
  <c r="MD5" i="1"/>
  <c r="LY5" i="1"/>
  <c r="LT5" i="1"/>
  <c r="LO5" i="1"/>
  <c r="LJ5" i="1"/>
  <c r="LE5" i="1"/>
  <c r="KX5" i="1"/>
  <c r="KY5" i="1" s="1"/>
  <c r="KZ5" i="1" s="1"/>
  <c r="KU5" i="1"/>
  <c r="KN5" i="1"/>
  <c r="KO5" i="1" s="1"/>
  <c r="KP5" i="1" s="1"/>
  <c r="KK5" i="1"/>
  <c r="KF5" i="1"/>
  <c r="IZ5" i="1"/>
  <c r="JA5" i="1" s="1"/>
  <c r="JB5" i="1" s="1"/>
  <c r="IU5" i="1"/>
  <c r="IV5" i="1" s="1"/>
  <c r="IW5" i="1" s="1"/>
  <c r="IP5" i="1"/>
  <c r="IQ5" i="1" s="1"/>
  <c r="IR5" i="1" s="1"/>
  <c r="IK5" i="1"/>
  <c r="IL5" i="1" s="1"/>
  <c r="IM5" i="1" s="1"/>
  <c r="IF5" i="1"/>
  <c r="IG5" i="1" s="1"/>
  <c r="IH5" i="1" s="1"/>
  <c r="IA5" i="1"/>
  <c r="IB5" i="1" s="1"/>
  <c r="IC5" i="1" s="1"/>
  <c r="HV5" i="1"/>
  <c r="HW5" i="1" s="1"/>
  <c r="HX5" i="1" s="1"/>
  <c r="HS5" i="1"/>
  <c r="HL5" i="1"/>
  <c r="HM5" i="1" s="1"/>
  <c r="HN5" i="1" s="1"/>
  <c r="HG5" i="1"/>
  <c r="HH5" i="1" s="1"/>
  <c r="HI5" i="1" s="1"/>
  <c r="HB5" i="1"/>
  <c r="HC5" i="1" s="1"/>
  <c r="HD5" i="1" s="1"/>
  <c r="GW5" i="1"/>
  <c r="GX5" i="1" s="1"/>
  <c r="GY5" i="1" s="1"/>
  <c r="GR5" i="1"/>
  <c r="GS5" i="1" s="1"/>
  <c r="GT5" i="1" s="1"/>
  <c r="GM5" i="1"/>
  <c r="GN5" i="1" s="1"/>
  <c r="GO5" i="1" s="1"/>
  <c r="GH5" i="1"/>
  <c r="GI5" i="1" s="1"/>
  <c r="GJ5" i="1" s="1"/>
  <c r="GC5" i="1"/>
  <c r="GD5" i="1" s="1"/>
  <c r="GE5" i="1" s="1"/>
  <c r="FX5" i="1"/>
  <c r="FY5" i="1" s="1"/>
  <c r="FZ5" i="1" s="1"/>
  <c r="FS5" i="1"/>
  <c r="FT5" i="1" s="1"/>
  <c r="FU5" i="1" s="1"/>
  <c r="FN5" i="1"/>
  <c r="FO5" i="1" s="1"/>
  <c r="FP5" i="1" s="1"/>
  <c r="FI5" i="1"/>
  <c r="FJ5" i="1" s="1"/>
  <c r="FK5" i="1" s="1"/>
  <c r="FD5" i="1"/>
  <c r="FE5" i="1" s="1"/>
  <c r="FF5" i="1" s="1"/>
  <c r="EY5" i="1"/>
  <c r="EZ5" i="1" s="1"/>
  <c r="FA5" i="1" s="1"/>
  <c r="ET5" i="1"/>
  <c r="EU5" i="1" s="1"/>
  <c r="EV5" i="1" s="1"/>
  <c r="EO5" i="1"/>
  <c r="EP5" i="1" s="1"/>
  <c r="EQ5" i="1" s="1"/>
  <c r="EJ5" i="1"/>
  <c r="EK5" i="1" s="1"/>
  <c r="EL5" i="1" s="1"/>
  <c r="EE5" i="1"/>
  <c r="EF5" i="1" s="1"/>
  <c r="EG5" i="1" s="1"/>
  <c r="DZ5" i="1"/>
  <c r="EA5" i="1" s="1"/>
  <c r="EB5" i="1" s="1"/>
  <c r="DU5" i="1"/>
  <c r="DV5" i="1" s="1"/>
  <c r="DW5" i="1" s="1"/>
  <c r="DP5" i="1"/>
  <c r="DQ5" i="1" s="1"/>
  <c r="DR5" i="1" s="1"/>
  <c r="DK5" i="1"/>
  <c r="DL5" i="1" s="1"/>
  <c r="DM5" i="1" s="1"/>
  <c r="DF5" i="1"/>
  <c r="DG5" i="1" s="1"/>
  <c r="DH5" i="1" s="1"/>
  <c r="DA5" i="1"/>
  <c r="DB5" i="1" s="1"/>
  <c r="DC5" i="1" s="1"/>
  <c r="CV5" i="1"/>
  <c r="CW5" i="1" s="1"/>
  <c r="CX5" i="1" s="1"/>
  <c r="CQ5" i="1"/>
  <c r="CR5" i="1" s="1"/>
  <c r="CS5" i="1" s="1"/>
  <c r="CL5" i="1"/>
  <c r="CM5" i="1" s="1"/>
  <c r="CN5" i="1" s="1"/>
  <c r="CG5" i="1"/>
  <c r="CH5" i="1" s="1"/>
  <c r="CI5" i="1" s="1"/>
  <c r="CB5" i="1"/>
  <c r="CC5" i="1" s="1"/>
  <c r="CD5" i="1" s="1"/>
  <c r="BW5" i="1"/>
  <c r="BX5" i="1" s="1"/>
  <c r="BY5" i="1" s="1"/>
  <c r="BR5" i="1"/>
  <c r="BS5" i="1" s="1"/>
  <c r="BT5" i="1" s="1"/>
  <c r="BM5" i="1"/>
  <c r="BN5" i="1" s="1"/>
  <c r="BO5" i="1" s="1"/>
  <c r="BH5" i="1"/>
  <c r="BI5" i="1" s="1"/>
  <c r="BJ5" i="1" s="1"/>
  <c r="BC5" i="1"/>
  <c r="BD5" i="1" s="1"/>
  <c r="BE5" i="1" s="1"/>
  <c r="AX5" i="1"/>
  <c r="AY5" i="1" s="1"/>
  <c r="AZ5" i="1" s="1"/>
  <c r="AS5" i="1"/>
  <c r="AT5" i="1" s="1"/>
  <c r="AU5" i="1" s="1"/>
  <c r="AN5" i="1"/>
  <c r="AO5" i="1" s="1"/>
  <c r="AP5" i="1" s="1"/>
  <c r="AI5" i="1"/>
  <c r="AJ5" i="1" s="1"/>
  <c r="AK5" i="1" s="1"/>
  <c r="AD5" i="1"/>
  <c r="AE5" i="1" s="1"/>
  <c r="AF5" i="1" s="1"/>
  <c r="X5" i="1"/>
  <c r="Y5" i="1" s="1"/>
  <c r="Z5" i="1" s="1"/>
  <c r="T5" i="1"/>
  <c r="O5" i="1"/>
  <c r="J5" i="1"/>
  <c r="PZ4" i="1"/>
  <c r="PU4" i="1"/>
  <c r="PP4" i="1"/>
  <c r="PK4" i="1"/>
  <c r="PF4" i="1"/>
  <c r="PA4" i="1"/>
  <c r="OV4" i="1"/>
  <c r="OQ4" i="1"/>
  <c r="OL4" i="1"/>
  <c r="OG4" i="1"/>
  <c r="OB4" i="1"/>
  <c r="NW4" i="1"/>
  <c r="NR4" i="1"/>
  <c r="NM4" i="1"/>
  <c r="NH4" i="1"/>
  <c r="NC4" i="1"/>
  <c r="MX4" i="1"/>
  <c r="MS4" i="1"/>
  <c r="MN4" i="1"/>
  <c r="MI4" i="1"/>
  <c r="MB4" i="1"/>
  <c r="MC4" i="1" s="1"/>
  <c r="MD4" i="1" s="1"/>
  <c r="LW4" i="1"/>
  <c r="LX4" i="1" s="1"/>
  <c r="LY4" i="1" s="1"/>
  <c r="LR4" i="1"/>
  <c r="LS4" i="1" s="1"/>
  <c r="LT4" i="1" s="1"/>
  <c r="LO4" i="1"/>
  <c r="LJ4" i="1"/>
  <c r="LC4" i="1"/>
  <c r="LD4" i="1" s="1"/>
  <c r="LE4" i="1" s="1"/>
  <c r="KX4" i="1"/>
  <c r="KY4" i="1" s="1"/>
  <c r="KZ4" i="1" s="1"/>
  <c r="KS4" i="1"/>
  <c r="KT4" i="1" s="1"/>
  <c r="KU4" i="1" s="1"/>
  <c r="KP4" i="1"/>
  <c r="KI4" i="1"/>
  <c r="KJ4" i="1" s="1"/>
  <c r="KK4" i="1" s="1"/>
  <c r="JB4" i="1"/>
  <c r="IW4" i="1"/>
  <c r="IR4" i="1"/>
  <c r="IM4" i="1"/>
  <c r="IH4" i="1"/>
  <c r="IC4" i="1"/>
  <c r="HX4" i="1"/>
  <c r="HS4" i="1"/>
  <c r="HN4" i="1"/>
  <c r="HG4" i="1"/>
  <c r="HH4" i="1" s="1"/>
  <c r="HI4" i="1" s="1"/>
  <c r="HB4" i="1"/>
  <c r="HC4" i="1" s="1"/>
  <c r="HD4" i="1" s="1"/>
  <c r="GW4" i="1"/>
  <c r="GX4" i="1" s="1"/>
  <c r="GY4" i="1" s="1"/>
  <c r="GR4" i="1"/>
  <c r="GS4" i="1" s="1"/>
  <c r="GT4" i="1" s="1"/>
  <c r="GM4" i="1"/>
  <c r="GN4" i="1" s="1"/>
  <c r="GO4" i="1" s="1"/>
  <c r="GH4" i="1"/>
  <c r="GI4" i="1" s="1"/>
  <c r="GJ4" i="1" s="1"/>
  <c r="GC4" i="1"/>
  <c r="GD4" i="1" s="1"/>
  <c r="GE4" i="1" s="1"/>
  <c r="FX4" i="1"/>
  <c r="FY4" i="1" s="1"/>
  <c r="FZ4" i="1" s="1"/>
  <c r="FS4" i="1"/>
  <c r="FT4" i="1" s="1"/>
  <c r="FU4" i="1" s="1"/>
  <c r="FN4" i="1"/>
  <c r="FO4" i="1" s="1"/>
  <c r="FP4" i="1" s="1"/>
  <c r="FI4" i="1"/>
  <c r="FJ4" i="1" s="1"/>
  <c r="FK4" i="1" s="1"/>
  <c r="FD4" i="1"/>
  <c r="FE4" i="1" s="1"/>
  <c r="FF4" i="1" s="1"/>
  <c r="EY4" i="1"/>
  <c r="EZ4" i="1" s="1"/>
  <c r="FA4" i="1" s="1"/>
  <c r="ET4" i="1"/>
  <c r="EU4" i="1" s="1"/>
  <c r="EV4" i="1" s="1"/>
  <c r="EO4" i="1"/>
  <c r="EP4" i="1" s="1"/>
  <c r="EQ4" i="1" s="1"/>
  <c r="EJ4" i="1"/>
  <c r="EK4" i="1" s="1"/>
  <c r="EL4" i="1" s="1"/>
  <c r="EE4" i="1"/>
  <c r="EF4" i="1" s="1"/>
  <c r="EG4" i="1" s="1"/>
  <c r="DZ4" i="1"/>
  <c r="EA4" i="1" s="1"/>
  <c r="EB4" i="1" s="1"/>
  <c r="DU4" i="1"/>
  <c r="DV4" i="1" s="1"/>
  <c r="DW4" i="1" s="1"/>
  <c r="DP4" i="1"/>
  <c r="DQ4" i="1" s="1"/>
  <c r="DR4" i="1" s="1"/>
  <c r="DK4" i="1"/>
  <c r="DL4" i="1" s="1"/>
  <c r="DM4" i="1" s="1"/>
  <c r="DF4" i="1"/>
  <c r="DG4" i="1" s="1"/>
  <c r="DH4" i="1" s="1"/>
  <c r="DA4" i="1"/>
  <c r="DB4" i="1" s="1"/>
  <c r="DC4" i="1" s="1"/>
  <c r="CV4" i="1"/>
  <c r="CW4" i="1" s="1"/>
  <c r="CX4" i="1" s="1"/>
  <c r="CQ4" i="1"/>
  <c r="CR4" i="1" s="1"/>
  <c r="CS4" i="1" s="1"/>
  <c r="CL4" i="1"/>
  <c r="CM4" i="1" s="1"/>
  <c r="CN4" i="1" s="1"/>
  <c r="CG4" i="1"/>
  <c r="CH4" i="1" s="1"/>
  <c r="CI4" i="1" s="1"/>
  <c r="CB4" i="1"/>
  <c r="CC4" i="1" s="1"/>
  <c r="CD4" i="1" s="1"/>
  <c r="BW4" i="1"/>
  <c r="BX4" i="1" s="1"/>
  <c r="BY4" i="1" s="1"/>
  <c r="BR4" i="1"/>
  <c r="BS4" i="1" s="1"/>
  <c r="BT4" i="1" s="1"/>
  <c r="BM4" i="1"/>
  <c r="BN4" i="1" s="1"/>
  <c r="BO4" i="1" s="1"/>
  <c r="BH4" i="1"/>
  <c r="BI4" i="1" s="1"/>
  <c r="BJ4" i="1" s="1"/>
  <c r="BC4" i="1"/>
  <c r="BD4" i="1" s="1"/>
  <c r="BE4" i="1" s="1"/>
  <c r="AX4" i="1"/>
  <c r="AY4" i="1" s="1"/>
  <c r="AZ4" i="1" s="1"/>
  <c r="AS4" i="1"/>
  <c r="AT4" i="1" s="1"/>
  <c r="AU4" i="1" s="1"/>
  <c r="AN4" i="1"/>
  <c r="AO4" i="1" s="1"/>
  <c r="AP4" i="1" s="1"/>
  <c r="AI4" i="1"/>
  <c r="AJ4" i="1" s="1"/>
  <c r="AK4" i="1" s="1"/>
  <c r="AD4" i="1"/>
  <c r="AE4" i="1" s="1"/>
  <c r="AF4" i="1" s="1"/>
  <c r="X4" i="1"/>
  <c r="Y4" i="1" s="1"/>
  <c r="Z4" i="1" s="1"/>
  <c r="R4" i="1"/>
  <c r="S4" i="1" s="1"/>
  <c r="T4" i="1" s="1"/>
  <c r="O4" i="1"/>
  <c r="J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Sánchez</author>
    <author>Candelaria Yesenia Balcazar Hernandez</author>
  </authors>
  <commentList>
    <comment ref="AQ4" authorId="0" shapeId="0" xr:uid="{0235ACAB-F6EA-408E-A36E-6FB6F4059A44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4" authorId="0" shapeId="0" xr:uid="{DB2E36AF-5B4E-49A5-AE8D-E91290E5E41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4" authorId="0" shapeId="0" xr:uid="{4EEF2316-05D8-42AF-812E-4FB0280C79C5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4" authorId="0" shapeId="0" xr:uid="{EB6FFACA-D91F-46ED-8895-A9866B78171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O4" authorId="0" shapeId="0" xr:uid="{2B580AA5-389B-444F-A1F5-E963A83C3CF1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4" authorId="0" shapeId="0" xr:uid="{5E5E778D-5E8E-4D20-AECB-0BB7CBB37F37}">
      <text>
        <r>
          <rPr>
            <b/>
            <sz val="9"/>
            <color indexed="81"/>
            <rFont val="Tahoma"/>
            <family val="2"/>
          </rPr>
          <t>04/08/2022</t>
        </r>
      </text>
    </comment>
    <comment ref="EW4" authorId="0" shapeId="0" xr:uid="{BF75C865-086E-4965-BF24-0667669691D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G4" authorId="0" shapeId="0" xr:uid="{AFE4E2C9-075F-42E0-AC7E-82FA2AF747CD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L5" authorId="0" shapeId="0" xr:uid="{759BEFB5-2691-44EC-8F56-027396EBC92C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5" authorId="0" shapeId="0" xr:uid="{BE4B3CA3-E2A5-491E-85D0-915A697AEE1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K5" authorId="0" shapeId="0" xr:uid="{308E41D9-CBAE-48D6-BE2B-1DB180661160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GK5" authorId="0" shapeId="0" xr:uid="{2CB763A9-56E5-448D-8026-2A821C43670F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AL6" authorId="0" shapeId="0" xr:uid="{DFEC8D16-3A9E-4ACC-A4E5-E0EF221006D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6" authorId="0" shapeId="0" xr:uid="{28A150CB-7B12-4147-922D-9C9B2EEB31F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6" authorId="0" shapeId="0" xr:uid="{25ED5B69-5874-4684-A993-24EA7B77D57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CJ6" authorId="0" shapeId="0" xr:uid="{BE37F26E-B741-4CA1-A59B-D7858F3C0C32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CY6" authorId="1" shapeId="0" xr:uid="{9223C1BD-D7B3-4275-9EB6-9FA1680648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I6" authorId="0" shapeId="0" xr:uid="{018B30B7-6FF1-43B0-85CC-749781D8844A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X6" authorId="0" shapeId="0" xr:uid="{FFD23F63-BC23-4A8F-9D13-8699BED542D5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M6" authorId="0" shapeId="0" xr:uid="{AA076BF7-15A6-4755-A9AF-33D214B9F16A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W6" authorId="0" shapeId="0" xr:uid="{D49D01FE-69AA-44E2-AAE5-958D647C8D7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6" authorId="0" shapeId="0" xr:uid="{EA98F638-E16A-4952-BB50-93DA9E6B1D77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6" authorId="0" shapeId="0" xr:uid="{972A2B5B-0F10-4B5B-BC43-537AA9629CE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Q6" authorId="1" shapeId="0" xr:uid="{322C4C05-4FCA-40D1-91F6-8FCD95DBCA4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6" authorId="0" shapeId="0" xr:uid="{61A3F674-9968-4EAB-80FF-B15C34719466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7" authorId="0" shapeId="0" xr:uid="{A3AB9A49-D289-4891-9DAA-7709F803453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7" authorId="1" shapeId="0" xr:uid="{509FB38C-38C5-4685-AB1F-796B15C467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11/11/2021</t>
        </r>
      </text>
    </comment>
    <comment ref="BA7" authorId="0" shapeId="0" xr:uid="{24083445-DBCB-4FEA-B883-DC518118138F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7" authorId="0" shapeId="0" xr:uid="{41B5FBEF-709F-4068-9F00-D941D1CBD546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7" authorId="0" shapeId="0" xr:uid="{C25B90C1-F626-4C4C-AEAD-6661B7895C78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CJ7" authorId="1" shapeId="0" xr:uid="{42F70C4B-0AA9-46BB-BC2A-4BEF7DC7385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12/11/2021</t>
        </r>
      </text>
    </comment>
    <comment ref="CO7" authorId="0" shapeId="0" xr:uid="{93FBB93D-12D9-4104-B19D-1DC941B050A4}">
      <text>
        <r>
          <rPr>
            <b/>
            <sz val="9"/>
            <color indexed="81"/>
            <rFont val="Tahoma"/>
            <family val="2"/>
          </rPr>
          <t>17/11/2021</t>
        </r>
      </text>
    </comment>
    <comment ref="CY7" authorId="1" shapeId="0" xr:uid="{C563264D-73BF-4008-AB87-B2D78E7F95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16/10/2021</t>
        </r>
      </text>
    </comment>
    <comment ref="DN7" authorId="0" shapeId="0" xr:uid="{287ED9A8-C313-48FD-BEB0-8EA712059AB5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S7" authorId="0" shapeId="0" xr:uid="{56B257D4-9F65-4DA5-A1EC-8DDE49A4E731}">
      <text>
        <r>
          <rPr>
            <b/>
            <sz val="9"/>
            <color indexed="81"/>
            <rFont val="Tahoma"/>
            <family val="2"/>
          </rPr>
          <t>10/11/2021</t>
        </r>
      </text>
    </comment>
    <comment ref="DX7" authorId="0" shapeId="0" xr:uid="{0BAD3B7B-D32A-4722-B43C-D8DE4EB008DD}">
      <text>
        <r>
          <rPr>
            <b/>
            <sz val="9"/>
            <color indexed="81"/>
            <rFont val="Tahoma"/>
            <family val="2"/>
          </rPr>
          <t>16/10/2021</t>
        </r>
      </text>
    </comment>
    <comment ref="EW7" authorId="0" shapeId="0" xr:uid="{D6A8468E-1F76-404E-9DF2-B742E493FB3E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7" authorId="0" shapeId="0" xr:uid="{2B4599ED-1A95-41B1-A563-D815990C25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L7" authorId="1" shapeId="0" xr:uid="{19AC9E2A-350C-4E46-A0D4-E19F06B11A4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09/10/2021</t>
        </r>
      </text>
    </comment>
    <comment ref="GF7" authorId="1" shapeId="0" xr:uid="{1781E9B5-A531-4707-857C-B0B59834FA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20/10/2021</t>
        </r>
      </text>
    </comment>
    <comment ref="GK7" authorId="0" shapeId="0" xr:uid="{E14C8C3B-F3ED-42B0-8614-81970CBE777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Q8" authorId="0" shapeId="0" xr:uid="{B6C8A936-D2E0-4DA5-865E-063E5633EAF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8" authorId="0" shapeId="0" xr:uid="{A6D18933-FC4C-4EC0-8609-D2C1409307E6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EW8" authorId="0" shapeId="0" xr:uid="{D1D5E901-B4D1-4C6C-B2D0-D29BADA90D3A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G8" authorId="0" shapeId="0" xr:uid="{A83AD126-772D-46F5-AA01-672E3F99B85D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11" authorId="0" shapeId="0" xr:uid="{F8104F6B-3023-4181-93EB-003372A08EFD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12" authorId="0" shapeId="0" xr:uid="{967003CE-8CCD-4A33-9CC4-9989636BBFC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2" authorId="0" shapeId="0" xr:uid="{851E947D-EB21-464C-A291-58FA557AD267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2" authorId="0" shapeId="0" xr:uid="{628D523B-2C1F-4166-A08C-2E30DC45FCB1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2" authorId="0" shapeId="0" xr:uid="{45628ADC-31D0-4EF4-B22F-59ABD9CE2F2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DN12" authorId="0" shapeId="0" xr:uid="{22E8CA78-1772-4FBC-9EA6-9FEDF4AB7977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B12" authorId="0" shapeId="0" xr:uid="{769E5FD6-2E99-4FE9-8374-294A7982E60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2" authorId="0" shapeId="0" xr:uid="{6D848724-15A3-4607-A8EF-38998B5A1D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2" authorId="0" shapeId="0" xr:uid="{BF6D015C-0A54-4C45-AC3C-A1B2E3899516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LF12" authorId="0" shapeId="0" xr:uid="{90BAF99C-DF48-491A-9241-188E1D4CB964}">
      <text>
        <r>
          <rPr>
            <b/>
            <sz val="9"/>
            <color indexed="81"/>
            <rFont val="Tahoma"/>
            <family val="2"/>
          </rPr>
          <t>20/10/2021</t>
        </r>
      </text>
    </comment>
    <comment ref="AL13" authorId="0" shapeId="0" xr:uid="{CB57183C-CDE4-4ADB-85BF-194244F27487}">
      <text>
        <r>
          <rPr>
            <b/>
            <sz val="9"/>
            <color indexed="81"/>
            <rFont val="Tahoma"/>
            <family val="2"/>
          </rPr>
          <t>08/09/2022</t>
        </r>
      </text>
    </comment>
    <comment ref="AQ13" authorId="0" shapeId="0" xr:uid="{68E047D3-01F6-46E0-9B97-5BFFA5A96F29}">
      <text>
        <r>
          <rPr>
            <b/>
            <sz val="9"/>
            <color indexed="81"/>
            <rFont val="Tahoma"/>
            <family val="2"/>
          </rPr>
          <t>03/09/2022</t>
        </r>
      </text>
    </comment>
    <comment ref="BA13" authorId="0" shapeId="0" xr:uid="{79C5A221-4AE4-4540-95AD-E214D83D5F45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CO13" authorId="0" shapeId="0" xr:uid="{11954B4E-B752-4089-A505-7F8C965E4C3F}">
      <text>
        <r>
          <rPr>
            <b/>
            <sz val="9"/>
            <color indexed="81"/>
            <rFont val="Tahoma"/>
            <family val="2"/>
          </rPr>
          <t>09/09/2022</t>
        </r>
      </text>
    </comment>
    <comment ref="CT13" authorId="0" shapeId="0" xr:uid="{A45C03AA-5210-4F8D-9673-F1F062EF01F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CY13" authorId="1" shapeId="0" xr:uid="{1ECB3B2C-B5BB-4B58-ADBF-BBEF319BD4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DX13" authorId="0" shapeId="0" xr:uid="{EF8EAC29-2751-420D-A25D-78FB12E9F4C2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C13" authorId="0" shapeId="0" xr:uid="{F7E87807-235C-4949-BB53-2101985CDF2B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W13" authorId="0" shapeId="0" xr:uid="{AA304151-8047-4E78-8D76-A1B7A1C593D3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L13" authorId="0" shapeId="0" xr:uid="{4F99F0A9-52B7-4DCF-AB93-991430AFFA4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A13" authorId="0" shapeId="0" xr:uid="{E45B47C3-9E23-4823-9459-2365C471CBBA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14" authorId="0" shapeId="0" xr:uid="{7F8AA195-EA20-42CD-86BC-1A4A1E3730BF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4" authorId="0" shapeId="0" xr:uid="{933D2AE0-2CFF-4155-8301-2373B0AEB387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4" authorId="0" shapeId="0" xr:uid="{10285799-9A60-47AE-840D-990894C6F38E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O14" authorId="0" shapeId="0" xr:uid="{FB2F580D-2018-45AE-8315-65B7838E769D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14" authorId="0" shapeId="0" xr:uid="{E625CAC2-0FE1-4A45-B3B8-01ABFC44BF23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14" authorId="0" shapeId="0" xr:uid="{15A2DA71-5DDD-43F2-B5D4-CC27832B067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4" authorId="0" shapeId="0" xr:uid="{7BF64248-0A16-43FA-A7EF-9BE877E3C3B3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4" authorId="0" shapeId="0" xr:uid="{B88FABD4-3EDA-4268-99B0-6BAB1BDA07D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4" authorId="0" shapeId="0" xr:uid="{E26D5D39-87FC-4515-8EF8-7D9C88BF136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W14" authorId="0" shapeId="0" xr:uid="{D48453D9-6051-470A-ADDF-59EEE0B6D7D8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L14" authorId="0" shapeId="0" xr:uid="{0A96EC88-D873-40FD-B81C-9E9A0934AA17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4" authorId="0" shapeId="0" xr:uid="{093A2BA1-8DAF-4A80-A324-EA357AEF9F87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V14" authorId="0" shapeId="0" xr:uid="{8875A625-5B7E-481C-8D86-6FAD6FF40083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K15" authorId="0" shapeId="0" xr:uid="{3FA720C6-B452-467B-8E81-B29FFF9D90BA}">
      <text>
        <r>
          <rPr>
            <b/>
            <sz val="9"/>
            <color indexed="81"/>
            <rFont val="Tahoma"/>
            <family val="2"/>
          </rPr>
          <t>17/11/2023</t>
        </r>
      </text>
    </comment>
    <comment ref="AL16" authorId="0" shapeId="0" xr:uid="{FDBCEA4F-F075-4523-BD64-7C0893FD71B9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16" authorId="0" shapeId="0" xr:uid="{E4252437-6833-4059-9611-CD2F29BFAC0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16" authorId="0" shapeId="0" xr:uid="{2CC3FB06-0E30-4276-AFE9-CD4838CF3EA4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Z16" authorId="0" shapeId="0" xr:uid="{53474EC0-7B9C-4953-9807-86B0024042C4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 HALLIBURTON SE LE ENVIO CON FECHA DE 13/03/2023 PERO SE SUSTITUYE POR 11/05/2023 POR QUE SE CRUZA CON UN CURSO EXTERNO VOLANT</t>
        </r>
      </text>
    </comment>
    <comment ref="DN16" authorId="0" shapeId="0" xr:uid="{3FCDAAC4-F3B8-485D-9C4E-309EABA452AB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W16" authorId="0" shapeId="0" xr:uid="{C16073FC-2AA1-4309-B6DB-2A6EA671DB4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Q16" authorId="1" shapeId="0" xr:uid="{19451F8E-36A0-4D8C-988B-CF3B6B00D71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F16" authorId="0" shapeId="0" xr:uid="{E20E0B74-34EF-40C6-A8AC-B1622965816D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Q17" authorId="0" shapeId="0" xr:uid="{BB3F9CA7-CA51-43BE-BFF6-6C9DB750BE9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BK17" authorId="0" shapeId="0" xr:uid="{B709473C-F69F-447F-8B5D-36C36DC1939C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Y17" authorId="0" shapeId="0" xr:uid="{221EE1AD-52E8-4911-8FE3-8E2D2E3AF731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EW17" authorId="0" shapeId="0" xr:uid="{B3599874-4D3E-4D74-BD86-BB6B502E2E5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DS18" authorId="1" shapeId="0" xr:uid="{555F4F66-1B66-45A6-B650-9B7D4DCB97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24/07/2023</t>
        </r>
      </text>
    </comment>
    <comment ref="AL20" authorId="0" shapeId="0" xr:uid="{FF54F710-6241-4C2C-A8EE-2BABD3F17C9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20" authorId="0" shapeId="0" xr:uid="{42AFF086-DCD6-42E9-AD0A-414B03E68F1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20" authorId="0" shapeId="0" xr:uid="{81B49C01-BE4F-4772-BD3F-6F9FAB31268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20" authorId="0" shapeId="0" xr:uid="{C121FDD8-08C3-4791-BCED-EDD67594C50C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CO20" authorId="0" shapeId="0" xr:uid="{C01587DE-576E-42ED-BED9-0B1A8F3372E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20" authorId="1" shapeId="0" xr:uid="{D5A1DABD-81FA-40D4-8AA4-DA2EE60EF0A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26/07/2022</t>
        </r>
      </text>
    </comment>
    <comment ref="DD20" authorId="1" shapeId="0" xr:uid="{C26E14C7-8586-4651-9A3E-8EDAFE5F858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20" authorId="0" shapeId="0" xr:uid="{AEF6CB7E-CA4E-403B-9BEC-0976EC81672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20" authorId="0" shapeId="0" xr:uid="{3F584448-8536-4E84-B26C-DB24E662E9D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20" authorId="0" shapeId="0" xr:uid="{A904CD89-A442-4BB3-A58B-8B18CDE496E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20" authorId="1" shapeId="0" xr:uid="{CA276696-68DB-4160-8677-11D4A5876D3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G20" authorId="0" shapeId="0" xr:uid="{50906033-F5E3-4DAC-94E5-441A23D461FF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Q20" authorId="0" shapeId="0" xr:uid="{7526BD2C-F6C7-4D0E-9FFD-D94C7AFB616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F20" authorId="0" shapeId="0" xr:uid="{CDE4FE8B-39DB-412A-8868-FEF1FEA6048B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21" authorId="0" shapeId="0" xr:uid="{4DBCC604-967C-446C-AF99-1938ACD8187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22" authorId="0" shapeId="0" xr:uid="{8C4CC6B8-39F8-4A29-B039-8530F7B7A6D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22" authorId="0" shapeId="0" xr:uid="{9698142C-1019-458C-BA16-3BAE0E10267C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22" authorId="0" shapeId="0" xr:uid="{B0A67F94-E687-4DF7-834B-E1DAEE20E5DB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F22" authorId="0" shapeId="0" xr:uid="{28A15C0E-39AC-49E7-B05A-3B9F975B0CEB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22" authorId="0" shapeId="0" xr:uid="{2F345607-1422-418A-A8AE-AB57FD3BB9B8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EW22" authorId="0" shapeId="0" xr:uid="{1119BFA8-7059-4EAA-A6C4-26B43137765F}">
      <text>
        <r>
          <rPr>
            <b/>
            <sz val="9"/>
            <color indexed="81"/>
            <rFont val="Tahoma"/>
            <family val="2"/>
          </rPr>
          <t>23/02/2023</t>
        </r>
      </text>
    </comment>
    <comment ref="FG22" authorId="0" shapeId="0" xr:uid="{8308012C-B3D3-4847-82DA-83ED2D59DB1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22" authorId="0" shapeId="0" xr:uid="{749BF0A7-A020-4686-BF37-F81DBBD4B94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AG23" authorId="0" shapeId="0" xr:uid="{1CDDCEB9-A0AF-4612-A841-72FD31F34883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Q23" authorId="0" shapeId="0" xr:uid="{132F33C7-3A36-499D-86DE-709D3D4E6E0D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23" authorId="0" shapeId="0" xr:uid="{5A7368E2-B051-4D5F-A4EB-96C2278ABE2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23" authorId="0" shapeId="0" xr:uid="{24492091-AB56-411B-9C94-C2015056EE61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W23" authorId="0" shapeId="0" xr:uid="{C102CF2F-DF8C-4AE0-8AA7-F379FF57695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23" authorId="0" shapeId="0" xr:uid="{9AE130F1-CCC1-426D-BEAD-734F7B3FF2F8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24" authorId="0" shapeId="0" xr:uid="{8F1E70A3-B7EC-4F0A-B0E3-99C673A28E19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24" authorId="0" shapeId="0" xr:uid="{7430D3CF-0ED1-496F-BDFD-E514C0907207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24" authorId="0" shapeId="0" xr:uid="{AC603501-166C-48E2-82C6-120F65A7CB0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O24" authorId="0" shapeId="0" xr:uid="{29F0AEEB-65D2-4217-869F-548A53AB3E26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24" authorId="0" shapeId="0" xr:uid="{EF09125D-FC39-42B1-AFF7-CD848F75DD11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24" authorId="0" shapeId="0" xr:uid="{09B29E78-9ECC-4DD3-9C86-D9D02F7D25A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24" authorId="0" shapeId="0" xr:uid="{9A16F7E2-1446-4387-95C2-17CD61C9036B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Q24" authorId="0" shapeId="0" xr:uid="{3BDCBE50-47B6-4E9B-BF90-ADBC60852A25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K24" authorId="0" shapeId="0" xr:uid="{F41545AC-AE06-480F-9D21-351FC688D4D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26" authorId="0" shapeId="0" xr:uid="{31FB7218-F44E-412D-8023-FDAF2955C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Q26" authorId="0" shapeId="0" xr:uid="{36B1D6D6-1345-4CD9-AF53-FC0ABA15BC32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F26" authorId="0" shapeId="0" xr:uid="{E05BBCC4-7581-40E6-82AF-58B20DFD5BCF}">
      <text>
        <r>
          <rPr>
            <b/>
            <sz val="9"/>
            <color indexed="81"/>
            <rFont val="Tahoma"/>
            <family val="2"/>
          </rPr>
          <t>06/05/2022</t>
        </r>
      </text>
    </comment>
    <comment ref="GK26" authorId="0" shapeId="0" xr:uid="{A3D406F9-F6D0-49BA-8793-55BE4875728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28" authorId="0" shapeId="0" xr:uid="{DBD405BD-90C7-47B9-9F65-1047ADDD3A86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DI28" authorId="0" shapeId="0" xr:uid="{BCEA0EC3-576A-4A12-B659-C85DEF24ED6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EW28" authorId="0" shapeId="0" xr:uid="{BADAC8DB-0B9C-4EFC-9329-68015104A473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G28" authorId="0" shapeId="0" xr:uid="{F52327A6-393E-4386-BE9A-1D4AAA854AB9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29" authorId="0" shapeId="0" xr:uid="{B5308ED6-10EB-45F6-9885-47F901EB6C10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30" authorId="0" shapeId="0" xr:uid="{5E2BB230-86B2-4D13-A8FC-CCEF605B4D06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0" authorId="0" shapeId="0" xr:uid="{02C05E83-EEF4-4240-8134-D7D399EFBF4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30" authorId="0" shapeId="0" xr:uid="{A69D9519-0B62-4864-8359-EF4E17F5177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30" authorId="0" shapeId="0" xr:uid="{ADF608A1-3887-4517-BC33-8ECE01E6DCD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30" authorId="0" shapeId="0" xr:uid="{5531BA6E-2035-4370-8AC7-27227BBEE671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30" authorId="0" shapeId="0" xr:uid="{1ABC293F-0F9D-4486-BEEB-A7ECC531B7A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P30" authorId="0" shapeId="0" xr:uid="{6ED9307D-CAA6-42C2-8450-90155320BF9A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O30" authorId="0" shapeId="0" xr:uid="{A558DF61-4F80-46E3-B6D9-058901609AA5}">
      <text>
        <r>
          <rPr>
            <b/>
            <sz val="9"/>
            <color indexed="81"/>
            <rFont val="Tahoma"/>
            <family val="2"/>
          </rPr>
          <t>01/03/2023</t>
        </r>
      </text>
    </comment>
    <comment ref="DI30" authorId="0" shapeId="0" xr:uid="{4BAA6A14-A849-4D40-9B34-52D901735F22}">
      <text>
        <r>
          <rPr>
            <b/>
            <sz val="9"/>
            <color indexed="81"/>
            <rFont val="Tahoma"/>
            <family val="2"/>
          </rPr>
          <t xml:space="preserve">14/05/2022
</t>
        </r>
      </text>
    </comment>
    <comment ref="DN30" authorId="0" shapeId="0" xr:uid="{F634C549-2E0F-4700-B388-429CA39A6365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30" authorId="0" shapeId="0" xr:uid="{30B2EFEF-F746-4E74-ABBA-89F8CDF4249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EC30" authorId="0" shapeId="0" xr:uid="{F3D87BF6-2A06-4E4F-A5F4-24FF1C68EF8C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30" authorId="0" shapeId="0" xr:uid="{91C64984-184F-45A9-A093-90300F4D11A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A30" authorId="0" shapeId="0" xr:uid="{5586E97F-592C-46AE-A93E-2028772081D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31" authorId="0" shapeId="0" xr:uid="{D562C57B-65F2-4BBA-AE6E-5F5CF5EEA5C2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Q31" authorId="0" shapeId="0" xr:uid="{D51DAD59-4B3B-4F4F-9FFE-4BA8F3DB68D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CO31" authorId="0" shapeId="0" xr:uid="{1C19D497-C12D-4A26-B88B-8077FFCF20A3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31" authorId="0" shapeId="0" xr:uid="{93633F65-D31A-471D-B960-539ACE3B15E9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31" authorId="0" shapeId="0" xr:uid="{649282E2-55CF-4713-B476-DCB8B57928AA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L31" authorId="0" shapeId="0" xr:uid="{81A85E7C-EBC9-4532-9204-FA1185B133EF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K32" authorId="0" shapeId="0" xr:uid="{420DE7D7-69E2-4673-9F87-387646350189}">
      <text>
        <r>
          <rPr>
            <sz val="9"/>
            <color indexed="81"/>
            <rFont val="Tahoma"/>
            <family val="2"/>
          </rPr>
          <t>1ra - 24/01/2023
2da - 09/03/2023
3ra - 09/09/2023
4ta - 09/03/2024
5ta - 09/09/2024
6ta - 09/03/2025
7ta - 09/09/2025
8va - 09/03/2026</t>
        </r>
      </text>
    </comment>
    <comment ref="AG32" authorId="0" shapeId="0" xr:uid="{DC914EDC-4EAB-4043-92DA-747B6523E7F1}">
      <text>
        <r>
          <rPr>
            <b/>
            <sz val="9"/>
            <color indexed="81"/>
            <rFont val="Tahoma"/>
            <family val="2"/>
          </rPr>
          <t>26/07/2022</t>
        </r>
      </text>
    </comment>
    <comment ref="BA32" authorId="0" shapeId="0" xr:uid="{EDBF1765-A074-4F0A-8996-DFB333D9FB24}">
      <text>
        <r>
          <rPr>
            <b/>
            <sz val="9"/>
            <color indexed="81"/>
            <rFont val="Tahoma"/>
            <family val="2"/>
          </rPr>
          <t>29/08/2022</t>
        </r>
      </text>
    </comment>
    <comment ref="BF32" authorId="0" shapeId="0" xr:uid="{7F7756EA-A28C-4757-AEE5-B609D33F931E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CT32" authorId="0" shapeId="0" xr:uid="{56D8F96B-5712-4343-857B-1A9DA44392CA}">
      <text>
        <r>
          <rPr>
            <b/>
            <sz val="9"/>
            <color indexed="81"/>
            <rFont val="Tahoma"/>
            <family val="2"/>
          </rPr>
          <t>26/08/2022</t>
        </r>
      </text>
    </comment>
    <comment ref="CY32" authorId="0" shapeId="0" xr:uid="{87C7E25D-A10C-437D-B2E7-D9CE760EC9C3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DX32" authorId="0" shapeId="0" xr:uid="{917AC2FF-03EB-46F3-8526-5FB186406119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EC32" authorId="0" shapeId="0" xr:uid="{1BA66AEB-90D4-40E2-B08E-1B775F3268F8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GF32" authorId="0" shapeId="0" xr:uid="{593E2B62-CAD0-486E-BFE2-26DD8CE65ADE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L33" authorId="0" shapeId="0" xr:uid="{15E4899C-6D8A-456F-A6BE-4B81AE311A1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33" authorId="1" shapeId="0" xr:uid="{B016A40D-D036-40EE-884A-E052C66C86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BA33" authorId="1" shapeId="0" xr:uid="{6769ED8B-8923-43FF-B339-138381228E3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33" authorId="0" shapeId="0" xr:uid="{26DF50DE-D8E5-4E0A-A79C-5AF81B21173F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33" authorId="1" shapeId="0" xr:uid="{2B78482A-B69F-4C64-A608-3BBE36BF3D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BZ33" authorId="0" shapeId="0" xr:uid="{7364327D-5702-4171-B56F-C7E0548AADA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O33" authorId="1" shapeId="0" xr:uid="{8CEC72A5-EB53-4DCE-B72F-E1634B011A6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DD33" authorId="1" shapeId="0" xr:uid="{88F88845-D7A2-4093-8576-9C30C03EFE3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I33" authorId="1" shapeId="0" xr:uid="{9CF3CCDA-4A6E-4618-BF50-ECD06D86604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N33" authorId="0" shapeId="0" xr:uid="{67EF3345-6F52-4008-8BA6-747F48D0FB4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33" authorId="1" shapeId="0" xr:uid="{BFFE83E7-34C8-421E-BFCC-27D7E24B57D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C33" authorId="1" shapeId="0" xr:uid="{4A4E91AC-BF5A-4656-865A-7829EAC66A8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M33" authorId="1" shapeId="0" xr:uid="{E6F2620B-6905-4C0D-B974-C592AAAF7A6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R33" authorId="1" shapeId="0" xr:uid="{F8AF28A5-0F4D-4DF3-999A-C1CBFFB00F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W33" authorId="0" shapeId="0" xr:uid="{08270E3B-B09A-44A8-B925-F34316A6B7BD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33" authorId="0" shapeId="0" xr:uid="{1671A927-6047-4098-AA5C-9CCBE5D91E6F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33" authorId="1" shapeId="0" xr:uid="{0DB7BA2B-ED5A-4129-85D0-94C1586A2A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F33" authorId="1" shapeId="0" xr:uid="{CE616CDF-688E-44E5-8A27-39211C68E86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</t>
        </r>
      </text>
    </comment>
    <comment ref="GK33" authorId="0" shapeId="0" xr:uid="{C2646569-3231-498E-AB85-A3B9AD5CAC02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34" authorId="0" shapeId="0" xr:uid="{3BEF0FDC-0F49-4349-9690-12734BD8DB9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4" authorId="0" shapeId="0" xr:uid="{F6AE4B21-89BB-4AA3-B6B6-02D1B98E1D49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34" authorId="0" shapeId="0" xr:uid="{17A7D6B5-8347-4D59-AF9A-B58B03CBF4F6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34" authorId="0" shapeId="0" xr:uid="{A108238F-8A87-4BA8-B350-C1CBEC264BE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CJ34" authorId="0" shapeId="0" xr:uid="{26087570-16D9-484D-A49C-34FA1075ED40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O34" authorId="0" shapeId="0" xr:uid="{1A0FF9D1-2A9A-4697-8418-863DFEEAC09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34" authorId="0" shapeId="0" xr:uid="{6325923B-9199-4021-B9FC-F13E0312F0C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N34" authorId="0" shapeId="0" xr:uid="{D68E4034-F689-4257-A7B2-8E0327181BF3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S34" authorId="0" shapeId="0" xr:uid="{DFCC152A-7A6B-424D-A67B-7ED23B5A3585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34" authorId="0" shapeId="0" xr:uid="{DB69DD32-9AC3-486F-AA7A-445048907F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34" authorId="0" shapeId="0" xr:uid="{00B7DA46-A833-45FB-A117-41D8D19DCBB2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B34" authorId="0" shapeId="0" xr:uid="{B3C81DB9-9006-4560-8C69-D302C828CD56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34" authorId="0" shapeId="0" xr:uid="{A6A56AA7-D7B9-4DCA-BA7D-306462453C8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34" authorId="0" shapeId="0" xr:uid="{E364CF5D-AF22-4A86-A059-F5C2F1992D56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34" authorId="0" shapeId="0" xr:uid="{42521B33-370E-449F-B501-A2F0BA9B1A6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34" authorId="0" shapeId="0" xr:uid="{E2F04CE4-2E90-42B8-B621-9B04BD257FF5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34" authorId="0" shapeId="0" xr:uid="{8A2C6078-9BA4-4D99-8C21-402B62262092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EC35" authorId="0" shapeId="0" xr:uid="{39A98FC2-004A-4701-9A8D-7867ECC01D9C}">
      <text>
        <r>
          <rPr>
            <b/>
            <sz val="9"/>
            <color indexed="81"/>
            <rFont val="Tahoma"/>
            <family val="2"/>
          </rPr>
          <t xml:space="preserve">19/02/2024
</t>
        </r>
      </text>
    </comment>
    <comment ref="AL37" authorId="0" shapeId="0" xr:uid="{8C3B8AFF-EF42-478D-95EB-955CFE6214BF}">
      <text>
        <r>
          <rPr>
            <b/>
            <sz val="9"/>
            <color indexed="81"/>
            <rFont val="Tahoma"/>
            <family val="2"/>
          </rPr>
          <t>20/09/2022</t>
        </r>
      </text>
    </comment>
    <comment ref="K38" authorId="0" shapeId="0" xr:uid="{A049CB71-4D5A-4616-A0D0-3D488E77F012}">
      <text>
        <r>
          <rPr>
            <sz val="9"/>
            <color indexed="81"/>
            <rFont val="Tahoma"/>
            <family val="2"/>
          </rPr>
          <t xml:space="preserve">1era - 26/07/2022 
2da - 15/03/2023
3ra - 15/09/2023
4ta - 15/03/2024
5ta - 15/09/2024
6ta - 15/03/2025
7ta - 15/09/2025
8va - 15/03/2026
</t>
        </r>
      </text>
    </comment>
    <comment ref="AV38" authorId="0" shapeId="0" xr:uid="{7F67965A-4FEB-43F8-9F71-E40A15A93F06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A38" authorId="0" shapeId="0" xr:uid="{314CB3CB-2AC5-44EC-BFA4-143FC51E3C15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BF38" authorId="0" shapeId="0" xr:uid="{6A909573-8116-43C0-A1C1-F0F7E7A54F7A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DI38" authorId="0" shapeId="0" xr:uid="{41DD31AB-D1C1-4A1F-ABA0-38AE533AF29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38" authorId="0" shapeId="0" xr:uid="{C7A516F5-4C0C-42D4-8F27-476BB8DD2B5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38" authorId="0" shapeId="0" xr:uid="{AF14B019-8BD1-49EB-BAD1-60BBF29AB424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EC38" authorId="0" shapeId="0" xr:uid="{2861E176-E0C1-4605-8E31-0393CC8E7F91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EW38" authorId="0" shapeId="0" xr:uid="{3FD7471D-326E-4845-9F66-A40230996E16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G38" authorId="0" shapeId="0" xr:uid="{44F452A7-F0EA-4815-B045-021A4F152EDC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G40" authorId="0" shapeId="0" xr:uid="{0B3DE48E-2090-4368-A2CC-9EF0A9A8EA40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40" authorId="0" shapeId="0" xr:uid="{C0710CEC-E4B0-49DB-9AE6-9B0B3EC2FAF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40" authorId="0" shapeId="0" xr:uid="{99409A54-66B3-4243-A20A-BE5C941F1A20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40" authorId="0" shapeId="0" xr:uid="{8085DB72-FECB-42CD-A222-E149D0E7DFE0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40" authorId="0" shapeId="0" xr:uid="{B5CD7D27-A53F-4D87-A34D-875384B0096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Y40" authorId="0" shapeId="0" xr:uid="{0926B593-CD82-41BC-ADC0-44DBB26BCCA0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B40" authorId="0" shapeId="0" xr:uid="{0428F6E1-8E8A-4B80-BE59-D6C973D764E8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40" authorId="0" shapeId="0" xr:uid="{7EF49E8C-7012-49E1-ADF6-4DC2A67C92B2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V40" authorId="0" shapeId="0" xr:uid="{858C3D97-6ECF-4F6C-BC41-70896B3E9BE9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A40" authorId="0" shapeId="0" xr:uid="{3D22C406-486F-4FDC-8976-FDD472821C7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41" authorId="0" shapeId="0" xr:uid="{1B7669AF-BA7C-4A63-B74B-893657905A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41" authorId="0" shapeId="0" xr:uid="{093BABAC-7561-46CF-BB97-BA0FC143F32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1" authorId="0" shapeId="0" xr:uid="{60BD8742-3565-4C9D-99C7-87CE7BA90EC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J41" authorId="0" shapeId="0" xr:uid="{8A3FBD1E-2953-4390-8063-C88DF9936543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DI41" authorId="0" shapeId="0" xr:uid="{DC9E52E9-4B3F-4593-81BF-A8EAE76A15F9}">
      <text>
        <r>
          <rPr>
            <b/>
            <sz val="9"/>
            <color indexed="81"/>
            <rFont val="Tahoma"/>
            <family val="2"/>
          </rPr>
          <t>18/05/2022</t>
        </r>
      </text>
    </comment>
    <comment ref="DN41" authorId="0" shapeId="0" xr:uid="{2DEE50EA-1386-4B42-A497-27A80CDE8669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41" authorId="0" shapeId="0" xr:uid="{53A9C3EE-1FA0-4620-94D0-811CE5F2C197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C41" authorId="0" shapeId="0" xr:uid="{9CAB7A4F-13A0-4D7C-AFE8-2927289C1D7F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R41" authorId="0" shapeId="0" xr:uid="{82302C24-A5CA-40AF-B089-213666531FD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41" authorId="0" shapeId="0" xr:uid="{0EE48685-9B5B-4FFD-AEAA-B28535980CD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41" authorId="0" shapeId="0" xr:uid="{D135B5AB-8AFD-4863-B9AA-1B927168CD85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41" authorId="0" shapeId="0" xr:uid="{88C6F392-B703-4D24-82FE-2D1B283DBB23}">
      <text>
        <r>
          <rPr>
            <b/>
            <sz val="9"/>
            <color indexed="81"/>
            <rFont val="Tahoma"/>
            <family val="2"/>
          </rPr>
          <t>28/01/2022</t>
        </r>
      </text>
    </comment>
    <comment ref="FQ41" authorId="0" shapeId="0" xr:uid="{D8C14E7D-645F-4370-9EAA-D006767CB511}">
      <text>
        <r>
          <rPr>
            <b/>
            <sz val="9"/>
            <color indexed="81"/>
            <rFont val="Tahoma"/>
            <family val="2"/>
          </rPr>
          <t>27/03/2022</t>
        </r>
      </text>
    </comment>
    <comment ref="GA41" authorId="0" shapeId="0" xr:uid="{1048DF8E-BE6F-4B57-BBAF-1B1870823CD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42" authorId="0" shapeId="0" xr:uid="{FC40ECF4-D4C5-495B-86DC-D6D611D9F42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42" authorId="0" shapeId="0" xr:uid="{8491A48C-B626-4E29-93F0-78647537210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2" authorId="1" shapeId="0" xr:uid="{20D7C3DB-7802-4F93-B71A-4CF3FC6588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F42" authorId="0" shapeId="0" xr:uid="{373F7072-1EF7-4859-9AAE-34BBFD839813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42" authorId="1" shapeId="0" xr:uid="{F9207467-1094-4C12-822B-DD6D4328D63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J42" authorId="1" shapeId="0" xr:uid="{A5F4A88D-9B94-40CD-91FC-7C53980E0D0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Y42" authorId="1" shapeId="0" xr:uid="{AC96787E-5247-4A04-A93B-2AE404F88BB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
</t>
        </r>
      </text>
    </comment>
    <comment ref="DN42" authorId="0" shapeId="0" xr:uid="{AFD6DD0C-83F6-457B-AE64-51DF62D89BB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M42" authorId="1" shapeId="0" xr:uid="{A53ED4C2-102F-454A-8FAD-0C55B4B3B7C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R42" authorId="1" shapeId="0" xr:uid="{2BBD8F2B-3592-4ED5-B01E-B80C2B9279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W42" authorId="0" shapeId="0" xr:uid="{7B502CA5-C633-434E-AA14-08E5DB41EA33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42" authorId="0" shapeId="0" xr:uid="{3B30C460-A533-41C5-8A71-B990A001E9A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L42" authorId="1" shapeId="0" xr:uid="{691D36F1-5E0C-4980-8AEA-7572941BF6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42" authorId="1" shapeId="0" xr:uid="{3E09686B-4705-46CC-9A7D-A3AE024F7C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42" authorId="0" shapeId="0" xr:uid="{1242DF51-B403-4EDB-A8AA-10CE1A807EB6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43" authorId="0" shapeId="0" xr:uid="{17ECFAB0-6F96-4381-A1D7-C78E974C3C34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43" authorId="0" shapeId="0" xr:uid="{8309B307-5F9D-4FC6-BC5F-61060ABC59A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BZ43" authorId="0" shapeId="0" xr:uid="{4AFF7615-1685-4C88-A197-33F0D73F91F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Y43" authorId="1" shapeId="0" xr:uid="{0F40FCFA-A1FB-417D-B1C8-12CABAF960B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EW43" authorId="0" shapeId="0" xr:uid="{55F7FAB7-8688-4D2B-8681-01681817565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43" authorId="0" shapeId="0" xr:uid="{BEAB21A3-FD5B-44A3-857A-1D3ACCC1CFAF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K43" authorId="0" shapeId="0" xr:uid="{A01F0813-95A0-4165-A361-68F9E118DDD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44" authorId="0" shapeId="0" xr:uid="{60DE82C9-489A-4BB9-8A8F-E5E3DF457B92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44" authorId="0" shapeId="0" xr:uid="{3B4E546B-F14F-48D3-A73D-0545FE6D336E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44" authorId="0" shapeId="0" xr:uid="{D90FD9D7-1003-4D4B-9A4A-B03732B2D65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A44" authorId="0" shapeId="0" xr:uid="{87D87B6E-37EE-480E-B420-AFC97DBB48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K44" authorId="0" shapeId="0" xr:uid="{F4558300-CBF0-45BF-8F7D-A28FEB39EF37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U44" authorId="0" shapeId="0" xr:uid="{681B1953-BE26-4EA3-8B8A-C39634068330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DI44" authorId="0" shapeId="0" xr:uid="{2EFD82ED-CE8D-45C5-B029-A70B50077A7A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44" authorId="0" shapeId="0" xr:uid="{D3731DE9-8BD5-4CA1-9ABA-6824305B2A76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S44" authorId="0" shapeId="0" xr:uid="{0028B6BF-2ED2-4BC4-A163-6C8F40153ECA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R44" authorId="0" shapeId="0" xr:uid="{49E5DAE2-B635-42F3-A123-1E34EBDDEDAB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EW44" authorId="0" shapeId="0" xr:uid="{C67EE13D-652F-40F7-B751-4F29F361798B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GA44" authorId="0" shapeId="0" xr:uid="{F7DA3093-7909-4F1D-B19D-CC0C219BA02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46" authorId="1" shapeId="0" xr:uid="{1934B7A2-0396-4E3C-9A79-50538DC60B0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21/02/2022</t>
        </r>
      </text>
    </comment>
    <comment ref="AQ46" authorId="0" shapeId="0" xr:uid="{DE62B978-7A22-4856-82B0-5F790EE1FEC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46" authorId="0" shapeId="0" xr:uid="{5220482A-DBED-49A6-8896-8CF3AF078019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46" authorId="0" shapeId="0" xr:uid="{C7BBB715-2113-4081-B829-A19929F1917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46" authorId="0" shapeId="0" xr:uid="{005EA5AE-06E5-48C0-9DE5-BF405FEA0F03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46" authorId="0" shapeId="0" xr:uid="{0BA8DC45-B546-4805-AD20-918A40703363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46" authorId="0" shapeId="0" xr:uid="{D1692103-2474-474B-8DA3-D8A83FD7B2C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N46" authorId="0" shapeId="0" xr:uid="{F248AAF4-8331-4E04-9D1D-F5E2242BCA7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46" authorId="1" shapeId="0" xr:uid="{05757D1F-5B54-455C-8042-41D8BAB467B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R46" authorId="0" shapeId="0" xr:uid="{D0F2E1FE-C1B0-4DDC-923D-C2028A56944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46" authorId="0" shapeId="0" xr:uid="{0816DEF0-A9E5-4D77-A6DA-31987A5FE950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46" authorId="0" shapeId="0" xr:uid="{B08C2627-4AA6-4181-9C2F-C01C2E45EB48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Q46" authorId="1" shapeId="0" xr:uid="{042EE981-801F-4F2A-BBEB-61FEFAE639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17/08/2022</t>
        </r>
      </text>
    </comment>
    <comment ref="GA46" authorId="0" shapeId="0" xr:uid="{187904A2-F077-4366-BEF8-C867F1CBAF4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46" authorId="0" shapeId="0" xr:uid="{BCDFD197-8C0E-4432-B92A-CF3DAB3D793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LF46" authorId="0" shapeId="0" xr:uid="{04FADA5B-EE76-456F-A218-0EB5CE4D1DB8}">
      <text>
        <r>
          <rPr>
            <b/>
            <sz val="9"/>
            <color indexed="81"/>
            <rFont val="Tahoma"/>
            <family val="2"/>
          </rPr>
          <t>25/10/2021</t>
        </r>
      </text>
    </comment>
    <comment ref="F47" authorId="0" shapeId="0" xr:uid="{254AA86F-E06A-4C7B-BC72-D9BE480D35CC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48" authorId="0" shapeId="0" xr:uid="{65D59535-BE98-4380-8705-8EEBB104BDA0}">
      <text>
        <r>
          <rPr>
            <b/>
            <sz val="9"/>
            <color indexed="81"/>
            <rFont val="Tahoma"/>
            <family val="2"/>
          </rPr>
          <t>14/03/2022
16/10/2023</t>
        </r>
      </text>
    </comment>
    <comment ref="AQ48" authorId="0" shapeId="0" xr:uid="{6DE06B82-87A2-4EEA-A0FD-A426E7A8E3D6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48" authorId="0" shapeId="0" xr:uid="{054DD2A8-5987-4F6C-B624-0FA7C3521F79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48" authorId="1" shapeId="0" xr:uid="{8B401E21-545E-4716-88C7-FBE3713A75D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F48" authorId="0" shapeId="0" xr:uid="{4DA04C68-E5C0-4E2B-80D7-DE16DCA93B0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48" authorId="0" shapeId="0" xr:uid="{813BD2B7-2895-466A-B482-98A3B9E2CF4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U48" authorId="1" shapeId="0" xr:uid="{D9FAD841-9ABD-4224-A8E8-0008BAE9604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J48" authorId="1" shapeId="0" xr:uid="{1DAB961A-9BBB-4E02-8D72-BF7B8EC9501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DI48" authorId="0" shapeId="0" xr:uid="{5697EB96-1D3C-42A1-9538-9D9A161AA25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48" authorId="1" shapeId="0" xr:uid="{5AF65CCF-FED9-4467-AE96-95A1FE7983D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10/05/2022</t>
        </r>
      </text>
    </comment>
    <comment ref="DS48" authorId="1" shapeId="0" xr:uid="{E62B9781-8240-4A17-91A5-7648434AA33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EM48" authorId="1" shapeId="0" xr:uid="{B4F9E24D-B77A-48C9-8F6A-92A6717E9A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B48" authorId="0" shapeId="0" xr:uid="{BD752C9E-AA52-4088-A976-CCE671E7DD9C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G48" authorId="0" shapeId="0" xr:uid="{9607ECFD-676C-4837-9A58-7777948E8C4C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L48" authorId="1" shapeId="0" xr:uid="{685E20A6-A087-4C02-9C33-610D43E7E78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48" authorId="1" shapeId="0" xr:uid="{FC2CC79F-8721-44B4-95F2-0DE9CDE8C45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48" authorId="0" shapeId="0" xr:uid="{3C55A32C-B44A-4404-BEE8-7B6B4AE1A9FD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Q50" authorId="0" shapeId="0" xr:uid="{7E919661-E4EE-40F8-837F-7CFBB02700C4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CY50" authorId="0" shapeId="0" xr:uid="{FC22F0F7-1512-4280-838B-80F037A8B55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I50" authorId="0" shapeId="0" xr:uid="{6369FB39-7F77-4FD9-AD17-7C4EC7478BA3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50" authorId="0" shapeId="0" xr:uid="{B9632C8E-9663-4CDD-B2D2-4A10ED08285A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AG51" authorId="0" shapeId="0" xr:uid="{43A92F73-4610-4D32-9722-86A0C4CEC9F6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A51" authorId="0" shapeId="0" xr:uid="{F1914E70-AAF6-45E2-971B-2712C7F34347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51" authorId="0" shapeId="0" xr:uid="{B4B3B4AB-1021-4276-9AC7-212B88213411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BK51" authorId="0" shapeId="0" xr:uid="{87837489-5736-4BA5-9381-96E6D39640B1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I51" authorId="0" shapeId="0" xr:uid="{8D6631DB-BBF0-4507-B16F-B93520A2120E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51" authorId="0" shapeId="0" xr:uid="{354424FA-55C0-481F-9E54-3E56C686BB9A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W51" authorId="0" shapeId="0" xr:uid="{4BBB1378-DC2A-4C6B-8FBF-C3325B1652C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51" authorId="0" shapeId="0" xr:uid="{732E10B3-25D3-42D4-A5BD-FDF9884E9BC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V51" authorId="0" shapeId="0" xr:uid="{DDF082F4-DE4A-44B5-B5DB-F9DD9381739F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51" authorId="0" shapeId="0" xr:uid="{44F337A3-0DA1-41FB-9CD6-EECD1FA95290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52" authorId="0" shapeId="0" xr:uid="{827D3239-7163-4D1C-80EB-5A809F63136F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53" authorId="0" shapeId="0" xr:uid="{67011D92-ABDC-41BF-AF9B-5C969CF24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V53" authorId="0" shapeId="0" xr:uid="{8DE366B6-B214-4FE0-859F-8A18F13D48E4}">
      <text>
        <r>
          <rPr>
            <b/>
            <sz val="9"/>
            <color indexed="81"/>
            <rFont val="Tahoma"/>
            <family val="2"/>
          </rPr>
          <t>24/09/2022</t>
        </r>
      </text>
    </comment>
    <comment ref="CT53" authorId="0" shapeId="0" xr:uid="{2D26A459-24C0-4D7D-811D-B14AF8BBA213}">
      <text>
        <r>
          <rPr>
            <b/>
            <sz val="9"/>
            <color indexed="81"/>
            <rFont val="Tahoma"/>
            <family val="2"/>
          </rPr>
          <t>28/04/2022</t>
        </r>
      </text>
    </comment>
    <comment ref="DI53" authorId="0" shapeId="0" xr:uid="{7FA98725-40AE-4954-AC50-F35745CB3C9A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53" authorId="0" shapeId="0" xr:uid="{F5EDB81C-CBCE-4CE1-B8C7-1BE9B116C80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W53" authorId="0" shapeId="0" xr:uid="{889511E8-BF90-4344-978F-57E153210889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AL54" authorId="0" shapeId="0" xr:uid="{B1A454AB-C25A-4006-B67C-F8CEF33F514B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54" authorId="0" shapeId="0" xr:uid="{7961670B-8E57-4986-9680-7AE956D745A3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BA54" authorId="0" shapeId="0" xr:uid="{1B01CB7D-495E-4915-902C-8600930AD9C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4" authorId="0" shapeId="0" xr:uid="{58E03DB0-B8E8-4743-B6B5-2D41C3EBF036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54" authorId="0" shapeId="0" xr:uid="{73941B49-4F4F-4AFE-8C57-0E3D9EFD8692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Z54" authorId="0" shapeId="0" xr:uid="{CEC92E44-3260-4B7A-A7E9-388F426A9579}">
      <text>
        <r>
          <rPr>
            <b/>
            <sz val="9"/>
            <color indexed="81"/>
            <rFont val="Tahoma"/>
            <family val="2"/>
          </rPr>
          <t>09/03/2022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J54" authorId="0" shapeId="0" xr:uid="{D261A6B1-CA97-4C11-AF24-ECAE842F7686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54" authorId="0" shapeId="0" xr:uid="{1A9278AD-CF8F-4508-BA22-C73AAC276A5E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54" authorId="0" shapeId="0" xr:uid="{9C9B3A8D-3E6C-4E52-85FF-A5B8976E386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N54" authorId="1" shapeId="0" xr:uid="{5CB110BB-D16E-4170-8250-6A73950589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19/08/2022</t>
        </r>
      </text>
    </comment>
    <comment ref="DX54" authorId="0" shapeId="0" xr:uid="{D78F3252-E808-41AD-ADBD-EDBD51C932BE}">
      <text>
        <r>
          <rPr>
            <b/>
            <sz val="9"/>
            <color indexed="81"/>
            <rFont val="Tahoma"/>
            <family val="2"/>
          </rPr>
          <t>30/03/2024</t>
        </r>
      </text>
    </comment>
    <comment ref="ER54" authorId="0" shapeId="0" xr:uid="{6891BD76-8BB2-449B-BCAC-B8F114457DB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54" authorId="0" shapeId="0" xr:uid="{DD622E6F-2169-4760-8A8C-68B38FB7261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54" authorId="0" shapeId="0" xr:uid="{F40E3BF7-B7BA-4842-85F4-1D061FB66B4B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Q54" authorId="0" shapeId="0" xr:uid="{A7E443F8-9D9E-4877-A0AC-5BFA4318848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54" authorId="0" shapeId="0" xr:uid="{D30A89B6-E2C3-45FF-AB02-0168397BD9A7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54" authorId="0" shapeId="0" xr:uid="{9522A8F8-F0E3-4917-B045-287130EF5BF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55" authorId="0" shapeId="0" xr:uid="{99ED3151-2814-451A-81E6-F65C79AA0D5B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Q56" authorId="0" shapeId="0" xr:uid="{68A24127-D3F2-4994-92AB-9E85A24B1413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BF56" authorId="0" shapeId="0" xr:uid="{D614259F-4EC2-441E-8539-21F0AF831EF2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CO56" authorId="0" shapeId="0" xr:uid="{5D45C3FC-5F89-48A1-9F1B-E4CA0215A216}">
      <text>
        <r>
          <rPr>
            <b/>
            <sz val="9"/>
            <color indexed="81"/>
            <rFont val="Tahoma"/>
            <family val="2"/>
          </rPr>
          <t>15/07/2022</t>
        </r>
      </text>
    </comment>
    <comment ref="DI56" authorId="0" shapeId="0" xr:uid="{F1EA3EB9-1764-4A2F-829A-5F992B21C21F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DX56" authorId="0" shapeId="0" xr:uid="{9E2591F6-2F0E-459B-9DEE-A49184ACE356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EC56" authorId="0" shapeId="0" xr:uid="{6E70FE2A-4B76-468A-A13E-F0F7C1162F39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EW56" authorId="0" shapeId="0" xr:uid="{A7AD3F40-2291-417C-9992-D3ECCB05D68B}">
      <text>
        <r>
          <rPr>
            <b/>
            <sz val="9"/>
            <color indexed="81"/>
            <rFont val="Tahoma"/>
            <family val="2"/>
          </rPr>
          <t>29/06/2022</t>
        </r>
      </text>
    </comment>
    <comment ref="GA56" authorId="0" shapeId="0" xr:uid="{B5811603-CA40-4ED7-B383-DB97E2FC098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56" authorId="0" shapeId="0" xr:uid="{7D401249-4634-4A84-A34A-A8995D1A8326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GK56" authorId="0" shapeId="0" xr:uid="{73D19AE5-3361-48B7-A8F6-5DE4B213AAA7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57" authorId="0" shapeId="0" xr:uid="{F7F09529-639C-432F-8D9C-AA9BE825221E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57" authorId="0" shapeId="0" xr:uid="{F7B9B864-DA09-4818-B32D-D952D7E87795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57" authorId="0" shapeId="0" xr:uid="{18C4C505-7C86-4EAB-9B2E-BBD553D3B2B8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7" authorId="0" shapeId="0" xr:uid="{3D715FAC-DE8A-42C7-A775-5F0E4BB6F68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U57" authorId="0" shapeId="0" xr:uid="{8B00B14E-95C8-47AE-A18C-ED62C0346DDB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57" authorId="0" shapeId="0" xr:uid="{949E6463-B48C-453B-A567-629394C5551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J57" authorId="0" shapeId="0" xr:uid="{44EAD9FA-1F1F-4C93-8008-EAED608CC69A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CY57" authorId="0" shapeId="0" xr:uid="{A3123336-F0AE-4D34-96AD-754BBB8944A5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I57" authorId="0" shapeId="0" xr:uid="{14C8610F-EB38-4E80-9825-0098D8522DB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57" authorId="0" shapeId="0" xr:uid="{3B0E3A36-BF24-479C-B65D-15646E4A41A4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57" authorId="0" shapeId="0" xr:uid="{21DFE401-FD00-4D4C-9532-0A9AC10587F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FB57" authorId="0" shapeId="0" xr:uid="{0FF21E5F-0EA0-4DEB-885A-E24CEAF5E86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57" authorId="0" shapeId="0" xr:uid="{5FFC35DA-A07B-476B-A74F-0F88F37457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V57" authorId="0" shapeId="0" xr:uid="{9B205516-32F7-414E-B70A-95CEDA9A66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A57" authorId="0" shapeId="0" xr:uid="{2E9E3933-45C8-4CCF-ADBE-8CDEEE3DFC0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58" authorId="1" shapeId="0" xr:uid="{D82C3AA4-F967-4FBD-90FD-D783C8D0847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06/04/2021</t>
        </r>
      </text>
    </comment>
    <comment ref="BA58" authorId="1" shapeId="0" xr:uid="{26EB2A36-1E01-4191-B9F7-3FD44B92219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K58" authorId="0" shapeId="0" xr:uid="{8FFF4FF0-ED80-4491-A19D-C3CC78E46253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U58" authorId="1" shapeId="0" xr:uid="{E9793051-DA7B-42E2-A666-E89B1D9EF12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O58" authorId="1" shapeId="0" xr:uid="{F39037A0-104D-47EF-90DA-19DC218C0A2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Y58" authorId="1" shapeId="0" xr:uid="{E1B2A747-6B56-4E82-86B4-3E0AADC71FC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N58" authorId="0" shapeId="0" xr:uid="{23A19077-854F-4D8C-9624-71759634EE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58" authorId="1" shapeId="0" xr:uid="{886B5C36-FBB0-417B-999B-73D9D2F6664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M58" authorId="1" shapeId="0" xr:uid="{2CD2E2AD-3DFB-42DC-907E-BEFD7E0097E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Q58" authorId="1" shapeId="0" xr:uid="{BFF7AB5C-9AF3-4816-950C-7D4E427DAF0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58" authorId="1" shapeId="0" xr:uid="{623796D9-73AF-48CC-86EB-BEE49E886C7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AL59" authorId="0" shapeId="0" xr:uid="{3438F703-D38B-4BF2-AEDD-4B977B4D0435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59" authorId="1" shapeId="0" xr:uid="{26EF8FE9-7620-431D-8E75-6347FBB9F5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59" authorId="0" shapeId="0" xr:uid="{D769C8C6-29A1-4B25-8F59-BDE3051E9535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A59" authorId="0" shapeId="0" xr:uid="{714B8E25-B204-460D-8521-D20381CB41F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59" authorId="0" shapeId="0" xr:uid="{5B54B2C9-B08A-4BCE-9AC1-DC74C2033C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59" authorId="0" shapeId="0" xr:uid="{B65A8701-9E34-46DB-BA6D-5CD04BFE686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GA59" authorId="0" shapeId="0" xr:uid="{8C3EAA5D-5BD2-4CAA-9A45-3C5B05C171DD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60" authorId="0" shapeId="0" xr:uid="{19436071-4ED9-49DD-B659-13316CFED1CA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60" authorId="0" shapeId="0" xr:uid="{5A275993-1A4E-4B0E-BFCD-FAF335E2718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0" authorId="0" shapeId="0" xr:uid="{3B77F080-C170-47C1-8C53-2CC47DE3277D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K60" authorId="0" shapeId="0" xr:uid="{4C0DB0FA-5920-4A8E-96CF-A7E65C131D51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I60" authorId="0" shapeId="0" xr:uid="{01820DD6-BDD6-4E0D-B3BB-CAAD49EFE7F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60" authorId="0" shapeId="0" xr:uid="{2BE005DD-05FD-4856-9763-1598AB78D420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60" authorId="0" shapeId="0" xr:uid="{0CC21302-EFFA-41C6-BAD6-027F23A7E2C4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61" authorId="0" shapeId="0" xr:uid="{355E4417-31CF-4958-8C68-60C91D68FBF7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61" authorId="0" shapeId="0" xr:uid="{D6CA7252-60FB-4D49-A678-5479DC7AE9D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A61" authorId="0" shapeId="0" xr:uid="{DA2F48F4-388E-470A-B6A4-0388848BC09C}">
      <text>
        <r>
          <rPr>
            <b/>
            <sz val="9"/>
            <color indexed="81"/>
            <rFont val="Tahoma"/>
            <family val="2"/>
          </rPr>
          <t xml:space="preserve">01/06/2022
24/03/2024
</t>
        </r>
      </text>
    </comment>
    <comment ref="BU61" authorId="0" shapeId="0" xr:uid="{D8E22563-3D5F-48BF-8320-BDF12EC1AB1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CT61" authorId="0" shapeId="0" xr:uid="{2AD27178-E825-4291-92B3-7C3C030AF140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DI61" authorId="0" shapeId="0" xr:uid="{68DB0BA9-BB6C-40DF-BF50-7B6E347500A4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W61" authorId="0" shapeId="0" xr:uid="{2F539624-D82E-4815-92FA-EA5AAB91380D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63" authorId="0" shapeId="0" xr:uid="{70CDCEFC-00FC-4A6F-B0C8-E7F014026BE9}">
      <text>
        <r>
          <rPr>
            <b/>
            <sz val="9"/>
            <color indexed="81"/>
            <rFont val="Tahoma"/>
            <family val="2"/>
          </rPr>
          <t>23/03/2022
16/10/2023</t>
        </r>
      </text>
    </comment>
    <comment ref="AQ63" authorId="0" shapeId="0" xr:uid="{03441E53-87F0-41D4-B0F2-3678E4F9CE4C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63" authorId="0" shapeId="0" xr:uid="{A84373E5-087F-4B15-8C8F-6548417BC0C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63" authorId="0" shapeId="0" xr:uid="{C86A84CE-CC5D-4BF6-A50A-974BF84E7D4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63" authorId="0" shapeId="0" xr:uid="{C2B61D47-BA7B-45AC-A96A-E61FAB62B86F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U63" authorId="0" shapeId="0" xr:uid="{9D362A2E-413C-4EC5-A7C3-BF5A914504C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CO63" authorId="0" shapeId="0" xr:uid="{54B2BEAE-22F9-414C-B884-CD2E381E03D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63" authorId="0" shapeId="0" xr:uid="{273AB0E7-B3ED-486C-98CD-C46FE252AE8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63" authorId="0" shapeId="0" xr:uid="{737F1BE0-A45D-490A-ACF1-D38EE2F600D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63" authorId="0" shapeId="0" xr:uid="{B58D5189-B395-400E-83C3-80E36F67FBC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G63" authorId="0" shapeId="0" xr:uid="{2C4D5E3A-5DDD-448F-9AFA-2695DD7B5833}">
      <text>
        <r>
          <rPr>
            <b/>
            <sz val="9"/>
            <color indexed="81"/>
            <rFont val="Tahoma"/>
            <family val="2"/>
          </rPr>
          <t>25/02/2022</t>
        </r>
      </text>
    </comment>
    <comment ref="FQ63" authorId="0" shapeId="0" xr:uid="{E28D7616-4CCA-4138-9BD6-401D6AB97B4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63" authorId="0" shapeId="0" xr:uid="{6E44E0C7-5716-46D3-B86D-7BD1F2B664FC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63" authorId="0" shapeId="0" xr:uid="{DA6B0285-BCCB-444D-A564-29A08CCF02C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63" authorId="0" shapeId="0" xr:uid="{E02EAAB3-686E-44E3-944C-10A5A5AFA3A5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AQ64" authorId="0" shapeId="0" xr:uid="{17FB8D11-D441-4EFD-9296-37F191C19E1D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64" authorId="0" shapeId="0" xr:uid="{834B8B17-7ACD-4876-BFEE-DE6CF11B294F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F64" authorId="0" shapeId="0" xr:uid="{AC6D5525-AA14-44F1-BDB4-F50F8D966F6F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Z64" authorId="0" shapeId="0" xr:uid="{6AF17C31-8BDD-4417-BAA5-9CD2BE080161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N64" authorId="0" shapeId="0" xr:uid="{CB1CDB71-C0CC-403D-8F2C-822A0402AFC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G64" authorId="0" shapeId="0" xr:uid="{93AA03FC-092C-422B-A217-823FD889E396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K64" authorId="0" shapeId="0" xr:uid="{EF91027E-AF51-439C-B9CE-2D5254AA8A7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K65" authorId="0" shapeId="0" xr:uid="{BE6F1CCE-7929-483C-BE39-2066CA2647DB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CJ65" authorId="0" shapeId="0" xr:uid="{D891F531-185C-4675-90C5-57F29F6AF18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Y65" authorId="1" shapeId="0" xr:uid="{3DC3F2B3-609E-4BB7-80E3-53C87F321F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15/09/2022</t>
        </r>
      </text>
    </comment>
    <comment ref="EW65" authorId="0" shapeId="0" xr:uid="{544FE34B-2542-4294-B288-6515F73213B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65" authorId="0" shapeId="0" xr:uid="{34196B9A-2120-4CAA-8479-972602C500C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V65" authorId="0" shapeId="0" xr:uid="{F78EA5E7-E399-4226-A8B4-051D88AD38A3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67" authorId="0" shapeId="0" xr:uid="{0344E516-2E74-4511-B5CA-F4890A3AD0FE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68" authorId="0" shapeId="0" xr:uid="{6B4CB762-07D7-440F-BD4F-24C7331E7F61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68" authorId="0" shapeId="0" xr:uid="{D7AB16F7-3034-45E6-8E6D-DDC6ED100C9A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8" authorId="0" shapeId="0" xr:uid="{DB8A585D-19E7-4805-A536-E2623F28E9E7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Z68" authorId="0" shapeId="0" xr:uid="{E1B7ABFA-7E80-49EE-9EB0-8935ED78BBA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68" authorId="0" shapeId="0" xr:uid="{0F3AFB51-85EA-4DC0-B98C-783D8063B3E8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EW68" authorId="0" shapeId="0" xr:uid="{460AE81C-85D4-43B4-89EE-DBFAC52216C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V68" authorId="0" shapeId="0" xr:uid="{DFAD1AAF-14EB-45F9-B51A-B7761F5F428B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69" authorId="0" shapeId="0" xr:uid="{9A67BE25-BD24-4DEB-8823-ADE1117D702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69" authorId="0" shapeId="0" xr:uid="{1E9274B5-1A6E-4F2F-A0B1-69BAA051E3D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F69" authorId="0" shapeId="0" xr:uid="{5AC4DF0F-7E7C-44F0-9937-59D3982042D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CJ69" authorId="0" shapeId="0" xr:uid="{1167850F-0A2C-4FBF-8CAD-49976A6ED2EE}">
      <text>
        <r>
          <rPr>
            <b/>
            <sz val="9"/>
            <color indexed="81"/>
            <rFont val="Tahoma"/>
            <family val="2"/>
          </rPr>
          <t>26/08/2025</t>
        </r>
      </text>
    </comment>
    <comment ref="CO69" authorId="0" shapeId="0" xr:uid="{8F859EAF-04F1-4CB1-BAA3-1BF4A4FE66E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DI69" authorId="0" shapeId="0" xr:uid="{2EA9E924-9521-4D7D-88F0-852B4FC8A236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69" authorId="0" shapeId="0" xr:uid="{49AD090E-66D4-4626-9660-AF08B93F1BC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G69" authorId="0" shapeId="0" xr:uid="{39576713-1AED-4525-A687-4133DA47352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69" authorId="0" shapeId="0" xr:uid="{B160947E-ABE5-4778-B806-D955B10AC6EB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70" authorId="0" shapeId="0" xr:uid="{9CE5F6ED-43C0-4F47-B16C-DA1180848343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70" authorId="0" shapeId="0" xr:uid="{6C019061-E22A-4A53-89E8-30DB679636E0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Y70" authorId="0" shapeId="0" xr:uid="{EE26638D-F9A5-4897-B8CD-67B0D9C8F20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70" authorId="0" shapeId="0" xr:uid="{C866C917-6581-45EA-82D5-A2FC292984F7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EW70" authorId="0" shapeId="0" xr:uid="{C4329833-C2E4-40A4-AD97-64DCEC56A83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71" authorId="0" shapeId="0" xr:uid="{14F4BD17-E551-436E-9BBC-4DE7D8FFDFA8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71" authorId="0" shapeId="0" xr:uid="{910A3BDE-AC47-4470-B76B-A7CD5707509C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71" authorId="0" shapeId="0" xr:uid="{66B695AC-0A6F-49FF-A967-0583B3A8EEC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71" authorId="0" shapeId="0" xr:uid="{B586D7ED-E418-4D1D-99A1-CFA6244CB836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D71" authorId="0" shapeId="0" xr:uid="{9348C18C-E7E3-43E1-AEB2-EC6801E1A042}">
      <text>
        <r>
          <rPr>
            <b/>
            <sz val="9"/>
            <color indexed="81"/>
            <rFont val="Tahoma"/>
            <family val="2"/>
          </rPr>
          <t>25/08/2022
05/05/2024</t>
        </r>
      </text>
    </comment>
    <comment ref="EW71" authorId="0" shapeId="0" xr:uid="{963F4CD3-18A7-4D31-86BD-2BF9C25CD93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GF71" authorId="0" shapeId="0" xr:uid="{3BBC831B-61C8-4CCD-BC39-766D6B21C298}">
      <text>
        <r>
          <rPr>
            <b/>
            <sz val="9"/>
            <color indexed="81"/>
            <rFont val="Tahoma"/>
            <family val="2"/>
          </rPr>
          <t>23/08/2022</t>
        </r>
      </text>
    </comment>
    <comment ref="AL72" authorId="0" shapeId="0" xr:uid="{D84003E8-8AB8-40CA-AEF3-5AA21989BF92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72" authorId="0" shapeId="0" xr:uid="{F59AA454-04CA-4DD2-A575-CA3AC9EBA6C9}">
      <text>
        <r>
          <rPr>
            <b/>
            <sz val="9"/>
            <color indexed="81"/>
            <rFont val="Tahoma"/>
            <family val="2"/>
          </rPr>
          <t>10/03/2022
28/11/2023</t>
        </r>
      </text>
    </comment>
    <comment ref="AV72" authorId="0" shapeId="0" xr:uid="{5004C9BE-D54F-4942-B593-F214FACE1CF3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2" authorId="0" shapeId="0" xr:uid="{4240FA71-DFD5-4905-93FA-CDC15D75F00A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N72" authorId="0" shapeId="0" xr:uid="{12224EE4-9A56-4355-B161-3CF4ED662C8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72" authorId="1" shapeId="0" xr:uid="{301EBD4C-50C7-44F1-B2F1-4B907B68E44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M72" authorId="1" shapeId="0" xr:uid="{5949AEDB-1CE6-44D0-A1A9-E7D80AA3147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G72" authorId="1" shapeId="0" xr:uid="{F848DBD3-3D44-4CEF-BDA2-8E8DBD87DB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05/07/2021</t>
        </r>
      </text>
    </comment>
    <comment ref="GF72" authorId="1" shapeId="0" xr:uid="{594F31FD-B09E-4FBB-BEDD-A4659B2C73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GK72" authorId="0" shapeId="0" xr:uid="{7617F0B4-2C85-4FBF-BAA2-A4A65F79C68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4" authorId="0" shapeId="0" xr:uid="{AD38526D-6D33-4A2F-865D-874C0DB15C9D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EW74" authorId="0" shapeId="0" xr:uid="{392372A2-E06D-4FA7-A449-32E517CF64E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74" authorId="0" shapeId="0" xr:uid="{85FEC061-8028-4363-B1A1-25C6028C0A9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75" authorId="0" shapeId="0" xr:uid="{CD9EF3BA-F8C5-483D-8242-B9BCE7368858}">
      <text>
        <r>
          <rPr>
            <b/>
            <sz val="9"/>
            <color indexed="81"/>
            <rFont val="Tahoma"/>
            <family val="2"/>
          </rPr>
          <t>14/03/2025</t>
        </r>
      </text>
    </comment>
    <comment ref="AQ75" authorId="0" shapeId="0" xr:uid="{3CC1EAF7-12EE-4011-AE99-7C3841CEF53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AV75" authorId="0" shapeId="0" xr:uid="{99E40AF0-B1C5-4442-8180-7C132A160484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5" authorId="0" shapeId="0" xr:uid="{AD05DF71-F63D-4684-AA10-A193FF268C4E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P75" authorId="1" shapeId="0" xr:uid="{E52805F6-4988-4200-8FC2-BA3494E1167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Z75" authorId="0" shapeId="0" xr:uid="{E94274AA-90A8-4847-B816-2E0E10426586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O75" authorId="1" shapeId="0" xr:uid="{9A955716-E3F2-4FEE-84EE-4E30E3528E8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75" authorId="1" shapeId="0" xr:uid="{9015890E-B773-46BD-A366-F41899A502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S75" authorId="1" shapeId="0" xr:uid="{4B97F166-28E4-4B12-AE49-1E8E73CB3D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EW75" authorId="0" shapeId="0" xr:uid="{B8378E6E-FDA0-48B5-BED8-1A02B7245C39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G75" authorId="0" shapeId="0" xr:uid="{3F5F690D-E762-4AD6-86DD-F89A0FFEADB0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L75" authorId="1" shapeId="0" xr:uid="{E2711C02-EF41-458E-B84D-615E12DB447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GK75" authorId="0" shapeId="0" xr:uid="{814D0943-B121-47C1-8704-3FCC736561F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6" authorId="0" shapeId="0" xr:uid="{8CD989A2-8B08-497D-81FA-81B348CBB66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76" authorId="0" shapeId="0" xr:uid="{2D405AD2-71FA-4B7F-B170-FF95C7581FFB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A76" authorId="0" shapeId="0" xr:uid="{3F338AC3-9DD4-41CA-B518-8A39F9B362D8}">
      <text>
        <r>
          <rPr>
            <b/>
            <sz val="9"/>
            <color indexed="81"/>
            <rFont val="Tahoma"/>
            <family val="2"/>
          </rPr>
          <t>05/10/2022</t>
        </r>
      </text>
    </comment>
    <comment ref="BZ76" authorId="0" shapeId="0" xr:uid="{25F381F0-99DE-4513-88B7-C2D78E98514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Y76" authorId="1" shapeId="0" xr:uid="{01A9150A-D2EB-4C16-82BE-AD2D82F9752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01/08/2022</t>
        </r>
      </text>
    </comment>
    <comment ref="DI76" authorId="0" shapeId="0" xr:uid="{75FC4FD6-39CC-4FD8-A5DA-0D6F20467B6A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FG76" authorId="0" shapeId="0" xr:uid="{61E1FF15-B458-4E15-93FE-43B74013FBC7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A76" authorId="0" shapeId="0" xr:uid="{26F1C4B7-B15D-45B9-955B-26703076C02E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GK76" authorId="0" shapeId="0" xr:uid="{F6A6FE6C-DC38-4AFF-94E5-2B78BE545954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Q77" authorId="0" shapeId="0" xr:uid="{9A6FB6EA-5FF1-47DC-BE5D-D1F5724CA387}">
      <text>
        <r>
          <rPr>
            <b/>
            <sz val="9"/>
            <color indexed="81"/>
            <rFont val="Tahoma"/>
            <family val="2"/>
          </rPr>
          <t>17/09/2022</t>
        </r>
      </text>
    </comment>
    <comment ref="CY77" authorId="1" shapeId="0" xr:uid="{9C6ADF74-C572-41A9-A8FE-A23AAF4CDF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EC77" authorId="0" shapeId="0" xr:uid="{AE02663E-671D-43F0-818F-4A6F0FE7418F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L77" authorId="0" shapeId="0" xr:uid="{80B12EC1-EAB5-4CAD-95A9-8EC8DCC7BEF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A77" authorId="0" shapeId="0" xr:uid="{71D7795F-EADB-4C1F-AF24-6B0633AC3BD1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78" authorId="0" shapeId="0" xr:uid="{559086B1-1035-46D6-B512-BC2DF76C0C38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BF78" authorId="0" shapeId="0" xr:uid="{1445A863-71C5-40C3-A7BA-F1027DFC9F13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ER78" authorId="0" shapeId="0" xr:uid="{58EC6B8F-B237-4C64-8215-ABA78FA4ED6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GA78" authorId="0" shapeId="0" xr:uid="{E17315C6-A0B9-4819-8941-D69C505D8ECC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84" authorId="0" shapeId="0" xr:uid="{EB8E627B-2197-4763-BAAD-BDE907F1C46A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84" authorId="0" shapeId="0" xr:uid="{2369FAA7-86B4-4956-9F2F-2D8B20E5AAC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84" authorId="0" shapeId="0" xr:uid="{0D2D7856-E15A-4DBF-B02A-3D1F92E8606C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84" authorId="0" shapeId="0" xr:uid="{23BD36C7-E92A-4783-B5C6-AF720A509C93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CY84" authorId="0" shapeId="0" xr:uid="{1A97DC53-D639-4F52-B281-0BD5864A9A5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I84" authorId="0" shapeId="0" xr:uid="{DD3B19CC-D497-463E-B368-0EA46D64E3A8}">
      <text>
        <r>
          <rPr>
            <b/>
            <sz val="9"/>
            <color indexed="81"/>
            <rFont val="Tahoma"/>
            <family val="2"/>
          </rPr>
          <t>02/04/2024</t>
        </r>
      </text>
    </comment>
    <comment ref="EW84" authorId="0" shapeId="0" xr:uid="{9766F18E-9D66-4D22-8F7C-AE60912B2E57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EW85" authorId="0" shapeId="0" xr:uid="{8FE1F41B-75BE-499F-8B6A-984CC792D3C2}">
      <text>
        <r>
          <rPr>
            <b/>
            <sz val="9"/>
            <color indexed="81"/>
            <rFont val="Tahoma"/>
            <family val="2"/>
          </rPr>
          <t>08/08/2022</t>
        </r>
      </text>
    </comment>
    <comment ref="AQ87" authorId="0" shapeId="0" xr:uid="{B1F8D34B-CAAD-4F36-A3C3-1CBE977136D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V87" authorId="0" shapeId="0" xr:uid="{A788729B-14FD-4BBA-9180-72264FFB55F9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87" authorId="0" shapeId="0" xr:uid="{8441984E-E8D2-4615-ABBC-D5E32563E6AA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87" authorId="0" shapeId="0" xr:uid="{ED382536-7EC6-4399-943F-78B0C54C6F4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J87" authorId="0" shapeId="0" xr:uid="{4DE64C68-0A50-4DB3-AF34-570DB371B9DB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87" authorId="0" shapeId="0" xr:uid="{2AEF465B-1EB2-48AC-9A72-D6A3CC238449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87" authorId="0" shapeId="0" xr:uid="{0B1E3FBF-198E-4820-96D2-CA6482D007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S87" authorId="0" shapeId="0" xr:uid="{193D6C58-78DD-4C5A-A483-B0B7BA24DAB1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87" authorId="0" shapeId="0" xr:uid="{22E37065-3712-4EE8-9A9A-F114BC821BA4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C87" authorId="0" shapeId="0" xr:uid="{D4021AD2-7260-47A6-BBF2-93767AA02233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M87" authorId="0" shapeId="0" xr:uid="{1B6E0D60-A03A-466D-A796-B8DE5E0EE189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R87" authorId="0" shapeId="0" xr:uid="{05495E52-51CE-4131-972A-96DC65654B96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Q87" authorId="0" shapeId="0" xr:uid="{55397D3A-7D77-4AA6-BFB8-A2A5927B2A3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87" authorId="0" shapeId="0" xr:uid="{83A64687-4EDA-4C8B-8C3F-C1D25AD6C86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GF87" authorId="0" shapeId="0" xr:uid="{F0C910E3-1EBD-484A-92D6-623E5BAFD3A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GK87" authorId="0" shapeId="0" xr:uid="{F3703AFC-53EF-413C-85D2-E97107A334AF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LF87" authorId="0" shapeId="0" xr:uid="{F1B15691-CECA-406C-8582-663C93E0A50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AG88" authorId="0" shapeId="0" xr:uid="{2E7BC599-2A2B-4045-AA2A-66E592A1EA5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Q88" authorId="0" shapeId="0" xr:uid="{A909E2E2-9952-491F-8260-6918888F1ED7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88" authorId="0" shapeId="0" xr:uid="{3C0D5D39-9D42-452A-A0B9-0F95CD6D02F1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88" authorId="0" shapeId="0" xr:uid="{C7AE3D9D-EB38-4A4D-B585-DC2ED75F1B8E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G89" authorId="0" shapeId="0" xr:uid="{08DDE0DD-6569-4854-BE52-40191504D93F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89" authorId="0" shapeId="0" xr:uid="{3CAA45E2-CBC0-4267-9867-91B13FE7E506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V89" authorId="0" shapeId="0" xr:uid="{9A40B45E-802C-47C9-B5BD-2523F96F6D32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F89" authorId="0" shapeId="0" xr:uid="{E1CD3810-A27C-4FE8-ACE1-AA5F10941E4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89" authorId="0" shapeId="0" xr:uid="{D1CD02A7-32D7-4CAA-8B95-233DF1B12FC2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89" authorId="0" shapeId="0" xr:uid="{A984BF2C-E2C9-4CC0-9745-4FE4347E444E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CO89" authorId="0" shapeId="0" xr:uid="{3DAA8D0A-9628-447A-84EF-CF65F55DB64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89" authorId="0" shapeId="0" xr:uid="{8E52656A-C7AC-469F-8A09-C7A73F45725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89" authorId="0" shapeId="0" xr:uid="{9B8413DA-B677-432B-B39F-E21742056C0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89" authorId="0" shapeId="0" xr:uid="{C02BBB4B-DE24-4DC7-9893-57AC7299530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89" authorId="0" shapeId="0" xr:uid="{5EB37028-D7FA-4CF4-99C1-D43333483D6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B89" authorId="0" shapeId="0" xr:uid="{4CB6F2DB-F1E0-4F65-BBE0-B81C35931A95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89" authorId="0" shapeId="0" xr:uid="{95A0DDFA-1BE6-46A2-B934-A04F6A7BC4B5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GF89" authorId="0" shapeId="0" xr:uid="{B6B84A7A-CAD9-4825-89D9-5C9F160CA0E1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90" authorId="0" shapeId="0" xr:uid="{7809295A-FD11-4003-84D4-8AB10A3B188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90" authorId="0" shapeId="0" xr:uid="{2248723F-F09F-48EC-B61D-172E81DB83E8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90" authorId="0" shapeId="0" xr:uid="{35A7E186-A3D4-495B-8DF3-1D02FD24767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90" authorId="0" shapeId="0" xr:uid="{53C32493-5BB5-47C9-8E47-13C6CE7DA18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90" authorId="0" shapeId="0" xr:uid="{B3B04755-FB57-417A-9DC0-17230693D3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90" authorId="0" shapeId="0" xr:uid="{C293CBF4-F5B8-40E3-B352-2BADCB914A44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J90" authorId="0" shapeId="0" xr:uid="{EF9C8B6C-916C-4EA0-8EEB-FEAD562FCB1D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90" authorId="0" shapeId="0" xr:uid="{09375CC7-1378-404B-B7AD-E510DDC5104A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90" authorId="0" shapeId="0" xr:uid="{8990D24A-0DF0-4005-A563-7E687EC0D2A8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X90" authorId="0" shapeId="0" xr:uid="{5CE9E12A-CDDF-45B9-BA01-57274016D5DD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C90" authorId="0" shapeId="0" xr:uid="{BDD9560A-A940-47E6-8EAC-01756D6B991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M90" authorId="0" shapeId="0" xr:uid="{D9E546FD-08DB-4E1D-96BD-D93BDF990013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G90" authorId="0" shapeId="0" xr:uid="{3688DCDE-FAD8-4D71-9326-FCEF387B99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90" authorId="0" shapeId="0" xr:uid="{CFF2C8EA-A1ED-40ED-A334-86E0746BEB1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90" authorId="0" shapeId="0" xr:uid="{512D5ACD-9368-467B-8AB4-CE029D4FF9C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90" authorId="0" shapeId="0" xr:uid="{49B57FC3-E0A4-4D62-B71C-28BDFFE72B35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92" authorId="0" shapeId="0" xr:uid="{0E9EEC79-F78F-4787-920F-153D689F0178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92" authorId="0" shapeId="0" xr:uid="{3F294D9F-7FD1-4AF8-992B-49373091004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92" authorId="0" shapeId="0" xr:uid="{BA4C77B1-0986-41F0-A2D4-9AE790298F2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92" authorId="0" shapeId="0" xr:uid="{6D1DF21D-A0B0-42C4-98E5-BD8ADDE4DBAE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A92" authorId="0" shapeId="0" xr:uid="{6B8355B7-B6C2-4E28-AF81-62595B54C73E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U92" authorId="0" shapeId="0" xr:uid="{C74534DB-8FB2-4D7D-941F-6F8138851E92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ER92" authorId="0" shapeId="0" xr:uid="{ADDFDF4F-8D9B-4759-B559-B19320D73B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FG92" authorId="0" shapeId="0" xr:uid="{87154B57-13BC-45BE-B336-A3A463A412CB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93" authorId="0" shapeId="0" xr:uid="{EA515DC0-5C24-40A3-A719-3E3C4913E15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A93" authorId="1" shapeId="0" xr:uid="{5FCAD083-F62A-4F2D-92F5-CF5C1ED4382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FL93" authorId="1" shapeId="0" xr:uid="{E40841E9-F4DA-4031-AEB4-F0E325CF6B1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K93" authorId="0" shapeId="0" xr:uid="{F009460E-35C9-4656-856C-21B4BF733EF4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96" authorId="0" shapeId="0" xr:uid="{7634DFAF-3EF8-47CC-BB15-B0FB10ED866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F96" authorId="0" shapeId="0" xr:uid="{E6BF26CF-2BFF-4F33-ADF0-9A2DFE73792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K96" authorId="0" shapeId="0" xr:uid="{497FF211-4A7B-4B20-A782-74D996A3132D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96" authorId="0" shapeId="0" xr:uid="{7DC75CC4-4446-4FE8-A0CF-72E926ECFEB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B96" authorId="0" shapeId="0" xr:uid="{151469B0-1CF6-4011-8A47-5C435CE256A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96" authorId="0" shapeId="0" xr:uid="{8E49C377-B7FC-4042-B853-55EE8179190C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98" authorId="0" shapeId="0" xr:uid="{2460C986-FA75-49EB-8BC0-89A72495E050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100" authorId="0" shapeId="0" xr:uid="{BAADED7D-C6C0-4F20-9E65-F9C7720B9D7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0" authorId="0" shapeId="0" xr:uid="{66EC9A22-95F7-4FBD-81E1-354ADEAF4C3F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00" authorId="0" shapeId="0" xr:uid="{E4EFF23C-515D-4594-BEC4-FDE1670EBC6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00" authorId="0" shapeId="0" xr:uid="{6CD1079A-0E52-41C1-8E1B-CDBE2CD42B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00" authorId="0" shapeId="0" xr:uid="{1DC37EC4-07A3-4105-805C-0E73A822BBB5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00" authorId="0" shapeId="0" xr:uid="{20CA54DB-86F4-4C6D-B088-82D015B327C7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00" authorId="0" shapeId="0" xr:uid="{3310BFDF-0F8F-46C2-8DFC-A98B95DDCF0A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CO100" authorId="0" shapeId="0" xr:uid="{B2DB97B2-EB17-4496-8663-2DD449CFD2B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100" authorId="1" shapeId="0" xr:uid="{C375FE39-F06E-407B-8C53-D82F2B8DEEE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100" authorId="0" shapeId="0" xr:uid="{A79B0810-1E3F-47E6-B4C0-5B1F71BA67F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00" authorId="0" shapeId="0" xr:uid="{13BB1125-108A-4F0D-92DF-69A02C0E2FB7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00" authorId="0" shapeId="0" xr:uid="{B1357DAC-8AF1-495B-A178-06B1D744E57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00" authorId="0" shapeId="0" xr:uid="{4F8DF0F3-C0CD-463A-9088-B4C780BCA95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100" authorId="0" shapeId="0" xr:uid="{49D0B6F8-A695-46C3-9C43-CB667319F17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B100" authorId="0" shapeId="0" xr:uid="{36567FCF-45B0-4DD9-8E81-95A89C328158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100" authorId="0" shapeId="0" xr:uid="{F532F76D-EB26-4516-BFAF-EEE6B56322C1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FL100" authorId="0" shapeId="0" xr:uid="{DFB17066-C191-4DDF-8FE6-E124F1C34C8D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00" authorId="0" shapeId="0" xr:uid="{68EE6978-028E-4E22-9DF6-210D6A059D64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00" authorId="0" shapeId="0" xr:uid="{3C44BA32-76DB-4509-BA15-FFE77896E71E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F100" authorId="0" shapeId="0" xr:uid="{1DFAA7D0-FAA4-4AB4-BC8B-75274B6DCBA4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100" authorId="0" shapeId="0" xr:uid="{9C78D7AC-AC2F-494F-B8F7-366E7B053114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01" authorId="0" shapeId="0" xr:uid="{D802DE81-EFC8-4211-B7B5-18FDB01D7BE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A101" authorId="0" shapeId="0" xr:uid="{B30EBBA0-856A-43FA-9C5B-80A908386D32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BK101" authorId="0" shapeId="0" xr:uid="{324D502C-2A51-4720-8E02-2B57EFBF2835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O101" authorId="0" shapeId="0" xr:uid="{E8B3F1A9-DF1D-426C-99BB-708C2FEDEDEF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DI101" authorId="0" shapeId="0" xr:uid="{C9A10088-1574-4B21-A74B-F440EA0A6185}">
      <text>
        <r>
          <rPr>
            <b/>
            <sz val="9"/>
            <color indexed="81"/>
            <rFont val="Tahoma"/>
            <family val="2"/>
          </rPr>
          <t>20/08/2022</t>
        </r>
      </text>
    </comment>
    <comment ref="DX101" authorId="0" shapeId="0" xr:uid="{FDFE4E7D-4171-4C40-B563-F9B47D8C3F14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EC101" authorId="0" shapeId="0" xr:uid="{D70112EA-0F4C-4640-A331-C1B6CDF72EB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G101" authorId="0" shapeId="0" xr:uid="{4380E5AC-91D7-4350-A240-C81A582036B1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GF101" authorId="0" shapeId="0" xr:uid="{F7B06A17-B2F7-4A69-9F23-1B8D169410D6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GK101" authorId="0" shapeId="0" xr:uid="{788FBA14-673D-4850-A498-BD798153653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02" authorId="0" shapeId="0" xr:uid="{060E8008-B1D9-4532-AB92-2E496A50C5B9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02" authorId="0" shapeId="0" xr:uid="{DD517299-1A8C-493C-8C44-D7A96C662F02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102" authorId="0" shapeId="0" xr:uid="{19BB2EA8-0285-44DE-9CAE-9081E18B35A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02" authorId="0" shapeId="0" xr:uid="{EEA16E39-BE73-453B-9CCC-2CF6494206E0}">
      <text>
        <r>
          <rPr>
            <b/>
            <sz val="9"/>
            <color indexed="81"/>
            <rFont val="Tahoma"/>
            <family val="2"/>
          </rPr>
          <t>15/04/2022</t>
        </r>
      </text>
    </comment>
    <comment ref="BK102" authorId="0" shapeId="0" xr:uid="{D947CC66-89B9-4C21-8FF1-111E9F19260B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Z102" authorId="0" shapeId="0" xr:uid="{292BF8CB-B120-4143-A853-276E28CB679E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EW102" authorId="0" shapeId="0" xr:uid="{C3C4E961-B429-450E-B826-83F401500F0B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B102" authorId="0" shapeId="0" xr:uid="{B1828D23-38FA-46E4-BE03-AF23555985F3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AF104" authorId="0" shapeId="0" xr:uid="{FDC62D57-3AA8-46E8-B14A-4C98DF672E93}">
      <text>
        <r>
          <rPr>
            <b/>
            <sz val="9"/>
            <color indexed="81"/>
            <rFont val="Tahoma"/>
            <family val="2"/>
          </rPr>
          <t>Escolaridad secundaria</t>
        </r>
      </text>
    </comment>
    <comment ref="AG105" authorId="0" shapeId="0" xr:uid="{83057A32-7C6B-463B-BF3E-2048CF9949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5" authorId="0" shapeId="0" xr:uid="{66A02A70-FD52-428F-8EE3-0C883B3E1F9E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Z105" authorId="0" shapeId="0" xr:uid="{A732AA54-EB50-4C10-BE6D-8DBCC348E075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DI105" authorId="0" shapeId="0" xr:uid="{D88D76F5-E98F-4817-9B1F-02FAEA43C49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105" authorId="0" shapeId="0" xr:uid="{7E5F1387-BF91-4C7F-815D-CE5848004655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AG108" authorId="0" shapeId="0" xr:uid="{FB5B579C-14B2-4052-AAA7-CB8EB50365CA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08" authorId="0" shapeId="0" xr:uid="{C33D7526-885E-4923-B96F-ABFF794A0A0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AQ108" authorId="0" shapeId="0" xr:uid="{88C7FA72-075F-4BDF-9A6A-6430F0D959D4}">
      <text>
        <r>
          <rPr>
            <b/>
            <sz val="9"/>
            <color indexed="81"/>
            <rFont val="Tahoma"/>
            <family val="2"/>
          </rPr>
          <t>25/05/2022</t>
        </r>
      </text>
    </comment>
    <comment ref="BZ108" authorId="0" shapeId="0" xr:uid="{56E73322-E115-478A-A623-0D3811ADE54A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CT108" authorId="0" shapeId="0" xr:uid="{88819EA4-B9E1-4B50-AAD8-062D53563D60}">
      <text>
        <r>
          <rPr>
            <b/>
            <sz val="9"/>
            <color indexed="81"/>
            <rFont val="Tahoma"/>
            <family val="2"/>
          </rPr>
          <t>24/05/2022</t>
        </r>
      </text>
    </comment>
    <comment ref="DI108" authorId="0" shapeId="0" xr:uid="{9C4492E4-0C42-4255-8E2C-E4B6386C0B01}">
      <text>
        <r>
          <rPr>
            <b/>
            <sz val="9"/>
            <color indexed="81"/>
            <rFont val="Tahoma"/>
            <family val="2"/>
          </rPr>
          <t>26/05/2022</t>
        </r>
      </text>
    </comment>
    <comment ref="DN108" authorId="0" shapeId="0" xr:uid="{579D56D2-3303-42FE-B6ED-EF95047296FB}">
      <text>
        <r>
          <rPr>
            <b/>
            <sz val="9"/>
            <color indexed="81"/>
            <rFont val="Tahoma"/>
            <family val="2"/>
          </rPr>
          <t>23/05/2022</t>
        </r>
      </text>
    </comment>
    <comment ref="FG108" authorId="0" shapeId="0" xr:uid="{F4549FE7-C151-4C0F-8E4C-73A9B35B40E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L110" authorId="0" shapeId="0" xr:uid="{B446EDE6-672A-4B45-9BE3-5F849B66C41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V110" authorId="1" shapeId="0" xr:uid="{3FAC46A8-B6DA-4ADD-A1E3-31DDC17C945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11/04/2022</t>
        </r>
      </text>
    </comment>
    <comment ref="BK110" authorId="0" shapeId="0" xr:uid="{70C942B8-48D5-46E6-8183-C04547DC63F3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DN110" authorId="0" shapeId="0" xr:uid="{3B99E502-85D2-406D-A666-AF787CFF1DC1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GK110" authorId="0" shapeId="0" xr:uid="{56CA5362-FA9C-4045-97A2-20E7B7CC17BE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11" authorId="0" shapeId="0" xr:uid="{9D25EC1A-6E18-4B7D-AA0F-86FC7C0FE8E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FG111" authorId="0" shapeId="0" xr:uid="{AF9D2D94-17F6-418A-B431-C55D4194F435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13" authorId="0" shapeId="0" xr:uid="{1E206D01-FD9B-4C85-826C-0CB792722AC8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CJ113" authorId="1" shapeId="0" xr:uid="{ACE87285-C79A-443D-B5AD-CA3771009B8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O113" authorId="1" shapeId="0" xr:uid="{74287237-D5F3-4BDF-B658-2FC6E55AE5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DN113" authorId="0" shapeId="0" xr:uid="{3AF3D1CE-5309-485B-9DD0-0F8700B74002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113" authorId="1" shapeId="0" xr:uid="{5CD1A7A2-BC9A-4729-8D51-E02D90CA98D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M113" authorId="1" shapeId="0" xr:uid="{592F0C92-40B8-4479-A8D4-25EA5623CF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W113" authorId="0" shapeId="0" xr:uid="{AAEFD15C-3E11-4584-83E4-1DA1499D303D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13" authorId="0" shapeId="0" xr:uid="{6D72C78E-3614-41A0-873B-E9EB9222599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113" authorId="1" shapeId="0" xr:uid="{CC128B92-54CA-48FE-8912-7CDF6CF6214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Z113" authorId="1" shapeId="0" xr:uid="{C0C15DF6-29DB-40EC-9633-2A50BF92499D}">
      <text>
        <r>
          <rPr>
            <b/>
            <sz val="9"/>
            <color indexed="81"/>
            <rFont val="Tahoma"/>
            <family val="2"/>
          </rPr>
          <t xml:space="preserve">07/04/2021
</t>
        </r>
      </text>
    </comment>
    <comment ref="AL114" authorId="0" shapeId="0" xr:uid="{077D1020-163C-4F28-8314-7DF07695AA7C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14" authorId="0" shapeId="0" xr:uid="{4E236C37-B904-4F1E-A23F-CB673771A9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114" authorId="0" shapeId="0" xr:uid="{E157BA8C-3D6D-481A-A4DE-F492F72770E7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CJ114" authorId="0" shapeId="0" xr:uid="{97939B31-8335-44FA-A8AA-A43F82D1AEE7}">
      <text>
        <r>
          <rPr>
            <b/>
            <sz val="9"/>
            <color indexed="81"/>
            <rFont val="Tahoma"/>
            <family val="2"/>
          </rPr>
          <t>09/05/2022</t>
        </r>
      </text>
    </comment>
    <comment ref="DI114" authorId="0" shapeId="0" xr:uid="{E4574359-E729-4BF4-8584-CC81F07325DF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DS114" authorId="0" shapeId="0" xr:uid="{70A66EAC-AE7E-458F-8FCA-B37ACEA47077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DX114" authorId="0" shapeId="0" xr:uid="{49B161B1-F3DB-494D-B99F-AE357A5E2C5C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M114" authorId="1" shapeId="0" xr:uid="{BD909530-418B-4E74-8D08-590946378F6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14/03/2023</t>
        </r>
      </text>
    </comment>
    <comment ref="EW114" authorId="0" shapeId="0" xr:uid="{EDD36600-7C67-4AAC-893A-9E9366AA308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14" authorId="0" shapeId="0" xr:uid="{DB7A9C00-DFF1-4033-89B6-88F66D65BE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K114" authorId="0" shapeId="0" xr:uid="{0753769F-3FA2-4089-A6F7-50FA14E66E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GA116" authorId="0" shapeId="0" xr:uid="{090F56E4-74B0-40F0-B37B-3CDAA70FC4C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117" authorId="0" shapeId="0" xr:uid="{AA220BA8-A778-4090-B180-E3E46E6BA14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G117" authorId="0" shapeId="0" xr:uid="{F5D47EB4-F327-4F26-BD03-5A96D9C14EBE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AQ118" authorId="0" shapeId="0" xr:uid="{3E962AA1-4E57-4C55-B7A2-92221EEC4717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18" authorId="0" shapeId="0" xr:uid="{DF086BDD-F7D2-4A13-B38A-53C2AA5DCE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18" authorId="0" shapeId="0" xr:uid="{1210A750-684B-48AF-853F-9C21B632090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F118" authorId="0" shapeId="0" xr:uid="{E6CDC072-908C-4612-97B5-4FBD56C3594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118" authorId="0" shapeId="0" xr:uid="{F77D5D0B-5F39-4E7E-AAD0-2E2D55678E35}">
      <text>
        <r>
          <rPr>
            <b/>
            <sz val="9"/>
            <color indexed="81"/>
            <rFont val="Tahoma"/>
            <family val="2"/>
          </rPr>
          <t>12/10/2022</t>
        </r>
      </text>
    </comment>
    <comment ref="CJ118" authorId="0" shapeId="0" xr:uid="{5D1417F1-139F-4905-A72F-6587CB7950E6}">
      <text>
        <r>
          <rPr>
            <b/>
            <sz val="9"/>
            <color indexed="81"/>
            <rFont val="Tahoma"/>
            <family val="2"/>
          </rPr>
          <t>08/11/2023</t>
        </r>
      </text>
    </comment>
    <comment ref="CO118" authorId="0" shapeId="0" xr:uid="{537005FF-412B-484D-8A05-DA3657FB922B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Y118" authorId="1" shapeId="0" xr:uid="{ECFED181-9046-4EC2-90C7-715EBC7D85E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I118" authorId="0" shapeId="0" xr:uid="{4D27EB96-CB08-4B4A-8A77-176D035DF04A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118" authorId="0" shapeId="0" xr:uid="{8A0BF465-1CBD-4C12-903F-ECFF70FA90D4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18" authorId="0" shapeId="0" xr:uid="{187CACA8-B7D1-49D3-B8A2-AEA449CE9DE7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W118" authorId="0" shapeId="0" xr:uid="{BACA72D6-9DB1-4A8B-B5B0-5A88CFD3055F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18" authorId="0" shapeId="0" xr:uid="{BF87F4A8-85A3-4C2A-A2AC-A08AE751198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118" authorId="0" shapeId="0" xr:uid="{6EF6B1ED-135A-4E36-8CBC-7FB1F8DA895D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Q118" authorId="0" shapeId="0" xr:uid="{2481C484-A4D3-4B63-A10F-11A13C975FC3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F118" authorId="0" shapeId="0" xr:uid="{2CB15CEA-7F33-4959-822B-FB5153C3F179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19" authorId="0" shapeId="0" xr:uid="{99D324DE-2B26-450B-9A4B-7EEA5AAB076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L119" authorId="0" shapeId="0" xr:uid="{8F77416C-D3FC-4C9F-9D45-AC2FE2DF733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119" authorId="0" shapeId="0" xr:uid="{4F03F06F-A9B2-45B4-A130-4EC0AD5FD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CY119" authorId="0" shapeId="0" xr:uid="{30F57EA3-8D83-4C6D-8965-FBF147A1653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D119" authorId="0" shapeId="0" xr:uid="{0CC7B550-46AD-4008-9367-7D2990DAC8D5}">
      <text>
        <r>
          <rPr>
            <b/>
            <sz val="9"/>
            <color indexed="81"/>
            <rFont val="Tahoma"/>
            <family val="2"/>
          </rPr>
          <t>18/08/2022</t>
        </r>
      </text>
    </comment>
    <comment ref="DI119" authorId="0" shapeId="0" xr:uid="{C527DE74-F051-490A-91A6-720FBC1FB20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119" authorId="0" shapeId="0" xr:uid="{77E61F1D-BBF9-42DE-B053-1E531E1D205E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AL122" authorId="0" shapeId="0" xr:uid="{59352D7D-A5D9-4E17-9240-0371B90FF598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22" authorId="0" shapeId="0" xr:uid="{389677E0-BC7F-4914-84E1-A96395B7420F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2" authorId="0" shapeId="0" xr:uid="{1A9E186D-722C-4D82-BA27-2EC24588C6DC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Z122" authorId="1" shapeId="0" xr:uid="{9715ED3A-B5EF-4217-8430-1DCAAC6475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</t>
        </r>
      </text>
    </comment>
    <comment ref="CJ122" authorId="1" shapeId="0" xr:uid="{CA4C72CB-B6D2-40DC-835E-145A609AF44D}">
      <text>
        <r>
          <rPr>
            <b/>
            <sz val="9"/>
            <color indexed="81"/>
            <rFont val="Tahoma"/>
            <family val="2"/>
          </rPr>
          <t xml:space="preserve">15/07/2021
</t>
        </r>
      </text>
    </comment>
    <comment ref="CO122" authorId="1" shapeId="0" xr:uid="{0610FA8A-3FBF-43B1-8A4C-F5E2962FDB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122" authorId="0" shapeId="0" xr:uid="{538963EC-CF50-459C-85A7-3AD51C3C920C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DS122" authorId="1" shapeId="0" xr:uid="{C097F4E5-22FC-447F-9E95-B6AF78614DC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AL123" authorId="0" shapeId="0" xr:uid="{E63BD21D-F986-4673-8571-F2D175F9120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23" authorId="0" shapeId="0" xr:uid="{6D2F1FC1-6D99-4C7A-82CC-5E5FFC783A7A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123" authorId="0" shapeId="0" xr:uid="{50FB44F6-15D7-4EFF-93A4-DFF13737FAFB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123" authorId="0" shapeId="0" xr:uid="{DDF31357-6BE7-434F-A2D7-CB0BF15A91B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3" authorId="0" shapeId="0" xr:uid="{7BA05688-CD07-4951-90CC-004F3636B4D0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J123" authorId="1" shapeId="0" xr:uid="{52773741-F09E-4711-9C96-AC3FE1FE38D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Y123" authorId="1" shapeId="0" xr:uid="{27F7F60A-DC78-498B-8B88-9199E611064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I123" authorId="0" shapeId="0" xr:uid="{D4681AC9-00C8-456F-B7F6-7A878FF6C140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M123" authorId="1" shapeId="0" xr:uid="{835021CB-456A-436A-9EDA-3335CEF403A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L123" authorId="1" shapeId="0" xr:uid="{0D107A4B-036F-437B-8672-F824CD5E10B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123" authorId="1" shapeId="0" xr:uid="{E9E3303C-46D5-4EC4-8F18-17D12AD903A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GA123" authorId="0" shapeId="0" xr:uid="{6CD0CCBF-A0EF-4156-AF7C-62300FF04103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23" authorId="0" shapeId="0" xr:uid="{EC292D4C-5A66-4C22-A138-97BA19C78DC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124" authorId="0" shapeId="0" xr:uid="{7038F57F-581C-46DD-B21D-81A727A9015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4" authorId="0" shapeId="0" xr:uid="{0550D178-26FD-4813-A68C-C1826C15D9F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A124" authorId="0" shapeId="0" xr:uid="{947F08B0-2EE1-45E0-8ACB-E365AC1A4B9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125" authorId="0" shapeId="0" xr:uid="{5524A0EE-B555-47E3-BF0D-3B8B447B4DC7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5" authorId="0" shapeId="0" xr:uid="{63AEC702-2DB0-4E7A-8086-E110D55232E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5" authorId="0" shapeId="0" xr:uid="{7712C960-202C-4FF3-9FF9-0A31EFBDC38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125" authorId="0" shapeId="0" xr:uid="{B8EF11BC-D80C-4850-A738-34F25EEE04E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5" authorId="0" shapeId="0" xr:uid="{8994B13E-20E7-4E06-AE1B-36182756D58A}">
      <text>
        <r>
          <rPr>
            <sz val="9"/>
            <color indexed="81"/>
            <rFont val="Tahoma"/>
            <family val="2"/>
          </rPr>
          <t xml:space="preserve">23/03/2022
</t>
        </r>
      </text>
    </comment>
    <comment ref="ER125" authorId="0" shapeId="0" xr:uid="{9914604C-4629-492B-8A5B-52A4F6ADB8F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25" authorId="0" shapeId="0" xr:uid="{F4247B6B-B81D-4EB9-ACC3-00505EC4A092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25" authorId="0" shapeId="0" xr:uid="{8FE955DD-4B38-4C7B-BACC-6FEB33213EF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A125" authorId="0" shapeId="0" xr:uid="{C0EF06EC-843F-49C5-BC7B-3F20145EF29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25" authorId="0" shapeId="0" xr:uid="{8DA9FFB3-861D-4DA1-AD3F-27D4FA45AC01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26" authorId="0" shapeId="0" xr:uid="{CA622B1A-1583-4C31-A651-FA1636AC37A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6" authorId="0" shapeId="0" xr:uid="{4C0206A3-40A2-49EB-A9AA-4B672BD1832C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F126" authorId="0" shapeId="0" xr:uid="{B7A4B7DF-F56F-4638-B265-30C4FE80D7A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A127" authorId="0" shapeId="0" xr:uid="{26C490E2-27E4-4434-96AC-4ACA765B230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7" authorId="0" shapeId="0" xr:uid="{DB85C432-E6FC-4E93-BD0F-6742D9A354C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A127" authorId="0" shapeId="0" xr:uid="{57B7367E-C2C5-4B4A-8F83-CAFBE8CBED8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BA128" authorId="0" shapeId="0" xr:uid="{6DF3AE69-E325-4761-A668-1042A651FC2E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K128" authorId="0" shapeId="0" xr:uid="{9921ACB7-2374-4570-8BB1-123A1A767428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CJ128" authorId="0" shapeId="0" xr:uid="{19367433-BB38-4084-A9DE-FEA52908810B}">
      <text>
        <r>
          <rPr>
            <b/>
            <sz val="9"/>
            <color indexed="81"/>
            <rFont val="Tahoma"/>
            <family val="2"/>
          </rPr>
          <t>05/05/2022</t>
        </r>
      </text>
    </comment>
    <comment ref="CO128" authorId="0" shapeId="0" xr:uid="{547D7511-3F6C-435F-8E34-79BF259DAF61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T128" authorId="0" shapeId="0" xr:uid="{F6EF292F-2D64-4FE5-BE70-81773E3B895B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D128" authorId="0" shapeId="0" xr:uid="{CA7A4AC7-30C9-4CB7-9C19-72C4CAFE6257}">
      <text>
        <r>
          <rPr>
            <b/>
            <sz val="9"/>
            <color indexed="81"/>
            <rFont val="Tahoma"/>
            <family val="2"/>
          </rPr>
          <t>31/05/2022</t>
        </r>
      </text>
    </comment>
    <comment ref="DI128" authorId="0" shapeId="0" xr:uid="{6B3F1CF6-DA97-4561-9695-57E206FAC0E0}">
      <text>
        <r>
          <rPr>
            <b/>
            <sz val="9"/>
            <color indexed="81"/>
            <rFont val="Tahoma"/>
            <family val="2"/>
          </rPr>
          <t>04/05/2022</t>
        </r>
      </text>
    </comment>
    <comment ref="DX128" authorId="0" shapeId="0" xr:uid="{787B0BCD-7E92-418E-BE7D-33D9139F18BC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C128" authorId="0" shapeId="0" xr:uid="{E77C1868-3B3C-48DA-B498-E9F2C052BB3C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EM128" authorId="0" shapeId="0" xr:uid="{40FE72E0-7AA9-464B-80EA-23518F53172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EW128" authorId="0" shapeId="0" xr:uid="{49689E10-22E3-4798-85C2-D0DEBA60A66F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Q128" authorId="0" shapeId="0" xr:uid="{C21C7BAA-1A60-4F9B-BEF2-DBC5C4057716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GK128" authorId="0" shapeId="0" xr:uid="{9D18AB13-D04B-4541-87E3-3282881349EC}">
      <text>
        <r>
          <rPr>
            <b/>
            <sz val="9"/>
            <color indexed="81"/>
            <rFont val="Tahoma"/>
            <family val="2"/>
          </rPr>
          <t>28/05/2022</t>
        </r>
      </text>
    </comment>
    <comment ref="AG134" authorId="0" shapeId="0" xr:uid="{D28B6B51-351D-415A-B3D5-163D246671A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34" authorId="0" shapeId="0" xr:uid="{ED4FF0A6-0670-45F3-A96B-82829C576D6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34" authorId="1" shapeId="0" xr:uid="{5199FD76-563C-4FFA-9791-55790F3C5413}">
      <text>
        <r>
          <rPr>
            <sz val="9"/>
            <color indexed="81"/>
            <rFont val="Tahoma"/>
            <family val="2"/>
          </rPr>
          <t xml:space="preserve">23/06/2021
12/03/2022
</t>
        </r>
      </text>
    </comment>
    <comment ref="AV134" authorId="0" shapeId="0" xr:uid="{C7FA6532-17D8-4181-B3FD-A4609A03F120}">
      <text>
        <r>
          <rPr>
            <b/>
            <sz val="9"/>
            <color indexed="81"/>
            <rFont val="Tahoma"/>
            <family val="2"/>
          </rPr>
          <t>04/04/2022</t>
        </r>
      </text>
    </comment>
    <comment ref="BA134" authorId="0" shapeId="0" xr:uid="{6BB4BA55-5772-45B9-9075-CAE48F20151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34" authorId="0" shapeId="0" xr:uid="{4F6B6F8F-BECD-42DA-90C9-CC43C4F563AD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34" authorId="0" shapeId="0" xr:uid="{48C720C0-E161-4F8C-B305-586E9660EB7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CJ134" authorId="1" shapeId="0" xr:uid="{1EF8FDD0-B527-4DCB-9728-B8C35861BDF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Y134" authorId="1" shapeId="0" xr:uid="{BF2A96B3-393E-4A80-BBA9-20D20AC7860E}">
      <text>
        <r>
          <rPr>
            <b/>
            <sz val="9"/>
            <color indexed="81"/>
            <rFont val="Tahoma"/>
            <family val="2"/>
          </rPr>
          <t xml:space="preserve">03/07/2021
</t>
        </r>
      </text>
    </comment>
    <comment ref="DN134" authorId="0" shapeId="0" xr:uid="{D8CBAF2D-28E2-459F-9CBC-0B1A6C29BD6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M134" authorId="1" shapeId="0" xr:uid="{3E3913B4-EAFA-466C-B02E-32993CC7599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L134" authorId="1" shapeId="0" xr:uid="{B2FEFC20-ED46-4197-91D6-08E6DA39F1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A134" authorId="0" shapeId="0" xr:uid="{A869C846-64E5-4F88-9861-180F3FFFE5C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34" authorId="0" shapeId="0" xr:uid="{6608B1D9-6F60-403E-915F-5B29EBECFD7C}">
      <text>
        <r>
          <rPr>
            <b/>
            <sz val="9"/>
            <color indexed="81"/>
            <rFont val="Tahoma"/>
            <family val="2"/>
          </rPr>
          <t>21/06/2021</t>
        </r>
      </text>
    </comment>
    <comment ref="LF134" authorId="0" shapeId="0" xr:uid="{9BB87FD1-F995-4B19-A483-124574FBB32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F136" authorId="0" shapeId="0" xr:uid="{5BE16904-6257-42B2-8C1F-DF42F9846965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36" authorId="0" shapeId="0" xr:uid="{BFEC2E80-5FD6-4882-855C-F3FD339F410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Q136" authorId="0" shapeId="0" xr:uid="{CDF9CDD6-4110-423A-BB45-8972EFDCF6C8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CY136" authorId="0" shapeId="0" xr:uid="{71EBF43D-FE0A-49D1-854B-9BFC0EB6ABCA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136" authorId="0" shapeId="0" xr:uid="{55B405B6-6CA8-4B78-B52D-5C57D2B6A5E2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G136" authorId="0" shapeId="0" xr:uid="{61C77770-C37F-41AA-9B0D-0F9942E57EB2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BZ140" authorId="1" shapeId="0" xr:uid="{D803396F-ED66-42AE-A5D4-13B1FC38453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03/02/2023</t>
        </r>
      </text>
    </comment>
    <comment ref="F141" authorId="0" shapeId="0" xr:uid="{54F005F5-EFC3-4BD3-B0A0-CD19035D577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145" authorId="0" shapeId="0" xr:uid="{77F68DDA-81CB-4B1C-AFF2-CF3B286B3BEE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45" authorId="0" shapeId="0" xr:uid="{AD7AD7AB-D720-4E81-8FC1-9AB1AD444E7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AV145" authorId="0" shapeId="0" xr:uid="{C35A3A22-057F-48A7-9315-855105E6E9AB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F146" authorId="0" shapeId="0" xr:uid="{7389FD13-F798-47F3-80B8-A1AC9F1DC5F2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46" authorId="0" shapeId="0" xr:uid="{EAB5AA0D-0A58-49E3-A44C-E3D5B9B2E821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146" authorId="0" shapeId="0" xr:uid="{60BA53D9-534F-45B1-A39A-FDD7EB0432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O146" authorId="0" shapeId="0" xr:uid="{2043FE87-7815-4069-A4B7-43094CB05064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146" authorId="0" shapeId="0" xr:uid="{C9FA0F84-2FC0-4F7A-BC74-CEE333F16156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D146" authorId="0" shapeId="0" xr:uid="{183ECED9-D0DA-4695-9102-9C51F3663B45}">
      <text>
        <r>
          <rPr>
            <b/>
            <sz val="9"/>
            <color indexed="81"/>
            <rFont val="Tahoma"/>
            <family val="2"/>
          </rPr>
          <t>05/07/2022
05/05/2024</t>
        </r>
      </text>
    </comment>
    <comment ref="DI146" authorId="0" shapeId="0" xr:uid="{B362048F-AA60-41D1-88DA-265092AF7F5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146" authorId="0" shapeId="0" xr:uid="{DF9CDBA0-4B97-407F-9AE4-9683358F9CDD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EC146" authorId="0" shapeId="0" xr:uid="{41EC926C-2101-430A-8EEB-7B152F49123E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FB146" authorId="0" shapeId="0" xr:uid="{8696B503-71A4-4D5D-9897-BB5AB6C9ABF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Q146" authorId="0" shapeId="0" xr:uid="{05435CF3-9F4B-4721-8165-C06F90AB9617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K146" authorId="0" shapeId="0" xr:uid="{28BF27BA-8332-47C4-B0AC-7DD0DB9CE325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148" authorId="0" shapeId="0" xr:uid="{B6B71B3E-7FB0-4AA2-8801-69F38070305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48" authorId="0" shapeId="0" xr:uid="{D12D76B4-E218-4EF8-96BD-985DBA9FC472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48" authorId="0" shapeId="0" xr:uid="{84DF2ADC-C446-4D15-B4EC-025349340715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48" authorId="0" shapeId="0" xr:uid="{C523646A-F1B0-4679-B108-6686E675D26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Z148" authorId="0" shapeId="0" xr:uid="{7E0C5C96-9C79-44CE-9901-A50E267F4FB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B148" authorId="0" shapeId="0" xr:uid="{04AF3D2E-AF75-462B-8BAB-B133E9F3528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48" authorId="0" shapeId="0" xr:uid="{6C2FF2E1-4367-424F-A971-1D6F49B62AA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48" authorId="0" shapeId="0" xr:uid="{CF2119EE-A99C-4E41-BABD-C5DD2BC86445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Q149" authorId="0" shapeId="0" xr:uid="{C23557BB-D55B-466D-B7BF-D4D00A94685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49" authorId="0" shapeId="0" xr:uid="{DF6C4AE0-78FA-4131-807F-7E51D2264507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49" authorId="0" shapeId="0" xr:uid="{2C938D70-CEEA-4346-BCD2-9AC0C1F5F6FB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BZ149" authorId="0" shapeId="0" xr:uid="{636EF66C-1E99-44A8-B63A-D1D96AC1371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I149" authorId="0" shapeId="0" xr:uid="{3605FC18-064A-4ACC-BD2E-41CECE0D734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X149" authorId="0" shapeId="0" xr:uid="{7A60A09B-EBB6-42CE-9972-73DC37E2162A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C149" authorId="0" shapeId="0" xr:uid="{48020079-4AD8-42BB-BF77-4A587FF0341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L149" authorId="0" shapeId="0" xr:uid="{D19A9310-4CA6-4042-8FD4-456A0D12A2BF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A149" authorId="0" shapeId="0" xr:uid="{78BD5FD6-B703-4406-9F36-AF8E8510BAE2}">
      <text>
        <r>
          <rPr>
            <b/>
            <sz val="9"/>
            <color indexed="81"/>
            <rFont val="Tahoma"/>
            <family val="2"/>
          </rPr>
          <t>13/07/2022</t>
        </r>
      </text>
    </comment>
    <comment ref="AQ151" authorId="0" shapeId="0" xr:uid="{E614FEA8-68E2-49A9-8E73-FA81F02686DD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K151" authorId="0" shapeId="0" xr:uid="{04651B96-6E84-4E6C-8858-618E0F3164CF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151" authorId="1" shapeId="0" xr:uid="{C5AC034B-6503-4A4D-9D7F-66CF3F4DC1C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BU151" authorId="1" shapeId="0" xr:uid="{E8BD7D8F-9C51-47BA-9C07-6FCD03E5FA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O151" authorId="1" shapeId="0" xr:uid="{58B55D1D-7FCC-4980-B718-C665DBC3A2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Y151" authorId="1" shapeId="0" xr:uid="{6EC2BF23-58A9-4BA2-8FB3-7841091A6FC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151" authorId="0" shapeId="0" xr:uid="{46D7E647-687F-45A8-979C-860D5E037E8F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151" authorId="1" shapeId="0" xr:uid="{CAD46A4A-480F-4AE4-81BE-2D937CE466C9}">
      <text>
        <r>
          <rPr>
            <b/>
            <sz val="9"/>
            <color indexed="81"/>
            <rFont val="Tahoma"/>
            <family val="2"/>
          </rPr>
          <t xml:space="preserve">09/07/2021
</t>
        </r>
      </text>
    </comment>
    <comment ref="EM151" authorId="1" shapeId="0" xr:uid="{28236803-DDF4-4C34-A0AF-37534E20BD3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R151" authorId="1" shapeId="0" xr:uid="{28465AF1-D3FD-4FAB-A203-B85AF65975A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B151" authorId="0" shapeId="0" xr:uid="{B0E330D5-D8A0-4C2E-82D1-8995578455A3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L151" authorId="1" shapeId="0" xr:uid="{94E9EAFB-B0FE-4CBB-BF5F-8C4A336DD7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151" authorId="1" shapeId="0" xr:uid="{9560BD7A-DD60-4848-A31B-88211D4E191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A151" authorId="1" shapeId="0" xr:uid="{C63F6B5C-666F-461B-9CAB-22865E7269A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F151" authorId="1" shapeId="0" xr:uid="{A906432B-B7D5-40BD-9D15-F927D0068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AQ152" authorId="0" shapeId="0" xr:uid="{78635EA3-ADBA-46C3-A80B-4FA9F56F5F2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152" authorId="0" shapeId="0" xr:uid="{C57A1AC2-CB9E-4BCD-9155-B97C53DF140B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52" authorId="0" shapeId="0" xr:uid="{B880EE09-A9C9-45F0-83DF-C47DD516D78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52" authorId="0" shapeId="0" xr:uid="{12890D04-D266-4A24-8C9F-3780F40DC9AF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J152" authorId="0" shapeId="0" xr:uid="{6DB350C9-0630-4D34-BE65-8EA28C4EEA7B}">
      <text>
        <r>
          <rPr>
            <sz val="9"/>
            <color indexed="81"/>
            <rFont val="Tahoma"/>
            <family val="2"/>
          </rPr>
          <t xml:space="preserve">03/01/2022
</t>
        </r>
      </text>
    </comment>
    <comment ref="DN152" authorId="0" shapeId="0" xr:uid="{9C9C7EC6-7625-40A9-A106-66F2DCFD925F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R152" authorId="0" shapeId="0" xr:uid="{6214E698-53E3-46DD-B5D3-9220095EB31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52" authorId="0" shapeId="0" xr:uid="{1C697FFD-24C0-4734-846B-93A4960DCDC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152" authorId="0" shapeId="0" xr:uid="{A0A98EEC-0AC8-4BCC-BBF1-8D913408B54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152" authorId="0" shapeId="0" xr:uid="{8848F0CB-1F39-4653-9C6D-2B3510202DD9}">
      <text>
        <r>
          <rPr>
            <b/>
            <sz val="9"/>
            <color indexed="81"/>
            <rFont val="Tahoma"/>
            <family val="2"/>
          </rPr>
          <t>13/03/2022</t>
        </r>
      </text>
    </comment>
    <comment ref="GA152" authorId="0" shapeId="0" xr:uid="{83204C6D-741F-4753-BE38-6BC0DC4519F5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52" authorId="0" shapeId="0" xr:uid="{EC504944-8BF6-42D1-A265-5369F972F1D6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153" authorId="0" shapeId="0" xr:uid="{5881EC4E-D440-40F5-B04A-3B63D38DD1E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153" authorId="0" shapeId="0" xr:uid="{37837CD9-7F6C-4A9C-A553-63B80F7522EE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53" authorId="0" shapeId="0" xr:uid="{5387D3B4-E071-49F7-8955-4714584BAD01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Y153" authorId="0" shapeId="0" xr:uid="{F355F8C5-BC34-4733-A414-5ED43E44AC66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AG154" authorId="0" shapeId="0" xr:uid="{AEAA9495-B6B9-434C-8C29-98B16C09878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L154" authorId="0" shapeId="0" xr:uid="{79A1FAF8-2C96-4256-8ED7-180EF3A511E0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4" authorId="0" shapeId="0" xr:uid="{6C73B0D3-7DDC-4776-AE99-A41B42605C8C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V154" authorId="0" shapeId="0" xr:uid="{2242FF30-73E1-4258-A904-20CE9BF884D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A154" authorId="0" shapeId="0" xr:uid="{B026EFF2-CB4C-4A19-BB05-D2E43BC7A79B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154" authorId="0" shapeId="0" xr:uid="{78096307-DA8E-40B8-9F56-67D4B9CF4D0F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BP154" authorId="0" shapeId="0" xr:uid="{F9893012-167C-49FC-A8C4-D260BBF170BF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U154" authorId="0" shapeId="0" xr:uid="{8A77A8A7-556F-4206-BF8D-C05D62240A5F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CJ154" authorId="0" shapeId="0" xr:uid="{211FE8A6-0F96-471C-B3DF-27A2CC055976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O154" authorId="0" shapeId="0" xr:uid="{0592F8DC-872C-4511-AFE2-187AAE7E2D9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T154" authorId="0" shapeId="0" xr:uid="{963CC98E-70E0-4B81-8F2C-417960882C15}">
      <text>
        <r>
          <rPr>
            <b/>
            <sz val="9"/>
            <color indexed="81"/>
            <rFont val="Tahoma"/>
            <family val="2"/>
          </rPr>
          <t>29/03/2022</t>
        </r>
      </text>
    </comment>
    <comment ref="DI154" authorId="0" shapeId="0" xr:uid="{E58096FF-5DBE-4F1A-A058-56170A65C744}">
      <text>
        <r>
          <rPr>
            <b/>
            <sz val="9"/>
            <color indexed="81"/>
            <rFont val="Tahoma"/>
            <family val="2"/>
          </rPr>
          <t>05/03/2022</t>
        </r>
      </text>
    </comment>
    <comment ref="DS154" authorId="0" shapeId="0" xr:uid="{8CF0F45A-210B-41D1-9DB4-38119E4E9DB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54" authorId="0" shapeId="0" xr:uid="{F5FF6F5E-F460-4C5E-8904-16FB338D38F2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C154" authorId="0" shapeId="0" xr:uid="{5655B9BE-2131-4D0F-96F1-1FE69837BA81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W154" authorId="0" shapeId="0" xr:uid="{6DE095EE-D893-4B8E-9329-10AD32D210F7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154" authorId="0" shapeId="0" xr:uid="{9F434711-BC13-4FBC-A187-49F04ABB1D3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154" authorId="0" shapeId="0" xr:uid="{B7DC13BC-1DD9-44DA-8C18-B5FDDCF9563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L154" authorId="0" shapeId="0" xr:uid="{9448E0C0-304D-4593-9742-231D0FA4B7C6}">
      <text>
        <r>
          <rPr>
            <b/>
            <sz val="9"/>
            <color indexed="81"/>
            <rFont val="Tahoma"/>
            <family val="2"/>
          </rPr>
          <t>31/01/2022</t>
        </r>
      </text>
    </comment>
    <comment ref="FQ154" authorId="0" shapeId="0" xr:uid="{34D350A3-9A65-4A88-840C-4F6CB88BAE2D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V154" authorId="1" shapeId="0" xr:uid="{DA35C29D-3457-41CA-ABC8-E98D23FEC25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10/03/2022</t>
        </r>
      </text>
    </comment>
    <comment ref="GF154" authorId="0" shapeId="0" xr:uid="{76261829-3556-40A4-8862-B25E0DB06CE5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GK154" authorId="0" shapeId="0" xr:uid="{5D80CD65-B711-4779-848A-89C1B1A58F5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A156" authorId="0" shapeId="0" xr:uid="{2137AD7E-C118-49EC-A923-377BD7581DA3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O156" authorId="0" shapeId="0" xr:uid="{27373B4B-3BC1-4B21-AF50-839D625C963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T156" authorId="0" shapeId="0" xr:uid="{9BEC35C9-E160-4A42-A192-55B7A9929D6B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DD156" authorId="1" shapeId="0" xr:uid="{B486708E-E1A8-456F-8EE2-8D31617C710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05/08/2022</t>
        </r>
      </text>
    </comment>
    <comment ref="DI156" authorId="0" shapeId="0" xr:uid="{6397BAB3-89DB-4E55-A663-17EB8DB80BFB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DN156" authorId="0" shapeId="0" xr:uid="{E04B892F-BA0E-4E8F-9D25-FD9C380310A0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DX156" authorId="0" shapeId="0" xr:uid="{BDCF6975-0243-4328-B8E7-294E1B56A303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EC156" authorId="0" shapeId="0" xr:uid="{A31DE9A9-A6E0-4FB1-BE8A-51D9DB314EF0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FG156" authorId="0" shapeId="0" xr:uid="{C8512BB2-0519-4AD0-B290-1E5BB0D65205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GA156" authorId="0" shapeId="0" xr:uid="{9C148F17-635C-4D5D-B303-CAC1D22CA2DD}">
      <text>
        <r>
          <rPr>
            <b/>
            <sz val="9"/>
            <color indexed="81"/>
            <rFont val="Tahoma"/>
            <family val="2"/>
          </rPr>
          <t>27/07/2022</t>
        </r>
      </text>
    </comment>
    <comment ref="AL159" authorId="0" shapeId="0" xr:uid="{9EBA35F5-710D-479A-AF27-0CB57A84CC2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9" authorId="1" shapeId="0" xr:uid="{E53FEA0C-8EFC-4314-AFBC-9C506A084B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159" authorId="1" shapeId="0" xr:uid="{E150EC7D-5C23-4617-9300-85BBE2210F7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20/06/2021</t>
        </r>
      </text>
    </comment>
    <comment ref="BA159" authorId="1" shapeId="0" xr:uid="{C1E98B03-6542-4F2E-BD8C-5134D7449B0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159" authorId="1" shapeId="0" xr:uid="{D41F3976-5D7B-4C62-9197-88F4EE86E1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BK159" authorId="0" shapeId="0" xr:uid="{4983750B-C9CA-4625-B1B1-4EF5BC337223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159" authorId="1" shapeId="0" xr:uid="{D6B4FAE0-3F8D-457E-9AC1-312CC7ED236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BZ159" authorId="0" shapeId="0" xr:uid="{B6B4CD0F-13E0-43E1-8CE8-12635D48E04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J159" authorId="1" shapeId="0" xr:uid="{045ADE1F-154C-460D-808E-AA388090A0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O159" authorId="1" shapeId="0" xr:uid="{8FE38760-B231-4199-8C59-9839D46036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159" authorId="1" shapeId="0" xr:uid="{ADFCE32A-B78D-400D-8309-9B41D11B6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X159" authorId="1" shapeId="0" xr:uid="{A1D758F5-3562-4842-B764-C2733C63073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M159" authorId="1" shapeId="0" xr:uid="{385B3F25-EAC4-4720-A34E-0CFF4F7636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W159" authorId="0" shapeId="0" xr:uid="{E082C851-2AF8-498E-9F99-B1C98892ECE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59" authorId="0" shapeId="0" xr:uid="{B2E94490-C1EE-4431-995F-1C1974EC8181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159" authorId="1" shapeId="0" xr:uid="{74D51C1B-CCF5-414A-B3B5-46D3BE0134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K159" authorId="1" shapeId="0" xr:uid="{542D63DB-4245-4EE7-AA31-59829BD9E69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AG160" authorId="0" shapeId="0" xr:uid="{C8F424B6-BCED-4459-8C9F-3F2B8FE1733B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0" authorId="0" shapeId="0" xr:uid="{C32DFAC3-7727-42EB-BAF9-862E76F6C37F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A160" authorId="0" shapeId="0" xr:uid="{C7F14CDD-CA68-406F-B33B-6420A10EB30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DD160" authorId="0" shapeId="0" xr:uid="{B0A00CB6-1E5F-4EEA-8541-54BFCC9D96B4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160" authorId="0" shapeId="0" xr:uid="{118D6BE2-D380-4846-9084-21A8C5FF2E86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60" authorId="0" shapeId="0" xr:uid="{410ED66E-D87B-4CB9-914D-D36BD36A55A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EC160" authorId="0" shapeId="0" xr:uid="{FC5B597B-7ED0-438F-B240-16848714A0F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G160" authorId="0" shapeId="0" xr:uid="{EE4DDF31-FECA-4EB8-BBFA-0107C5B39700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160" authorId="0" shapeId="0" xr:uid="{426287E6-E365-411F-86B0-6448D76C7D2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60" authorId="0" shapeId="0" xr:uid="{D79C20A6-C32C-4F13-9339-3D6A1A05BCFD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160" authorId="0" shapeId="0" xr:uid="{D1BA2E79-8737-4F14-BE99-5332942BF24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161" authorId="0" shapeId="0" xr:uid="{AF483AC7-AF3F-4106-8FCE-F934E0DAF7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61" authorId="0" shapeId="0" xr:uid="{AFEDB7D2-345B-4938-8308-0AC9C388F8F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61" authorId="0" shapeId="0" xr:uid="{75DA29FE-3894-4C1F-9FCF-4E8D1C9956FC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BK161" authorId="0" shapeId="0" xr:uid="{FE511B37-3256-442F-B0EE-FCD04E0F49D1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BZ161" authorId="0" shapeId="0" xr:uid="{365E7CAE-4510-4AC8-8646-D4B873C8E54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N161" authorId="0" shapeId="0" xr:uid="{C8EBCEFE-5709-49E9-9B9B-EC0AFE2D4F08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EW161" authorId="0" shapeId="0" xr:uid="{E9E52A42-32A5-486C-B385-F49B8D3B9D02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B161" authorId="0" shapeId="0" xr:uid="{650CF476-B59A-4078-B232-6ABE13F7319E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161" authorId="0" shapeId="0" xr:uid="{5DDAE9B3-4819-4AC9-B218-6C787DC5CB1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K161" authorId="0" shapeId="0" xr:uid="{743CDFE6-8174-48AC-973D-0B28065E85D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62" authorId="0" shapeId="0" xr:uid="{53432BA5-2908-4865-8723-ED70E15CF601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FG162" authorId="0" shapeId="0" xr:uid="{B7BF2759-5C97-403D-840B-49BB81EBE77F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163" authorId="0" shapeId="0" xr:uid="{3FAF768A-28D3-4467-A51E-2152317D46FE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63" authorId="0" shapeId="0" xr:uid="{B7B5628C-5381-4EEE-9BA7-BA95E0E576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63" authorId="0" shapeId="0" xr:uid="{042A066B-A25A-47CA-82B3-3B06D1678687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63" authorId="0" shapeId="0" xr:uid="{16F435D8-4657-4415-B4EA-FC18950DC976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DI163" authorId="0" shapeId="0" xr:uid="{0E7DAA24-E74B-43E5-90F6-60026A8934B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163" authorId="0" shapeId="0" xr:uid="{43BAEA68-DA7D-4BC7-9430-25613331F1AF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G163" authorId="0" shapeId="0" xr:uid="{44850D15-B1BD-429C-AEF6-AEC8109D3A6A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GK163" authorId="0" shapeId="0" xr:uid="{89D26916-B937-4D7B-A950-2A6C144ED088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F165" authorId="0" shapeId="0" xr:uid="{EB9266EE-F124-4F78-8D40-88FA50645209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65" authorId="0" shapeId="0" xr:uid="{5B756701-8EB5-4683-92A6-3EE4D307DAE8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5" authorId="0" shapeId="0" xr:uid="{100EEA1D-6E76-44BB-8D88-78DA8D391B60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Z165" authorId="0" shapeId="0" xr:uid="{541F02F5-6E0B-42B7-84C3-79E5DF00F7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Y165" authorId="0" shapeId="0" xr:uid="{B3B60D27-5C23-4ECC-8067-5740F33239A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165" authorId="0" shapeId="0" xr:uid="{5EE4D7E3-A783-4A9A-B011-91F0B634727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165" authorId="0" shapeId="0" xr:uid="{EA3E06EC-CDAA-4533-A0D0-979E32683C2A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FG165" authorId="0" shapeId="0" xr:uid="{49F650B0-4154-4302-9EF6-54BCF7347E3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66" authorId="0" shapeId="0" xr:uid="{E835BF47-3881-4667-97B0-87F679D00998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66" authorId="0" shapeId="0" xr:uid="{BE0DEBD9-5D5C-4709-B1BD-F671D45030C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A166" authorId="0" shapeId="0" xr:uid="{BCD6FE12-C2E5-4385-92EC-95AF88581BC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166" authorId="0" shapeId="0" xr:uid="{88FC2A5F-CF42-4604-9A9A-A626A2E8AAC4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CJ166" authorId="0" shapeId="0" xr:uid="{4CD6F494-6049-4530-94C6-6D5605E6C422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O166" authorId="0" shapeId="0" xr:uid="{70AA8101-C8FE-4104-817B-084617BE937F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DI166" authorId="0" shapeId="0" xr:uid="{31C5DB2C-5B72-4A10-8F98-04B0A81F17F9}">
      <text>
        <r>
          <rPr>
            <b/>
            <sz val="9"/>
            <color indexed="81"/>
            <rFont val="Tahoma"/>
            <family val="2"/>
          </rPr>
          <t>17/05/2022</t>
        </r>
      </text>
    </comment>
    <comment ref="ER166" authorId="0" shapeId="0" xr:uid="{2198E6D1-EAAE-449A-921A-4BEDCDBDF4A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GK166" authorId="0" shapeId="0" xr:uid="{07771226-86F2-43C4-B171-8B60D4B1224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DD167" authorId="0" shapeId="0" xr:uid="{F07E46EF-C981-417E-A3A9-1EFB8B063876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AG168" authorId="0" shapeId="0" xr:uid="{7153C42A-EF38-423E-82D0-FAC2C6CA08EA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70" authorId="0" shapeId="0" xr:uid="{3914624F-8A51-403D-BD27-A83D78386F3F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170" authorId="0" shapeId="0" xr:uid="{4D328C42-0C03-4E33-A373-B6C703CE6289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A170" authorId="0" shapeId="0" xr:uid="{8D095248-27CF-4EDB-8C12-5BC8D8A423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170" authorId="0" shapeId="0" xr:uid="{5645E0DD-EEE1-4FF4-A4DC-41E911640F34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DI170" authorId="0" shapeId="0" xr:uid="{078A7719-4A93-441F-A0D2-2D6FF2CFE6F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L172" authorId="0" shapeId="0" xr:uid="{E9112540-8E8F-4E9A-99E0-0B9F2458BD82}">
      <text>
        <r>
          <rPr>
            <b/>
            <sz val="9"/>
            <color indexed="81"/>
            <rFont val="Tahoma"/>
            <family val="2"/>
          </rPr>
          <t>26/12/2023</t>
        </r>
      </text>
    </comment>
    <comment ref="K173" authorId="0" shapeId="0" xr:uid="{37E8C459-1E1C-48CC-9EF8-9AAD46B44E16}">
      <text>
        <r>
          <rPr>
            <sz val="9"/>
            <color indexed="81"/>
            <rFont val="Tahoma"/>
            <family val="2"/>
          </rPr>
          <t xml:space="preserve">1ra - 07/12/2021
2da - 28/06/2022
3ra - 28/12/2022
4ta - 28/06/2023
5ta - 28/12/2023
6ta - 28/06/2024
7ma - 28/12/2024
8va - 28/06/2025
9na- 28/12/2025
10ma - 28/02/2026
</t>
        </r>
      </text>
    </comment>
    <comment ref="AV173" authorId="0" shapeId="0" xr:uid="{948FEB05-0397-44A8-BCB4-5EAEF4CDC5CA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A173" authorId="0" shapeId="0" xr:uid="{C10FEF02-4BAC-44FD-BBB9-C0660EEDD0E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F173" authorId="0" shapeId="0" xr:uid="{1A08A5C0-0CD8-4FDD-A695-7ED810545F9C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K173" authorId="0" shapeId="0" xr:uid="{A02751EB-9BC3-453E-8F97-A21D6649F130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I173" authorId="0" shapeId="0" xr:uid="{E5447506-6E1E-4087-9504-C5BA212B420A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DN173" authorId="0" shapeId="0" xr:uid="{EE8E40F1-0ACE-49B1-BD8F-24718FF28B3C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W173" authorId="0" shapeId="0" xr:uid="{8C681F68-9372-4486-AC60-593A279F12E9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73" authorId="0" shapeId="0" xr:uid="{774E2BBD-6C80-4629-BD0E-D688BB65E0F9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V173" authorId="0" shapeId="0" xr:uid="{4969819E-85B2-4AA6-A3E4-708ABE9F497A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GA173" authorId="0" shapeId="0" xr:uid="{EB660124-FB71-4E93-A27D-571843E029E8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AL174" authorId="0" shapeId="0" xr:uid="{51660538-05BE-4389-A781-7959950825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74" authorId="0" shapeId="0" xr:uid="{7DFEE46F-466D-4DFD-AE3A-59CDCDA6FCFA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74" authorId="0" shapeId="0" xr:uid="{72D64DA0-C756-43A4-804B-942F30833288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K174" authorId="0" shapeId="0" xr:uid="{6C0296CB-AB17-4248-85B2-2F85988B911F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Z174" authorId="0" shapeId="0" xr:uid="{FE87E9CD-F3BA-4FF2-869E-132A693256F0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174" authorId="1" shapeId="0" xr:uid="{CB383CD9-C2D1-48F6-B0BD-8AAA9371D2F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08/08/2022</t>
        </r>
      </text>
    </comment>
    <comment ref="DN174" authorId="0" shapeId="0" xr:uid="{AD6A0C4B-204D-4463-9F47-CEDA9B313C86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R174" authorId="0" shapeId="0" xr:uid="{F96B470D-7650-40B0-9073-5427D050A49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74" authorId="0" shapeId="0" xr:uid="{7E0C7F8A-A8CF-4B60-A4EE-ED5358D6451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B174" authorId="0" shapeId="0" xr:uid="{D62935CE-7BF4-4C3E-9A8E-B959115F97C5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74" authorId="0" shapeId="0" xr:uid="{7A11AE6B-70D0-4268-846E-7FA6389F8C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74" authorId="0" shapeId="0" xr:uid="{A6D7BF84-87D2-436E-B832-B91C3E921B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Q178" authorId="0" shapeId="0" xr:uid="{A2563BF9-59A0-4954-A8F2-5B6AC95781E9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78" authorId="0" shapeId="0" xr:uid="{131B7AD9-E1DA-4245-AD31-8A39C398F148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BF178" authorId="0" shapeId="0" xr:uid="{54B63467-9892-485C-A352-963D0C13051B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BU178" authorId="0" shapeId="0" xr:uid="{D81C252E-8518-42D7-A37B-9D747E36B56C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CJ178" authorId="0" shapeId="0" xr:uid="{58FA3B82-5817-429D-B63E-35992E1A7A82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178" authorId="0" shapeId="0" xr:uid="{3C1797AD-D21C-46DF-B60F-ADB99AA294A1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Y178" authorId="1" shapeId="0" xr:uid="{BA11B35E-4B8F-48B6-ACE0-7FEB033F9C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I178" authorId="0" shapeId="0" xr:uid="{80493F43-3917-408B-94F3-8241FFF66A5D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N178" authorId="0" shapeId="0" xr:uid="{76892A20-B930-4398-BF9D-625E0A330856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S178" authorId="0" shapeId="0" xr:uid="{DBAA2BA2-2EBA-4CA8-A61E-14666F4B6E0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78" authorId="0" shapeId="0" xr:uid="{A5C22E22-D340-4C21-83A8-3E8C2EDCA063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C178" authorId="0" shapeId="0" xr:uid="{2E737EEE-A57F-4C25-9759-D2F029AB4B8D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EW178" authorId="0" shapeId="0" xr:uid="{0BA56FC1-4204-45A0-AD2E-05E8ECB0951A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B178" authorId="0" shapeId="0" xr:uid="{91BD1272-892A-48D7-849D-DAC7C4AD4D19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78" authorId="0" shapeId="0" xr:uid="{5C7E7A6D-090F-46D3-989C-022A28FFE8A5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178" authorId="0" shapeId="0" xr:uid="{58FFC270-D432-4E22-A779-D17E12BD1454}">
      <text>
        <r>
          <rPr>
            <b/>
            <sz val="9"/>
            <color indexed="81"/>
            <rFont val="Tahoma"/>
            <family val="2"/>
          </rPr>
          <t>07/0/2022</t>
        </r>
      </text>
    </comment>
    <comment ref="FQ178" authorId="0" shapeId="0" xr:uid="{D0D72C2E-D7A8-45FB-B877-B04CE76ED24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V178" authorId="0" shapeId="0" xr:uid="{5CCE0350-D93C-458F-A651-4D6DCF1D3C6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A178" authorId="0" shapeId="0" xr:uid="{4CCD3601-E113-4963-A426-25237C5B9D1C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GF178" authorId="0" shapeId="0" xr:uid="{CB991285-8C25-4052-85AE-DB757B8DCCCA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79" authorId="0" shapeId="0" xr:uid="{AD134AAA-2689-4986-8534-7CA5D9D3095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79" authorId="0" shapeId="0" xr:uid="{67D5B8EA-FDB0-4853-99E4-EAB4D4B78DB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T179" authorId="0" shapeId="0" xr:uid="{8A4E010E-404C-4CB3-BC7E-BDEB725A6C0F}">
      <text>
        <r>
          <rPr>
            <b/>
            <sz val="9"/>
            <color indexed="81"/>
            <rFont val="Tahoma"/>
            <family val="2"/>
          </rPr>
          <t>19/04/2022</t>
        </r>
      </text>
    </comment>
    <comment ref="DN179" authorId="0" shapeId="0" xr:uid="{DF725889-67A4-420E-9027-F63C63FDE1A4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AL181" authorId="0" shapeId="0" xr:uid="{4BA6C82F-2521-4218-AA58-701D9CB1F92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81" authorId="0" shapeId="0" xr:uid="{61123B75-6A31-4ED1-AA86-1D95F0EF78C8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81" authorId="0" shapeId="0" xr:uid="{05FAA212-9DE5-40D7-BECC-9F77DA8432F7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81" authorId="1" shapeId="0" xr:uid="{4B1B4610-5763-4159-BE58-9ADBE9D585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29/11/22
</t>
        </r>
      </text>
    </comment>
    <comment ref="BF181" authorId="0" shapeId="0" xr:uid="{963663AD-4D60-48B7-9AB0-3520FC75832D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81" authorId="0" shapeId="0" xr:uid="{2C746E6F-D34B-4960-B5A7-92E504B3D57F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X181" authorId="1" shapeId="0" xr:uid="{2C1CF1CF-F921-44B1-83C6-4C57321F74F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M181" authorId="1" shapeId="0" xr:uid="{CFBB5C15-0335-43AD-A8BD-B3A5B5B80CE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G181" authorId="0" shapeId="0" xr:uid="{72B2D253-1156-44BC-8B66-D9B11BA2E4D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V181" authorId="0" shapeId="0" xr:uid="{C90D74F8-9323-46C2-B780-25FAB8D09B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K181" authorId="0" shapeId="0" xr:uid="{17FD82B0-FA70-460B-A77D-FE210AE9514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G182" authorId="0" shapeId="0" xr:uid="{5D2E1FE1-1F5A-48B8-8B0F-8D76A7D5BC1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A182" authorId="0" shapeId="0" xr:uid="{375DB86E-AD41-4B2D-A99D-5E29B6240DD9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82" authorId="0" shapeId="0" xr:uid="{7507AEC2-A98C-4007-8B1D-3E80A2B4593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O182" authorId="0" shapeId="0" xr:uid="{81A6616E-1DCC-4906-A146-FE2A3F221881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D182" authorId="0" shapeId="0" xr:uid="{389D08B9-EA58-4BEC-A50D-D352F8B1DDE6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DI182" authorId="0" shapeId="0" xr:uid="{5FA09A9B-11B1-416A-9949-91597BDDE677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182" authorId="0" shapeId="0" xr:uid="{01A8B869-FD8D-4F6D-A6CF-140167294DE7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X182" authorId="0" shapeId="0" xr:uid="{A4694492-E56A-47AC-8B0D-08D5CB40AE50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C182" authorId="0" shapeId="0" xr:uid="{CC279A6F-F8E5-4D2E-92D5-C05D940C8848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R182" authorId="0" shapeId="0" xr:uid="{04A0C063-7F63-461F-B6E0-80D56176A77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G182" authorId="0" shapeId="0" xr:uid="{11E6FE4C-AB20-49F0-B3F3-9BEFB91EDBD3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182" authorId="0" shapeId="0" xr:uid="{BD40AE52-643B-4C08-B1E7-0067C6455100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182" authorId="0" shapeId="0" xr:uid="{DE656B28-70C6-4D18-B96B-EB58124F298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182" authorId="0" shapeId="0" xr:uid="{1F6FBC0F-0B1B-4EA5-9169-F52214B48161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83" authorId="0" shapeId="0" xr:uid="{A5D0ACF9-1F23-44FA-8EBD-E897A835DA76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83" authorId="0" shapeId="0" xr:uid="{673D1770-3D70-4CF7-86EF-FFC4085E15F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83" authorId="0" shapeId="0" xr:uid="{50FADFAA-25DE-4120-A3A2-F550CC8E18D4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83" authorId="0" shapeId="0" xr:uid="{E8A503BE-0827-4C44-A9A8-5D537F0A2F5A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83" authorId="0" shapeId="0" xr:uid="{1705F214-9B26-4F71-8152-D03BD929C610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Y183" authorId="1" shapeId="0" xr:uid="{BCF89179-11E1-4317-9195-FB4411C74FF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28/07/2022</t>
        </r>
      </text>
    </comment>
    <comment ref="DN183" authorId="0" shapeId="0" xr:uid="{C7AA4964-2A28-4C97-81F0-884ABC5BA8E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83" authorId="1" shapeId="0" xr:uid="{1A880F9E-5418-416E-B951-860A536C3A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C183" authorId="1" shapeId="0" xr:uid="{421E22A9-6C81-4179-9B97-1F7E88E70D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R183" authorId="0" shapeId="0" xr:uid="{4408AE4E-9DDD-4958-8085-0E6A9FF97AB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G183" authorId="0" shapeId="0" xr:uid="{44853CC3-C453-4FD0-A3C2-A140ACB06299}">
      <text>
        <r>
          <rPr>
            <b/>
            <sz val="9"/>
            <color indexed="81"/>
            <rFont val="Tahoma"/>
            <family val="2"/>
          </rPr>
          <t xml:space="preserve">25/03/2022
</t>
        </r>
      </text>
    </comment>
    <comment ref="FL183" authorId="1" shapeId="0" xr:uid="{301BDD7E-841E-4912-919C-80596FCB96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GF183" authorId="1" shapeId="0" xr:uid="{92A71C55-738C-4177-8E6A-430A689FD05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GK183" authorId="0" shapeId="0" xr:uid="{2BC79FC6-F6A1-4D94-84CC-C3E37984C2E8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84" authorId="0" shapeId="0" xr:uid="{DA2A848F-0702-4552-B467-DCD62A1BBAB4}">
      <text>
        <r>
          <rPr>
            <b/>
            <sz val="9"/>
            <color indexed="81"/>
            <rFont val="Tahoma"/>
            <family val="2"/>
          </rPr>
          <t>01/10/2022</t>
        </r>
      </text>
    </comment>
    <comment ref="BK184" authorId="0" shapeId="0" xr:uid="{1693D03E-76F1-4883-960E-F122FDE12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EC184" authorId="0" shapeId="0" xr:uid="{B4A2BDED-218A-4737-9246-975E9835BD5E}">
      <text>
        <r>
          <rPr>
            <b/>
            <sz val="9"/>
            <color indexed="81"/>
            <rFont val="Tahoma"/>
            <family val="2"/>
          </rPr>
          <t>30/09/2022</t>
        </r>
      </text>
    </comment>
    <comment ref="EW184" authorId="0" shapeId="0" xr:uid="{DEC47ADF-7F6A-48C8-9FB1-31D444013C51}">
      <text>
        <r>
          <rPr>
            <b/>
            <sz val="9"/>
            <color indexed="81"/>
            <rFont val="Tahoma"/>
            <family val="2"/>
          </rPr>
          <t>10/09/2022</t>
        </r>
      </text>
    </comment>
    <comment ref="AG185" authorId="0" shapeId="0" xr:uid="{72D39AE6-781B-4EE2-A82B-07AC75102321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185" authorId="0" shapeId="0" xr:uid="{49E06331-D9D7-41B8-94F5-2E80D3B9BCBD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5" authorId="0" shapeId="0" xr:uid="{323F809D-6AE8-429D-8ACA-AE314321ED1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V185" authorId="0" shapeId="0" xr:uid="{17DD3A77-B240-47CB-836C-511111CAB8CD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BA185" authorId="0" shapeId="0" xr:uid="{EF74B339-C698-4B95-8F1D-B3269BF2CCB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Z185" authorId="0" shapeId="0" xr:uid="{89747357-E62A-4D2B-9F03-55F3A3BC950B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O185" authorId="0" shapeId="0" xr:uid="{8BCCFF51-977A-4B01-942C-D88EE166F2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I185" authorId="0" shapeId="0" xr:uid="{6D18B984-CB05-44C3-B85E-2389820945AB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185" authorId="0" shapeId="0" xr:uid="{EBB89F16-F59D-4EA9-9941-A713104C397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85" authorId="0" shapeId="0" xr:uid="{3E695E38-1D2D-4889-AEFB-B7D23A275CC9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C185" authorId="0" shapeId="0" xr:uid="{EA2647F2-F6D9-4CD7-91C1-B885F0C97552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FL185" authorId="0" shapeId="0" xr:uid="{43BB806C-BBAD-4A97-8E30-434307D18335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Q185" authorId="0" shapeId="0" xr:uid="{C71B22F3-DDC0-4D7A-9E71-A5F2050C88B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F185" authorId="0" shapeId="0" xr:uid="{ED70BB63-F9DC-4A79-84EB-9CD9A5FA2564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GK185" authorId="0" shapeId="0" xr:uid="{A45794E1-5003-4269-8A96-2EF52638A5B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BA186" authorId="0" shapeId="0" xr:uid="{636DE8E8-E50C-46B5-A54B-D9C629DDB0B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P186" authorId="0" shapeId="0" xr:uid="{47852546-91A7-4F52-BFF4-DC6E25A04AB0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O186" authorId="0" shapeId="0" xr:uid="{87643870-AC7A-49A2-917E-F2558FC588A2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D186" authorId="0" shapeId="0" xr:uid="{E8A0283D-3FB2-4F73-B229-74361D327BCD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I186" authorId="0" shapeId="0" xr:uid="{8956CCF4-19C1-4165-A356-45B8A88B89E2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N186" authorId="0" shapeId="0" xr:uid="{6562F8A4-E8D5-44DA-8FA0-4EEF42FEC500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DS186" authorId="0" shapeId="0" xr:uid="{2B7FEFBB-2ED3-4E77-9120-69997C08BCD7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86" authorId="0" shapeId="0" xr:uid="{8E112D17-93FE-455A-845E-5C8781E01A3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FB186" authorId="0" shapeId="0" xr:uid="{00724803-1D7C-4502-BEF9-330436A90A4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86" authorId="0" shapeId="0" xr:uid="{C49CEDD0-09C7-448F-9398-A1B860E6CC3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186" authorId="0" shapeId="0" xr:uid="{39CAE634-62B8-47FC-B658-BC90C4B9501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V186" authorId="0" shapeId="0" xr:uid="{AA009206-2328-4F84-8E48-1DEB85E1FB05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188" authorId="0" shapeId="0" xr:uid="{1FE62242-D39F-4FC2-BC87-BB841D234599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8" authorId="0" shapeId="0" xr:uid="{F10362C6-768E-40B8-B06D-065F0E781AA8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88" authorId="0" shapeId="0" xr:uid="{0DAEAB0A-5E3E-4D51-B989-1F6649316DDB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188" authorId="0" shapeId="0" xr:uid="{D8DF6E71-15FB-4AAF-872E-F1BCC8330C5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88" authorId="0" shapeId="0" xr:uid="{821032CF-188F-4E42-B613-4414845B3AC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88" authorId="0" shapeId="0" xr:uid="{2F49D5FC-4579-430B-A3F0-A77AAA22D88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Z188" authorId="0" shapeId="0" xr:uid="{8420C61F-6E7F-47DF-88ED-49702E868D9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O188" authorId="0" shapeId="0" xr:uid="{4E9124A4-0877-4EDB-BE0F-B86F4626566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188" authorId="1" shapeId="0" xr:uid="{EFA1DA0A-DB67-4414-AE47-38E567341161}">
      <text>
        <r>
          <rPr>
            <b/>
            <sz val="9"/>
            <color indexed="81"/>
            <rFont val="Tahoma"/>
            <family val="2"/>
          </rPr>
          <t xml:space="preserve">06/08/2022
</t>
        </r>
      </text>
    </comment>
    <comment ref="DD188" authorId="1" shapeId="0" xr:uid="{4F132B99-4D27-4363-959E-ED43A595FD7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188" authorId="0" shapeId="0" xr:uid="{3414011E-704D-4663-8191-0E4125BDC2F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N188" authorId="0" shapeId="0" xr:uid="{0D95D3C3-07E9-4C33-8FC6-6BA7620A888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188" authorId="0" shapeId="0" xr:uid="{45CB1008-3419-4DB5-A7AA-29C18B5A445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88" authorId="0" shapeId="0" xr:uid="{D2998B31-E802-4E3D-B897-F4AFE991308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88" authorId="0" shapeId="0" xr:uid="{3904C250-2ABE-4E36-AE95-FBD8749A8E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188" authorId="0" shapeId="0" xr:uid="{5FD93393-EAA1-4BD3-91CC-4DC784A47BDF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EW188" authorId="0" shapeId="0" xr:uid="{B91F23A9-8D14-41CD-B6C4-8364A53CC133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B188" authorId="0" shapeId="0" xr:uid="{7F05A29D-3851-4701-BEAA-AED2FFE8FE13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188" authorId="0" shapeId="0" xr:uid="{86009290-511F-41CD-95A5-9E57F87ADD18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FL188" authorId="0" shapeId="0" xr:uid="{2C309985-1AD9-48FA-8A6C-546D78C1F09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88" authorId="0" shapeId="0" xr:uid="{464231F0-1B6F-4639-ACAC-D5FD8736663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88" authorId="0" shapeId="0" xr:uid="{1EF1304F-4A2E-4B1C-9760-8911A0E0D8A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188" authorId="0" shapeId="0" xr:uid="{5BFC0CCC-D895-4E4A-8532-1782FFD0067E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188" authorId="0" shapeId="0" xr:uid="{8FAEFC1D-091A-406A-A2A9-6533A12F6AC1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L189" authorId="0" shapeId="0" xr:uid="{CE73F9BF-071E-48F7-B208-8FA9AF74DF5A}">
      <text>
        <r>
          <rPr>
            <b/>
            <sz val="9"/>
            <color indexed="81"/>
            <rFont val="Tahoma"/>
            <family val="2"/>
          </rPr>
          <t>16/01/2024</t>
        </r>
      </text>
    </comment>
    <comment ref="F190" authorId="0" shapeId="0" xr:uid="{3044994F-8542-4C92-B263-8D88B5B7316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190" authorId="0" shapeId="0" xr:uid="{C47A98E7-20EC-4DA5-9ABB-688773F549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V190" authorId="0" shapeId="0" xr:uid="{826B551E-EDDE-4784-BCF7-D1606541335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F190" authorId="0" shapeId="0" xr:uid="{E309880C-AE9D-45AA-B253-E46C792FC1E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190" authorId="0" shapeId="0" xr:uid="{AF0D8CA4-C1C8-44EF-8EBE-0E8394528611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DI190" authorId="0" shapeId="0" xr:uid="{EB363ACA-3339-4E2F-A007-BBADBCBA8A13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190" authorId="0" shapeId="0" xr:uid="{797E7081-5283-4984-87B8-92C1C499AD9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GK190" authorId="0" shapeId="0" xr:uid="{990797B6-232C-49F1-95BA-9A567D99CEDC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F233" authorId="0" shapeId="0" xr:uid="{F47DA41E-312F-4E42-A9B5-0BFA1201FF4F}">
      <text>
        <r>
          <rPr>
            <b/>
            <sz val="9"/>
            <color indexed="81"/>
            <rFont val="Tahoma"/>
            <family val="2"/>
          </rPr>
          <t>14/04/2024</t>
        </r>
      </text>
    </comment>
  </commentList>
</comments>
</file>

<file path=xl/sharedStrings.xml><?xml version="1.0" encoding="utf-8"?>
<sst xmlns="http://schemas.openxmlformats.org/spreadsheetml/2006/main" count="2791" uniqueCount="784">
  <si>
    <t>Base de Datos - Vigencias de Capacitación 2026</t>
  </si>
  <si>
    <t>CERTIFICACIONES TECNICAS</t>
  </si>
  <si>
    <t>Certificación IADC</t>
  </si>
  <si>
    <t>ANEXO SSPA</t>
  </si>
  <si>
    <t>SIGNATARIO</t>
  </si>
  <si>
    <t>Anexo SSPA</t>
  </si>
  <si>
    <t>COMPETENCIAS TECNICAS BASICAS</t>
  </si>
  <si>
    <t>COMPETENCIAS COMPUTO</t>
  </si>
  <si>
    <t>COMPETENCIAS ALINEADOR</t>
  </si>
  <si>
    <t>COMPETENCIAS IZADORA</t>
  </si>
  <si>
    <t>COMPETENCIAS EQUIPO DE LLENADO</t>
  </si>
  <si>
    <t>COMPETENCIAS MANTENIMIENTO MECANICO</t>
  </si>
  <si>
    <t>COMPETENCIAS BLANDAS</t>
  </si>
  <si>
    <t>CAPACITACIONES TECNICAS INTERNAS</t>
  </si>
  <si>
    <t>CAPACITACIONES EXTERNAS</t>
  </si>
  <si>
    <t>VOLANT´S CEMENT SWIVEL - 2021</t>
  </si>
  <si>
    <t>CAPACITACIONES EXTERNAS VOLANT - 2023</t>
  </si>
  <si>
    <t>CAPACITACION EXTERNA - KNIGHT</t>
  </si>
  <si>
    <t>CAPACITACION EXTERNA WINCATT - MCCOY</t>
  </si>
  <si>
    <t xml:space="preserve"> AllTorque Control System</t>
  </si>
  <si>
    <t>MANTENIMIENTO A INFRAESTRUCTURA</t>
  </si>
  <si>
    <t>SUPERVISORES</t>
  </si>
  <si>
    <t>CAPACITACIONES EXTERNAS ADMINISTRATIVOS</t>
  </si>
  <si>
    <t>No.</t>
  </si>
  <si>
    <t>Proceso</t>
  </si>
  <si>
    <t>Categoría</t>
  </si>
  <si>
    <t>Operador de Brazo Articulado Sobre Camión
(Hiab)</t>
  </si>
  <si>
    <t>Certificación de Soldador
(Código ASME, Secc. IX)</t>
  </si>
  <si>
    <t>Operación e Inspección Segura de Grúas Viajeras</t>
  </si>
  <si>
    <t>Rig Pass</t>
  </si>
  <si>
    <t>Wellsharp
(Introductorio)</t>
  </si>
  <si>
    <t>Seguridad, Salud en el Trabajo y Protección Ambiental</t>
  </si>
  <si>
    <t>Reglamento Federal de Seguridad, Higiene y Medio Ambiente de Trabajo</t>
  </si>
  <si>
    <t>Reglamento de Seguridad e Higiene de Petróleos Mexicanos y Organismos Subsidiarios</t>
  </si>
  <si>
    <t>Básico de Seguridad</t>
  </si>
  <si>
    <t>Conceptos Básicos y Definiciones sobre Planes de Respuesta a Emergencias, Que Hacer durante una Emergencia</t>
  </si>
  <si>
    <t>Conceptos Básicos sobre Protección Ambiental</t>
  </si>
  <si>
    <t>Generalidades de los Primeros Auxilios, Hemorragias, Reanimación Cardiopulmonar (RCP)</t>
  </si>
  <si>
    <t>Manejo de Extintores</t>
  </si>
  <si>
    <t>Manejo a la Defensiva (Vehículos)</t>
  </si>
  <si>
    <t>Guia Operativa para Aplicación del Sistema de Permisos para Trabajos con Riesgo en las Instalaciones de Pemex Exploración y Producción (GO-SS-TC-00 10-2020)</t>
  </si>
  <si>
    <t>Equipo de Respiración Autónomo</t>
  </si>
  <si>
    <t>Uso de Equipo de Detección de Gases: Explosímetro, Oxigeno y Toxicidad</t>
  </si>
  <si>
    <t>Hojas de Datos de Seguridad de las Sustancias Involucradas en los Trabajos del Contrato</t>
  </si>
  <si>
    <t>Clasificación y Manejo de Residuos Peligrosos (Nom’s)</t>
  </si>
  <si>
    <t>Dispositivos de Detección y Primeros Auxilios</t>
  </si>
  <si>
    <t>Ley General del Equilibrio Ecológico y la Protección al Ambiente y sus Reglamentos</t>
  </si>
  <si>
    <t>Ley General para la Prevención y Gestión Integral de los Residuos y su Reglamento</t>
  </si>
  <si>
    <t>Teoría de la Combustión</t>
  </si>
  <si>
    <t>Clasificación y Uso de Equipos de Protección Respiratoria</t>
  </si>
  <si>
    <t>Riesgos Atmosféricos</t>
  </si>
  <si>
    <t>Espacios Confinados</t>
  </si>
  <si>
    <t>Identificación de Areas de Riesgo en el Trabajo</t>
  </si>
  <si>
    <t>Procedimientos Críticos</t>
  </si>
  <si>
    <t>Análisis de Seguridad en el Trabajo</t>
  </si>
  <si>
    <t>Auditorias Efectivas</t>
  </si>
  <si>
    <t>Metodología Análisis Causa Raiz</t>
  </si>
  <si>
    <t>Gas Sulfhídrico (H2S)</t>
  </si>
  <si>
    <t>Mantenimiento, Cuidado y Almacenamiento de las Herramientas y Equipos de Trabajo</t>
  </si>
  <si>
    <t>Uso, Conservación, Mantenimiento, Almacenamiento, Reposición y Disposición Final del Equipo de Protección Personal Básico y Especifico</t>
  </si>
  <si>
    <t>Capacitación y Adiestramiento en Combate de Incendios</t>
  </si>
  <si>
    <t>Atlas de Riesgo</t>
  </si>
  <si>
    <t>Trabajos en Alturas</t>
  </si>
  <si>
    <t>Adelafin Ovando Garcia</t>
  </si>
  <si>
    <t>Mantenimiento</t>
  </si>
  <si>
    <t>Mecanico A Diesel</t>
  </si>
  <si>
    <t>SXX000384871</t>
  </si>
  <si>
    <t>455049E0-742D71</t>
  </si>
  <si>
    <t>Operaciones</t>
  </si>
  <si>
    <t>Operador Crt</t>
  </si>
  <si>
    <t>SXX000389201</t>
  </si>
  <si>
    <t>7658882E-18AC7D</t>
  </si>
  <si>
    <t>Adrian Miranda Hernandez</t>
  </si>
  <si>
    <t>Ayudante General De Operaciones</t>
  </si>
  <si>
    <t>SXX000471458</t>
  </si>
  <si>
    <t>1E57CDC7-05696D</t>
  </si>
  <si>
    <t>Alberto Perez Gomez</t>
  </si>
  <si>
    <t>Operador De Llave</t>
  </si>
  <si>
    <t>SXX000317277</t>
  </si>
  <si>
    <t>5BC69782-111E8C</t>
  </si>
  <si>
    <t>Alejandro Antonio Acosta Luna</t>
  </si>
  <si>
    <t>Ayudante General De Mantenimiento</t>
  </si>
  <si>
    <t>SXX000573942</t>
  </si>
  <si>
    <t>E9AD7A1C-98CF6C</t>
  </si>
  <si>
    <t>SXX000415671</t>
  </si>
  <si>
    <t>8786B8D4-DC4B7B</t>
  </si>
  <si>
    <t>Alexis Castellanos Lopez</t>
  </si>
  <si>
    <t>SXX000356668</t>
  </si>
  <si>
    <t>14F7116B-416AEE</t>
  </si>
  <si>
    <t>Alexis Miguel Frias Ovando</t>
  </si>
  <si>
    <t>SXX000399271</t>
  </si>
  <si>
    <t>2271DF63-1197A7</t>
  </si>
  <si>
    <t>Alfredo Rodriguez Hernandez</t>
  </si>
  <si>
    <t>Alineador De Tuberia</t>
  </si>
  <si>
    <t>SXX000329246</t>
  </si>
  <si>
    <t>FF26F62F-CDDCBD</t>
  </si>
  <si>
    <t>Alonso Mendez Izquierdo</t>
  </si>
  <si>
    <t>SXX000308625</t>
  </si>
  <si>
    <t>F5833BEF-0C99CF</t>
  </si>
  <si>
    <t>Aminada Silvan Perez</t>
  </si>
  <si>
    <t>Coordinador De Mantenimiento Mecanico</t>
  </si>
  <si>
    <t>SXX000438978</t>
  </si>
  <si>
    <t>EF23FB20-42DDC1</t>
  </si>
  <si>
    <t>Andres Hernandez Ramos</t>
  </si>
  <si>
    <t>SXX000428120</t>
  </si>
  <si>
    <t>133907B0-F18A2A</t>
  </si>
  <si>
    <t>Andres Ramos Lopez</t>
  </si>
  <si>
    <t>SXX000479774</t>
  </si>
  <si>
    <t>BC0E6C73-4AA942</t>
  </si>
  <si>
    <t>Andres Sanchez Palma</t>
  </si>
  <si>
    <t>SXX000456456</t>
  </si>
  <si>
    <t>636B34C9-00BB6C</t>
  </si>
  <si>
    <t>Andres Velazquez Morales</t>
  </si>
  <si>
    <t>Logistica</t>
  </si>
  <si>
    <t>Mecanico Automotriz</t>
  </si>
  <si>
    <t>SXX000438976</t>
  </si>
  <si>
    <t>Angel Alonso Cortes Diaz</t>
  </si>
  <si>
    <t>Sspa</t>
  </si>
  <si>
    <t>Supervisor De Sspa</t>
  </si>
  <si>
    <t>SXX000398086</t>
  </si>
  <si>
    <t>04B0329B-F650BD</t>
  </si>
  <si>
    <t>Angel Urbano Chavez Raga</t>
  </si>
  <si>
    <t>Operador De Izadora</t>
  </si>
  <si>
    <t>SXX000471461</t>
  </si>
  <si>
    <t>79FAB9AE-0345D1</t>
  </si>
  <si>
    <t>Artemio Guzman Zacarias</t>
  </si>
  <si>
    <t>Operador Tractocamion</t>
  </si>
  <si>
    <t>SXX000353151</t>
  </si>
  <si>
    <t>Arturo Hernandez Arias</t>
  </si>
  <si>
    <t>Operador</t>
  </si>
  <si>
    <t>SXX000451402</t>
  </si>
  <si>
    <t>3EDB7817-4731B2</t>
  </si>
  <si>
    <t>Asuncion Reyes Hernandez</t>
  </si>
  <si>
    <t>Operario</t>
  </si>
  <si>
    <t>SXX000449592</t>
  </si>
  <si>
    <t>95708535-32EFB5</t>
  </si>
  <si>
    <t>Audemer Ricardez Alvarez</t>
  </si>
  <si>
    <t>SXX000470925</t>
  </si>
  <si>
    <t>2FB9A0D8-09CDF2</t>
  </si>
  <si>
    <t>Benito Antonio Torrez Lopez</t>
  </si>
  <si>
    <t>SXX000399268</t>
  </si>
  <si>
    <t>D0896EA3-8BEC44</t>
  </si>
  <si>
    <t>Braulio Ocaña Ramirez</t>
  </si>
  <si>
    <t>SXX000514870</t>
  </si>
  <si>
    <t>Bruno Del Carmen Camara Morales</t>
  </si>
  <si>
    <t>SXX000329381</t>
  </si>
  <si>
    <t>A5C26BBD-E47069</t>
  </si>
  <si>
    <t>Carlos Arturo Burelo Vidal</t>
  </si>
  <si>
    <t>Operador Hiab</t>
  </si>
  <si>
    <t>SXX000573943</t>
  </si>
  <si>
    <t>Carlos Edilfonso Zapata Taracena</t>
  </si>
  <si>
    <t>SXX000350350</t>
  </si>
  <si>
    <t>Carlos Francisco Mateos Morales</t>
  </si>
  <si>
    <t>Operador De Computo</t>
  </si>
  <si>
    <t>SXX000449594</t>
  </si>
  <si>
    <t>4EA51BFC-29A1E5</t>
  </si>
  <si>
    <t>Carlos Javier De La O Castillo</t>
  </si>
  <si>
    <t>Mantenimiento Electronico</t>
  </si>
  <si>
    <t>Auxiliar De Mantenimiento Electronico</t>
  </si>
  <si>
    <t>SXX000275903</t>
  </si>
  <si>
    <t>813DBDF6-D787E4</t>
  </si>
  <si>
    <t>Soldador</t>
  </si>
  <si>
    <t>SXX000334191</t>
  </si>
  <si>
    <t>DE0129B3-8BBD96</t>
  </si>
  <si>
    <t>Operador Responsable</t>
  </si>
  <si>
    <t>SXX000415687</t>
  </si>
  <si>
    <t>7251D99D-DB25EC</t>
  </si>
  <si>
    <t>Cesar Manuel Mirabal Ocaña</t>
  </si>
  <si>
    <t>SXX000471463</t>
  </si>
  <si>
    <t>FC14647F-FF6272</t>
  </si>
  <si>
    <t>Concepcion Coronel Martinez</t>
  </si>
  <si>
    <t>SXX000415682</t>
  </si>
  <si>
    <t>97C1A8DE-594239</t>
  </si>
  <si>
    <t>Concepcion Felix Gonzalez</t>
  </si>
  <si>
    <t>Ayudante General De Logistica</t>
  </si>
  <si>
    <t>SXX000376443</t>
  </si>
  <si>
    <t>Daniel Andres Olan Sanchez</t>
  </si>
  <si>
    <t>SXX000456445</t>
  </si>
  <si>
    <t>F4772A07-14C9CF</t>
  </si>
  <si>
    <t>Daniel Castillo Cruz</t>
  </si>
  <si>
    <t>SXX000298006</t>
  </si>
  <si>
    <t>4D717BEF-CB7199</t>
  </si>
  <si>
    <t>Daniel Zamudio Oramas</t>
  </si>
  <si>
    <t>SXX000353160</t>
  </si>
  <si>
    <t>D6B9338D-96568E</t>
  </si>
  <si>
    <t>Supervisor De Operaciones</t>
  </si>
  <si>
    <t>SXX000320997</t>
  </si>
  <si>
    <t>5196B025-A14166</t>
  </si>
  <si>
    <t>David Aaron Cruz Sarao</t>
  </si>
  <si>
    <t>Operador De Izaje</t>
  </si>
  <si>
    <t>SXX000415661</t>
  </si>
  <si>
    <t>4AA5A30A-CC05F4</t>
  </si>
  <si>
    <t xml:space="preserve">Operador De Equipo De Llenado </t>
  </si>
  <si>
    <t>SXX000433171</t>
  </si>
  <si>
    <t>A7317947-D52BFB</t>
  </si>
  <si>
    <t>Dennys Ney Hernandez</t>
  </si>
  <si>
    <t>SXX000321002</t>
  </si>
  <si>
    <t>432E4038-7C1715</t>
  </si>
  <si>
    <t>Domitilo Velazquez Hernandez</t>
  </si>
  <si>
    <t>SXX000317939</t>
  </si>
  <si>
    <t>Eddy Iran Lopez Landero</t>
  </si>
  <si>
    <t>SXX000433174</t>
  </si>
  <si>
    <t>6971C49A-81D87D</t>
  </si>
  <si>
    <t>Eden Otoniel Hernandez Hernandez</t>
  </si>
  <si>
    <t>SXX000317942</t>
  </si>
  <si>
    <t>89AC2DAB-AD43C9</t>
  </si>
  <si>
    <t>Eder Angel Zuñiga Palma</t>
  </si>
  <si>
    <t>SXX000353161</t>
  </si>
  <si>
    <t>Eduardo Alvarez Ortiz</t>
  </si>
  <si>
    <t>SXX000438983</t>
  </si>
  <si>
    <t>BC5BB264-51475D</t>
  </si>
  <si>
    <t>Edwin Hernandez Lopez</t>
  </si>
  <si>
    <t>SXX000451407</t>
  </si>
  <si>
    <t>09C36F80-2AD5B9</t>
  </si>
  <si>
    <t>Enrique Jimenez Garcia</t>
  </si>
  <si>
    <t>SXX000320995</t>
  </si>
  <si>
    <t>9C456471-F7B8B4</t>
  </si>
  <si>
    <t>Eusebio Ovando Gordillo</t>
  </si>
  <si>
    <t>SXX000505988</t>
  </si>
  <si>
    <t>7B42CD51-E01A54</t>
  </si>
  <si>
    <t>Evencio Perera Garcia</t>
  </si>
  <si>
    <t>SXX000353158</t>
  </si>
  <si>
    <t>Felix Equiz Ramos</t>
  </si>
  <si>
    <t>SXX000456444</t>
  </si>
  <si>
    <t>Fernando Alvarez Jimenez</t>
  </si>
  <si>
    <t>SXX000537178</t>
  </si>
  <si>
    <t>CB19D76D-3D7F95</t>
  </si>
  <si>
    <t>Fernando Castillo Arias</t>
  </si>
  <si>
    <t>SXX000376440</t>
  </si>
  <si>
    <t>Fernando Hernandez Barabata</t>
  </si>
  <si>
    <t>SXX000314544</t>
  </si>
  <si>
    <t>A10553B7-804764</t>
  </si>
  <si>
    <t>Fernando Rocha Guerrero</t>
  </si>
  <si>
    <t>SXX000327584</t>
  </si>
  <si>
    <t>4D53B9EE-675FC3</t>
  </si>
  <si>
    <t>Flavio Gonzalez Silva</t>
  </si>
  <si>
    <t>SXX000555511</t>
  </si>
  <si>
    <t>178E850D-8D99BE</t>
  </si>
  <si>
    <t>SXX000329233</t>
  </si>
  <si>
    <t>9B875AB3-35C2EB</t>
  </si>
  <si>
    <t>SXX000479775</t>
  </si>
  <si>
    <t>27BA91EB-DEFA57</t>
  </si>
  <si>
    <t>Francisco Guillermo Vazquez Mendez</t>
  </si>
  <si>
    <t>SXX000514874</t>
  </si>
  <si>
    <t>Francisco Javier Reyes Juarez</t>
  </si>
  <si>
    <t>SXX000314543</t>
  </si>
  <si>
    <t>D3C223DD-3167C4</t>
  </si>
  <si>
    <t>Francisco Jimenez Acosta</t>
  </si>
  <si>
    <t>SXX000329230</t>
  </si>
  <si>
    <t>6F408982-C542FE</t>
  </si>
  <si>
    <t>Francisco Marcial Santiago Gomez</t>
  </si>
  <si>
    <t>SXX000389204</t>
  </si>
  <si>
    <t>256A0300-E64C27</t>
  </si>
  <si>
    <t>Fredy Flores Hernandez</t>
  </si>
  <si>
    <t>SXX000317286</t>
  </si>
  <si>
    <t>63329AF6-9195C6</t>
  </si>
  <si>
    <t>Gabriel Antonio Piedra Martinez</t>
  </si>
  <si>
    <t>SXX000456438</t>
  </si>
  <si>
    <t>4B8EAB76-57D2EB</t>
  </si>
  <si>
    <t>Gabriel Frias Aparicio</t>
  </si>
  <si>
    <t>SXX000353124</t>
  </si>
  <si>
    <t>SXX000329247</t>
  </si>
  <si>
    <t>Gaspar Garcia Mezquita</t>
  </si>
  <si>
    <t>SXX000327587</t>
  </si>
  <si>
    <t>204602B6-482A33</t>
  </si>
  <si>
    <t>Genaro Hernandez Alcudia</t>
  </si>
  <si>
    <t>SXX000428118</t>
  </si>
  <si>
    <t>Gerardo Jimenez Lopez</t>
  </si>
  <si>
    <t>SXX000573944</t>
  </si>
  <si>
    <t>Gerardo Lopez Murillo</t>
  </si>
  <si>
    <t>SXX000451404</t>
  </si>
  <si>
    <t>2A006F70-E81E88</t>
  </si>
  <si>
    <t>Guadalupe Alegria Alegria</t>
  </si>
  <si>
    <t>SXX000505986</t>
  </si>
  <si>
    <t>SXX000428115</t>
  </si>
  <si>
    <t>8B73375A-8D4350</t>
  </si>
  <si>
    <t>Guadalupe Jimenez Ocaña</t>
  </si>
  <si>
    <t>SXX000317282</t>
  </si>
  <si>
    <t>96AB840F-A90F84</t>
  </si>
  <si>
    <t>Heber Habacuc Sillas Pazos</t>
  </si>
  <si>
    <t>SXX000320999</t>
  </si>
  <si>
    <t>F42676AE-E6FA8D</t>
  </si>
  <si>
    <t>Hector Ovando Mendez</t>
  </si>
  <si>
    <t>SXX000471464</t>
  </si>
  <si>
    <t>6FFD361D-42680B</t>
  </si>
  <si>
    <t>Henry Daniel Cruz Marquez</t>
  </si>
  <si>
    <t>SXX000298015</t>
  </si>
  <si>
    <t>EA2005A7-42AB17</t>
  </si>
  <si>
    <t>Henry Del Carmen Alejo Priego</t>
  </si>
  <si>
    <t>SXX000403308</t>
  </si>
  <si>
    <t>C3246164-D366BF</t>
  </si>
  <si>
    <t>Hugo Marin Bayona</t>
  </si>
  <si>
    <t>SXX000347461</t>
  </si>
  <si>
    <t>997EE3A6-419B57</t>
  </si>
  <si>
    <t>Humberto Perez Matias</t>
  </si>
  <si>
    <t>SXX000389205</t>
  </si>
  <si>
    <t>E36C7878-E76526</t>
  </si>
  <si>
    <t>Idelfonso Saunier Castillo</t>
  </si>
  <si>
    <t>SXX000402513</t>
  </si>
  <si>
    <t>00D273DD-59B9B3</t>
  </si>
  <si>
    <t>Isaias Gomez Martinez</t>
  </si>
  <si>
    <t>SXX000399275</t>
  </si>
  <si>
    <t>955910CC-D16DBA</t>
  </si>
  <si>
    <t>Isidro Cuevas Leon</t>
  </si>
  <si>
    <t>SXX000321005</t>
  </si>
  <si>
    <t>Ivanovita Ruiz Cobos</t>
  </si>
  <si>
    <t>Asistente Operaciones</t>
  </si>
  <si>
    <t>SXX000505985</t>
  </si>
  <si>
    <t>Izamal Hernandez Perez</t>
  </si>
  <si>
    <t>SXX000435451</t>
  </si>
  <si>
    <t>C4E813B1-B89E29</t>
  </si>
  <si>
    <t>Jacinto Gamboa Rodriguez</t>
  </si>
  <si>
    <t>SXX000320998</t>
  </si>
  <si>
    <t>AF943070-A9A14D</t>
  </si>
  <si>
    <t>Jamin Bautista Garcia</t>
  </si>
  <si>
    <t>SXX000505990</t>
  </si>
  <si>
    <t>Javier Pizaña Reyes</t>
  </si>
  <si>
    <t>Gerente De Operaciones</t>
  </si>
  <si>
    <t>SXX000456437</t>
  </si>
  <si>
    <t>6C0E92B2-ED74E7</t>
  </si>
  <si>
    <t>Jeremias Hernandez Frias</t>
  </si>
  <si>
    <t>SXX000329236</t>
  </si>
  <si>
    <t>FE85F4EB-33D8E6</t>
  </si>
  <si>
    <t>Jesus Del Carmen Lopez Chable</t>
  </si>
  <si>
    <t>SXX000243770</t>
  </si>
  <si>
    <t>C957BA50-6D7D39</t>
  </si>
  <si>
    <t>Jesus Fabian Perez Pedraza</t>
  </si>
  <si>
    <t>SXX000514872</t>
  </si>
  <si>
    <t>SXX000438985</t>
  </si>
  <si>
    <t>DA467AC8-C9D270</t>
  </si>
  <si>
    <t>Jesus Manuel Valencia Ricardez</t>
  </si>
  <si>
    <t>SXX000433183</t>
  </si>
  <si>
    <t>Jhonathan Lazaro May</t>
  </si>
  <si>
    <t>SXX000402514</t>
  </si>
  <si>
    <t>F5BEDEB0-4C58CD</t>
  </si>
  <si>
    <t>Jhonis Deyvis Peregrino Leyva</t>
  </si>
  <si>
    <t>SXX000471462</t>
  </si>
  <si>
    <t>C261E714-669A91</t>
  </si>
  <si>
    <t>Jhonny Alamilla Salvador</t>
  </si>
  <si>
    <t>SXX000449590</t>
  </si>
  <si>
    <t>F528464D-5E3D4F</t>
  </si>
  <si>
    <t>Joel Perez Custodio</t>
  </si>
  <si>
    <t>SXX000376442</t>
  </si>
  <si>
    <t>Jonatan Jimenez Ocaña</t>
  </si>
  <si>
    <t>SXX000433175</t>
  </si>
  <si>
    <t>4824E64F-46773C</t>
  </si>
  <si>
    <t>Jorge Alberto Garcia Hernandez</t>
  </si>
  <si>
    <t>SXX000471457</t>
  </si>
  <si>
    <t>87404355-3B839E</t>
  </si>
  <si>
    <t>Jorge Alberto Suarez Perez</t>
  </si>
  <si>
    <t>SXX000469616</t>
  </si>
  <si>
    <t>A62F29F7-26BFFB</t>
  </si>
  <si>
    <t>Jorge Alejandro Zapata Sanchez</t>
  </si>
  <si>
    <t>SXX000327585</t>
  </si>
  <si>
    <t>5B1C5025-03A102</t>
  </si>
  <si>
    <t>Despachador</t>
  </si>
  <si>
    <t>SXX000347458</t>
  </si>
  <si>
    <t>9CB09FF5-05BCBC</t>
  </si>
  <si>
    <t>Jorge Ocaña Ocaña</t>
  </si>
  <si>
    <t>SXX000433180</t>
  </si>
  <si>
    <t>Eléctrico Automotriz</t>
  </si>
  <si>
    <t>SXX000428117</t>
  </si>
  <si>
    <t>Jose Antonio Hernandez De La O</t>
  </si>
  <si>
    <t>SXX000505991</t>
  </si>
  <si>
    <t>SXX000399274</t>
  </si>
  <si>
    <t>3C41AE12-39F14B</t>
  </si>
  <si>
    <t>Jose Cristian Torres Vasconcelos</t>
  </si>
  <si>
    <t>SXX000314538</t>
  </si>
  <si>
    <t>9DA86ABE-088447</t>
  </si>
  <si>
    <t>Jose De Los Santos Maza Perez</t>
  </si>
  <si>
    <t>Jose Del Carmen Hernandez Frias</t>
  </si>
  <si>
    <t>SXX000456457</t>
  </si>
  <si>
    <t>66A7DA42-03A07C</t>
  </si>
  <si>
    <t>Jose Del Carmen Morales Beaurregard</t>
  </si>
  <si>
    <t>SXX000317940</t>
  </si>
  <si>
    <t>B7BD49B8-7DEE4B</t>
  </si>
  <si>
    <t>Jose Del Carmen Torres Isidro</t>
  </si>
  <si>
    <t>Operario Electricista</t>
  </si>
  <si>
    <t>SXX000275904</t>
  </si>
  <si>
    <t>F491C987-6FAA13</t>
  </si>
  <si>
    <t>Jose Dolores Montejo Garcia</t>
  </si>
  <si>
    <t>SXX000327591</t>
  </si>
  <si>
    <t>6C4006F2-83BCBF</t>
  </si>
  <si>
    <t>Jose Eden Cordova Leyva</t>
  </si>
  <si>
    <t>SXX000327578</t>
  </si>
  <si>
    <t>3003FCE6-3A60F7</t>
  </si>
  <si>
    <t>Jose Emiliano Ramon Ketchum</t>
  </si>
  <si>
    <t>SXX000263399</t>
  </si>
  <si>
    <t>1CDC74D1-C2DF08</t>
  </si>
  <si>
    <t>Jose Guadalupe Baeza Salaya</t>
  </si>
  <si>
    <t>SXX000438991</t>
  </si>
  <si>
    <t>CE93DCB7-121413</t>
  </si>
  <si>
    <t>Jose Israel Izquierdo Reyes</t>
  </si>
  <si>
    <t>SXX000275899</t>
  </si>
  <si>
    <t>99CF8B15-B34EF7</t>
  </si>
  <si>
    <t>Jose Javier Garcia Contreras</t>
  </si>
  <si>
    <t>SXX000428116</t>
  </si>
  <si>
    <t>DFB08405-EAD835</t>
  </si>
  <si>
    <t>Jose Jesus Romero San Agustin</t>
  </si>
  <si>
    <t>SXX000317276</t>
  </si>
  <si>
    <t>Jose Luis Carrasco Gomez</t>
  </si>
  <si>
    <t>SXX000433182</t>
  </si>
  <si>
    <t>Jose Luis Madrigal Lechuga</t>
  </si>
  <si>
    <t>Representante Tecnico</t>
  </si>
  <si>
    <t>SXX000471642</t>
  </si>
  <si>
    <t>8342A675-E8B93F</t>
  </si>
  <si>
    <t>Jose Luis Martinez Figueroa</t>
  </si>
  <si>
    <t>SXX000327589</t>
  </si>
  <si>
    <t>F305F5AD-01ED2D</t>
  </si>
  <si>
    <t>Jose Manuel Leon Marin</t>
  </si>
  <si>
    <t>SXX000471460</t>
  </si>
  <si>
    <t>FB8CCC53-74EA48</t>
  </si>
  <si>
    <t>Jose Roberto Hernandez Ramon</t>
  </si>
  <si>
    <t>SXX000314540</t>
  </si>
  <si>
    <t>A4C05F56-ED738A</t>
  </si>
  <si>
    <t>Juan Andres Hernandez Castillo</t>
  </si>
  <si>
    <t>SXX000329235</t>
  </si>
  <si>
    <t>2E2EE988-27BE16</t>
  </si>
  <si>
    <t>Juan Antonio Izquierdo Rodriguez</t>
  </si>
  <si>
    <t>SXX000317943</t>
  </si>
  <si>
    <t>4BE2BB9A-91A4EC</t>
  </si>
  <si>
    <t>Juan Carlos Ramon Cao</t>
  </si>
  <si>
    <t>SXX000314537</t>
  </si>
  <si>
    <t>3250F7F6-2426A7</t>
  </si>
  <si>
    <t>Juan Carlos Valdiviezo Alvarez</t>
  </si>
  <si>
    <t>SXX000537179</t>
  </si>
  <si>
    <t>4E5F0E69-ECEA22</t>
  </si>
  <si>
    <t>Juan Hipolito Hernandez</t>
  </si>
  <si>
    <t>SXX000347460</t>
  </si>
  <si>
    <t>7210D720-E967AE</t>
  </si>
  <si>
    <t>Julio Cesar Dominguez Diaz</t>
  </si>
  <si>
    <t>SXX000376444</t>
  </si>
  <si>
    <t>F756C86F-BFE47B</t>
  </si>
  <si>
    <t>Julio Cesar Paz Baez</t>
  </si>
  <si>
    <t>SXX000353157</t>
  </si>
  <si>
    <t>Leonardo Lazaro Morales</t>
  </si>
  <si>
    <t>SXX000394676</t>
  </si>
  <si>
    <t>4D183463-3A6CB1</t>
  </si>
  <si>
    <t>Leonardo Mendez Mendez</t>
  </si>
  <si>
    <t>SXX000433179</t>
  </si>
  <si>
    <t>Lucilo Broca Gonzalez</t>
  </si>
  <si>
    <t>SXX000317289</t>
  </si>
  <si>
    <t>62108C14-55C12A</t>
  </si>
  <si>
    <t>Luis Alberto Lopez Reyes</t>
  </si>
  <si>
    <t>SXX000353155</t>
  </si>
  <si>
    <t>Luis Alfonso Palomeque Velueta</t>
  </si>
  <si>
    <t>SXX000514871</t>
  </si>
  <si>
    <t>Luis Enrique Gamboa Baeza</t>
  </si>
  <si>
    <t>SXX000402512</t>
  </si>
  <si>
    <t>F05B6172-5C1AB2</t>
  </si>
  <si>
    <t>Luis Felipe Gomez Diaz</t>
  </si>
  <si>
    <t>Coordinador General De Operaciones</t>
  </si>
  <si>
    <t>SXX000451403</t>
  </si>
  <si>
    <t>E6AF979C-F69ADA</t>
  </si>
  <si>
    <t>Luis Felipe Morales Almeida</t>
  </si>
  <si>
    <t>SXX000353156</t>
  </si>
  <si>
    <t>Gestor De Operaciones</t>
  </si>
  <si>
    <t>SXX000555513</t>
  </si>
  <si>
    <t>7EAC7C6E-F52A99</t>
  </si>
  <si>
    <t>Luis Fernando Vidal Hernandez</t>
  </si>
  <si>
    <t>SXX000573945</t>
  </si>
  <si>
    <t>SXX000438990</t>
  </si>
  <si>
    <t>649F000C-03B992</t>
  </si>
  <si>
    <t>Marco Antonio Aguirre Garcia</t>
  </si>
  <si>
    <t>SXX000399266</t>
  </si>
  <si>
    <t>B10B1E7E-F1A07A</t>
  </si>
  <si>
    <t>Maria Faustina May May</t>
  </si>
  <si>
    <t>SXX000471643</t>
  </si>
  <si>
    <t>9EBDDD10-D811F8</t>
  </si>
  <si>
    <t>Martin Cosme Patiño Ramirez</t>
  </si>
  <si>
    <t>SXX000449595</t>
  </si>
  <si>
    <t>46D16B07-0068F0</t>
  </si>
  <si>
    <t>Martin Ovando Hernandez</t>
  </si>
  <si>
    <t>SXX000428122</t>
  </si>
  <si>
    <t>Mauricio Ovando Acopa</t>
  </si>
  <si>
    <t>SXX000449593</t>
  </si>
  <si>
    <t>D7616CC1-4DF0EC</t>
  </si>
  <si>
    <t>Miguel Angel Esteban Mendez</t>
  </si>
  <si>
    <t>SXX000456443</t>
  </si>
  <si>
    <t>C0071BD0-9B0508</t>
  </si>
  <si>
    <t>Miguel Angel Valles Hidalgo</t>
  </si>
  <si>
    <t>SXX000321001</t>
  </si>
  <si>
    <t>3013816F-C2B473</t>
  </si>
  <si>
    <t>Natividad Chan Frias</t>
  </si>
  <si>
    <t>Operario De Mantenimiento</t>
  </si>
  <si>
    <t>SXX000275902</t>
  </si>
  <si>
    <t>E8FC562B-E6F47A</t>
  </si>
  <si>
    <t>Nelson Mariano Arpaiz Rodriguez</t>
  </si>
  <si>
    <t>SXX000536170</t>
  </si>
  <si>
    <t>B0F37242-0E6FA0</t>
  </si>
  <si>
    <t>Noe Sanchez Vargas</t>
  </si>
  <si>
    <t>SXX000433170</t>
  </si>
  <si>
    <t>3997204C-47DB04</t>
  </si>
  <si>
    <t>SXX000384872</t>
  </si>
  <si>
    <t>Pablo Alejandro Hernandez</t>
  </si>
  <si>
    <t>SXX000415686</t>
  </si>
  <si>
    <t>94D00343-AADCBA</t>
  </si>
  <si>
    <t>Pascual Salvador Hernandez</t>
  </si>
  <si>
    <t>SXX000433186</t>
  </si>
  <si>
    <t>Pedro Arjona Esteban</t>
  </si>
  <si>
    <t>SXX000312833</t>
  </si>
  <si>
    <t>0B741C14-32C9ED</t>
  </si>
  <si>
    <t>Rafael Rodriguez Moreno</t>
  </si>
  <si>
    <t>SXX000433172</t>
  </si>
  <si>
    <t>6719B831-34CFC5</t>
  </si>
  <si>
    <t>2-H</t>
  </si>
  <si>
    <t>Rafael Zapata Candelero</t>
  </si>
  <si>
    <t>Hergo</t>
  </si>
  <si>
    <t>Tecnico Especialista En Apriete De Accesorios</t>
  </si>
  <si>
    <t>Ricardo Fernandez Gonzalez</t>
  </si>
  <si>
    <t>SXX000456442</t>
  </si>
  <si>
    <t>A9BE42AA-71327E</t>
  </si>
  <si>
    <t>Ricardo Hernandez Ruiz</t>
  </si>
  <si>
    <t>Jefe De Mantenimiento Electronico</t>
  </si>
  <si>
    <t>SXX000384869</t>
  </si>
  <si>
    <t>41A05E71-3A968F</t>
  </si>
  <si>
    <t>Rigoberto Sanchez Frias</t>
  </si>
  <si>
    <t>SXX000327592</t>
  </si>
  <si>
    <t>DBC1AFBE-57D135</t>
  </si>
  <si>
    <t xml:space="preserve">Operario </t>
  </si>
  <si>
    <t>SXX000433176</t>
  </si>
  <si>
    <t>64E10799-BAD228</t>
  </si>
  <si>
    <t>Rodrigo Jimenez Dominguez</t>
  </si>
  <si>
    <t>SXX000317275</t>
  </si>
  <si>
    <t>SXX000402517</t>
  </si>
  <si>
    <t>BB005771-35858F</t>
  </si>
  <si>
    <t>Romel Amaury Alamilla Robles</t>
  </si>
  <si>
    <t>SXX000573949</t>
  </si>
  <si>
    <t>Romeo Gomez Garcia</t>
  </si>
  <si>
    <t>SXX000471454</t>
  </si>
  <si>
    <t>B432CFD2-27C1FA</t>
  </si>
  <si>
    <t>Ruben Alejandre Chable</t>
  </si>
  <si>
    <t>Operario De Mantenimiento A Crt</t>
  </si>
  <si>
    <t>SXX000295706</t>
  </si>
  <si>
    <t>15177B3E-C726FA</t>
  </si>
  <si>
    <t>Ruben Andres Escudero De Los Santos</t>
  </si>
  <si>
    <t>Analista De Planeacion Estrategica</t>
  </si>
  <si>
    <t>SXX000470924</t>
  </si>
  <si>
    <t>B98B3656-4A5744</t>
  </si>
  <si>
    <t>Rubicel Bocanegra Ramon</t>
  </si>
  <si>
    <t>SXX000376441</t>
  </si>
  <si>
    <t>AF51E482-AF34BD</t>
  </si>
  <si>
    <t>Samuel Olan Cerino</t>
  </si>
  <si>
    <t>SXX000298020</t>
  </si>
  <si>
    <t>4AAB31F5-D13B45</t>
  </si>
  <si>
    <t>SXX000347462</t>
  </si>
  <si>
    <t>D2E426F5-D1CEE1</t>
  </si>
  <si>
    <t>Santiago Lopez Garcia</t>
  </si>
  <si>
    <t>SXX000353153</t>
  </si>
  <si>
    <t>Santiago Obando Garcia</t>
  </si>
  <si>
    <t>SXX000384870</t>
  </si>
  <si>
    <t>061B8ECC-EABEF3</t>
  </si>
  <si>
    <t>Santos Diaz Alvarez</t>
  </si>
  <si>
    <t>SXX000329234</t>
  </si>
  <si>
    <t>87A6E712-19F9B1</t>
  </si>
  <si>
    <t>Santos Elias Izquierdo Coffin</t>
  </si>
  <si>
    <t>SXX000410523</t>
  </si>
  <si>
    <t>F5B4EB4E-6D6948</t>
  </si>
  <si>
    <t>SXX000505987</t>
  </si>
  <si>
    <t>Sergio Hernandez Isidro</t>
  </si>
  <si>
    <t>SXX000424579</t>
  </si>
  <si>
    <t>AC13B165-4AF781</t>
  </si>
  <si>
    <t>Sergio Ortiz Alegria</t>
  </si>
  <si>
    <t>SXX000415685</t>
  </si>
  <si>
    <t>1B534052-F68164</t>
  </si>
  <si>
    <t>Sergio Silvan Ovando</t>
  </si>
  <si>
    <t>SXX000514873</t>
  </si>
  <si>
    <t>SXX000456458</t>
  </si>
  <si>
    <t>4B31D9F9-39F682</t>
  </si>
  <si>
    <t>Trinidad Ranero Tosca</t>
  </si>
  <si>
    <t>SXX000317944</t>
  </si>
  <si>
    <t>F1CCFB64-F2A135</t>
  </si>
  <si>
    <t>Ulices Cambrano Torres</t>
  </si>
  <si>
    <t>SXX000505989</t>
  </si>
  <si>
    <t>92822062-0CBC80</t>
  </si>
  <si>
    <t>Victor Adrian Flores Martinez</t>
  </si>
  <si>
    <t>SXX000327586</t>
  </si>
  <si>
    <t>F40B54AD-B7FD47</t>
  </si>
  <si>
    <t>Victor Antonio Acosta Gutierrez</t>
  </si>
  <si>
    <t>SXX000317301</t>
  </si>
  <si>
    <t>669F869D-04DE8C</t>
  </si>
  <si>
    <t>Victor Daniel Chavez Fabian</t>
  </si>
  <si>
    <t>SXX000275901</t>
  </si>
  <si>
    <t>8EE109F6-99E036</t>
  </si>
  <si>
    <t>Victor Malerva Vera</t>
  </si>
  <si>
    <t>SXX000301137</t>
  </si>
  <si>
    <t>0340253B-614525</t>
  </si>
  <si>
    <t>Victor Manuel Chable Montero</t>
  </si>
  <si>
    <t>SXX000536171</t>
  </si>
  <si>
    <t>2ADEF4FC-5D3E9D</t>
  </si>
  <si>
    <t>Wilber Canabal Santiago</t>
  </si>
  <si>
    <t>SXX000438987</t>
  </si>
  <si>
    <t>CFADA7D1-FC22A8</t>
  </si>
  <si>
    <t>Wilbert Ivan Izquierdo Velazquez</t>
  </si>
  <si>
    <t>SXX000402518</t>
  </si>
  <si>
    <t>CFCE28EE-C81CB6</t>
  </si>
  <si>
    <t>Williams Andres Baeza Gomez</t>
  </si>
  <si>
    <t>SXX000321004</t>
  </si>
  <si>
    <t>Willian Cordova Perez</t>
  </si>
  <si>
    <t>SXX000399264</t>
  </si>
  <si>
    <t>3EBA3E51-EE8694</t>
  </si>
  <si>
    <t>Alejandro Castillo Herrera</t>
  </si>
  <si>
    <t>Seguridad Fisica</t>
  </si>
  <si>
    <t>Alejandro Hernandez Garcia</t>
  </si>
  <si>
    <t>Estimaciones</t>
  </si>
  <si>
    <t>Auxiliar De Estimaciones</t>
  </si>
  <si>
    <t>Armando Antonio Vasquez Mercado</t>
  </si>
  <si>
    <t>Bianca Celina Carrillo Galdamez</t>
  </si>
  <si>
    <t>Candelaria Yesenia Balcazar Hernandez</t>
  </si>
  <si>
    <t>Capital Humano</t>
  </si>
  <si>
    <t>Asistente De Calidad</t>
  </si>
  <si>
    <t>SXX000573952</t>
  </si>
  <si>
    <t>Cecilia Del Carmen Chable Trinidad</t>
  </si>
  <si>
    <t>SXX000536172</t>
  </si>
  <si>
    <t>Cesar Augusto Gonzalez Maria</t>
  </si>
  <si>
    <t>Receptor De Servicios</t>
  </si>
  <si>
    <t>Diego Torres Arias</t>
  </si>
  <si>
    <t>Auxiliar Administrativo De Logistica</t>
  </si>
  <si>
    <t>Eduardo Medina Guillermo</t>
  </si>
  <si>
    <t>Jefe De Mantenimiento Mecanico</t>
  </si>
  <si>
    <t>Elizabeth Olvera Sarao</t>
  </si>
  <si>
    <t>Contabilidad</t>
  </si>
  <si>
    <t>Auxiliar Contable</t>
  </si>
  <si>
    <t>Elsa Lopez Mendez</t>
  </si>
  <si>
    <t>Auxiliar Administrativo De Operaciones</t>
  </si>
  <si>
    <t>SXX000341423</t>
  </si>
  <si>
    <t>Emilio Ramos Lopez</t>
  </si>
  <si>
    <t>Ti</t>
  </si>
  <si>
    <t>Auxiliar Ti</t>
  </si>
  <si>
    <t>Ernesto Ramos Salvador</t>
  </si>
  <si>
    <t xml:space="preserve">Alta Direccion </t>
  </si>
  <si>
    <t>Gerente De Administracion Y Finanzas</t>
  </si>
  <si>
    <t>Felipe De Jesus De La Rosa Sanchez</t>
  </si>
  <si>
    <t>Almacen</t>
  </si>
  <si>
    <t>Auxiliar De Almacen</t>
  </si>
  <si>
    <t>Gabriel Torres Suarez</t>
  </si>
  <si>
    <t>Ventas</t>
  </si>
  <si>
    <t>Asistente De Ventas</t>
  </si>
  <si>
    <t>Guadalupe Garcia De Los Santos</t>
  </si>
  <si>
    <t>Auxiliar Administrativo De Mantenimiento</t>
  </si>
  <si>
    <t>Isaias Alvarez Mendoza</t>
  </si>
  <si>
    <t>Javier Cruz Espejo</t>
  </si>
  <si>
    <t>Auxiliar Administrativo</t>
  </si>
  <si>
    <t>Verificador De Transporte</t>
  </si>
  <si>
    <t>Jose Luis Vivas Arcos</t>
  </si>
  <si>
    <t>Jose Luis Zamudio Damian</t>
  </si>
  <si>
    <t>SXX000347480</t>
  </si>
  <si>
    <t>E6E6F133-2E72BA</t>
  </si>
  <si>
    <t>Jose Maria Cordova Jimenez</t>
  </si>
  <si>
    <t>Coordinador General De Ventas</t>
  </si>
  <si>
    <t>Juan Magaña Ovando</t>
  </si>
  <si>
    <t>Juan Manuel Campos Vidal</t>
  </si>
  <si>
    <t>C464B49F-5DDB53</t>
  </si>
  <si>
    <t>Lazaro Campos Ovando</t>
  </si>
  <si>
    <t>Luis Agustin Cortazar Serra</t>
  </si>
  <si>
    <t>Jefe De Almacen</t>
  </si>
  <si>
    <t>Luis Alejandro Hernandez Rios</t>
  </si>
  <si>
    <t>Auxiliar De Logistica</t>
  </si>
  <si>
    <t>Maria Luisa Licona Andrade</t>
  </si>
  <si>
    <t>Coordinador General Contable</t>
  </si>
  <si>
    <t>Marisol Narvaez Mayo</t>
  </si>
  <si>
    <t>Jefe De Capital Humano</t>
  </si>
  <si>
    <t>SXX000573955</t>
  </si>
  <si>
    <t>Maritza Garcia Narvaez</t>
  </si>
  <si>
    <t>Mishel Ammiel Loaiza Saul</t>
  </si>
  <si>
    <t>Jefe De Ti</t>
  </si>
  <si>
    <t>Nancy Guadalupe Perez Martinez</t>
  </si>
  <si>
    <t>Compras</t>
  </si>
  <si>
    <t>Auxiliar De Compras</t>
  </si>
  <si>
    <t>Nubia Odet Jimenez Briones</t>
  </si>
  <si>
    <t>Oscar Alberto Toledo Guevara</t>
  </si>
  <si>
    <t>Gerente De Estimaciones</t>
  </si>
  <si>
    <t>Oscar Canuto Ortiz Ortiz</t>
  </si>
  <si>
    <t>Jefe De Estimaciones</t>
  </si>
  <si>
    <t>Patricia Morales Hernandez</t>
  </si>
  <si>
    <t>Ricardo Alonso Rodriguez Shirma</t>
  </si>
  <si>
    <t>Roberto Diaz Cupil</t>
  </si>
  <si>
    <t>Rodolfo Isidro Perez</t>
  </si>
  <si>
    <t>Coordinador De Logistica</t>
  </si>
  <si>
    <t>SXX000456447</t>
  </si>
  <si>
    <t>Rodolfo Martinez Jimenez</t>
  </si>
  <si>
    <t>Roger Alvarez Isidro</t>
  </si>
  <si>
    <t>SXX000164334</t>
  </si>
  <si>
    <t>Sergio Ocaña Ramirez</t>
  </si>
  <si>
    <t>Jefe De Compras</t>
  </si>
  <si>
    <t>Wendy Bacilio Martinez</t>
  </si>
  <si>
    <t>Yesenia Alvarez Martinez</t>
  </si>
  <si>
    <t>Asistente De S.E.</t>
  </si>
  <si>
    <t>SXX000433184</t>
  </si>
  <si>
    <t>Yoli Elizabeth Hernandez Lazaro</t>
  </si>
  <si>
    <t>Miguel Ocaña Ramon</t>
  </si>
  <si>
    <t>Chofer</t>
  </si>
  <si>
    <t>SXX000573946</t>
  </si>
  <si>
    <t>Misael de la Cruz Diaz</t>
  </si>
  <si>
    <t>2327112B-8374D0</t>
  </si>
  <si>
    <t>Oscar Arias Alvarez</t>
  </si>
  <si>
    <t>Vigilante</t>
  </si>
  <si>
    <t>Nombre del Colaborador</t>
  </si>
  <si>
    <t>Nómina</t>
  </si>
  <si>
    <t>Observación</t>
  </si>
  <si>
    <t>Emisión</t>
  </si>
  <si>
    <t>Vigencia</t>
  </si>
  <si>
    <t>Dias a vencer</t>
  </si>
  <si>
    <t>Estatus</t>
  </si>
  <si>
    <t>Uso, Manejo de Equipos y Herramientas para Introducción de Tuberías de Revestimiento y Producción</t>
  </si>
  <si>
    <t>Procedimientos de Trabajo</t>
  </si>
  <si>
    <t>Servicios de Apriete de Tuberias de Revestimiento y Aparejos de Producción para Pozo Petrolero</t>
  </si>
  <si>
    <t>Sistema, Monitoreo y Control para Apriete de Conexiones Tubulares A.P.I. y Premium (WINCATT)</t>
  </si>
  <si>
    <t>Alineación de Tuberias en Perforación y Mantenimiento de Pozos</t>
  </si>
  <si>
    <t>Uso y Manejo de Rampa Articulada</t>
  </si>
  <si>
    <t xml:space="preserve">Precauciones para cargar Rampa Articulada de Izaje sin lesiones </t>
  </si>
  <si>
    <t>Instalación, Operación, Desmantelamiento y Mantenimiento de Equipo de Llenado Rápido y Circulación</t>
  </si>
  <si>
    <t>Ajuste de Altura de Izadoras Pipe Mantis</t>
  </si>
  <si>
    <t>Sustitucion de Tornillos de Brazos Indexers de  la Rampa Articulada de Izaje Big Brother</t>
  </si>
  <si>
    <t>Estandarización de Mantenimiento de Rampa Articulada de Izaje</t>
  </si>
  <si>
    <t>Sistema Eléctrico de Arranque de Unidad de Potencia</t>
  </si>
  <si>
    <t>Trabajo en Equipo</t>
  </si>
  <si>
    <t>Comunicación Efectiva</t>
  </si>
  <si>
    <t>Liderazgo</t>
  </si>
  <si>
    <t>Sentido de Responsabilidad</t>
  </si>
  <si>
    <t>Taller Práctico Posicionamiento de los Contadores de Engranes</t>
  </si>
  <si>
    <t>Taller Uso y Manejo de la Llave Hidraulica Eckel Hidra-Shift Ht-14"</t>
  </si>
  <si>
    <t>Introducción a DS-1 Vol.3, 5ta Edición de Bureau Veritas (TH HILL)</t>
  </si>
  <si>
    <t>Uso y Recomendaciones de Manejo de Pistola de Impacto Neumática</t>
  </si>
  <si>
    <t>Mecánica, Hidráulica y Neumática</t>
  </si>
  <si>
    <t>Identificación de Conexiones Rotatorias con Hombro (RSC)</t>
  </si>
  <si>
    <t>Verificador de Gas</t>
  </si>
  <si>
    <t>Volant Casing Runnig Tool Maintenance, Calibration and Operation of the CRTi2-8.63</t>
  </si>
  <si>
    <t>Volant Cement Swivel-Cement Swivel Disassembly, Cement Swivel Assembly, Cement Swivel Inspection And Maintenance
Cement Swivel Running Procedure</t>
  </si>
  <si>
    <t>Uso y Manejo del Equipo ActiveSET Crti2-8.63 C/Vcam para Introducción y Recuperación de Sartas Tubulares</t>
  </si>
  <si>
    <t>CRTe Introduction, CRTe Assembly, CRTe Maintenance 2b,2c</t>
  </si>
  <si>
    <t>Volant Level 1 Volant CRT Active SETvcam Training (Introduccion-Maintenance-Assembly-Operation Classroom-Operation Rig)</t>
  </si>
  <si>
    <t>Uso y Manejo del Equipo Cement Swivel Tool CST-2.0</t>
  </si>
  <si>
    <t>Uso, Manejo y Mantenimiento de Equipos para Introducción y Recuperación de Tuberia de Revestimiento y/o Producción</t>
  </si>
  <si>
    <t xml:space="preserve">  Uso, Manejo y Mantenimiento de Cuña Rotaria con Sistema Neumático e Hidráulico (Modelo 26-100-PD RMET "SLD")</t>
  </si>
  <si>
    <t>Mantenimiento y Reparación de Equipo de Monitoreo, Registro y Control para Apriete de WINCATT, MTT Y TTS08</t>
  </si>
  <si>
    <t>Uso y Manejo de Equipo de Monitoreo,Registro y Control de Apriete, WINCATT, MTT Y TTS08</t>
  </si>
  <si>
    <t>Control Systems "ALL TORQUE COURSE GEN2 V1.1"</t>
  </si>
  <si>
    <t>Aelium Torque Sub Course Exam</t>
  </si>
  <si>
    <t xml:space="preserve">Care, Maintenance and Testing of all Torque AT3/Exp Equipment V1.2 </t>
  </si>
  <si>
    <t xml:space="preserve">Aplicación de Pintura Industrial </t>
  </si>
  <si>
    <t>Electricidad Industrial</t>
  </si>
  <si>
    <t>Ley de Petróleos Mexicanos</t>
  </si>
  <si>
    <t>Administración de Seguridad en el Trabajo</t>
  </si>
  <si>
    <t xml:space="preserve">Auditor Interno en Sistemas de Gestión de Calidad ISO 9001:2015 con énfasis en ISO 19011:2018 </t>
  </si>
  <si>
    <t>Herramientas estadísticas para la toma de decisiones y la mejora continua</t>
  </si>
  <si>
    <t>Gestión del Riesgo</t>
  </si>
  <si>
    <t>Interpretación de la Norma ISO 9001:2015</t>
  </si>
  <si>
    <t>API Spec Q2 2nd Ed. Modalidad Fundamentals</t>
  </si>
  <si>
    <t>Mapeo de Procesos</t>
  </si>
  <si>
    <t>Uso y Manejo de los Extintores de Acuerdo a Protección Civil</t>
  </si>
  <si>
    <t>Adisel Peregrino de la Cruz</t>
  </si>
  <si>
    <t>Alejandro de la Cruz Dominguez</t>
  </si>
  <si>
    <t>Celin de la Cruz Wilson</t>
  </si>
  <si>
    <t>Davey Zacarias de la Cruz Cordova</t>
  </si>
  <si>
    <t>David de la Cruz Olan</t>
  </si>
  <si>
    <t>Floricel Jimenez de la Cruz</t>
  </si>
  <si>
    <t>Gamaliel Peregrino de la Cruz</t>
  </si>
  <si>
    <t>Guadalupe de la Cruz Montero</t>
  </si>
  <si>
    <t>Jesus Gregorio Juarez de la Cruz</t>
  </si>
  <si>
    <t>Jorge Moroni Lopez de la Cruz</t>
  </si>
  <si>
    <t>Jose Angel Gutierrez de la Cruz</t>
  </si>
  <si>
    <t>Jose Carlos de los Santos de la Cruz</t>
  </si>
  <si>
    <t>Luis Felipe Segura de la Cruz</t>
  </si>
  <si>
    <t>Manuel de la Cruz Garcia</t>
  </si>
  <si>
    <t>Otilio Manuel Perez de la Cruz</t>
  </si>
  <si>
    <t>Rito Campos de la Cruz</t>
  </si>
  <si>
    <t>Roman de la Cruz Cordova</t>
  </si>
  <si>
    <t>Samuel Rodriguez de la Cruz</t>
  </si>
  <si>
    <t>Selmi Jesus de la Cruz Montero</t>
  </si>
  <si>
    <t>Jorge de la Cruz Osorio</t>
  </si>
  <si>
    <t>Carmen de la O Olan</t>
  </si>
  <si>
    <t>Francisco de Jesus Mendez Vazquez</t>
  </si>
  <si>
    <t>Tilo del Carmen Valenzuela Lopez</t>
  </si>
  <si>
    <t>Maria del Carmen Ramirez de los  Santos</t>
  </si>
  <si>
    <t>Cert/Folio</t>
  </si>
  <si>
    <t>Calidad</t>
  </si>
  <si>
    <t>Especialista en Formación y Desarrollo</t>
  </si>
  <si>
    <t>Analista Administrativo</t>
  </si>
  <si>
    <t>Inducción y Conocimiento de las Herramientas del Servicio Integral Integral</t>
  </si>
  <si>
    <t>Pendiente</t>
  </si>
  <si>
    <t>pendiente</t>
  </si>
  <si>
    <t>Sala de capacitación - 08/05/2026</t>
  </si>
  <si>
    <t>Valores Humanos en la Organización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</si>
</sst>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Calibri"/>
      <family val="2"/>
    </font>
    <font>
      <sz val="10"/>
      <name val="Arial"/>
      <family val="2"/>
    </font>
    <font>
      <sz val="8"/>
      <color theme="1"/>
      <name val="Aptos Narrow"/>
      <family val="2"/>
      <scheme val="minor"/>
    </font>
    <font>
      <b/>
      <sz val="8"/>
      <name val="Aptos Narrow"/>
      <family val="2"/>
      <scheme val="minor"/>
    </font>
    <font>
      <sz val="8"/>
      <color theme="1"/>
      <name val="Aptos Display"/>
      <family val="2"/>
      <scheme val="maj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6D4B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</fills>
  <borders count="21">
    <border>
      <left/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</borders>
  <cellStyleXfs count="2">
    <xf numFmtId="0" fontId="0" fillId="0" borderId="0"/>
    <xf numFmtId="0" fontId="8" fillId="0" borderId="0"/>
  </cellStyleXfs>
  <cellXfs count="134">
    <xf numFmtId="0" fontId="0" fillId="0" borderId="0" xfId="0"/>
    <xf numFmtId="0" fontId="5" fillId="4" borderId="7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4" fontId="6" fillId="0" borderId="7" xfId="0" applyNumberFormat="1" applyFont="1" applyBorder="1" applyAlignment="1">
      <alignment horizontal="center" vertical="center"/>
    </xf>
    <xf numFmtId="14" fontId="9" fillId="0" borderId="7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14" fontId="9" fillId="18" borderId="7" xfId="0" applyNumberFormat="1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1" fontId="5" fillId="6" borderId="7" xfId="0" applyNumberFormat="1" applyFont="1" applyFill="1" applyBorder="1" applyAlignment="1">
      <alignment horizontal="center" vertical="center"/>
    </xf>
    <xf numFmtId="14" fontId="5" fillId="17" borderId="7" xfId="0" applyNumberFormat="1" applyFont="1" applyFill="1" applyBorder="1" applyAlignment="1">
      <alignment horizontal="center" vertical="center"/>
    </xf>
    <xf numFmtId="0" fontId="5" fillId="17" borderId="7" xfId="0" applyFont="1" applyFill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0" fontId="5" fillId="14" borderId="7" xfId="0" applyFont="1" applyFill="1" applyBorder="1" applyAlignment="1">
      <alignment horizontal="center" vertical="center"/>
    </xf>
    <xf numFmtId="0" fontId="5" fillId="15" borderId="7" xfId="0" applyFont="1" applyFill="1" applyBorder="1" applyAlignment="1">
      <alignment horizontal="center" vertical="center"/>
    </xf>
    <xf numFmtId="0" fontId="5" fillId="16" borderId="7" xfId="0" applyFont="1" applyFill="1" applyBorder="1" applyAlignment="1">
      <alignment horizontal="center" vertical="center"/>
    </xf>
    <xf numFmtId="14" fontId="10" fillId="0" borderId="7" xfId="0" applyNumberFormat="1" applyFont="1" applyBorder="1" applyAlignment="1">
      <alignment horizontal="center" vertical="center"/>
    </xf>
    <xf numFmtId="11" fontId="6" fillId="0" borderId="7" xfId="0" applyNumberFormat="1" applyFont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14" fontId="6" fillId="18" borderId="7" xfId="0" applyNumberFormat="1" applyFont="1" applyFill="1" applyBorder="1" applyAlignment="1">
      <alignment horizontal="center" vertical="center"/>
    </xf>
    <xf numFmtId="0" fontId="4" fillId="19" borderId="7" xfId="0" applyFont="1" applyFill="1" applyBorder="1" applyAlignment="1">
      <alignment horizontal="center" vertical="center"/>
    </xf>
    <xf numFmtId="1" fontId="6" fillId="19" borderId="7" xfId="0" applyNumberFormat="1" applyFont="1" applyFill="1" applyBorder="1" applyAlignment="1">
      <alignment horizontal="center" vertical="center"/>
    </xf>
    <xf numFmtId="0" fontId="7" fillId="19" borderId="3" xfId="0" applyFont="1" applyFill="1" applyBorder="1" applyAlignment="1">
      <alignment vertical="center"/>
    </xf>
    <xf numFmtId="0" fontId="7" fillId="19" borderId="12" xfId="0" applyFont="1" applyFill="1" applyBorder="1" applyAlignment="1">
      <alignment horizontal="center" vertical="center"/>
    </xf>
    <xf numFmtId="0" fontId="7" fillId="19" borderId="2" xfId="0" applyFont="1" applyFill="1" applyBorder="1" applyAlignment="1">
      <alignment horizontal="center" vertical="center"/>
    </xf>
    <xf numFmtId="0" fontId="6" fillId="19" borderId="7" xfId="0" applyFont="1" applyFill="1" applyBorder="1" applyAlignment="1">
      <alignment horizontal="center" vertical="center"/>
    </xf>
    <xf numFmtId="49" fontId="6" fillId="19" borderId="7" xfId="0" applyNumberFormat="1" applyFont="1" applyFill="1" applyBorder="1" applyAlignment="1">
      <alignment horizontal="center" vertical="center"/>
    </xf>
    <xf numFmtId="0" fontId="6" fillId="19" borderId="4" xfId="0" applyFont="1" applyFill="1" applyBorder="1" applyAlignment="1">
      <alignment horizontal="left" vertical="center"/>
    </xf>
    <xf numFmtId="0" fontId="5" fillId="4" borderId="12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5" fillId="20" borderId="7" xfId="0" applyFont="1" applyFill="1" applyBorder="1" applyAlignment="1">
      <alignment horizontal="center" vertical="center"/>
    </xf>
    <xf numFmtId="0" fontId="0" fillId="18" borderId="0" xfId="0" applyFill="1"/>
    <xf numFmtId="0" fontId="10" fillId="0" borderId="7" xfId="0" quotePrefix="1" applyFont="1" applyBorder="1" applyAlignment="1">
      <alignment horizontal="center" vertical="center"/>
    </xf>
    <xf numFmtId="14" fontId="9" fillId="0" borderId="7" xfId="0" applyNumberFormat="1" applyFont="1" applyBorder="1" applyAlignment="1">
      <alignment horizontal="center" vertical="center" wrapText="1"/>
    </xf>
    <xf numFmtId="14" fontId="6" fillId="0" borderId="7" xfId="0" applyNumberFormat="1" applyFont="1" applyBorder="1" applyAlignment="1">
      <alignment horizontal="center" vertical="center" wrapText="1"/>
    </xf>
    <xf numFmtId="0" fontId="2" fillId="14" borderId="4" xfId="0" applyFont="1" applyFill="1" applyBorder="1" applyAlignment="1">
      <alignment horizontal="center" vertical="center"/>
    </xf>
    <xf numFmtId="0" fontId="2" fillId="14" borderId="5" xfId="0" applyFont="1" applyFill="1" applyBorder="1" applyAlignment="1">
      <alignment horizontal="center" vertical="center"/>
    </xf>
    <xf numFmtId="0" fontId="3" fillId="9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3" fillId="9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13" borderId="4" xfId="0" applyFont="1" applyFill="1" applyBorder="1" applyAlignment="1">
      <alignment horizontal="center" vertical="center"/>
    </xf>
    <xf numFmtId="0" fontId="2" fillId="13" borderId="5" xfId="0" applyFont="1" applyFill="1" applyBorder="1" applyAlignment="1">
      <alignment horizontal="center" vertical="center"/>
    </xf>
    <xf numFmtId="0" fontId="2" fillId="13" borderId="6" xfId="0" applyFont="1" applyFill="1" applyBorder="1" applyAlignment="1">
      <alignment horizontal="center" vertical="center"/>
    </xf>
    <xf numFmtId="0" fontId="3" fillId="13" borderId="4" xfId="0" applyFont="1" applyFill="1" applyBorder="1" applyAlignment="1">
      <alignment horizontal="center" vertical="center" wrapText="1"/>
    </xf>
    <xf numFmtId="0" fontId="3" fillId="13" borderId="5" xfId="0" applyFont="1" applyFill="1" applyBorder="1" applyAlignment="1">
      <alignment horizontal="center" vertical="center" wrapText="1"/>
    </xf>
    <xf numFmtId="0" fontId="3" fillId="13" borderId="6" xfId="0" applyFont="1" applyFill="1" applyBorder="1" applyAlignment="1">
      <alignment horizontal="center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3" fillId="14" borderId="5" xfId="0" applyFont="1" applyFill="1" applyBorder="1" applyAlignment="1">
      <alignment horizontal="center" vertical="center" wrapText="1"/>
    </xf>
    <xf numFmtId="0" fontId="3" fillId="14" borderId="6" xfId="0" applyFont="1" applyFill="1" applyBorder="1" applyAlignment="1">
      <alignment horizontal="center" vertical="center" wrapText="1"/>
    </xf>
    <xf numFmtId="0" fontId="2" fillId="15" borderId="16" xfId="0" applyFont="1" applyFill="1" applyBorder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5" borderId="17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 wrapText="1"/>
    </xf>
    <xf numFmtId="0" fontId="3" fillId="15" borderId="6" xfId="0" applyFont="1" applyFill="1" applyBorder="1" applyAlignment="1">
      <alignment horizontal="center" vertical="center" wrapText="1"/>
    </xf>
    <xf numFmtId="0" fontId="3" fillId="9" borderId="12" xfId="0" applyFont="1" applyFill="1" applyBorder="1" applyAlignment="1">
      <alignment horizontal="center" vertical="center" wrapText="1"/>
    </xf>
    <xf numFmtId="0" fontId="3" fillId="16" borderId="7" xfId="0" applyFont="1" applyFill="1" applyBorder="1" applyAlignment="1">
      <alignment horizontal="center" vertical="center" wrapText="1"/>
    </xf>
    <xf numFmtId="0" fontId="3" fillId="14" borderId="12" xfId="0" applyFont="1" applyFill="1" applyBorder="1" applyAlignment="1">
      <alignment horizontal="center" vertical="center" wrapText="1"/>
    </xf>
    <xf numFmtId="0" fontId="3" fillId="14" borderId="7" xfId="0" applyFont="1" applyFill="1" applyBorder="1" applyAlignment="1">
      <alignment horizontal="center" vertical="center" wrapText="1"/>
    </xf>
    <xf numFmtId="0" fontId="3" fillId="4" borderId="12" xfId="0" applyFont="1" applyFill="1" applyBorder="1" applyAlignment="1">
      <alignment horizontal="center" vertical="center" wrapText="1"/>
    </xf>
    <xf numFmtId="0" fontId="3" fillId="20" borderId="12" xfId="0" applyFont="1" applyFill="1" applyBorder="1" applyAlignment="1">
      <alignment horizontal="center" vertical="center" wrapText="1"/>
    </xf>
    <xf numFmtId="0" fontId="4" fillId="20" borderId="12" xfId="0" applyFont="1" applyFill="1" applyBorder="1" applyAlignment="1">
      <alignment horizontal="center" vertical="center" wrapText="1"/>
    </xf>
    <xf numFmtId="0" fontId="4" fillId="14" borderId="7" xfId="0" applyFont="1" applyFill="1" applyBorder="1" applyAlignment="1">
      <alignment horizontal="center" vertical="center" wrapText="1"/>
    </xf>
    <xf numFmtId="0" fontId="3" fillId="20" borderId="7" xfId="0" applyFont="1" applyFill="1" applyBorder="1" applyAlignment="1">
      <alignment horizontal="center" vertical="center" wrapText="1"/>
    </xf>
    <xf numFmtId="0" fontId="3" fillId="12" borderId="7" xfId="0" applyFont="1" applyFill="1" applyBorder="1" applyAlignment="1">
      <alignment horizontal="center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3" fillId="12" borderId="5" xfId="0" applyFont="1" applyFill="1" applyBorder="1" applyAlignment="1">
      <alignment horizontal="center" vertical="center" wrapText="1"/>
    </xf>
    <xf numFmtId="0" fontId="3" fillId="12" borderId="6" xfId="0" applyFont="1" applyFill="1" applyBorder="1" applyAlignment="1">
      <alignment horizontal="center" vertical="center" wrapText="1"/>
    </xf>
    <xf numFmtId="0" fontId="3" fillId="11" borderId="7" xfId="0" applyFont="1" applyFill="1" applyBorder="1" applyAlignment="1">
      <alignment horizontal="center" vertical="center" wrapText="1"/>
    </xf>
    <xf numFmtId="0" fontId="3" fillId="17" borderId="7" xfId="0" applyFont="1" applyFill="1" applyBorder="1" applyAlignment="1">
      <alignment horizontal="center" vertical="center" wrapText="1"/>
    </xf>
    <xf numFmtId="0" fontId="3" fillId="7" borderId="7" xfId="0" applyFont="1" applyFill="1" applyBorder="1" applyAlignment="1">
      <alignment horizontal="center" vertical="center" wrapText="1"/>
    </xf>
    <xf numFmtId="0" fontId="3" fillId="9" borderId="7" xfId="0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 wrapText="1"/>
    </xf>
    <xf numFmtId="0" fontId="3" fillId="10" borderId="7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14" fontId="3" fillId="7" borderId="7" xfId="0" applyNumberFormat="1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9" borderId="4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2" fillId="9" borderId="6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10" borderId="7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3" fillId="6" borderId="6" xfId="0" applyFont="1" applyFill="1" applyBorder="1" applyAlignment="1">
      <alignment horizontal="center" vertical="center" wrapText="1"/>
    </xf>
    <xf numFmtId="0" fontId="2" fillId="6" borderId="19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20" xfId="0" applyFont="1" applyFill="1" applyBorder="1" applyAlignment="1">
      <alignment horizontal="center" vertical="center"/>
    </xf>
    <xf numFmtId="0" fontId="2" fillId="7" borderId="9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4" borderId="18" xfId="0" applyFont="1" applyFill="1" applyBorder="1" applyAlignment="1">
      <alignment horizontal="center" vertical="center"/>
    </xf>
    <xf numFmtId="14" fontId="2" fillId="7" borderId="0" xfId="0" applyNumberFormat="1" applyFont="1" applyFill="1" applyAlignment="1">
      <alignment horizontal="center" vertical="center"/>
    </xf>
    <xf numFmtId="0" fontId="3" fillId="4" borderId="18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2" fillId="20" borderId="7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2" fillId="16" borderId="4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2" fillId="20" borderId="2" xfId="0" applyFont="1" applyFill="1" applyBorder="1" applyAlignment="1">
      <alignment horizontal="center" vertical="center"/>
    </xf>
    <xf numFmtId="0" fontId="2" fillId="20" borderId="3" xfId="0" applyFont="1" applyFill="1" applyBorder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</cellXfs>
  <cellStyles count="2">
    <cellStyle name="Normal" xfId="0" builtinId="0"/>
    <cellStyle name="Normal 5" xfId="1" xr:uid="{58A3FBEA-30CA-4770-A8FF-AEB9EA22528E}"/>
  </cellStyles>
  <dxfs count="864"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1A6B3-4CA2-47DD-990D-ABC92D8C82CF}">
  <sheetPr filterMode="1"/>
  <dimension ref="A1:QA247"/>
  <sheetViews>
    <sheetView tabSelected="1" zoomScale="80" zoomScaleNormal="80" workbookViewId="0">
      <pane xSplit="5" ySplit="3" topLeftCell="JS4" activePane="bottomRight" state="frozen"/>
      <selection pane="topRight" activeCell="F1" sqref="F1"/>
      <selection pane="bottomLeft" activeCell="A4" sqref="A4"/>
      <selection pane="bottomRight" activeCell="KB247" sqref="KB247"/>
    </sheetView>
  </sheetViews>
  <sheetFormatPr baseColWidth="10" defaultRowHeight="14.4" x14ac:dyDescent="0.3"/>
  <cols>
    <col min="1" max="1" width="3.6640625" bestFit="1" customWidth="1"/>
    <col min="2" max="2" width="6.44140625" bestFit="1" customWidth="1"/>
    <col min="3" max="3" width="26.5546875" bestFit="1" customWidth="1"/>
    <col min="4" max="4" width="17.88671875" hidden="1" customWidth="1"/>
    <col min="5" max="5" width="29.21875" hidden="1" customWidth="1"/>
    <col min="6" max="6" width="12.77734375" bestFit="1" customWidth="1"/>
    <col min="11" max="11" width="12.77734375" bestFit="1" customWidth="1"/>
    <col min="22" max="22" width="17" bestFit="1" customWidth="1"/>
    <col min="28" max="28" width="17.21875" bestFit="1" customWidth="1"/>
    <col min="83" max="83" width="13.44140625" bestFit="1" customWidth="1"/>
    <col min="263" max="263" width="13.44140625" bestFit="1" customWidth="1"/>
    <col min="268" max="268" width="13.44140625" bestFit="1" customWidth="1"/>
    <col min="273" max="273" width="13.44140625" bestFit="1" customWidth="1"/>
    <col min="278" max="278" width="13.44140625" bestFit="1" customWidth="1"/>
    <col min="283" max="283" width="13.44140625" bestFit="1" customWidth="1"/>
    <col min="288" max="288" width="21.33203125" bestFit="1" customWidth="1"/>
  </cols>
  <sheetData>
    <row r="1" spans="1:442" ht="15.6" thickTop="1" thickBot="1" x14ac:dyDescent="0.35">
      <c r="A1" s="46" t="s">
        <v>0</v>
      </c>
      <c r="B1" s="47"/>
      <c r="C1" s="47"/>
      <c r="D1" s="47"/>
      <c r="E1" s="48"/>
      <c r="F1" s="95" t="s">
        <v>1</v>
      </c>
      <c r="G1" s="96"/>
      <c r="H1" s="96"/>
      <c r="I1" s="96"/>
      <c r="J1" s="96"/>
      <c r="K1" s="96"/>
      <c r="L1" s="96"/>
      <c r="M1" s="96"/>
      <c r="N1" s="96"/>
      <c r="O1" s="96"/>
      <c r="P1" s="96"/>
      <c r="Q1" s="96"/>
      <c r="R1" s="96"/>
      <c r="S1" s="96"/>
      <c r="T1" s="97"/>
      <c r="U1" s="103" t="s">
        <v>2</v>
      </c>
      <c r="V1" s="104"/>
      <c r="W1" s="104"/>
      <c r="X1" s="104"/>
      <c r="Y1" s="104"/>
      <c r="Z1" s="104"/>
      <c r="AA1" s="104"/>
      <c r="AB1" s="104"/>
      <c r="AC1" s="104"/>
      <c r="AD1" s="104"/>
      <c r="AE1" s="104"/>
      <c r="AF1" s="105"/>
      <c r="AG1" s="106" t="s">
        <v>3</v>
      </c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8" t="s">
        <v>4</v>
      </c>
      <c r="CF1" s="108"/>
      <c r="CG1" s="108"/>
      <c r="CH1" s="108"/>
      <c r="CI1" s="108"/>
      <c r="CJ1" s="107" t="s">
        <v>5</v>
      </c>
      <c r="CK1" s="107"/>
      <c r="CL1" s="107"/>
      <c r="CM1" s="107"/>
      <c r="CN1" s="107"/>
      <c r="CO1" s="107"/>
      <c r="CP1" s="107"/>
      <c r="CQ1" s="107"/>
      <c r="CR1" s="107"/>
      <c r="CS1" s="107"/>
      <c r="CT1" s="107"/>
      <c r="CU1" s="107"/>
      <c r="CV1" s="107"/>
      <c r="CW1" s="107"/>
      <c r="CX1" s="107"/>
      <c r="CY1" s="107"/>
      <c r="CZ1" s="107"/>
      <c r="DA1" s="107"/>
      <c r="DB1" s="107"/>
      <c r="DC1" s="107"/>
      <c r="DD1" s="107"/>
      <c r="DE1" s="107"/>
      <c r="DF1" s="107"/>
      <c r="DG1" s="107"/>
      <c r="DH1" s="107"/>
      <c r="DI1" s="107"/>
      <c r="DJ1" s="107"/>
      <c r="DK1" s="107"/>
      <c r="DL1" s="107"/>
      <c r="DM1" s="107"/>
      <c r="DN1" s="107"/>
      <c r="DO1" s="107"/>
      <c r="DP1" s="107"/>
      <c r="DQ1" s="107"/>
      <c r="DR1" s="107"/>
      <c r="DS1" s="107"/>
      <c r="DT1" s="107"/>
      <c r="DU1" s="107"/>
      <c r="DV1" s="107"/>
      <c r="DW1" s="107"/>
      <c r="DX1" s="107"/>
      <c r="DY1" s="107"/>
      <c r="DZ1" s="107"/>
      <c r="EA1" s="107"/>
      <c r="EB1" s="107"/>
      <c r="EC1" s="107"/>
      <c r="ED1" s="107"/>
      <c r="EE1" s="107"/>
      <c r="EF1" s="107"/>
      <c r="EG1" s="107"/>
      <c r="EH1" s="107"/>
      <c r="EI1" s="107"/>
      <c r="EJ1" s="107"/>
      <c r="EK1" s="107"/>
      <c r="EL1" s="107"/>
      <c r="EM1" s="107"/>
      <c r="EN1" s="107"/>
      <c r="EO1" s="107"/>
      <c r="EP1" s="107"/>
      <c r="EQ1" s="107"/>
      <c r="ER1" s="109"/>
      <c r="ES1" s="107"/>
      <c r="ET1" s="107"/>
      <c r="EU1" s="107"/>
      <c r="EV1" s="107"/>
      <c r="EW1" s="107"/>
      <c r="EX1" s="107"/>
      <c r="EY1" s="107"/>
      <c r="EZ1" s="107"/>
      <c r="FA1" s="107"/>
      <c r="FB1" s="107"/>
      <c r="FC1" s="107"/>
      <c r="FD1" s="107"/>
      <c r="FE1" s="107"/>
      <c r="FF1" s="107"/>
      <c r="FG1" s="107"/>
      <c r="FH1" s="107"/>
      <c r="FI1" s="107"/>
      <c r="FJ1" s="107"/>
      <c r="FK1" s="107"/>
      <c r="FL1" s="107"/>
      <c r="FM1" s="107"/>
      <c r="FN1" s="107"/>
      <c r="FO1" s="107"/>
      <c r="FP1" s="107"/>
      <c r="FQ1" s="107"/>
      <c r="FR1" s="107"/>
      <c r="FS1" s="107"/>
      <c r="FT1" s="107"/>
      <c r="FU1" s="107"/>
      <c r="FV1" s="107"/>
      <c r="FW1" s="107"/>
      <c r="FX1" s="107"/>
      <c r="FY1" s="107"/>
      <c r="FZ1" s="107"/>
      <c r="GA1" s="107"/>
      <c r="GB1" s="107"/>
      <c r="GC1" s="107"/>
      <c r="GD1" s="107"/>
      <c r="GE1" s="107"/>
      <c r="GF1" s="107"/>
      <c r="GG1" s="107"/>
      <c r="GH1" s="107"/>
      <c r="GI1" s="107"/>
      <c r="GJ1" s="107"/>
      <c r="GK1" s="129"/>
      <c r="GL1" s="130"/>
      <c r="GM1" s="130"/>
      <c r="GN1" s="130"/>
      <c r="GO1" s="130"/>
      <c r="GP1" s="131" t="s">
        <v>6</v>
      </c>
      <c r="GQ1" s="132"/>
      <c r="GR1" s="132"/>
      <c r="GS1" s="132"/>
      <c r="GT1" s="132"/>
      <c r="GU1" s="132"/>
      <c r="GV1" s="132"/>
      <c r="GW1" s="132"/>
      <c r="GX1" s="132"/>
      <c r="GY1" s="132"/>
      <c r="GZ1" s="132"/>
      <c r="HA1" s="132"/>
      <c r="HB1" s="132"/>
      <c r="HC1" s="132"/>
      <c r="HD1" s="132"/>
      <c r="HE1" s="132"/>
      <c r="HF1" s="132"/>
      <c r="HG1" s="132"/>
      <c r="HH1" s="132"/>
      <c r="HI1" s="133"/>
      <c r="HJ1" s="87" t="s">
        <v>7</v>
      </c>
      <c r="HK1" s="88"/>
      <c r="HL1" s="88"/>
      <c r="HM1" s="88"/>
      <c r="HN1" s="89"/>
      <c r="HO1" s="90" t="s">
        <v>8</v>
      </c>
      <c r="HP1" s="91"/>
      <c r="HQ1" s="91"/>
      <c r="HR1" s="91"/>
      <c r="HS1" s="92"/>
      <c r="HT1" s="93" t="s">
        <v>9</v>
      </c>
      <c r="HU1" s="93"/>
      <c r="HV1" s="93"/>
      <c r="HW1" s="93"/>
      <c r="HX1" s="93"/>
      <c r="HY1" s="93"/>
      <c r="HZ1" s="93"/>
      <c r="IA1" s="93"/>
      <c r="IB1" s="93"/>
      <c r="IC1" s="93"/>
      <c r="ID1" s="94" t="s">
        <v>10</v>
      </c>
      <c r="IE1" s="94"/>
      <c r="IF1" s="94"/>
      <c r="IG1" s="94"/>
      <c r="IH1" s="94"/>
      <c r="II1" s="123" t="s">
        <v>11</v>
      </c>
      <c r="IJ1" s="123"/>
      <c r="IK1" s="123"/>
      <c r="IL1" s="123"/>
      <c r="IM1" s="123"/>
      <c r="IN1" s="123"/>
      <c r="IO1" s="123"/>
      <c r="IP1" s="123"/>
      <c r="IQ1" s="123"/>
      <c r="IR1" s="123"/>
      <c r="IS1" s="123"/>
      <c r="IT1" s="123"/>
      <c r="IU1" s="123"/>
      <c r="IV1" s="123"/>
      <c r="IW1" s="123"/>
      <c r="IX1" s="123"/>
      <c r="IY1" s="123"/>
      <c r="IZ1" s="123"/>
      <c r="JA1" s="123"/>
      <c r="JB1" s="123"/>
      <c r="JC1" s="124" t="s">
        <v>12</v>
      </c>
      <c r="JD1" s="125"/>
      <c r="JE1" s="125"/>
      <c r="JF1" s="125"/>
      <c r="JG1" s="125"/>
      <c r="JH1" s="125"/>
      <c r="JI1" s="125"/>
      <c r="JJ1" s="125"/>
      <c r="JK1" s="125"/>
      <c r="JL1" s="125"/>
      <c r="JM1" s="125"/>
      <c r="JN1" s="125"/>
      <c r="JO1" s="125"/>
      <c r="JP1" s="125"/>
      <c r="JQ1" s="125"/>
      <c r="JR1" s="125"/>
      <c r="JS1" s="125"/>
      <c r="JT1" s="125"/>
      <c r="JU1" s="125"/>
      <c r="JV1" s="126"/>
      <c r="JW1" s="124"/>
      <c r="JX1" s="125"/>
      <c r="JY1" s="125"/>
      <c r="JZ1" s="125"/>
      <c r="KA1" s="126"/>
      <c r="KB1" s="49" t="s">
        <v>13</v>
      </c>
      <c r="KC1" s="50"/>
      <c r="KD1" s="50"/>
      <c r="KE1" s="50"/>
      <c r="KF1" s="50"/>
      <c r="KG1" s="50"/>
      <c r="KH1" s="50"/>
      <c r="KI1" s="50"/>
      <c r="KJ1" s="50"/>
      <c r="KK1" s="51"/>
      <c r="KL1" s="41" t="s">
        <v>14</v>
      </c>
      <c r="KM1" s="42"/>
      <c r="KN1" s="42"/>
      <c r="KO1" s="42"/>
      <c r="KP1" s="42"/>
      <c r="KQ1" s="42"/>
      <c r="KR1" s="42"/>
      <c r="KS1" s="42"/>
      <c r="KT1" s="42"/>
      <c r="KU1" s="42"/>
      <c r="KV1" s="42"/>
      <c r="KW1" s="42"/>
      <c r="KX1" s="42"/>
      <c r="KY1" s="42"/>
      <c r="KZ1" s="42"/>
      <c r="LA1" s="42"/>
      <c r="LB1" s="42"/>
      <c r="LC1" s="42"/>
      <c r="LD1" s="42"/>
      <c r="LE1" s="42"/>
      <c r="LF1" s="42"/>
      <c r="LG1" s="42"/>
      <c r="LH1" s="42"/>
      <c r="LI1" s="42"/>
      <c r="LJ1" s="42"/>
      <c r="LK1" s="127" t="s">
        <v>15</v>
      </c>
      <c r="LL1" s="127"/>
      <c r="LM1" s="127"/>
      <c r="LN1" s="127"/>
      <c r="LO1" s="127"/>
      <c r="LP1" s="127"/>
      <c r="LQ1" s="127"/>
      <c r="LR1" s="127"/>
      <c r="LS1" s="127"/>
      <c r="LT1" s="128"/>
      <c r="LU1" s="118" t="s">
        <v>16</v>
      </c>
      <c r="LV1" s="118"/>
      <c r="LW1" s="118"/>
      <c r="LX1" s="118"/>
      <c r="LY1" s="118"/>
      <c r="LZ1" s="118"/>
      <c r="MA1" s="118"/>
      <c r="MB1" s="118"/>
      <c r="MC1" s="118"/>
      <c r="MD1" s="118"/>
      <c r="ME1" s="118"/>
      <c r="MF1" s="118"/>
      <c r="MG1" s="118"/>
      <c r="MH1" s="118"/>
      <c r="MI1" s="118"/>
      <c r="MJ1" s="118"/>
      <c r="MK1" s="118"/>
      <c r="ML1" s="118"/>
      <c r="MM1" s="118"/>
      <c r="MN1" s="118"/>
      <c r="MO1" s="58" t="s">
        <v>17</v>
      </c>
      <c r="MP1" s="59"/>
      <c r="MQ1" s="59"/>
      <c r="MR1" s="59"/>
      <c r="MS1" s="59"/>
      <c r="MT1" s="59"/>
      <c r="MU1" s="59"/>
      <c r="MV1" s="59"/>
      <c r="MW1" s="59"/>
      <c r="MX1" s="60"/>
      <c r="MY1" s="119" t="s">
        <v>18</v>
      </c>
      <c r="MZ1" s="119"/>
      <c r="NA1" s="119"/>
      <c r="NB1" s="119"/>
      <c r="NC1" s="119"/>
      <c r="ND1" s="119"/>
      <c r="NE1" s="119"/>
      <c r="NF1" s="119"/>
      <c r="NG1" s="119"/>
      <c r="NH1" s="119"/>
      <c r="NI1" s="120" t="s">
        <v>19</v>
      </c>
      <c r="NJ1" s="120"/>
      <c r="NK1" s="120"/>
      <c r="NL1" s="120"/>
      <c r="NM1" s="120"/>
      <c r="NN1" s="120"/>
      <c r="NO1" s="120"/>
      <c r="NP1" s="120"/>
      <c r="NQ1" s="120"/>
      <c r="NR1" s="120"/>
      <c r="NS1" s="120"/>
      <c r="NT1" s="120"/>
      <c r="NU1" s="120"/>
      <c r="NV1" s="120"/>
      <c r="NW1" s="120"/>
      <c r="NX1" s="121" t="s">
        <v>20</v>
      </c>
      <c r="NY1" s="122"/>
      <c r="NZ1" s="122"/>
      <c r="OA1" s="122"/>
      <c r="OB1" s="122"/>
      <c r="OC1" s="122"/>
      <c r="OD1" s="122"/>
      <c r="OE1" s="122"/>
      <c r="OF1" s="122"/>
      <c r="OG1" s="122"/>
      <c r="OH1" s="41" t="s">
        <v>21</v>
      </c>
      <c r="OI1" s="42"/>
      <c r="OJ1" s="42"/>
      <c r="OK1" s="42"/>
      <c r="OL1" s="42"/>
      <c r="OM1" s="42"/>
      <c r="ON1" s="42"/>
      <c r="OO1" s="42"/>
      <c r="OP1" s="42"/>
      <c r="OQ1" s="42"/>
      <c r="OR1" s="111" t="s">
        <v>22</v>
      </c>
      <c r="OS1" s="111"/>
      <c r="OT1" s="111"/>
      <c r="OU1" s="111"/>
      <c r="OV1" s="111"/>
      <c r="OW1" s="111"/>
      <c r="OX1" s="111"/>
      <c r="OY1" s="111"/>
      <c r="OZ1" s="111"/>
      <c r="PA1" s="111"/>
      <c r="PB1" s="111"/>
      <c r="PC1" s="111"/>
      <c r="PD1" s="111"/>
      <c r="PE1" s="111"/>
      <c r="PF1" s="111"/>
      <c r="PG1" s="111"/>
      <c r="PH1" s="111"/>
      <c r="PI1" s="111"/>
      <c r="PJ1" s="111"/>
      <c r="PK1" s="111"/>
      <c r="PL1" s="111"/>
      <c r="PM1" s="111"/>
      <c r="PN1" s="111"/>
      <c r="PO1" s="111"/>
      <c r="PP1" s="111"/>
      <c r="PQ1" s="111"/>
      <c r="PR1" s="111"/>
      <c r="PS1" s="111"/>
      <c r="PT1" s="111"/>
      <c r="PU1" s="111"/>
      <c r="PV1" s="111"/>
      <c r="PW1" s="111"/>
      <c r="PX1" s="111"/>
      <c r="PY1" s="111"/>
      <c r="PZ1" s="111"/>
    </row>
    <row r="2" spans="1:442" s="35" customFormat="1" ht="37.799999999999997" customHeight="1" thickTop="1" thickBot="1" x14ac:dyDescent="0.35">
      <c r="A2" s="112" t="s">
        <v>23</v>
      </c>
      <c r="B2" s="112" t="s">
        <v>698</v>
      </c>
      <c r="C2" s="114" t="s">
        <v>697</v>
      </c>
      <c r="D2" s="115" t="s">
        <v>24</v>
      </c>
      <c r="E2" s="116" t="s">
        <v>25</v>
      </c>
      <c r="F2" s="98" t="s">
        <v>26</v>
      </c>
      <c r="G2" s="98"/>
      <c r="H2" s="98"/>
      <c r="I2" s="98"/>
      <c r="J2" s="98"/>
      <c r="K2" s="98" t="s">
        <v>27</v>
      </c>
      <c r="L2" s="98"/>
      <c r="M2" s="98"/>
      <c r="N2" s="98"/>
      <c r="O2" s="98"/>
      <c r="P2" s="98" t="s">
        <v>28</v>
      </c>
      <c r="Q2" s="98"/>
      <c r="R2" s="98"/>
      <c r="S2" s="98"/>
      <c r="T2" s="98"/>
      <c r="U2" s="100" t="s">
        <v>29</v>
      </c>
      <c r="V2" s="101"/>
      <c r="W2" s="101"/>
      <c r="X2" s="101"/>
      <c r="Y2" s="101"/>
      <c r="Z2" s="102"/>
      <c r="AA2" s="100" t="s">
        <v>30</v>
      </c>
      <c r="AB2" s="101"/>
      <c r="AC2" s="101"/>
      <c r="AD2" s="101"/>
      <c r="AE2" s="101"/>
      <c r="AF2" s="102"/>
      <c r="AG2" s="80" t="s">
        <v>5</v>
      </c>
      <c r="AH2" s="80"/>
      <c r="AI2" s="80"/>
      <c r="AJ2" s="80"/>
      <c r="AK2" s="80"/>
      <c r="AL2" s="80" t="s">
        <v>31</v>
      </c>
      <c r="AM2" s="80"/>
      <c r="AN2" s="80"/>
      <c r="AO2" s="80"/>
      <c r="AP2" s="80"/>
      <c r="AQ2" s="80" t="s">
        <v>32</v>
      </c>
      <c r="AR2" s="80"/>
      <c r="AS2" s="80"/>
      <c r="AT2" s="80"/>
      <c r="AU2" s="80"/>
      <c r="AV2" s="80" t="s">
        <v>33</v>
      </c>
      <c r="AW2" s="80"/>
      <c r="AX2" s="80"/>
      <c r="AY2" s="80"/>
      <c r="AZ2" s="80"/>
      <c r="BA2" s="80" t="s">
        <v>34</v>
      </c>
      <c r="BB2" s="80"/>
      <c r="BC2" s="80"/>
      <c r="BD2" s="80"/>
      <c r="BE2" s="80"/>
      <c r="BF2" s="80" t="s">
        <v>35</v>
      </c>
      <c r="BG2" s="80"/>
      <c r="BH2" s="80"/>
      <c r="BI2" s="80"/>
      <c r="BJ2" s="80"/>
      <c r="BK2" s="80" t="s">
        <v>36</v>
      </c>
      <c r="BL2" s="80"/>
      <c r="BM2" s="80"/>
      <c r="BN2" s="80"/>
      <c r="BO2" s="80"/>
      <c r="BP2" s="80" t="s">
        <v>37</v>
      </c>
      <c r="BQ2" s="80"/>
      <c r="BR2" s="80"/>
      <c r="BS2" s="80"/>
      <c r="BT2" s="80"/>
      <c r="BU2" s="80" t="s">
        <v>38</v>
      </c>
      <c r="BV2" s="80"/>
      <c r="BW2" s="80"/>
      <c r="BX2" s="80"/>
      <c r="BY2" s="80"/>
      <c r="BZ2" s="80" t="s">
        <v>39</v>
      </c>
      <c r="CA2" s="80"/>
      <c r="CB2" s="80"/>
      <c r="CC2" s="80"/>
      <c r="CD2" s="99"/>
      <c r="CE2" s="110" t="s">
        <v>40</v>
      </c>
      <c r="CF2" s="110"/>
      <c r="CG2" s="110"/>
      <c r="CH2" s="110"/>
      <c r="CI2" s="110"/>
      <c r="CJ2" s="84" t="s">
        <v>41</v>
      </c>
      <c r="CK2" s="80"/>
      <c r="CL2" s="80"/>
      <c r="CM2" s="80"/>
      <c r="CN2" s="80"/>
      <c r="CO2" s="80" t="s">
        <v>42</v>
      </c>
      <c r="CP2" s="80"/>
      <c r="CQ2" s="80"/>
      <c r="CR2" s="80"/>
      <c r="CS2" s="80"/>
      <c r="CT2" s="80" t="s">
        <v>43</v>
      </c>
      <c r="CU2" s="80"/>
      <c r="CV2" s="80"/>
      <c r="CW2" s="80"/>
      <c r="CX2" s="80"/>
      <c r="CY2" s="80" t="s">
        <v>44</v>
      </c>
      <c r="CZ2" s="80"/>
      <c r="DA2" s="80"/>
      <c r="DB2" s="80"/>
      <c r="DC2" s="80"/>
      <c r="DD2" s="80" t="s">
        <v>45</v>
      </c>
      <c r="DE2" s="80"/>
      <c r="DF2" s="80"/>
      <c r="DG2" s="80"/>
      <c r="DH2" s="80"/>
      <c r="DI2" s="80" t="s">
        <v>46</v>
      </c>
      <c r="DJ2" s="80"/>
      <c r="DK2" s="80"/>
      <c r="DL2" s="80"/>
      <c r="DM2" s="80"/>
      <c r="DN2" s="80" t="s">
        <v>47</v>
      </c>
      <c r="DO2" s="80"/>
      <c r="DP2" s="80"/>
      <c r="DQ2" s="80"/>
      <c r="DR2" s="80"/>
      <c r="DS2" s="80" t="s">
        <v>48</v>
      </c>
      <c r="DT2" s="80"/>
      <c r="DU2" s="80"/>
      <c r="DV2" s="80"/>
      <c r="DW2" s="80"/>
      <c r="DX2" s="80" t="s">
        <v>49</v>
      </c>
      <c r="DY2" s="80"/>
      <c r="DZ2" s="80"/>
      <c r="EA2" s="80"/>
      <c r="EB2" s="80"/>
      <c r="EC2" s="80" t="s">
        <v>50</v>
      </c>
      <c r="ED2" s="80"/>
      <c r="EE2" s="80"/>
      <c r="EF2" s="80"/>
      <c r="EG2" s="80"/>
      <c r="EH2" s="85" t="s">
        <v>51</v>
      </c>
      <c r="EI2" s="85"/>
      <c r="EJ2" s="85"/>
      <c r="EK2" s="85"/>
      <c r="EL2" s="84"/>
      <c r="EM2" s="80" t="s">
        <v>52</v>
      </c>
      <c r="EN2" s="80"/>
      <c r="EO2" s="80"/>
      <c r="EP2" s="80"/>
      <c r="EQ2" s="80"/>
      <c r="ER2" s="86" t="s">
        <v>53</v>
      </c>
      <c r="ES2" s="80"/>
      <c r="ET2" s="80"/>
      <c r="EU2" s="80"/>
      <c r="EV2" s="80"/>
      <c r="EW2" s="80" t="s">
        <v>54</v>
      </c>
      <c r="EX2" s="80"/>
      <c r="EY2" s="80"/>
      <c r="EZ2" s="80"/>
      <c r="FA2" s="80"/>
      <c r="FB2" s="80" t="s">
        <v>55</v>
      </c>
      <c r="FC2" s="80"/>
      <c r="FD2" s="80"/>
      <c r="FE2" s="80"/>
      <c r="FF2" s="80"/>
      <c r="FG2" s="80" t="s">
        <v>56</v>
      </c>
      <c r="FH2" s="80"/>
      <c r="FI2" s="80"/>
      <c r="FJ2" s="80"/>
      <c r="FK2" s="80"/>
      <c r="FL2" s="80" t="s">
        <v>57</v>
      </c>
      <c r="FM2" s="80"/>
      <c r="FN2" s="80"/>
      <c r="FO2" s="80"/>
      <c r="FP2" s="80"/>
      <c r="FQ2" s="80" t="s">
        <v>58</v>
      </c>
      <c r="FR2" s="80"/>
      <c r="FS2" s="80"/>
      <c r="FT2" s="80"/>
      <c r="FU2" s="80"/>
      <c r="FV2" s="80" t="s">
        <v>59</v>
      </c>
      <c r="FW2" s="80"/>
      <c r="FX2" s="80"/>
      <c r="FY2" s="80"/>
      <c r="FZ2" s="80"/>
      <c r="GA2" s="80" t="s">
        <v>60</v>
      </c>
      <c r="GB2" s="80"/>
      <c r="GC2" s="80"/>
      <c r="GD2" s="80"/>
      <c r="GE2" s="80"/>
      <c r="GF2" s="80" t="s">
        <v>61</v>
      </c>
      <c r="GG2" s="80"/>
      <c r="GH2" s="80"/>
      <c r="GI2" s="80"/>
      <c r="GJ2" s="80"/>
      <c r="GK2" s="80" t="s">
        <v>62</v>
      </c>
      <c r="GL2" s="80"/>
      <c r="GM2" s="80"/>
      <c r="GN2" s="80"/>
      <c r="GO2" s="80"/>
      <c r="GP2" s="79" t="s">
        <v>779</v>
      </c>
      <c r="GQ2" s="79"/>
      <c r="GR2" s="79"/>
      <c r="GS2" s="79"/>
      <c r="GT2" s="79"/>
      <c r="GU2" s="79" t="s">
        <v>704</v>
      </c>
      <c r="GV2" s="79"/>
      <c r="GW2" s="79"/>
      <c r="GX2" s="79"/>
      <c r="GY2" s="79"/>
      <c r="GZ2" s="79" t="s">
        <v>705</v>
      </c>
      <c r="HA2" s="79"/>
      <c r="HB2" s="79"/>
      <c r="HC2" s="79"/>
      <c r="HD2" s="79"/>
      <c r="HE2" s="79" t="s">
        <v>706</v>
      </c>
      <c r="HF2" s="79"/>
      <c r="HG2" s="79"/>
      <c r="HH2" s="79"/>
      <c r="HI2" s="79"/>
      <c r="HJ2" s="80" t="s">
        <v>707</v>
      </c>
      <c r="HK2" s="80"/>
      <c r="HL2" s="80"/>
      <c r="HM2" s="80"/>
      <c r="HN2" s="80"/>
      <c r="HO2" s="81" t="s">
        <v>708</v>
      </c>
      <c r="HP2" s="81"/>
      <c r="HQ2" s="81"/>
      <c r="HR2" s="81"/>
      <c r="HS2" s="81"/>
      <c r="HT2" s="82" t="s">
        <v>709</v>
      </c>
      <c r="HU2" s="82"/>
      <c r="HV2" s="82"/>
      <c r="HW2" s="82"/>
      <c r="HX2" s="82"/>
      <c r="HY2" s="82" t="s">
        <v>710</v>
      </c>
      <c r="HZ2" s="82"/>
      <c r="IA2" s="82"/>
      <c r="IB2" s="82"/>
      <c r="IC2" s="82"/>
      <c r="ID2" s="83" t="s">
        <v>711</v>
      </c>
      <c r="IE2" s="83"/>
      <c r="IF2" s="83"/>
      <c r="IG2" s="83"/>
      <c r="IH2" s="83"/>
      <c r="II2" s="78" t="s">
        <v>712</v>
      </c>
      <c r="IJ2" s="78"/>
      <c r="IK2" s="78"/>
      <c r="IL2" s="78"/>
      <c r="IM2" s="78"/>
      <c r="IN2" s="78" t="s">
        <v>713</v>
      </c>
      <c r="IO2" s="78"/>
      <c r="IP2" s="78"/>
      <c r="IQ2" s="78"/>
      <c r="IR2" s="78"/>
      <c r="IS2" s="78" t="s">
        <v>714</v>
      </c>
      <c r="IT2" s="78"/>
      <c r="IU2" s="78"/>
      <c r="IV2" s="78"/>
      <c r="IW2" s="78"/>
      <c r="IX2" s="78" t="s">
        <v>715</v>
      </c>
      <c r="IY2" s="78"/>
      <c r="IZ2" s="78"/>
      <c r="JA2" s="78"/>
      <c r="JB2" s="78"/>
      <c r="JC2" s="74" t="s">
        <v>716</v>
      </c>
      <c r="JD2" s="74"/>
      <c r="JE2" s="74"/>
      <c r="JF2" s="74"/>
      <c r="JG2" s="74"/>
      <c r="JH2" s="74" t="s">
        <v>717</v>
      </c>
      <c r="JI2" s="74"/>
      <c r="JJ2" s="74"/>
      <c r="JK2" s="74"/>
      <c r="JL2" s="74"/>
      <c r="JM2" s="74" t="s">
        <v>783</v>
      </c>
      <c r="JN2" s="74"/>
      <c r="JO2" s="74"/>
      <c r="JP2" s="74"/>
      <c r="JQ2" s="74"/>
      <c r="JR2" s="74" t="s">
        <v>718</v>
      </c>
      <c r="JS2" s="74"/>
      <c r="JT2" s="74"/>
      <c r="JU2" s="74"/>
      <c r="JV2" s="74"/>
      <c r="JW2" s="75" t="s">
        <v>719</v>
      </c>
      <c r="JX2" s="76"/>
      <c r="JY2" s="76"/>
      <c r="JZ2" s="76"/>
      <c r="KA2" s="77"/>
      <c r="KB2" s="52" t="s">
        <v>720</v>
      </c>
      <c r="KC2" s="53"/>
      <c r="KD2" s="53"/>
      <c r="KE2" s="53"/>
      <c r="KF2" s="54"/>
      <c r="KG2" s="52" t="s">
        <v>721</v>
      </c>
      <c r="KH2" s="53"/>
      <c r="KI2" s="53"/>
      <c r="KJ2" s="53"/>
      <c r="KK2" s="54"/>
      <c r="KL2" s="55" t="s">
        <v>722</v>
      </c>
      <c r="KM2" s="56"/>
      <c r="KN2" s="56"/>
      <c r="KO2" s="56"/>
      <c r="KP2" s="57"/>
      <c r="KQ2" s="55" t="s">
        <v>723</v>
      </c>
      <c r="KR2" s="56"/>
      <c r="KS2" s="56"/>
      <c r="KT2" s="56"/>
      <c r="KU2" s="57"/>
      <c r="KV2" s="68" t="s">
        <v>724</v>
      </c>
      <c r="KW2" s="68"/>
      <c r="KX2" s="68"/>
      <c r="KY2" s="68"/>
      <c r="KZ2" s="68"/>
      <c r="LA2" s="55" t="s">
        <v>725</v>
      </c>
      <c r="LB2" s="56"/>
      <c r="LC2" s="56"/>
      <c r="LD2" s="56"/>
      <c r="LE2" s="57"/>
      <c r="LF2" s="68" t="s">
        <v>726</v>
      </c>
      <c r="LG2" s="72"/>
      <c r="LH2" s="72"/>
      <c r="LI2" s="68"/>
      <c r="LJ2" s="68"/>
      <c r="LK2" s="73" t="s">
        <v>727</v>
      </c>
      <c r="LL2" s="73"/>
      <c r="LM2" s="73"/>
      <c r="LN2" s="73"/>
      <c r="LO2" s="73"/>
      <c r="LP2" s="73" t="s">
        <v>728</v>
      </c>
      <c r="LQ2" s="73"/>
      <c r="LR2" s="73"/>
      <c r="LS2" s="73"/>
      <c r="LT2" s="73"/>
      <c r="LU2" s="70" t="s">
        <v>729</v>
      </c>
      <c r="LV2" s="71"/>
      <c r="LW2" s="71"/>
      <c r="LX2" s="70"/>
      <c r="LY2" s="70"/>
      <c r="LZ2" s="70" t="s">
        <v>732</v>
      </c>
      <c r="MA2" s="71"/>
      <c r="MB2" s="71"/>
      <c r="MC2" s="70"/>
      <c r="MD2" s="70"/>
      <c r="ME2" s="70" t="s">
        <v>731</v>
      </c>
      <c r="MF2" s="70"/>
      <c r="MG2" s="70"/>
      <c r="MH2" s="70"/>
      <c r="MI2" s="70"/>
      <c r="MJ2" s="70" t="s">
        <v>730</v>
      </c>
      <c r="MK2" s="70"/>
      <c r="ML2" s="70"/>
      <c r="MM2" s="70"/>
      <c r="MN2" s="70"/>
      <c r="MO2" s="61" t="s">
        <v>733</v>
      </c>
      <c r="MP2" s="61"/>
      <c r="MQ2" s="61"/>
      <c r="MR2" s="61"/>
      <c r="MS2" s="61"/>
      <c r="MT2" s="62" t="s">
        <v>734</v>
      </c>
      <c r="MU2" s="63"/>
      <c r="MV2" s="63"/>
      <c r="MW2" s="63"/>
      <c r="MX2" s="64"/>
      <c r="MY2" s="69" t="s">
        <v>735</v>
      </c>
      <c r="MZ2" s="69"/>
      <c r="NA2" s="69"/>
      <c r="NB2" s="69"/>
      <c r="NC2" s="69"/>
      <c r="ND2" s="69" t="s">
        <v>736</v>
      </c>
      <c r="NE2" s="69"/>
      <c r="NF2" s="69"/>
      <c r="NG2" s="69"/>
      <c r="NH2" s="69"/>
      <c r="NI2" s="61" t="s">
        <v>737</v>
      </c>
      <c r="NJ2" s="61"/>
      <c r="NK2" s="61"/>
      <c r="NL2" s="61"/>
      <c r="NM2" s="61"/>
      <c r="NN2" s="61" t="s">
        <v>738</v>
      </c>
      <c r="NO2" s="61"/>
      <c r="NP2" s="61"/>
      <c r="NQ2" s="61"/>
      <c r="NR2" s="61"/>
      <c r="NS2" s="61" t="s">
        <v>739</v>
      </c>
      <c r="NT2" s="61"/>
      <c r="NU2" s="61"/>
      <c r="NV2" s="61"/>
      <c r="NW2" s="61"/>
      <c r="NX2" s="66" t="s">
        <v>740</v>
      </c>
      <c r="NY2" s="66"/>
      <c r="NZ2" s="66"/>
      <c r="OA2" s="66"/>
      <c r="OB2" s="66"/>
      <c r="OC2" s="66" t="s">
        <v>741</v>
      </c>
      <c r="OD2" s="66"/>
      <c r="OE2" s="66"/>
      <c r="OF2" s="66"/>
      <c r="OG2" s="66"/>
      <c r="OH2" s="67" t="s">
        <v>742</v>
      </c>
      <c r="OI2" s="67"/>
      <c r="OJ2" s="67"/>
      <c r="OK2" s="67"/>
      <c r="OL2" s="67"/>
      <c r="OM2" s="68" t="s">
        <v>743</v>
      </c>
      <c r="ON2" s="68"/>
      <c r="OO2" s="68"/>
      <c r="OP2" s="68"/>
      <c r="OQ2" s="68"/>
      <c r="OR2" s="65" t="s">
        <v>744</v>
      </c>
      <c r="OS2" s="65"/>
      <c r="OT2" s="65"/>
      <c r="OU2" s="65"/>
      <c r="OV2" s="65"/>
      <c r="OW2" s="65" t="s">
        <v>745</v>
      </c>
      <c r="OX2" s="65"/>
      <c r="OY2" s="65"/>
      <c r="OZ2" s="65"/>
      <c r="PA2" s="65"/>
      <c r="PB2" s="65" t="s">
        <v>746</v>
      </c>
      <c r="PC2" s="65"/>
      <c r="PD2" s="65"/>
      <c r="PE2" s="65"/>
      <c r="PF2" s="65"/>
      <c r="PG2" s="65" t="s">
        <v>747</v>
      </c>
      <c r="PH2" s="65"/>
      <c r="PI2" s="65"/>
      <c r="PJ2" s="65"/>
      <c r="PK2" s="65"/>
      <c r="PL2" s="43" t="s">
        <v>748</v>
      </c>
      <c r="PM2" s="44"/>
      <c r="PN2" s="44"/>
      <c r="PO2" s="44"/>
      <c r="PP2" s="45"/>
      <c r="PQ2" s="65" t="s">
        <v>749</v>
      </c>
      <c r="PR2" s="65"/>
      <c r="PS2" s="65"/>
      <c r="PT2" s="65"/>
      <c r="PU2" s="65"/>
      <c r="PV2" s="43" t="s">
        <v>750</v>
      </c>
      <c r="PW2" s="44"/>
      <c r="PX2" s="44"/>
      <c r="PY2" s="44"/>
      <c r="PZ2" s="45"/>
    </row>
    <row r="3" spans="1:442" ht="15.6" thickTop="1" thickBot="1" x14ac:dyDescent="0.35">
      <c r="A3" s="113"/>
      <c r="B3" s="113"/>
      <c r="C3" s="113"/>
      <c r="D3" s="112"/>
      <c r="E3" s="117"/>
      <c r="F3" s="1" t="s">
        <v>699</v>
      </c>
      <c r="G3" s="1" t="s">
        <v>700</v>
      </c>
      <c r="H3" s="1" t="s">
        <v>701</v>
      </c>
      <c r="I3" s="1" t="s">
        <v>702</v>
      </c>
      <c r="J3" s="1" t="s">
        <v>703</v>
      </c>
      <c r="K3" s="1" t="s">
        <v>699</v>
      </c>
      <c r="L3" s="1" t="s">
        <v>700</v>
      </c>
      <c r="M3" s="1" t="s">
        <v>701</v>
      </c>
      <c r="N3" s="1" t="s">
        <v>702</v>
      </c>
      <c r="O3" s="1" t="s">
        <v>703</v>
      </c>
      <c r="P3" s="1" t="s">
        <v>699</v>
      </c>
      <c r="Q3" s="1" t="s">
        <v>700</v>
      </c>
      <c r="R3" s="1" t="s">
        <v>701</v>
      </c>
      <c r="S3" s="1" t="s">
        <v>702</v>
      </c>
      <c r="T3" s="1" t="s">
        <v>703</v>
      </c>
      <c r="U3" s="11" t="s">
        <v>699</v>
      </c>
      <c r="V3" s="11" t="s">
        <v>775</v>
      </c>
      <c r="W3" s="11" t="s">
        <v>700</v>
      </c>
      <c r="X3" s="11" t="s">
        <v>701</v>
      </c>
      <c r="Y3" s="12" t="s">
        <v>702</v>
      </c>
      <c r="Z3" s="11" t="s">
        <v>703</v>
      </c>
      <c r="AA3" s="11" t="s">
        <v>699</v>
      </c>
      <c r="AB3" s="11" t="s">
        <v>775</v>
      </c>
      <c r="AC3" s="11" t="s">
        <v>700</v>
      </c>
      <c r="AD3" s="11" t="s">
        <v>701</v>
      </c>
      <c r="AE3" s="11" t="s">
        <v>702</v>
      </c>
      <c r="AF3" s="11" t="s">
        <v>703</v>
      </c>
      <c r="AG3" s="1" t="s">
        <v>699</v>
      </c>
      <c r="AH3" s="1" t="s">
        <v>700</v>
      </c>
      <c r="AI3" s="1" t="s">
        <v>701</v>
      </c>
      <c r="AJ3" s="1" t="s">
        <v>702</v>
      </c>
      <c r="AK3" s="1" t="s">
        <v>703</v>
      </c>
      <c r="AL3" s="1" t="s">
        <v>699</v>
      </c>
      <c r="AM3" s="1" t="s">
        <v>700</v>
      </c>
      <c r="AN3" s="1" t="s">
        <v>701</v>
      </c>
      <c r="AO3" s="1" t="s">
        <v>702</v>
      </c>
      <c r="AP3" s="1" t="s">
        <v>703</v>
      </c>
      <c r="AQ3" s="1" t="s">
        <v>699</v>
      </c>
      <c r="AR3" s="1" t="s">
        <v>700</v>
      </c>
      <c r="AS3" s="1" t="s">
        <v>701</v>
      </c>
      <c r="AT3" s="1" t="s">
        <v>702</v>
      </c>
      <c r="AU3" s="1" t="s">
        <v>703</v>
      </c>
      <c r="AV3" s="1" t="s">
        <v>699</v>
      </c>
      <c r="AW3" s="1" t="s">
        <v>700</v>
      </c>
      <c r="AX3" s="1" t="s">
        <v>701</v>
      </c>
      <c r="AY3" s="1" t="s">
        <v>702</v>
      </c>
      <c r="AZ3" s="1" t="s">
        <v>703</v>
      </c>
      <c r="BA3" s="1" t="s">
        <v>699</v>
      </c>
      <c r="BB3" s="1" t="s">
        <v>700</v>
      </c>
      <c r="BC3" s="1" t="s">
        <v>701</v>
      </c>
      <c r="BD3" s="1" t="s">
        <v>702</v>
      </c>
      <c r="BE3" s="1" t="s">
        <v>703</v>
      </c>
      <c r="BF3" s="1" t="s">
        <v>699</v>
      </c>
      <c r="BG3" s="1" t="s">
        <v>700</v>
      </c>
      <c r="BH3" s="1" t="s">
        <v>701</v>
      </c>
      <c r="BI3" s="1" t="s">
        <v>702</v>
      </c>
      <c r="BJ3" s="1" t="s">
        <v>703</v>
      </c>
      <c r="BK3" s="1" t="s">
        <v>699</v>
      </c>
      <c r="BL3" s="1" t="s">
        <v>700</v>
      </c>
      <c r="BM3" s="1" t="s">
        <v>701</v>
      </c>
      <c r="BN3" s="1" t="s">
        <v>702</v>
      </c>
      <c r="BO3" s="1" t="s">
        <v>703</v>
      </c>
      <c r="BP3" s="1" t="s">
        <v>699</v>
      </c>
      <c r="BQ3" s="1" t="s">
        <v>700</v>
      </c>
      <c r="BR3" s="1" t="s">
        <v>701</v>
      </c>
      <c r="BS3" s="1" t="s">
        <v>702</v>
      </c>
      <c r="BT3" s="1" t="s">
        <v>703</v>
      </c>
      <c r="BU3" s="1" t="s">
        <v>699</v>
      </c>
      <c r="BV3" s="1" t="s">
        <v>700</v>
      </c>
      <c r="BW3" s="1" t="s">
        <v>701</v>
      </c>
      <c r="BX3" s="1" t="s">
        <v>702</v>
      </c>
      <c r="BY3" s="1" t="s">
        <v>703</v>
      </c>
      <c r="BZ3" s="1" t="s">
        <v>699</v>
      </c>
      <c r="CA3" s="1" t="s">
        <v>700</v>
      </c>
      <c r="CB3" s="1" t="s">
        <v>701</v>
      </c>
      <c r="CC3" s="1" t="s">
        <v>702</v>
      </c>
      <c r="CD3" s="1" t="s">
        <v>703</v>
      </c>
      <c r="CE3" s="34" t="s">
        <v>699</v>
      </c>
      <c r="CF3" s="34" t="s">
        <v>700</v>
      </c>
      <c r="CG3" s="34" t="s">
        <v>701</v>
      </c>
      <c r="CH3" s="34" t="s">
        <v>702</v>
      </c>
      <c r="CI3" s="34" t="s">
        <v>703</v>
      </c>
      <c r="CJ3" s="1" t="s">
        <v>699</v>
      </c>
      <c r="CK3" s="1" t="s">
        <v>700</v>
      </c>
      <c r="CL3" s="1" t="s">
        <v>701</v>
      </c>
      <c r="CM3" s="1" t="s">
        <v>702</v>
      </c>
      <c r="CN3" s="1" t="s">
        <v>703</v>
      </c>
      <c r="CO3" s="1" t="s">
        <v>699</v>
      </c>
      <c r="CP3" s="1" t="s">
        <v>700</v>
      </c>
      <c r="CQ3" s="1" t="s">
        <v>701</v>
      </c>
      <c r="CR3" s="1" t="s">
        <v>702</v>
      </c>
      <c r="CS3" s="1" t="s">
        <v>703</v>
      </c>
      <c r="CT3" s="1" t="s">
        <v>699</v>
      </c>
      <c r="CU3" s="1" t="s">
        <v>700</v>
      </c>
      <c r="CV3" s="1" t="s">
        <v>701</v>
      </c>
      <c r="CW3" s="1" t="s">
        <v>702</v>
      </c>
      <c r="CX3" s="1" t="s">
        <v>703</v>
      </c>
      <c r="CY3" s="1" t="s">
        <v>699</v>
      </c>
      <c r="CZ3" s="1" t="s">
        <v>700</v>
      </c>
      <c r="DA3" s="1" t="s">
        <v>701</v>
      </c>
      <c r="DB3" s="1" t="s">
        <v>702</v>
      </c>
      <c r="DC3" s="1" t="s">
        <v>703</v>
      </c>
      <c r="DD3" s="1" t="s">
        <v>699</v>
      </c>
      <c r="DE3" s="1" t="s">
        <v>700</v>
      </c>
      <c r="DF3" s="1" t="s">
        <v>701</v>
      </c>
      <c r="DG3" s="1" t="s">
        <v>702</v>
      </c>
      <c r="DH3" s="1" t="s">
        <v>703</v>
      </c>
      <c r="DI3" s="1" t="s">
        <v>699</v>
      </c>
      <c r="DJ3" s="1" t="s">
        <v>700</v>
      </c>
      <c r="DK3" s="1" t="s">
        <v>701</v>
      </c>
      <c r="DL3" s="1" t="s">
        <v>702</v>
      </c>
      <c r="DM3" s="1" t="s">
        <v>703</v>
      </c>
      <c r="DN3" s="1" t="s">
        <v>699</v>
      </c>
      <c r="DO3" s="1" t="s">
        <v>700</v>
      </c>
      <c r="DP3" s="1" t="s">
        <v>701</v>
      </c>
      <c r="DQ3" s="1" t="s">
        <v>702</v>
      </c>
      <c r="DR3" s="1" t="s">
        <v>703</v>
      </c>
      <c r="DS3" s="1" t="s">
        <v>699</v>
      </c>
      <c r="DT3" s="1" t="s">
        <v>700</v>
      </c>
      <c r="DU3" s="1" t="s">
        <v>701</v>
      </c>
      <c r="DV3" s="1" t="s">
        <v>702</v>
      </c>
      <c r="DW3" s="1" t="s">
        <v>703</v>
      </c>
      <c r="DX3" s="1" t="s">
        <v>699</v>
      </c>
      <c r="DY3" s="1" t="s">
        <v>700</v>
      </c>
      <c r="DZ3" s="1" t="s">
        <v>701</v>
      </c>
      <c r="EA3" s="1" t="s">
        <v>702</v>
      </c>
      <c r="EB3" s="1" t="s">
        <v>703</v>
      </c>
      <c r="EC3" s="1" t="s">
        <v>699</v>
      </c>
      <c r="ED3" s="1" t="s">
        <v>700</v>
      </c>
      <c r="EE3" s="1" t="s">
        <v>701</v>
      </c>
      <c r="EF3" s="1" t="s">
        <v>702</v>
      </c>
      <c r="EG3" s="1" t="s">
        <v>703</v>
      </c>
      <c r="EH3" s="1" t="s">
        <v>699</v>
      </c>
      <c r="EI3" s="1" t="s">
        <v>700</v>
      </c>
      <c r="EJ3" s="1" t="s">
        <v>701</v>
      </c>
      <c r="EK3" s="1" t="s">
        <v>702</v>
      </c>
      <c r="EL3" s="1" t="s">
        <v>703</v>
      </c>
      <c r="EM3" s="1" t="s">
        <v>699</v>
      </c>
      <c r="EN3" s="1" t="s">
        <v>700</v>
      </c>
      <c r="EO3" s="1" t="s">
        <v>701</v>
      </c>
      <c r="EP3" s="1" t="s">
        <v>702</v>
      </c>
      <c r="EQ3" s="1" t="s">
        <v>703</v>
      </c>
      <c r="ER3" s="1" t="s">
        <v>699</v>
      </c>
      <c r="ES3" s="1" t="s">
        <v>700</v>
      </c>
      <c r="ET3" s="1" t="s">
        <v>701</v>
      </c>
      <c r="EU3" s="1" t="s">
        <v>702</v>
      </c>
      <c r="EV3" s="1" t="s">
        <v>703</v>
      </c>
      <c r="EW3" s="1" t="s">
        <v>699</v>
      </c>
      <c r="EX3" s="1" t="s">
        <v>700</v>
      </c>
      <c r="EY3" s="1" t="s">
        <v>701</v>
      </c>
      <c r="EZ3" s="1" t="s">
        <v>702</v>
      </c>
      <c r="FA3" s="1" t="s">
        <v>703</v>
      </c>
      <c r="FB3" s="1" t="s">
        <v>699</v>
      </c>
      <c r="FC3" s="1" t="s">
        <v>700</v>
      </c>
      <c r="FD3" s="1" t="s">
        <v>701</v>
      </c>
      <c r="FE3" s="1" t="s">
        <v>702</v>
      </c>
      <c r="FF3" s="1" t="s">
        <v>703</v>
      </c>
      <c r="FG3" s="1" t="s">
        <v>699</v>
      </c>
      <c r="FH3" s="1" t="s">
        <v>700</v>
      </c>
      <c r="FI3" s="1" t="s">
        <v>701</v>
      </c>
      <c r="FJ3" s="1" t="s">
        <v>702</v>
      </c>
      <c r="FK3" s="1" t="s">
        <v>703</v>
      </c>
      <c r="FL3" s="1" t="s">
        <v>699</v>
      </c>
      <c r="FM3" s="1" t="s">
        <v>700</v>
      </c>
      <c r="FN3" s="1" t="s">
        <v>701</v>
      </c>
      <c r="FO3" s="1" t="s">
        <v>702</v>
      </c>
      <c r="FP3" s="1" t="s">
        <v>703</v>
      </c>
      <c r="FQ3" s="1" t="s">
        <v>699</v>
      </c>
      <c r="FR3" s="1" t="s">
        <v>700</v>
      </c>
      <c r="FS3" s="1" t="s">
        <v>701</v>
      </c>
      <c r="FT3" s="1" t="s">
        <v>702</v>
      </c>
      <c r="FU3" s="1" t="s">
        <v>703</v>
      </c>
      <c r="FV3" s="1" t="s">
        <v>699</v>
      </c>
      <c r="FW3" s="1" t="s">
        <v>700</v>
      </c>
      <c r="FX3" s="1" t="s">
        <v>701</v>
      </c>
      <c r="FY3" s="1" t="s">
        <v>702</v>
      </c>
      <c r="FZ3" s="1" t="s">
        <v>703</v>
      </c>
      <c r="GA3" s="1" t="s">
        <v>699</v>
      </c>
      <c r="GB3" s="1" t="s">
        <v>700</v>
      </c>
      <c r="GC3" s="1" t="s">
        <v>701</v>
      </c>
      <c r="GD3" s="1" t="s">
        <v>702</v>
      </c>
      <c r="GE3" s="1" t="s">
        <v>703</v>
      </c>
      <c r="GF3" s="1" t="s">
        <v>699</v>
      </c>
      <c r="GG3" s="1" t="s">
        <v>700</v>
      </c>
      <c r="GH3" s="1" t="s">
        <v>701</v>
      </c>
      <c r="GI3" s="1" t="s">
        <v>702</v>
      </c>
      <c r="GJ3" s="1" t="s">
        <v>703</v>
      </c>
      <c r="GK3" s="1" t="s">
        <v>699</v>
      </c>
      <c r="GL3" s="1" t="s">
        <v>700</v>
      </c>
      <c r="GM3" s="1" t="s">
        <v>701</v>
      </c>
      <c r="GN3" s="1" t="s">
        <v>702</v>
      </c>
      <c r="GO3" s="1" t="s">
        <v>703</v>
      </c>
      <c r="GP3" s="13" t="s">
        <v>699</v>
      </c>
      <c r="GQ3" s="14" t="s">
        <v>700</v>
      </c>
      <c r="GR3" s="14" t="s">
        <v>701</v>
      </c>
      <c r="GS3" s="14" t="s">
        <v>702</v>
      </c>
      <c r="GT3" s="14" t="s">
        <v>703</v>
      </c>
      <c r="GU3" s="13" t="s">
        <v>699</v>
      </c>
      <c r="GV3" s="14" t="s">
        <v>700</v>
      </c>
      <c r="GW3" s="14" t="s">
        <v>701</v>
      </c>
      <c r="GX3" s="14" t="s">
        <v>702</v>
      </c>
      <c r="GY3" s="14" t="s">
        <v>703</v>
      </c>
      <c r="GZ3" s="13" t="s">
        <v>699</v>
      </c>
      <c r="HA3" s="14" t="s">
        <v>700</v>
      </c>
      <c r="HB3" s="14" t="s">
        <v>701</v>
      </c>
      <c r="HC3" s="14" t="s">
        <v>702</v>
      </c>
      <c r="HD3" s="14" t="s">
        <v>703</v>
      </c>
      <c r="HE3" s="13" t="s">
        <v>699</v>
      </c>
      <c r="HF3" s="14" t="s">
        <v>700</v>
      </c>
      <c r="HG3" s="14" t="s">
        <v>701</v>
      </c>
      <c r="HH3" s="14" t="s">
        <v>702</v>
      </c>
      <c r="HI3" s="14" t="s">
        <v>703</v>
      </c>
      <c r="HJ3" s="13" t="s">
        <v>699</v>
      </c>
      <c r="HK3" s="14" t="s">
        <v>700</v>
      </c>
      <c r="HL3" s="14" t="s">
        <v>701</v>
      </c>
      <c r="HM3" s="14" t="s">
        <v>702</v>
      </c>
      <c r="HN3" s="14" t="s">
        <v>703</v>
      </c>
      <c r="HO3" s="13" t="s">
        <v>699</v>
      </c>
      <c r="HP3" s="14" t="s">
        <v>700</v>
      </c>
      <c r="HQ3" s="14" t="s">
        <v>701</v>
      </c>
      <c r="HR3" s="14" t="s">
        <v>702</v>
      </c>
      <c r="HS3" s="14" t="s">
        <v>703</v>
      </c>
      <c r="HT3" s="13" t="s">
        <v>699</v>
      </c>
      <c r="HU3" s="14" t="s">
        <v>700</v>
      </c>
      <c r="HV3" s="14" t="s">
        <v>701</v>
      </c>
      <c r="HW3" s="14" t="s">
        <v>702</v>
      </c>
      <c r="HX3" s="14" t="s">
        <v>703</v>
      </c>
      <c r="HY3" s="13" t="s">
        <v>699</v>
      </c>
      <c r="HZ3" s="14" t="s">
        <v>700</v>
      </c>
      <c r="IA3" s="14" t="s">
        <v>701</v>
      </c>
      <c r="IB3" s="14" t="s">
        <v>702</v>
      </c>
      <c r="IC3" s="14" t="s">
        <v>703</v>
      </c>
      <c r="ID3" s="13" t="s">
        <v>699</v>
      </c>
      <c r="IE3" s="14" t="s">
        <v>700</v>
      </c>
      <c r="IF3" s="14" t="s">
        <v>701</v>
      </c>
      <c r="IG3" s="14" t="s">
        <v>702</v>
      </c>
      <c r="IH3" s="14" t="s">
        <v>703</v>
      </c>
      <c r="II3" s="13" t="s">
        <v>699</v>
      </c>
      <c r="IJ3" s="14" t="s">
        <v>700</v>
      </c>
      <c r="IK3" s="14" t="s">
        <v>701</v>
      </c>
      <c r="IL3" s="14" t="s">
        <v>702</v>
      </c>
      <c r="IM3" s="14" t="s">
        <v>703</v>
      </c>
      <c r="IN3" s="13" t="s">
        <v>699</v>
      </c>
      <c r="IO3" s="14" t="s">
        <v>700</v>
      </c>
      <c r="IP3" s="14" t="s">
        <v>701</v>
      </c>
      <c r="IQ3" s="14" t="s">
        <v>702</v>
      </c>
      <c r="IR3" s="14" t="s">
        <v>703</v>
      </c>
      <c r="IS3" s="13" t="s">
        <v>699</v>
      </c>
      <c r="IT3" s="14" t="s">
        <v>700</v>
      </c>
      <c r="IU3" s="14" t="s">
        <v>701</v>
      </c>
      <c r="IV3" s="14" t="s">
        <v>702</v>
      </c>
      <c r="IW3" s="14" t="s">
        <v>703</v>
      </c>
      <c r="IX3" s="13" t="s">
        <v>699</v>
      </c>
      <c r="IY3" s="14" t="s">
        <v>700</v>
      </c>
      <c r="IZ3" s="14" t="s">
        <v>701</v>
      </c>
      <c r="JA3" s="14" t="s">
        <v>702</v>
      </c>
      <c r="JB3" s="14" t="s">
        <v>703</v>
      </c>
      <c r="JC3" s="16" t="s">
        <v>699</v>
      </c>
      <c r="JD3" s="16" t="s">
        <v>700</v>
      </c>
      <c r="JE3" s="16" t="s">
        <v>701</v>
      </c>
      <c r="JF3" s="16" t="s">
        <v>702</v>
      </c>
      <c r="JG3" s="16" t="s">
        <v>703</v>
      </c>
      <c r="JH3" s="16" t="s">
        <v>699</v>
      </c>
      <c r="JI3" s="16" t="s">
        <v>700</v>
      </c>
      <c r="JJ3" s="16" t="s">
        <v>701</v>
      </c>
      <c r="JK3" s="16" t="s">
        <v>702</v>
      </c>
      <c r="JL3" s="16" t="s">
        <v>703</v>
      </c>
      <c r="JM3" s="16" t="s">
        <v>699</v>
      </c>
      <c r="JN3" s="16" t="s">
        <v>700</v>
      </c>
      <c r="JO3" s="16" t="s">
        <v>701</v>
      </c>
      <c r="JP3" s="16" t="s">
        <v>702</v>
      </c>
      <c r="JQ3" s="16" t="s">
        <v>703</v>
      </c>
      <c r="JR3" s="16" t="s">
        <v>699</v>
      </c>
      <c r="JS3" s="16" t="s">
        <v>700</v>
      </c>
      <c r="JT3" s="16" t="s">
        <v>701</v>
      </c>
      <c r="JU3" s="16" t="s">
        <v>702</v>
      </c>
      <c r="JV3" s="16" t="s">
        <v>703</v>
      </c>
      <c r="JW3" s="16" t="s">
        <v>699</v>
      </c>
      <c r="JX3" s="16" t="s">
        <v>700</v>
      </c>
      <c r="JY3" s="16" t="s">
        <v>701</v>
      </c>
      <c r="JZ3" s="16" t="s">
        <v>702</v>
      </c>
      <c r="KA3" s="16" t="s">
        <v>703</v>
      </c>
      <c r="KB3" s="17" t="s">
        <v>699</v>
      </c>
      <c r="KC3" s="17" t="s">
        <v>700</v>
      </c>
      <c r="KD3" s="17" t="s">
        <v>701</v>
      </c>
      <c r="KE3" s="17" t="s">
        <v>702</v>
      </c>
      <c r="KF3" s="17" t="s">
        <v>703</v>
      </c>
      <c r="KG3" s="17" t="s">
        <v>699</v>
      </c>
      <c r="KH3" s="17" t="s">
        <v>700</v>
      </c>
      <c r="KI3" s="17" t="s">
        <v>701</v>
      </c>
      <c r="KJ3" s="17" t="s">
        <v>702</v>
      </c>
      <c r="KK3" s="17" t="s">
        <v>703</v>
      </c>
      <c r="KL3" s="18" t="s">
        <v>699</v>
      </c>
      <c r="KM3" s="18" t="s">
        <v>700</v>
      </c>
      <c r="KN3" s="18" t="s">
        <v>701</v>
      </c>
      <c r="KO3" s="18" t="s">
        <v>702</v>
      </c>
      <c r="KP3" s="18" t="s">
        <v>703</v>
      </c>
      <c r="KQ3" s="18" t="s">
        <v>699</v>
      </c>
      <c r="KR3" s="18" t="s">
        <v>700</v>
      </c>
      <c r="KS3" s="18" t="s">
        <v>701</v>
      </c>
      <c r="KT3" s="18" t="s">
        <v>702</v>
      </c>
      <c r="KU3" s="18" t="s">
        <v>703</v>
      </c>
      <c r="KV3" s="18" t="s">
        <v>699</v>
      </c>
      <c r="KW3" s="18" t="s">
        <v>700</v>
      </c>
      <c r="KX3" s="18" t="s">
        <v>701</v>
      </c>
      <c r="KY3" s="18" t="s">
        <v>702</v>
      </c>
      <c r="KZ3" s="18" t="s">
        <v>703</v>
      </c>
      <c r="LA3" s="18" t="s">
        <v>699</v>
      </c>
      <c r="LB3" s="18" t="s">
        <v>700</v>
      </c>
      <c r="LC3" s="18" t="s">
        <v>701</v>
      </c>
      <c r="LD3" s="18" t="s">
        <v>702</v>
      </c>
      <c r="LE3" s="18" t="s">
        <v>703</v>
      </c>
      <c r="LF3" s="18" t="s">
        <v>699</v>
      </c>
      <c r="LG3" s="18" t="s">
        <v>700</v>
      </c>
      <c r="LH3" s="18" t="s">
        <v>701</v>
      </c>
      <c r="LI3" s="18" t="s">
        <v>702</v>
      </c>
      <c r="LJ3" s="18" t="s">
        <v>703</v>
      </c>
      <c r="LK3" s="36" t="s">
        <v>699</v>
      </c>
      <c r="LL3" s="36" t="s">
        <v>700</v>
      </c>
      <c r="LM3" s="36" t="s">
        <v>701</v>
      </c>
      <c r="LN3" s="36" t="s">
        <v>702</v>
      </c>
      <c r="LO3" s="36" t="s">
        <v>703</v>
      </c>
      <c r="LP3" s="36" t="s">
        <v>699</v>
      </c>
      <c r="LQ3" s="36" t="s">
        <v>700</v>
      </c>
      <c r="LR3" s="36" t="s">
        <v>701</v>
      </c>
      <c r="LS3" s="36" t="s">
        <v>702</v>
      </c>
      <c r="LT3" s="36" t="s">
        <v>703</v>
      </c>
      <c r="LU3" s="36" t="s">
        <v>699</v>
      </c>
      <c r="LV3" s="36" t="s">
        <v>700</v>
      </c>
      <c r="LW3" s="36" t="s">
        <v>701</v>
      </c>
      <c r="LX3" s="36" t="s">
        <v>702</v>
      </c>
      <c r="LY3" s="36" t="s">
        <v>703</v>
      </c>
      <c r="LZ3" s="36" t="s">
        <v>699</v>
      </c>
      <c r="MA3" s="36" t="s">
        <v>700</v>
      </c>
      <c r="MB3" s="36" t="s">
        <v>701</v>
      </c>
      <c r="MC3" s="36" t="s">
        <v>702</v>
      </c>
      <c r="MD3" s="36" t="s">
        <v>703</v>
      </c>
      <c r="ME3" s="36" t="s">
        <v>699</v>
      </c>
      <c r="MF3" s="36" t="s">
        <v>700</v>
      </c>
      <c r="MG3" s="36" t="s">
        <v>701</v>
      </c>
      <c r="MH3" s="36" t="s">
        <v>702</v>
      </c>
      <c r="MI3" s="36" t="s">
        <v>703</v>
      </c>
      <c r="MJ3" s="36" t="s">
        <v>699</v>
      </c>
      <c r="MK3" s="36" t="s">
        <v>700</v>
      </c>
      <c r="ML3" s="36" t="s">
        <v>701</v>
      </c>
      <c r="MM3" s="36" t="s">
        <v>702</v>
      </c>
      <c r="MN3" s="36" t="s">
        <v>703</v>
      </c>
      <c r="MO3" s="14" t="s">
        <v>699</v>
      </c>
      <c r="MP3" s="14" t="s">
        <v>700</v>
      </c>
      <c r="MQ3" s="14" t="s">
        <v>701</v>
      </c>
      <c r="MR3" s="14" t="s">
        <v>702</v>
      </c>
      <c r="MS3" s="14" t="s">
        <v>703</v>
      </c>
      <c r="MT3" s="14" t="s">
        <v>699</v>
      </c>
      <c r="MU3" s="14" t="s">
        <v>700</v>
      </c>
      <c r="MV3" s="14" t="s">
        <v>701</v>
      </c>
      <c r="MW3" s="14" t="s">
        <v>702</v>
      </c>
      <c r="MX3" s="14" t="s">
        <v>703</v>
      </c>
      <c r="MY3" s="1" t="s">
        <v>699</v>
      </c>
      <c r="MZ3" s="1" t="s">
        <v>700</v>
      </c>
      <c r="NA3" s="1" t="s">
        <v>701</v>
      </c>
      <c r="NB3" s="1" t="s">
        <v>702</v>
      </c>
      <c r="NC3" s="1" t="s">
        <v>703</v>
      </c>
      <c r="ND3" s="1" t="s">
        <v>699</v>
      </c>
      <c r="NE3" s="1" t="s">
        <v>700</v>
      </c>
      <c r="NF3" s="1" t="s">
        <v>701</v>
      </c>
      <c r="NG3" s="1" t="s">
        <v>702</v>
      </c>
      <c r="NH3" s="1" t="s">
        <v>703</v>
      </c>
      <c r="NI3" s="19" t="s">
        <v>699</v>
      </c>
      <c r="NJ3" s="19" t="s">
        <v>700</v>
      </c>
      <c r="NK3" s="19" t="s">
        <v>701</v>
      </c>
      <c r="NL3" s="19" t="s">
        <v>702</v>
      </c>
      <c r="NM3" s="19" t="s">
        <v>703</v>
      </c>
      <c r="NN3" s="19" t="s">
        <v>699</v>
      </c>
      <c r="NO3" s="19" t="s">
        <v>700</v>
      </c>
      <c r="NP3" s="19" t="s">
        <v>701</v>
      </c>
      <c r="NQ3" s="19" t="s">
        <v>702</v>
      </c>
      <c r="NR3" s="19" t="s">
        <v>703</v>
      </c>
      <c r="NS3" s="19" t="s">
        <v>699</v>
      </c>
      <c r="NT3" s="19" t="s">
        <v>700</v>
      </c>
      <c r="NU3" s="19" t="s">
        <v>701</v>
      </c>
      <c r="NV3" s="19" t="s">
        <v>702</v>
      </c>
      <c r="NW3" s="19" t="s">
        <v>703</v>
      </c>
      <c r="NX3" s="20" t="s">
        <v>699</v>
      </c>
      <c r="NY3" s="20" t="s">
        <v>700</v>
      </c>
      <c r="NZ3" s="20" t="s">
        <v>701</v>
      </c>
      <c r="OA3" s="20" t="s">
        <v>702</v>
      </c>
      <c r="OB3" s="20" t="s">
        <v>703</v>
      </c>
      <c r="OC3" s="20" t="s">
        <v>699</v>
      </c>
      <c r="OD3" s="20" t="s">
        <v>700</v>
      </c>
      <c r="OE3" s="20" t="s">
        <v>701</v>
      </c>
      <c r="OF3" s="20" t="s">
        <v>702</v>
      </c>
      <c r="OG3" s="20" t="s">
        <v>703</v>
      </c>
      <c r="OH3" s="18" t="s">
        <v>699</v>
      </c>
      <c r="OI3" s="18" t="s">
        <v>700</v>
      </c>
      <c r="OJ3" s="18" t="s">
        <v>701</v>
      </c>
      <c r="OK3" s="18" t="s">
        <v>702</v>
      </c>
      <c r="OL3" s="18" t="s">
        <v>703</v>
      </c>
      <c r="OM3" s="18" t="s">
        <v>699</v>
      </c>
      <c r="ON3" s="18" t="s">
        <v>700</v>
      </c>
      <c r="OO3" s="18" t="s">
        <v>701</v>
      </c>
      <c r="OP3" s="18" t="s">
        <v>702</v>
      </c>
      <c r="OQ3" s="18" t="s">
        <v>703</v>
      </c>
      <c r="OR3" s="15" t="s">
        <v>699</v>
      </c>
      <c r="OS3" s="15" t="s">
        <v>700</v>
      </c>
      <c r="OT3" s="15" t="s">
        <v>701</v>
      </c>
      <c r="OU3" s="15" t="s">
        <v>702</v>
      </c>
      <c r="OV3" s="15" t="s">
        <v>703</v>
      </c>
      <c r="OW3" s="15" t="s">
        <v>699</v>
      </c>
      <c r="OX3" s="15" t="s">
        <v>700</v>
      </c>
      <c r="OY3" s="15" t="s">
        <v>701</v>
      </c>
      <c r="OZ3" s="15" t="s">
        <v>702</v>
      </c>
      <c r="PA3" s="15" t="s">
        <v>703</v>
      </c>
      <c r="PB3" s="15" t="s">
        <v>699</v>
      </c>
      <c r="PC3" s="15" t="s">
        <v>700</v>
      </c>
      <c r="PD3" s="15" t="s">
        <v>701</v>
      </c>
      <c r="PE3" s="15" t="s">
        <v>702</v>
      </c>
      <c r="PF3" s="15" t="s">
        <v>703</v>
      </c>
      <c r="PG3" s="15" t="s">
        <v>699</v>
      </c>
      <c r="PH3" s="15" t="s">
        <v>700</v>
      </c>
      <c r="PI3" s="15" t="s">
        <v>701</v>
      </c>
      <c r="PJ3" s="15" t="s">
        <v>702</v>
      </c>
      <c r="PK3" s="15" t="s">
        <v>703</v>
      </c>
      <c r="PL3" s="15" t="s">
        <v>699</v>
      </c>
      <c r="PM3" s="15" t="s">
        <v>700</v>
      </c>
      <c r="PN3" s="15" t="s">
        <v>701</v>
      </c>
      <c r="PO3" s="15" t="s">
        <v>702</v>
      </c>
      <c r="PP3" s="15" t="s">
        <v>703</v>
      </c>
      <c r="PQ3" s="15" t="s">
        <v>699</v>
      </c>
      <c r="PR3" s="15" t="s">
        <v>700</v>
      </c>
      <c r="PS3" s="15" t="s">
        <v>701</v>
      </c>
      <c r="PT3" s="15" t="s">
        <v>702</v>
      </c>
      <c r="PU3" s="15" t="s">
        <v>703</v>
      </c>
      <c r="PV3" s="15" t="s">
        <v>699</v>
      </c>
      <c r="PW3" s="15" t="s">
        <v>700</v>
      </c>
      <c r="PX3" s="15" t="s">
        <v>701</v>
      </c>
      <c r="PY3" s="15" t="s">
        <v>702</v>
      </c>
      <c r="PZ3" s="15" t="s">
        <v>703</v>
      </c>
    </row>
    <row r="4" spans="1:442" ht="15.6" thickTop="1" thickBot="1" x14ac:dyDescent="0.35">
      <c r="A4" s="26">
        <v>1</v>
      </c>
      <c r="B4" s="27">
        <v>1183</v>
      </c>
      <c r="C4" s="28" t="s">
        <v>63</v>
      </c>
      <c r="D4" s="29" t="s">
        <v>64</v>
      </c>
      <c r="E4" s="30" t="s">
        <v>65</v>
      </c>
      <c r="F4" s="2"/>
      <c r="G4" s="6"/>
      <c r="H4" s="4"/>
      <c r="I4" s="8"/>
      <c r="J4" s="5" t="str">
        <f t="shared" ref="J4:J67" si="0">IF(I4&gt;=61,"VIGENTE",IF(I4&gt;=1,"POR VENCER",IF(I4&lt;=-1,"VENCIDA",IF(G4=0,"NO APLICA"))))</f>
        <v>NO APLICA</v>
      </c>
      <c r="K4" s="2"/>
      <c r="L4" s="6"/>
      <c r="M4" s="6"/>
      <c r="N4" s="8"/>
      <c r="O4" s="5" t="str">
        <f t="shared" ref="O4:O67" si="1">IF(N4&gt;=61,"VIGENTE",IF(N4&gt;=1,"POR VENCER",IF(N4&lt;=-1,"VENCIDA",IF(L4=0,"NO APLICA"))))</f>
        <v>NO APLICA</v>
      </c>
      <c r="P4" s="4"/>
      <c r="Q4" s="4">
        <v>45758</v>
      </c>
      <c r="R4" s="4">
        <f>DATE(YEAR(Q4)+2,MONTH(Q4),DAY(Q4)-1)</f>
        <v>46487</v>
      </c>
      <c r="S4" s="8">
        <f ca="1">R4-TODAY()</f>
        <v>342</v>
      </c>
      <c r="T4" s="5" t="str">
        <f ca="1">IF(S4&gt;=61,"VIGENTE",IF(S4&gt;=1,"POR VENCER",IF(S4&lt;=-1,"VENCIDA",IF(S4=0,"NO APLICA"))))</f>
        <v>VIGENTE</v>
      </c>
      <c r="U4" s="5"/>
      <c r="V4" s="2" t="s">
        <v>66</v>
      </c>
      <c r="W4" s="4">
        <v>45078</v>
      </c>
      <c r="X4" s="4">
        <f t="shared" ref="X4:X67" si="2">DATE(YEAR(W4)+5,MONTH(W4),DAY(W4))</f>
        <v>46905</v>
      </c>
      <c r="Y4" s="8">
        <f t="shared" ref="Y4:Y67" ca="1" si="3">X4-TODAY()</f>
        <v>760</v>
      </c>
      <c r="Z4" s="5" t="str">
        <f t="shared" ref="Z4:Z67" ca="1" si="4">IF(Y4&gt;=90,"VIGENTE",IF(Y4&gt;=1,"POR VENCER",IF(Y4&lt;=-1,"VENCIDA",IF(W4=0,"NO APLICA"))))</f>
        <v>VIGENTE</v>
      </c>
      <c r="AA4" s="5"/>
      <c r="AB4" s="2" t="s">
        <v>67</v>
      </c>
      <c r="AC4" s="4">
        <v>45190</v>
      </c>
      <c r="AD4" s="4">
        <f t="shared" ref="AD4:AD17" si="5">DATE(YEAR(AC4)+5,MONTH(AC4),DAY(AC4))</f>
        <v>47017</v>
      </c>
      <c r="AE4" s="8">
        <f t="shared" ref="AE4:AE17" ca="1" si="6">AD4-TODAY()</f>
        <v>872</v>
      </c>
      <c r="AF4" s="5" t="str">
        <f t="shared" ref="AF4:AF67" ca="1" si="7">IF(AE4&gt;=91,"VIGENTE",IF(AE4&gt;=1,"POR VENCER",IF(AE4&lt;=-1,"VENCIDA",IF(AC4=0,"NO APLICA"))))</f>
        <v>VIGENTE</v>
      </c>
      <c r="AG4" s="3"/>
      <c r="AH4" s="4">
        <v>45609</v>
      </c>
      <c r="AI4" s="4">
        <f>DATE(YEAR(AH4)+2,MONTH(AH4),DAY(AH4)-1)</f>
        <v>46338</v>
      </c>
      <c r="AJ4" s="8">
        <f t="shared" ref="AJ4:AJ67" ca="1" si="8">AI4-TODAY()</f>
        <v>193</v>
      </c>
      <c r="AK4" s="5" t="str">
        <f t="shared" ref="AK4:AK42" ca="1" si="9">IF(AJ4&gt;=91,"VIGENTE",IF(AJ4&gt;=1,"POR VENCER",IF(AJ4&lt;=-1,"VENCIDA",IF(AH4=0,"NO APLICA"))))</f>
        <v>VIGENTE</v>
      </c>
      <c r="AL4" s="3"/>
      <c r="AM4" s="4">
        <v>45937</v>
      </c>
      <c r="AN4" s="4">
        <f>DATE(YEAR(AM4)+2,MONTH(AM4),DAY(AM4))</f>
        <v>46667</v>
      </c>
      <c r="AO4" s="8">
        <f t="shared" ref="AO4:AO67" ca="1" si="10">AN4-TODAY()</f>
        <v>522</v>
      </c>
      <c r="AP4" s="5" t="str">
        <f t="shared" ref="AP4:AP67" ca="1" si="11">IF(AO4&gt;=91,"VIGENTE",IF(AO4&gt;=1,"POR VENCER",IF(AO4&lt;=-1,"VENCIDA",IF(AM4=0,"NO APLICA"))))</f>
        <v>VIGENTE</v>
      </c>
      <c r="AQ4" s="3"/>
      <c r="AR4" s="4">
        <v>45887</v>
      </c>
      <c r="AS4" s="4">
        <f>DATE(YEAR(AR4)+2,MONTH(AR4),DAY(AR4))</f>
        <v>46617</v>
      </c>
      <c r="AT4" s="8">
        <f t="shared" ref="AT4:AT67" ca="1" si="12">AS4-TODAY()</f>
        <v>472</v>
      </c>
      <c r="AU4" s="5" t="str">
        <f t="shared" ref="AU4:AU67" ca="1" si="13">IF(AT4&gt;=91,"VIGENTE",IF(AT4&gt;=1,"POR VENCER",IF(AT4&lt;=-1,"VENCIDA",IF(AR4=0,"NO APLICA"))))</f>
        <v>VIGENTE</v>
      </c>
      <c r="AV4" s="3"/>
      <c r="AW4" s="4">
        <v>45927</v>
      </c>
      <c r="AX4" s="4">
        <f t="shared" ref="AX4:AX10" si="14">DATE(YEAR(AW4)+2,MONTH(AW4),DAY(AW4))</f>
        <v>46657</v>
      </c>
      <c r="AY4" s="8">
        <f t="shared" ref="AY4:AY67" ca="1" si="15">AX4-TODAY()</f>
        <v>512</v>
      </c>
      <c r="AZ4" s="5" t="str">
        <f t="shared" ref="AZ4:AZ67" ca="1" si="16">IF(AY4&gt;=91,"VIGENTE",IF(AY4&gt;=1,"POR VENCER",IF(AY4&lt;=-1,"VENCIDA",IF(AW4=0,"NO APLICA"))))</f>
        <v>VIGENTE</v>
      </c>
      <c r="BA4" s="3"/>
      <c r="BB4" s="4">
        <v>45901</v>
      </c>
      <c r="BC4" s="4">
        <f>DATE(YEAR(BB4)+2,MONTH(BB4),DAY(BB4))</f>
        <v>46631</v>
      </c>
      <c r="BD4" s="8">
        <f t="shared" ref="BD4:BD67" ca="1" si="17">BC4-TODAY()</f>
        <v>486</v>
      </c>
      <c r="BE4" s="5" t="str">
        <f t="shared" ref="BE4:BE67" ca="1" si="18">IF(BD4&gt;=91,"VIGENTE",IF(BD4&gt;=1,"POR VENCER",IF(BD4&lt;=-1,"VENCIDA",IF(BB4=0,"NO APLICA"))))</f>
        <v>VIGENTE</v>
      </c>
      <c r="BF4" s="3"/>
      <c r="BG4" s="4">
        <v>45997</v>
      </c>
      <c r="BH4" s="4">
        <f>DATE(YEAR(BG4)+2,MONTH(BG4),DAY(BG4))</f>
        <v>46727</v>
      </c>
      <c r="BI4" s="8">
        <f t="shared" ref="BI4:BI67" ca="1" si="19">BH4-TODAY()</f>
        <v>582</v>
      </c>
      <c r="BJ4" s="5" t="str">
        <f t="shared" ref="BJ4:BJ67" ca="1" si="20">IF(BI4&gt;=91,"VIGENTE",IF(BI4&gt;=1,"POR VENCER",IF(BI4&lt;=-1,"VENCIDA",IF(BG4=0,"NO APLICA"))))</f>
        <v>VIGENTE</v>
      </c>
      <c r="BK4" s="3"/>
      <c r="BL4" s="4">
        <v>46035</v>
      </c>
      <c r="BM4" s="4">
        <f>DATE(YEAR(BL4)+2,MONTH(BL4),DAY(BL4))</f>
        <v>46765</v>
      </c>
      <c r="BN4" s="8">
        <f t="shared" ref="BN4:BN67" ca="1" si="21">BM4-TODAY()</f>
        <v>620</v>
      </c>
      <c r="BO4" s="5" t="str">
        <f t="shared" ref="BO4:BO67" ca="1" si="22">IF(BN4&gt;=91,"VIGENTE",IF(BN4&gt;=1,"POR VENCER",IF(BN4&lt;=-1,"VENCIDA",IF(BL4=0,"NO APLICA"))))</f>
        <v>VIGENTE</v>
      </c>
      <c r="BP4" s="3"/>
      <c r="BQ4" s="39">
        <v>46050</v>
      </c>
      <c r="BR4" s="4">
        <f>DATE(YEAR(BQ4)+2,MONTH(BQ4),DAY(BQ4))</f>
        <v>46780</v>
      </c>
      <c r="BS4" s="8">
        <f t="shared" ref="BS4:BS67" ca="1" si="23">BR4-TODAY()</f>
        <v>635</v>
      </c>
      <c r="BT4" s="5" t="str">
        <f t="shared" ref="BT4:BT67" ca="1" si="24">IF(BS4&gt;=91,"VIGENTE",IF(BS4&gt;=1,"POR VENCER",IF(BS4&lt;=-1,"VENCIDA",IF(BQ4=0,"NO APLICA"))))</f>
        <v>VIGENTE</v>
      </c>
      <c r="BU4" s="3"/>
      <c r="BV4" s="4">
        <v>46126</v>
      </c>
      <c r="BW4" s="4">
        <f>DATE(YEAR(BV4)+2,MONTH(BV4),DAY(BV4)-1)</f>
        <v>46856</v>
      </c>
      <c r="BX4" s="8">
        <f t="shared" ref="BX4:BX67" ca="1" si="25">BW4-TODAY()</f>
        <v>711</v>
      </c>
      <c r="BY4" s="5" t="str">
        <f t="shared" ref="BY4:BY67" ca="1" si="26">IF(BX4&gt;=91,"VIGENTE",IF(BX4&gt;=1,"POR VENCER",IF(BX4&lt;=-1,"VENCIDA",IF(BV4=0,"NO APLICA"))))</f>
        <v>VIGENTE</v>
      </c>
      <c r="BZ4" s="3"/>
      <c r="CA4" s="4">
        <v>45944</v>
      </c>
      <c r="CB4" s="4">
        <f>DATE(YEAR(CA4)+2,MONTH(CA4),DAY(CA4))</f>
        <v>46674</v>
      </c>
      <c r="CC4" s="8">
        <f t="shared" ref="CC4:CC67" ca="1" si="27">CB4-TODAY()</f>
        <v>529</v>
      </c>
      <c r="CD4" s="5" t="str">
        <f t="shared" ref="CD4:CD67" ca="1" si="28">IF(CC4&gt;=91,"VIGENTE",IF(CC4&gt;=1,"POR VENCER",IF(CC4&lt;=-1,"VENCIDA",IF(CA4=0,"NO APLICA"))))</f>
        <v>VIGENTE</v>
      </c>
      <c r="CE4" s="6"/>
      <c r="CF4" s="4">
        <v>45832</v>
      </c>
      <c r="CG4" s="4">
        <f t="shared" ref="CG4:CG67" si="29">DATE(YEAR(CF4)+4,MONTH(CF4),DAY(CF4))</f>
        <v>47293</v>
      </c>
      <c r="CH4" s="8">
        <f t="shared" ref="CH4:CH67" ca="1" si="30">CG4-TODAY()</f>
        <v>1148</v>
      </c>
      <c r="CI4" s="5" t="str">
        <f t="shared" ref="CI4:CI67" ca="1" si="31">IF(CH4&gt;=90,"VIGENTE",IF(CH4&gt;=1,"POR VENCER",IF(CH4&lt;=-1,"VENCIDA",IF(CH4=0,"NO APLICA"))))</f>
        <v>VIGENTE</v>
      </c>
      <c r="CJ4" s="4"/>
      <c r="CK4" s="4">
        <v>45929</v>
      </c>
      <c r="CL4" s="4">
        <f>DATE(YEAR(CK4)+2,MONTH(CK4),DAY(CK4))</f>
        <v>46659</v>
      </c>
      <c r="CM4" s="8">
        <f t="shared" ref="CM4:CM67" ca="1" si="32">CL4-TODAY()</f>
        <v>514</v>
      </c>
      <c r="CN4" s="5" t="str">
        <f t="shared" ref="CN4:CN67" ca="1" si="33">IF(CM4&gt;=91,"VIGENTE",IF(CM4&gt;=1,"POR VENCER",IF(CM4&lt;=-1,"VENCIDA",IF(CK4=0,"NO APLICA"))))</f>
        <v>VIGENTE</v>
      </c>
      <c r="CO4" s="3"/>
      <c r="CP4" s="39">
        <v>45888</v>
      </c>
      <c r="CQ4" s="4">
        <f>DATE(YEAR(CP4)+2,MONTH(CP4),DAY(CP4))</f>
        <v>46618</v>
      </c>
      <c r="CR4" s="8">
        <f t="shared" ref="CR4:CR67" ca="1" si="34">CQ4-TODAY()</f>
        <v>473</v>
      </c>
      <c r="CS4" s="5" t="str">
        <f t="shared" ref="CS4:CS67" ca="1" si="35">IF(CR4&gt;=91,"VIGENTE",IF(CR4&gt;=1,"POR VENCER",IF(CR4&lt;=-1,"VENCIDA",IF(CP4=0,"NO APLICA"))))</f>
        <v>VIGENTE</v>
      </c>
      <c r="CT4" s="3"/>
      <c r="CU4" s="4">
        <v>45905</v>
      </c>
      <c r="CV4" s="4">
        <f>DATE(YEAR(CU4)+2,MONTH(CU4),DAY(CU4))</f>
        <v>46635</v>
      </c>
      <c r="CW4" s="8">
        <f t="shared" ref="CW4:CW67" ca="1" si="36">CV4-TODAY()</f>
        <v>490</v>
      </c>
      <c r="CX4" s="5" t="str">
        <f t="shared" ref="CX4:CX67" ca="1" si="37">IF(CW4&gt;=91,"VIGENTE",IF(CW4&gt;=1,"POR VENCER",IF(CW4&lt;=-1,"VENCIDA",IF(CU4=0,"NO APLICA"))))</f>
        <v>VIGENTE</v>
      </c>
      <c r="CY4" s="3"/>
      <c r="CZ4" s="4">
        <v>46028</v>
      </c>
      <c r="DA4" s="4">
        <f>DATE(YEAR(CZ4)+2,MONTH(CZ4),DAY(CZ4))</f>
        <v>46758</v>
      </c>
      <c r="DB4" s="8">
        <f t="shared" ref="DB4:DB67" ca="1" si="38">DA4-TODAY()</f>
        <v>613</v>
      </c>
      <c r="DC4" s="5" t="str">
        <f t="shared" ref="DC4:DC67" ca="1" si="39">IF(DB4&gt;=91,"VIGENTE",IF(DB4&gt;=1,"POR VENCER",IF(DB4&lt;=-1,"VENCIDA",IF(CZ4=0,"NO APLICA"))))</f>
        <v>VIGENTE</v>
      </c>
      <c r="DD4" s="3"/>
      <c r="DE4" s="39">
        <v>45689</v>
      </c>
      <c r="DF4" s="4">
        <f>DATE(YEAR(DE4)+2,MONTH(DE4),DAY(DE4)-1)</f>
        <v>46418</v>
      </c>
      <c r="DG4" s="8">
        <f t="shared" ref="DG4:DG67" ca="1" si="40">DF4-TODAY()</f>
        <v>273</v>
      </c>
      <c r="DH4" s="5" t="str">
        <f t="shared" ref="DH4:DH67" ca="1" si="41">IF(DG4&gt;=91,"VIGENTE",IF(DG4&gt;=1,"POR VENCER",IF(DG4&lt;=-1,"VENCIDA",IF(DE4=0,"NO APLICA"))))</f>
        <v>VIGENTE</v>
      </c>
      <c r="DI4" s="3"/>
      <c r="DJ4" s="39">
        <v>45696</v>
      </c>
      <c r="DK4" s="4">
        <f t="shared" ref="DK4:DK10" si="42">DATE(YEAR(DJ4)+2,MONTH(DJ4),DAY(DJ4)-1)</f>
        <v>46425</v>
      </c>
      <c r="DL4" s="8">
        <f t="shared" ref="DL4:DL67" ca="1" si="43">DK4-TODAY()</f>
        <v>280</v>
      </c>
      <c r="DM4" s="5" t="str">
        <f t="shared" ref="DM4:DM67" ca="1" si="44">IF(DL4&gt;=91,"VIGENTE",IF(DL4&gt;=1,"POR VENCER",IF(DL4&lt;=-1,"VENCIDA",IF(DJ4=0,"NO APLICA"))))</f>
        <v>VIGENTE</v>
      </c>
      <c r="DN4" s="3"/>
      <c r="DO4" s="4">
        <v>45731</v>
      </c>
      <c r="DP4" s="4">
        <f t="shared" ref="DP4:DP10" si="45">DATE(YEAR(DO4)+2,MONTH(DO4),DAY(DO4)-1)</f>
        <v>46460</v>
      </c>
      <c r="DQ4" s="8">
        <f t="shared" ref="DQ4:DQ67" ca="1" si="46">DP4-TODAY()</f>
        <v>315</v>
      </c>
      <c r="DR4" s="5" t="str">
        <f t="shared" ref="DR4:DR67" ca="1" si="47">IF(DQ4&gt;=91,"VIGENTE",IF(DQ4&gt;=1,"POR VENCER",IF(DQ4&lt;=-1,"VENCIDA",IF(DO4=0,"NO APLICA"))))</f>
        <v>VIGENTE</v>
      </c>
      <c r="DS4" s="3"/>
      <c r="DT4" s="4">
        <v>45685</v>
      </c>
      <c r="DU4" s="4">
        <f>DATE(YEAR(DT4)+2,MONTH(DT4),DAY(DT4)-1)</f>
        <v>46414</v>
      </c>
      <c r="DV4" s="8">
        <f t="shared" ref="DV4:DV67" ca="1" si="48">DU4-TODAY()</f>
        <v>269</v>
      </c>
      <c r="DW4" s="5" t="str">
        <f t="shared" ref="DW4:DW67" ca="1" si="49">IF(DV4&gt;=91,"VIGENTE",IF(DV4&gt;=1,"POR VENCER",IF(DV4&lt;=-1,"VENCIDA",IF(DT4=0,"NO APLICA"))))</f>
        <v>VIGENTE</v>
      </c>
      <c r="DX4" s="3"/>
      <c r="DY4" s="4">
        <v>45582</v>
      </c>
      <c r="DZ4" s="4">
        <f>DATE(YEAR(DY4)+2,MONTH(DY4),DAY(DY4)-1)</f>
        <v>46311</v>
      </c>
      <c r="EA4" s="8">
        <f t="shared" ref="EA4:EA67" ca="1" si="50">DZ4-TODAY()</f>
        <v>166</v>
      </c>
      <c r="EB4" s="5" t="str">
        <f t="shared" ref="EB4:EB67" ca="1" si="51">IF(EA4&gt;=91,"VIGENTE",IF(EA4&gt;=1,"POR VENCER",IF(EA4&lt;=-1,"VENCIDA",IF(DY4=0,"NO APLICA"))))</f>
        <v>VIGENTE</v>
      </c>
      <c r="EC4" s="3"/>
      <c r="ED4" s="39">
        <v>45602</v>
      </c>
      <c r="EE4" s="4">
        <f>DATE(YEAR(ED4)+2,MONTH(ED4),DAY(ED4)-1)</f>
        <v>46331</v>
      </c>
      <c r="EF4" s="8">
        <f t="shared" ref="EF4:EF67" ca="1" si="52">EE4-TODAY()</f>
        <v>186</v>
      </c>
      <c r="EG4" s="5" t="str">
        <f t="shared" ref="EG4:EG67" ca="1" si="53">IF(EF4&gt;=91,"VIGENTE",IF(EF4&gt;=1,"POR VENCER",IF(EF4&lt;=-1,"VENCIDA",IF(ED4=0,"NO APLICA"))))</f>
        <v>VIGENTE</v>
      </c>
      <c r="EH4" s="3"/>
      <c r="EI4" s="3">
        <v>45911</v>
      </c>
      <c r="EJ4" s="4">
        <f>DATE(YEAR(EI4)+1,MONTH(EI4),DAY(EI4))</f>
        <v>46276</v>
      </c>
      <c r="EK4" s="8">
        <f t="shared" ref="EK4:EK67" ca="1" si="54">EJ4-TODAY()</f>
        <v>131</v>
      </c>
      <c r="EL4" s="5" t="str">
        <f t="shared" ref="EL4:EL67" ca="1" si="55">IF(EK4&gt;=91,"VIGENTE",IF(EK4&gt;=1,"POR VENCER",IF(EK4&lt;=-1,"VENCIDA",IF(EI4=0,"NO APLICA"))))</f>
        <v>VIGENTE</v>
      </c>
      <c r="EM4" s="3"/>
      <c r="EN4" s="4">
        <v>45940</v>
      </c>
      <c r="EO4" s="4">
        <f>DATE(YEAR(EN4)+2,MONTH(EN4),DAY(EN4))</f>
        <v>46670</v>
      </c>
      <c r="EP4" s="8">
        <f t="shared" ref="EP4:EP67" ca="1" si="56">EO4-TODAY()</f>
        <v>525</v>
      </c>
      <c r="EQ4" s="5" t="str">
        <f t="shared" ref="EQ4:EQ67" ca="1" si="57">IF(EP4&gt;=91,"VIGENTE",IF(EP4&gt;=1,"POR VENCER",IF(EP4&lt;=-1,"VENCIDA",IF(EN4=0,"NO APLICA"))))</f>
        <v>VIGENTE</v>
      </c>
      <c r="ER4" s="3"/>
      <c r="ES4" s="39">
        <v>45922</v>
      </c>
      <c r="ET4" s="4">
        <f>DATE(YEAR(ES4)+2,MONTH(ES4),DAY(ES4))</f>
        <v>46652</v>
      </c>
      <c r="EU4" s="8">
        <f t="shared" ref="EU4:EU67" ca="1" si="58">ET4-TODAY()</f>
        <v>507</v>
      </c>
      <c r="EV4" s="5" t="str">
        <f t="shared" ref="EV4:EV67" ca="1" si="59">IF(EU4&gt;=91,"VIGENTE",IF(EU4&gt;=1,"POR VENCER",IF(EU4&lt;=-1,"VENCIDA",IF(ES4=0,"NO APLICA"))))</f>
        <v>VIGENTE</v>
      </c>
      <c r="EW4" s="3"/>
      <c r="EX4" s="4">
        <v>45917</v>
      </c>
      <c r="EY4" s="4">
        <f>DATE(YEAR(EX4)+2,MONTH(EX4),DAY(EX4))</f>
        <v>46647</v>
      </c>
      <c r="EZ4" s="8">
        <f t="shared" ref="EZ4:EZ67" ca="1" si="60">EY4-TODAY()</f>
        <v>502</v>
      </c>
      <c r="FA4" s="5" t="str">
        <f t="shared" ref="FA4:FA67" ca="1" si="61">IF(EZ4&gt;=91,"VIGENTE",IF(EZ4&gt;=1,"POR VENCER",IF(EZ4&lt;=-1,"VENCIDA",IF(EX4=0,"NO APLICA"))))</f>
        <v>VIGENTE</v>
      </c>
      <c r="FB4" s="3"/>
      <c r="FC4" s="4">
        <v>45931</v>
      </c>
      <c r="FD4" s="4">
        <f>DATE(YEAR(FC4)+2,MONTH(FC4),DAY(FC4))</f>
        <v>46661</v>
      </c>
      <c r="FE4" s="8">
        <f t="shared" ref="FE4:FE67" ca="1" si="62">FD4-TODAY()</f>
        <v>516</v>
      </c>
      <c r="FF4" s="5" t="str">
        <f t="shared" ref="FF4:FF67" ca="1" si="63">IF(FE4&gt;=91,"VIGENTE",IF(FE4&gt;=1,"POR VENCER",IF(FE4&lt;=-1,"VENCIDA",IF(FC4=0,"NO APLICA"))))</f>
        <v>VIGENTE</v>
      </c>
      <c r="FG4" s="3"/>
      <c r="FH4" s="4">
        <v>45919</v>
      </c>
      <c r="FI4" s="4">
        <f>DATE(YEAR(FH4)+2,MONTH(FH4),DAY(FH4))</f>
        <v>46649</v>
      </c>
      <c r="FJ4" s="8">
        <f t="shared" ref="FJ4:FJ67" ca="1" si="64">FI4-TODAY()</f>
        <v>504</v>
      </c>
      <c r="FK4" s="5" t="str">
        <f t="shared" ref="FK4:FK67" ca="1" si="65">IF(FJ4&gt;=91,"VIGENTE",IF(FJ4&gt;=1,"POR VENCER",IF(FJ4&lt;=-1,"VENCIDA",IF(FH4=0,"NO APLICA"))))</f>
        <v>VIGENTE</v>
      </c>
      <c r="FL4" s="3"/>
      <c r="FM4" s="39">
        <v>45588</v>
      </c>
      <c r="FN4" s="4">
        <f t="shared" ref="FN4:FN10" si="66">DATE(YEAR(FM4)+2,MONTH(FM4),DAY(FM4)-1)</f>
        <v>46317</v>
      </c>
      <c r="FO4" s="8">
        <f t="shared" ref="FO4:FO67" ca="1" si="67">FN4-TODAY()</f>
        <v>172</v>
      </c>
      <c r="FP4" s="5" t="str">
        <f t="shared" ref="FP4:FP67" ca="1" si="68">IF(FO4&gt;=91,"VIGENTE",IF(FO4&gt;=1,"POR VENCER",IF(FO4&lt;=-1,"VENCIDA",IF(FM4=0,"NO APLICA"))))</f>
        <v>VIGENTE</v>
      </c>
      <c r="FQ4" s="3"/>
      <c r="FR4" s="39">
        <v>45724</v>
      </c>
      <c r="FS4" s="4">
        <f>DATE(YEAR(FR4)+2,MONTH(FR4),DAY(FR4)-1)</f>
        <v>46453</v>
      </c>
      <c r="FT4" s="8">
        <f t="shared" ref="FT4:FT67" ca="1" si="69">FS4-TODAY()</f>
        <v>308</v>
      </c>
      <c r="FU4" s="5" t="str">
        <f t="shared" ref="FU4:FU67" ca="1" si="70">IF(FT4&gt;=91,"VIGENTE",IF(FT4&gt;=1,"POR VENCER",IF(FT4&lt;=-1,"VENCIDA",IF(FR4=0,"NO APLICA"))))</f>
        <v>VIGENTE</v>
      </c>
      <c r="FV4" s="3"/>
      <c r="FW4" s="4">
        <v>45941</v>
      </c>
      <c r="FX4" s="4">
        <f>DATE(YEAR(FW4)+2,MONTH(FW4),DAY(FW4))</f>
        <v>46671</v>
      </c>
      <c r="FY4" s="8">
        <f t="shared" ref="FY4:FY67" ca="1" si="71">FX4-TODAY()</f>
        <v>526</v>
      </c>
      <c r="FZ4" s="5" t="str">
        <f t="shared" ref="FZ4:FZ67" ca="1" si="72">IF(FY4&gt;=91,"VIGENTE",IF(FY4&gt;=1,"POR VENCER",IF(FY4&lt;=-1,"VENCIDA",IF(FW4=0,"NO APLICA"))))</f>
        <v>VIGENTE</v>
      </c>
      <c r="GA4" s="3"/>
      <c r="GB4" s="4">
        <v>45667</v>
      </c>
      <c r="GC4" s="4">
        <f>DATE(YEAR(GB4)+2,MONTH(GB4),DAY(GB4)-1)</f>
        <v>46396</v>
      </c>
      <c r="GD4" s="8">
        <f t="shared" ref="GD4:GD67" ca="1" si="73">GC4-TODAY()</f>
        <v>251</v>
      </c>
      <c r="GE4" s="5" t="str">
        <f t="shared" ref="GE4:GE67" ca="1" si="74">IF(GD4&gt;=91,"VIGENTE",IF(GD4&gt;=1,"POR VENCER",IF(GD4&lt;=-1,"VENCIDA",IF(GB4=0,"NO APLICA"))))</f>
        <v>VIGENTE</v>
      </c>
      <c r="GF4" s="3"/>
      <c r="GG4" s="4">
        <v>45912</v>
      </c>
      <c r="GH4" s="4">
        <f>DATE(YEAR(GG4)+2,MONTH(GG4),DAY(GG4))</f>
        <v>46642</v>
      </c>
      <c r="GI4" s="8">
        <f t="shared" ref="GI4:GI67" ca="1" si="75">GH4-TODAY()</f>
        <v>497</v>
      </c>
      <c r="GJ4" s="5" t="str">
        <f t="shared" ref="GJ4:GJ67" ca="1" si="76">IF(GI4&gt;=91,"VIGENTE",IF(GI4&gt;=1,"POR VENCER",IF(GI4&lt;=-1,"VENCIDA",IF(GG4=0,"NO APLICA"))))</f>
        <v>VIGENTE</v>
      </c>
      <c r="GK4" s="3"/>
      <c r="GL4" s="4">
        <v>45608</v>
      </c>
      <c r="GM4" s="4">
        <f>DATE(YEAR(GL4)+2,MONTH(GL4),DAY(GL4)-1)</f>
        <v>46337</v>
      </c>
      <c r="GN4" s="8">
        <f t="shared" ref="GN4:GN67" ca="1" si="77">GM4-TODAY()</f>
        <v>192</v>
      </c>
      <c r="GO4" s="5" t="str">
        <f t="shared" ref="GO4:GO67" ca="1" si="78">IF(GN4&gt;=61,"VIGENTE",IF(GN4&gt;=1,"POR VENCER",IF(GN4&lt;=-1,"VENCIDA",IF(GL4=0,"NO APLICA"))))</f>
        <v>VIGENTE</v>
      </c>
      <c r="GP4" s="4"/>
      <c r="GQ4" s="4">
        <v>45244</v>
      </c>
      <c r="GR4" s="4">
        <f t="shared" ref="GR4:GR67" si="79">DATE(YEAR(GQ4)+5,MONTH(GQ4),DAY(GQ4))</f>
        <v>47071</v>
      </c>
      <c r="GS4" s="8">
        <f t="shared" ref="GS4:GS13" ca="1" si="80">GR4-TODAY()</f>
        <v>926</v>
      </c>
      <c r="GT4" s="5" t="str">
        <f t="shared" ref="GT4:GT67" ca="1" si="81">IF(GS4&gt;=91,"VIGENTE",IF(GS4&gt;=1,"POR VENCER",IF(GS4&lt;=-1,"VENCIDA",IF(GQ4=0,"NO APLICA"))))</f>
        <v>VIGENTE</v>
      </c>
      <c r="GU4" s="3"/>
      <c r="GV4" s="4">
        <v>44952</v>
      </c>
      <c r="GW4" s="4">
        <f t="shared" ref="GW4:GW67" si="82">DATE(YEAR(GV4)+5,MONTH(GV4),DAY(GV4))</f>
        <v>46778</v>
      </c>
      <c r="GX4" s="8">
        <f t="shared" ref="GX4:GX67" ca="1" si="83">GW4-TODAY()</f>
        <v>633</v>
      </c>
      <c r="GY4" s="5" t="str">
        <f t="shared" ref="GY4:GY67" ca="1" si="84">IF(GX4&gt;=91,"VIGENTE",IF(GX4&gt;=1,"POR VENCER",IF(GX4&lt;=-1,"VENCIDA",IF(GV4=0,"NO APLICA"))))</f>
        <v>VIGENTE</v>
      </c>
      <c r="GZ4" s="3"/>
      <c r="HA4" s="4">
        <v>45251</v>
      </c>
      <c r="HB4" s="4">
        <f t="shared" ref="HB4:HB67" si="85">DATE(YEAR(HA4)+5,MONTH(HA4),DAY(HA4))</f>
        <v>47078</v>
      </c>
      <c r="HC4" s="8">
        <f t="shared" ref="HC4:HC67" ca="1" si="86">HB4-TODAY()</f>
        <v>933</v>
      </c>
      <c r="HD4" s="5" t="str">
        <f t="shared" ref="HD4:HD67" ca="1" si="87">IF(HC4&gt;=91,"VIGENTE",IF(HC4&gt;=1,"POR VENCER",IF(HC4&lt;=-1,"VENCIDA",IF(HA4=0,"NO APLICA"))))</f>
        <v>VIGENTE</v>
      </c>
      <c r="HE4" s="6"/>
      <c r="HF4" s="4">
        <v>44880</v>
      </c>
      <c r="HG4" s="4">
        <f t="shared" ref="HG4:HG17" si="88">DATE(YEAR(HF4)+5,MONTH(HF4),DAY(HF4))</f>
        <v>46706</v>
      </c>
      <c r="HH4" s="8">
        <f t="shared" ref="HH4:HH17" ca="1" si="89">HG4-TODAY()</f>
        <v>561</v>
      </c>
      <c r="HI4" s="5" t="str">
        <f t="shared" ref="HI4:HI10" ca="1" si="90">IF(HH4&gt;=61,"VIGENTE",IF(HH4&gt;=1,"POR VENCER",IF(HH4&lt;=-1,"VENCIDA",IF(HF4=0,"NO APLICA"))))</f>
        <v>VIGENTE</v>
      </c>
      <c r="HJ4" s="2"/>
      <c r="HK4" s="6"/>
      <c r="HL4" s="4"/>
      <c r="HM4" s="8"/>
      <c r="HN4" s="5" t="str">
        <f t="shared" ref="HN4:HN30" si="91">IF(HM4&gt;=61,"VIGENTE",IF(HM4&gt;=1,"POR VENCER",IF(HM4&lt;=-1,"VENCIDA",IF(HK4=0,"NO APLICA"))))</f>
        <v>NO APLICA</v>
      </c>
      <c r="HO4" s="2"/>
      <c r="HP4" s="2"/>
      <c r="HQ4" s="4"/>
      <c r="HR4" s="2"/>
      <c r="HS4" s="5" t="str">
        <f t="shared" ref="HS4:HS67" si="92">IF(HR4&gt;=61,"VIGENTE",IF(HR4&gt;=1,"POR VENCER",IF(HR4&lt;=-1,"VENCIDA",IF(HP4=0,"NO APLICA"))))</f>
        <v>NO APLICA</v>
      </c>
      <c r="HT4" s="2"/>
      <c r="HU4" s="6"/>
      <c r="HV4" s="4"/>
      <c r="HW4" s="8"/>
      <c r="HX4" s="5" t="str">
        <f t="shared" ref="HX4:HX67" si="93">IF(HW4&gt;=61,"VIGENTE",IF(HW4&gt;=1,"POR VENCER",IF(HW4&lt;=-1,"VENCIDA",IF(HU4=0,"NO APLICA"))))</f>
        <v>NO APLICA</v>
      </c>
      <c r="HY4" s="2"/>
      <c r="HZ4" s="6"/>
      <c r="IA4" s="4"/>
      <c r="IB4" s="8"/>
      <c r="IC4" s="5" t="str">
        <f t="shared" ref="IC4:IC67" si="94">IF(IB4&gt;=61,"VIGENTE",IF(IB4&gt;=1,"POR VENCER",IF(IB4&lt;=-1,"VENCIDA",IF(HZ4=0,"NO APLICA"))))</f>
        <v>NO APLICA</v>
      </c>
      <c r="ID4" s="2"/>
      <c r="IE4" s="6"/>
      <c r="IF4" s="4"/>
      <c r="IG4" s="8"/>
      <c r="IH4" s="5" t="str">
        <f t="shared" ref="IH4:IH67" si="95">IF(IG4&gt;=61,"VIGENTE",IF(IG4&gt;=1,"POR VENCER",IF(IG4&lt;=-1,"VENCIDA",IF(IE4=0,"NO APLICA"))))</f>
        <v>NO APLICA</v>
      </c>
      <c r="II4" s="6"/>
      <c r="IJ4" s="6"/>
      <c r="IK4" s="4"/>
      <c r="IL4" s="8"/>
      <c r="IM4" s="5" t="str">
        <f t="shared" ref="IM4:IM67" si="96">IF(IL4&gt;=61,"VIGENTE",IF(IL4&gt;=1,"POR VENCER",IF(IL4&lt;=-1,"VENCIDA",IF(IJ4=0,"NO APLICA"))))</f>
        <v>NO APLICA</v>
      </c>
      <c r="IN4" s="2"/>
      <c r="IO4" s="6"/>
      <c r="IP4" s="4"/>
      <c r="IQ4" s="8"/>
      <c r="IR4" s="5" t="str">
        <f t="shared" ref="IR4:IR67" si="97">IF(IQ4&gt;=61,"VIGENTE",IF(IQ4&gt;=1,"POR VENCER",IF(IQ4&lt;=-1,"VENCIDA",IF(IO4=0,"NO APLICA"))))</f>
        <v>NO APLICA</v>
      </c>
      <c r="IS4" s="2"/>
      <c r="IT4" s="6"/>
      <c r="IU4" s="4"/>
      <c r="IV4" s="8"/>
      <c r="IW4" s="5" t="str">
        <f t="shared" ref="IW4:IW67" si="98">IF(IV4&gt;=61,"VIGENTE",IF(IV4&gt;=1,"POR VENCER",IF(IV4&lt;=-1,"VENCIDA",IF(IT4=0,"NO APLICA"))))</f>
        <v>NO APLICA</v>
      </c>
      <c r="IX4" s="2"/>
      <c r="IY4" s="6"/>
      <c r="IZ4" s="4"/>
      <c r="JA4" s="8"/>
      <c r="JB4" s="5" t="str">
        <f t="shared" ref="JB4:JB67" si="99">IF(JA4&gt;=61,"VIGENTE",IF(JA4&gt;=1,"POR VENCER",IF(JA4&lt;=-1,"VENCIDA",IF(IY4=0,"NO APLICA"))))</f>
        <v>NO APLICA</v>
      </c>
      <c r="JC4" s="3" t="s">
        <v>780</v>
      </c>
      <c r="JD4" s="3"/>
      <c r="JE4" s="4"/>
      <c r="JF4" s="8"/>
      <c r="JG4" s="5"/>
      <c r="JH4" s="3" t="s">
        <v>780</v>
      </c>
      <c r="JI4" s="6"/>
      <c r="JJ4" s="6"/>
      <c r="JK4" s="6"/>
      <c r="JL4" s="5"/>
      <c r="JM4" s="6" t="s">
        <v>780</v>
      </c>
      <c r="JN4" s="6"/>
      <c r="JO4" s="6"/>
      <c r="JP4" s="6"/>
      <c r="JQ4" s="5"/>
      <c r="JR4" s="6" t="s">
        <v>781</v>
      </c>
      <c r="JS4" s="6"/>
      <c r="JT4" s="6"/>
      <c r="JU4" s="6"/>
      <c r="JV4" s="5"/>
      <c r="JW4" s="6" t="s">
        <v>781</v>
      </c>
      <c r="JX4" s="5"/>
      <c r="JY4" s="5"/>
      <c r="JZ4" s="5"/>
      <c r="KA4" s="5"/>
      <c r="KB4" s="5" t="s">
        <v>782</v>
      </c>
      <c r="KC4" s="2"/>
      <c r="KD4" s="4"/>
      <c r="KE4" s="8"/>
      <c r="KF4" s="5"/>
      <c r="KG4" s="5"/>
      <c r="KH4" s="3">
        <v>45328</v>
      </c>
      <c r="KI4" s="4">
        <f>DATE(YEAR(KH4)+5,MONTH(KH4),DAY(KH4)-1)</f>
        <v>47154</v>
      </c>
      <c r="KJ4" s="8">
        <f ca="1">KI4-TODAY()</f>
        <v>1009</v>
      </c>
      <c r="KK4" s="5" t="str">
        <f ca="1">IF(KJ4&gt;=61,"VIGENTE",IF(KJ4&gt;=1,"POR VENCER",IF(KJ4&lt;=-1,"VENCIDA",IF(KH4=0,"NO APLICA"))))</f>
        <v>VIGENTE</v>
      </c>
      <c r="KL4" s="5"/>
      <c r="KM4" s="2"/>
      <c r="KN4" s="4"/>
      <c r="KO4" s="8"/>
      <c r="KP4" s="5" t="str">
        <f t="shared" ref="KP4:KP67" si="100">IF(KO4&gt;=61,"VIGENTE",IF(KO4&gt;=1,"POR VENCER",IF(KO4&lt;=-1,"VENCIDA",IF(KM4=0,"NO APLICA"))))</f>
        <v>NO APLICA</v>
      </c>
      <c r="KQ4" s="5"/>
      <c r="KR4" s="3">
        <v>45346</v>
      </c>
      <c r="KS4" s="4">
        <f>DATE(YEAR(KR4)+5,MONTH(KR4),DAY(KR4))</f>
        <v>47173</v>
      </c>
      <c r="KT4" s="8">
        <f ca="1">KS4-TODAY()</f>
        <v>1028</v>
      </c>
      <c r="KU4" s="5" t="str">
        <f ca="1">IF(KT4&gt;=61,"VIGENTE",IF(KT4&gt;=1,"POR VENCER",IF(KT4&lt;=-1,"VENCIDA",IF(KR4=0,"NO APLICA"))))</f>
        <v>VIGENTE</v>
      </c>
      <c r="KV4" s="3"/>
      <c r="KW4" s="4">
        <v>44651</v>
      </c>
      <c r="KX4" s="4">
        <f>DATE(YEAR(KW4)+5,MONTH(KW4),DAY(KW4))</f>
        <v>46477</v>
      </c>
      <c r="KY4" s="8">
        <f ca="1">KX4-TODAY()</f>
        <v>332</v>
      </c>
      <c r="KZ4" s="5" t="str">
        <f ca="1">IF(KY4&gt;=61,"VIGENTE",IF(KY4&gt;=1,"POR VENCER",IF(KY4&lt;=-1,"VENCIDA",IF(KW4=0,"NO APLICA"))))</f>
        <v>VIGENTE</v>
      </c>
      <c r="LA4" s="5"/>
      <c r="LB4" s="4">
        <v>44608</v>
      </c>
      <c r="LC4" s="4">
        <f>DATE(YEAR(LB4)+5,MONTH(LB4),DAY(LB4))</f>
        <v>46434</v>
      </c>
      <c r="LD4" s="8">
        <f ca="1">LC4-TODAY()</f>
        <v>289</v>
      </c>
      <c r="LE4" s="5" t="str">
        <f ca="1">IF(LD4&gt;=61,"VIGENTE",IF(LD4&gt;=1,"POR VENCER",IF(LD4&lt;=-1,"VENCIDA",IF(LB4=0,"NO APLICA"))))</f>
        <v>VIGENTE</v>
      </c>
      <c r="LF4" s="6"/>
      <c r="LG4" s="6"/>
      <c r="LH4" s="4"/>
      <c r="LI4" s="8"/>
      <c r="LJ4" s="5" t="str">
        <f t="shared" ref="LJ4:LJ67" si="101">IF(LI4&gt;=61,"VIGENTE",IF(LI4&gt;=1,"POR VENCER",IF(LI4&lt;=-1,"VENCIDA",IF(LG4=0,"NO APLICA"))))</f>
        <v>NO APLICA</v>
      </c>
      <c r="LK4" s="3"/>
      <c r="LL4" s="3"/>
      <c r="LM4" s="4"/>
      <c r="LN4" s="8"/>
      <c r="LO4" s="5" t="str">
        <f>IF(LN4&gt;=61,"VIGENTE",IF(LN4&gt;=1,"POR VENCER",IF(LN4&lt;=-1,"VENCIDA",IF(LL4=0,"NO APLICA"))))</f>
        <v>NO APLICA</v>
      </c>
      <c r="LP4" s="3"/>
      <c r="LQ4" s="4">
        <v>44377</v>
      </c>
      <c r="LR4" s="4">
        <f>DATE(YEAR(LQ4)+5,MONTH(LQ4),DAY(LQ4))</f>
        <v>46203</v>
      </c>
      <c r="LS4" s="8">
        <f ca="1">LR4-TODAY()</f>
        <v>58</v>
      </c>
      <c r="LT4" s="5" t="str">
        <f ca="1">IF(LS4&gt;=61,"VIGENTE",IF(LS4&gt;=1,"POR VENCER",IF(LS4&lt;=-1,"VENCIDA",IF(LQ4=0,"NO APLICA"))))</f>
        <v>POR VENCER</v>
      </c>
      <c r="LU4" s="4"/>
      <c r="LV4" s="4">
        <v>44986</v>
      </c>
      <c r="LW4" s="4">
        <f>DATE(YEAR(LV4)+5,MONTH(LV4),DAY(LV4))</f>
        <v>46813</v>
      </c>
      <c r="LX4" s="8">
        <f ca="1">LW4-TODAY()</f>
        <v>668</v>
      </c>
      <c r="LY4" s="5" t="str">
        <f ca="1">IF(LX4&gt;=61,"VIGENTE",IF(LX4&gt;=1,"POR VENCER",IF(LX4&lt;=-1,"VENCIDA",IF(LV4=0,"NO APLICA"))))</f>
        <v>VIGENTE</v>
      </c>
      <c r="LZ4" s="4"/>
      <c r="MA4" s="4">
        <v>44988</v>
      </c>
      <c r="MB4" s="4">
        <f>DATE(YEAR(MA4)+5,MONTH(MA4),DAY(MA4))</f>
        <v>46815</v>
      </c>
      <c r="MC4" s="8">
        <f ca="1">MB4-TODAY()</f>
        <v>670</v>
      </c>
      <c r="MD4" s="5" t="str">
        <f ca="1">IF(MC4&gt;=61,"VIGENTE",IF(MC4&gt;=1,"POR VENCER",IF(MC4&lt;=-1,"VENCIDA",IF(MA4=0,"NO APLICA"))))</f>
        <v>VIGENTE</v>
      </c>
      <c r="ME4" s="2"/>
      <c r="MF4" s="2"/>
      <c r="MG4" s="4"/>
      <c r="MH4" s="8"/>
      <c r="MI4" s="5" t="str">
        <f t="shared" ref="MI4:MI67" si="102">IF(MH4&gt;=61,"VIGENTE",IF(MH4&gt;=1,"POR VENCER",IF(MH4&lt;=-1,"VENCIDA",IF(MF4=0,"NO APLICA"))))</f>
        <v>NO APLICA</v>
      </c>
      <c r="MJ4" s="2"/>
      <c r="MK4" s="2"/>
      <c r="ML4" s="4"/>
      <c r="MM4" s="8"/>
      <c r="MN4" s="5" t="str">
        <f t="shared" ref="MN4:MN67" si="103">IF(MM4&gt;=61,"VIGENTE",IF(MM4&gt;=1,"POR VENCER",IF(MM4&lt;=-1,"VENCIDA",IF(MK4=0,"NO APLICA"))))</f>
        <v>NO APLICA</v>
      </c>
      <c r="MO4" s="5"/>
      <c r="MP4" s="2"/>
      <c r="MQ4" s="4"/>
      <c r="MR4" s="8"/>
      <c r="MS4" s="5" t="str">
        <f t="shared" ref="MS4:MS67" si="104">IF(MR4&gt;=61,"VIGENTE",IF(MR4&gt;=1,"POR VENCER",IF(MR4&lt;=-1,"VENCIDA",IF(MP4=0,"NO APLICA"))))</f>
        <v>NO APLICA</v>
      </c>
      <c r="MT4" s="5"/>
      <c r="MU4" s="2"/>
      <c r="MV4" s="4"/>
      <c r="MW4" s="2"/>
      <c r="MX4" s="5" t="str">
        <f t="shared" ref="MX4:MX67" si="105">IF(MW4&gt;=61,"VIGENTE",IF(MW4&gt;=1,"POR VENCER",IF(MW4&lt;=-1,"VENCIDA",IF(MU4=0,"NO APLICA"))))</f>
        <v>NO APLICA</v>
      </c>
      <c r="MY4" s="2"/>
      <c r="MZ4" s="6"/>
      <c r="NA4" s="4"/>
      <c r="NB4" s="8"/>
      <c r="NC4" s="5" t="str">
        <f t="shared" ref="NC4:NC67" si="106">IF(NB4&gt;=61,"VIGENTE",IF(NB4&gt;=1,"POR VENCER",IF(NB4&lt;=-1,"VENCIDA",IF(MZ4=0,"NO APLICA"))))</f>
        <v>NO APLICA</v>
      </c>
      <c r="ND4" s="2"/>
      <c r="NE4" s="6"/>
      <c r="NF4" s="4"/>
      <c r="NG4" s="8"/>
      <c r="NH4" s="5" t="str">
        <f t="shared" ref="NH4:NH67" si="107">IF(NG4&gt;=61,"VIGENTE",IF(NG4&gt;=1,"POR VENCER",IF(NG4&lt;=-1,"VENCIDA",IF(NE4=0,"NO APLICA"))))</f>
        <v>NO APLICA</v>
      </c>
      <c r="NI4" s="2"/>
      <c r="NJ4" s="6"/>
      <c r="NK4" s="4"/>
      <c r="NL4" s="8"/>
      <c r="NM4" s="5" t="str">
        <f t="shared" ref="NM4:NM67" si="108">IF(NL4&gt;=61,"VIGENTE",IF(NL4&gt;=1,"POR VENCER",IF(NL4&lt;=-1,"VENCIDA",IF(NJ4=0,"NO APLICA"))))</f>
        <v>NO APLICA</v>
      </c>
      <c r="NN4" s="2"/>
      <c r="NO4" s="2"/>
      <c r="NP4" s="4"/>
      <c r="NQ4" s="8"/>
      <c r="NR4" s="5" t="str">
        <f t="shared" ref="NR4:NR67" si="109">IF(NQ4&gt;=61,"VIGENTE",IF(NQ4&gt;=1,"POR VENCER",IF(NQ4&lt;=-1,"VENCIDA",IF(NO4=0,"NO APLICA"))))</f>
        <v>NO APLICA</v>
      </c>
      <c r="NS4" s="2"/>
      <c r="NT4" s="2"/>
      <c r="NU4" s="4"/>
      <c r="NV4" s="2"/>
      <c r="NW4" s="5" t="str">
        <f t="shared" ref="NW4:NW67" si="110">IF(NV4&gt;=61,"VIGENTE",IF(NV4&gt;=1,"POR VENCER",IF(NV4&lt;=-1,"VENCIDA",IF(NT4=0,"NO APLICA"))))</f>
        <v>NO APLICA</v>
      </c>
      <c r="NX4" s="6"/>
      <c r="NY4" s="6"/>
      <c r="NZ4" s="4"/>
      <c r="OA4" s="8"/>
      <c r="OB4" s="5" t="str">
        <f t="shared" ref="OB4:OB67" si="111">IF(OA4&gt;=61,"VIGENTE",IF(OA4&gt;=1,"POR VENCER",IF(OA4&lt;=-1,"VENCIDA",IF(NY4=0,"NO APLICA"))))</f>
        <v>NO APLICA</v>
      </c>
      <c r="OC4" s="6"/>
      <c r="OD4" s="6"/>
      <c r="OE4" s="6"/>
      <c r="OF4" s="6"/>
      <c r="OG4" s="5" t="str">
        <f t="shared" ref="OG4:OG67" si="112">IF(OF4&gt;=61,"VIGENTE",IF(OF4&gt;=1,"POR VENCER",IF(OF4&lt;=-1,"VENCIDA",IF(OD4=0,"NO APLICA"))))</f>
        <v>NO APLICA</v>
      </c>
      <c r="OH4" s="2"/>
      <c r="OI4" s="2"/>
      <c r="OJ4" s="4"/>
      <c r="OK4" s="8"/>
      <c r="OL4" s="5" t="str">
        <f t="shared" ref="OL4:OL67" si="113">IF(OK4&gt;=61,"VIGENTE",IF(OK4&gt;=1,"POR VENCER",IF(OK4&lt;=-1,"VENCIDA",IF(OI4=0,"NO APLICA"))))</f>
        <v>NO APLICA</v>
      </c>
      <c r="OM4" s="6"/>
      <c r="ON4" s="6"/>
      <c r="OO4" s="6"/>
      <c r="OP4" s="6"/>
      <c r="OQ4" s="5" t="str">
        <f t="shared" ref="OQ4:OQ67" si="114">IF(OP4&gt;=61,"VIGENTE",IF(OP4&gt;=1,"POR VENCER",IF(OP4&lt;=-1,"VENCIDA",IF(ON4=0,"NO APLICA"))))</f>
        <v>NO APLICA</v>
      </c>
      <c r="OR4" s="6"/>
      <c r="OS4" s="6"/>
      <c r="OT4" s="6"/>
      <c r="OU4" s="6"/>
      <c r="OV4" s="5" t="str">
        <f t="shared" ref="OV4:OV67" si="115">IF(OU4&gt;=61,"VIGENTE",IF(OU4&gt;=1,"POR VENCER",IF(OU4&lt;=-1,"VENCIDA",IF(OS4=0,"NO APLICA"))))</f>
        <v>NO APLICA</v>
      </c>
      <c r="OW4" s="6"/>
      <c r="OX4" s="6"/>
      <c r="OY4" s="6"/>
      <c r="OZ4" s="6"/>
      <c r="PA4" s="5" t="str">
        <f t="shared" ref="PA4:PA67" si="116">IF(OZ4&gt;=61,"VIGENTE",IF(OZ4&gt;=1,"POR VENCER",IF(OZ4&lt;=-1,"VENCIDA",IF(OX4=0,"NO APLICA"))))</f>
        <v>NO APLICA</v>
      </c>
      <c r="PB4" s="6"/>
      <c r="PC4" s="6"/>
      <c r="PD4" s="6"/>
      <c r="PE4" s="6"/>
      <c r="PF4" s="5" t="str">
        <f t="shared" ref="PF4:PF67" si="117">IF(PE4&gt;=61,"VIGENTE",IF(PE4&gt;=1,"POR VENCER",IF(PE4&lt;=-1,"VENCIDA",IF(PC4=0,"NO APLICA"))))</f>
        <v>NO APLICA</v>
      </c>
      <c r="PG4" s="6"/>
      <c r="PH4" s="6"/>
      <c r="PI4" s="6"/>
      <c r="PJ4" s="6"/>
      <c r="PK4" s="5" t="str">
        <f t="shared" ref="PK4:PK67" si="118">IF(PJ4&gt;=61,"VIGENTE",IF(PJ4&gt;=1,"POR VENCER",IF(PJ4&lt;=-1,"VENCIDA",IF(PH4=0,"NO APLICA"))))</f>
        <v>NO APLICA</v>
      </c>
      <c r="PL4" s="5"/>
      <c r="PM4" s="6"/>
      <c r="PN4" s="4"/>
      <c r="PO4" s="8"/>
      <c r="PP4" s="5" t="str">
        <f t="shared" ref="PP4:PP67" si="119">IF(PO4&gt;=61,"VIGENTE",IF(PO4&gt;=1,"POR VENCER",IF(PO4&lt;=-1,"VENCIDA",IF(PM4=0,"NO APLICA"))))</f>
        <v>NO APLICA</v>
      </c>
      <c r="PQ4" s="6"/>
      <c r="PR4" s="6"/>
      <c r="PS4" s="6"/>
      <c r="PT4" s="6"/>
      <c r="PU4" s="5" t="str">
        <f t="shared" ref="PU4:PU67" si="120">IF(PT4&gt;=61,"VIGENTE",IF(PT4&gt;=1,"POR VENCER",IF(PT4&lt;=-1,"VENCIDA",IF(PR4=0,"NO APLICA"))))</f>
        <v>NO APLICA</v>
      </c>
      <c r="PV4" s="5"/>
      <c r="PW4" s="6"/>
      <c r="PX4" s="6"/>
      <c r="PY4" s="6"/>
      <c r="PZ4" s="5" t="str">
        <f t="shared" ref="PZ4:PZ67" si="121">IF(PY4&gt;=61,"VIGENTE",IF(PY4&gt;=1,"POR VENCER",IF(PY4&lt;=-1,"VENCIDA",IF(PW4=0,"NO APLICA"))))</f>
        <v>NO APLICA</v>
      </c>
    </row>
    <row r="5" spans="1:442" ht="15.6" hidden="1" thickTop="1" thickBot="1" x14ac:dyDescent="0.35">
      <c r="A5" s="26">
        <v>2</v>
      </c>
      <c r="B5" s="27">
        <v>747</v>
      </c>
      <c r="C5" s="28" t="s">
        <v>751</v>
      </c>
      <c r="D5" s="29" t="s">
        <v>68</v>
      </c>
      <c r="E5" s="30" t="s">
        <v>69</v>
      </c>
      <c r="F5" s="2"/>
      <c r="G5" s="6"/>
      <c r="H5" s="4"/>
      <c r="I5" s="8"/>
      <c r="J5" s="5" t="str">
        <f t="shared" si="0"/>
        <v>NO APLICA</v>
      </c>
      <c r="K5" s="5"/>
      <c r="L5" s="6"/>
      <c r="M5" s="6"/>
      <c r="N5" s="8"/>
      <c r="O5" s="5" t="str">
        <f t="shared" si="1"/>
        <v>NO APLICA</v>
      </c>
      <c r="P5" s="6"/>
      <c r="Q5" s="6"/>
      <c r="R5" s="4"/>
      <c r="S5" s="8"/>
      <c r="T5" s="5" t="str">
        <f t="shared" ref="T5:T68" si="122">IF(S5&gt;=61,"VIGENTE",IF(S5&gt;=1,"POR VENCER",IF(S5&lt;=-1,"VENCIDA",IF(S5=0,"NO APLICA"))))</f>
        <v>NO APLICA</v>
      </c>
      <c r="U5" s="5"/>
      <c r="V5" s="2" t="s">
        <v>70</v>
      </c>
      <c r="W5" s="4">
        <v>45097</v>
      </c>
      <c r="X5" s="4">
        <f t="shared" si="2"/>
        <v>46924</v>
      </c>
      <c r="Y5" s="8">
        <f t="shared" ca="1" si="3"/>
        <v>779</v>
      </c>
      <c r="Z5" s="5" t="str">
        <f t="shared" ca="1" si="4"/>
        <v>VIGENTE</v>
      </c>
      <c r="AA5" s="5"/>
      <c r="AB5" s="2" t="s">
        <v>71</v>
      </c>
      <c r="AC5" s="4">
        <v>44828</v>
      </c>
      <c r="AD5" s="4">
        <f t="shared" si="5"/>
        <v>46654</v>
      </c>
      <c r="AE5" s="8">
        <f t="shared" ca="1" si="6"/>
        <v>509</v>
      </c>
      <c r="AF5" s="5" t="str">
        <f t="shared" ca="1" si="7"/>
        <v>VIGENTE</v>
      </c>
      <c r="AG5" s="3"/>
      <c r="AH5" s="4">
        <v>45617</v>
      </c>
      <c r="AI5" s="4">
        <f t="shared" ref="AI5:AI7" si="123">DATE(YEAR(AH5)+2,MONTH(AH5),DAY(AH5)-1)</f>
        <v>46346</v>
      </c>
      <c r="AJ5" s="8">
        <f t="shared" ca="1" si="8"/>
        <v>201</v>
      </c>
      <c r="AK5" s="5" t="str">
        <f t="shared" ca="1" si="9"/>
        <v>VIGENTE</v>
      </c>
      <c r="AL5" s="3"/>
      <c r="AM5" s="4">
        <v>45926</v>
      </c>
      <c r="AN5" s="4">
        <f t="shared" ref="AN5:AN9" si="124">DATE(YEAR(AM5)+2,MONTH(AM5),DAY(AM5))</f>
        <v>46656</v>
      </c>
      <c r="AO5" s="8">
        <f t="shared" ca="1" si="10"/>
        <v>511</v>
      </c>
      <c r="AP5" s="5" t="str">
        <f t="shared" ca="1" si="11"/>
        <v>VIGENTE</v>
      </c>
      <c r="AQ5" s="3"/>
      <c r="AR5" s="4">
        <v>45904</v>
      </c>
      <c r="AS5" s="4">
        <f t="shared" ref="AS5:AS10" si="125">DATE(YEAR(AR5)+2,MONTH(AR5),DAY(AR5))</f>
        <v>46634</v>
      </c>
      <c r="AT5" s="8">
        <f t="shared" ca="1" si="12"/>
        <v>489</v>
      </c>
      <c r="AU5" s="5" t="str">
        <f t="shared" ca="1" si="13"/>
        <v>VIGENTE</v>
      </c>
      <c r="AV5" s="3"/>
      <c r="AW5" s="4">
        <v>45952</v>
      </c>
      <c r="AX5" s="4">
        <f t="shared" si="14"/>
        <v>46682</v>
      </c>
      <c r="AY5" s="8">
        <f t="shared" ca="1" si="15"/>
        <v>537</v>
      </c>
      <c r="AZ5" s="5" t="str">
        <f t="shared" ca="1" si="16"/>
        <v>VIGENTE</v>
      </c>
      <c r="BA5" s="3"/>
      <c r="BB5" s="4">
        <v>45717</v>
      </c>
      <c r="BC5" s="4">
        <f>DATE(YEAR(BB5)+2,MONTH(BB5),DAY(BB5)-1)</f>
        <v>46446</v>
      </c>
      <c r="BD5" s="8">
        <f t="shared" ca="1" si="17"/>
        <v>301</v>
      </c>
      <c r="BE5" s="5" t="str">
        <f t="shared" ca="1" si="18"/>
        <v>VIGENTE</v>
      </c>
      <c r="BF5" s="3"/>
      <c r="BG5" s="4">
        <v>45987</v>
      </c>
      <c r="BH5" s="4">
        <f>DATE(YEAR(BG5)+2,MONTH(BG5),DAY(BG5))</f>
        <v>46717</v>
      </c>
      <c r="BI5" s="8">
        <f t="shared" ca="1" si="19"/>
        <v>572</v>
      </c>
      <c r="BJ5" s="5" t="str">
        <f t="shared" ca="1" si="20"/>
        <v>VIGENTE</v>
      </c>
      <c r="BK5" s="3"/>
      <c r="BL5" s="4">
        <v>46035</v>
      </c>
      <c r="BM5" s="4">
        <f t="shared" ref="BM5:BM7" si="126">DATE(YEAR(BL5)+2,MONTH(BL5),DAY(BL5))</f>
        <v>46765</v>
      </c>
      <c r="BN5" s="8">
        <f t="shared" ca="1" si="21"/>
        <v>620</v>
      </c>
      <c r="BO5" s="5" t="str">
        <f t="shared" ca="1" si="22"/>
        <v>VIGENTE</v>
      </c>
      <c r="BP5" s="3"/>
      <c r="BQ5" s="39">
        <v>46069</v>
      </c>
      <c r="BR5" s="4">
        <f>DATE(YEAR(BQ5)+2,MONTH(BQ5),DAY(BQ5))</f>
        <v>46799</v>
      </c>
      <c r="BS5" s="8">
        <f t="shared" ca="1" si="23"/>
        <v>654</v>
      </c>
      <c r="BT5" s="5" t="str">
        <f t="shared" ca="1" si="24"/>
        <v>VIGENTE</v>
      </c>
      <c r="BU5" s="3"/>
      <c r="BV5" s="4">
        <v>46126</v>
      </c>
      <c r="BW5" s="4">
        <f>DATE(YEAR(BV5)+2,MONTH(BV5),DAY(BV5)-1)</f>
        <v>46856</v>
      </c>
      <c r="BX5" s="8">
        <f t="shared" ca="1" si="25"/>
        <v>711</v>
      </c>
      <c r="BY5" s="5" t="str">
        <f t="shared" ca="1" si="26"/>
        <v>VIGENTE</v>
      </c>
      <c r="BZ5" s="3"/>
      <c r="CA5" s="4">
        <v>46119</v>
      </c>
      <c r="CB5" s="4">
        <f t="shared" ref="CB5:CB10" si="127">DATE(YEAR(CA5)+2,MONTH(CA5),DAY(CA5)-1)</f>
        <v>46849</v>
      </c>
      <c r="CC5" s="8">
        <f t="shared" ca="1" si="27"/>
        <v>704</v>
      </c>
      <c r="CD5" s="5" t="str">
        <f t="shared" ca="1" si="28"/>
        <v>VIGENTE</v>
      </c>
      <c r="CE5" s="6"/>
      <c r="CF5" s="4">
        <v>45211</v>
      </c>
      <c r="CG5" s="4">
        <f t="shared" si="29"/>
        <v>46672</v>
      </c>
      <c r="CH5" s="8">
        <f t="shared" ca="1" si="30"/>
        <v>527</v>
      </c>
      <c r="CI5" s="5" t="str">
        <f t="shared" ca="1" si="31"/>
        <v>VIGENTE</v>
      </c>
      <c r="CJ5" s="4"/>
      <c r="CK5" s="4">
        <v>45504</v>
      </c>
      <c r="CL5" s="4">
        <f t="shared" ref="CL5:CL10" si="128">DATE(YEAR(CK5)+2,MONTH(CK5),DAY(CK5)-1)</f>
        <v>46233</v>
      </c>
      <c r="CM5" s="8">
        <f t="shared" ca="1" si="32"/>
        <v>88</v>
      </c>
      <c r="CN5" s="5" t="str">
        <f t="shared" ca="1" si="33"/>
        <v>POR VENCER</v>
      </c>
      <c r="CO5" s="3"/>
      <c r="CP5" s="39">
        <v>45517</v>
      </c>
      <c r="CQ5" s="4">
        <f>DATE(YEAR(CP5)+2,MONTH(CP5),DAY(CP5)-1)</f>
        <v>46246</v>
      </c>
      <c r="CR5" s="8">
        <f t="shared" ca="1" si="34"/>
        <v>101</v>
      </c>
      <c r="CS5" s="5" t="str">
        <f t="shared" ca="1" si="35"/>
        <v>VIGENTE</v>
      </c>
      <c r="CT5" s="3"/>
      <c r="CU5" s="4">
        <v>45639</v>
      </c>
      <c r="CV5" s="4">
        <f t="shared" ref="CV5:CV10" si="129">DATE(YEAR(CU5)+2,MONTH(CU5),DAY(CU5)-1)</f>
        <v>46368</v>
      </c>
      <c r="CW5" s="8">
        <f t="shared" ca="1" si="36"/>
        <v>223</v>
      </c>
      <c r="CX5" s="5" t="str">
        <f t="shared" ca="1" si="37"/>
        <v>VIGENTE</v>
      </c>
      <c r="CY5" s="3"/>
      <c r="CZ5" s="4">
        <v>45661</v>
      </c>
      <c r="DA5" s="4">
        <f t="shared" ref="DA5:DA10" si="130">DATE(YEAR(CZ5)+2,MONTH(CZ5),DAY(CZ5)-1)</f>
        <v>46390</v>
      </c>
      <c r="DB5" s="8">
        <f t="shared" ca="1" si="38"/>
        <v>245</v>
      </c>
      <c r="DC5" s="5" t="str">
        <f t="shared" ca="1" si="39"/>
        <v>VIGENTE</v>
      </c>
      <c r="DD5" s="3"/>
      <c r="DE5" s="39">
        <v>45689</v>
      </c>
      <c r="DF5" s="4">
        <f>DATE(YEAR(DE5)+2,MONTH(DE5),DAY(DE5)-1)</f>
        <v>46418</v>
      </c>
      <c r="DG5" s="8">
        <f t="shared" ca="1" si="40"/>
        <v>273</v>
      </c>
      <c r="DH5" s="5" t="str">
        <f t="shared" ca="1" si="41"/>
        <v>VIGENTE</v>
      </c>
      <c r="DI5" s="3"/>
      <c r="DJ5" s="39">
        <v>45696</v>
      </c>
      <c r="DK5" s="4">
        <f t="shared" si="42"/>
        <v>46425</v>
      </c>
      <c r="DL5" s="8">
        <f t="shared" ca="1" si="43"/>
        <v>280</v>
      </c>
      <c r="DM5" s="5" t="str">
        <f t="shared" ca="1" si="44"/>
        <v>VIGENTE</v>
      </c>
      <c r="DN5" s="3"/>
      <c r="DO5" s="4">
        <v>46007</v>
      </c>
      <c r="DP5" s="4">
        <f>DATE(YEAR(DO5)+2,MONTH(DO5),DAY(DO5))</f>
        <v>46737</v>
      </c>
      <c r="DQ5" s="8">
        <f t="shared" ca="1" si="46"/>
        <v>592</v>
      </c>
      <c r="DR5" s="5" t="str">
        <f t="shared" ca="1" si="47"/>
        <v>VIGENTE</v>
      </c>
      <c r="DS5" s="3"/>
      <c r="DT5" s="4">
        <v>45685</v>
      </c>
      <c r="DU5" s="4">
        <f>DATE(YEAR(DT5)+2,MONTH(DT5),DAY(DT5)-1)</f>
        <v>46414</v>
      </c>
      <c r="DV5" s="8">
        <f t="shared" ca="1" si="48"/>
        <v>269</v>
      </c>
      <c r="DW5" s="5" t="str">
        <f t="shared" ca="1" si="49"/>
        <v>VIGENTE</v>
      </c>
      <c r="DX5" s="3"/>
      <c r="DY5" s="4">
        <v>45663</v>
      </c>
      <c r="DZ5" s="4">
        <f>DATE(YEAR(DY5)+2,MONTH(DY5),DAY(DY5)-1)</f>
        <v>46392</v>
      </c>
      <c r="EA5" s="8">
        <f t="shared" ca="1" si="50"/>
        <v>247</v>
      </c>
      <c r="EB5" s="5" t="str">
        <f t="shared" ca="1" si="51"/>
        <v>VIGENTE</v>
      </c>
      <c r="EC5" s="3"/>
      <c r="ED5" s="39">
        <v>45674</v>
      </c>
      <c r="EE5" s="4">
        <f>DATE(YEAR(ED5)+2,MONTH(ED5),DAY(ED5)-1)</f>
        <v>46403</v>
      </c>
      <c r="EF5" s="8">
        <f t="shared" ca="1" si="52"/>
        <v>258</v>
      </c>
      <c r="EG5" s="5" t="str">
        <f t="shared" ca="1" si="53"/>
        <v>VIGENTE</v>
      </c>
      <c r="EH5" s="3"/>
      <c r="EI5" s="3">
        <v>46002</v>
      </c>
      <c r="EJ5" s="4">
        <f t="shared" ref="EJ5:EJ68" si="131">DATE(YEAR(EI5)+1,MONTH(EI5),DAY(EI5))</f>
        <v>46367</v>
      </c>
      <c r="EK5" s="8">
        <f t="shared" ca="1" si="54"/>
        <v>222</v>
      </c>
      <c r="EL5" s="5" t="str">
        <f t="shared" ca="1" si="55"/>
        <v>VIGENTE</v>
      </c>
      <c r="EM5" s="3"/>
      <c r="EN5" s="4">
        <v>45660</v>
      </c>
      <c r="EO5" s="4">
        <f>DATE(YEAR(EN5)+2,MONTH(EN5),DAY(EN5)-1)</f>
        <v>46389</v>
      </c>
      <c r="EP5" s="8">
        <f t="shared" ca="1" si="56"/>
        <v>244</v>
      </c>
      <c r="EQ5" s="5" t="str">
        <f t="shared" ca="1" si="57"/>
        <v>VIGENTE</v>
      </c>
      <c r="ER5" s="3"/>
      <c r="ES5" s="39">
        <v>45677</v>
      </c>
      <c r="ET5" s="4">
        <f>DATE(YEAR(ES5)+2,MONTH(ES5),DAY(ES5)-1)</f>
        <v>46406</v>
      </c>
      <c r="EU5" s="8">
        <f t="shared" ca="1" si="58"/>
        <v>261</v>
      </c>
      <c r="EV5" s="5" t="str">
        <f t="shared" ca="1" si="59"/>
        <v>VIGENTE</v>
      </c>
      <c r="EW5" s="3"/>
      <c r="EX5" s="4">
        <v>45694</v>
      </c>
      <c r="EY5" s="4">
        <f t="shared" ref="EY5" si="132">DATE(YEAR(EX5)+2,MONTH(EX5),DAY(EX5)-1)</f>
        <v>46423</v>
      </c>
      <c r="EZ5" s="8">
        <f t="shared" ca="1" si="60"/>
        <v>278</v>
      </c>
      <c r="FA5" s="5" t="str">
        <f t="shared" ca="1" si="61"/>
        <v>VIGENTE</v>
      </c>
      <c r="FB5" s="3"/>
      <c r="FC5" s="4">
        <v>45666</v>
      </c>
      <c r="FD5" s="4">
        <f>DATE(YEAR(FC5)+2,MONTH(FC5),DAY(FC5)-1)</f>
        <v>46395</v>
      </c>
      <c r="FE5" s="8">
        <f t="shared" ca="1" si="62"/>
        <v>250</v>
      </c>
      <c r="FF5" s="5" t="str">
        <f t="shared" ca="1" si="63"/>
        <v>VIGENTE</v>
      </c>
      <c r="FG5" s="3"/>
      <c r="FH5" s="4">
        <v>45668</v>
      </c>
      <c r="FI5" s="4">
        <f>DATE(YEAR(FH5)+2,MONTH(FH5),DAY(FH5)-1)</f>
        <v>46397</v>
      </c>
      <c r="FJ5" s="8">
        <f t="shared" ca="1" si="64"/>
        <v>252</v>
      </c>
      <c r="FK5" s="5" t="str">
        <f t="shared" ca="1" si="65"/>
        <v>VIGENTE</v>
      </c>
      <c r="FL5" s="3"/>
      <c r="FM5" s="39">
        <v>45670</v>
      </c>
      <c r="FN5" s="4">
        <f t="shared" si="66"/>
        <v>46399</v>
      </c>
      <c r="FO5" s="8">
        <f t="shared" ca="1" si="67"/>
        <v>254</v>
      </c>
      <c r="FP5" s="5" t="str">
        <f t="shared" ca="1" si="68"/>
        <v>VIGENTE</v>
      </c>
      <c r="FQ5" s="3"/>
      <c r="FR5" s="39">
        <v>45678</v>
      </c>
      <c r="FS5" s="4">
        <f>DATE(YEAR(FR5)+2,MONTH(FR5),DAY(FR5)-1)</f>
        <v>46407</v>
      </c>
      <c r="FT5" s="8">
        <f t="shared" ca="1" si="69"/>
        <v>262</v>
      </c>
      <c r="FU5" s="5" t="str">
        <f t="shared" ca="1" si="70"/>
        <v>VIGENTE</v>
      </c>
      <c r="FV5" s="3"/>
      <c r="FW5" s="4">
        <v>45581</v>
      </c>
      <c r="FX5" s="4">
        <f t="shared" ref="FX5:FX10" si="133">DATE(YEAR(FW5)+2,MONTH(FW5),DAY(FW5)-1)</f>
        <v>46310</v>
      </c>
      <c r="FY5" s="8">
        <f t="shared" ca="1" si="71"/>
        <v>165</v>
      </c>
      <c r="FZ5" s="5" t="str">
        <f t="shared" ca="1" si="72"/>
        <v>VIGENTE</v>
      </c>
      <c r="GA5" s="3"/>
      <c r="GB5" s="4">
        <v>45667</v>
      </c>
      <c r="GC5" s="4">
        <f>DATE(YEAR(GB5)+2,MONTH(GB5),DAY(GB5)-1)</f>
        <v>46396</v>
      </c>
      <c r="GD5" s="8">
        <f t="shared" ca="1" si="73"/>
        <v>251</v>
      </c>
      <c r="GE5" s="5" t="str">
        <f t="shared" ca="1" si="74"/>
        <v>VIGENTE</v>
      </c>
      <c r="GF5" s="3"/>
      <c r="GG5" s="4">
        <v>45752</v>
      </c>
      <c r="GH5" s="4">
        <f t="shared" ref="GH5:GH8" si="134">DATE(YEAR(GG5)+2,MONTH(GG5),DAY(GG5)-1)</f>
        <v>46481</v>
      </c>
      <c r="GI5" s="8">
        <f t="shared" ca="1" si="75"/>
        <v>336</v>
      </c>
      <c r="GJ5" s="5" t="str">
        <f t="shared" ca="1" si="76"/>
        <v>VIGENTE</v>
      </c>
      <c r="GK5" s="3"/>
      <c r="GL5" s="4">
        <v>45958</v>
      </c>
      <c r="GM5" s="4">
        <f>DATE(YEAR(GL5)+2,MONTH(GL5),DAY(GL5))</f>
        <v>46688</v>
      </c>
      <c r="GN5" s="8">
        <f t="shared" ca="1" si="77"/>
        <v>543</v>
      </c>
      <c r="GO5" s="5" t="str">
        <f t="shared" ca="1" si="78"/>
        <v>VIGENTE</v>
      </c>
      <c r="GP5" s="4"/>
      <c r="GQ5" s="4">
        <v>45017</v>
      </c>
      <c r="GR5" s="4">
        <f t="shared" si="79"/>
        <v>46844</v>
      </c>
      <c r="GS5" s="8">
        <f t="shared" ca="1" si="80"/>
        <v>699</v>
      </c>
      <c r="GT5" s="5" t="str">
        <f t="shared" ca="1" si="81"/>
        <v>VIGENTE</v>
      </c>
      <c r="GU5" s="3"/>
      <c r="GV5" s="4">
        <v>45220</v>
      </c>
      <c r="GW5" s="4">
        <f t="shared" si="82"/>
        <v>47047</v>
      </c>
      <c r="GX5" s="8">
        <f t="shared" ca="1" si="83"/>
        <v>902</v>
      </c>
      <c r="GY5" s="5" t="str">
        <f t="shared" ca="1" si="84"/>
        <v>VIGENTE</v>
      </c>
      <c r="GZ5" s="2"/>
      <c r="HA5" s="4">
        <v>45008</v>
      </c>
      <c r="HB5" s="4">
        <f t="shared" si="85"/>
        <v>46835</v>
      </c>
      <c r="HC5" s="8">
        <f t="shared" ca="1" si="86"/>
        <v>690</v>
      </c>
      <c r="HD5" s="5" t="str">
        <f t="shared" ca="1" si="87"/>
        <v>VIGENTE</v>
      </c>
      <c r="HE5" s="6"/>
      <c r="HF5" s="4">
        <v>44879</v>
      </c>
      <c r="HG5" s="4">
        <f t="shared" si="88"/>
        <v>46705</v>
      </c>
      <c r="HH5" s="8">
        <f t="shared" ca="1" si="89"/>
        <v>560</v>
      </c>
      <c r="HI5" s="5" t="str">
        <f t="shared" ca="1" si="90"/>
        <v>VIGENTE</v>
      </c>
      <c r="HJ5" s="3"/>
      <c r="HK5" s="4">
        <v>45480</v>
      </c>
      <c r="HL5" s="4">
        <f>DATE(YEAR(HK5)+5,MONTH(HK5),DAY(HK5))</f>
        <v>47306</v>
      </c>
      <c r="HM5" s="8">
        <f ca="1">HL5-TODAY()</f>
        <v>1161</v>
      </c>
      <c r="HN5" s="5" t="str">
        <f ca="1">IF(HM5&gt;=61,"VIGENTE",IF(HM5&gt;=1,"POR VENCER",IF(HM5&lt;=-1,"VENCIDA",IF(HK5=0,"NO APLICA"))))</f>
        <v>VIGENTE</v>
      </c>
      <c r="HO5" s="2"/>
      <c r="HP5" s="5"/>
      <c r="HQ5" s="4"/>
      <c r="HR5" s="5"/>
      <c r="HS5" s="5" t="str">
        <f t="shared" si="92"/>
        <v>NO APLICA</v>
      </c>
      <c r="HT5" s="3"/>
      <c r="HU5" s="4">
        <v>45208</v>
      </c>
      <c r="HV5" s="4">
        <f>DATE(YEAR(HU5)+5,MONTH(HU5),DAY(HU5))</f>
        <v>47035</v>
      </c>
      <c r="HW5" s="8">
        <f ca="1">HV5-TODAY()</f>
        <v>890</v>
      </c>
      <c r="HX5" s="5" t="str">
        <f ca="1">IF(HW5&gt;=61,"VIGENTE",IF(HW5&gt;=1,"POR VENCER",IF(HW5&lt;=-1,"VENCIDA",IF(HU5=0,"NO APLICA"))))</f>
        <v>VIGENTE</v>
      </c>
      <c r="HY5" s="3"/>
      <c r="HZ5" s="4">
        <v>45241</v>
      </c>
      <c r="IA5" s="4">
        <f>DATE(YEAR(HZ5)+5,MONTH(HZ5),DAY(HZ5))</f>
        <v>47068</v>
      </c>
      <c r="IB5" s="8">
        <f ca="1">IA5-TODAY()</f>
        <v>923</v>
      </c>
      <c r="IC5" s="5" t="str">
        <f ca="1">IF(IB5&gt;=61,"VIGENTE",IF(IB5&gt;=1,"POR VENCER",IF(IB5&lt;=-1,"VENCIDA",IF(HZ5=0,"NO APLICA"))))</f>
        <v>VIGENTE</v>
      </c>
      <c r="ID5" s="3"/>
      <c r="IE5" s="4">
        <v>45192</v>
      </c>
      <c r="IF5" s="4">
        <f>DATE(YEAR(IE5)+5,MONTH(IE5),DAY(IE5))</f>
        <v>47019</v>
      </c>
      <c r="IG5" s="8">
        <f ca="1">IF5-TODAY()</f>
        <v>874</v>
      </c>
      <c r="IH5" s="5" t="str">
        <f ca="1">IF(IG5&gt;=61,"VIGENTE",IF(IG5&gt;=1,"POR VENCER",IF(IG5&lt;=-1,"VENCIDA",IF(IE5=0,"NO APLICA"))))</f>
        <v>VIGENTE</v>
      </c>
      <c r="II5" s="4"/>
      <c r="IJ5" s="4">
        <v>45262</v>
      </c>
      <c r="IK5" s="4">
        <f>DATE(YEAR(IJ5)+5,MONTH(IJ5),DAY(IJ5))</f>
        <v>47089</v>
      </c>
      <c r="IL5" s="8">
        <f ca="1">IK5-TODAY()</f>
        <v>944</v>
      </c>
      <c r="IM5" s="5" t="str">
        <f ca="1">IF(IL5&gt;=61,"VIGENTE",IF(IL5&gt;=1,"POR VENCER",IF(IL5&lt;=-1,"VENCIDA",IF(IJ5=0,"NO APLICA"))))</f>
        <v>VIGENTE</v>
      </c>
      <c r="IN5" s="3"/>
      <c r="IO5" s="4">
        <v>45304</v>
      </c>
      <c r="IP5" s="4">
        <f>DATE(YEAR(IO5)+5,MONTH(IO5),DAY(IO5))</f>
        <v>47131</v>
      </c>
      <c r="IQ5" s="8">
        <f ca="1">IP5-TODAY()</f>
        <v>986</v>
      </c>
      <c r="IR5" s="5" t="str">
        <f ca="1">IF(IQ5&gt;=61,"VIGENTE",IF(IQ5&gt;=1,"POR VENCER",IF(IQ5&lt;=-1,"VENCIDA",IF(IO5=0,"NO APLICA"))))</f>
        <v>VIGENTE</v>
      </c>
      <c r="IS5" s="3"/>
      <c r="IT5" s="4">
        <v>45240</v>
      </c>
      <c r="IU5" s="4">
        <f>DATE(YEAR(IT5)+5,MONTH(IT5),DAY(IT5))</f>
        <v>47067</v>
      </c>
      <c r="IV5" s="8">
        <f ca="1">IU5-TODAY()</f>
        <v>922</v>
      </c>
      <c r="IW5" s="5" t="str">
        <f ca="1">IF(IV5&gt;=61,"VIGENTE",IF(IV5&gt;=1,"POR VENCER",IF(IV5&lt;=-1,"VENCIDA",IF(IT5=0,"NO APLICA"))))</f>
        <v>VIGENTE</v>
      </c>
      <c r="IX5" s="3"/>
      <c r="IY5" s="4">
        <v>45206</v>
      </c>
      <c r="IZ5" s="4">
        <f>DATE(YEAR(IY5)+5,MONTH(IY5),DAY(IY5))</f>
        <v>47033</v>
      </c>
      <c r="JA5" s="8">
        <f ca="1">IZ5-TODAY()</f>
        <v>888</v>
      </c>
      <c r="JB5" s="5" t="str">
        <f ca="1">IF(JA5&gt;=61,"VIGENTE",IF(JA5&gt;=1,"POR VENCER",IF(JA5&lt;=-1,"VENCIDA",IF(IY5=0,"NO APLICA"))))</f>
        <v>VIGENTE</v>
      </c>
      <c r="JC5" s="3" t="s">
        <v>780</v>
      </c>
      <c r="JD5" s="3"/>
      <c r="JE5" s="4"/>
      <c r="JF5" s="8"/>
      <c r="JG5" s="5"/>
      <c r="JH5" s="3" t="s">
        <v>780</v>
      </c>
      <c r="JI5" s="6"/>
      <c r="JJ5" s="6"/>
      <c r="JK5" s="6"/>
      <c r="JL5" s="5"/>
      <c r="JM5" s="6" t="s">
        <v>780</v>
      </c>
      <c r="JN5" s="6"/>
      <c r="JO5" s="6"/>
      <c r="JP5" s="6"/>
      <c r="JQ5" s="5"/>
      <c r="JR5" s="6" t="s">
        <v>780</v>
      </c>
      <c r="JS5" s="6"/>
      <c r="JT5" s="6"/>
      <c r="JU5" s="6"/>
      <c r="JV5" s="5"/>
      <c r="JW5" s="6" t="s">
        <v>780</v>
      </c>
      <c r="JX5" s="3"/>
      <c r="JY5" s="4"/>
      <c r="JZ5" s="8"/>
      <c r="KA5" s="5"/>
      <c r="KB5" s="5"/>
      <c r="KC5" s="5"/>
      <c r="KD5" s="4"/>
      <c r="KE5" s="8"/>
      <c r="KF5" s="5" t="str">
        <f t="shared" ref="KF5:KF67" si="135">IF(KE5&gt;=61,"VIGENTE",IF(KE5&gt;=1,"POR VENCER",IF(KE5&lt;=-1,"VENCIDA",IF(KC5=0,"NO APLICA"))))</f>
        <v>NO APLICA</v>
      </c>
      <c r="KG5" s="5"/>
      <c r="KH5" s="5"/>
      <c r="KI5" s="4"/>
      <c r="KJ5" s="8"/>
      <c r="KK5" s="5" t="str">
        <f t="shared" ref="KK5:KK68" si="136">IF(KJ5&gt;=61,"VIGENTE",IF(KJ5&gt;=1,"POR VENCER",IF(KJ5&lt;=-1,"VENCIDA",IF(KH5=0,"NO APLICA"))))</f>
        <v>NO APLICA</v>
      </c>
      <c r="KL5" s="5"/>
      <c r="KM5" s="3">
        <v>45364</v>
      </c>
      <c r="KN5" s="4">
        <f>DATE(YEAR(KM5)+5,MONTH(KM5),DAY(KM5))</f>
        <v>47190</v>
      </c>
      <c r="KO5" s="8">
        <f ca="1">KN5-TODAY()</f>
        <v>1045</v>
      </c>
      <c r="KP5" s="5" t="str">
        <f ca="1">IF(KO5&gt;=61,"VIGENTE",IF(KO5&gt;=1,"POR VENCER",IF(KO5&lt;=-1,"VENCIDA",IF(KM5=0,"NO APLICA"))))</f>
        <v>VIGENTE</v>
      </c>
      <c r="KQ5" s="5"/>
      <c r="KR5" s="2"/>
      <c r="KS5" s="4"/>
      <c r="KT5" s="8"/>
      <c r="KU5" s="5" t="str">
        <f t="shared" ref="KU5:KU68" si="137">IF(KT5&gt;=61,"VIGENTE",IF(KT5&gt;=1,"POR VENCER",IF(KT5&lt;=-1,"VENCIDA",IF(KR5=0,"NO APLICA"))))</f>
        <v>NO APLICA</v>
      </c>
      <c r="KV5" s="3"/>
      <c r="KW5" s="4">
        <v>44653</v>
      </c>
      <c r="KX5" s="4">
        <f>DATE(YEAR(KW5)+5,MONTH(KW5),DAY(KW5))</f>
        <v>46479</v>
      </c>
      <c r="KY5" s="8">
        <f ca="1">KX5-TODAY()</f>
        <v>334</v>
      </c>
      <c r="KZ5" s="5" t="str">
        <f ca="1">IF(KY5&gt;=61,"VIGENTE",IF(KY5&gt;=1,"POR VENCER",IF(KY5&lt;=-1,"VENCIDA",IF(KW5=0,"NO APLICA"))))</f>
        <v>VIGENTE</v>
      </c>
      <c r="LA5" s="5"/>
      <c r="LB5" s="6"/>
      <c r="LC5" s="4"/>
      <c r="LD5" s="8"/>
      <c r="LE5" s="5" t="str">
        <f t="shared" ref="LE5:LE68" si="138">IF(LD5&gt;=61,"VIGENTE",IF(LD5&gt;=1,"POR VENCER",IF(LD5&lt;=-1,"VENCIDA",IF(LB5=0,"NO APLICA"))))</f>
        <v>NO APLICA</v>
      </c>
      <c r="LF5" s="4"/>
      <c r="LG5" s="4"/>
      <c r="LH5" s="4"/>
      <c r="LI5" s="8"/>
      <c r="LJ5" s="5" t="str">
        <f>IF(LI5&gt;=61,"VIGENTE",IF(LI5&gt;=1,"POR VENCER",IF(LI5&lt;=-1,"VENCIDA",IF(LG5=0,"NO APLICA"))))</f>
        <v>NO APLICA</v>
      </c>
      <c r="LK5" s="5"/>
      <c r="LL5" s="3"/>
      <c r="LM5" s="4"/>
      <c r="LN5" s="8"/>
      <c r="LO5" s="5" t="str">
        <f>IF(LN5&gt;=61,"VIGENTE",IF(LN5&gt;=1,"POR VENCER",IF(LN5&lt;=-1,"VENCIDA",IF(LL5=0,"NO APLICA"))))</f>
        <v>NO APLICA</v>
      </c>
      <c r="LP5" s="5"/>
      <c r="LQ5" s="6"/>
      <c r="LR5" s="4"/>
      <c r="LS5" s="8"/>
      <c r="LT5" s="5" t="str">
        <f t="shared" ref="LT5:LT68" si="139">IF(LS5&gt;=61,"VIGENTE",IF(LS5&gt;=1,"POR VENCER",IF(LS5&lt;=-1,"VENCIDA",IF(LQ5=0,"NO APLICA"))))</f>
        <v>NO APLICA</v>
      </c>
      <c r="LU5" s="6"/>
      <c r="LV5" s="6"/>
      <c r="LW5" s="4"/>
      <c r="LX5" s="8"/>
      <c r="LY5" s="5" t="str">
        <f t="shared" ref="LY5:LY68" si="140">IF(LX5&gt;=61,"VIGENTE",IF(LX5&gt;=1,"POR VENCER",IF(LX5&lt;=-1,"VENCIDA",IF(LV5=0,"NO APLICA"))))</f>
        <v>NO APLICA</v>
      </c>
      <c r="LZ5" s="6"/>
      <c r="MA5" s="6"/>
      <c r="MB5" s="4"/>
      <c r="MC5" s="8"/>
      <c r="MD5" s="5" t="str">
        <f t="shared" ref="MD5:MD68" si="141">IF(MC5&gt;=61,"VIGENTE",IF(MC5&gt;=1,"POR VENCER",IF(MC5&lt;=-1,"VENCIDA",IF(MA5=0,"NO APLICA"))))</f>
        <v>NO APLICA</v>
      </c>
      <c r="ME5" s="4"/>
      <c r="MF5" s="4">
        <v>45010</v>
      </c>
      <c r="MG5" s="4">
        <f>DATE(YEAR(MF5)+5,MONTH(MF5),DAY(MF5))</f>
        <v>46837</v>
      </c>
      <c r="MH5" s="8">
        <f ca="1">MG5-TODAY()</f>
        <v>692</v>
      </c>
      <c r="MI5" s="5" t="str">
        <f ca="1">IF(MH5&gt;=61,"VIGENTE",IF(MH5&gt;=1,"POR VENCER",IF(MH5&lt;=-1,"VENCIDA",IF(MF5=0,"NO APLICA"))))</f>
        <v>VIGENTE</v>
      </c>
      <c r="MJ5" s="5"/>
      <c r="MK5" s="5"/>
      <c r="ML5" s="4"/>
      <c r="MM5" s="8"/>
      <c r="MN5" s="5" t="str">
        <f t="shared" si="103"/>
        <v>NO APLICA</v>
      </c>
      <c r="MO5" s="5"/>
      <c r="MP5" s="5"/>
      <c r="MQ5" s="4"/>
      <c r="MR5" s="8"/>
      <c r="MS5" s="5" t="str">
        <f t="shared" si="104"/>
        <v>NO APLICA</v>
      </c>
      <c r="MT5" s="5"/>
      <c r="MU5" s="5"/>
      <c r="MV5" s="4"/>
      <c r="MW5" s="5"/>
      <c r="MX5" s="5" t="str">
        <f t="shared" si="105"/>
        <v>NO APLICA</v>
      </c>
      <c r="MY5" s="5"/>
      <c r="MZ5" s="6"/>
      <c r="NA5" s="4"/>
      <c r="NB5" s="8"/>
      <c r="NC5" s="5" t="str">
        <f t="shared" si="106"/>
        <v>NO APLICA</v>
      </c>
      <c r="ND5" s="5"/>
      <c r="NE5" s="6"/>
      <c r="NF5" s="4"/>
      <c r="NG5" s="8"/>
      <c r="NH5" s="5" t="str">
        <f t="shared" si="107"/>
        <v>NO APLICA</v>
      </c>
      <c r="NI5" s="5"/>
      <c r="NJ5" s="6"/>
      <c r="NK5" s="4"/>
      <c r="NL5" s="8"/>
      <c r="NM5" s="5" t="str">
        <f t="shared" si="108"/>
        <v>NO APLICA</v>
      </c>
      <c r="NN5" s="5"/>
      <c r="NO5" s="5"/>
      <c r="NP5" s="4"/>
      <c r="NQ5" s="8"/>
      <c r="NR5" s="5" t="str">
        <f t="shared" si="109"/>
        <v>NO APLICA</v>
      </c>
      <c r="NS5" s="5"/>
      <c r="NT5" s="5"/>
      <c r="NU5" s="5"/>
      <c r="NV5" s="5"/>
      <c r="NW5" s="5" t="str">
        <f t="shared" si="110"/>
        <v>NO APLICA</v>
      </c>
      <c r="NX5" s="6"/>
      <c r="NY5" s="6"/>
      <c r="NZ5" s="4"/>
      <c r="OA5" s="8"/>
      <c r="OB5" s="5" t="str">
        <f t="shared" si="111"/>
        <v>NO APLICA</v>
      </c>
      <c r="OC5" s="6"/>
      <c r="OD5" s="6"/>
      <c r="OE5" s="6"/>
      <c r="OF5" s="6"/>
      <c r="OG5" s="5" t="str">
        <f t="shared" si="112"/>
        <v>NO APLICA</v>
      </c>
      <c r="OH5" s="5"/>
      <c r="OI5" s="5"/>
      <c r="OJ5" s="4"/>
      <c r="OK5" s="8"/>
      <c r="OL5" s="5" t="str">
        <f t="shared" si="113"/>
        <v>NO APLICA</v>
      </c>
      <c r="OM5" s="6"/>
      <c r="ON5" s="6"/>
      <c r="OO5" s="6"/>
      <c r="OP5" s="6"/>
      <c r="OQ5" s="5" t="str">
        <f t="shared" si="114"/>
        <v>NO APLICA</v>
      </c>
      <c r="OR5" s="6"/>
      <c r="OS5" s="6"/>
      <c r="OT5" s="6"/>
      <c r="OU5" s="6"/>
      <c r="OV5" s="5" t="str">
        <f t="shared" si="115"/>
        <v>NO APLICA</v>
      </c>
      <c r="OW5" s="6"/>
      <c r="OX5" s="6"/>
      <c r="OY5" s="6"/>
      <c r="OZ5" s="6"/>
      <c r="PA5" s="5" t="str">
        <f t="shared" si="116"/>
        <v>NO APLICA</v>
      </c>
      <c r="PB5" s="6"/>
      <c r="PC5" s="6"/>
      <c r="PD5" s="6"/>
      <c r="PE5" s="6"/>
      <c r="PF5" s="5" t="str">
        <f t="shared" si="117"/>
        <v>NO APLICA</v>
      </c>
      <c r="PG5" s="6"/>
      <c r="PH5" s="6"/>
      <c r="PI5" s="6"/>
      <c r="PJ5" s="6"/>
      <c r="PK5" s="5" t="str">
        <f t="shared" si="118"/>
        <v>NO APLICA</v>
      </c>
      <c r="PL5" s="5"/>
      <c r="PM5" s="6"/>
      <c r="PN5" s="4"/>
      <c r="PO5" s="8"/>
      <c r="PP5" s="5" t="str">
        <f t="shared" si="119"/>
        <v>NO APLICA</v>
      </c>
      <c r="PQ5" s="6"/>
      <c r="PR5" s="6"/>
      <c r="PS5" s="6"/>
      <c r="PT5" s="6"/>
      <c r="PU5" s="5" t="str">
        <f t="shared" si="120"/>
        <v>NO APLICA</v>
      </c>
      <c r="PV5" s="5"/>
      <c r="PW5" s="6"/>
      <c r="PX5" s="6"/>
      <c r="PY5" s="6"/>
      <c r="PZ5" s="5" t="str">
        <f t="shared" si="121"/>
        <v>NO APLICA</v>
      </c>
    </row>
    <row r="6" spans="1:442" ht="15.6" hidden="1" thickTop="1" thickBot="1" x14ac:dyDescent="0.35">
      <c r="A6" s="26">
        <v>3</v>
      </c>
      <c r="B6" s="27">
        <v>1343</v>
      </c>
      <c r="C6" s="28" t="s">
        <v>72</v>
      </c>
      <c r="D6" s="29" t="s">
        <v>68</v>
      </c>
      <c r="E6" s="30" t="s">
        <v>73</v>
      </c>
      <c r="F6" s="2"/>
      <c r="G6" s="6"/>
      <c r="H6" s="4"/>
      <c r="I6" s="8"/>
      <c r="J6" s="5" t="str">
        <f t="shared" si="0"/>
        <v>NO APLICA</v>
      </c>
      <c r="K6" s="5"/>
      <c r="L6" s="6"/>
      <c r="M6" s="6"/>
      <c r="N6" s="8"/>
      <c r="O6" s="5" t="str">
        <f t="shared" si="1"/>
        <v>NO APLICA</v>
      </c>
      <c r="P6" s="6"/>
      <c r="Q6" s="6"/>
      <c r="R6" s="4"/>
      <c r="S6" s="8"/>
      <c r="T6" s="5" t="str">
        <f t="shared" si="122"/>
        <v>NO APLICA</v>
      </c>
      <c r="U6" s="5"/>
      <c r="V6" s="2" t="s">
        <v>74</v>
      </c>
      <c r="W6" s="4">
        <v>45500</v>
      </c>
      <c r="X6" s="4">
        <f t="shared" si="2"/>
        <v>47326</v>
      </c>
      <c r="Y6" s="8">
        <f t="shared" ca="1" si="3"/>
        <v>1181</v>
      </c>
      <c r="Z6" s="5" t="str">
        <f t="shared" ca="1" si="4"/>
        <v>VIGENTE</v>
      </c>
      <c r="AA6" s="5"/>
      <c r="AB6" s="2" t="s">
        <v>75</v>
      </c>
      <c r="AC6" s="4">
        <v>44828</v>
      </c>
      <c r="AD6" s="4">
        <f t="shared" si="5"/>
        <v>46654</v>
      </c>
      <c r="AE6" s="8">
        <f t="shared" ca="1" si="6"/>
        <v>509</v>
      </c>
      <c r="AF6" s="5" t="str">
        <f t="shared" ca="1" si="7"/>
        <v>VIGENTE</v>
      </c>
      <c r="AG6" s="3"/>
      <c r="AH6" s="4">
        <v>45594</v>
      </c>
      <c r="AI6" s="4">
        <f t="shared" si="123"/>
        <v>46323</v>
      </c>
      <c r="AJ6" s="8">
        <f t="shared" ca="1" si="8"/>
        <v>178</v>
      </c>
      <c r="AK6" s="5" t="str">
        <f t="shared" ca="1" si="9"/>
        <v>VIGENTE</v>
      </c>
      <c r="AL6" s="3"/>
      <c r="AM6" s="4">
        <v>45926</v>
      </c>
      <c r="AN6" s="4">
        <f t="shared" si="124"/>
        <v>46656</v>
      </c>
      <c r="AO6" s="8">
        <f t="shared" ca="1" si="10"/>
        <v>511</v>
      </c>
      <c r="AP6" s="5" t="str">
        <f t="shared" ca="1" si="11"/>
        <v>VIGENTE</v>
      </c>
      <c r="AQ6" s="3"/>
      <c r="AR6" s="4">
        <v>46048</v>
      </c>
      <c r="AS6" s="4">
        <f t="shared" si="125"/>
        <v>46778</v>
      </c>
      <c r="AT6" s="8">
        <f t="shared" ca="1" si="12"/>
        <v>633</v>
      </c>
      <c r="AU6" s="5" t="str">
        <f t="shared" ca="1" si="13"/>
        <v>VIGENTE</v>
      </c>
      <c r="AV6" s="3"/>
      <c r="AW6" s="4">
        <v>45952</v>
      </c>
      <c r="AX6" s="4">
        <f t="shared" si="14"/>
        <v>46682</v>
      </c>
      <c r="AY6" s="8">
        <f t="shared" ca="1" si="15"/>
        <v>537</v>
      </c>
      <c r="AZ6" s="5" t="str">
        <f t="shared" ca="1" si="16"/>
        <v>VIGENTE</v>
      </c>
      <c r="BA6" s="3"/>
      <c r="BB6" s="4">
        <v>46041</v>
      </c>
      <c r="BC6" s="4">
        <f t="shared" ref="BC6:BC7" si="142">DATE(YEAR(BB6)+2,MONTH(BB6),DAY(BB6))</f>
        <v>46771</v>
      </c>
      <c r="BD6" s="8">
        <f t="shared" ca="1" si="17"/>
        <v>626</v>
      </c>
      <c r="BE6" s="5" t="str">
        <f t="shared" ca="1" si="18"/>
        <v>VIGENTE</v>
      </c>
      <c r="BF6" s="3"/>
      <c r="BG6" s="4">
        <v>45997</v>
      </c>
      <c r="BH6" s="4">
        <f>DATE(YEAR(BG6)+2,MONTH(BG6),DAY(BG6))</f>
        <v>46727</v>
      </c>
      <c r="BI6" s="8">
        <f t="shared" ca="1" si="19"/>
        <v>582</v>
      </c>
      <c r="BJ6" s="5" t="str">
        <f t="shared" ca="1" si="20"/>
        <v>VIGENTE</v>
      </c>
      <c r="BK6" s="3"/>
      <c r="BL6" s="4">
        <v>46035</v>
      </c>
      <c r="BM6" s="4">
        <f t="shared" si="126"/>
        <v>46765</v>
      </c>
      <c r="BN6" s="8">
        <f t="shared" ca="1" si="21"/>
        <v>620</v>
      </c>
      <c r="BO6" s="5" t="str">
        <f t="shared" ca="1" si="22"/>
        <v>VIGENTE</v>
      </c>
      <c r="BP6" s="3"/>
      <c r="BQ6" s="39">
        <v>46069</v>
      </c>
      <c r="BR6" s="4">
        <f>DATE(YEAR(BQ6)+2,MONTH(BQ6),DAY(BQ6))</f>
        <v>46799</v>
      </c>
      <c r="BS6" s="8">
        <f t="shared" ca="1" si="23"/>
        <v>654</v>
      </c>
      <c r="BT6" s="5" t="str">
        <f t="shared" ca="1" si="24"/>
        <v>VIGENTE</v>
      </c>
      <c r="BU6" s="3"/>
      <c r="BV6" s="4">
        <v>46116</v>
      </c>
      <c r="BW6" s="4">
        <f>DATE(YEAR(BV6)+2,MONTH(BV6),DAY(BV6)-1)</f>
        <v>46846</v>
      </c>
      <c r="BX6" s="8">
        <f t="shared" ca="1" si="25"/>
        <v>701</v>
      </c>
      <c r="BY6" s="5" t="str">
        <f t="shared" ca="1" si="26"/>
        <v>VIGENTE</v>
      </c>
      <c r="BZ6" s="3"/>
      <c r="CA6" s="4">
        <v>45944</v>
      </c>
      <c r="CB6" s="4">
        <f t="shared" ref="CB6:CB9" si="143">DATE(YEAR(CA6)+2,MONTH(CA6),DAY(CA6))</f>
        <v>46674</v>
      </c>
      <c r="CC6" s="8">
        <f t="shared" ca="1" si="27"/>
        <v>529</v>
      </c>
      <c r="CD6" s="5" t="str">
        <f t="shared" ca="1" si="28"/>
        <v>VIGENTE</v>
      </c>
      <c r="CE6" s="6"/>
      <c r="CF6" s="4">
        <v>45301</v>
      </c>
      <c r="CG6" s="4">
        <f t="shared" si="29"/>
        <v>46762</v>
      </c>
      <c r="CH6" s="8">
        <f t="shared" ca="1" si="30"/>
        <v>617</v>
      </c>
      <c r="CI6" s="5" t="str">
        <f t="shared" ca="1" si="31"/>
        <v>VIGENTE</v>
      </c>
      <c r="CJ6" s="4"/>
      <c r="CK6" s="4">
        <v>46018</v>
      </c>
      <c r="CL6" s="4">
        <f>DATE(YEAR(CK6)+2,MONTH(CK6),DAY(CK6))</f>
        <v>46748</v>
      </c>
      <c r="CM6" s="8">
        <f t="shared" ca="1" si="32"/>
        <v>603</v>
      </c>
      <c r="CN6" s="5" t="str">
        <f t="shared" ca="1" si="33"/>
        <v>VIGENTE</v>
      </c>
      <c r="CO6" s="3"/>
      <c r="CP6" s="39">
        <v>45517</v>
      </c>
      <c r="CQ6" s="4">
        <f>DATE(YEAR(CP6)+2,MONTH(CP6),DAY(CP6)-1)</f>
        <v>46246</v>
      </c>
      <c r="CR6" s="8">
        <f t="shared" ca="1" si="34"/>
        <v>101</v>
      </c>
      <c r="CS6" s="5" t="str">
        <f t="shared" ca="1" si="35"/>
        <v>VIGENTE</v>
      </c>
      <c r="CT6" s="3"/>
      <c r="CU6" s="4">
        <v>45631</v>
      </c>
      <c r="CV6" s="4">
        <f t="shared" si="129"/>
        <v>46360</v>
      </c>
      <c r="CW6" s="8">
        <f t="shared" ca="1" si="36"/>
        <v>215</v>
      </c>
      <c r="CX6" s="5" t="str">
        <f t="shared" ca="1" si="37"/>
        <v>VIGENTE</v>
      </c>
      <c r="CY6" s="3"/>
      <c r="CZ6" s="4">
        <v>45661</v>
      </c>
      <c r="DA6" s="4">
        <f t="shared" si="130"/>
        <v>46390</v>
      </c>
      <c r="DB6" s="8">
        <f t="shared" ca="1" si="38"/>
        <v>245</v>
      </c>
      <c r="DC6" s="5" t="str">
        <f t="shared" ca="1" si="39"/>
        <v>VIGENTE</v>
      </c>
      <c r="DD6" s="3"/>
      <c r="DE6" s="39">
        <v>45689</v>
      </c>
      <c r="DF6" s="4">
        <f>DATE(YEAR(DE6)+2,MONTH(DE6),DAY(DE6)-1)</f>
        <v>46418</v>
      </c>
      <c r="DG6" s="8">
        <f t="shared" ca="1" si="40"/>
        <v>273</v>
      </c>
      <c r="DH6" s="5" t="str">
        <f t="shared" ca="1" si="41"/>
        <v>VIGENTE</v>
      </c>
      <c r="DI6" s="3"/>
      <c r="DJ6" s="39">
        <v>45975</v>
      </c>
      <c r="DK6" s="4">
        <f>DATE(YEAR(DJ6)+2,MONTH(DJ6),DAY(DJ6))</f>
        <v>46705</v>
      </c>
      <c r="DL6" s="8">
        <f t="shared" ca="1" si="43"/>
        <v>560</v>
      </c>
      <c r="DM6" s="5" t="str">
        <f t="shared" ca="1" si="44"/>
        <v>VIGENTE</v>
      </c>
      <c r="DN6" s="3"/>
      <c r="DO6" s="4">
        <v>46008</v>
      </c>
      <c r="DP6" s="4">
        <f t="shared" ref="DP6:DP9" si="144">DATE(YEAR(DO6)+2,MONTH(DO6),DAY(DO6))</f>
        <v>46738</v>
      </c>
      <c r="DQ6" s="8">
        <f t="shared" ca="1" si="46"/>
        <v>593</v>
      </c>
      <c r="DR6" s="5" t="str">
        <f t="shared" ca="1" si="47"/>
        <v>VIGENTE</v>
      </c>
      <c r="DS6" s="3"/>
      <c r="DT6" s="4">
        <v>46053</v>
      </c>
      <c r="DU6" s="4">
        <f>DATE(YEAR(DT6)+2,MONTH(DT6),DAY(DT6))</f>
        <v>46783</v>
      </c>
      <c r="DV6" s="8">
        <f t="shared" ca="1" si="48"/>
        <v>638</v>
      </c>
      <c r="DW6" s="5" t="str">
        <f t="shared" ca="1" si="49"/>
        <v>VIGENTE</v>
      </c>
      <c r="DX6" s="3"/>
      <c r="DY6" s="4">
        <v>45934</v>
      </c>
      <c r="DZ6" s="4">
        <f>DATE(YEAR(DY6)+2,MONTH(DY6),DAY(DY6))</f>
        <v>46664</v>
      </c>
      <c r="EA6" s="8">
        <f t="shared" ca="1" si="50"/>
        <v>519</v>
      </c>
      <c r="EB6" s="5" t="str">
        <f t="shared" ca="1" si="51"/>
        <v>VIGENTE</v>
      </c>
      <c r="EC6" s="3"/>
      <c r="ED6" s="39">
        <v>46112</v>
      </c>
      <c r="EE6" s="4">
        <f>DATE(YEAR(ED6)+2,MONTH(ED6),DAY(ED6)-1)</f>
        <v>46842</v>
      </c>
      <c r="EF6" s="8">
        <f t="shared" ca="1" si="52"/>
        <v>697</v>
      </c>
      <c r="EG6" s="5" t="str">
        <f t="shared" ca="1" si="53"/>
        <v>VIGENTE</v>
      </c>
      <c r="EH6" s="3"/>
      <c r="EI6" s="4">
        <v>45948</v>
      </c>
      <c r="EJ6" s="4">
        <f t="shared" si="131"/>
        <v>46313</v>
      </c>
      <c r="EK6" s="8">
        <f t="shared" ca="1" si="54"/>
        <v>168</v>
      </c>
      <c r="EL6" s="5" t="str">
        <f t="shared" ca="1" si="55"/>
        <v>VIGENTE</v>
      </c>
      <c r="EM6" s="3"/>
      <c r="EN6" s="4">
        <v>45966</v>
      </c>
      <c r="EO6" s="4">
        <f t="shared" ref="EO6:EO7" si="145">DATE(YEAR(EN6)+2,MONTH(EN6),DAY(EN6))</f>
        <v>46696</v>
      </c>
      <c r="EP6" s="8">
        <f t="shared" ca="1" si="56"/>
        <v>551</v>
      </c>
      <c r="EQ6" s="5" t="str">
        <f t="shared" ca="1" si="57"/>
        <v>VIGENTE</v>
      </c>
      <c r="ER6" s="3"/>
      <c r="ES6" s="39">
        <v>45524</v>
      </c>
      <c r="ET6" s="4">
        <f>DATE(YEAR(ES6)+2,MONTH(ES6),DAY(ES6)-1)</f>
        <v>46253</v>
      </c>
      <c r="EU6" s="8">
        <f t="shared" ca="1" si="58"/>
        <v>108</v>
      </c>
      <c r="EV6" s="5" t="str">
        <f t="shared" ca="1" si="59"/>
        <v>VIGENTE</v>
      </c>
      <c r="EW6" s="3"/>
      <c r="EX6" s="4">
        <v>45973</v>
      </c>
      <c r="EY6" s="4">
        <f t="shared" ref="EY6:EY18" si="146">DATE(YEAR(EX6)+2,MONTH(EX6),DAY(EX6))</f>
        <v>46703</v>
      </c>
      <c r="EZ6" s="8">
        <f t="shared" ca="1" si="60"/>
        <v>558</v>
      </c>
      <c r="FA6" s="5" t="str">
        <f t="shared" ca="1" si="61"/>
        <v>VIGENTE</v>
      </c>
      <c r="FB6" s="3"/>
      <c r="FC6" s="4">
        <v>45922</v>
      </c>
      <c r="FD6" s="4">
        <f t="shared" ref="FD6:FD7" si="147">DATE(YEAR(FC6)+2,MONTH(FC6),DAY(FC6))</f>
        <v>46652</v>
      </c>
      <c r="FE6" s="8">
        <f t="shared" ca="1" si="62"/>
        <v>507</v>
      </c>
      <c r="FF6" s="5" t="str">
        <f t="shared" ca="1" si="63"/>
        <v>VIGENTE</v>
      </c>
      <c r="FG6" s="3"/>
      <c r="FH6" s="4">
        <v>45962</v>
      </c>
      <c r="FI6" s="4">
        <f t="shared" ref="FI6:FI18" si="148">DATE(YEAR(FH6)+2,MONTH(FH6),DAY(FH6))</f>
        <v>46692</v>
      </c>
      <c r="FJ6" s="8">
        <f t="shared" ca="1" si="64"/>
        <v>547</v>
      </c>
      <c r="FK6" s="5" t="str">
        <f t="shared" ca="1" si="65"/>
        <v>VIGENTE</v>
      </c>
      <c r="FL6" s="3"/>
      <c r="FM6" s="39">
        <v>46129</v>
      </c>
      <c r="FN6" s="4">
        <f t="shared" si="66"/>
        <v>46859</v>
      </c>
      <c r="FO6" s="8">
        <f t="shared" ca="1" si="67"/>
        <v>714</v>
      </c>
      <c r="FP6" s="5" t="str">
        <f t="shared" ca="1" si="68"/>
        <v>VIGENTE</v>
      </c>
      <c r="FQ6" s="3"/>
      <c r="FR6" s="39">
        <v>45724</v>
      </c>
      <c r="FS6" s="4">
        <f>DATE(YEAR(FR6)+2,MONTH(FR6),DAY(FR6)-1)</f>
        <v>46453</v>
      </c>
      <c r="FT6" s="8">
        <f t="shared" ca="1" si="69"/>
        <v>308</v>
      </c>
      <c r="FU6" s="5" t="str">
        <f t="shared" ca="1" si="70"/>
        <v>VIGENTE</v>
      </c>
      <c r="FV6" s="3"/>
      <c r="FW6" s="4">
        <v>45574</v>
      </c>
      <c r="FX6" s="4">
        <f t="shared" si="133"/>
        <v>46303</v>
      </c>
      <c r="FY6" s="8">
        <f t="shared" ca="1" si="71"/>
        <v>158</v>
      </c>
      <c r="FZ6" s="5" t="str">
        <f t="shared" ca="1" si="72"/>
        <v>VIGENTE</v>
      </c>
      <c r="GA6" s="3"/>
      <c r="GB6" s="4">
        <v>46073</v>
      </c>
      <c r="GC6" s="4">
        <f>DATE(YEAR(GB6)+2,MONTH(GB6),DAY(GB6))</f>
        <v>46803</v>
      </c>
      <c r="GD6" s="8">
        <f t="shared" ca="1" si="73"/>
        <v>658</v>
      </c>
      <c r="GE6" s="5" t="str">
        <f t="shared" ca="1" si="74"/>
        <v>VIGENTE</v>
      </c>
      <c r="GF6" s="3"/>
      <c r="GG6" s="4">
        <v>46092</v>
      </c>
      <c r="GH6" s="4">
        <f t="shared" ref="GH6:GH7" si="149">DATE(YEAR(GG6)+2,MONTH(GG6),DAY(GG6))</f>
        <v>46823</v>
      </c>
      <c r="GI6" s="8">
        <f t="shared" ca="1" si="75"/>
        <v>678</v>
      </c>
      <c r="GJ6" s="5" t="str">
        <f t="shared" ca="1" si="76"/>
        <v>VIGENTE</v>
      </c>
      <c r="GK6" s="3"/>
      <c r="GL6" s="4">
        <v>45923</v>
      </c>
      <c r="GM6" s="4">
        <f t="shared" ref="GM6:GM7" si="150">DATE(YEAR(GL6)+2,MONTH(GL6),DAY(GL6))</f>
        <v>46653</v>
      </c>
      <c r="GN6" s="8">
        <f t="shared" ca="1" si="77"/>
        <v>508</v>
      </c>
      <c r="GO6" s="5" t="str">
        <f t="shared" ca="1" si="78"/>
        <v>VIGENTE</v>
      </c>
      <c r="GP6" s="4"/>
      <c r="GQ6" s="4">
        <v>45219</v>
      </c>
      <c r="GR6" s="4">
        <f t="shared" si="79"/>
        <v>47046</v>
      </c>
      <c r="GS6" s="8">
        <f t="shared" ca="1" si="80"/>
        <v>901</v>
      </c>
      <c r="GT6" s="5" t="str">
        <f t="shared" ca="1" si="81"/>
        <v>VIGENTE</v>
      </c>
      <c r="GU6" s="3"/>
      <c r="GV6" s="4">
        <v>45252</v>
      </c>
      <c r="GW6" s="4">
        <f t="shared" si="82"/>
        <v>47079</v>
      </c>
      <c r="GX6" s="8">
        <f t="shared" ca="1" si="83"/>
        <v>934</v>
      </c>
      <c r="GY6" s="5" t="str">
        <f t="shared" ca="1" si="84"/>
        <v>VIGENTE</v>
      </c>
      <c r="GZ6" s="3"/>
      <c r="HA6" s="4">
        <v>45251</v>
      </c>
      <c r="HB6" s="4">
        <f t="shared" si="85"/>
        <v>47078</v>
      </c>
      <c r="HC6" s="8">
        <f t="shared" ca="1" si="86"/>
        <v>933</v>
      </c>
      <c r="HD6" s="5" t="str">
        <f t="shared" ca="1" si="87"/>
        <v>VIGENTE</v>
      </c>
      <c r="HE6" s="6"/>
      <c r="HF6" s="4">
        <v>44880</v>
      </c>
      <c r="HG6" s="4">
        <f t="shared" si="88"/>
        <v>46706</v>
      </c>
      <c r="HH6" s="8">
        <f t="shared" ca="1" si="89"/>
        <v>561</v>
      </c>
      <c r="HI6" s="5" t="str">
        <f t="shared" ca="1" si="90"/>
        <v>VIGENTE</v>
      </c>
      <c r="HJ6" s="3"/>
      <c r="HK6" s="4">
        <v>45480</v>
      </c>
      <c r="HL6" s="4">
        <f>DATE(YEAR(HK6)+5,MONTH(HK6),DAY(HK6))</f>
        <v>47306</v>
      </c>
      <c r="HM6" s="8">
        <f ca="1">HL6-TODAY()</f>
        <v>1161</v>
      </c>
      <c r="HN6" s="5" t="str">
        <f ca="1">IF(HM6&gt;=61,"VIGENTE",IF(HM6&gt;=1,"POR VENCER",IF(HM6&lt;=-1,"VENCIDA",IF(HK6=0,"NO APLICA"))))</f>
        <v>VIGENTE</v>
      </c>
      <c r="HO6" s="2"/>
      <c r="HP6" s="2"/>
      <c r="HQ6" s="4"/>
      <c r="HR6" s="2"/>
      <c r="HS6" s="5" t="str">
        <f t="shared" si="92"/>
        <v>NO APLICA</v>
      </c>
      <c r="HT6" s="3"/>
      <c r="HU6" s="4">
        <v>45208</v>
      </c>
      <c r="HV6" s="4">
        <f>DATE(YEAR(HU6)+5,MONTH(HU6),DAY(HU6))</f>
        <v>47035</v>
      </c>
      <c r="HW6" s="8">
        <f ca="1">HV6-TODAY()</f>
        <v>890</v>
      </c>
      <c r="HX6" s="5" t="str">
        <f ca="1">IF(HW6&gt;=61,"VIGENTE",IF(HW6&gt;=1,"POR VENCER",IF(HW6&lt;=-1,"VENCIDA",IF(HU6=0,"NO APLICA"))))</f>
        <v>VIGENTE</v>
      </c>
      <c r="HY6" s="3"/>
      <c r="HZ6" s="4">
        <v>45447</v>
      </c>
      <c r="IA6" s="4">
        <f>DATE(YEAR(HZ6)+5,MONTH(HZ6),DAY(HZ6))</f>
        <v>47273</v>
      </c>
      <c r="IB6" s="8">
        <f ca="1">IA6-TODAY()</f>
        <v>1128</v>
      </c>
      <c r="IC6" s="5" t="str">
        <f ca="1">IF(IB6&gt;=61,"VIGENTE",IF(IB6&gt;=1,"POR VENCER",IF(IB6&lt;=-1,"VENCIDA",IF(HZ6=0,"NO APLICA"))))</f>
        <v>VIGENTE</v>
      </c>
      <c r="ID6" s="3"/>
      <c r="IE6" s="4">
        <v>45444</v>
      </c>
      <c r="IF6" s="4">
        <f>DATE(YEAR(IE6)+5,MONTH(IE6),DAY(IE6))</f>
        <v>47270</v>
      </c>
      <c r="IG6" s="8">
        <f ca="1">IF6-TODAY()</f>
        <v>1125</v>
      </c>
      <c r="IH6" s="5" t="str">
        <f ca="1">IF(IG6&gt;=61,"VIGENTE",IF(IG6&gt;=1,"POR VENCER",IF(IG6&lt;=-1,"VENCIDA",IF(IE6=0,"NO APLICA"))))</f>
        <v>VIGENTE</v>
      </c>
      <c r="II6" s="4"/>
      <c r="IJ6" s="4">
        <v>45455</v>
      </c>
      <c r="IK6" s="4">
        <f>DATE(YEAR(IJ6)+5,MONTH(IJ6),DAY(IJ6))</f>
        <v>47281</v>
      </c>
      <c r="IL6" s="8">
        <f ca="1">IK6-TODAY()</f>
        <v>1136</v>
      </c>
      <c r="IM6" s="5" t="str">
        <f ca="1">IF(IL6&gt;=61,"VIGENTE",IF(IL6&gt;=1,"POR VENCER",IF(IL6&lt;=-1,"VENCIDA",IF(IJ6=0,"NO APLICA"))))</f>
        <v>VIGENTE</v>
      </c>
      <c r="IN6" s="3"/>
      <c r="IO6" s="4">
        <v>45433</v>
      </c>
      <c r="IP6" s="4">
        <f>DATE(YEAR(IO6)+5,MONTH(IO6),DAY(IO6))</f>
        <v>47259</v>
      </c>
      <c r="IQ6" s="8">
        <f ca="1">IP6-TODAY()</f>
        <v>1114</v>
      </c>
      <c r="IR6" s="5" t="str">
        <f ca="1">IF(IQ6&gt;=61,"VIGENTE",IF(IQ6&gt;=1,"POR VENCER",IF(IQ6&lt;=-1,"VENCIDA",IF(IO6=0,"NO APLICA"))))</f>
        <v>VIGENTE</v>
      </c>
      <c r="IS6" s="3"/>
      <c r="IT6" s="4">
        <v>45435</v>
      </c>
      <c r="IU6" s="4">
        <f>DATE(YEAR(IT6)+5,MONTH(IT6),DAY(IT6))</f>
        <v>47261</v>
      </c>
      <c r="IV6" s="8">
        <f ca="1">IU6-TODAY()</f>
        <v>1116</v>
      </c>
      <c r="IW6" s="5" t="str">
        <f ca="1">IF(IV6&gt;=61,"VIGENTE",IF(IV6&gt;=1,"POR VENCER",IF(IV6&lt;=-1,"VENCIDA",IF(IT6=0,"NO APLICA"))))</f>
        <v>VIGENTE</v>
      </c>
      <c r="IX6" s="3"/>
      <c r="IY6" s="4">
        <v>45446</v>
      </c>
      <c r="IZ6" s="4">
        <f>DATE(YEAR(IY6)+5,MONTH(IY6),DAY(IY6))</f>
        <v>47272</v>
      </c>
      <c r="JA6" s="8">
        <f ca="1">IZ6-TODAY()</f>
        <v>1127</v>
      </c>
      <c r="JB6" s="5" t="str">
        <f ca="1">IF(JA6&gt;=61,"VIGENTE",IF(JA6&gt;=1,"POR VENCER",IF(JA6&lt;=-1,"VENCIDA",IF(IY6=0,"NO APLICA"))))</f>
        <v>VIGENTE</v>
      </c>
      <c r="JC6" s="3" t="s">
        <v>780</v>
      </c>
      <c r="JD6" s="3"/>
      <c r="JE6" s="4"/>
      <c r="JF6" s="8"/>
      <c r="JG6" s="5"/>
      <c r="JH6" s="3" t="s">
        <v>780</v>
      </c>
      <c r="JI6" s="6"/>
      <c r="JJ6" s="6"/>
      <c r="JK6" s="6"/>
      <c r="JL6" s="5"/>
      <c r="JM6" s="6" t="s">
        <v>780</v>
      </c>
      <c r="JN6" s="6"/>
      <c r="JO6" s="6"/>
      <c r="JP6" s="6"/>
      <c r="JQ6" s="5"/>
      <c r="JR6" s="6" t="s">
        <v>780</v>
      </c>
      <c r="JS6" s="6"/>
      <c r="JT6" s="6"/>
      <c r="JU6" s="6"/>
      <c r="JV6" s="5"/>
      <c r="JW6" s="6" t="s">
        <v>780</v>
      </c>
      <c r="JX6" s="5"/>
      <c r="JY6" s="5"/>
      <c r="JZ6" s="5"/>
      <c r="KA6" s="5"/>
      <c r="KB6" s="5"/>
      <c r="KC6" s="2"/>
      <c r="KD6" s="4"/>
      <c r="KE6" s="8"/>
      <c r="KF6" s="5" t="str">
        <f t="shared" si="135"/>
        <v>NO APLICA</v>
      </c>
      <c r="KG6" s="5"/>
      <c r="KH6" s="2"/>
      <c r="KI6" s="4"/>
      <c r="KJ6" s="8"/>
      <c r="KK6" s="5" t="str">
        <f t="shared" si="136"/>
        <v>NO APLICA</v>
      </c>
      <c r="KL6" s="5"/>
      <c r="KM6" s="2"/>
      <c r="KN6" s="4"/>
      <c r="KO6" s="8"/>
      <c r="KP6" s="5" t="str">
        <f t="shared" si="100"/>
        <v>NO APLICA</v>
      </c>
      <c r="KQ6" s="5"/>
      <c r="KR6" s="2"/>
      <c r="KS6" s="4"/>
      <c r="KT6" s="8"/>
      <c r="KU6" s="5" t="str">
        <f t="shared" si="137"/>
        <v>NO APLICA</v>
      </c>
      <c r="KV6" s="2"/>
      <c r="KW6" s="6"/>
      <c r="KX6" s="4"/>
      <c r="KY6" s="8"/>
      <c r="KZ6" s="5" t="str">
        <f t="shared" ref="KZ6:KZ69" si="151">IF(KY6&gt;=61,"VIGENTE",IF(KY6&gt;=1,"POR VENCER",IF(KY6&lt;=-1,"VENCIDA",IF(KW6=0,"NO APLICA"))))</f>
        <v>NO APLICA</v>
      </c>
      <c r="LA6" s="5"/>
      <c r="LB6" s="4">
        <v>44613</v>
      </c>
      <c r="LC6" s="4">
        <f>DATE(YEAR(LB6)+5,MONTH(LB6),DAY(LB6))</f>
        <v>46439</v>
      </c>
      <c r="LD6" s="8">
        <f ca="1">LC6-TODAY()</f>
        <v>294</v>
      </c>
      <c r="LE6" s="5" t="str">
        <f ca="1">IF(LD6&gt;=61,"VIGENTE",IF(LD6&gt;=1,"POR VENCER",IF(LD6&lt;=-1,"VENCIDA",IF(LB6=0,"NO APLICA"))))</f>
        <v>VIGENTE</v>
      </c>
      <c r="LF6" s="6"/>
      <c r="LG6" s="4"/>
      <c r="LH6" s="4"/>
      <c r="LI6" s="8"/>
      <c r="LJ6" s="5" t="str">
        <f>IF(LI6&gt;=61,"VIGENTE",IF(LI6&gt;=1,"POR VENCER",IF(LI6&lt;=-1,"VENCIDA",IF(LG6=0,"NO APLICA"))))</f>
        <v>NO APLICA</v>
      </c>
      <c r="LK6" s="5"/>
      <c r="LL6" s="5"/>
      <c r="LM6" s="4"/>
      <c r="LN6" s="8"/>
      <c r="LO6" s="5" t="str">
        <f t="shared" ref="LO6:LO69" si="152">IF(LN6&gt;=61,"VIGENTE",IF(LN6&gt;=1,"POR VENCER",IF(LN6&lt;=-1,"VENCIDA",IF(LL6=0,"NO APLICA"))))</f>
        <v>NO APLICA</v>
      </c>
      <c r="LP6" s="2"/>
      <c r="LQ6" s="6"/>
      <c r="LR6" s="4"/>
      <c r="LS6" s="8"/>
      <c r="LT6" s="5" t="str">
        <f t="shared" si="139"/>
        <v>NO APLICA</v>
      </c>
      <c r="LU6" s="6"/>
      <c r="LV6" s="6"/>
      <c r="LW6" s="4"/>
      <c r="LX6" s="8"/>
      <c r="LY6" s="5" t="str">
        <f t="shared" si="140"/>
        <v>NO APLICA</v>
      </c>
      <c r="LZ6" s="6"/>
      <c r="MA6" s="6"/>
      <c r="MB6" s="4"/>
      <c r="MC6" s="8"/>
      <c r="MD6" s="5" t="str">
        <f t="shared" si="141"/>
        <v>NO APLICA</v>
      </c>
      <c r="ME6" s="2"/>
      <c r="MF6" s="2"/>
      <c r="MG6" s="4"/>
      <c r="MH6" s="8"/>
      <c r="MI6" s="5" t="str">
        <f t="shared" si="102"/>
        <v>NO APLICA</v>
      </c>
      <c r="MJ6" s="2"/>
      <c r="MK6" s="2"/>
      <c r="ML6" s="4"/>
      <c r="MM6" s="8"/>
      <c r="MN6" s="5" t="str">
        <f t="shared" si="103"/>
        <v>NO APLICA</v>
      </c>
      <c r="MO6" s="5"/>
      <c r="MP6" s="2"/>
      <c r="MQ6" s="4"/>
      <c r="MR6" s="8"/>
      <c r="MS6" s="5" t="str">
        <f t="shared" si="104"/>
        <v>NO APLICA</v>
      </c>
      <c r="MT6" s="5"/>
      <c r="MU6" s="2"/>
      <c r="MV6" s="4"/>
      <c r="MW6" s="2"/>
      <c r="MX6" s="5" t="str">
        <f t="shared" si="105"/>
        <v>NO APLICA</v>
      </c>
      <c r="MY6" s="2"/>
      <c r="MZ6" s="6"/>
      <c r="NA6" s="4"/>
      <c r="NB6" s="8"/>
      <c r="NC6" s="5" t="str">
        <f t="shared" si="106"/>
        <v>NO APLICA</v>
      </c>
      <c r="ND6" s="2"/>
      <c r="NE6" s="6"/>
      <c r="NF6" s="4"/>
      <c r="NG6" s="8"/>
      <c r="NH6" s="5" t="str">
        <f t="shared" si="107"/>
        <v>NO APLICA</v>
      </c>
      <c r="NI6" s="2"/>
      <c r="NJ6" s="6"/>
      <c r="NK6" s="4"/>
      <c r="NL6" s="8"/>
      <c r="NM6" s="5" t="str">
        <f t="shared" si="108"/>
        <v>NO APLICA</v>
      </c>
      <c r="NN6" s="2"/>
      <c r="NO6" s="2"/>
      <c r="NP6" s="4"/>
      <c r="NQ6" s="8"/>
      <c r="NR6" s="5" t="str">
        <f t="shared" si="109"/>
        <v>NO APLICA</v>
      </c>
      <c r="NS6" s="2"/>
      <c r="NT6" s="2"/>
      <c r="NU6" s="4"/>
      <c r="NV6" s="2"/>
      <c r="NW6" s="5" t="str">
        <f t="shared" si="110"/>
        <v>NO APLICA</v>
      </c>
      <c r="NX6" s="6"/>
      <c r="NY6" s="6"/>
      <c r="NZ6" s="4"/>
      <c r="OA6" s="8"/>
      <c r="OB6" s="5" t="str">
        <f t="shared" si="111"/>
        <v>NO APLICA</v>
      </c>
      <c r="OC6" s="6"/>
      <c r="OD6" s="6"/>
      <c r="OE6" s="6"/>
      <c r="OF6" s="6"/>
      <c r="OG6" s="5" t="str">
        <f t="shared" si="112"/>
        <v>NO APLICA</v>
      </c>
      <c r="OH6" s="2"/>
      <c r="OI6" s="2"/>
      <c r="OJ6" s="4"/>
      <c r="OK6" s="8"/>
      <c r="OL6" s="5" t="str">
        <f t="shared" si="113"/>
        <v>NO APLICA</v>
      </c>
      <c r="OM6" s="6"/>
      <c r="ON6" s="6"/>
      <c r="OO6" s="6"/>
      <c r="OP6" s="6"/>
      <c r="OQ6" s="5" t="str">
        <f t="shared" si="114"/>
        <v>NO APLICA</v>
      </c>
      <c r="OR6" s="6"/>
      <c r="OS6" s="6"/>
      <c r="OT6" s="6"/>
      <c r="OU6" s="6"/>
      <c r="OV6" s="5" t="str">
        <f t="shared" si="115"/>
        <v>NO APLICA</v>
      </c>
      <c r="OW6" s="6"/>
      <c r="OX6" s="6"/>
      <c r="OY6" s="6"/>
      <c r="OZ6" s="6"/>
      <c r="PA6" s="5" t="str">
        <f t="shared" si="116"/>
        <v>NO APLICA</v>
      </c>
      <c r="PB6" s="6"/>
      <c r="PC6" s="6"/>
      <c r="PD6" s="6"/>
      <c r="PE6" s="6"/>
      <c r="PF6" s="5" t="str">
        <f t="shared" si="117"/>
        <v>NO APLICA</v>
      </c>
      <c r="PG6" s="6"/>
      <c r="PH6" s="6"/>
      <c r="PI6" s="6"/>
      <c r="PJ6" s="6"/>
      <c r="PK6" s="5" t="str">
        <f t="shared" si="118"/>
        <v>NO APLICA</v>
      </c>
      <c r="PL6" s="5"/>
      <c r="PM6" s="6"/>
      <c r="PN6" s="4"/>
      <c r="PO6" s="8"/>
      <c r="PP6" s="5" t="str">
        <f t="shared" si="119"/>
        <v>NO APLICA</v>
      </c>
      <c r="PQ6" s="6"/>
      <c r="PR6" s="6"/>
      <c r="PS6" s="6"/>
      <c r="PT6" s="6"/>
      <c r="PU6" s="5" t="str">
        <f t="shared" si="120"/>
        <v>NO APLICA</v>
      </c>
      <c r="PV6" s="5"/>
      <c r="PW6" s="6"/>
      <c r="PX6" s="6"/>
      <c r="PY6" s="6"/>
      <c r="PZ6" s="5" t="str">
        <f t="shared" si="121"/>
        <v>NO APLICA</v>
      </c>
    </row>
    <row r="7" spans="1:442" ht="15.6" hidden="1" thickTop="1" thickBot="1" x14ac:dyDescent="0.35">
      <c r="A7" s="26">
        <v>4</v>
      </c>
      <c r="B7" s="27">
        <v>261</v>
      </c>
      <c r="C7" s="28" t="s">
        <v>76</v>
      </c>
      <c r="D7" s="29" t="s">
        <v>68</v>
      </c>
      <c r="E7" s="30" t="s">
        <v>77</v>
      </c>
      <c r="F7" s="2"/>
      <c r="G7" s="6"/>
      <c r="H7" s="4"/>
      <c r="I7" s="8"/>
      <c r="J7" s="5" t="str">
        <f t="shared" si="0"/>
        <v>NO APLICA</v>
      </c>
      <c r="K7" s="5"/>
      <c r="L7" s="6"/>
      <c r="M7" s="6"/>
      <c r="N7" s="8"/>
      <c r="O7" s="5" t="str">
        <f t="shared" si="1"/>
        <v>NO APLICA</v>
      </c>
      <c r="P7" s="4"/>
      <c r="Q7" s="4">
        <v>45758</v>
      </c>
      <c r="R7" s="4">
        <f>DATE(YEAR(Q7)+2,MONTH(Q7),DAY(Q7)-1)</f>
        <v>46487</v>
      </c>
      <c r="S7" s="8">
        <f ca="1">R7-TODAY()</f>
        <v>342</v>
      </c>
      <c r="T7" s="5" t="str">
        <f ca="1">IF(S7&gt;=61,"VIGENTE",IF(S7&gt;=1,"POR VENCER",IF(S7&lt;=-1,"VENCIDA",IF(S7=0,"NO APLICA"))))</f>
        <v>VIGENTE</v>
      </c>
      <c r="U7" s="5"/>
      <c r="V7" s="2" t="s">
        <v>78</v>
      </c>
      <c r="W7" s="4">
        <v>44786</v>
      </c>
      <c r="X7" s="4">
        <f t="shared" si="2"/>
        <v>46612</v>
      </c>
      <c r="Y7" s="8">
        <f t="shared" ca="1" si="3"/>
        <v>467</v>
      </c>
      <c r="Z7" s="5" t="str">
        <f t="shared" ca="1" si="4"/>
        <v>VIGENTE</v>
      </c>
      <c r="AA7" s="5"/>
      <c r="AB7" s="2" t="s">
        <v>79</v>
      </c>
      <c r="AC7" s="4">
        <v>44828</v>
      </c>
      <c r="AD7" s="4">
        <f t="shared" si="5"/>
        <v>46654</v>
      </c>
      <c r="AE7" s="8">
        <f t="shared" ca="1" si="6"/>
        <v>509</v>
      </c>
      <c r="AF7" s="5" t="str">
        <f t="shared" ca="1" si="7"/>
        <v>VIGENTE</v>
      </c>
      <c r="AG7" s="3"/>
      <c r="AH7" s="3">
        <v>45594</v>
      </c>
      <c r="AI7" s="4">
        <f t="shared" si="123"/>
        <v>46323</v>
      </c>
      <c r="AJ7" s="8">
        <f t="shared" ca="1" si="8"/>
        <v>178</v>
      </c>
      <c r="AK7" s="5" t="str">
        <f t="shared" ca="1" si="9"/>
        <v>VIGENTE</v>
      </c>
      <c r="AL7" s="3"/>
      <c r="AM7" s="4">
        <v>45926</v>
      </c>
      <c r="AN7" s="4">
        <f t="shared" si="124"/>
        <v>46656</v>
      </c>
      <c r="AO7" s="8">
        <f t="shared" ca="1" si="10"/>
        <v>511</v>
      </c>
      <c r="AP7" s="5" t="str">
        <f t="shared" ca="1" si="11"/>
        <v>VIGENTE</v>
      </c>
      <c r="AQ7" s="4"/>
      <c r="AR7" s="4">
        <v>45820</v>
      </c>
      <c r="AS7" s="4">
        <f t="shared" si="125"/>
        <v>46550</v>
      </c>
      <c r="AT7" s="8">
        <f t="shared" ca="1" si="12"/>
        <v>405</v>
      </c>
      <c r="AU7" s="5" t="str">
        <f t="shared" ca="1" si="13"/>
        <v>VIGENTE</v>
      </c>
      <c r="AV7" s="4"/>
      <c r="AW7" s="4">
        <v>45786</v>
      </c>
      <c r="AX7" s="4">
        <f t="shared" si="14"/>
        <v>46516</v>
      </c>
      <c r="AY7" s="8">
        <f t="shared" ca="1" si="15"/>
        <v>371</v>
      </c>
      <c r="AZ7" s="5" t="str">
        <f t="shared" ca="1" si="16"/>
        <v>VIGENTE</v>
      </c>
      <c r="BA7" s="4"/>
      <c r="BB7" s="4">
        <v>45855</v>
      </c>
      <c r="BC7" s="4">
        <f t="shared" si="142"/>
        <v>46585</v>
      </c>
      <c r="BD7" s="8">
        <f t="shared" ca="1" si="17"/>
        <v>440</v>
      </c>
      <c r="BE7" s="5" t="str">
        <f t="shared" ca="1" si="18"/>
        <v>VIGENTE</v>
      </c>
      <c r="BF7" s="3"/>
      <c r="BG7" s="4">
        <v>45968</v>
      </c>
      <c r="BH7" s="4">
        <f>DATE(YEAR(BG7)+2,MONTH(BG7),DAY(BG7))</f>
        <v>46698</v>
      </c>
      <c r="BI7" s="8">
        <f t="shared" ca="1" si="19"/>
        <v>553</v>
      </c>
      <c r="BJ7" s="5" t="str">
        <f t="shared" ca="1" si="20"/>
        <v>VIGENTE</v>
      </c>
      <c r="BK7" s="3"/>
      <c r="BL7" s="4">
        <v>46035</v>
      </c>
      <c r="BM7" s="4">
        <f t="shared" si="126"/>
        <v>46765</v>
      </c>
      <c r="BN7" s="8">
        <f t="shared" ca="1" si="21"/>
        <v>620</v>
      </c>
      <c r="BO7" s="5" t="str">
        <f t="shared" ca="1" si="22"/>
        <v>VIGENTE</v>
      </c>
      <c r="BP7" s="4"/>
      <c r="BQ7" s="39">
        <v>45841</v>
      </c>
      <c r="BR7" s="4">
        <f>DATE(YEAR(BQ7)+2,MONTH(BQ7),DAY(BQ7))</f>
        <v>46571</v>
      </c>
      <c r="BS7" s="8">
        <f t="shared" ca="1" si="23"/>
        <v>426</v>
      </c>
      <c r="BT7" s="5" t="str">
        <f t="shared" ca="1" si="24"/>
        <v>VIGENTE</v>
      </c>
      <c r="BU7" s="4"/>
      <c r="BV7" s="4">
        <v>45853</v>
      </c>
      <c r="BW7" s="4">
        <f>DATE(YEAR(BV7)+2,MONTH(BV7),DAY(BV7))</f>
        <v>46583</v>
      </c>
      <c r="BX7" s="8">
        <f t="shared" ca="1" si="25"/>
        <v>438</v>
      </c>
      <c r="BY7" s="5" t="str">
        <f t="shared" ca="1" si="26"/>
        <v>VIGENTE</v>
      </c>
      <c r="BZ7" s="3"/>
      <c r="CA7" s="4">
        <v>45944</v>
      </c>
      <c r="CB7" s="4">
        <f t="shared" si="143"/>
        <v>46674</v>
      </c>
      <c r="CC7" s="8">
        <f t="shared" ca="1" si="27"/>
        <v>529</v>
      </c>
      <c r="CD7" s="5" t="str">
        <f t="shared" ca="1" si="28"/>
        <v>VIGENTE</v>
      </c>
      <c r="CE7" s="6"/>
      <c r="CF7" s="4">
        <v>45247</v>
      </c>
      <c r="CG7" s="4">
        <f t="shared" si="29"/>
        <v>46708</v>
      </c>
      <c r="CH7" s="8">
        <f t="shared" ca="1" si="30"/>
        <v>563</v>
      </c>
      <c r="CI7" s="5" t="str">
        <f t="shared" ca="1" si="31"/>
        <v>VIGENTE</v>
      </c>
      <c r="CJ7" s="4"/>
      <c r="CK7" s="4">
        <v>45801</v>
      </c>
      <c r="CL7" s="4">
        <f t="shared" si="128"/>
        <v>46530</v>
      </c>
      <c r="CM7" s="8">
        <f t="shared" ca="1" si="32"/>
        <v>385</v>
      </c>
      <c r="CN7" s="5" t="str">
        <f t="shared" ca="1" si="33"/>
        <v>VIGENTE</v>
      </c>
      <c r="CO7" s="4"/>
      <c r="CP7" s="39">
        <v>45882</v>
      </c>
      <c r="CQ7" s="4">
        <f>DATE(YEAR(CP7)+2,MONTH(CP7),DAY(CP7))</f>
        <v>46612</v>
      </c>
      <c r="CR7" s="8">
        <f t="shared" ca="1" si="34"/>
        <v>467</v>
      </c>
      <c r="CS7" s="5" t="str">
        <f t="shared" ca="1" si="35"/>
        <v>VIGENTE</v>
      </c>
      <c r="CT7" s="3"/>
      <c r="CU7" s="4">
        <v>45631</v>
      </c>
      <c r="CV7" s="4">
        <f t="shared" si="129"/>
        <v>46360</v>
      </c>
      <c r="CW7" s="8">
        <f t="shared" ca="1" si="36"/>
        <v>215</v>
      </c>
      <c r="CX7" s="5" t="str">
        <f t="shared" ca="1" si="37"/>
        <v>VIGENTE</v>
      </c>
      <c r="CY7" s="3"/>
      <c r="CZ7" s="4">
        <v>45661</v>
      </c>
      <c r="DA7" s="4">
        <f t="shared" si="130"/>
        <v>46390</v>
      </c>
      <c r="DB7" s="8">
        <f t="shared" ca="1" si="38"/>
        <v>245</v>
      </c>
      <c r="DC7" s="5" t="str">
        <f t="shared" ca="1" si="39"/>
        <v>VIGENTE</v>
      </c>
      <c r="DD7" s="3"/>
      <c r="DE7" s="39">
        <v>45689</v>
      </c>
      <c r="DF7" s="4">
        <f>DATE(YEAR(DE7)+2,MONTH(DE7),DAY(DE7)-1)</f>
        <v>46418</v>
      </c>
      <c r="DG7" s="8">
        <f t="shared" ca="1" si="40"/>
        <v>273</v>
      </c>
      <c r="DH7" s="5" t="str">
        <f t="shared" ca="1" si="41"/>
        <v>VIGENTE</v>
      </c>
      <c r="DI7" s="3"/>
      <c r="DJ7" s="39">
        <v>45696</v>
      </c>
      <c r="DK7" s="4">
        <f t="shared" si="42"/>
        <v>46425</v>
      </c>
      <c r="DL7" s="8">
        <f t="shared" ca="1" si="43"/>
        <v>280</v>
      </c>
      <c r="DM7" s="5" t="str">
        <f t="shared" ca="1" si="44"/>
        <v>VIGENTE</v>
      </c>
      <c r="DN7" s="3"/>
      <c r="DO7" s="4">
        <v>45982</v>
      </c>
      <c r="DP7" s="4">
        <f t="shared" si="144"/>
        <v>46712</v>
      </c>
      <c r="DQ7" s="8">
        <f t="shared" ca="1" si="46"/>
        <v>567</v>
      </c>
      <c r="DR7" s="5" t="str">
        <f t="shared" ca="1" si="47"/>
        <v>VIGENTE</v>
      </c>
      <c r="DS7" s="4"/>
      <c r="DT7" s="4">
        <v>45852</v>
      </c>
      <c r="DU7" s="4">
        <f>DATE(YEAR(DT7)+2,MONTH(DT7),DAY(DT7))</f>
        <v>46582</v>
      </c>
      <c r="DV7" s="8">
        <f t="shared" ca="1" si="48"/>
        <v>437</v>
      </c>
      <c r="DW7" s="5" t="str">
        <f t="shared" ca="1" si="49"/>
        <v>VIGENTE</v>
      </c>
      <c r="DX7" s="4"/>
      <c r="DY7" s="4">
        <v>45847</v>
      </c>
      <c r="DZ7" s="4">
        <f>DATE(YEAR(DY7)+2,MONTH(DY7),DAY(DY7))</f>
        <v>46577</v>
      </c>
      <c r="EA7" s="8">
        <f t="shared" ca="1" si="50"/>
        <v>432</v>
      </c>
      <c r="EB7" s="5" t="str">
        <f t="shared" ca="1" si="51"/>
        <v>VIGENTE</v>
      </c>
      <c r="EC7" s="4"/>
      <c r="ED7" s="39">
        <v>45829</v>
      </c>
      <c r="EE7" s="4">
        <f>DATE(YEAR(ED7)+2,MONTH(ED7),DAY(ED7))</f>
        <v>46559</v>
      </c>
      <c r="EF7" s="8">
        <f t="shared" ca="1" si="52"/>
        <v>414</v>
      </c>
      <c r="EG7" s="5" t="str">
        <f t="shared" ca="1" si="53"/>
        <v>VIGENTE</v>
      </c>
      <c r="EH7" s="4"/>
      <c r="EI7" s="4">
        <v>46123</v>
      </c>
      <c r="EJ7" s="4">
        <f t="shared" si="131"/>
        <v>46488</v>
      </c>
      <c r="EK7" s="8">
        <f t="shared" ca="1" si="54"/>
        <v>343</v>
      </c>
      <c r="EL7" s="5" t="str">
        <f t="shared" ca="1" si="55"/>
        <v>VIGENTE</v>
      </c>
      <c r="EM7" s="4"/>
      <c r="EN7" s="4">
        <v>45840</v>
      </c>
      <c r="EO7" s="4">
        <f t="shared" si="145"/>
        <v>46570</v>
      </c>
      <c r="EP7" s="8">
        <f t="shared" ca="1" si="56"/>
        <v>425</v>
      </c>
      <c r="EQ7" s="5" t="str">
        <f t="shared" ca="1" si="57"/>
        <v>VIGENTE</v>
      </c>
      <c r="ER7" s="4"/>
      <c r="ES7" s="39">
        <v>45796</v>
      </c>
      <c r="ET7" s="4">
        <f>DATE(YEAR(ES7)+2,MONTH(ES7),DAY(ES7))</f>
        <v>46526</v>
      </c>
      <c r="EU7" s="8">
        <f t="shared" ca="1" si="58"/>
        <v>381</v>
      </c>
      <c r="EV7" s="5" t="str">
        <f t="shared" ca="1" si="59"/>
        <v>VIGENTE</v>
      </c>
      <c r="EW7" s="3"/>
      <c r="EX7" s="4">
        <v>45953</v>
      </c>
      <c r="EY7" s="4">
        <f t="shared" si="146"/>
        <v>46683</v>
      </c>
      <c r="EZ7" s="8">
        <f t="shared" ca="1" si="60"/>
        <v>538</v>
      </c>
      <c r="FA7" s="5" t="str">
        <f t="shared" ca="1" si="61"/>
        <v>VIGENTE</v>
      </c>
      <c r="FB7" s="3"/>
      <c r="FC7" s="4">
        <v>45951</v>
      </c>
      <c r="FD7" s="4">
        <f t="shared" si="147"/>
        <v>46681</v>
      </c>
      <c r="FE7" s="8">
        <f t="shared" ca="1" si="62"/>
        <v>536</v>
      </c>
      <c r="FF7" s="5" t="str">
        <f t="shared" ca="1" si="63"/>
        <v>VIGENTE</v>
      </c>
      <c r="FG7" s="3"/>
      <c r="FH7" s="4">
        <v>45932</v>
      </c>
      <c r="FI7" s="4">
        <f t="shared" si="148"/>
        <v>46662</v>
      </c>
      <c r="FJ7" s="8">
        <f t="shared" ca="1" si="64"/>
        <v>517</v>
      </c>
      <c r="FK7" s="5" t="str">
        <f t="shared" ca="1" si="65"/>
        <v>VIGENTE</v>
      </c>
      <c r="FL7" s="4"/>
      <c r="FM7" s="39">
        <v>45784</v>
      </c>
      <c r="FN7" s="4">
        <f>DATE(YEAR(FM7)+2,MONTH(FM7),DAY(FM7))</f>
        <v>46514</v>
      </c>
      <c r="FO7" s="8">
        <f t="shared" ca="1" si="67"/>
        <v>369</v>
      </c>
      <c r="FP7" s="5" t="str">
        <f t="shared" ca="1" si="68"/>
        <v>VIGENTE</v>
      </c>
      <c r="FQ7" s="4"/>
      <c r="FR7" s="39">
        <v>45782</v>
      </c>
      <c r="FS7" s="4">
        <f>DATE(YEAR(FR7)+2,MONTH(FR7),DAY(FR7))</f>
        <v>46512</v>
      </c>
      <c r="FT7" s="8">
        <f t="shared" ca="1" si="69"/>
        <v>367</v>
      </c>
      <c r="FU7" s="5" t="str">
        <f t="shared" ca="1" si="70"/>
        <v>VIGENTE</v>
      </c>
      <c r="FV7" s="3"/>
      <c r="FW7" s="4">
        <v>45941</v>
      </c>
      <c r="FX7" s="4">
        <f t="shared" ref="FX7:FX9" si="153">DATE(YEAR(FW7)+2,MONTH(FW7),DAY(FW7))</f>
        <v>46671</v>
      </c>
      <c r="FY7" s="8">
        <f t="shared" ca="1" si="71"/>
        <v>526</v>
      </c>
      <c r="FZ7" s="5" t="str">
        <f t="shared" ca="1" si="72"/>
        <v>VIGENTE</v>
      </c>
      <c r="GA7" s="4"/>
      <c r="GB7" s="4">
        <v>45821</v>
      </c>
      <c r="GC7" s="4">
        <f>DATE(YEAR(GB7)+2,MONTH(GB7),DAY(GB7))</f>
        <v>46551</v>
      </c>
      <c r="GD7" s="8">
        <f t="shared" ca="1" si="73"/>
        <v>406</v>
      </c>
      <c r="GE7" s="5" t="str">
        <f t="shared" ca="1" si="74"/>
        <v>VIGENTE</v>
      </c>
      <c r="GF7" s="4"/>
      <c r="GG7" s="4">
        <v>45814</v>
      </c>
      <c r="GH7" s="4">
        <f t="shared" si="149"/>
        <v>46544</v>
      </c>
      <c r="GI7" s="8">
        <f t="shared" ca="1" si="75"/>
        <v>399</v>
      </c>
      <c r="GJ7" s="5" t="str">
        <f t="shared" ca="1" si="76"/>
        <v>VIGENTE</v>
      </c>
      <c r="GK7" s="3"/>
      <c r="GL7" s="4">
        <v>45958</v>
      </c>
      <c r="GM7" s="4">
        <f t="shared" si="150"/>
        <v>46688</v>
      </c>
      <c r="GN7" s="8">
        <f t="shared" ca="1" si="77"/>
        <v>543</v>
      </c>
      <c r="GO7" s="5" t="str">
        <f t="shared" ca="1" si="78"/>
        <v>VIGENTE</v>
      </c>
      <c r="GP7" s="4"/>
      <c r="GQ7" s="4">
        <v>45459</v>
      </c>
      <c r="GR7" s="4">
        <f t="shared" si="79"/>
        <v>47285</v>
      </c>
      <c r="GS7" s="8">
        <f t="shared" ca="1" si="80"/>
        <v>1140</v>
      </c>
      <c r="GT7" s="5" t="str">
        <f t="shared" ca="1" si="81"/>
        <v>VIGENTE</v>
      </c>
      <c r="GU7" s="3"/>
      <c r="GV7" s="4">
        <v>45464</v>
      </c>
      <c r="GW7" s="4">
        <f t="shared" si="82"/>
        <v>47290</v>
      </c>
      <c r="GX7" s="8">
        <f t="shared" ca="1" si="83"/>
        <v>1145</v>
      </c>
      <c r="GY7" s="5" t="str">
        <f t="shared" ca="1" si="84"/>
        <v>VIGENTE</v>
      </c>
      <c r="GZ7" s="3"/>
      <c r="HA7" s="4">
        <v>45454</v>
      </c>
      <c r="HB7" s="4">
        <f t="shared" si="85"/>
        <v>47280</v>
      </c>
      <c r="HC7" s="8">
        <f t="shared" ca="1" si="86"/>
        <v>1135</v>
      </c>
      <c r="HD7" s="5" t="str">
        <f t="shared" ca="1" si="87"/>
        <v>VIGENTE</v>
      </c>
      <c r="HE7" s="6"/>
      <c r="HF7" s="4">
        <v>44956</v>
      </c>
      <c r="HG7" s="4">
        <f t="shared" si="88"/>
        <v>46782</v>
      </c>
      <c r="HH7" s="8">
        <f t="shared" ca="1" si="89"/>
        <v>637</v>
      </c>
      <c r="HI7" s="5" t="str">
        <f t="shared" ca="1" si="90"/>
        <v>VIGENTE</v>
      </c>
      <c r="HJ7" s="3"/>
      <c r="HK7" s="4">
        <v>45368</v>
      </c>
      <c r="HL7" s="4">
        <f>DATE(YEAR(HK7)+5,MONTH(HK7),DAY(HK7))</f>
        <v>47194</v>
      </c>
      <c r="HM7" s="8">
        <f ca="1">HL7-TODAY()</f>
        <v>1049</v>
      </c>
      <c r="HN7" s="5" t="str">
        <f ca="1">IF(HM7&gt;=61,"VIGENTE",IF(HM7&gt;=1,"POR VENCER",IF(HM7&lt;=-1,"VENCIDA",IF(HK7=0,"NO APLICA"))))</f>
        <v>VIGENTE</v>
      </c>
      <c r="HO7" s="2"/>
      <c r="HP7" s="5"/>
      <c r="HQ7" s="5"/>
      <c r="HR7" s="5"/>
      <c r="HS7" s="5" t="str">
        <f t="shared" si="92"/>
        <v>NO APLICA</v>
      </c>
      <c r="HT7" s="3"/>
      <c r="HU7" s="4">
        <v>45274</v>
      </c>
      <c r="HV7" s="4">
        <f>DATE(YEAR(HU7)+5,MONTH(HU7),DAY(HU7))</f>
        <v>47101</v>
      </c>
      <c r="HW7" s="8">
        <f ca="1">HV7-TODAY()</f>
        <v>956</v>
      </c>
      <c r="HX7" s="5" t="str">
        <f ca="1">IF(HW7&gt;=61,"VIGENTE",IF(HW7&gt;=1,"POR VENCER",IF(HW7&lt;=-1,"VENCIDA",IF(HU7=0,"NO APLICA"))))</f>
        <v>VIGENTE</v>
      </c>
      <c r="HY7" s="3"/>
      <c r="HZ7" s="4">
        <v>45223</v>
      </c>
      <c r="IA7" s="4">
        <f>DATE(YEAR(HZ7)+5,MONTH(HZ7),DAY(HZ7))</f>
        <v>47050</v>
      </c>
      <c r="IB7" s="8">
        <f ca="1">IA7-TODAY()</f>
        <v>905</v>
      </c>
      <c r="IC7" s="5" t="str">
        <f ca="1">IF(IB7&gt;=61,"VIGENTE",IF(IB7&gt;=1,"POR VENCER",IF(IB7&lt;=-1,"VENCIDA",IF(HZ7=0,"NO APLICA"))))</f>
        <v>VIGENTE</v>
      </c>
      <c r="ID7" s="3"/>
      <c r="IE7" s="4">
        <v>45264</v>
      </c>
      <c r="IF7" s="4">
        <f>DATE(YEAR(IE7)+5,MONTH(IE7),DAY(IE7))</f>
        <v>47091</v>
      </c>
      <c r="IG7" s="8">
        <f ca="1">IF7-TODAY()</f>
        <v>946</v>
      </c>
      <c r="IH7" s="5" t="str">
        <f ca="1">IF(IG7&gt;=61,"VIGENTE",IF(IG7&gt;=1,"POR VENCER",IF(IG7&lt;=-1,"VENCIDA",IF(IE7=0,"NO APLICA"))))</f>
        <v>VIGENTE</v>
      </c>
      <c r="II7" s="4"/>
      <c r="IJ7" s="4">
        <v>45262</v>
      </c>
      <c r="IK7" s="4">
        <f>DATE(YEAR(IJ7)+5,MONTH(IJ7),DAY(IJ7))</f>
        <v>47089</v>
      </c>
      <c r="IL7" s="8">
        <f ca="1">IK7-TODAY()</f>
        <v>944</v>
      </c>
      <c r="IM7" s="5" t="str">
        <f ca="1">IF(IL7&gt;=61,"VIGENTE",IF(IL7&gt;=1,"POR VENCER",IF(IL7&lt;=-1,"VENCIDA",IF(IJ7=0,"NO APLICA"))))</f>
        <v>VIGENTE</v>
      </c>
      <c r="IN7" s="3"/>
      <c r="IO7" s="4">
        <v>45273</v>
      </c>
      <c r="IP7" s="4">
        <f>DATE(YEAR(IO7)+5,MONTH(IO7),DAY(IO7))</f>
        <v>47100</v>
      </c>
      <c r="IQ7" s="8">
        <f ca="1">IP7-TODAY()</f>
        <v>955</v>
      </c>
      <c r="IR7" s="5" t="str">
        <f ca="1">IF(IQ7&gt;=61,"VIGENTE",IF(IQ7&gt;=1,"POR VENCER",IF(IQ7&lt;=-1,"VENCIDA",IF(IO7=0,"NO APLICA"))))</f>
        <v>VIGENTE</v>
      </c>
      <c r="IS7" s="3"/>
      <c r="IT7" s="4">
        <v>45240</v>
      </c>
      <c r="IU7" s="4">
        <f>DATE(YEAR(IT7)+5,MONTH(IT7),DAY(IT7))</f>
        <v>47067</v>
      </c>
      <c r="IV7" s="8">
        <f ca="1">IU7-TODAY()</f>
        <v>922</v>
      </c>
      <c r="IW7" s="5" t="str">
        <f ca="1">IF(IV7&gt;=61,"VIGENTE",IF(IV7&gt;=1,"POR VENCER",IF(IV7&lt;=-1,"VENCIDA",IF(IT7=0,"NO APLICA"))))</f>
        <v>VIGENTE</v>
      </c>
      <c r="IX7" s="3"/>
      <c r="IY7" s="4">
        <v>45261</v>
      </c>
      <c r="IZ7" s="4">
        <f>DATE(YEAR(IY7)+5,MONTH(IY7),DAY(IY7))</f>
        <v>47088</v>
      </c>
      <c r="JA7" s="8">
        <f ca="1">IZ7-TODAY()</f>
        <v>943</v>
      </c>
      <c r="JB7" s="5" t="str">
        <f ca="1">IF(JA7&gt;=61,"VIGENTE",IF(JA7&gt;=1,"POR VENCER",IF(JA7&lt;=-1,"VENCIDA",IF(IY7=0,"NO APLICA"))))</f>
        <v>VIGENTE</v>
      </c>
      <c r="JC7" s="3" t="s">
        <v>780</v>
      </c>
      <c r="JD7" s="3"/>
      <c r="JE7" s="4"/>
      <c r="JF7" s="8"/>
      <c r="JG7" s="5"/>
      <c r="JH7" s="3" t="s">
        <v>780</v>
      </c>
      <c r="JI7" s="6"/>
      <c r="JJ7" s="6"/>
      <c r="JK7" s="6"/>
      <c r="JL7" s="5"/>
      <c r="JM7" s="6" t="s">
        <v>780</v>
      </c>
      <c r="JN7" s="6"/>
      <c r="JO7" s="6"/>
      <c r="JP7" s="6"/>
      <c r="JQ7" s="5"/>
      <c r="JR7" s="6" t="s">
        <v>780</v>
      </c>
      <c r="JS7" s="6"/>
      <c r="JT7" s="6"/>
      <c r="JU7" s="6"/>
      <c r="JV7" s="5"/>
      <c r="JW7" s="6" t="s">
        <v>780</v>
      </c>
      <c r="JX7" s="3"/>
      <c r="JY7" s="4"/>
      <c r="JZ7" s="8"/>
      <c r="KA7" s="5"/>
      <c r="KB7" s="5"/>
      <c r="KC7" s="5"/>
      <c r="KD7" s="4"/>
      <c r="KE7" s="8"/>
      <c r="KF7" s="5" t="str">
        <f t="shared" si="135"/>
        <v>NO APLICA</v>
      </c>
      <c r="KG7" s="5"/>
      <c r="KH7" s="5"/>
      <c r="KI7" s="4"/>
      <c r="KJ7" s="8"/>
      <c r="KK7" s="5" t="str">
        <f t="shared" si="136"/>
        <v>NO APLICA</v>
      </c>
      <c r="KL7" s="5"/>
      <c r="KM7" s="3">
        <v>45364</v>
      </c>
      <c r="KN7" s="4">
        <f>DATE(YEAR(KM7)+5,MONTH(KM7),DAY(KM7))</f>
        <v>47190</v>
      </c>
      <c r="KO7" s="8">
        <f ca="1">KN7-TODAY()</f>
        <v>1045</v>
      </c>
      <c r="KP7" s="5" t="str">
        <f ca="1">IF(KO7&gt;=61,"VIGENTE",IF(KO7&gt;=1,"POR VENCER",IF(KO7&lt;=-1,"VENCIDA",IF(KM7=0,"NO APLICA"))))</f>
        <v>VIGENTE</v>
      </c>
      <c r="KQ7" s="5"/>
      <c r="KR7" s="2"/>
      <c r="KS7" s="4"/>
      <c r="KT7" s="8"/>
      <c r="KU7" s="5" t="str">
        <f t="shared" si="137"/>
        <v>NO APLICA</v>
      </c>
      <c r="KV7" s="2"/>
      <c r="KW7" s="6"/>
      <c r="KX7" s="4"/>
      <c r="KY7" s="8"/>
      <c r="KZ7" s="5" t="str">
        <f t="shared" si="151"/>
        <v>NO APLICA</v>
      </c>
      <c r="LA7" s="5"/>
      <c r="LB7" s="4">
        <v>44545</v>
      </c>
      <c r="LC7" s="4">
        <f>DATE(YEAR(LB7)+5,MONTH(LB7),DAY(LB7))</f>
        <v>46371</v>
      </c>
      <c r="LD7" s="8">
        <f ca="1">LC7-TODAY()</f>
        <v>226</v>
      </c>
      <c r="LE7" s="5" t="str">
        <f ca="1">IF(LD7&gt;=61,"VIGENTE",IF(LD7&gt;=1,"POR VENCER",IF(LD7&lt;=-1,"VENCIDA",IF(LB7=0,"NO APLICA"))))</f>
        <v>VIGENTE</v>
      </c>
      <c r="LF7" s="4"/>
      <c r="LG7" s="4"/>
      <c r="LH7" s="4"/>
      <c r="LI7" s="8"/>
      <c r="LJ7" s="5" t="str">
        <f t="shared" si="101"/>
        <v>NO APLICA</v>
      </c>
      <c r="LK7" s="5"/>
      <c r="LL7" s="5"/>
      <c r="LM7" s="4"/>
      <c r="LN7" s="8"/>
      <c r="LO7" s="5" t="str">
        <f t="shared" si="152"/>
        <v>NO APLICA</v>
      </c>
      <c r="LP7" s="3"/>
      <c r="LQ7" s="4">
        <v>44379</v>
      </c>
      <c r="LR7" s="4">
        <f>DATE(YEAR(LQ7)+5,MONTH(LQ7),DAY(LQ7))</f>
        <v>46205</v>
      </c>
      <c r="LS7" s="8">
        <f ca="1">LR7-TODAY()</f>
        <v>60</v>
      </c>
      <c r="LT7" s="5" t="str">
        <f ca="1">IF(LS7&gt;=61,"VIGENTE",IF(LS7&gt;=1,"POR VENCER",IF(LS7&lt;=-1,"VENCIDA",IF(LQ7=0,"NO APLICA"))))</f>
        <v>POR VENCER</v>
      </c>
      <c r="LU7" s="6"/>
      <c r="LV7" s="6"/>
      <c r="LW7" s="4"/>
      <c r="LX7" s="8"/>
      <c r="LY7" s="5" t="str">
        <f t="shared" si="140"/>
        <v>NO APLICA</v>
      </c>
      <c r="LZ7" s="6"/>
      <c r="MA7" s="6"/>
      <c r="MB7" s="4"/>
      <c r="MC7" s="8"/>
      <c r="MD7" s="5" t="str">
        <f t="shared" si="141"/>
        <v>NO APLICA</v>
      </c>
      <c r="ME7" s="5"/>
      <c r="MF7" s="5"/>
      <c r="MG7" s="4"/>
      <c r="MH7" s="8"/>
      <c r="MI7" s="5" t="str">
        <f t="shared" si="102"/>
        <v>NO APLICA</v>
      </c>
      <c r="MJ7" s="5"/>
      <c r="MK7" s="5"/>
      <c r="ML7" s="4"/>
      <c r="MM7" s="8"/>
      <c r="MN7" s="5" t="str">
        <f t="shared" si="103"/>
        <v>NO APLICA</v>
      </c>
      <c r="MO7" s="5"/>
      <c r="MP7" s="5"/>
      <c r="MQ7" s="4"/>
      <c r="MR7" s="8"/>
      <c r="MS7" s="5" t="str">
        <f t="shared" si="104"/>
        <v>NO APLICA</v>
      </c>
      <c r="MT7" s="5"/>
      <c r="MU7" s="5"/>
      <c r="MV7" s="4"/>
      <c r="MW7" s="5"/>
      <c r="MX7" s="5" t="str">
        <f t="shared" si="105"/>
        <v>NO APLICA</v>
      </c>
      <c r="MY7" s="5"/>
      <c r="MZ7" s="6"/>
      <c r="NA7" s="4"/>
      <c r="NB7" s="8"/>
      <c r="NC7" s="5" t="str">
        <f t="shared" si="106"/>
        <v>NO APLICA</v>
      </c>
      <c r="ND7" s="5"/>
      <c r="NE7" s="6"/>
      <c r="NF7" s="4"/>
      <c r="NG7" s="8"/>
      <c r="NH7" s="5" t="str">
        <f t="shared" si="107"/>
        <v>NO APLICA</v>
      </c>
      <c r="NI7" s="5"/>
      <c r="NJ7" s="6"/>
      <c r="NK7" s="4"/>
      <c r="NL7" s="8"/>
      <c r="NM7" s="5" t="str">
        <f t="shared" si="108"/>
        <v>NO APLICA</v>
      </c>
      <c r="NN7" s="5"/>
      <c r="NO7" s="5"/>
      <c r="NP7" s="4"/>
      <c r="NQ7" s="8"/>
      <c r="NR7" s="5" t="str">
        <f t="shared" si="109"/>
        <v>NO APLICA</v>
      </c>
      <c r="NS7" s="5"/>
      <c r="NT7" s="5"/>
      <c r="NU7" s="5"/>
      <c r="NV7" s="5"/>
      <c r="NW7" s="5" t="str">
        <f t="shared" si="110"/>
        <v>NO APLICA</v>
      </c>
      <c r="NX7" s="6"/>
      <c r="NY7" s="6"/>
      <c r="NZ7" s="6"/>
      <c r="OA7" s="6"/>
      <c r="OB7" s="5" t="str">
        <f t="shared" si="111"/>
        <v>NO APLICA</v>
      </c>
      <c r="OC7" s="6"/>
      <c r="OD7" s="6"/>
      <c r="OE7" s="6"/>
      <c r="OF7" s="6"/>
      <c r="OG7" s="5" t="str">
        <f t="shared" si="112"/>
        <v>NO APLICA</v>
      </c>
      <c r="OH7" s="5"/>
      <c r="OI7" s="5"/>
      <c r="OJ7" s="4"/>
      <c r="OK7" s="8"/>
      <c r="OL7" s="5" t="str">
        <f t="shared" si="113"/>
        <v>NO APLICA</v>
      </c>
      <c r="OM7" s="6"/>
      <c r="ON7" s="6"/>
      <c r="OO7" s="6"/>
      <c r="OP7" s="6"/>
      <c r="OQ7" s="5" t="str">
        <f t="shared" si="114"/>
        <v>NO APLICA</v>
      </c>
      <c r="OR7" s="6"/>
      <c r="OS7" s="6"/>
      <c r="OT7" s="6"/>
      <c r="OU7" s="6"/>
      <c r="OV7" s="5" t="str">
        <f t="shared" si="115"/>
        <v>NO APLICA</v>
      </c>
      <c r="OW7" s="6"/>
      <c r="OX7" s="6"/>
      <c r="OY7" s="6"/>
      <c r="OZ7" s="6"/>
      <c r="PA7" s="5" t="str">
        <f t="shared" si="116"/>
        <v>NO APLICA</v>
      </c>
      <c r="PB7" s="6"/>
      <c r="PC7" s="6"/>
      <c r="PD7" s="6"/>
      <c r="PE7" s="6"/>
      <c r="PF7" s="5" t="str">
        <f t="shared" si="117"/>
        <v>NO APLICA</v>
      </c>
      <c r="PG7" s="6"/>
      <c r="PH7" s="6"/>
      <c r="PI7" s="6"/>
      <c r="PJ7" s="6"/>
      <c r="PK7" s="5" t="str">
        <f t="shared" si="118"/>
        <v>NO APLICA</v>
      </c>
      <c r="PL7" s="5"/>
      <c r="PM7" s="6"/>
      <c r="PN7" s="4"/>
      <c r="PO7" s="8"/>
      <c r="PP7" s="5" t="str">
        <f t="shared" si="119"/>
        <v>NO APLICA</v>
      </c>
      <c r="PQ7" s="6"/>
      <c r="PR7" s="6"/>
      <c r="PS7" s="6"/>
      <c r="PT7" s="6"/>
      <c r="PU7" s="5" t="str">
        <f t="shared" si="120"/>
        <v>NO APLICA</v>
      </c>
      <c r="PV7" s="5"/>
      <c r="PW7" s="6"/>
      <c r="PX7" s="6"/>
      <c r="PY7" s="6"/>
      <c r="PZ7" s="5" t="str">
        <f t="shared" si="121"/>
        <v>NO APLICA</v>
      </c>
    </row>
    <row r="8" spans="1:442" ht="15.6" hidden="1" thickTop="1" thickBot="1" x14ac:dyDescent="0.35">
      <c r="A8" s="26">
        <v>5</v>
      </c>
      <c r="B8" s="27">
        <v>1581</v>
      </c>
      <c r="C8" s="28" t="s">
        <v>80</v>
      </c>
      <c r="D8" s="29" t="s">
        <v>64</v>
      </c>
      <c r="E8" s="30" t="s">
        <v>81</v>
      </c>
      <c r="F8" s="2"/>
      <c r="G8" s="6"/>
      <c r="H8" s="4"/>
      <c r="I8" s="8"/>
      <c r="J8" s="5" t="str">
        <f t="shared" si="0"/>
        <v>NO APLICA</v>
      </c>
      <c r="K8" s="3"/>
      <c r="L8" s="4"/>
      <c r="M8" s="6"/>
      <c r="N8" s="8"/>
      <c r="O8" s="5" t="str">
        <f t="shared" si="1"/>
        <v>NO APLICA</v>
      </c>
      <c r="P8" s="4"/>
      <c r="Q8" s="4">
        <v>45583</v>
      </c>
      <c r="R8" s="4">
        <f>DATE(YEAR(Q8)+2,MONTH(Q8),DAY(Q8)-1)</f>
        <v>46312</v>
      </c>
      <c r="S8" s="8">
        <f ca="1">R8-TODAY()</f>
        <v>167</v>
      </c>
      <c r="T8" s="5" t="str">
        <f ca="1">IF(S8&gt;=61,"VIGENTE",IF(S8&gt;=1,"POR VENCER",IF(S8&lt;=-1,"VENCIDA",IF(S8=0,"NO APLICA"))))</f>
        <v>VIGENTE</v>
      </c>
      <c r="U8" s="5"/>
      <c r="V8" s="2" t="s">
        <v>82</v>
      </c>
      <c r="W8" s="4">
        <v>46069</v>
      </c>
      <c r="X8" s="4">
        <f t="shared" si="2"/>
        <v>47895</v>
      </c>
      <c r="Y8" s="8">
        <f t="shared" ca="1" si="3"/>
        <v>1750</v>
      </c>
      <c r="Z8" s="5" t="str">
        <f t="shared" ca="1" si="4"/>
        <v>VIGENTE</v>
      </c>
      <c r="AA8" s="5"/>
      <c r="AB8" s="2" t="s">
        <v>83</v>
      </c>
      <c r="AC8" s="4">
        <v>45190</v>
      </c>
      <c r="AD8" s="4">
        <f t="shared" si="5"/>
        <v>47017</v>
      </c>
      <c r="AE8" s="8">
        <f t="shared" ca="1" si="6"/>
        <v>872</v>
      </c>
      <c r="AF8" s="5" t="str">
        <f t="shared" ca="1" si="7"/>
        <v>VIGENTE</v>
      </c>
      <c r="AG8" s="3"/>
      <c r="AH8" s="4">
        <v>45936</v>
      </c>
      <c r="AI8" s="4">
        <f>DATE(YEAR(AH8)+2,MONTH(AH8),DAY(AH8))</f>
        <v>46666</v>
      </c>
      <c r="AJ8" s="8">
        <f t="shared" ca="1" si="8"/>
        <v>521</v>
      </c>
      <c r="AK8" s="5" t="str">
        <f t="shared" ca="1" si="9"/>
        <v>VIGENTE</v>
      </c>
      <c r="AL8" s="3"/>
      <c r="AM8" s="4">
        <v>45937</v>
      </c>
      <c r="AN8" s="4">
        <f t="shared" si="124"/>
        <v>46667</v>
      </c>
      <c r="AO8" s="8">
        <f t="shared" ca="1" si="10"/>
        <v>522</v>
      </c>
      <c r="AP8" s="5" t="str">
        <f t="shared" ca="1" si="11"/>
        <v>VIGENTE</v>
      </c>
      <c r="AQ8" s="3"/>
      <c r="AR8" s="4">
        <v>45989</v>
      </c>
      <c r="AS8" s="4">
        <f t="shared" si="125"/>
        <v>46719</v>
      </c>
      <c r="AT8" s="8">
        <f t="shared" ca="1" si="12"/>
        <v>574</v>
      </c>
      <c r="AU8" s="5" t="str">
        <f t="shared" ca="1" si="13"/>
        <v>VIGENTE</v>
      </c>
      <c r="AV8" s="3"/>
      <c r="AW8" s="4">
        <v>45990</v>
      </c>
      <c r="AX8" s="4">
        <f t="shared" si="14"/>
        <v>46720</v>
      </c>
      <c r="AY8" s="8">
        <f t="shared" ca="1" si="15"/>
        <v>575</v>
      </c>
      <c r="AZ8" s="5" t="str">
        <f t="shared" ca="1" si="16"/>
        <v>VIGENTE</v>
      </c>
      <c r="BA8" s="3"/>
      <c r="BB8" s="4">
        <v>45603</v>
      </c>
      <c r="BC8" s="4">
        <f t="shared" ref="BC8:BC10" si="154">DATE(YEAR(BB8)+2,MONTH(BB8),DAY(BB8)-1)</f>
        <v>46332</v>
      </c>
      <c r="BD8" s="8">
        <f t="shared" ca="1" si="17"/>
        <v>187</v>
      </c>
      <c r="BE8" s="5" t="str">
        <f t="shared" ca="1" si="18"/>
        <v>VIGENTE</v>
      </c>
      <c r="BF8" s="3"/>
      <c r="BG8" s="4">
        <v>45698</v>
      </c>
      <c r="BH8" s="4">
        <f t="shared" ref="BH8:BH10" si="155">DATE(YEAR(BG8)+2,MONTH(BG8),DAY(BG8)-1)</f>
        <v>46427</v>
      </c>
      <c r="BI8" s="8">
        <f t="shared" ca="1" si="19"/>
        <v>282</v>
      </c>
      <c r="BJ8" s="5" t="str">
        <f t="shared" ca="1" si="20"/>
        <v>VIGENTE</v>
      </c>
      <c r="BK8" s="3"/>
      <c r="BL8" s="4">
        <v>45600</v>
      </c>
      <c r="BM8" s="4">
        <f t="shared" ref="BM8:BM10" si="156">DATE(YEAR(BL8)+2,MONTH(BL8),DAY(BL8)-1)</f>
        <v>46329</v>
      </c>
      <c r="BN8" s="8">
        <f t="shared" ca="1" si="21"/>
        <v>184</v>
      </c>
      <c r="BO8" s="5" t="str">
        <f t="shared" ca="1" si="22"/>
        <v>VIGENTE</v>
      </c>
      <c r="BP8" s="3"/>
      <c r="BQ8" s="39">
        <v>45701</v>
      </c>
      <c r="BR8" s="4">
        <f t="shared" ref="BR8:BR10" si="157">DATE(YEAR(BQ8)+2,MONTH(BQ8),DAY(BQ8)-1)</f>
        <v>46430</v>
      </c>
      <c r="BS8" s="8">
        <f t="shared" ca="1" si="23"/>
        <v>285</v>
      </c>
      <c r="BT8" s="5" t="str">
        <f t="shared" ca="1" si="24"/>
        <v>VIGENTE</v>
      </c>
      <c r="BU8" s="3"/>
      <c r="BV8" s="4">
        <v>45568</v>
      </c>
      <c r="BW8" s="4">
        <f t="shared" ref="BW8:BW10" si="158">DATE(YEAR(BV8)+2,MONTH(BV8),DAY(BV8)-1)</f>
        <v>46297</v>
      </c>
      <c r="BX8" s="8">
        <f t="shared" ca="1" si="25"/>
        <v>152</v>
      </c>
      <c r="BY8" s="5" t="str">
        <f t="shared" ca="1" si="26"/>
        <v>VIGENTE</v>
      </c>
      <c r="BZ8" s="3"/>
      <c r="CA8" s="4">
        <v>45911</v>
      </c>
      <c r="CB8" s="4">
        <f t="shared" si="143"/>
        <v>46641</v>
      </c>
      <c r="CC8" s="8">
        <f t="shared" ca="1" si="27"/>
        <v>496</v>
      </c>
      <c r="CD8" s="5" t="str">
        <f t="shared" ca="1" si="28"/>
        <v>VIGENTE</v>
      </c>
      <c r="CE8" s="6"/>
      <c r="CF8" s="4">
        <v>45723</v>
      </c>
      <c r="CG8" s="4">
        <f t="shared" si="29"/>
        <v>47184</v>
      </c>
      <c r="CH8" s="8">
        <f t="shared" ca="1" si="30"/>
        <v>1039</v>
      </c>
      <c r="CI8" s="5" t="str">
        <f t="shared" ca="1" si="31"/>
        <v>VIGENTE</v>
      </c>
      <c r="CJ8" s="4"/>
      <c r="CK8" s="4">
        <v>45601</v>
      </c>
      <c r="CL8" s="4">
        <f t="shared" si="128"/>
        <v>46330</v>
      </c>
      <c r="CM8" s="8">
        <f t="shared" ca="1" si="32"/>
        <v>185</v>
      </c>
      <c r="CN8" s="5" t="str">
        <f t="shared" ca="1" si="33"/>
        <v>VIGENTE</v>
      </c>
      <c r="CO8" s="3"/>
      <c r="CP8" s="39">
        <v>45684</v>
      </c>
      <c r="CQ8" s="4">
        <f t="shared" ref="CQ8:CQ10" si="159">DATE(YEAR(CP8)+2,MONTH(CP8),DAY(CP8)-1)</f>
        <v>46413</v>
      </c>
      <c r="CR8" s="8">
        <f t="shared" ca="1" si="34"/>
        <v>268</v>
      </c>
      <c r="CS8" s="5" t="str">
        <f t="shared" ca="1" si="35"/>
        <v>VIGENTE</v>
      </c>
      <c r="CT8" s="3"/>
      <c r="CU8" s="4">
        <v>45905</v>
      </c>
      <c r="CV8" s="4">
        <f t="shared" ref="CV8:CV9" si="160">DATE(YEAR(CU8)+2,MONTH(CU8),DAY(CU8))</f>
        <v>46635</v>
      </c>
      <c r="CW8" s="8">
        <f t="shared" ca="1" si="36"/>
        <v>490</v>
      </c>
      <c r="CX8" s="5" t="str">
        <f t="shared" ca="1" si="37"/>
        <v>VIGENTE</v>
      </c>
      <c r="CY8" s="3"/>
      <c r="CZ8" s="4">
        <v>46000</v>
      </c>
      <c r="DA8" s="4">
        <f t="shared" ref="DA8:DA9" si="161">DATE(YEAR(CZ8)+2,MONTH(CZ8),DAY(CZ8))</f>
        <v>46730</v>
      </c>
      <c r="DB8" s="8">
        <f t="shared" ca="1" si="38"/>
        <v>585</v>
      </c>
      <c r="DC8" s="5" t="str">
        <f t="shared" ca="1" si="39"/>
        <v>VIGENTE</v>
      </c>
      <c r="DD8" s="3"/>
      <c r="DE8" s="39">
        <v>45761</v>
      </c>
      <c r="DF8" s="4">
        <f>DATE(YEAR(DE8)+2,MONTH(DE8),DAY(DE8))</f>
        <v>46491</v>
      </c>
      <c r="DG8" s="8">
        <f t="shared" ca="1" si="40"/>
        <v>346</v>
      </c>
      <c r="DH8" s="5" t="str">
        <f t="shared" ca="1" si="41"/>
        <v>VIGENTE</v>
      </c>
      <c r="DI8" s="3"/>
      <c r="DJ8" s="39">
        <v>45975</v>
      </c>
      <c r="DK8" s="4">
        <f t="shared" ref="DK8:DK9" si="162">DATE(YEAR(DJ8)+2,MONTH(DJ8),DAY(DJ8))</f>
        <v>46705</v>
      </c>
      <c r="DL8" s="8">
        <f t="shared" ca="1" si="43"/>
        <v>560</v>
      </c>
      <c r="DM8" s="5" t="str">
        <f t="shared" ca="1" si="44"/>
        <v>VIGENTE</v>
      </c>
      <c r="DN8" s="3"/>
      <c r="DO8" s="4">
        <v>46008</v>
      </c>
      <c r="DP8" s="4">
        <f t="shared" si="144"/>
        <v>46738</v>
      </c>
      <c r="DQ8" s="8">
        <f t="shared" ca="1" si="46"/>
        <v>593</v>
      </c>
      <c r="DR8" s="5" t="str">
        <f t="shared" ca="1" si="47"/>
        <v>VIGENTE</v>
      </c>
      <c r="DS8" s="3"/>
      <c r="DT8" s="4">
        <v>45625</v>
      </c>
      <c r="DU8" s="4">
        <f t="shared" ref="DU8:DU10" si="163">DATE(YEAR(DT8)+2,MONTH(DT8),DAY(DT8)-1)</f>
        <v>46354</v>
      </c>
      <c r="DV8" s="8">
        <f t="shared" ca="1" si="48"/>
        <v>209</v>
      </c>
      <c r="DW8" s="5" t="str">
        <f t="shared" ca="1" si="49"/>
        <v>VIGENTE</v>
      </c>
      <c r="DX8" s="3"/>
      <c r="DY8" s="4">
        <v>45612</v>
      </c>
      <c r="DZ8" s="4">
        <f>DATE(YEAR(DY8)+2,MONTH(DY8),DAY(DY8)-1)</f>
        <v>46341</v>
      </c>
      <c r="EA8" s="8">
        <f t="shared" ca="1" si="50"/>
        <v>196</v>
      </c>
      <c r="EB8" s="5" t="str">
        <f t="shared" ca="1" si="51"/>
        <v>VIGENTE</v>
      </c>
      <c r="EC8" s="3"/>
      <c r="ED8" s="39">
        <v>45730</v>
      </c>
      <c r="EE8" s="4">
        <f>DATE(YEAR(ED8)+2,MONTH(ED8),DAY(ED8)-1)</f>
        <v>46459</v>
      </c>
      <c r="EF8" s="8">
        <f t="shared" ca="1" si="52"/>
        <v>314</v>
      </c>
      <c r="EG8" s="5" t="str">
        <f t="shared" ca="1" si="53"/>
        <v>VIGENTE</v>
      </c>
      <c r="EH8" s="3"/>
      <c r="EI8" s="3">
        <v>46107</v>
      </c>
      <c r="EJ8" s="4">
        <f t="shared" si="131"/>
        <v>46472</v>
      </c>
      <c r="EK8" s="8">
        <f t="shared" ca="1" si="54"/>
        <v>327</v>
      </c>
      <c r="EL8" s="5" t="str">
        <f t="shared" ca="1" si="55"/>
        <v>VIGENTE</v>
      </c>
      <c r="EM8" s="3"/>
      <c r="EN8" s="4">
        <v>45584</v>
      </c>
      <c r="EO8" s="4">
        <f t="shared" ref="EO8:EO10" si="164">DATE(YEAR(EN8)+2,MONTH(EN8),DAY(EN8)-1)</f>
        <v>46313</v>
      </c>
      <c r="EP8" s="8">
        <f t="shared" ca="1" si="56"/>
        <v>168</v>
      </c>
      <c r="EQ8" s="5" t="str">
        <f t="shared" ca="1" si="57"/>
        <v>VIGENTE</v>
      </c>
      <c r="ER8" s="3"/>
      <c r="ES8" s="39">
        <v>45575</v>
      </c>
      <c r="ET8" s="4">
        <f t="shared" ref="ET8:ET10" si="165">DATE(YEAR(ES8)+2,MONTH(ES8),DAY(ES8)-1)</f>
        <v>46304</v>
      </c>
      <c r="EU8" s="8">
        <f t="shared" ca="1" si="58"/>
        <v>159</v>
      </c>
      <c r="EV8" s="5" t="str">
        <f t="shared" ca="1" si="59"/>
        <v>VIGENTE</v>
      </c>
      <c r="EW8" s="3"/>
      <c r="EX8" s="4">
        <v>45917</v>
      </c>
      <c r="EY8" s="4">
        <f t="shared" si="146"/>
        <v>46647</v>
      </c>
      <c r="EZ8" s="8">
        <f t="shared" ca="1" si="60"/>
        <v>502</v>
      </c>
      <c r="FA8" s="5" t="str">
        <f t="shared" ca="1" si="61"/>
        <v>VIGENTE</v>
      </c>
      <c r="FB8" s="3"/>
      <c r="FC8" s="4">
        <v>45638</v>
      </c>
      <c r="FD8" s="4">
        <f>DATE(YEAR(FC8)+2,MONTH(FC8),DAY(FC8)-1)</f>
        <v>46367</v>
      </c>
      <c r="FE8" s="8">
        <f t="shared" ca="1" si="62"/>
        <v>222</v>
      </c>
      <c r="FF8" s="5" t="str">
        <f t="shared" ca="1" si="63"/>
        <v>VIGENTE</v>
      </c>
      <c r="FG8" s="3"/>
      <c r="FH8" s="4">
        <v>45919</v>
      </c>
      <c r="FI8" s="4">
        <f t="shared" si="148"/>
        <v>46649</v>
      </c>
      <c r="FJ8" s="8">
        <f t="shared" ca="1" si="64"/>
        <v>504</v>
      </c>
      <c r="FK8" s="5" t="str">
        <f t="shared" ca="1" si="65"/>
        <v>VIGENTE</v>
      </c>
      <c r="FL8" s="3"/>
      <c r="FM8" s="39">
        <v>45588</v>
      </c>
      <c r="FN8" s="4">
        <f t="shared" si="66"/>
        <v>46317</v>
      </c>
      <c r="FO8" s="8">
        <f t="shared" ca="1" si="67"/>
        <v>172</v>
      </c>
      <c r="FP8" s="5" t="str">
        <f t="shared" ca="1" si="68"/>
        <v>VIGENTE</v>
      </c>
      <c r="FQ8" s="3"/>
      <c r="FR8" s="39">
        <v>45664</v>
      </c>
      <c r="FS8" s="4">
        <f>DATE(YEAR(FR8)+2,MONTH(FR8),DAY(FR8)-1)</f>
        <v>46393</v>
      </c>
      <c r="FT8" s="8">
        <f t="shared" ca="1" si="69"/>
        <v>248</v>
      </c>
      <c r="FU8" s="5" t="str">
        <f t="shared" ca="1" si="70"/>
        <v>VIGENTE</v>
      </c>
      <c r="FV8" s="3"/>
      <c r="FW8" s="4">
        <v>46014</v>
      </c>
      <c r="FX8" s="4">
        <f t="shared" si="153"/>
        <v>46744</v>
      </c>
      <c r="FY8" s="8">
        <f t="shared" ca="1" si="71"/>
        <v>599</v>
      </c>
      <c r="FZ8" s="5" t="str">
        <f t="shared" ca="1" si="72"/>
        <v>VIGENTE</v>
      </c>
      <c r="GA8" s="3"/>
      <c r="GB8" s="4">
        <v>45667</v>
      </c>
      <c r="GC8" s="4">
        <f>DATE(YEAR(GB8)+2,MONTH(GB8),DAY(GB8)-1)</f>
        <v>46396</v>
      </c>
      <c r="GD8" s="8">
        <f t="shared" ca="1" si="73"/>
        <v>251</v>
      </c>
      <c r="GE8" s="5" t="str">
        <f t="shared" ca="1" si="74"/>
        <v>VIGENTE</v>
      </c>
      <c r="GF8" s="3"/>
      <c r="GG8" s="4">
        <v>45731</v>
      </c>
      <c r="GH8" s="4">
        <f t="shared" si="134"/>
        <v>46460</v>
      </c>
      <c r="GI8" s="8">
        <f t="shared" ca="1" si="75"/>
        <v>315</v>
      </c>
      <c r="GJ8" s="5" t="str">
        <f t="shared" ca="1" si="76"/>
        <v>VIGENTE</v>
      </c>
      <c r="GK8" s="3"/>
      <c r="GL8" s="4">
        <v>45608</v>
      </c>
      <c r="GM8" s="4">
        <f>DATE(YEAR(GL8)+2,MONTH(GL8),DAY(GL8)-1)</f>
        <v>46337</v>
      </c>
      <c r="GN8" s="8">
        <f t="shared" ca="1" si="77"/>
        <v>192</v>
      </c>
      <c r="GO8" s="5" t="str">
        <f t="shared" ca="1" si="78"/>
        <v>VIGENTE</v>
      </c>
      <c r="GP8" s="4"/>
      <c r="GQ8" s="4">
        <v>44952</v>
      </c>
      <c r="GR8" s="4">
        <f t="shared" si="79"/>
        <v>46778</v>
      </c>
      <c r="GS8" s="8">
        <f t="shared" ca="1" si="80"/>
        <v>633</v>
      </c>
      <c r="GT8" s="5" t="str">
        <f t="shared" ca="1" si="81"/>
        <v>VIGENTE</v>
      </c>
      <c r="GU8" s="3"/>
      <c r="GV8" s="4">
        <v>45099</v>
      </c>
      <c r="GW8" s="4">
        <f t="shared" si="82"/>
        <v>46926</v>
      </c>
      <c r="GX8" s="8">
        <f t="shared" ca="1" si="83"/>
        <v>781</v>
      </c>
      <c r="GY8" s="5" t="str">
        <f t="shared" ca="1" si="84"/>
        <v>VIGENTE</v>
      </c>
      <c r="GZ8" s="2"/>
      <c r="HA8" s="4">
        <v>44980</v>
      </c>
      <c r="HB8" s="4">
        <f t="shared" si="85"/>
        <v>46806</v>
      </c>
      <c r="HC8" s="8">
        <f t="shared" ca="1" si="86"/>
        <v>661</v>
      </c>
      <c r="HD8" s="5" t="str">
        <f t="shared" ca="1" si="87"/>
        <v>VIGENTE</v>
      </c>
      <c r="HE8" s="6"/>
      <c r="HF8" s="4">
        <v>44956</v>
      </c>
      <c r="HG8" s="4">
        <f t="shared" si="88"/>
        <v>46782</v>
      </c>
      <c r="HH8" s="8">
        <f t="shared" ca="1" si="89"/>
        <v>637</v>
      </c>
      <c r="HI8" s="5" t="str">
        <f t="shared" ca="1" si="90"/>
        <v>VIGENTE</v>
      </c>
      <c r="HJ8" s="2"/>
      <c r="HK8" s="6"/>
      <c r="HL8" s="4"/>
      <c r="HM8" s="8"/>
      <c r="HN8" s="5" t="str">
        <f t="shared" si="91"/>
        <v>NO APLICA</v>
      </c>
      <c r="HO8" s="2"/>
      <c r="HP8" s="2"/>
      <c r="HQ8" s="4"/>
      <c r="HR8" s="2"/>
      <c r="HS8" s="5" t="str">
        <f t="shared" si="92"/>
        <v>NO APLICA</v>
      </c>
      <c r="HT8" s="2"/>
      <c r="HU8" s="4">
        <v>44939</v>
      </c>
      <c r="HV8" s="4">
        <f>DATE(YEAR(HU8)+5,MONTH(HU8),DAY(HU8))</f>
        <v>46765</v>
      </c>
      <c r="HW8" s="8">
        <f ca="1">HV8-TODAY()</f>
        <v>620</v>
      </c>
      <c r="HX8" s="5" t="str">
        <f ca="1">IF(HW8&gt;=61,"VIGENTE",IF(HW8&gt;=1,"POR VENCER",IF(HW8&lt;=-1,"VENCIDA",IF(HU8=0,"NO APLICA"))))</f>
        <v>VIGENTE</v>
      </c>
      <c r="HY8" s="2"/>
      <c r="HZ8" s="4">
        <v>45092</v>
      </c>
      <c r="IA8" s="4">
        <f>DATE(YEAR(HZ8)+5,MONTH(HZ8),DAY(HZ8))</f>
        <v>46919</v>
      </c>
      <c r="IB8" s="8">
        <f ca="1">IA8-TODAY()</f>
        <v>774</v>
      </c>
      <c r="IC8" s="5" t="str">
        <f ca="1">IF(IB8&gt;=61,"VIGENTE",IF(IB8&gt;=1,"POR VENCER",IF(IB8&lt;=-1,"VENCIDA",IF(HZ8=0,"NO APLICA"))))</f>
        <v>VIGENTE</v>
      </c>
      <c r="ID8" s="2"/>
      <c r="IE8" s="4">
        <v>44972</v>
      </c>
      <c r="IF8" s="4">
        <f>DATE(YEAR(IE8)+5,MONTH(IE8),DAY(IE8))</f>
        <v>46798</v>
      </c>
      <c r="IG8" s="8">
        <f ca="1">IF8-TODAY()</f>
        <v>653</v>
      </c>
      <c r="IH8" s="5" t="str">
        <f ca="1">IF(IG8&gt;=61,"VIGENTE",IF(IG8&gt;=1,"POR VENCER",IF(IG8&lt;=-1,"VENCIDA",IF(IE8=0,"NO APLICA"))))</f>
        <v>VIGENTE</v>
      </c>
      <c r="II8" s="6"/>
      <c r="IJ8" s="4">
        <v>45105</v>
      </c>
      <c r="IK8" s="4">
        <f>DATE(YEAR(IJ8)+5,MONTH(IJ8),DAY(IJ8))</f>
        <v>46932</v>
      </c>
      <c r="IL8" s="8">
        <f ca="1">IK8-TODAY()</f>
        <v>787</v>
      </c>
      <c r="IM8" s="5" t="str">
        <f ca="1">IF(IL8&gt;=61,"VIGENTE",IF(IL8&gt;=1,"POR VENCER",IF(IL8&lt;=-1,"VENCIDA",IF(IJ8=0,"NO APLICA"))))</f>
        <v>VIGENTE</v>
      </c>
      <c r="IN8" s="2"/>
      <c r="IO8" s="4">
        <v>45064</v>
      </c>
      <c r="IP8" s="4">
        <f>DATE(YEAR(IO8)+5,MONTH(IO8),DAY(IO8))</f>
        <v>46891</v>
      </c>
      <c r="IQ8" s="8">
        <f ca="1">IP8-TODAY()</f>
        <v>746</v>
      </c>
      <c r="IR8" s="5" t="str">
        <f ca="1">IF(IQ8&gt;=61,"VIGENTE",IF(IQ8&gt;=1,"POR VENCER",IF(IQ8&lt;=-1,"VENCIDA",IF(IO8=0,"NO APLICA"))))</f>
        <v>VIGENTE</v>
      </c>
      <c r="IS8" s="2"/>
      <c r="IT8" s="4">
        <v>45062</v>
      </c>
      <c r="IU8" s="4">
        <f>DATE(YEAR(IT8)+5,MONTH(IT8),DAY(IT8))</f>
        <v>46889</v>
      </c>
      <c r="IV8" s="8">
        <f ca="1">IU8-TODAY()</f>
        <v>744</v>
      </c>
      <c r="IW8" s="5" t="str">
        <f ca="1">IF(IV8&gt;=61,"VIGENTE",IF(IV8&gt;=1,"POR VENCER",IF(IV8&lt;=-1,"VENCIDA",IF(IT8=0,"NO APLICA"))))</f>
        <v>VIGENTE</v>
      </c>
      <c r="IX8" s="2"/>
      <c r="IY8" s="4">
        <v>45101</v>
      </c>
      <c r="IZ8" s="4">
        <f>DATE(YEAR(IY8)+5,MONTH(IY8),DAY(IY8))</f>
        <v>46928</v>
      </c>
      <c r="JA8" s="8">
        <f ca="1">IZ8-TODAY()</f>
        <v>783</v>
      </c>
      <c r="JB8" s="5" t="str">
        <f ca="1">IF(JA8&gt;=61,"VIGENTE",IF(JA8&gt;=1,"POR VENCER",IF(JA8&lt;=-1,"VENCIDA",IF(IY8=0,"NO APLICA"))))</f>
        <v>VIGENTE</v>
      </c>
      <c r="JC8" s="3" t="s">
        <v>780</v>
      </c>
      <c r="JD8" s="3"/>
      <c r="JE8" s="4"/>
      <c r="JF8" s="8"/>
      <c r="JG8" s="5"/>
      <c r="JH8" s="3" t="s">
        <v>780</v>
      </c>
      <c r="JI8" s="6"/>
      <c r="JJ8" s="6"/>
      <c r="JK8" s="6"/>
      <c r="JL8" s="5"/>
      <c r="JM8" s="6" t="s">
        <v>780</v>
      </c>
      <c r="JN8" s="6"/>
      <c r="JO8" s="6"/>
      <c r="JP8" s="6"/>
      <c r="JQ8" s="5"/>
      <c r="JR8" s="6" t="s">
        <v>780</v>
      </c>
      <c r="JS8" s="6"/>
      <c r="JT8" s="6"/>
      <c r="JU8" s="6"/>
      <c r="JV8" s="5"/>
      <c r="JW8" s="6" t="s">
        <v>780</v>
      </c>
      <c r="JX8" s="5"/>
      <c r="JY8" s="5"/>
      <c r="JZ8" s="5"/>
      <c r="KA8" s="5"/>
      <c r="KB8" s="5"/>
      <c r="KC8" s="2"/>
      <c r="KD8" s="4"/>
      <c r="KE8" s="8"/>
      <c r="KF8" s="5" t="str">
        <f t="shared" si="135"/>
        <v>NO APLICA</v>
      </c>
      <c r="KG8" s="5"/>
      <c r="KH8" s="2"/>
      <c r="KI8" s="4"/>
      <c r="KJ8" s="8"/>
      <c r="KK8" s="5" t="str">
        <f t="shared" si="136"/>
        <v>NO APLICA</v>
      </c>
      <c r="KL8" s="5"/>
      <c r="KM8" s="2"/>
      <c r="KN8" s="4"/>
      <c r="KO8" s="8"/>
      <c r="KP8" s="5" t="str">
        <f t="shared" si="100"/>
        <v>NO APLICA</v>
      </c>
      <c r="KQ8" s="5"/>
      <c r="KR8" s="3">
        <v>45346</v>
      </c>
      <c r="KS8" s="4">
        <f>DATE(YEAR(KR8)+5,MONTH(KR8),DAY(KR8))</f>
        <v>47173</v>
      </c>
      <c r="KT8" s="8">
        <f ca="1">KS8-TODAY()</f>
        <v>1028</v>
      </c>
      <c r="KU8" s="5" t="str">
        <f ca="1">IF(KT8&gt;=61,"VIGENTE",IF(KT8&gt;=1,"POR VENCER",IF(KT8&lt;=-1,"VENCIDA",IF(KR8=0,"NO APLICA"))))</f>
        <v>VIGENTE</v>
      </c>
      <c r="KV8" s="3"/>
      <c r="KW8" s="4">
        <v>44656</v>
      </c>
      <c r="KX8" s="4">
        <f>DATE(YEAR(KW8)+5,MONTH(KW8),DAY(KW8))</f>
        <v>46482</v>
      </c>
      <c r="KY8" s="8">
        <f ca="1">KX8-TODAY()</f>
        <v>337</v>
      </c>
      <c r="KZ8" s="5" t="str">
        <f ca="1">IF(KY8&gt;=61,"VIGENTE",IF(KY8&gt;=1,"POR VENCER",IF(KY8&lt;=-1,"VENCIDA",IF(KW8=0,"NO APLICA"))))</f>
        <v>VIGENTE</v>
      </c>
      <c r="LA8" s="5"/>
      <c r="LB8" s="4">
        <v>44608</v>
      </c>
      <c r="LC8" s="4">
        <f>DATE(YEAR(LB8)+5,MONTH(LB8),DAY(LB8))</f>
        <v>46434</v>
      </c>
      <c r="LD8" s="8">
        <f ca="1">LC8-TODAY()</f>
        <v>289</v>
      </c>
      <c r="LE8" s="5" t="str">
        <f ca="1">IF(LD8&gt;=61,"VIGENTE",IF(LD8&gt;=1,"POR VENCER",IF(LD8&lt;=-1,"VENCIDA",IF(LB8=0,"NO APLICA"))))</f>
        <v>VIGENTE</v>
      </c>
      <c r="LF8" s="6"/>
      <c r="LG8" s="6"/>
      <c r="LH8" s="4"/>
      <c r="LI8" s="8"/>
      <c r="LJ8" s="5" t="str">
        <f t="shared" si="101"/>
        <v>NO APLICA</v>
      </c>
      <c r="LK8" s="5"/>
      <c r="LL8" s="5"/>
      <c r="LM8" s="5"/>
      <c r="LN8" s="5"/>
      <c r="LO8" s="5" t="str">
        <f t="shared" si="152"/>
        <v>NO APLICA</v>
      </c>
      <c r="LP8" s="2"/>
      <c r="LQ8" s="6"/>
      <c r="LR8" s="4"/>
      <c r="LS8" s="8"/>
      <c r="LT8" s="5" t="str">
        <f t="shared" si="139"/>
        <v>NO APLICA</v>
      </c>
      <c r="LU8" s="6"/>
      <c r="LV8" s="6"/>
      <c r="LW8" s="4"/>
      <c r="LX8" s="8"/>
      <c r="LY8" s="5" t="str">
        <f t="shared" si="140"/>
        <v>NO APLICA</v>
      </c>
      <c r="LZ8" s="6"/>
      <c r="MA8" s="6"/>
      <c r="MB8" s="4"/>
      <c r="MC8" s="8"/>
      <c r="MD8" s="5" t="str">
        <f t="shared" si="141"/>
        <v>NO APLICA</v>
      </c>
      <c r="ME8" s="3"/>
      <c r="MF8" s="3">
        <v>44998</v>
      </c>
      <c r="MG8" s="4">
        <f>DATE(YEAR(MF8)+5,MONTH(MF8),DAY(MF8))</f>
        <v>46825</v>
      </c>
      <c r="MH8" s="8">
        <f ca="1">MG8-TODAY()</f>
        <v>680</v>
      </c>
      <c r="MI8" s="5" t="str">
        <f ca="1">IF(MH8&gt;=61,"VIGENTE",IF(MH8&gt;=1,"POR VENCER",IF(MH8&lt;=-1,"VENCIDA",IF(MF8=0,"NO APLICA"))))</f>
        <v>VIGENTE</v>
      </c>
      <c r="MJ8" s="2"/>
      <c r="MK8" s="2"/>
      <c r="ML8" s="4"/>
      <c r="MM8" s="8"/>
      <c r="MN8" s="5" t="str">
        <f t="shared" si="103"/>
        <v>NO APLICA</v>
      </c>
      <c r="MO8" s="5"/>
      <c r="MP8" s="2"/>
      <c r="MQ8" s="4"/>
      <c r="MR8" s="8"/>
      <c r="MS8" s="5" t="str">
        <f t="shared" si="104"/>
        <v>NO APLICA</v>
      </c>
      <c r="MT8" s="5"/>
      <c r="MU8" s="2"/>
      <c r="MV8" s="4"/>
      <c r="MW8" s="2"/>
      <c r="MX8" s="5" t="str">
        <f t="shared" si="105"/>
        <v>NO APLICA</v>
      </c>
      <c r="MY8" s="2"/>
      <c r="MZ8" s="6"/>
      <c r="NA8" s="4"/>
      <c r="NB8" s="8"/>
      <c r="NC8" s="5" t="str">
        <f t="shared" si="106"/>
        <v>NO APLICA</v>
      </c>
      <c r="ND8" s="2"/>
      <c r="NE8" s="6"/>
      <c r="NF8" s="4"/>
      <c r="NG8" s="8"/>
      <c r="NH8" s="5" t="str">
        <f t="shared" si="107"/>
        <v>NO APLICA</v>
      </c>
      <c r="NI8" s="2"/>
      <c r="NJ8" s="6"/>
      <c r="NK8" s="4"/>
      <c r="NL8" s="8"/>
      <c r="NM8" s="5" t="str">
        <f t="shared" si="108"/>
        <v>NO APLICA</v>
      </c>
      <c r="NN8" s="2"/>
      <c r="NO8" s="2"/>
      <c r="NP8" s="4"/>
      <c r="NQ8" s="2"/>
      <c r="NR8" s="5" t="str">
        <f t="shared" si="109"/>
        <v>NO APLICA</v>
      </c>
      <c r="NS8" s="2"/>
      <c r="NT8" s="2"/>
      <c r="NU8" s="4"/>
      <c r="NV8" s="2"/>
      <c r="NW8" s="5" t="str">
        <f t="shared" si="110"/>
        <v>NO APLICA</v>
      </c>
      <c r="NX8" s="6"/>
      <c r="NY8" s="6"/>
      <c r="NZ8" s="4"/>
      <c r="OA8" s="8"/>
      <c r="OB8" s="5" t="str">
        <f t="shared" si="111"/>
        <v>NO APLICA</v>
      </c>
      <c r="OC8" s="6"/>
      <c r="OD8" s="6"/>
      <c r="OE8" s="6"/>
      <c r="OF8" s="6"/>
      <c r="OG8" s="5" t="str">
        <f t="shared" si="112"/>
        <v>NO APLICA</v>
      </c>
      <c r="OH8" s="6"/>
      <c r="OI8" s="6"/>
      <c r="OJ8" s="4"/>
      <c r="OK8" s="8"/>
      <c r="OL8" s="5" t="str">
        <f t="shared" si="113"/>
        <v>NO APLICA</v>
      </c>
      <c r="OM8" s="6"/>
      <c r="ON8" s="6"/>
      <c r="OO8" s="6"/>
      <c r="OP8" s="6"/>
      <c r="OQ8" s="5" t="str">
        <f t="shared" si="114"/>
        <v>NO APLICA</v>
      </c>
      <c r="OR8" s="6"/>
      <c r="OS8" s="6"/>
      <c r="OT8" s="6"/>
      <c r="OU8" s="6"/>
      <c r="OV8" s="5" t="str">
        <f t="shared" si="115"/>
        <v>NO APLICA</v>
      </c>
      <c r="OW8" s="6"/>
      <c r="OX8" s="6"/>
      <c r="OY8" s="6"/>
      <c r="OZ8" s="6"/>
      <c r="PA8" s="5" t="str">
        <f t="shared" si="116"/>
        <v>NO APLICA</v>
      </c>
      <c r="PB8" s="6"/>
      <c r="PC8" s="6"/>
      <c r="PD8" s="6"/>
      <c r="PE8" s="6"/>
      <c r="PF8" s="5" t="str">
        <f t="shared" si="117"/>
        <v>NO APLICA</v>
      </c>
      <c r="PG8" s="6"/>
      <c r="PH8" s="6"/>
      <c r="PI8" s="6"/>
      <c r="PJ8" s="6"/>
      <c r="PK8" s="5" t="str">
        <f t="shared" si="118"/>
        <v>NO APLICA</v>
      </c>
      <c r="PL8" s="5"/>
      <c r="PM8" s="6"/>
      <c r="PN8" s="4"/>
      <c r="PO8" s="8"/>
      <c r="PP8" s="5" t="str">
        <f t="shared" si="119"/>
        <v>NO APLICA</v>
      </c>
      <c r="PQ8" s="6"/>
      <c r="PR8" s="6"/>
      <c r="PS8" s="6"/>
      <c r="PT8" s="6"/>
      <c r="PU8" s="5" t="str">
        <f t="shared" si="120"/>
        <v>NO APLICA</v>
      </c>
      <c r="PV8" s="5"/>
      <c r="PW8" s="4">
        <v>46126</v>
      </c>
      <c r="PX8" s="4">
        <f>DATE(YEAR(PW8)+1,MONTH(PW8),DAY(PW8))</f>
        <v>46491</v>
      </c>
      <c r="PY8" s="8">
        <f ca="1">PX8-TODAY()</f>
        <v>346</v>
      </c>
      <c r="PZ8" s="5" t="str">
        <f t="shared" ca="1" si="121"/>
        <v>VIGENTE</v>
      </c>
    </row>
    <row r="9" spans="1:442" ht="15.6" hidden="1" thickTop="1" thickBot="1" x14ac:dyDescent="0.35">
      <c r="A9" s="26">
        <v>6</v>
      </c>
      <c r="B9" s="31">
        <v>1704</v>
      </c>
      <c r="C9" s="28" t="s">
        <v>752</v>
      </c>
      <c r="D9" s="29" t="s">
        <v>64</v>
      </c>
      <c r="E9" s="30" t="s">
        <v>81</v>
      </c>
      <c r="F9" s="2"/>
      <c r="G9" s="6"/>
      <c r="H9" s="4"/>
      <c r="I9" s="8"/>
      <c r="J9" s="5" t="str">
        <f t="shared" si="0"/>
        <v>NO APLICA</v>
      </c>
      <c r="K9" s="5"/>
      <c r="L9" s="6"/>
      <c r="M9" s="6"/>
      <c r="N9" s="8"/>
      <c r="O9" s="5" t="str">
        <f t="shared" si="1"/>
        <v>NO APLICA</v>
      </c>
      <c r="P9" s="4"/>
      <c r="Q9" s="4">
        <v>45597</v>
      </c>
      <c r="R9" s="4">
        <f>DATE(YEAR(Q9)+2,MONTH(Q9),DAY(Q9)-1)</f>
        <v>46326</v>
      </c>
      <c r="S9" s="8">
        <f ca="1">R9-TODAY()</f>
        <v>181</v>
      </c>
      <c r="T9" s="5" t="str">
        <f ca="1">IF(S9&gt;=61,"VIGENTE",IF(S9&gt;=1,"POR VENCER",IF(S9&lt;=-1,"VENCIDA",IF(S9=0,"NO APLICA"))))</f>
        <v>VIGENTE</v>
      </c>
      <c r="U9" s="5"/>
      <c r="V9" s="2" t="s">
        <v>84</v>
      </c>
      <c r="W9" s="4">
        <v>45216</v>
      </c>
      <c r="X9" s="4">
        <f t="shared" si="2"/>
        <v>47043</v>
      </c>
      <c r="Y9" s="8">
        <f t="shared" ca="1" si="3"/>
        <v>898</v>
      </c>
      <c r="Z9" s="5" t="str">
        <f t="shared" ca="1" si="4"/>
        <v>VIGENTE</v>
      </c>
      <c r="AA9" s="5"/>
      <c r="AB9" s="2" t="s">
        <v>85</v>
      </c>
      <c r="AC9" s="4">
        <v>45233</v>
      </c>
      <c r="AD9" s="4">
        <f t="shared" si="5"/>
        <v>47060</v>
      </c>
      <c r="AE9" s="8">
        <f t="shared" ca="1" si="6"/>
        <v>915</v>
      </c>
      <c r="AF9" s="5" t="str">
        <f t="shared" ca="1" si="7"/>
        <v>VIGENTE</v>
      </c>
      <c r="AG9" s="2"/>
      <c r="AH9" s="4">
        <v>45936</v>
      </c>
      <c r="AI9" s="4">
        <f t="shared" ref="AI9:AI10" si="166">DATE(YEAR(AH9)+2,MONTH(AH9),DAY(AH9))</f>
        <v>46666</v>
      </c>
      <c r="AJ9" s="8">
        <f t="shared" ca="1" si="8"/>
        <v>521</v>
      </c>
      <c r="AK9" s="5" t="str">
        <f t="shared" ca="1" si="9"/>
        <v>VIGENTE</v>
      </c>
      <c r="AL9" s="2"/>
      <c r="AM9" s="4">
        <v>45937</v>
      </c>
      <c r="AN9" s="4">
        <f t="shared" si="124"/>
        <v>46667</v>
      </c>
      <c r="AO9" s="8">
        <f t="shared" ca="1" si="10"/>
        <v>522</v>
      </c>
      <c r="AP9" s="5" t="str">
        <f t="shared" ca="1" si="11"/>
        <v>VIGENTE</v>
      </c>
      <c r="AQ9" s="2"/>
      <c r="AR9" s="4">
        <v>45904</v>
      </c>
      <c r="AS9" s="4">
        <f t="shared" si="125"/>
        <v>46634</v>
      </c>
      <c r="AT9" s="8">
        <f t="shared" ca="1" si="12"/>
        <v>489</v>
      </c>
      <c r="AU9" s="5" t="str">
        <f t="shared" ca="1" si="13"/>
        <v>VIGENTE</v>
      </c>
      <c r="AV9" s="2"/>
      <c r="AW9" s="4">
        <v>45927</v>
      </c>
      <c r="AX9" s="4">
        <f t="shared" si="14"/>
        <v>46657</v>
      </c>
      <c r="AY9" s="8">
        <f t="shared" ca="1" si="15"/>
        <v>512</v>
      </c>
      <c r="AZ9" s="5" t="str">
        <f t="shared" ca="1" si="16"/>
        <v>VIGENTE</v>
      </c>
      <c r="BA9" s="3"/>
      <c r="BB9" s="4">
        <v>46041</v>
      </c>
      <c r="BC9" s="4">
        <f>DATE(YEAR(BB9)+2,MONTH(BB9),DAY(BB9))</f>
        <v>46771</v>
      </c>
      <c r="BD9" s="8">
        <f t="shared" ca="1" si="17"/>
        <v>626</v>
      </c>
      <c r="BE9" s="5" t="str">
        <f t="shared" ca="1" si="18"/>
        <v>VIGENTE</v>
      </c>
      <c r="BF9" s="2"/>
      <c r="BG9" s="4">
        <v>45997</v>
      </c>
      <c r="BH9" s="4">
        <f>DATE(YEAR(BG9)+2,MONTH(BG9),DAY(BG9))</f>
        <v>46727</v>
      </c>
      <c r="BI9" s="8">
        <f t="shared" ca="1" si="19"/>
        <v>582</v>
      </c>
      <c r="BJ9" s="5" t="str">
        <f t="shared" ca="1" si="20"/>
        <v>VIGENTE</v>
      </c>
      <c r="BK9" s="3"/>
      <c r="BL9" s="4">
        <v>46017</v>
      </c>
      <c r="BM9" s="4">
        <f>DATE(YEAR(BL9)+2,MONTH(BL9),DAY(BL9))</f>
        <v>46747</v>
      </c>
      <c r="BN9" s="8">
        <f t="shared" ca="1" si="21"/>
        <v>602</v>
      </c>
      <c r="BO9" s="5" t="str">
        <f t="shared" ca="1" si="22"/>
        <v>VIGENTE</v>
      </c>
      <c r="BP9" s="3"/>
      <c r="BQ9" s="39">
        <v>45981</v>
      </c>
      <c r="BR9" s="4">
        <f>DATE(YEAR(BQ9)+2,MONTH(BQ9),DAY(BQ9))</f>
        <v>46711</v>
      </c>
      <c r="BS9" s="8">
        <f t="shared" ca="1" si="23"/>
        <v>566</v>
      </c>
      <c r="BT9" s="5" t="str">
        <f t="shared" ca="1" si="24"/>
        <v>VIGENTE</v>
      </c>
      <c r="BU9" s="3"/>
      <c r="BV9" s="4">
        <v>46031</v>
      </c>
      <c r="BW9" s="4">
        <f>DATE(YEAR(BV9)+2,MONTH(BV9),DAY(BV9))</f>
        <v>46761</v>
      </c>
      <c r="BX9" s="8">
        <f t="shared" ca="1" si="25"/>
        <v>616</v>
      </c>
      <c r="BY9" s="5" t="str">
        <f t="shared" ca="1" si="26"/>
        <v>VIGENTE</v>
      </c>
      <c r="BZ9" s="2"/>
      <c r="CA9" s="4">
        <v>45986</v>
      </c>
      <c r="CB9" s="4">
        <f t="shared" si="143"/>
        <v>46716</v>
      </c>
      <c r="CC9" s="8">
        <f t="shared" ca="1" si="27"/>
        <v>571</v>
      </c>
      <c r="CD9" s="5" t="str">
        <f t="shared" ca="1" si="28"/>
        <v>VIGENTE</v>
      </c>
      <c r="CE9" s="6"/>
      <c r="CF9" s="4">
        <v>45565</v>
      </c>
      <c r="CG9" s="4">
        <f t="shared" si="29"/>
        <v>47026</v>
      </c>
      <c r="CH9" s="8">
        <f t="shared" ca="1" si="30"/>
        <v>881</v>
      </c>
      <c r="CI9" s="5" t="str">
        <f t="shared" ca="1" si="31"/>
        <v>VIGENTE</v>
      </c>
      <c r="CJ9" s="4"/>
      <c r="CK9" s="4">
        <v>46018</v>
      </c>
      <c r="CL9" s="4">
        <f>DATE(YEAR(CK9)+2,MONTH(CK9),DAY(CK9))</f>
        <v>46748</v>
      </c>
      <c r="CM9" s="8">
        <f t="shared" ca="1" si="32"/>
        <v>603</v>
      </c>
      <c r="CN9" s="5" t="str">
        <f t="shared" ca="1" si="33"/>
        <v>VIGENTE</v>
      </c>
      <c r="CO9" s="4"/>
      <c r="CP9" s="39">
        <v>45979</v>
      </c>
      <c r="CQ9" s="4">
        <f>DATE(YEAR(CP9)+2,MONTH(CP9),DAY(CP9))</f>
        <v>46709</v>
      </c>
      <c r="CR9" s="8">
        <f t="shared" ca="1" si="34"/>
        <v>564</v>
      </c>
      <c r="CS9" s="5" t="str">
        <f t="shared" ca="1" si="35"/>
        <v>VIGENTE</v>
      </c>
      <c r="CT9" s="2"/>
      <c r="CU9" s="4">
        <v>45905</v>
      </c>
      <c r="CV9" s="4">
        <f t="shared" si="160"/>
        <v>46635</v>
      </c>
      <c r="CW9" s="8">
        <f t="shared" ca="1" si="36"/>
        <v>490</v>
      </c>
      <c r="CX9" s="5" t="str">
        <f t="shared" ca="1" si="37"/>
        <v>VIGENTE</v>
      </c>
      <c r="CY9" s="3"/>
      <c r="CZ9" s="4">
        <v>46000</v>
      </c>
      <c r="DA9" s="4">
        <f t="shared" si="161"/>
        <v>46730</v>
      </c>
      <c r="DB9" s="8">
        <f t="shared" ca="1" si="38"/>
        <v>585</v>
      </c>
      <c r="DC9" s="5" t="str">
        <f t="shared" ca="1" si="39"/>
        <v>VIGENTE</v>
      </c>
      <c r="DD9" s="3"/>
      <c r="DE9" s="39">
        <v>45996</v>
      </c>
      <c r="DF9" s="4">
        <f>DATE(YEAR(DE9)+2,MONTH(DE9),DAY(DE9))</f>
        <v>46726</v>
      </c>
      <c r="DG9" s="8">
        <f t="shared" ca="1" si="40"/>
        <v>581</v>
      </c>
      <c r="DH9" s="5" t="str">
        <f t="shared" ca="1" si="41"/>
        <v>VIGENTE</v>
      </c>
      <c r="DI9" s="3"/>
      <c r="DJ9" s="39">
        <v>45975</v>
      </c>
      <c r="DK9" s="4">
        <f t="shared" si="162"/>
        <v>46705</v>
      </c>
      <c r="DL9" s="8">
        <f t="shared" ca="1" si="43"/>
        <v>560</v>
      </c>
      <c r="DM9" s="5" t="str">
        <f t="shared" ca="1" si="44"/>
        <v>VIGENTE</v>
      </c>
      <c r="DN9" s="3"/>
      <c r="DO9" s="4">
        <v>45982</v>
      </c>
      <c r="DP9" s="4">
        <f t="shared" si="144"/>
        <v>46712</v>
      </c>
      <c r="DQ9" s="8">
        <f t="shared" ca="1" si="46"/>
        <v>567</v>
      </c>
      <c r="DR9" s="5" t="str">
        <f t="shared" ca="1" si="47"/>
        <v>VIGENTE</v>
      </c>
      <c r="DS9" s="3"/>
      <c r="DT9" s="3">
        <v>46009</v>
      </c>
      <c r="DU9" s="4">
        <f>DATE(YEAR(DT9)+2,MONTH(DT9),DAY(DT9))</f>
        <v>46739</v>
      </c>
      <c r="DV9" s="8">
        <f t="shared" ca="1" si="48"/>
        <v>594</v>
      </c>
      <c r="DW9" s="5" t="str">
        <f t="shared" ca="1" si="49"/>
        <v>VIGENTE</v>
      </c>
      <c r="DX9" s="4"/>
      <c r="DY9" s="4">
        <v>46032</v>
      </c>
      <c r="DZ9" s="4">
        <f t="shared" ref="DZ9:DZ10" si="167">DATE(YEAR(DY9)+2,MONTH(DY9),DAY(DY9))</f>
        <v>46762</v>
      </c>
      <c r="EA9" s="8">
        <f t="shared" ca="1" si="50"/>
        <v>617</v>
      </c>
      <c r="EB9" s="5" t="str">
        <f t="shared" ca="1" si="51"/>
        <v>VIGENTE</v>
      </c>
      <c r="EC9" s="4"/>
      <c r="ED9" s="39">
        <v>45994</v>
      </c>
      <c r="EE9" s="4">
        <f t="shared" ref="EE9:EE10" si="168">DATE(YEAR(ED9)+2,MONTH(ED9),DAY(ED9))</f>
        <v>46724</v>
      </c>
      <c r="EF9" s="8">
        <f t="shared" ca="1" si="52"/>
        <v>579</v>
      </c>
      <c r="EG9" s="5" t="str">
        <f t="shared" ca="1" si="53"/>
        <v>VIGENTE</v>
      </c>
      <c r="EH9" s="3"/>
      <c r="EI9" s="3">
        <v>46015</v>
      </c>
      <c r="EJ9" s="4">
        <f t="shared" si="131"/>
        <v>46380</v>
      </c>
      <c r="EK9" s="8">
        <f t="shared" ca="1" si="54"/>
        <v>235</v>
      </c>
      <c r="EL9" s="5" t="str">
        <f t="shared" ca="1" si="55"/>
        <v>VIGENTE</v>
      </c>
      <c r="EM9" s="3"/>
      <c r="EN9" s="4">
        <v>45995</v>
      </c>
      <c r="EO9" s="4">
        <f>DATE(YEAR(EN9)+2,MONTH(EN9),DAY(EN9))</f>
        <v>46725</v>
      </c>
      <c r="EP9" s="8">
        <f t="shared" ca="1" si="56"/>
        <v>580</v>
      </c>
      <c r="EQ9" s="5" t="str">
        <f t="shared" ca="1" si="57"/>
        <v>VIGENTE</v>
      </c>
      <c r="ER9" s="2"/>
      <c r="ES9" s="39">
        <v>45999</v>
      </c>
      <c r="ET9" s="4">
        <f>DATE(YEAR(ES9)+2,MONTH(ES9),DAY(ES9))</f>
        <v>46729</v>
      </c>
      <c r="EU9" s="8">
        <f t="shared" ca="1" si="58"/>
        <v>584</v>
      </c>
      <c r="EV9" s="5" t="str">
        <f t="shared" ca="1" si="59"/>
        <v>VIGENTE</v>
      </c>
      <c r="EW9" s="3"/>
      <c r="EX9" s="4">
        <v>46037</v>
      </c>
      <c r="EY9" s="4">
        <f t="shared" si="146"/>
        <v>46767</v>
      </c>
      <c r="EZ9" s="8">
        <f t="shared" ca="1" si="60"/>
        <v>622</v>
      </c>
      <c r="FA9" s="5" t="str">
        <f t="shared" ca="1" si="61"/>
        <v>VIGENTE</v>
      </c>
      <c r="FB9" s="2"/>
      <c r="FC9" s="4">
        <v>45988</v>
      </c>
      <c r="FD9" s="4">
        <f>DATE(YEAR(FC9)+2,MONTH(FC9),DAY(FC9))</f>
        <v>46718</v>
      </c>
      <c r="FE9" s="8">
        <f t="shared" ca="1" si="62"/>
        <v>573</v>
      </c>
      <c r="FF9" s="5" t="str">
        <f t="shared" ca="1" si="63"/>
        <v>VIGENTE</v>
      </c>
      <c r="FG9" s="3"/>
      <c r="FH9" s="4">
        <v>45962</v>
      </c>
      <c r="FI9" s="4">
        <f t="shared" si="148"/>
        <v>46692</v>
      </c>
      <c r="FJ9" s="8">
        <f t="shared" ca="1" si="64"/>
        <v>547</v>
      </c>
      <c r="FK9" s="5" t="str">
        <f t="shared" ca="1" si="65"/>
        <v>VIGENTE</v>
      </c>
      <c r="FL9" s="4"/>
      <c r="FM9" s="39">
        <v>46039</v>
      </c>
      <c r="FN9" s="4">
        <f>DATE(YEAR(FM9)+2,MONTH(FM9),DAY(FM9))</f>
        <v>46769</v>
      </c>
      <c r="FO9" s="8">
        <f t="shared" ca="1" si="67"/>
        <v>624</v>
      </c>
      <c r="FP9" s="5" t="str">
        <f t="shared" ca="1" si="68"/>
        <v>VIGENTE</v>
      </c>
      <c r="FQ9" s="3"/>
      <c r="FR9" s="39">
        <v>46034</v>
      </c>
      <c r="FS9" s="4">
        <f t="shared" ref="FS9:FS10" si="169">DATE(YEAR(FR9)+2,MONTH(FR9),DAY(FR9))</f>
        <v>46764</v>
      </c>
      <c r="FT9" s="8">
        <f t="shared" ca="1" si="69"/>
        <v>619</v>
      </c>
      <c r="FU9" s="5" t="str">
        <f t="shared" ca="1" si="70"/>
        <v>VIGENTE</v>
      </c>
      <c r="FV9" s="4"/>
      <c r="FW9" s="4">
        <v>46004</v>
      </c>
      <c r="FX9" s="4">
        <f t="shared" si="153"/>
        <v>46734</v>
      </c>
      <c r="FY9" s="8">
        <f t="shared" ca="1" si="71"/>
        <v>589</v>
      </c>
      <c r="FZ9" s="5" t="str">
        <f t="shared" ca="1" si="72"/>
        <v>VIGENTE</v>
      </c>
      <c r="GA9" s="3"/>
      <c r="GB9" s="4">
        <v>45925</v>
      </c>
      <c r="GC9" s="4">
        <f t="shared" ref="GC9:GC10" si="170">DATE(YEAR(GB9)+2,MONTH(GB9),DAY(GB9))</f>
        <v>46655</v>
      </c>
      <c r="GD9" s="8">
        <f t="shared" ca="1" si="73"/>
        <v>510</v>
      </c>
      <c r="GE9" s="5" t="str">
        <f t="shared" ca="1" si="74"/>
        <v>VIGENTE</v>
      </c>
      <c r="GF9" s="3"/>
      <c r="GG9" s="4">
        <v>45960</v>
      </c>
      <c r="GH9" s="4">
        <f t="shared" ref="GH9:GH10" si="171">DATE(YEAR(GG9)+2,MONTH(GG9),DAY(GG9))</f>
        <v>46690</v>
      </c>
      <c r="GI9" s="8">
        <f t="shared" ca="1" si="75"/>
        <v>545</v>
      </c>
      <c r="GJ9" s="5" t="str">
        <f t="shared" ca="1" si="76"/>
        <v>VIGENTE</v>
      </c>
      <c r="GK9" s="3"/>
      <c r="GL9" s="4">
        <v>45499</v>
      </c>
      <c r="GM9" s="4">
        <f>DATE(YEAR(GL9)+2,MONTH(GL9),DAY(GL9)-1)</f>
        <v>46228</v>
      </c>
      <c r="GN9" s="8">
        <f t="shared" ca="1" si="77"/>
        <v>83</v>
      </c>
      <c r="GO9" s="5" t="str">
        <f t="shared" ca="1" si="78"/>
        <v>VIGENTE</v>
      </c>
      <c r="GP9" s="4"/>
      <c r="GQ9" s="4">
        <v>45299</v>
      </c>
      <c r="GR9" s="4">
        <f t="shared" si="79"/>
        <v>47126</v>
      </c>
      <c r="GS9" s="8">
        <f t="shared" ca="1" si="80"/>
        <v>981</v>
      </c>
      <c r="GT9" s="5" t="str">
        <f t="shared" ca="1" si="81"/>
        <v>VIGENTE</v>
      </c>
      <c r="GU9" s="3"/>
      <c r="GV9" s="4">
        <v>45329</v>
      </c>
      <c r="GW9" s="4">
        <f t="shared" si="82"/>
        <v>47156</v>
      </c>
      <c r="GX9" s="8">
        <f t="shared" ca="1" si="83"/>
        <v>1011</v>
      </c>
      <c r="GY9" s="5" t="str">
        <f t="shared" ca="1" si="84"/>
        <v>VIGENTE</v>
      </c>
      <c r="GZ9" s="2"/>
      <c r="HA9" s="4">
        <v>45343</v>
      </c>
      <c r="HB9" s="4">
        <f t="shared" si="85"/>
        <v>47170</v>
      </c>
      <c r="HC9" s="8">
        <f t="shared" ca="1" si="86"/>
        <v>1025</v>
      </c>
      <c r="HD9" s="5" t="str">
        <f t="shared" ca="1" si="87"/>
        <v>VIGENTE</v>
      </c>
      <c r="HE9" s="6"/>
      <c r="HF9" s="4">
        <v>45317</v>
      </c>
      <c r="HG9" s="4">
        <f t="shared" si="88"/>
        <v>47144</v>
      </c>
      <c r="HH9" s="8">
        <f t="shared" ca="1" si="89"/>
        <v>999</v>
      </c>
      <c r="HI9" s="5" t="str">
        <f t="shared" ca="1" si="90"/>
        <v>VIGENTE</v>
      </c>
      <c r="HJ9" s="2"/>
      <c r="HK9" s="6"/>
      <c r="HL9" s="4"/>
      <c r="HM9" s="8"/>
      <c r="HN9" s="5" t="str">
        <f t="shared" si="91"/>
        <v>NO APLICA</v>
      </c>
      <c r="HO9" s="2"/>
      <c r="HP9" s="2"/>
      <c r="HQ9" s="4"/>
      <c r="HR9" s="2"/>
      <c r="HS9" s="5" t="str">
        <f t="shared" si="92"/>
        <v>NO APLICA</v>
      </c>
      <c r="HT9" s="2"/>
      <c r="HU9" s="6"/>
      <c r="HV9" s="4"/>
      <c r="HW9" s="8"/>
      <c r="HX9" s="5" t="str">
        <f t="shared" si="93"/>
        <v>NO APLICA</v>
      </c>
      <c r="HY9" s="2"/>
      <c r="HZ9" s="6"/>
      <c r="IA9" s="4"/>
      <c r="IB9" s="8"/>
      <c r="IC9" s="5" t="str">
        <f t="shared" si="94"/>
        <v>NO APLICA</v>
      </c>
      <c r="ID9" s="2"/>
      <c r="IE9" s="6"/>
      <c r="IF9" s="4"/>
      <c r="IG9" s="8"/>
      <c r="IH9" s="5" t="str">
        <f t="shared" si="95"/>
        <v>NO APLICA</v>
      </c>
      <c r="II9" s="6"/>
      <c r="IJ9" s="6"/>
      <c r="IK9" s="4"/>
      <c r="IL9" s="8"/>
      <c r="IM9" s="5" t="str">
        <f t="shared" si="96"/>
        <v>NO APLICA</v>
      </c>
      <c r="IN9" s="2"/>
      <c r="IO9" s="6"/>
      <c r="IP9" s="4"/>
      <c r="IQ9" s="8"/>
      <c r="IR9" s="5" t="str">
        <f t="shared" si="97"/>
        <v>NO APLICA</v>
      </c>
      <c r="IS9" s="2"/>
      <c r="IT9" s="6"/>
      <c r="IU9" s="4"/>
      <c r="IV9" s="8"/>
      <c r="IW9" s="5" t="str">
        <f t="shared" si="98"/>
        <v>NO APLICA</v>
      </c>
      <c r="IX9" s="2"/>
      <c r="IY9" s="6"/>
      <c r="IZ9" s="4"/>
      <c r="JA9" s="8"/>
      <c r="JB9" s="5" t="str">
        <f t="shared" si="99"/>
        <v>NO APLICA</v>
      </c>
      <c r="JC9" s="3" t="s">
        <v>780</v>
      </c>
      <c r="JD9" s="3"/>
      <c r="JE9" s="4"/>
      <c r="JF9" s="8"/>
      <c r="JG9" s="5"/>
      <c r="JH9" s="3" t="s">
        <v>780</v>
      </c>
      <c r="JI9" s="6"/>
      <c r="JJ9" s="6"/>
      <c r="JK9" s="6"/>
      <c r="JL9" s="5"/>
      <c r="JM9" s="6" t="s">
        <v>780</v>
      </c>
      <c r="JN9" s="6"/>
      <c r="JO9" s="6"/>
      <c r="JP9" s="6"/>
      <c r="JQ9" s="5"/>
      <c r="JR9" s="6" t="s">
        <v>780</v>
      </c>
      <c r="JS9" s="6"/>
      <c r="JT9" s="6"/>
      <c r="JU9" s="6"/>
      <c r="JV9" s="5"/>
      <c r="JW9" s="6" t="s">
        <v>780</v>
      </c>
      <c r="JX9" s="5"/>
      <c r="JY9" s="5"/>
      <c r="JZ9" s="5"/>
      <c r="KA9" s="5"/>
      <c r="KB9" s="5"/>
      <c r="KC9" s="2"/>
      <c r="KD9" s="4"/>
      <c r="KE9" s="8"/>
      <c r="KF9" s="5" t="str">
        <f t="shared" si="135"/>
        <v>NO APLICA</v>
      </c>
      <c r="KG9" s="5"/>
      <c r="KH9" s="2"/>
      <c r="KI9" s="4"/>
      <c r="KJ9" s="8"/>
      <c r="KK9" s="5" t="str">
        <f t="shared" si="136"/>
        <v>NO APLICA</v>
      </c>
      <c r="KL9" s="5"/>
      <c r="KM9" s="2"/>
      <c r="KN9" s="4"/>
      <c r="KO9" s="8"/>
      <c r="KP9" s="5" t="str">
        <f t="shared" si="100"/>
        <v>NO APLICA</v>
      </c>
      <c r="KQ9" s="5"/>
      <c r="KR9" s="2"/>
      <c r="KS9" s="4"/>
      <c r="KT9" s="8"/>
      <c r="KU9" s="5" t="str">
        <f t="shared" si="137"/>
        <v>NO APLICA</v>
      </c>
      <c r="KV9" s="2"/>
      <c r="KW9" s="6"/>
      <c r="KX9" s="4"/>
      <c r="KY9" s="8"/>
      <c r="KZ9" s="5" t="str">
        <f t="shared" si="151"/>
        <v>NO APLICA</v>
      </c>
      <c r="LA9" s="5"/>
      <c r="LB9" s="6"/>
      <c r="LC9" s="4"/>
      <c r="LD9" s="8"/>
      <c r="LE9" s="5" t="str">
        <f t="shared" si="138"/>
        <v>NO APLICA</v>
      </c>
      <c r="LF9" s="6"/>
      <c r="LG9" s="6"/>
      <c r="LH9" s="4"/>
      <c r="LI9" s="8"/>
      <c r="LJ9" s="5" t="str">
        <f t="shared" si="101"/>
        <v>NO APLICA</v>
      </c>
      <c r="LK9" s="5"/>
      <c r="LL9" s="5"/>
      <c r="LM9" s="5"/>
      <c r="LN9" s="5"/>
      <c r="LO9" s="5" t="str">
        <f t="shared" si="152"/>
        <v>NO APLICA</v>
      </c>
      <c r="LP9" s="2"/>
      <c r="LQ9" s="6"/>
      <c r="LR9" s="4"/>
      <c r="LS9" s="8"/>
      <c r="LT9" s="5" t="str">
        <f t="shared" si="139"/>
        <v>NO APLICA</v>
      </c>
      <c r="LU9" s="6"/>
      <c r="LV9" s="6"/>
      <c r="LW9" s="4"/>
      <c r="LX9" s="8"/>
      <c r="LY9" s="5" t="str">
        <f t="shared" si="140"/>
        <v>NO APLICA</v>
      </c>
      <c r="LZ9" s="6"/>
      <c r="MA9" s="6"/>
      <c r="MB9" s="4"/>
      <c r="MC9" s="8"/>
      <c r="MD9" s="5" t="str">
        <f t="shared" si="141"/>
        <v>NO APLICA</v>
      </c>
      <c r="ME9" s="2"/>
      <c r="MF9" s="2"/>
      <c r="MG9" s="4"/>
      <c r="MH9" s="8"/>
      <c r="MI9" s="5" t="str">
        <f t="shared" si="102"/>
        <v>NO APLICA</v>
      </c>
      <c r="MJ9" s="2"/>
      <c r="MK9" s="2"/>
      <c r="ML9" s="4"/>
      <c r="MM9" s="8"/>
      <c r="MN9" s="5" t="str">
        <f t="shared" si="103"/>
        <v>NO APLICA</v>
      </c>
      <c r="MO9" s="5"/>
      <c r="MP9" s="2"/>
      <c r="MQ9" s="4"/>
      <c r="MR9" s="8"/>
      <c r="MS9" s="5" t="str">
        <f t="shared" si="104"/>
        <v>NO APLICA</v>
      </c>
      <c r="MT9" s="5"/>
      <c r="MU9" s="2"/>
      <c r="MV9" s="2"/>
      <c r="MW9" s="2"/>
      <c r="MX9" s="5" t="str">
        <f t="shared" si="105"/>
        <v>NO APLICA</v>
      </c>
      <c r="MY9" s="2"/>
      <c r="MZ9" s="6"/>
      <c r="NA9" s="4"/>
      <c r="NB9" s="8"/>
      <c r="NC9" s="5" t="str">
        <f t="shared" si="106"/>
        <v>NO APLICA</v>
      </c>
      <c r="ND9" s="2"/>
      <c r="NE9" s="6"/>
      <c r="NF9" s="4"/>
      <c r="NG9" s="8"/>
      <c r="NH9" s="5" t="str">
        <f t="shared" si="107"/>
        <v>NO APLICA</v>
      </c>
      <c r="NI9" s="2"/>
      <c r="NJ9" s="6"/>
      <c r="NK9" s="4"/>
      <c r="NL9" s="8"/>
      <c r="NM9" s="5" t="str">
        <f t="shared" si="108"/>
        <v>NO APLICA</v>
      </c>
      <c r="NN9" s="2"/>
      <c r="NO9" s="2"/>
      <c r="NP9" s="4"/>
      <c r="NQ9" s="8"/>
      <c r="NR9" s="5" t="str">
        <f t="shared" si="109"/>
        <v>NO APLICA</v>
      </c>
      <c r="NS9" s="2"/>
      <c r="NT9" s="2"/>
      <c r="NU9" s="4"/>
      <c r="NV9" s="2"/>
      <c r="NW9" s="5" t="str">
        <f t="shared" si="110"/>
        <v>NO APLICA</v>
      </c>
      <c r="NX9" s="6"/>
      <c r="NY9" s="6"/>
      <c r="NZ9" s="4"/>
      <c r="OA9" s="8"/>
      <c r="OB9" s="5" t="str">
        <f t="shared" si="111"/>
        <v>NO APLICA</v>
      </c>
      <c r="OC9" s="6"/>
      <c r="OD9" s="6"/>
      <c r="OE9" s="6"/>
      <c r="OF9" s="6"/>
      <c r="OG9" s="5" t="str">
        <f t="shared" si="112"/>
        <v>NO APLICA</v>
      </c>
      <c r="OH9" s="6"/>
      <c r="OI9" s="6"/>
      <c r="OJ9" s="4"/>
      <c r="OK9" s="8"/>
      <c r="OL9" s="5" t="str">
        <f t="shared" si="113"/>
        <v>NO APLICA</v>
      </c>
      <c r="OM9" s="6"/>
      <c r="ON9" s="6"/>
      <c r="OO9" s="6"/>
      <c r="OP9" s="6"/>
      <c r="OQ9" s="5" t="str">
        <f t="shared" si="114"/>
        <v>NO APLICA</v>
      </c>
      <c r="OR9" s="6"/>
      <c r="OS9" s="6"/>
      <c r="OT9" s="6"/>
      <c r="OU9" s="6"/>
      <c r="OV9" s="5" t="str">
        <f t="shared" si="115"/>
        <v>NO APLICA</v>
      </c>
      <c r="OW9" s="6"/>
      <c r="OX9" s="6"/>
      <c r="OY9" s="6"/>
      <c r="OZ9" s="6"/>
      <c r="PA9" s="5" t="str">
        <f t="shared" si="116"/>
        <v>NO APLICA</v>
      </c>
      <c r="PB9" s="6"/>
      <c r="PC9" s="6"/>
      <c r="PD9" s="6"/>
      <c r="PE9" s="6"/>
      <c r="PF9" s="5" t="str">
        <f t="shared" si="117"/>
        <v>NO APLICA</v>
      </c>
      <c r="PG9" s="6"/>
      <c r="PH9" s="6"/>
      <c r="PI9" s="6"/>
      <c r="PJ9" s="6"/>
      <c r="PK9" s="5" t="str">
        <f t="shared" si="118"/>
        <v>NO APLICA</v>
      </c>
      <c r="PL9" s="5"/>
      <c r="PM9" s="6"/>
      <c r="PN9" s="4"/>
      <c r="PO9" s="8"/>
      <c r="PP9" s="5" t="str">
        <f t="shared" si="119"/>
        <v>NO APLICA</v>
      </c>
      <c r="PQ9" s="6"/>
      <c r="PR9" s="6"/>
      <c r="PS9" s="6"/>
      <c r="PT9" s="6"/>
      <c r="PU9" s="5" t="str">
        <f t="shared" si="120"/>
        <v>NO APLICA</v>
      </c>
      <c r="PV9" s="5"/>
      <c r="PW9" s="6"/>
      <c r="PX9" s="6"/>
      <c r="PY9" s="6"/>
      <c r="PZ9" s="5" t="str">
        <f t="shared" si="121"/>
        <v>NO APLICA</v>
      </c>
    </row>
    <row r="10" spans="1:442" ht="15.6" hidden="1" thickTop="1" thickBot="1" x14ac:dyDescent="0.35">
      <c r="A10" s="26">
        <v>7</v>
      </c>
      <c r="B10" s="31">
        <v>1669</v>
      </c>
      <c r="C10" s="28" t="s">
        <v>86</v>
      </c>
      <c r="D10" s="29" t="s">
        <v>68</v>
      </c>
      <c r="E10" s="30" t="s">
        <v>73</v>
      </c>
      <c r="F10" s="2"/>
      <c r="G10" s="6"/>
      <c r="H10" s="4"/>
      <c r="I10" s="8"/>
      <c r="J10" s="5" t="str">
        <f t="shared" si="0"/>
        <v>NO APLICA</v>
      </c>
      <c r="K10" s="5"/>
      <c r="L10" s="6"/>
      <c r="M10" s="6"/>
      <c r="N10" s="8"/>
      <c r="O10" s="5" t="str">
        <f t="shared" si="1"/>
        <v>NO APLICA</v>
      </c>
      <c r="P10" s="6"/>
      <c r="Q10" s="6"/>
      <c r="R10" s="4"/>
      <c r="S10" s="8"/>
      <c r="T10" s="5" t="str">
        <f t="shared" si="122"/>
        <v>NO APLICA</v>
      </c>
      <c r="U10" s="5"/>
      <c r="V10" s="2" t="s">
        <v>87</v>
      </c>
      <c r="W10" s="4">
        <v>44954</v>
      </c>
      <c r="X10" s="4">
        <f t="shared" si="2"/>
        <v>46780</v>
      </c>
      <c r="Y10" s="8">
        <f t="shared" ca="1" si="3"/>
        <v>635</v>
      </c>
      <c r="Z10" s="5" t="str">
        <f t="shared" ca="1" si="4"/>
        <v>VIGENTE</v>
      </c>
      <c r="AA10" s="5"/>
      <c r="AB10" s="2" t="s">
        <v>88</v>
      </c>
      <c r="AC10" s="4">
        <v>45152</v>
      </c>
      <c r="AD10" s="4">
        <f t="shared" si="5"/>
        <v>46979</v>
      </c>
      <c r="AE10" s="8">
        <f t="shared" ca="1" si="6"/>
        <v>834</v>
      </c>
      <c r="AF10" s="5" t="str">
        <f t="shared" ca="1" si="7"/>
        <v>VIGENTE</v>
      </c>
      <c r="AG10" s="3"/>
      <c r="AH10" s="4">
        <v>45780</v>
      </c>
      <c r="AI10" s="4">
        <f t="shared" si="166"/>
        <v>46510</v>
      </c>
      <c r="AJ10" s="8">
        <f t="shared" ca="1" si="8"/>
        <v>365</v>
      </c>
      <c r="AK10" s="5" t="str">
        <f t="shared" ca="1" si="9"/>
        <v>VIGENTE</v>
      </c>
      <c r="AL10" s="3"/>
      <c r="AM10" s="4">
        <v>45710</v>
      </c>
      <c r="AN10" s="4">
        <f>DATE(YEAR(AM10)+2,MONTH(AM10),DAY(AM10)-1)</f>
        <v>46439</v>
      </c>
      <c r="AO10" s="8">
        <f t="shared" ca="1" si="10"/>
        <v>294</v>
      </c>
      <c r="AP10" s="5" t="str">
        <f t="shared" ca="1" si="11"/>
        <v>VIGENTE</v>
      </c>
      <c r="AQ10" s="3"/>
      <c r="AR10" s="4">
        <v>45820</v>
      </c>
      <c r="AS10" s="4">
        <f t="shared" si="125"/>
        <v>46550</v>
      </c>
      <c r="AT10" s="8">
        <f t="shared" ca="1" si="12"/>
        <v>405</v>
      </c>
      <c r="AU10" s="5" t="str">
        <f t="shared" ca="1" si="13"/>
        <v>VIGENTE</v>
      </c>
      <c r="AV10" s="3"/>
      <c r="AW10" s="4">
        <v>45856</v>
      </c>
      <c r="AX10" s="4">
        <f t="shared" si="14"/>
        <v>46586</v>
      </c>
      <c r="AY10" s="8">
        <f t="shared" ca="1" si="15"/>
        <v>441</v>
      </c>
      <c r="AZ10" s="5" t="str">
        <f t="shared" ca="1" si="16"/>
        <v>VIGENTE</v>
      </c>
      <c r="BA10" s="3"/>
      <c r="BB10" s="4">
        <v>45708</v>
      </c>
      <c r="BC10" s="4">
        <f t="shared" si="154"/>
        <v>46437</v>
      </c>
      <c r="BD10" s="8">
        <f t="shared" ca="1" si="17"/>
        <v>292</v>
      </c>
      <c r="BE10" s="5" t="str">
        <f t="shared" ca="1" si="18"/>
        <v>VIGENTE</v>
      </c>
      <c r="BF10" s="3"/>
      <c r="BG10" s="4">
        <v>45698</v>
      </c>
      <c r="BH10" s="4">
        <f t="shared" si="155"/>
        <v>46427</v>
      </c>
      <c r="BI10" s="8">
        <f t="shared" ca="1" si="19"/>
        <v>282</v>
      </c>
      <c r="BJ10" s="5" t="str">
        <f t="shared" ca="1" si="20"/>
        <v>VIGENTE</v>
      </c>
      <c r="BK10" s="3"/>
      <c r="BL10" s="4">
        <v>45699</v>
      </c>
      <c r="BM10" s="4">
        <f t="shared" si="156"/>
        <v>46428</v>
      </c>
      <c r="BN10" s="8">
        <f t="shared" ca="1" si="21"/>
        <v>283</v>
      </c>
      <c r="BO10" s="5" t="str">
        <f t="shared" ca="1" si="22"/>
        <v>VIGENTE</v>
      </c>
      <c r="BP10" s="3"/>
      <c r="BQ10" s="39">
        <v>45815</v>
      </c>
      <c r="BR10" s="4">
        <f t="shared" si="157"/>
        <v>46544</v>
      </c>
      <c r="BS10" s="8">
        <f t="shared" ca="1" si="23"/>
        <v>399</v>
      </c>
      <c r="BT10" s="5" t="str">
        <f t="shared" ca="1" si="24"/>
        <v>VIGENTE</v>
      </c>
      <c r="BU10" s="3"/>
      <c r="BV10" s="4">
        <v>45736</v>
      </c>
      <c r="BW10" s="4">
        <f t="shared" si="158"/>
        <v>46465</v>
      </c>
      <c r="BX10" s="8">
        <f t="shared" ca="1" si="25"/>
        <v>320</v>
      </c>
      <c r="BY10" s="5" t="str">
        <f t="shared" ca="1" si="26"/>
        <v>VIGENTE</v>
      </c>
      <c r="BZ10" s="2"/>
      <c r="CA10" s="4">
        <v>45730</v>
      </c>
      <c r="CB10" s="4">
        <f t="shared" si="127"/>
        <v>46459</v>
      </c>
      <c r="CC10" s="8">
        <f t="shared" ca="1" si="27"/>
        <v>314</v>
      </c>
      <c r="CD10" s="5" t="str">
        <f t="shared" ca="1" si="28"/>
        <v>VIGENTE</v>
      </c>
      <c r="CE10" s="6"/>
      <c r="CF10" s="4">
        <v>45301</v>
      </c>
      <c r="CG10" s="4">
        <f t="shared" si="29"/>
        <v>46762</v>
      </c>
      <c r="CH10" s="8">
        <f t="shared" ca="1" si="30"/>
        <v>617</v>
      </c>
      <c r="CI10" s="5" t="str">
        <f t="shared" ca="1" si="31"/>
        <v>VIGENTE</v>
      </c>
      <c r="CJ10" s="4"/>
      <c r="CK10" s="4">
        <v>45723</v>
      </c>
      <c r="CL10" s="4">
        <f t="shared" si="128"/>
        <v>46452</v>
      </c>
      <c r="CM10" s="8">
        <f t="shared" ca="1" si="32"/>
        <v>307</v>
      </c>
      <c r="CN10" s="5" t="str">
        <f t="shared" ca="1" si="33"/>
        <v>VIGENTE</v>
      </c>
      <c r="CO10" s="3"/>
      <c r="CP10" s="39">
        <v>45726</v>
      </c>
      <c r="CQ10" s="4">
        <f t="shared" si="159"/>
        <v>46455</v>
      </c>
      <c r="CR10" s="8">
        <f t="shared" ca="1" si="34"/>
        <v>310</v>
      </c>
      <c r="CS10" s="5" t="str">
        <f t="shared" ca="1" si="35"/>
        <v>VIGENTE</v>
      </c>
      <c r="CT10" s="3"/>
      <c r="CU10" s="4">
        <v>45727</v>
      </c>
      <c r="CV10" s="4">
        <f t="shared" si="129"/>
        <v>46456</v>
      </c>
      <c r="CW10" s="8">
        <f t="shared" ca="1" si="36"/>
        <v>311</v>
      </c>
      <c r="CX10" s="5" t="str">
        <f t="shared" ca="1" si="37"/>
        <v>VIGENTE</v>
      </c>
      <c r="CY10" s="3"/>
      <c r="CZ10" s="4">
        <v>45681</v>
      </c>
      <c r="DA10" s="4">
        <f t="shared" si="130"/>
        <v>46410</v>
      </c>
      <c r="DB10" s="8">
        <f t="shared" ca="1" si="38"/>
        <v>265</v>
      </c>
      <c r="DC10" s="5" t="str">
        <f t="shared" ca="1" si="39"/>
        <v>VIGENTE</v>
      </c>
      <c r="DD10" s="3"/>
      <c r="DE10" s="39">
        <v>45689</v>
      </c>
      <c r="DF10" s="4">
        <f>DATE(YEAR(DE10)+2,MONTH(DE10),DAY(DE10)-1)</f>
        <v>46418</v>
      </c>
      <c r="DG10" s="8">
        <f t="shared" ca="1" si="40"/>
        <v>273</v>
      </c>
      <c r="DH10" s="5" t="str">
        <f t="shared" ca="1" si="41"/>
        <v>VIGENTE</v>
      </c>
      <c r="DI10" s="3"/>
      <c r="DJ10" s="39">
        <v>45696</v>
      </c>
      <c r="DK10" s="4">
        <f t="shared" si="42"/>
        <v>46425</v>
      </c>
      <c r="DL10" s="8">
        <f t="shared" ca="1" si="43"/>
        <v>280</v>
      </c>
      <c r="DM10" s="5" t="str">
        <f t="shared" ca="1" si="44"/>
        <v>VIGENTE</v>
      </c>
      <c r="DN10" s="3"/>
      <c r="DO10" s="4">
        <v>45731</v>
      </c>
      <c r="DP10" s="4">
        <f t="shared" si="45"/>
        <v>46460</v>
      </c>
      <c r="DQ10" s="8">
        <f t="shared" ca="1" si="46"/>
        <v>315</v>
      </c>
      <c r="DR10" s="5" t="str">
        <f t="shared" ca="1" si="47"/>
        <v>VIGENTE</v>
      </c>
      <c r="DS10" s="2"/>
      <c r="DT10" s="4">
        <v>45712</v>
      </c>
      <c r="DU10" s="4">
        <f t="shared" si="163"/>
        <v>46441</v>
      </c>
      <c r="DV10" s="8">
        <f t="shared" ca="1" si="48"/>
        <v>296</v>
      </c>
      <c r="DW10" s="5" t="str">
        <f t="shared" ca="1" si="49"/>
        <v>VIGENTE</v>
      </c>
      <c r="DX10" s="3"/>
      <c r="DY10" s="4">
        <v>45847</v>
      </c>
      <c r="DZ10" s="4">
        <f t="shared" si="167"/>
        <v>46577</v>
      </c>
      <c r="EA10" s="8">
        <f t="shared" ca="1" si="50"/>
        <v>432</v>
      </c>
      <c r="EB10" s="5" t="str">
        <f t="shared" ca="1" si="51"/>
        <v>VIGENTE</v>
      </c>
      <c r="EC10" s="3"/>
      <c r="ED10" s="39">
        <v>45913</v>
      </c>
      <c r="EE10" s="4">
        <f t="shared" si="168"/>
        <v>46643</v>
      </c>
      <c r="EF10" s="8">
        <f t="shared" ca="1" si="52"/>
        <v>498</v>
      </c>
      <c r="EG10" s="5" t="str">
        <f t="shared" ca="1" si="53"/>
        <v>VIGENTE</v>
      </c>
      <c r="EH10" s="3"/>
      <c r="EI10" s="4">
        <v>46123</v>
      </c>
      <c r="EJ10" s="4">
        <f t="shared" si="131"/>
        <v>46488</v>
      </c>
      <c r="EK10" s="8">
        <f t="shared" ca="1" si="54"/>
        <v>343</v>
      </c>
      <c r="EL10" s="5" t="str">
        <f t="shared" ca="1" si="55"/>
        <v>VIGENTE</v>
      </c>
      <c r="EM10" s="3"/>
      <c r="EN10" s="4">
        <v>45671</v>
      </c>
      <c r="EO10" s="4">
        <f t="shared" si="164"/>
        <v>46400</v>
      </c>
      <c r="EP10" s="8">
        <f t="shared" ca="1" si="56"/>
        <v>255</v>
      </c>
      <c r="EQ10" s="5" t="str">
        <f t="shared" ca="1" si="57"/>
        <v>VIGENTE</v>
      </c>
      <c r="ER10" s="3"/>
      <c r="ES10" s="39">
        <v>45677</v>
      </c>
      <c r="ET10" s="4">
        <f t="shared" si="165"/>
        <v>46406</v>
      </c>
      <c r="EU10" s="8">
        <f t="shared" ca="1" si="58"/>
        <v>261</v>
      </c>
      <c r="EV10" s="5" t="str">
        <f t="shared" ca="1" si="59"/>
        <v>VIGENTE</v>
      </c>
      <c r="EW10" s="3"/>
      <c r="EX10" s="4">
        <v>45794</v>
      </c>
      <c r="EY10" s="4">
        <f t="shared" si="146"/>
        <v>46524</v>
      </c>
      <c r="EZ10" s="8">
        <f t="shared" ca="1" si="60"/>
        <v>379</v>
      </c>
      <c r="FA10" s="5" t="str">
        <f t="shared" ca="1" si="61"/>
        <v>VIGENTE</v>
      </c>
      <c r="FB10" s="3"/>
      <c r="FC10" s="4">
        <v>45666</v>
      </c>
      <c r="FD10" s="4">
        <f>DATE(YEAR(FC10)+2,MONTH(FC10),DAY(FC10)-1)</f>
        <v>46395</v>
      </c>
      <c r="FE10" s="8">
        <f t="shared" ca="1" si="62"/>
        <v>250</v>
      </c>
      <c r="FF10" s="5" t="str">
        <f t="shared" ca="1" si="63"/>
        <v>VIGENTE</v>
      </c>
      <c r="FG10" s="3"/>
      <c r="FH10" s="4">
        <v>45919</v>
      </c>
      <c r="FI10" s="4">
        <f t="shared" si="148"/>
        <v>46649</v>
      </c>
      <c r="FJ10" s="8">
        <f t="shared" ca="1" si="64"/>
        <v>504</v>
      </c>
      <c r="FK10" s="5" t="str">
        <f t="shared" ca="1" si="65"/>
        <v>VIGENTE</v>
      </c>
      <c r="FL10" s="3"/>
      <c r="FM10" s="39">
        <v>45738</v>
      </c>
      <c r="FN10" s="4">
        <f t="shared" si="66"/>
        <v>46467</v>
      </c>
      <c r="FO10" s="8">
        <f t="shared" ca="1" si="67"/>
        <v>322</v>
      </c>
      <c r="FP10" s="5" t="str">
        <f t="shared" ca="1" si="68"/>
        <v>VIGENTE</v>
      </c>
      <c r="FQ10" s="3"/>
      <c r="FR10" s="39">
        <v>45782</v>
      </c>
      <c r="FS10" s="4">
        <f t="shared" si="169"/>
        <v>46512</v>
      </c>
      <c r="FT10" s="8">
        <f t="shared" ca="1" si="69"/>
        <v>367</v>
      </c>
      <c r="FU10" s="5" t="str">
        <f t="shared" ca="1" si="70"/>
        <v>VIGENTE</v>
      </c>
      <c r="FV10" s="3"/>
      <c r="FW10" s="4">
        <v>45700</v>
      </c>
      <c r="FX10" s="4">
        <f t="shared" si="133"/>
        <v>46429</v>
      </c>
      <c r="FY10" s="8">
        <f t="shared" ca="1" si="71"/>
        <v>284</v>
      </c>
      <c r="FZ10" s="5" t="str">
        <f t="shared" ca="1" si="72"/>
        <v>VIGENTE</v>
      </c>
      <c r="GA10" s="3"/>
      <c r="GB10" s="4">
        <v>45821</v>
      </c>
      <c r="GC10" s="4">
        <f t="shared" si="170"/>
        <v>46551</v>
      </c>
      <c r="GD10" s="8">
        <f t="shared" ca="1" si="73"/>
        <v>406</v>
      </c>
      <c r="GE10" s="5" t="str">
        <f t="shared" ca="1" si="74"/>
        <v>VIGENTE</v>
      </c>
      <c r="GF10" s="3"/>
      <c r="GG10" s="4">
        <v>45814</v>
      </c>
      <c r="GH10" s="4">
        <f t="shared" si="171"/>
        <v>46544</v>
      </c>
      <c r="GI10" s="8">
        <f t="shared" ca="1" si="75"/>
        <v>399</v>
      </c>
      <c r="GJ10" s="5" t="str">
        <f t="shared" ca="1" si="76"/>
        <v>VIGENTE</v>
      </c>
      <c r="GK10" s="3"/>
      <c r="GL10" s="4">
        <v>45848</v>
      </c>
      <c r="GM10" s="4">
        <f t="shared" ref="GM10" si="172">DATE(YEAR(GL10)+2,MONTH(GL10),DAY(GL10))</f>
        <v>46578</v>
      </c>
      <c r="GN10" s="8">
        <f t="shared" ca="1" si="77"/>
        <v>433</v>
      </c>
      <c r="GO10" s="5" t="str">
        <f t="shared" ca="1" si="78"/>
        <v>VIGENTE</v>
      </c>
      <c r="GP10" s="4"/>
      <c r="GQ10" s="4">
        <v>45120</v>
      </c>
      <c r="GR10" s="4">
        <f t="shared" si="79"/>
        <v>46947</v>
      </c>
      <c r="GS10" s="8">
        <f t="shared" ca="1" si="80"/>
        <v>802</v>
      </c>
      <c r="GT10" s="5" t="str">
        <f t="shared" ca="1" si="81"/>
        <v>VIGENTE</v>
      </c>
      <c r="GU10" s="3"/>
      <c r="GV10" s="4">
        <v>45029</v>
      </c>
      <c r="GW10" s="4">
        <f t="shared" si="82"/>
        <v>46856</v>
      </c>
      <c r="GX10" s="8">
        <f t="shared" ca="1" si="83"/>
        <v>711</v>
      </c>
      <c r="GY10" s="5" t="str">
        <f t="shared" ca="1" si="84"/>
        <v>VIGENTE</v>
      </c>
      <c r="GZ10" s="2"/>
      <c r="HA10" s="4">
        <v>45119</v>
      </c>
      <c r="HB10" s="4">
        <f t="shared" si="85"/>
        <v>46946</v>
      </c>
      <c r="HC10" s="8">
        <f t="shared" ca="1" si="86"/>
        <v>801</v>
      </c>
      <c r="HD10" s="5" t="str">
        <f t="shared" ca="1" si="87"/>
        <v>VIGENTE</v>
      </c>
      <c r="HE10" s="6"/>
      <c r="HF10" s="4">
        <v>45267</v>
      </c>
      <c r="HG10" s="4">
        <f t="shared" si="88"/>
        <v>47094</v>
      </c>
      <c r="HH10" s="8">
        <f t="shared" ca="1" si="89"/>
        <v>949</v>
      </c>
      <c r="HI10" s="5" t="str">
        <f t="shared" ca="1" si="90"/>
        <v>VIGENTE</v>
      </c>
      <c r="HJ10" s="2"/>
      <c r="HK10" s="6"/>
      <c r="HL10" s="4"/>
      <c r="HM10" s="8"/>
      <c r="HN10" s="5" t="str">
        <f t="shared" si="91"/>
        <v>NO APLICA</v>
      </c>
      <c r="HO10" s="2"/>
      <c r="HP10" s="2"/>
      <c r="HQ10" s="4"/>
      <c r="HR10" s="2"/>
      <c r="HS10" s="5" t="str">
        <f t="shared" si="92"/>
        <v>NO APLICA</v>
      </c>
      <c r="HT10" s="2"/>
      <c r="HU10" s="6"/>
      <c r="HV10" s="4"/>
      <c r="HW10" s="8"/>
      <c r="HX10" s="5" t="str">
        <f t="shared" si="93"/>
        <v>NO APLICA</v>
      </c>
      <c r="HY10" s="2"/>
      <c r="HZ10" s="4">
        <v>45282</v>
      </c>
      <c r="IA10" s="4">
        <f>DATE(YEAR(HZ10)+5,MONTH(HZ10),DAY(HZ10))</f>
        <v>47109</v>
      </c>
      <c r="IB10" s="8">
        <f ca="1">IA10-TODAY()</f>
        <v>964</v>
      </c>
      <c r="IC10" s="5" t="str">
        <f t="shared" ca="1" si="94"/>
        <v>VIGENTE</v>
      </c>
      <c r="ID10" s="2"/>
      <c r="IE10" s="6"/>
      <c r="IF10" s="4"/>
      <c r="IG10" s="8"/>
      <c r="IH10" s="5" t="str">
        <f t="shared" si="95"/>
        <v>NO APLICA</v>
      </c>
      <c r="II10" s="6"/>
      <c r="IJ10" s="6"/>
      <c r="IK10" s="4"/>
      <c r="IL10" s="8"/>
      <c r="IM10" s="5" t="str">
        <f t="shared" si="96"/>
        <v>NO APLICA</v>
      </c>
      <c r="IN10" s="2"/>
      <c r="IO10" s="4">
        <v>45354</v>
      </c>
      <c r="IP10" s="4">
        <f>DATE(YEAR(IO10)+5,MONTH(IO10),DAY(IO10))</f>
        <v>47180</v>
      </c>
      <c r="IQ10" s="8">
        <f ca="1">IP10-TODAY()</f>
        <v>1035</v>
      </c>
      <c r="IR10" s="5" t="str">
        <f t="shared" ca="1" si="97"/>
        <v>VIGENTE</v>
      </c>
      <c r="IS10" s="2"/>
      <c r="IT10" s="4">
        <v>45171</v>
      </c>
      <c r="IU10" s="4">
        <f>DATE(YEAR(IT10)+5,MONTH(IT10),DAY(IT10))</f>
        <v>46998</v>
      </c>
      <c r="IV10" s="8">
        <f ca="1">IU10-TODAY()</f>
        <v>853</v>
      </c>
      <c r="IW10" s="5" t="str">
        <f t="shared" ca="1" si="98"/>
        <v>VIGENTE</v>
      </c>
      <c r="IX10" s="2"/>
      <c r="IY10" s="4">
        <v>45339</v>
      </c>
      <c r="IZ10" s="4">
        <f>DATE(YEAR(IY10)+5,MONTH(IY10),DAY(IY10))</f>
        <v>47166</v>
      </c>
      <c r="JA10" s="8">
        <f ca="1">IZ10-TODAY()</f>
        <v>1021</v>
      </c>
      <c r="JB10" s="5" t="str">
        <f t="shared" ca="1" si="99"/>
        <v>VIGENTE</v>
      </c>
      <c r="JC10" s="3" t="s">
        <v>780</v>
      </c>
      <c r="JD10" s="3"/>
      <c r="JE10" s="4"/>
      <c r="JF10" s="8"/>
      <c r="JG10" s="5"/>
      <c r="JH10" s="3" t="s">
        <v>780</v>
      </c>
      <c r="JI10" s="6"/>
      <c r="JJ10" s="6"/>
      <c r="JK10" s="6"/>
      <c r="JL10" s="5"/>
      <c r="JM10" s="6" t="s">
        <v>780</v>
      </c>
      <c r="JN10" s="6"/>
      <c r="JO10" s="6"/>
      <c r="JP10" s="6"/>
      <c r="JQ10" s="5"/>
      <c r="JR10" s="6" t="s">
        <v>780</v>
      </c>
      <c r="JS10" s="6"/>
      <c r="JT10" s="6"/>
      <c r="JU10" s="6"/>
      <c r="JV10" s="5"/>
      <c r="JW10" s="6" t="s">
        <v>780</v>
      </c>
      <c r="JX10" s="5"/>
      <c r="JY10" s="5"/>
      <c r="JZ10" s="5"/>
      <c r="KA10" s="5"/>
      <c r="KB10" s="5"/>
      <c r="KC10" s="2"/>
      <c r="KD10" s="4"/>
      <c r="KE10" s="8"/>
      <c r="KF10" s="5" t="str">
        <f t="shared" si="135"/>
        <v>NO APLICA</v>
      </c>
      <c r="KG10" s="5"/>
      <c r="KH10" s="2"/>
      <c r="KI10" s="4"/>
      <c r="KJ10" s="8"/>
      <c r="KK10" s="5" t="str">
        <f t="shared" si="136"/>
        <v>NO APLICA</v>
      </c>
      <c r="KL10" s="5"/>
      <c r="KM10" s="2"/>
      <c r="KN10" s="4"/>
      <c r="KO10" s="8"/>
      <c r="KP10" s="5" t="str">
        <f t="shared" si="100"/>
        <v>NO APLICA</v>
      </c>
      <c r="KQ10" s="5"/>
      <c r="KR10" s="2"/>
      <c r="KS10" s="4"/>
      <c r="KT10" s="8"/>
      <c r="KU10" s="5" t="str">
        <f t="shared" si="137"/>
        <v>NO APLICA</v>
      </c>
      <c r="KV10" s="2"/>
      <c r="KW10" s="6"/>
      <c r="KX10" s="4"/>
      <c r="KY10" s="8"/>
      <c r="KZ10" s="5" t="str">
        <f t="shared" si="151"/>
        <v>NO APLICA</v>
      </c>
      <c r="LA10" s="5"/>
      <c r="LB10" s="6"/>
      <c r="LC10" s="4"/>
      <c r="LD10" s="8"/>
      <c r="LE10" s="5" t="str">
        <f t="shared" si="138"/>
        <v>NO APLICA</v>
      </c>
      <c r="LF10" s="6"/>
      <c r="LG10" s="4"/>
      <c r="LH10" s="4"/>
      <c r="LI10" s="8"/>
      <c r="LJ10" s="5" t="str">
        <f t="shared" si="101"/>
        <v>NO APLICA</v>
      </c>
      <c r="LK10" s="5"/>
      <c r="LL10" s="5"/>
      <c r="LM10" s="5"/>
      <c r="LN10" s="5"/>
      <c r="LO10" s="5" t="str">
        <f t="shared" si="152"/>
        <v>NO APLICA</v>
      </c>
      <c r="LP10" s="2"/>
      <c r="LQ10" s="6"/>
      <c r="LR10" s="4"/>
      <c r="LS10" s="8"/>
      <c r="LT10" s="5" t="str">
        <f t="shared" si="139"/>
        <v>NO APLICA</v>
      </c>
      <c r="LU10" s="6"/>
      <c r="LV10" s="6"/>
      <c r="LW10" s="4"/>
      <c r="LX10" s="8"/>
      <c r="LY10" s="5" t="str">
        <f t="shared" si="140"/>
        <v>NO APLICA</v>
      </c>
      <c r="LZ10" s="6"/>
      <c r="MA10" s="6"/>
      <c r="MB10" s="4"/>
      <c r="MC10" s="8"/>
      <c r="MD10" s="5" t="str">
        <f t="shared" si="141"/>
        <v>NO APLICA</v>
      </c>
      <c r="ME10" s="2"/>
      <c r="MF10" s="2"/>
      <c r="MG10" s="4"/>
      <c r="MH10" s="8"/>
      <c r="MI10" s="5" t="str">
        <f t="shared" si="102"/>
        <v>NO APLICA</v>
      </c>
      <c r="MJ10" s="2"/>
      <c r="MK10" s="2"/>
      <c r="ML10" s="4"/>
      <c r="MM10" s="8"/>
      <c r="MN10" s="5" t="str">
        <f t="shared" si="103"/>
        <v>NO APLICA</v>
      </c>
      <c r="MO10" s="5"/>
      <c r="MP10" s="2"/>
      <c r="MQ10" s="4"/>
      <c r="MR10" s="8"/>
      <c r="MS10" s="5" t="str">
        <f t="shared" si="104"/>
        <v>NO APLICA</v>
      </c>
      <c r="MT10" s="5"/>
      <c r="MU10" s="2"/>
      <c r="MV10" s="4"/>
      <c r="MW10" s="2"/>
      <c r="MX10" s="5" t="str">
        <f t="shared" si="105"/>
        <v>NO APLICA</v>
      </c>
      <c r="MY10" s="2"/>
      <c r="MZ10" s="6"/>
      <c r="NA10" s="4"/>
      <c r="NB10" s="8"/>
      <c r="NC10" s="5" t="str">
        <f t="shared" si="106"/>
        <v>NO APLICA</v>
      </c>
      <c r="ND10" s="2"/>
      <c r="NE10" s="6"/>
      <c r="NF10" s="4"/>
      <c r="NG10" s="8"/>
      <c r="NH10" s="5" t="str">
        <f t="shared" si="107"/>
        <v>NO APLICA</v>
      </c>
      <c r="NI10" s="2"/>
      <c r="NJ10" s="6"/>
      <c r="NK10" s="4"/>
      <c r="NL10" s="8"/>
      <c r="NM10" s="5" t="str">
        <f t="shared" si="108"/>
        <v>NO APLICA</v>
      </c>
      <c r="NN10" s="2"/>
      <c r="NO10" s="2"/>
      <c r="NP10" s="4"/>
      <c r="NQ10" s="2"/>
      <c r="NR10" s="5" t="str">
        <f t="shared" si="109"/>
        <v>NO APLICA</v>
      </c>
      <c r="NS10" s="2"/>
      <c r="NT10" s="2"/>
      <c r="NU10" s="4"/>
      <c r="NV10" s="2"/>
      <c r="NW10" s="5" t="str">
        <f t="shared" si="110"/>
        <v>NO APLICA</v>
      </c>
      <c r="NX10" s="6"/>
      <c r="NY10" s="6"/>
      <c r="NZ10" s="4"/>
      <c r="OA10" s="8"/>
      <c r="OB10" s="5" t="str">
        <f t="shared" si="111"/>
        <v>NO APLICA</v>
      </c>
      <c r="OC10" s="6"/>
      <c r="OD10" s="6"/>
      <c r="OE10" s="6"/>
      <c r="OF10" s="6"/>
      <c r="OG10" s="5" t="str">
        <f t="shared" si="112"/>
        <v>NO APLICA</v>
      </c>
      <c r="OH10" s="6"/>
      <c r="OI10" s="6"/>
      <c r="OJ10" s="4"/>
      <c r="OK10" s="8"/>
      <c r="OL10" s="5" t="str">
        <f t="shared" si="113"/>
        <v>NO APLICA</v>
      </c>
      <c r="OM10" s="6"/>
      <c r="ON10" s="6"/>
      <c r="OO10" s="6"/>
      <c r="OP10" s="6"/>
      <c r="OQ10" s="5" t="str">
        <f t="shared" si="114"/>
        <v>NO APLICA</v>
      </c>
      <c r="OR10" s="6"/>
      <c r="OS10" s="6"/>
      <c r="OT10" s="6"/>
      <c r="OU10" s="6"/>
      <c r="OV10" s="5" t="str">
        <f t="shared" si="115"/>
        <v>NO APLICA</v>
      </c>
      <c r="OW10" s="6"/>
      <c r="OX10" s="6"/>
      <c r="OY10" s="6"/>
      <c r="OZ10" s="6"/>
      <c r="PA10" s="5" t="str">
        <f t="shared" si="116"/>
        <v>NO APLICA</v>
      </c>
      <c r="PB10" s="6"/>
      <c r="PC10" s="6"/>
      <c r="PD10" s="6"/>
      <c r="PE10" s="6"/>
      <c r="PF10" s="5" t="str">
        <f t="shared" si="117"/>
        <v>NO APLICA</v>
      </c>
      <c r="PG10" s="6"/>
      <c r="PH10" s="6"/>
      <c r="PI10" s="6"/>
      <c r="PJ10" s="6"/>
      <c r="PK10" s="5" t="str">
        <f t="shared" si="118"/>
        <v>NO APLICA</v>
      </c>
      <c r="PL10" s="5"/>
      <c r="PM10" s="6"/>
      <c r="PN10" s="4"/>
      <c r="PO10" s="8"/>
      <c r="PP10" s="5" t="str">
        <f t="shared" si="119"/>
        <v>NO APLICA</v>
      </c>
      <c r="PQ10" s="6"/>
      <c r="PR10" s="6"/>
      <c r="PS10" s="6"/>
      <c r="PT10" s="6"/>
      <c r="PU10" s="5" t="str">
        <f t="shared" si="120"/>
        <v>NO APLICA</v>
      </c>
      <c r="PV10" s="5"/>
      <c r="PW10" s="6"/>
      <c r="PX10" s="6"/>
      <c r="PY10" s="6"/>
      <c r="PZ10" s="5" t="str">
        <f t="shared" si="121"/>
        <v>NO APLICA</v>
      </c>
    </row>
    <row r="11" spans="1:442" ht="15.6" hidden="1" thickTop="1" thickBot="1" x14ac:dyDescent="0.35">
      <c r="A11" s="26">
        <v>8</v>
      </c>
      <c r="B11" s="31">
        <v>1685</v>
      </c>
      <c r="C11" s="28" t="s">
        <v>89</v>
      </c>
      <c r="D11" s="29" t="s">
        <v>68</v>
      </c>
      <c r="E11" s="30" t="s">
        <v>73</v>
      </c>
      <c r="F11" s="2"/>
      <c r="G11" s="6"/>
      <c r="H11" s="4"/>
      <c r="I11" s="8"/>
      <c r="J11" s="5" t="str">
        <f t="shared" si="0"/>
        <v>NO APLICA</v>
      </c>
      <c r="K11" s="5"/>
      <c r="L11" s="6"/>
      <c r="M11" s="6"/>
      <c r="N11" s="8"/>
      <c r="O11" s="5" t="str">
        <f t="shared" si="1"/>
        <v>NO APLICA</v>
      </c>
      <c r="P11" s="4"/>
      <c r="Q11" s="4">
        <v>45604</v>
      </c>
      <c r="R11" s="4">
        <f>DATE(YEAR(Q11)+2,MONTH(Q11),DAY(Q11)-1)</f>
        <v>46333</v>
      </c>
      <c r="S11" s="8">
        <f ca="1">R11-TODAY()</f>
        <v>188</v>
      </c>
      <c r="T11" s="5" t="str">
        <f t="shared" ca="1" si="122"/>
        <v>VIGENTE</v>
      </c>
      <c r="U11" s="5"/>
      <c r="V11" s="2" t="s">
        <v>90</v>
      </c>
      <c r="W11" s="4">
        <v>45142</v>
      </c>
      <c r="X11" s="4">
        <f t="shared" si="2"/>
        <v>46969</v>
      </c>
      <c r="Y11" s="8">
        <f t="shared" ca="1" si="3"/>
        <v>824</v>
      </c>
      <c r="Z11" s="5" t="str">
        <f t="shared" ca="1" si="4"/>
        <v>VIGENTE</v>
      </c>
      <c r="AA11" s="5"/>
      <c r="AB11" s="2" t="s">
        <v>91</v>
      </c>
      <c r="AC11" s="4">
        <v>45149</v>
      </c>
      <c r="AD11" s="4">
        <f t="shared" si="5"/>
        <v>46976</v>
      </c>
      <c r="AE11" s="8">
        <f t="shared" ca="1" si="6"/>
        <v>831</v>
      </c>
      <c r="AF11" s="5" t="str">
        <f t="shared" ca="1" si="7"/>
        <v>VIGENTE</v>
      </c>
      <c r="AG11" s="3"/>
      <c r="AH11" s="4">
        <v>46006</v>
      </c>
      <c r="AI11" s="4">
        <f>DATE(YEAR(AH11)+2,MONTH(AH11),DAY(AH11))</f>
        <v>46736</v>
      </c>
      <c r="AJ11" s="8">
        <f t="shared" ca="1" si="8"/>
        <v>591</v>
      </c>
      <c r="AK11" s="5" t="str">
        <f t="shared" ca="1" si="9"/>
        <v>VIGENTE</v>
      </c>
      <c r="AL11" s="2"/>
      <c r="AM11" s="4">
        <v>45937</v>
      </c>
      <c r="AN11" s="4">
        <f>DATE(YEAR(AM11)+2,MONTH(AM11),DAY(AM11))</f>
        <v>46667</v>
      </c>
      <c r="AO11" s="8">
        <f t="shared" ca="1" si="10"/>
        <v>522</v>
      </c>
      <c r="AP11" s="5" t="str">
        <f t="shared" ca="1" si="11"/>
        <v>VIGENTE</v>
      </c>
      <c r="AQ11" s="3"/>
      <c r="AR11" s="4">
        <v>45967</v>
      </c>
      <c r="AS11" s="4">
        <f>DATE(YEAR(AR11)+2,MONTH(AR11),DAY(AR11))</f>
        <v>46697</v>
      </c>
      <c r="AT11" s="8">
        <f t="shared" ca="1" si="12"/>
        <v>552</v>
      </c>
      <c r="AU11" s="5" t="str">
        <f t="shared" ca="1" si="13"/>
        <v>VIGENTE</v>
      </c>
      <c r="AV11" s="2"/>
      <c r="AW11" s="4">
        <v>45952</v>
      </c>
      <c r="AX11" s="4">
        <f>DATE(YEAR(AW11)+2,MONTH(AW11),DAY(AW11))</f>
        <v>46682</v>
      </c>
      <c r="AY11" s="8">
        <f t="shared" ca="1" si="15"/>
        <v>537</v>
      </c>
      <c r="AZ11" s="5" t="str">
        <f t="shared" ca="1" si="16"/>
        <v>VIGENTE</v>
      </c>
      <c r="BA11" s="3"/>
      <c r="BB11" s="4">
        <v>46041</v>
      </c>
      <c r="BC11" s="4">
        <f>DATE(YEAR(BB11)+2,MONTH(BB11),DAY(BB11))</f>
        <v>46771</v>
      </c>
      <c r="BD11" s="8">
        <f t="shared" ca="1" si="17"/>
        <v>626</v>
      </c>
      <c r="BE11" s="5" t="str">
        <f t="shared" ca="1" si="18"/>
        <v>VIGENTE</v>
      </c>
      <c r="BF11" s="3"/>
      <c r="BG11" s="4">
        <v>45968</v>
      </c>
      <c r="BH11" s="4">
        <f>DATE(YEAR(BG11)+2,MONTH(BG11),DAY(BG11))</f>
        <v>46698</v>
      </c>
      <c r="BI11" s="8">
        <f t="shared" ca="1" si="19"/>
        <v>553</v>
      </c>
      <c r="BJ11" s="5" t="str">
        <f t="shared" ca="1" si="20"/>
        <v>VIGENTE</v>
      </c>
      <c r="BK11" s="3"/>
      <c r="BL11" s="4">
        <v>46035</v>
      </c>
      <c r="BM11" s="4">
        <f>DATE(YEAR(BL11)+2,MONTH(BL11),DAY(BL11))</f>
        <v>46765</v>
      </c>
      <c r="BN11" s="8">
        <f t="shared" ca="1" si="21"/>
        <v>620</v>
      </c>
      <c r="BO11" s="5" t="str">
        <f t="shared" ca="1" si="22"/>
        <v>VIGENTE</v>
      </c>
      <c r="BP11" s="3"/>
      <c r="BQ11" s="39">
        <v>46050</v>
      </c>
      <c r="BR11" s="4">
        <f>DATE(YEAR(BQ11)+2,MONTH(BQ11),DAY(BQ11))</f>
        <v>46780</v>
      </c>
      <c r="BS11" s="8">
        <f t="shared" ca="1" si="23"/>
        <v>635</v>
      </c>
      <c r="BT11" s="5" t="str">
        <f t="shared" ca="1" si="24"/>
        <v>VIGENTE</v>
      </c>
      <c r="BU11" s="3"/>
      <c r="BV11" s="4">
        <v>46031</v>
      </c>
      <c r="BW11" s="4">
        <f>DATE(YEAR(BV11)+2,MONTH(BV11),DAY(BV11))</f>
        <v>46761</v>
      </c>
      <c r="BX11" s="8">
        <f t="shared" ca="1" si="25"/>
        <v>616</v>
      </c>
      <c r="BY11" s="5" t="str">
        <f t="shared" ca="1" si="26"/>
        <v>VIGENTE</v>
      </c>
      <c r="BZ11" s="3"/>
      <c r="CA11" s="4">
        <v>45974</v>
      </c>
      <c r="CB11" s="4">
        <f t="shared" ref="CB11:CB18" si="173">DATE(YEAR(CA11)+2,MONTH(CA11),DAY(CA11))</f>
        <v>46704</v>
      </c>
      <c r="CC11" s="8">
        <f t="shared" ca="1" si="27"/>
        <v>559</v>
      </c>
      <c r="CD11" s="5" t="str">
        <f t="shared" ca="1" si="28"/>
        <v>VIGENTE</v>
      </c>
      <c r="CE11" s="6"/>
      <c r="CF11" s="4">
        <v>45282</v>
      </c>
      <c r="CG11" s="4">
        <f t="shared" si="29"/>
        <v>46743</v>
      </c>
      <c r="CH11" s="8">
        <f t="shared" ca="1" si="30"/>
        <v>598</v>
      </c>
      <c r="CI11" s="5" t="str">
        <f t="shared" ca="1" si="31"/>
        <v>VIGENTE</v>
      </c>
      <c r="CJ11" s="4"/>
      <c r="CK11" s="4">
        <v>46018</v>
      </c>
      <c r="CL11" s="4">
        <f>DATE(YEAR(CK11)+2,MONTH(CK11),DAY(CK11))</f>
        <v>46748</v>
      </c>
      <c r="CM11" s="8">
        <f t="shared" ca="1" si="32"/>
        <v>603</v>
      </c>
      <c r="CN11" s="5" t="str">
        <f t="shared" ca="1" si="33"/>
        <v>VIGENTE</v>
      </c>
      <c r="CO11" s="3"/>
      <c r="CP11" s="39">
        <v>46038</v>
      </c>
      <c r="CQ11" s="4">
        <f>DATE(YEAR(CP11)+2,MONTH(CP11),DAY(CP11))</f>
        <v>46768</v>
      </c>
      <c r="CR11" s="8">
        <f t="shared" ca="1" si="34"/>
        <v>623</v>
      </c>
      <c r="CS11" s="5" t="str">
        <f t="shared" ca="1" si="35"/>
        <v>VIGENTE</v>
      </c>
      <c r="CT11" s="3"/>
      <c r="CU11" s="4">
        <v>46043</v>
      </c>
      <c r="CV11" s="4">
        <f>DATE(YEAR(CU11)+2,MONTH(CU11),DAY(CU11))</f>
        <v>46773</v>
      </c>
      <c r="CW11" s="8">
        <f t="shared" ca="1" si="36"/>
        <v>628</v>
      </c>
      <c r="CX11" s="5" t="str">
        <f t="shared" ca="1" si="37"/>
        <v>VIGENTE</v>
      </c>
      <c r="CY11" s="3"/>
      <c r="CZ11" s="4">
        <v>46028</v>
      </c>
      <c r="DA11" s="4">
        <f>DATE(YEAR(CZ11)+2,MONTH(CZ11),DAY(CZ11))</f>
        <v>46758</v>
      </c>
      <c r="DB11" s="8">
        <f t="shared" ca="1" si="38"/>
        <v>613</v>
      </c>
      <c r="DC11" s="5" t="str">
        <f t="shared" ca="1" si="39"/>
        <v>VIGENTE</v>
      </c>
      <c r="DD11" s="4"/>
      <c r="DE11" s="39">
        <v>46045</v>
      </c>
      <c r="DF11" s="4">
        <f>DATE(YEAR(DE11)+2,MONTH(DE11),DAY(DE11))</f>
        <v>46775</v>
      </c>
      <c r="DG11" s="8">
        <f t="shared" ca="1" si="40"/>
        <v>630</v>
      </c>
      <c r="DH11" s="5" t="str">
        <f t="shared" ca="1" si="41"/>
        <v>VIGENTE</v>
      </c>
      <c r="DI11" s="3"/>
      <c r="DJ11" s="39">
        <v>46029</v>
      </c>
      <c r="DK11" s="4">
        <f>DATE(YEAR(DJ11)+2,MONTH(DJ11),DAY(DJ11))</f>
        <v>46759</v>
      </c>
      <c r="DL11" s="8">
        <f t="shared" ca="1" si="43"/>
        <v>614</v>
      </c>
      <c r="DM11" s="5" t="str">
        <f t="shared" ca="1" si="44"/>
        <v>VIGENTE</v>
      </c>
      <c r="DN11" s="3"/>
      <c r="DO11" s="4">
        <v>46046</v>
      </c>
      <c r="DP11" s="4">
        <f>DATE(YEAR(DO11)+2,MONTH(DO11),DAY(DO11))</f>
        <v>46776</v>
      </c>
      <c r="DQ11" s="8">
        <f t="shared" ca="1" si="46"/>
        <v>631</v>
      </c>
      <c r="DR11" s="5" t="str">
        <f t="shared" ca="1" si="47"/>
        <v>VIGENTE</v>
      </c>
      <c r="DS11" s="2"/>
      <c r="DT11" s="4">
        <v>46053</v>
      </c>
      <c r="DU11" s="4">
        <f>DATE(YEAR(DT11)+2,MONTH(DT11),DAY(DT11))</f>
        <v>46783</v>
      </c>
      <c r="DV11" s="8">
        <f t="shared" ca="1" si="48"/>
        <v>638</v>
      </c>
      <c r="DW11" s="5" t="str">
        <f t="shared" ca="1" si="49"/>
        <v>VIGENTE</v>
      </c>
      <c r="DX11" s="4"/>
      <c r="DY11" s="4">
        <v>46032</v>
      </c>
      <c r="DZ11" s="4">
        <f>DATE(YEAR(DY11)+2,MONTH(DY11),DAY(DY11))</f>
        <v>46762</v>
      </c>
      <c r="EA11" s="8">
        <f t="shared" ca="1" si="50"/>
        <v>617</v>
      </c>
      <c r="EB11" s="5" t="str">
        <f t="shared" ca="1" si="51"/>
        <v>VIGENTE</v>
      </c>
      <c r="EC11" s="3"/>
      <c r="ED11" s="39">
        <v>46112</v>
      </c>
      <c r="EE11" s="4">
        <f>DATE(YEAR(ED11)+2,MONTH(ED11),DAY(ED11)-1)</f>
        <v>46842</v>
      </c>
      <c r="EF11" s="8">
        <f t="shared" ca="1" si="52"/>
        <v>697</v>
      </c>
      <c r="EG11" s="5" t="str">
        <f t="shared" ca="1" si="53"/>
        <v>VIGENTE</v>
      </c>
      <c r="EH11" s="3"/>
      <c r="EI11" s="4">
        <v>46123</v>
      </c>
      <c r="EJ11" s="4">
        <f t="shared" si="131"/>
        <v>46488</v>
      </c>
      <c r="EK11" s="8">
        <f t="shared" ca="1" si="54"/>
        <v>343</v>
      </c>
      <c r="EL11" s="5" t="str">
        <f t="shared" ca="1" si="55"/>
        <v>VIGENTE</v>
      </c>
      <c r="EM11" s="3"/>
      <c r="EN11" s="4">
        <v>45983</v>
      </c>
      <c r="EO11" s="4">
        <f>DATE(YEAR(EN11)+2,MONTH(EN11),DAY(EN11))</f>
        <v>46713</v>
      </c>
      <c r="EP11" s="8">
        <f t="shared" ca="1" si="56"/>
        <v>568</v>
      </c>
      <c r="EQ11" s="5" t="str">
        <f t="shared" ca="1" si="57"/>
        <v>VIGENTE</v>
      </c>
      <c r="ER11" s="2"/>
      <c r="ES11" s="39">
        <v>45999</v>
      </c>
      <c r="ET11" s="4">
        <f>DATE(YEAR(ES11)+2,MONTH(ES11),DAY(ES11))</f>
        <v>46729</v>
      </c>
      <c r="EU11" s="8">
        <f t="shared" ca="1" si="58"/>
        <v>584</v>
      </c>
      <c r="EV11" s="5" t="str">
        <f t="shared" ca="1" si="59"/>
        <v>VIGENTE</v>
      </c>
      <c r="EW11" s="3"/>
      <c r="EX11" s="4">
        <v>46037</v>
      </c>
      <c r="EY11" s="4">
        <f t="shared" si="146"/>
        <v>46767</v>
      </c>
      <c r="EZ11" s="8">
        <f t="shared" ca="1" si="60"/>
        <v>622</v>
      </c>
      <c r="FA11" s="5" t="str">
        <f t="shared" ca="1" si="61"/>
        <v>VIGENTE</v>
      </c>
      <c r="FB11" s="2"/>
      <c r="FC11" s="4">
        <v>45988</v>
      </c>
      <c r="FD11" s="4">
        <f>DATE(YEAR(FC11)+2,MONTH(FC11),DAY(FC11))</f>
        <v>46718</v>
      </c>
      <c r="FE11" s="8">
        <f t="shared" ca="1" si="62"/>
        <v>573</v>
      </c>
      <c r="FF11" s="5" t="str">
        <f t="shared" ca="1" si="63"/>
        <v>VIGENTE</v>
      </c>
      <c r="FG11" s="2"/>
      <c r="FH11" s="4">
        <v>45992</v>
      </c>
      <c r="FI11" s="4">
        <f t="shared" si="148"/>
        <v>46722</v>
      </c>
      <c r="FJ11" s="8">
        <f t="shared" ca="1" si="64"/>
        <v>577</v>
      </c>
      <c r="FK11" s="5" t="str">
        <f t="shared" ca="1" si="65"/>
        <v>VIGENTE</v>
      </c>
      <c r="FL11" s="4"/>
      <c r="FM11" s="39">
        <v>46039</v>
      </c>
      <c r="FN11" s="4">
        <f>DATE(YEAR(FM11)+2,MONTH(FM11),DAY(FM11))</f>
        <v>46769</v>
      </c>
      <c r="FO11" s="8">
        <f t="shared" ca="1" si="67"/>
        <v>624</v>
      </c>
      <c r="FP11" s="5" t="str">
        <f t="shared" ca="1" si="68"/>
        <v>VIGENTE</v>
      </c>
      <c r="FQ11" s="3"/>
      <c r="FR11" s="39">
        <v>46034</v>
      </c>
      <c r="FS11" s="4">
        <f>DATE(YEAR(FR11)+2,MONTH(FR11),DAY(FR11))</f>
        <v>46764</v>
      </c>
      <c r="FT11" s="8">
        <f t="shared" ca="1" si="69"/>
        <v>619</v>
      </c>
      <c r="FU11" s="5" t="str">
        <f t="shared" ca="1" si="70"/>
        <v>VIGENTE</v>
      </c>
      <c r="FV11" s="3"/>
      <c r="FW11" s="4">
        <v>46014</v>
      </c>
      <c r="FX11" s="4">
        <f>DATE(YEAR(FW11)+2,MONTH(FW11),DAY(FW11))</f>
        <v>46744</v>
      </c>
      <c r="FY11" s="8">
        <f t="shared" ca="1" si="71"/>
        <v>599</v>
      </c>
      <c r="FZ11" s="5" t="str">
        <f t="shared" ca="1" si="72"/>
        <v>VIGENTE</v>
      </c>
      <c r="GA11" s="3"/>
      <c r="GB11" s="4">
        <v>46003</v>
      </c>
      <c r="GC11" s="4">
        <f>DATE(YEAR(GB11)+2,MONTH(GB11),DAY(GB11))</f>
        <v>46733</v>
      </c>
      <c r="GD11" s="8">
        <f t="shared" ca="1" si="73"/>
        <v>588</v>
      </c>
      <c r="GE11" s="5" t="str">
        <f t="shared" ca="1" si="74"/>
        <v>VIGENTE</v>
      </c>
      <c r="GF11" s="3"/>
      <c r="GG11" s="4">
        <v>46036</v>
      </c>
      <c r="GH11" s="4">
        <f>DATE(YEAR(GG11)+2,MONTH(GG11),DAY(GG11))</f>
        <v>46766</v>
      </c>
      <c r="GI11" s="8">
        <f t="shared" ca="1" si="75"/>
        <v>621</v>
      </c>
      <c r="GJ11" s="5" t="str">
        <f t="shared" ca="1" si="76"/>
        <v>VIGENTE</v>
      </c>
      <c r="GK11" s="3"/>
      <c r="GL11" s="4">
        <v>46044</v>
      </c>
      <c r="GM11" s="4">
        <f>DATE(YEAR(GL11)+2,MONTH(GL11),DAY(GL11))</f>
        <v>46774</v>
      </c>
      <c r="GN11" s="8">
        <f t="shared" ca="1" si="77"/>
        <v>629</v>
      </c>
      <c r="GO11" s="5" t="str">
        <f t="shared" ca="1" si="78"/>
        <v>VIGENTE</v>
      </c>
      <c r="GP11" s="4"/>
      <c r="GQ11" s="4">
        <v>45367</v>
      </c>
      <c r="GR11" s="4">
        <f t="shared" si="79"/>
        <v>47193</v>
      </c>
      <c r="GS11" s="8">
        <f t="shared" ca="1" si="80"/>
        <v>1048</v>
      </c>
      <c r="GT11" s="5" t="str">
        <f t="shared" ca="1" si="81"/>
        <v>VIGENTE</v>
      </c>
      <c r="GU11" s="3"/>
      <c r="GV11" s="4">
        <v>45464</v>
      </c>
      <c r="GW11" s="4">
        <f t="shared" si="82"/>
        <v>47290</v>
      </c>
      <c r="GX11" s="8">
        <f t="shared" ca="1" si="83"/>
        <v>1145</v>
      </c>
      <c r="GY11" s="5" t="str">
        <f t="shared" ca="1" si="84"/>
        <v>VIGENTE</v>
      </c>
      <c r="GZ11" s="2"/>
      <c r="HA11" s="4">
        <v>45479</v>
      </c>
      <c r="HB11" s="4">
        <f t="shared" si="85"/>
        <v>47305</v>
      </c>
      <c r="HC11" s="8">
        <f t="shared" ca="1" si="86"/>
        <v>1160</v>
      </c>
      <c r="HD11" s="5" t="str">
        <f t="shared" ca="1" si="87"/>
        <v>VIGENTE</v>
      </c>
      <c r="HE11" s="6"/>
      <c r="HF11" s="4"/>
      <c r="HG11" s="4"/>
      <c r="HH11" s="8"/>
      <c r="HI11" s="5" t="str">
        <f>IF(HH11&gt;=61,"VIGENTE",IF(HH11&gt;=1,"POR VENCER",IF(HH11&lt;=-1,"PROGRAMAR",IF(HF11=0,"NO APLICA"))))</f>
        <v>NO APLICA</v>
      </c>
      <c r="HJ11" s="2"/>
      <c r="HK11" s="6"/>
      <c r="HL11" s="4"/>
      <c r="HM11" s="8"/>
      <c r="HN11" s="5" t="str">
        <f t="shared" si="91"/>
        <v>NO APLICA</v>
      </c>
      <c r="HO11" s="2"/>
      <c r="HP11" s="2"/>
      <c r="HQ11" s="4"/>
      <c r="HR11" s="2"/>
      <c r="HS11" s="5" t="str">
        <f t="shared" si="92"/>
        <v>NO APLICA</v>
      </c>
      <c r="HT11" s="2"/>
      <c r="HU11" s="6"/>
      <c r="HV11" s="4"/>
      <c r="HW11" s="8"/>
      <c r="HX11" s="5" t="str">
        <f t="shared" si="93"/>
        <v>NO APLICA</v>
      </c>
      <c r="HY11" s="2"/>
      <c r="HZ11" s="6"/>
      <c r="IA11" s="4"/>
      <c r="IB11" s="8"/>
      <c r="IC11" s="5" t="str">
        <f t="shared" si="94"/>
        <v>NO APLICA</v>
      </c>
      <c r="ID11" s="2"/>
      <c r="IE11" s="6"/>
      <c r="IF11" s="4"/>
      <c r="IG11" s="8"/>
      <c r="IH11" s="5" t="str">
        <f t="shared" si="95"/>
        <v>NO APLICA</v>
      </c>
      <c r="II11" s="6"/>
      <c r="IJ11" s="6"/>
      <c r="IK11" s="4"/>
      <c r="IL11" s="8"/>
      <c r="IM11" s="5" t="str">
        <f t="shared" si="96"/>
        <v>NO APLICA</v>
      </c>
      <c r="IN11" s="2"/>
      <c r="IO11" s="4"/>
      <c r="IP11" s="4"/>
      <c r="IQ11" s="8"/>
      <c r="IR11" s="5" t="str">
        <f t="shared" si="97"/>
        <v>NO APLICA</v>
      </c>
      <c r="IS11" s="2"/>
      <c r="IT11" s="6"/>
      <c r="IU11" s="4"/>
      <c r="IV11" s="8"/>
      <c r="IW11" s="5" t="str">
        <f t="shared" si="98"/>
        <v>NO APLICA</v>
      </c>
      <c r="IX11" s="2"/>
      <c r="IY11" s="6"/>
      <c r="IZ11" s="4"/>
      <c r="JA11" s="8"/>
      <c r="JB11" s="5" t="str">
        <f t="shared" si="99"/>
        <v>NO APLICA</v>
      </c>
      <c r="JC11" s="3" t="s">
        <v>780</v>
      </c>
      <c r="JD11" s="3"/>
      <c r="JE11" s="4"/>
      <c r="JF11" s="8"/>
      <c r="JG11" s="5"/>
      <c r="JH11" s="3" t="s">
        <v>780</v>
      </c>
      <c r="JI11" s="6"/>
      <c r="JJ11" s="6"/>
      <c r="JK11" s="6"/>
      <c r="JL11" s="5"/>
      <c r="JM11" s="6" t="s">
        <v>780</v>
      </c>
      <c r="JN11" s="6"/>
      <c r="JO11" s="6"/>
      <c r="JP11" s="6"/>
      <c r="JQ11" s="5"/>
      <c r="JR11" s="6" t="s">
        <v>780</v>
      </c>
      <c r="JS11" s="6"/>
      <c r="JT11" s="6"/>
      <c r="JU11" s="6"/>
      <c r="JV11" s="5"/>
      <c r="JW11" s="6" t="s">
        <v>780</v>
      </c>
      <c r="JX11" s="5"/>
      <c r="JY11" s="5"/>
      <c r="JZ11" s="5"/>
      <c r="KA11" s="5"/>
      <c r="KB11" s="5"/>
      <c r="KC11" s="2"/>
      <c r="KD11" s="4"/>
      <c r="KE11" s="8"/>
      <c r="KF11" s="5" t="str">
        <f t="shared" si="135"/>
        <v>NO APLICA</v>
      </c>
      <c r="KG11" s="5"/>
      <c r="KH11" s="2"/>
      <c r="KI11" s="4"/>
      <c r="KJ11" s="8"/>
      <c r="KK11" s="5" t="str">
        <f t="shared" si="136"/>
        <v>NO APLICA</v>
      </c>
      <c r="KL11" s="5"/>
      <c r="KM11" s="3">
        <v>45364</v>
      </c>
      <c r="KN11" s="4">
        <f>DATE(YEAR(KM11)+5,MONTH(KM11),DAY(KM11))</f>
        <v>47190</v>
      </c>
      <c r="KO11" s="8">
        <f ca="1">KN11-TODAY()</f>
        <v>1045</v>
      </c>
      <c r="KP11" s="5" t="str">
        <f t="shared" ca="1" si="100"/>
        <v>VIGENTE</v>
      </c>
      <c r="KQ11" s="5"/>
      <c r="KR11" s="2"/>
      <c r="KS11" s="4"/>
      <c r="KT11" s="8"/>
      <c r="KU11" s="5" t="str">
        <f t="shared" si="137"/>
        <v>NO APLICA</v>
      </c>
      <c r="KV11" s="2"/>
      <c r="KW11" s="6"/>
      <c r="KX11" s="4"/>
      <c r="KY11" s="8"/>
      <c r="KZ11" s="5" t="str">
        <f t="shared" si="151"/>
        <v>NO APLICA</v>
      </c>
      <c r="LA11" s="5"/>
      <c r="LB11" s="6"/>
      <c r="LC11" s="4"/>
      <c r="LD11" s="8"/>
      <c r="LE11" s="5" t="str">
        <f t="shared" si="138"/>
        <v>NO APLICA</v>
      </c>
      <c r="LF11" s="6"/>
      <c r="LG11" s="6"/>
      <c r="LH11" s="4"/>
      <c r="LI11" s="8"/>
      <c r="LJ11" s="5" t="str">
        <f t="shared" si="101"/>
        <v>NO APLICA</v>
      </c>
      <c r="LK11" s="5"/>
      <c r="LL11" s="5"/>
      <c r="LM11" s="4"/>
      <c r="LN11" s="8"/>
      <c r="LO11" s="5" t="str">
        <f t="shared" si="152"/>
        <v>NO APLICA</v>
      </c>
      <c r="LP11" s="2"/>
      <c r="LQ11" s="6"/>
      <c r="LR11" s="4"/>
      <c r="LS11" s="8"/>
      <c r="LT11" s="5" t="str">
        <f t="shared" si="139"/>
        <v>NO APLICA</v>
      </c>
      <c r="LU11" s="6"/>
      <c r="LV11" s="6"/>
      <c r="LW11" s="4"/>
      <c r="LX11" s="8"/>
      <c r="LY11" s="5" t="str">
        <f t="shared" si="140"/>
        <v>NO APLICA</v>
      </c>
      <c r="LZ11" s="6"/>
      <c r="MA11" s="6"/>
      <c r="MB11" s="4"/>
      <c r="MC11" s="8"/>
      <c r="MD11" s="5" t="str">
        <f t="shared" si="141"/>
        <v>NO APLICA</v>
      </c>
      <c r="ME11" s="2"/>
      <c r="MF11" s="2"/>
      <c r="MG11" s="4"/>
      <c r="MH11" s="8"/>
      <c r="MI11" s="5" t="str">
        <f t="shared" si="102"/>
        <v>NO APLICA</v>
      </c>
      <c r="MJ11" s="2"/>
      <c r="MK11" s="2"/>
      <c r="ML11" s="4"/>
      <c r="MM11" s="8"/>
      <c r="MN11" s="5" t="str">
        <f t="shared" si="103"/>
        <v>NO APLICA</v>
      </c>
      <c r="MO11" s="5"/>
      <c r="MP11" s="2"/>
      <c r="MQ11" s="4"/>
      <c r="MR11" s="8"/>
      <c r="MS11" s="5" t="str">
        <f t="shared" si="104"/>
        <v>NO APLICA</v>
      </c>
      <c r="MT11" s="5"/>
      <c r="MU11" s="2"/>
      <c r="MV11" s="4"/>
      <c r="MW11" s="2"/>
      <c r="MX11" s="5" t="str">
        <f t="shared" si="105"/>
        <v>NO APLICA</v>
      </c>
      <c r="MY11" s="2"/>
      <c r="MZ11" s="6"/>
      <c r="NA11" s="4"/>
      <c r="NB11" s="8"/>
      <c r="NC11" s="5" t="str">
        <f t="shared" si="106"/>
        <v>NO APLICA</v>
      </c>
      <c r="ND11" s="2"/>
      <c r="NE11" s="6"/>
      <c r="NF11" s="4"/>
      <c r="NG11" s="8"/>
      <c r="NH11" s="5" t="str">
        <f t="shared" si="107"/>
        <v>NO APLICA</v>
      </c>
      <c r="NI11" s="2"/>
      <c r="NJ11" s="6"/>
      <c r="NK11" s="4"/>
      <c r="NL11" s="8"/>
      <c r="NM11" s="5" t="str">
        <f t="shared" si="108"/>
        <v>NO APLICA</v>
      </c>
      <c r="NN11" s="2"/>
      <c r="NO11" s="2"/>
      <c r="NP11" s="4"/>
      <c r="NQ11" s="8"/>
      <c r="NR11" s="5" t="str">
        <f t="shared" si="109"/>
        <v>NO APLICA</v>
      </c>
      <c r="NS11" s="2"/>
      <c r="NT11" s="2"/>
      <c r="NU11" s="4"/>
      <c r="NV11" s="2"/>
      <c r="NW11" s="5" t="str">
        <f t="shared" si="110"/>
        <v>NO APLICA</v>
      </c>
      <c r="NX11" s="6"/>
      <c r="NY11" s="6"/>
      <c r="NZ11" s="4"/>
      <c r="OA11" s="8"/>
      <c r="OB11" s="5" t="str">
        <f t="shared" si="111"/>
        <v>NO APLICA</v>
      </c>
      <c r="OC11" s="6"/>
      <c r="OD11" s="6"/>
      <c r="OE11" s="6"/>
      <c r="OF11" s="6"/>
      <c r="OG11" s="5" t="str">
        <f t="shared" si="112"/>
        <v>NO APLICA</v>
      </c>
      <c r="OH11" s="6"/>
      <c r="OI11" s="6"/>
      <c r="OJ11" s="4"/>
      <c r="OK11" s="8"/>
      <c r="OL11" s="5" t="str">
        <f t="shared" si="113"/>
        <v>NO APLICA</v>
      </c>
      <c r="OM11" s="6"/>
      <c r="ON11" s="6"/>
      <c r="OO11" s="6"/>
      <c r="OP11" s="6"/>
      <c r="OQ11" s="5" t="str">
        <f t="shared" si="114"/>
        <v>NO APLICA</v>
      </c>
      <c r="OR11" s="6"/>
      <c r="OS11" s="6"/>
      <c r="OT11" s="6"/>
      <c r="OU11" s="6"/>
      <c r="OV11" s="5" t="str">
        <f t="shared" si="115"/>
        <v>NO APLICA</v>
      </c>
      <c r="OW11" s="6"/>
      <c r="OX11" s="6"/>
      <c r="OY11" s="6"/>
      <c r="OZ11" s="6"/>
      <c r="PA11" s="5" t="str">
        <f t="shared" si="116"/>
        <v>NO APLICA</v>
      </c>
      <c r="PB11" s="6"/>
      <c r="PC11" s="6"/>
      <c r="PD11" s="6"/>
      <c r="PE11" s="6"/>
      <c r="PF11" s="5" t="str">
        <f t="shared" si="117"/>
        <v>NO APLICA</v>
      </c>
      <c r="PG11" s="6"/>
      <c r="PH11" s="6"/>
      <c r="PI11" s="6"/>
      <c r="PJ11" s="6"/>
      <c r="PK11" s="5" t="str">
        <f t="shared" si="118"/>
        <v>NO APLICA</v>
      </c>
      <c r="PL11" s="5"/>
      <c r="PM11" s="6"/>
      <c r="PN11" s="4"/>
      <c r="PO11" s="8"/>
      <c r="PP11" s="5" t="str">
        <f t="shared" si="119"/>
        <v>NO APLICA</v>
      </c>
      <c r="PQ11" s="6"/>
      <c r="PR11" s="6"/>
      <c r="PS11" s="6"/>
      <c r="PT11" s="6"/>
      <c r="PU11" s="5" t="str">
        <f t="shared" si="120"/>
        <v>NO APLICA</v>
      </c>
      <c r="PV11" s="5"/>
      <c r="PW11" s="6"/>
      <c r="PX11" s="6"/>
      <c r="PY11" s="6"/>
      <c r="PZ11" s="5" t="str">
        <f t="shared" si="121"/>
        <v>NO APLICA</v>
      </c>
    </row>
    <row r="12" spans="1:442" ht="15.6" hidden="1" thickTop="1" thickBot="1" x14ac:dyDescent="0.35">
      <c r="A12" s="26">
        <v>9</v>
      </c>
      <c r="B12" s="27">
        <v>975</v>
      </c>
      <c r="C12" s="28" t="s">
        <v>92</v>
      </c>
      <c r="D12" s="29" t="s">
        <v>68</v>
      </c>
      <c r="E12" s="30" t="s">
        <v>93</v>
      </c>
      <c r="F12" s="2"/>
      <c r="G12" s="6"/>
      <c r="H12" s="4"/>
      <c r="I12" s="8"/>
      <c r="J12" s="5" t="str">
        <f t="shared" si="0"/>
        <v>NO APLICA</v>
      </c>
      <c r="K12" s="2"/>
      <c r="L12" s="6"/>
      <c r="M12" s="6"/>
      <c r="N12" s="8"/>
      <c r="O12" s="5" t="str">
        <f t="shared" si="1"/>
        <v>NO APLICA</v>
      </c>
      <c r="P12" s="6"/>
      <c r="Q12" s="6"/>
      <c r="R12" s="4"/>
      <c r="S12" s="8"/>
      <c r="T12" s="5" t="str">
        <f t="shared" si="122"/>
        <v>NO APLICA</v>
      </c>
      <c r="U12" s="5"/>
      <c r="V12" s="2" t="s">
        <v>94</v>
      </c>
      <c r="W12" s="4">
        <v>44838</v>
      </c>
      <c r="X12" s="4">
        <f t="shared" si="2"/>
        <v>46664</v>
      </c>
      <c r="Y12" s="8">
        <f t="shared" ca="1" si="3"/>
        <v>519</v>
      </c>
      <c r="Z12" s="5" t="str">
        <f t="shared" ca="1" si="4"/>
        <v>VIGENTE</v>
      </c>
      <c r="AA12" s="5"/>
      <c r="AB12" s="2" t="s">
        <v>95</v>
      </c>
      <c r="AC12" s="4">
        <v>44828</v>
      </c>
      <c r="AD12" s="4">
        <f t="shared" si="5"/>
        <v>46654</v>
      </c>
      <c r="AE12" s="8">
        <f t="shared" ca="1" si="6"/>
        <v>509</v>
      </c>
      <c r="AF12" s="5" t="str">
        <f t="shared" ca="1" si="7"/>
        <v>VIGENTE</v>
      </c>
      <c r="AG12" s="3"/>
      <c r="AH12" s="3">
        <v>45594</v>
      </c>
      <c r="AI12" s="4">
        <f>DATE(YEAR(AH12)+2,MONTH(AH12),DAY(AH12)-1)</f>
        <v>46323</v>
      </c>
      <c r="AJ12" s="8">
        <f t="shared" ca="1" si="8"/>
        <v>178</v>
      </c>
      <c r="AK12" s="5" t="str">
        <f t="shared" ca="1" si="9"/>
        <v>VIGENTE</v>
      </c>
      <c r="AL12" s="3"/>
      <c r="AM12" s="4">
        <v>45926</v>
      </c>
      <c r="AN12" s="4">
        <f>DATE(YEAR(AM12)+2,MONTH(AM12),DAY(AM12))</f>
        <v>46656</v>
      </c>
      <c r="AO12" s="8">
        <f t="shared" ca="1" si="10"/>
        <v>511</v>
      </c>
      <c r="AP12" s="5" t="str">
        <f t="shared" ca="1" si="11"/>
        <v>VIGENTE</v>
      </c>
      <c r="AQ12" s="3"/>
      <c r="AR12" s="4">
        <v>45971</v>
      </c>
      <c r="AS12" s="4">
        <f>DATE(YEAR(AR12)+2,MONTH(AR12),DAY(AR12))</f>
        <v>46701</v>
      </c>
      <c r="AT12" s="8">
        <f t="shared" ca="1" si="12"/>
        <v>556</v>
      </c>
      <c r="AU12" s="5" t="str">
        <f t="shared" ca="1" si="13"/>
        <v>VIGENTE</v>
      </c>
      <c r="AV12" s="3"/>
      <c r="AW12" s="4">
        <v>45972</v>
      </c>
      <c r="AX12" s="4">
        <f>DATE(YEAR(AW12)+2,MONTH(AW12),DAY(AW12))</f>
        <v>46702</v>
      </c>
      <c r="AY12" s="8">
        <f t="shared" ca="1" si="15"/>
        <v>557</v>
      </c>
      <c r="AZ12" s="5" t="str">
        <f t="shared" ca="1" si="16"/>
        <v>VIGENTE</v>
      </c>
      <c r="BA12" s="3"/>
      <c r="BB12" s="4">
        <v>46041</v>
      </c>
      <c r="BC12" s="4">
        <f>DATE(YEAR(BB12)+2,MONTH(BB12),DAY(BB12))</f>
        <v>46771</v>
      </c>
      <c r="BD12" s="8">
        <f t="shared" ca="1" si="17"/>
        <v>626</v>
      </c>
      <c r="BE12" s="5" t="str">
        <f t="shared" ca="1" si="18"/>
        <v>VIGENTE</v>
      </c>
      <c r="BF12" s="3"/>
      <c r="BG12" s="4">
        <v>45987</v>
      </c>
      <c r="BH12" s="4">
        <f>DATE(YEAR(BG12)+2,MONTH(BG12),DAY(BG12))</f>
        <v>46717</v>
      </c>
      <c r="BI12" s="8">
        <f t="shared" ca="1" si="19"/>
        <v>572</v>
      </c>
      <c r="BJ12" s="5" t="str">
        <f t="shared" ca="1" si="20"/>
        <v>VIGENTE</v>
      </c>
      <c r="BK12" s="3"/>
      <c r="BL12" s="4">
        <v>46051</v>
      </c>
      <c r="BM12" s="4">
        <f>DATE(YEAR(BL12)+2,MONTH(BL12),DAY(BL12))</f>
        <v>46781</v>
      </c>
      <c r="BN12" s="8">
        <f t="shared" ca="1" si="21"/>
        <v>636</v>
      </c>
      <c r="BO12" s="5" t="str">
        <f t="shared" ca="1" si="22"/>
        <v>VIGENTE</v>
      </c>
      <c r="BP12" s="3"/>
      <c r="BQ12" s="39">
        <v>46069</v>
      </c>
      <c r="BR12" s="4">
        <f>DATE(YEAR(BQ12)+2,MONTH(BQ12),DAY(BQ12))</f>
        <v>46799</v>
      </c>
      <c r="BS12" s="8">
        <f t="shared" ca="1" si="23"/>
        <v>654</v>
      </c>
      <c r="BT12" s="5" t="str">
        <f t="shared" ca="1" si="24"/>
        <v>VIGENTE</v>
      </c>
      <c r="BU12" s="3"/>
      <c r="BV12" s="4">
        <v>46063</v>
      </c>
      <c r="BW12" s="4">
        <f>DATE(YEAR(BV12)+2,MONTH(BV12),DAY(BV12))</f>
        <v>46793</v>
      </c>
      <c r="BX12" s="8">
        <f t="shared" ca="1" si="25"/>
        <v>648</v>
      </c>
      <c r="BY12" s="5" t="str">
        <f t="shared" ca="1" si="26"/>
        <v>VIGENTE</v>
      </c>
      <c r="BZ12" s="3"/>
      <c r="CA12" s="4">
        <v>45944</v>
      </c>
      <c r="CB12" s="4">
        <f t="shared" si="173"/>
        <v>46674</v>
      </c>
      <c r="CC12" s="8">
        <f t="shared" ca="1" si="27"/>
        <v>529</v>
      </c>
      <c r="CD12" s="5" t="str">
        <f t="shared" ca="1" si="28"/>
        <v>VIGENTE</v>
      </c>
      <c r="CE12" s="6"/>
      <c r="CF12" s="4">
        <v>45227</v>
      </c>
      <c r="CG12" s="4">
        <f t="shared" si="29"/>
        <v>46688</v>
      </c>
      <c r="CH12" s="8">
        <f t="shared" ca="1" si="30"/>
        <v>543</v>
      </c>
      <c r="CI12" s="5" t="str">
        <f t="shared" ca="1" si="31"/>
        <v>VIGENTE</v>
      </c>
      <c r="CJ12" s="4"/>
      <c r="CK12" s="4">
        <v>45504</v>
      </c>
      <c r="CL12" s="4">
        <f>DATE(YEAR(CK12)+2,MONTH(CK12),DAY(CK12)-1)</f>
        <v>46233</v>
      </c>
      <c r="CM12" s="8">
        <f t="shared" ca="1" si="32"/>
        <v>88</v>
      </c>
      <c r="CN12" s="5" t="str">
        <f t="shared" ca="1" si="33"/>
        <v>POR VENCER</v>
      </c>
      <c r="CO12" s="3"/>
      <c r="CP12" s="39">
        <v>45517</v>
      </c>
      <c r="CQ12" s="4">
        <f>DATE(YEAR(CP12)+2,MONTH(CP12),DAY(CP12)-1)</f>
        <v>46246</v>
      </c>
      <c r="CR12" s="8">
        <f t="shared" ca="1" si="34"/>
        <v>101</v>
      </c>
      <c r="CS12" s="5" t="str">
        <f t="shared" ca="1" si="35"/>
        <v>VIGENTE</v>
      </c>
      <c r="CT12" s="3"/>
      <c r="CU12" s="4">
        <v>45631</v>
      </c>
      <c r="CV12" s="4">
        <f>DATE(YEAR(CU12)+2,MONTH(CU12),DAY(CU12)-1)</f>
        <v>46360</v>
      </c>
      <c r="CW12" s="8">
        <f t="shared" ca="1" si="36"/>
        <v>215</v>
      </c>
      <c r="CX12" s="5" t="str">
        <f t="shared" ca="1" si="37"/>
        <v>VIGENTE</v>
      </c>
      <c r="CY12" s="3"/>
      <c r="CZ12" s="4">
        <v>45665</v>
      </c>
      <c r="DA12" s="4">
        <f>DATE(YEAR(CZ12)+2,MONTH(CZ12),DAY(CZ12)-1)</f>
        <v>46394</v>
      </c>
      <c r="DB12" s="8">
        <f t="shared" ca="1" si="38"/>
        <v>249</v>
      </c>
      <c r="DC12" s="5" t="str">
        <f t="shared" ca="1" si="39"/>
        <v>VIGENTE</v>
      </c>
      <c r="DD12" s="3"/>
      <c r="DE12" s="39">
        <v>45689</v>
      </c>
      <c r="DF12" s="4">
        <f>DATE(YEAR(DE12)+2,MONTH(DE12),DAY(DE12)-1)</f>
        <v>46418</v>
      </c>
      <c r="DG12" s="8">
        <f t="shared" ca="1" si="40"/>
        <v>273</v>
      </c>
      <c r="DH12" s="5" t="str">
        <f t="shared" ca="1" si="41"/>
        <v>VIGENTE</v>
      </c>
      <c r="DI12" s="3"/>
      <c r="DJ12" s="39">
        <v>45562</v>
      </c>
      <c r="DK12" s="4">
        <f>DATE(YEAR(DJ12)+2,MONTH(DJ12),DAY(DJ12)-1)</f>
        <v>46291</v>
      </c>
      <c r="DL12" s="8">
        <f t="shared" ca="1" si="43"/>
        <v>146</v>
      </c>
      <c r="DM12" s="5" t="str">
        <f t="shared" ca="1" si="44"/>
        <v>VIGENTE</v>
      </c>
      <c r="DN12" s="3"/>
      <c r="DO12" s="4">
        <v>45982</v>
      </c>
      <c r="DP12" s="4">
        <f>DATE(YEAR(DO12)+2,MONTH(DO12),DAY(DO12))</f>
        <v>46712</v>
      </c>
      <c r="DQ12" s="8">
        <f t="shared" ca="1" si="46"/>
        <v>567</v>
      </c>
      <c r="DR12" s="5" t="str">
        <f t="shared" ca="1" si="47"/>
        <v>VIGENTE</v>
      </c>
      <c r="DS12" s="3"/>
      <c r="DT12" s="4">
        <v>46053</v>
      </c>
      <c r="DU12" s="4">
        <f>DATE(YEAR(DT12)+2,MONTH(DT12),DAY(DT12))</f>
        <v>46783</v>
      </c>
      <c r="DV12" s="8">
        <f t="shared" ca="1" si="48"/>
        <v>638</v>
      </c>
      <c r="DW12" s="5" t="str">
        <f t="shared" ca="1" si="49"/>
        <v>VIGENTE</v>
      </c>
      <c r="DX12" s="3"/>
      <c r="DY12" s="4">
        <v>45682</v>
      </c>
      <c r="DZ12" s="4">
        <f>DATE(YEAR(DY12)+2,MONTH(DY12),DAY(DY12)-1)</f>
        <v>46411</v>
      </c>
      <c r="EA12" s="8">
        <f t="shared" ca="1" si="50"/>
        <v>266</v>
      </c>
      <c r="EB12" s="5" t="str">
        <f t="shared" ca="1" si="51"/>
        <v>VIGENTE</v>
      </c>
      <c r="EC12" s="3"/>
      <c r="ED12" s="39">
        <v>45642</v>
      </c>
      <c r="EE12" s="4">
        <f>DATE(YEAR(ED12)+2,MONTH(ED12),DAY(ED12)-1)</f>
        <v>46371</v>
      </c>
      <c r="EF12" s="8">
        <f t="shared" ca="1" si="52"/>
        <v>226</v>
      </c>
      <c r="EG12" s="5" t="str">
        <f t="shared" ca="1" si="53"/>
        <v>VIGENTE</v>
      </c>
      <c r="EH12" s="3"/>
      <c r="EI12" s="3">
        <v>46085</v>
      </c>
      <c r="EJ12" s="4">
        <f t="shared" si="131"/>
        <v>46450</v>
      </c>
      <c r="EK12" s="8">
        <f t="shared" ca="1" si="54"/>
        <v>305</v>
      </c>
      <c r="EL12" s="5" t="str">
        <f t="shared" ca="1" si="55"/>
        <v>VIGENTE</v>
      </c>
      <c r="EM12" s="3"/>
      <c r="EN12" s="4">
        <v>45671</v>
      </c>
      <c r="EO12" s="4">
        <f>DATE(YEAR(EN12)+2,MONTH(EN12),DAY(EN12)-1)</f>
        <v>46400</v>
      </c>
      <c r="EP12" s="8">
        <f t="shared" ca="1" si="56"/>
        <v>255</v>
      </c>
      <c r="EQ12" s="5" t="str">
        <f t="shared" ca="1" si="57"/>
        <v>VIGENTE</v>
      </c>
      <c r="ER12" s="3"/>
      <c r="ES12" s="39">
        <v>46094</v>
      </c>
      <c r="ET12" s="4">
        <f>DATE(YEAR(ES12)+2,MONTH(ES12),DAY(ES12))</f>
        <v>46825</v>
      </c>
      <c r="EU12" s="8">
        <f t="shared" ca="1" si="58"/>
        <v>680</v>
      </c>
      <c r="EV12" s="5" t="str">
        <f t="shared" ca="1" si="59"/>
        <v>VIGENTE</v>
      </c>
      <c r="EW12" s="3"/>
      <c r="EX12" s="4">
        <v>45953</v>
      </c>
      <c r="EY12" s="4">
        <f t="shared" si="146"/>
        <v>46683</v>
      </c>
      <c r="EZ12" s="8">
        <f t="shared" ca="1" si="60"/>
        <v>538</v>
      </c>
      <c r="FA12" s="5" t="str">
        <f t="shared" ca="1" si="61"/>
        <v>VIGENTE</v>
      </c>
      <c r="FB12" s="3"/>
      <c r="FC12" s="4">
        <v>45931</v>
      </c>
      <c r="FD12" s="4">
        <f>DATE(YEAR(FC12)+2,MONTH(FC12),DAY(FC12))</f>
        <v>46661</v>
      </c>
      <c r="FE12" s="8">
        <f t="shared" ca="1" si="62"/>
        <v>516</v>
      </c>
      <c r="FF12" s="5" t="str">
        <f t="shared" ca="1" si="63"/>
        <v>VIGENTE</v>
      </c>
      <c r="FG12" s="3"/>
      <c r="FH12" s="4">
        <v>45932</v>
      </c>
      <c r="FI12" s="4">
        <f t="shared" si="148"/>
        <v>46662</v>
      </c>
      <c r="FJ12" s="8">
        <f t="shared" ca="1" si="64"/>
        <v>517</v>
      </c>
      <c r="FK12" s="5" t="str">
        <f t="shared" ca="1" si="65"/>
        <v>VIGENTE</v>
      </c>
      <c r="FL12" s="3"/>
      <c r="FM12" s="39">
        <v>45670</v>
      </c>
      <c r="FN12" s="4">
        <f>DATE(YEAR(FM12)+2,MONTH(FM12),DAY(FM12)-1)</f>
        <v>46399</v>
      </c>
      <c r="FO12" s="8">
        <f t="shared" ca="1" si="67"/>
        <v>254</v>
      </c>
      <c r="FP12" s="5" t="str">
        <f t="shared" ca="1" si="68"/>
        <v>VIGENTE</v>
      </c>
      <c r="FQ12" s="3"/>
      <c r="FR12" s="39">
        <v>45556</v>
      </c>
      <c r="FS12" s="4">
        <f>DATE(YEAR(FR12)+2,MONTH(FR12),DAY(FR12)-1)</f>
        <v>46285</v>
      </c>
      <c r="FT12" s="8">
        <f t="shared" ca="1" si="69"/>
        <v>140</v>
      </c>
      <c r="FU12" s="5" t="str">
        <f t="shared" ca="1" si="70"/>
        <v>VIGENTE</v>
      </c>
      <c r="FV12" s="3"/>
      <c r="FW12" s="4">
        <v>45941</v>
      </c>
      <c r="FX12" s="4">
        <f>DATE(YEAR(FW12)+2,MONTH(FW12),DAY(FW12))</f>
        <v>46671</v>
      </c>
      <c r="FY12" s="8">
        <f t="shared" ca="1" si="71"/>
        <v>526</v>
      </c>
      <c r="FZ12" s="5" t="str">
        <f t="shared" ca="1" si="72"/>
        <v>VIGENTE</v>
      </c>
      <c r="GA12" s="3"/>
      <c r="GB12" s="4">
        <v>46073</v>
      </c>
      <c r="GC12" s="4">
        <f>DATE(YEAR(GB12)+2,MONTH(GB12),DAY(GB12))</f>
        <v>46803</v>
      </c>
      <c r="GD12" s="8">
        <f t="shared" ca="1" si="73"/>
        <v>658</v>
      </c>
      <c r="GE12" s="5" t="str">
        <f t="shared" ca="1" si="74"/>
        <v>VIGENTE</v>
      </c>
      <c r="GF12" s="3"/>
      <c r="GG12" s="4">
        <v>45672</v>
      </c>
      <c r="GH12" s="4">
        <f>DATE(YEAR(GG12)+2,MONTH(GG12),DAY(GG12)-1)</f>
        <v>46401</v>
      </c>
      <c r="GI12" s="8">
        <f t="shared" ca="1" si="75"/>
        <v>256</v>
      </c>
      <c r="GJ12" s="5" t="str">
        <f t="shared" ca="1" si="76"/>
        <v>VIGENTE</v>
      </c>
      <c r="GK12" s="3"/>
      <c r="GL12" s="4">
        <v>45923</v>
      </c>
      <c r="GM12" s="4">
        <f>DATE(YEAR(GL12)+2,MONTH(GL12),DAY(GL12))</f>
        <v>46653</v>
      </c>
      <c r="GN12" s="8">
        <f t="shared" ca="1" si="77"/>
        <v>508</v>
      </c>
      <c r="GO12" s="5" t="str">
        <f t="shared" ca="1" si="78"/>
        <v>VIGENTE</v>
      </c>
      <c r="GP12" s="4"/>
      <c r="GQ12" s="4">
        <v>45244</v>
      </c>
      <c r="GR12" s="4">
        <f t="shared" si="79"/>
        <v>47071</v>
      </c>
      <c r="GS12" s="8">
        <f t="shared" ca="1" si="80"/>
        <v>926</v>
      </c>
      <c r="GT12" s="5" t="str">
        <f t="shared" ca="1" si="81"/>
        <v>VIGENTE</v>
      </c>
      <c r="GU12" s="3"/>
      <c r="GV12" s="4">
        <v>45245</v>
      </c>
      <c r="GW12" s="4">
        <f t="shared" si="82"/>
        <v>47072</v>
      </c>
      <c r="GX12" s="8">
        <f t="shared" ca="1" si="83"/>
        <v>927</v>
      </c>
      <c r="GY12" s="5" t="str">
        <f t="shared" ca="1" si="84"/>
        <v>VIGENTE</v>
      </c>
      <c r="GZ12" s="3"/>
      <c r="HA12" s="4">
        <v>45251</v>
      </c>
      <c r="HB12" s="4">
        <f t="shared" si="85"/>
        <v>47078</v>
      </c>
      <c r="HC12" s="8">
        <f t="shared" ca="1" si="86"/>
        <v>933</v>
      </c>
      <c r="HD12" s="5" t="str">
        <f t="shared" ca="1" si="87"/>
        <v>VIGENTE</v>
      </c>
      <c r="HE12" s="6"/>
      <c r="HF12" s="4">
        <v>44865</v>
      </c>
      <c r="HG12" s="4">
        <f t="shared" si="88"/>
        <v>46691</v>
      </c>
      <c r="HH12" s="8">
        <f t="shared" ca="1" si="89"/>
        <v>546</v>
      </c>
      <c r="HI12" s="5" t="str">
        <f ca="1">IF(HH12&gt;=61,"VIGENTE",IF(HH12&gt;=1,"POR VENCER",IF(HH12&lt;=-1,"VENCIDA",IF(HF12=0,"NO APLICA"))))</f>
        <v>VIGENTE</v>
      </c>
      <c r="HJ12" s="3"/>
      <c r="HK12" s="4">
        <v>45370</v>
      </c>
      <c r="HL12" s="4">
        <f>DATE(YEAR(HK12)+5,MONTH(HK12),DAY(HK12))</f>
        <v>47196</v>
      </c>
      <c r="HM12" s="8">
        <f ca="1">HL12-TODAY()</f>
        <v>1051</v>
      </c>
      <c r="HN12" s="5" t="str">
        <f t="shared" ca="1" si="91"/>
        <v>VIGENTE</v>
      </c>
      <c r="HO12" s="3"/>
      <c r="HP12" s="3">
        <v>45698</v>
      </c>
      <c r="HQ12" s="4">
        <f>DATE(YEAR(HP12)+5,MONTH(HP12),DAY(HP12))</f>
        <v>47524</v>
      </c>
      <c r="HR12" s="8">
        <f ca="1">HQ12-TODAY()</f>
        <v>1379</v>
      </c>
      <c r="HS12" s="5" t="str">
        <f t="shared" ca="1" si="92"/>
        <v>VIGENTE</v>
      </c>
      <c r="HT12" s="3"/>
      <c r="HU12" s="4">
        <v>45243</v>
      </c>
      <c r="HV12" s="4">
        <f>DATE(YEAR(HU12)+5,MONTH(HU12),DAY(HU12))</f>
        <v>47070</v>
      </c>
      <c r="HW12" s="8">
        <f ca="1">HV12-TODAY()</f>
        <v>925</v>
      </c>
      <c r="HX12" s="5" t="str">
        <f t="shared" ca="1" si="93"/>
        <v>VIGENTE</v>
      </c>
      <c r="HY12" s="3"/>
      <c r="HZ12" s="4">
        <v>45270</v>
      </c>
      <c r="IA12" s="4">
        <f>DATE(YEAR(HZ12)+5,MONTH(HZ12),DAY(HZ12))</f>
        <v>47097</v>
      </c>
      <c r="IB12" s="8">
        <f ca="1">IA12-TODAY()</f>
        <v>952</v>
      </c>
      <c r="IC12" s="5" t="str">
        <f t="shared" ca="1" si="94"/>
        <v>VIGENTE</v>
      </c>
      <c r="ID12" s="3"/>
      <c r="IE12" s="4">
        <v>45236</v>
      </c>
      <c r="IF12" s="4">
        <f>DATE(YEAR(IE12)+5,MONTH(IE12),DAY(IE12))</f>
        <v>47063</v>
      </c>
      <c r="IG12" s="8">
        <f ca="1">IF12-TODAY()</f>
        <v>918</v>
      </c>
      <c r="IH12" s="5" t="str">
        <f t="shared" ca="1" si="95"/>
        <v>VIGENTE</v>
      </c>
      <c r="II12" s="4"/>
      <c r="IJ12" s="4">
        <v>45290</v>
      </c>
      <c r="IK12" s="4">
        <f>DATE(YEAR(IJ12)+5,MONTH(IJ12),DAY(IJ12))</f>
        <v>47117</v>
      </c>
      <c r="IL12" s="8">
        <f ca="1">IK12-TODAY()</f>
        <v>972</v>
      </c>
      <c r="IM12" s="5" t="str">
        <f t="shared" ca="1" si="96"/>
        <v>VIGENTE</v>
      </c>
      <c r="IN12" s="3"/>
      <c r="IO12" s="4">
        <v>45304</v>
      </c>
      <c r="IP12" s="4">
        <f>DATE(YEAR(IO12)+5,MONTH(IO12),DAY(IO12))</f>
        <v>47131</v>
      </c>
      <c r="IQ12" s="8">
        <f ca="1">IP12-TODAY()</f>
        <v>986</v>
      </c>
      <c r="IR12" s="5" t="str">
        <f t="shared" ca="1" si="97"/>
        <v>VIGENTE</v>
      </c>
      <c r="IS12" s="3"/>
      <c r="IT12" s="4">
        <v>45191</v>
      </c>
      <c r="IU12" s="4">
        <f>DATE(YEAR(IT12)+5,MONTH(IT12),DAY(IT12))</f>
        <v>47018</v>
      </c>
      <c r="IV12" s="8">
        <f ca="1">IU12-TODAY()</f>
        <v>873</v>
      </c>
      <c r="IW12" s="5" t="str">
        <f t="shared" ca="1" si="98"/>
        <v>VIGENTE</v>
      </c>
      <c r="IX12" s="3"/>
      <c r="IY12" s="4">
        <v>45289</v>
      </c>
      <c r="IZ12" s="4">
        <f>DATE(YEAR(IY12)+5,MONTH(IY12),DAY(IY12))</f>
        <v>47116</v>
      </c>
      <c r="JA12" s="8">
        <f ca="1">IZ12-TODAY()</f>
        <v>971</v>
      </c>
      <c r="JB12" s="5" t="str">
        <f t="shared" ca="1" si="99"/>
        <v>VIGENTE</v>
      </c>
      <c r="JC12" s="3" t="s">
        <v>780</v>
      </c>
      <c r="JD12" s="3"/>
      <c r="JE12" s="4"/>
      <c r="JF12" s="8"/>
      <c r="JG12" s="5"/>
      <c r="JH12" s="3" t="s">
        <v>780</v>
      </c>
      <c r="JI12" s="6"/>
      <c r="JJ12" s="6"/>
      <c r="JK12" s="6"/>
      <c r="JL12" s="5"/>
      <c r="JM12" s="6" t="s">
        <v>780</v>
      </c>
      <c r="JN12" s="6"/>
      <c r="JO12" s="6"/>
      <c r="JP12" s="6"/>
      <c r="JQ12" s="5"/>
      <c r="JR12" s="6" t="s">
        <v>780</v>
      </c>
      <c r="JS12" s="6"/>
      <c r="JT12" s="6"/>
      <c r="JU12" s="6"/>
      <c r="JV12" s="5"/>
      <c r="JW12" s="6" t="s">
        <v>780</v>
      </c>
      <c r="JX12" s="5"/>
      <c r="JY12" s="5"/>
      <c r="JZ12" s="5"/>
      <c r="KA12" s="5"/>
      <c r="KB12" s="5"/>
      <c r="KC12" s="2"/>
      <c r="KD12" s="4"/>
      <c r="KE12" s="8"/>
      <c r="KF12" s="5" t="str">
        <f t="shared" si="135"/>
        <v>NO APLICA</v>
      </c>
      <c r="KG12" s="5"/>
      <c r="KH12" s="2"/>
      <c r="KI12" s="4"/>
      <c r="KJ12" s="8"/>
      <c r="KK12" s="5" t="str">
        <f t="shared" si="136"/>
        <v>NO APLICA</v>
      </c>
      <c r="KL12" s="5"/>
      <c r="KM12" s="2"/>
      <c r="KN12" s="4"/>
      <c r="KO12" s="8"/>
      <c r="KP12" s="5" t="str">
        <f t="shared" si="100"/>
        <v>NO APLICA</v>
      </c>
      <c r="KQ12" s="5"/>
      <c r="KR12" s="2"/>
      <c r="KS12" s="4"/>
      <c r="KT12" s="8"/>
      <c r="KU12" s="5" t="str">
        <f t="shared" si="137"/>
        <v>NO APLICA</v>
      </c>
      <c r="KV12" s="4"/>
      <c r="KW12" s="4">
        <v>44653</v>
      </c>
      <c r="KX12" s="4">
        <f>DATE(YEAR(KW12)+5,MONTH(KW12),DAY(KW12))</f>
        <v>46479</v>
      </c>
      <c r="KY12" s="8">
        <f ca="1">KX12-TODAY()</f>
        <v>334</v>
      </c>
      <c r="KZ12" s="5" t="str">
        <f t="shared" ca="1" si="151"/>
        <v>VIGENTE</v>
      </c>
      <c r="LA12" s="5"/>
      <c r="LB12" s="6"/>
      <c r="LC12" s="4"/>
      <c r="LD12" s="8"/>
      <c r="LE12" s="5" t="str">
        <f t="shared" si="138"/>
        <v>NO APLICA</v>
      </c>
      <c r="LF12" s="4"/>
      <c r="LG12" s="4"/>
      <c r="LH12" s="4"/>
      <c r="LI12" s="8"/>
      <c r="LJ12" s="5" t="str">
        <f t="shared" si="101"/>
        <v>NO APLICA</v>
      </c>
      <c r="LK12" s="5"/>
      <c r="LL12" s="5"/>
      <c r="LM12" s="4"/>
      <c r="LN12" s="8"/>
      <c r="LO12" s="5" t="str">
        <f t="shared" si="152"/>
        <v>NO APLICA</v>
      </c>
      <c r="LP12" s="2"/>
      <c r="LQ12" s="6"/>
      <c r="LR12" s="4"/>
      <c r="LS12" s="8"/>
      <c r="LT12" s="5" t="str">
        <f t="shared" si="139"/>
        <v>NO APLICA</v>
      </c>
      <c r="LU12" s="6"/>
      <c r="LV12" s="6"/>
      <c r="LW12" s="4"/>
      <c r="LX12" s="8"/>
      <c r="LY12" s="5" t="str">
        <f t="shared" si="140"/>
        <v>NO APLICA</v>
      </c>
      <c r="LZ12" s="6"/>
      <c r="MA12" s="6"/>
      <c r="MB12" s="4"/>
      <c r="MC12" s="8"/>
      <c r="MD12" s="5" t="str">
        <f t="shared" si="141"/>
        <v>NO APLICA</v>
      </c>
      <c r="ME12" s="2"/>
      <c r="MF12" s="2"/>
      <c r="MG12" s="4"/>
      <c r="MH12" s="8"/>
      <c r="MI12" s="5" t="str">
        <f t="shared" si="102"/>
        <v>NO APLICA</v>
      </c>
      <c r="MJ12" s="2"/>
      <c r="MK12" s="2"/>
      <c r="ML12" s="4"/>
      <c r="MM12" s="8"/>
      <c r="MN12" s="5" t="str">
        <f t="shared" si="103"/>
        <v>NO APLICA</v>
      </c>
      <c r="MO12" s="5"/>
      <c r="MP12" s="2"/>
      <c r="MQ12" s="4"/>
      <c r="MR12" s="8"/>
      <c r="MS12" s="5" t="str">
        <f t="shared" si="104"/>
        <v>NO APLICA</v>
      </c>
      <c r="MT12" s="5"/>
      <c r="MU12" s="2"/>
      <c r="MV12" s="4"/>
      <c r="MW12" s="2"/>
      <c r="MX12" s="5" t="str">
        <f t="shared" si="105"/>
        <v>NO APLICA</v>
      </c>
      <c r="MY12" s="2"/>
      <c r="MZ12" s="6"/>
      <c r="NA12" s="4"/>
      <c r="NB12" s="8"/>
      <c r="NC12" s="5" t="str">
        <f t="shared" si="106"/>
        <v>NO APLICA</v>
      </c>
      <c r="ND12" s="2"/>
      <c r="NE12" s="6"/>
      <c r="NF12" s="4"/>
      <c r="NG12" s="8"/>
      <c r="NH12" s="5" t="str">
        <f t="shared" si="107"/>
        <v>NO APLICA</v>
      </c>
      <c r="NI12" s="2"/>
      <c r="NJ12" s="6"/>
      <c r="NK12" s="4"/>
      <c r="NL12" s="8"/>
      <c r="NM12" s="5" t="str">
        <f t="shared" si="108"/>
        <v>NO APLICA</v>
      </c>
      <c r="NN12" s="2"/>
      <c r="NO12" s="2"/>
      <c r="NP12" s="4"/>
      <c r="NQ12" s="8"/>
      <c r="NR12" s="5" t="str">
        <f t="shared" si="109"/>
        <v>NO APLICA</v>
      </c>
      <c r="NS12" s="2"/>
      <c r="NT12" s="2"/>
      <c r="NU12" s="2"/>
      <c r="NV12" s="2"/>
      <c r="NW12" s="5" t="str">
        <f t="shared" si="110"/>
        <v>NO APLICA</v>
      </c>
      <c r="NX12" s="6"/>
      <c r="NY12" s="6"/>
      <c r="NZ12" s="4"/>
      <c r="OA12" s="8"/>
      <c r="OB12" s="5" t="str">
        <f t="shared" si="111"/>
        <v>NO APLICA</v>
      </c>
      <c r="OC12" s="6"/>
      <c r="OD12" s="6"/>
      <c r="OE12" s="6"/>
      <c r="OF12" s="6"/>
      <c r="OG12" s="5" t="str">
        <f t="shared" si="112"/>
        <v>NO APLICA</v>
      </c>
      <c r="OH12" s="2"/>
      <c r="OI12" s="2"/>
      <c r="OJ12" s="4"/>
      <c r="OK12" s="8"/>
      <c r="OL12" s="5" t="str">
        <f t="shared" si="113"/>
        <v>NO APLICA</v>
      </c>
      <c r="OM12" s="6"/>
      <c r="ON12" s="6"/>
      <c r="OO12" s="6"/>
      <c r="OP12" s="6"/>
      <c r="OQ12" s="5" t="str">
        <f t="shared" si="114"/>
        <v>NO APLICA</v>
      </c>
      <c r="OR12" s="6"/>
      <c r="OS12" s="6"/>
      <c r="OT12" s="6"/>
      <c r="OU12" s="6"/>
      <c r="OV12" s="5" t="str">
        <f t="shared" si="115"/>
        <v>NO APLICA</v>
      </c>
      <c r="OW12" s="6"/>
      <c r="OX12" s="6"/>
      <c r="OY12" s="6"/>
      <c r="OZ12" s="6"/>
      <c r="PA12" s="5" t="str">
        <f t="shared" si="116"/>
        <v>NO APLICA</v>
      </c>
      <c r="PB12" s="6"/>
      <c r="PC12" s="6"/>
      <c r="PD12" s="6"/>
      <c r="PE12" s="6"/>
      <c r="PF12" s="5" t="str">
        <f t="shared" si="117"/>
        <v>NO APLICA</v>
      </c>
      <c r="PG12" s="6"/>
      <c r="PH12" s="6"/>
      <c r="PI12" s="6"/>
      <c r="PJ12" s="6"/>
      <c r="PK12" s="5" t="str">
        <f t="shared" si="118"/>
        <v>NO APLICA</v>
      </c>
      <c r="PL12" s="5"/>
      <c r="PM12" s="6"/>
      <c r="PN12" s="4"/>
      <c r="PO12" s="8"/>
      <c r="PP12" s="5" t="str">
        <f t="shared" si="119"/>
        <v>NO APLICA</v>
      </c>
      <c r="PQ12" s="6"/>
      <c r="PR12" s="6"/>
      <c r="PS12" s="6"/>
      <c r="PT12" s="6"/>
      <c r="PU12" s="5" t="str">
        <f t="shared" si="120"/>
        <v>NO APLICA</v>
      </c>
      <c r="PV12" s="5"/>
      <c r="PW12" s="6"/>
      <c r="PX12" s="6"/>
      <c r="PY12" s="6"/>
      <c r="PZ12" s="5" t="str">
        <f t="shared" si="121"/>
        <v>NO APLICA</v>
      </c>
    </row>
    <row r="13" spans="1:442" ht="15.6" hidden="1" thickTop="1" thickBot="1" x14ac:dyDescent="0.35">
      <c r="A13" s="26">
        <v>10</v>
      </c>
      <c r="B13" s="31">
        <v>1632</v>
      </c>
      <c r="C13" s="28" t="s">
        <v>96</v>
      </c>
      <c r="D13" s="29" t="s">
        <v>68</v>
      </c>
      <c r="E13" s="30" t="s">
        <v>73</v>
      </c>
      <c r="F13" s="2"/>
      <c r="G13" s="6"/>
      <c r="H13" s="4"/>
      <c r="I13" s="8"/>
      <c r="J13" s="5" t="str">
        <f t="shared" si="0"/>
        <v>NO APLICA</v>
      </c>
      <c r="K13" s="5"/>
      <c r="L13" s="6"/>
      <c r="M13" s="6"/>
      <c r="N13" s="8"/>
      <c r="O13" s="5" t="str">
        <f t="shared" si="1"/>
        <v>NO APLICA</v>
      </c>
      <c r="P13" s="6"/>
      <c r="Q13" s="6"/>
      <c r="R13" s="4"/>
      <c r="S13" s="8"/>
      <c r="T13" s="5" t="str">
        <f t="shared" si="122"/>
        <v>NO APLICA</v>
      </c>
      <c r="U13" s="5"/>
      <c r="V13" s="2" t="s">
        <v>97</v>
      </c>
      <c r="W13" s="4">
        <v>44747</v>
      </c>
      <c r="X13" s="4">
        <f t="shared" si="2"/>
        <v>46573</v>
      </c>
      <c r="Y13" s="8">
        <f t="shared" ca="1" si="3"/>
        <v>428</v>
      </c>
      <c r="Z13" s="5" t="str">
        <f t="shared" ca="1" si="4"/>
        <v>VIGENTE</v>
      </c>
      <c r="AA13" s="5"/>
      <c r="AB13" s="2" t="s">
        <v>98</v>
      </c>
      <c r="AC13" s="4">
        <v>44988</v>
      </c>
      <c r="AD13" s="4">
        <f t="shared" si="5"/>
        <v>46815</v>
      </c>
      <c r="AE13" s="8">
        <f t="shared" ca="1" si="6"/>
        <v>670</v>
      </c>
      <c r="AF13" s="5" t="str">
        <f t="shared" ca="1" si="7"/>
        <v>VIGENTE</v>
      </c>
      <c r="AG13" s="3"/>
      <c r="AH13" s="4">
        <v>45589</v>
      </c>
      <c r="AI13" s="4">
        <f>DATE(YEAR(AH13)+2,MONTH(AH13),DAY(AH13)-1)</f>
        <v>46318</v>
      </c>
      <c r="AJ13" s="8">
        <f t="shared" ca="1" si="8"/>
        <v>173</v>
      </c>
      <c r="AK13" s="5" t="str">
        <f t="shared" ca="1" si="9"/>
        <v>VIGENTE</v>
      </c>
      <c r="AL13" s="3"/>
      <c r="AM13" s="4">
        <v>46084</v>
      </c>
      <c r="AN13" s="4">
        <f>DATE(YEAR(AM13)+2,MONTH(AM13),DAY(AM13))</f>
        <v>46815</v>
      </c>
      <c r="AO13" s="8">
        <f t="shared" ca="1" si="10"/>
        <v>670</v>
      </c>
      <c r="AP13" s="5" t="str">
        <f t="shared" ca="1" si="11"/>
        <v>VIGENTE</v>
      </c>
      <c r="AQ13" s="3"/>
      <c r="AR13" s="4">
        <v>46083</v>
      </c>
      <c r="AS13" s="4">
        <f>DATE(YEAR(AR13)+2,MONTH(AR13),DAY(AR13))</f>
        <v>46814</v>
      </c>
      <c r="AT13" s="8">
        <f t="shared" ca="1" si="12"/>
        <v>669</v>
      </c>
      <c r="AU13" s="5" t="str">
        <f t="shared" ca="1" si="13"/>
        <v>VIGENTE</v>
      </c>
      <c r="AV13" s="3"/>
      <c r="AW13" s="4">
        <v>46070</v>
      </c>
      <c r="AX13" s="4">
        <f>DATE(YEAR(AW13)+2,MONTH(AW13),DAY(AW13))</f>
        <v>46800</v>
      </c>
      <c r="AY13" s="8">
        <f t="shared" ca="1" si="15"/>
        <v>655</v>
      </c>
      <c r="AZ13" s="5" t="str">
        <f t="shared" ca="1" si="16"/>
        <v>VIGENTE</v>
      </c>
      <c r="BA13" s="3"/>
      <c r="BB13" s="4">
        <v>46041</v>
      </c>
      <c r="BC13" s="4">
        <f>DATE(YEAR(BB13)+2,MONTH(BB13),DAY(BB13))</f>
        <v>46771</v>
      </c>
      <c r="BD13" s="8">
        <f t="shared" ca="1" si="17"/>
        <v>626</v>
      </c>
      <c r="BE13" s="5" t="str">
        <f t="shared" ca="1" si="18"/>
        <v>VIGENTE</v>
      </c>
      <c r="BF13" s="3"/>
      <c r="BG13" s="4">
        <v>45457</v>
      </c>
      <c r="BH13" s="4">
        <f>DATE(YEAR(BG13)+2,MONTH(BG13),DAY(BG13)-1)</f>
        <v>46186</v>
      </c>
      <c r="BI13" s="8">
        <f t="shared" ca="1" si="19"/>
        <v>41</v>
      </c>
      <c r="BJ13" s="5" t="str">
        <f t="shared" ca="1" si="20"/>
        <v>POR VENCER</v>
      </c>
      <c r="BK13" s="3"/>
      <c r="BL13" s="4">
        <v>46051</v>
      </c>
      <c r="BM13" s="4">
        <f>DATE(YEAR(BL13)+2,MONTH(BL13),DAY(BL13))</f>
        <v>46781</v>
      </c>
      <c r="BN13" s="8">
        <f t="shared" ca="1" si="21"/>
        <v>636</v>
      </c>
      <c r="BO13" s="5" t="str">
        <f t="shared" ca="1" si="22"/>
        <v>VIGENTE</v>
      </c>
      <c r="BP13" s="3"/>
      <c r="BQ13" s="39">
        <v>46050</v>
      </c>
      <c r="BR13" s="4">
        <f>DATE(YEAR(BQ13)+2,MONTH(BQ13),DAY(BQ13))</f>
        <v>46780</v>
      </c>
      <c r="BS13" s="8">
        <f t="shared" ca="1" si="23"/>
        <v>635</v>
      </c>
      <c r="BT13" s="5" t="str">
        <f t="shared" ca="1" si="24"/>
        <v>VIGENTE</v>
      </c>
      <c r="BU13" s="3"/>
      <c r="BV13" s="4">
        <v>46116</v>
      </c>
      <c r="BW13" s="4">
        <f>DATE(YEAR(BV13)+2,MONTH(BV13),DAY(BV13)-1)</f>
        <v>46846</v>
      </c>
      <c r="BX13" s="8">
        <f t="shared" ca="1" si="25"/>
        <v>701</v>
      </c>
      <c r="BY13" s="5" t="str">
        <f t="shared" ca="1" si="26"/>
        <v>VIGENTE</v>
      </c>
      <c r="BZ13" s="3"/>
      <c r="CA13" s="4">
        <v>46065</v>
      </c>
      <c r="CB13" s="4">
        <f t="shared" si="173"/>
        <v>46795</v>
      </c>
      <c r="CC13" s="8">
        <f t="shared" ca="1" si="27"/>
        <v>650</v>
      </c>
      <c r="CD13" s="5" t="str">
        <f t="shared" ca="1" si="28"/>
        <v>VIGENTE</v>
      </c>
      <c r="CE13" s="6"/>
      <c r="CF13" s="4">
        <v>45241</v>
      </c>
      <c r="CG13" s="4">
        <f t="shared" si="29"/>
        <v>46702</v>
      </c>
      <c r="CH13" s="8">
        <f t="shared" ca="1" si="30"/>
        <v>557</v>
      </c>
      <c r="CI13" s="5" t="str">
        <f t="shared" ca="1" si="31"/>
        <v>VIGENTE</v>
      </c>
      <c r="CJ13" s="4"/>
      <c r="CK13" s="4">
        <v>46064</v>
      </c>
      <c r="CL13" s="4">
        <f>DATE(YEAR(CK13)+2,MONTH(CK13),DAY(CK13))</f>
        <v>46794</v>
      </c>
      <c r="CM13" s="8">
        <f t="shared" ca="1" si="32"/>
        <v>649</v>
      </c>
      <c r="CN13" s="5" t="str">
        <f t="shared" ca="1" si="33"/>
        <v>VIGENTE</v>
      </c>
      <c r="CO13" s="3"/>
      <c r="CP13" s="39">
        <v>46108</v>
      </c>
      <c r="CQ13" s="4">
        <f>DATE(YEAR(CP13)+2,MONTH(CP13),DAY(CP13))</f>
        <v>46839</v>
      </c>
      <c r="CR13" s="8">
        <f t="shared" ca="1" si="34"/>
        <v>694</v>
      </c>
      <c r="CS13" s="5" t="str">
        <f t="shared" ca="1" si="35"/>
        <v>VIGENTE</v>
      </c>
      <c r="CT13" s="3"/>
      <c r="CU13" s="4">
        <v>46043</v>
      </c>
      <c r="CV13" s="4">
        <f>DATE(YEAR(CU13)+2,MONTH(CU13),DAY(CU13))</f>
        <v>46773</v>
      </c>
      <c r="CW13" s="8">
        <f t="shared" ca="1" si="36"/>
        <v>628</v>
      </c>
      <c r="CX13" s="5" t="str">
        <f t="shared" ca="1" si="37"/>
        <v>VIGENTE</v>
      </c>
      <c r="CY13" s="3"/>
      <c r="CZ13" s="4">
        <v>45661</v>
      </c>
      <c r="DA13" s="4">
        <f>DATE(YEAR(CZ13)+2,MONTH(CZ13),DAY(CZ13)-1)</f>
        <v>46390</v>
      </c>
      <c r="DB13" s="8">
        <f t="shared" ca="1" si="38"/>
        <v>245</v>
      </c>
      <c r="DC13" s="5" t="str">
        <f t="shared" ca="1" si="39"/>
        <v>VIGENTE</v>
      </c>
      <c r="DD13" s="3"/>
      <c r="DE13" s="39">
        <v>45689</v>
      </c>
      <c r="DF13" s="4">
        <f>DATE(YEAR(DE13)+2,MONTH(DE13),DAY(DE13)-1)</f>
        <v>46418</v>
      </c>
      <c r="DG13" s="8">
        <f t="shared" ca="1" si="40"/>
        <v>273</v>
      </c>
      <c r="DH13" s="5" t="str">
        <f t="shared" ca="1" si="41"/>
        <v>VIGENTE</v>
      </c>
      <c r="DI13" s="3"/>
      <c r="DJ13" s="39">
        <v>46073</v>
      </c>
      <c r="DK13" s="4">
        <f>DATE(YEAR(DJ13)+2,MONTH(DJ13),DAY(DJ13))</f>
        <v>46803</v>
      </c>
      <c r="DL13" s="8">
        <f t="shared" ca="1" si="43"/>
        <v>658</v>
      </c>
      <c r="DM13" s="5" t="str">
        <f t="shared" ca="1" si="44"/>
        <v>VIGENTE</v>
      </c>
      <c r="DN13" s="3"/>
      <c r="DO13" s="4">
        <v>46128</v>
      </c>
      <c r="DP13" s="4">
        <f>DATE(YEAR(DO13)+2,MONTH(DO13),DAY(DO13)-1)</f>
        <v>46858</v>
      </c>
      <c r="DQ13" s="8">
        <f t="shared" ca="1" si="46"/>
        <v>713</v>
      </c>
      <c r="DR13" s="5" t="str">
        <f t="shared" ca="1" si="47"/>
        <v>VIGENTE</v>
      </c>
      <c r="DS13" s="3"/>
      <c r="DT13" s="4">
        <v>46072</v>
      </c>
      <c r="DU13" s="4">
        <f>DATE(YEAR(DT13)+2,MONTH(DT13),DAY(DT13))</f>
        <v>46802</v>
      </c>
      <c r="DV13" s="8">
        <f t="shared" ca="1" si="48"/>
        <v>657</v>
      </c>
      <c r="DW13" s="5" t="str">
        <f t="shared" ca="1" si="49"/>
        <v>VIGENTE</v>
      </c>
      <c r="DX13" s="3"/>
      <c r="DY13" s="4">
        <v>46099</v>
      </c>
      <c r="DZ13" s="4">
        <f>DATE(YEAR(DY13)+2,MONTH(DY13),DAY(DY13))</f>
        <v>46830</v>
      </c>
      <c r="EA13" s="8">
        <f t="shared" ca="1" si="50"/>
        <v>685</v>
      </c>
      <c r="EB13" s="5" t="str">
        <f t="shared" ca="1" si="51"/>
        <v>VIGENTE</v>
      </c>
      <c r="EC13" s="3"/>
      <c r="ED13" s="39">
        <v>46104</v>
      </c>
      <c r="EE13" s="4">
        <f>DATE(YEAR(ED13)+2,MONTH(ED13),DAY(ED13))</f>
        <v>46835</v>
      </c>
      <c r="EF13" s="8">
        <f t="shared" ca="1" si="52"/>
        <v>690</v>
      </c>
      <c r="EG13" s="5" t="str">
        <f t="shared" ca="1" si="53"/>
        <v>VIGENTE</v>
      </c>
      <c r="EH13" s="3"/>
      <c r="EI13" s="4">
        <v>45948</v>
      </c>
      <c r="EJ13" s="4">
        <f t="shared" si="131"/>
        <v>46313</v>
      </c>
      <c r="EK13" s="8">
        <f t="shared" ca="1" si="54"/>
        <v>168</v>
      </c>
      <c r="EL13" s="5" t="str">
        <f t="shared" ca="1" si="55"/>
        <v>VIGENTE</v>
      </c>
      <c r="EM13" s="3"/>
      <c r="EN13" s="4">
        <v>46100</v>
      </c>
      <c r="EO13" s="4">
        <f>DATE(YEAR(EN13)+2,MONTH(EN13),DAY(EN13))</f>
        <v>46831</v>
      </c>
      <c r="EP13" s="8">
        <f t="shared" ca="1" si="56"/>
        <v>686</v>
      </c>
      <c r="EQ13" s="5" t="str">
        <f t="shared" ca="1" si="57"/>
        <v>VIGENTE</v>
      </c>
      <c r="ER13" s="3"/>
      <c r="ES13" s="39">
        <v>46130</v>
      </c>
      <c r="ET13" s="4">
        <f>DATE(YEAR(ES13)+2,MONTH(ES13),DAY(ES13)-1)</f>
        <v>46860</v>
      </c>
      <c r="EU13" s="8">
        <f t="shared" ca="1" si="58"/>
        <v>715</v>
      </c>
      <c r="EV13" s="5" t="str">
        <f t="shared" ca="1" si="59"/>
        <v>VIGENTE</v>
      </c>
      <c r="EW13" s="3"/>
      <c r="EX13" s="4">
        <v>46063</v>
      </c>
      <c r="EY13" s="4">
        <f t="shared" si="146"/>
        <v>46793</v>
      </c>
      <c r="EZ13" s="8">
        <f t="shared" ca="1" si="60"/>
        <v>648</v>
      </c>
      <c r="FA13" s="5" t="str">
        <f t="shared" ca="1" si="61"/>
        <v>VIGENTE</v>
      </c>
      <c r="FB13" s="3"/>
      <c r="FC13" s="4">
        <v>45482</v>
      </c>
      <c r="FD13" s="4">
        <f>DATE(YEAR(FC13)+2,MONTH(FC13),DAY(FC13)-1)</f>
        <v>46211</v>
      </c>
      <c r="FE13" s="8">
        <f t="shared" ca="1" si="62"/>
        <v>66</v>
      </c>
      <c r="FF13" s="5" t="str">
        <f t="shared" ca="1" si="63"/>
        <v>POR VENCER</v>
      </c>
      <c r="FG13" s="3"/>
      <c r="FH13" s="4">
        <v>46066</v>
      </c>
      <c r="FI13" s="4">
        <f t="shared" si="148"/>
        <v>46796</v>
      </c>
      <c r="FJ13" s="8">
        <f t="shared" ca="1" si="64"/>
        <v>651</v>
      </c>
      <c r="FK13" s="5" t="str">
        <f t="shared" ca="1" si="65"/>
        <v>VIGENTE</v>
      </c>
      <c r="FL13" s="3"/>
      <c r="FM13" s="39">
        <v>46039</v>
      </c>
      <c r="FN13" s="4">
        <f>DATE(YEAR(FM13)+2,MONTH(FM13),DAY(FM13))</f>
        <v>46769</v>
      </c>
      <c r="FO13" s="8">
        <f t="shared" ca="1" si="67"/>
        <v>624</v>
      </c>
      <c r="FP13" s="5" t="str">
        <f t="shared" ca="1" si="68"/>
        <v>VIGENTE</v>
      </c>
      <c r="FQ13" s="3"/>
      <c r="FR13" s="39">
        <v>46132</v>
      </c>
      <c r="FS13" s="4">
        <f>DATE(YEAR(FR13)+2,MONTH(FR13),DAY(FR13)-1)</f>
        <v>46862</v>
      </c>
      <c r="FT13" s="8">
        <f t="shared" ca="1" si="69"/>
        <v>717</v>
      </c>
      <c r="FU13" s="5" t="str">
        <f t="shared" ca="1" si="70"/>
        <v>VIGENTE</v>
      </c>
      <c r="FV13" s="4"/>
      <c r="FW13" s="4">
        <v>45616</v>
      </c>
      <c r="FX13" s="4">
        <f>DATE(YEAR(FW13)+2,MONTH(FW13),DAY(FW13)-1)</f>
        <v>46345</v>
      </c>
      <c r="FY13" s="8">
        <f t="shared" ca="1" si="71"/>
        <v>200</v>
      </c>
      <c r="FZ13" s="5" t="str">
        <f t="shared" ca="1" si="72"/>
        <v>VIGENTE</v>
      </c>
      <c r="GA13" s="3"/>
      <c r="GB13" s="4">
        <v>46030</v>
      </c>
      <c r="GC13" s="4">
        <f>DATE(YEAR(GB13)+2,MONTH(GB13),DAY(GB13))</f>
        <v>46760</v>
      </c>
      <c r="GD13" s="8">
        <f t="shared" ca="1" si="73"/>
        <v>615</v>
      </c>
      <c r="GE13" s="5" t="str">
        <f t="shared" ca="1" si="74"/>
        <v>VIGENTE</v>
      </c>
      <c r="GF13" s="3"/>
      <c r="GG13" s="4">
        <v>46079</v>
      </c>
      <c r="GH13" s="4">
        <f>DATE(YEAR(GG13)+2,MONTH(GG13),DAY(GG13))</f>
        <v>46809</v>
      </c>
      <c r="GI13" s="8">
        <f t="shared" ca="1" si="75"/>
        <v>664</v>
      </c>
      <c r="GJ13" s="5" t="str">
        <f t="shared" ca="1" si="76"/>
        <v>VIGENTE</v>
      </c>
      <c r="GK13" s="3"/>
      <c r="GL13" s="4">
        <v>45493</v>
      </c>
      <c r="GM13" s="4">
        <f>DATE(YEAR(GL13)+2,MONTH(GL13),DAY(GL13)-1)</f>
        <v>46222</v>
      </c>
      <c r="GN13" s="8">
        <f t="shared" ca="1" si="77"/>
        <v>77</v>
      </c>
      <c r="GO13" s="5" t="str">
        <f t="shared" ca="1" si="78"/>
        <v>VIGENTE</v>
      </c>
      <c r="GP13" s="4"/>
      <c r="GQ13" s="4">
        <v>45459</v>
      </c>
      <c r="GR13" s="4">
        <f t="shared" si="79"/>
        <v>47285</v>
      </c>
      <c r="GS13" s="8">
        <f t="shared" ca="1" si="80"/>
        <v>1140</v>
      </c>
      <c r="GT13" s="5" t="str">
        <f t="shared" ca="1" si="81"/>
        <v>VIGENTE</v>
      </c>
      <c r="GU13" s="3"/>
      <c r="GV13" s="4">
        <v>45478</v>
      </c>
      <c r="GW13" s="4">
        <f t="shared" si="82"/>
        <v>47304</v>
      </c>
      <c r="GX13" s="8">
        <f t="shared" ca="1" si="83"/>
        <v>1159</v>
      </c>
      <c r="GY13" s="5" t="str">
        <f t="shared" ca="1" si="84"/>
        <v>VIGENTE</v>
      </c>
      <c r="GZ13" s="3"/>
      <c r="HA13" s="4">
        <v>45454</v>
      </c>
      <c r="HB13" s="4">
        <f t="shared" si="85"/>
        <v>47280</v>
      </c>
      <c r="HC13" s="8">
        <f t="shared" ca="1" si="86"/>
        <v>1135</v>
      </c>
      <c r="HD13" s="5" t="str">
        <f t="shared" ca="1" si="87"/>
        <v>VIGENTE</v>
      </c>
      <c r="HE13" s="6"/>
      <c r="HF13" s="4">
        <v>44880</v>
      </c>
      <c r="HG13" s="4">
        <f t="shared" si="88"/>
        <v>46706</v>
      </c>
      <c r="HH13" s="8">
        <f t="shared" ca="1" si="89"/>
        <v>561</v>
      </c>
      <c r="HI13" s="5" t="str">
        <f ca="1">IF(HH13&gt;=61,"VIGENTE",IF(HH13&gt;=1,"POR VENCER",IF(HH13&lt;=-1,"VENCIDA",IF(HF13=0,"NO APLICA"))))</f>
        <v>VIGENTE</v>
      </c>
      <c r="HJ13" s="2"/>
      <c r="HK13" s="6"/>
      <c r="HL13" s="4"/>
      <c r="HM13" s="8"/>
      <c r="HN13" s="5" t="str">
        <f t="shared" si="91"/>
        <v>NO APLICA</v>
      </c>
      <c r="HO13" s="2"/>
      <c r="HP13" s="2"/>
      <c r="HQ13" s="4"/>
      <c r="HR13" s="2"/>
      <c r="HS13" s="5" t="str">
        <f t="shared" si="92"/>
        <v>NO APLICA</v>
      </c>
      <c r="HT13" s="2"/>
      <c r="HU13" s="4">
        <v>45469</v>
      </c>
      <c r="HV13" s="4">
        <f>DATE(YEAR(HU13)+5,MONTH(HU13),DAY(HU13))</f>
        <v>47295</v>
      </c>
      <c r="HW13" s="8">
        <f ca="1">HV13-TODAY()</f>
        <v>1150</v>
      </c>
      <c r="HX13" s="5" t="str">
        <f t="shared" ca="1" si="93"/>
        <v>VIGENTE</v>
      </c>
      <c r="HY13" s="2"/>
      <c r="HZ13" s="4">
        <v>45486</v>
      </c>
      <c r="IA13" s="4">
        <f>DATE(YEAR(HZ13)+5,MONTH(HZ13),DAY(HZ13))</f>
        <v>47312</v>
      </c>
      <c r="IB13" s="8">
        <f ca="1">IA13-TODAY()</f>
        <v>1167</v>
      </c>
      <c r="IC13" s="5" t="str">
        <f t="shared" ca="1" si="94"/>
        <v>VIGENTE</v>
      </c>
      <c r="ID13" s="2"/>
      <c r="IE13" s="4">
        <v>45483</v>
      </c>
      <c r="IF13" s="4">
        <f>DATE(YEAR(IE13)+5,MONTH(IE13),DAY(IE13))</f>
        <v>47309</v>
      </c>
      <c r="IG13" s="8">
        <f ca="1">IF13-TODAY()</f>
        <v>1164</v>
      </c>
      <c r="IH13" s="5" t="str">
        <f t="shared" ca="1" si="95"/>
        <v>VIGENTE</v>
      </c>
      <c r="II13" s="6"/>
      <c r="IJ13" s="4">
        <v>45485</v>
      </c>
      <c r="IK13" s="4">
        <f>DATE(YEAR(IJ13)+5,MONTH(IJ13),DAY(IJ13))</f>
        <v>47311</v>
      </c>
      <c r="IL13" s="8">
        <f ca="1">IK13-TODAY()</f>
        <v>1166</v>
      </c>
      <c r="IM13" s="5" t="str">
        <f t="shared" ca="1" si="96"/>
        <v>VIGENTE</v>
      </c>
      <c r="IN13" s="2"/>
      <c r="IO13" s="4">
        <v>45354</v>
      </c>
      <c r="IP13" s="4">
        <f>DATE(YEAR(IO13)+5,MONTH(IO13),DAY(IO13))</f>
        <v>47180</v>
      </c>
      <c r="IQ13" s="8">
        <f ca="1">IP13-TODAY()</f>
        <v>1035</v>
      </c>
      <c r="IR13" s="5" t="str">
        <f t="shared" ca="1" si="97"/>
        <v>VIGENTE</v>
      </c>
      <c r="IS13" s="2"/>
      <c r="IT13" s="4">
        <v>45484</v>
      </c>
      <c r="IU13" s="4">
        <f>DATE(YEAR(IT13)+5,MONTH(IT13),DAY(IT13))</f>
        <v>47310</v>
      </c>
      <c r="IV13" s="8">
        <f ca="1">IU13-TODAY()</f>
        <v>1165</v>
      </c>
      <c r="IW13" s="5" t="str">
        <f t="shared" ca="1" si="98"/>
        <v>VIGENTE</v>
      </c>
      <c r="IX13" s="2"/>
      <c r="IY13" s="4">
        <v>45491</v>
      </c>
      <c r="IZ13" s="4">
        <f>DATE(YEAR(IY13)+5,MONTH(IY13),DAY(IY13))</f>
        <v>47317</v>
      </c>
      <c r="JA13" s="8">
        <f ca="1">IZ13-TODAY()</f>
        <v>1172</v>
      </c>
      <c r="JB13" s="5" t="str">
        <f t="shared" ca="1" si="99"/>
        <v>VIGENTE</v>
      </c>
      <c r="JC13" s="3" t="s">
        <v>780</v>
      </c>
      <c r="JD13" s="3"/>
      <c r="JE13" s="4"/>
      <c r="JF13" s="8"/>
      <c r="JG13" s="5"/>
      <c r="JH13" s="3" t="s">
        <v>780</v>
      </c>
      <c r="JI13" s="6"/>
      <c r="JJ13" s="6"/>
      <c r="JK13" s="6"/>
      <c r="JL13" s="5"/>
      <c r="JM13" s="6" t="s">
        <v>780</v>
      </c>
      <c r="JN13" s="6"/>
      <c r="JO13" s="6"/>
      <c r="JP13" s="6"/>
      <c r="JQ13" s="5"/>
      <c r="JR13" s="6" t="s">
        <v>780</v>
      </c>
      <c r="JS13" s="6"/>
      <c r="JT13" s="6"/>
      <c r="JU13" s="6"/>
      <c r="JV13" s="5"/>
      <c r="JW13" s="6" t="s">
        <v>780</v>
      </c>
      <c r="JX13" s="5"/>
      <c r="JY13" s="5"/>
      <c r="JZ13" s="5"/>
      <c r="KA13" s="5"/>
      <c r="KB13" s="5"/>
      <c r="KC13" s="2"/>
      <c r="KD13" s="4"/>
      <c r="KE13" s="8"/>
      <c r="KF13" s="5" t="str">
        <f t="shared" si="135"/>
        <v>NO APLICA</v>
      </c>
      <c r="KG13" s="5"/>
      <c r="KH13" s="2"/>
      <c r="KI13" s="4"/>
      <c r="KJ13" s="8"/>
      <c r="KK13" s="5" t="str">
        <f t="shared" si="136"/>
        <v>NO APLICA</v>
      </c>
      <c r="KL13" s="5"/>
      <c r="KM13" s="2"/>
      <c r="KN13" s="4"/>
      <c r="KO13" s="8"/>
      <c r="KP13" s="5" t="str">
        <f t="shared" si="100"/>
        <v>NO APLICA</v>
      </c>
      <c r="KQ13" s="5"/>
      <c r="KR13" s="2"/>
      <c r="KS13" s="4"/>
      <c r="KT13" s="8"/>
      <c r="KU13" s="5" t="str">
        <f t="shared" si="137"/>
        <v>NO APLICA</v>
      </c>
      <c r="KV13" s="2"/>
      <c r="KW13" s="6"/>
      <c r="KX13" s="4"/>
      <c r="KY13" s="8"/>
      <c r="KZ13" s="5" t="str">
        <f t="shared" si="151"/>
        <v>NO APLICA</v>
      </c>
      <c r="LA13" s="5"/>
      <c r="LB13" s="6"/>
      <c r="LC13" s="4"/>
      <c r="LD13" s="8"/>
      <c r="LE13" s="5" t="str">
        <f t="shared" si="138"/>
        <v>NO APLICA</v>
      </c>
      <c r="LF13" s="6"/>
      <c r="LG13" s="6"/>
      <c r="LH13" s="4"/>
      <c r="LI13" s="8"/>
      <c r="LJ13" s="5" t="str">
        <f t="shared" si="101"/>
        <v>NO APLICA</v>
      </c>
      <c r="LK13" s="5"/>
      <c r="LL13" s="5"/>
      <c r="LM13" s="4"/>
      <c r="LN13" s="8"/>
      <c r="LO13" s="5" t="str">
        <f t="shared" si="152"/>
        <v>NO APLICA</v>
      </c>
      <c r="LP13" s="2"/>
      <c r="LQ13" s="6"/>
      <c r="LR13" s="4"/>
      <c r="LS13" s="8"/>
      <c r="LT13" s="5" t="str">
        <f t="shared" si="139"/>
        <v>NO APLICA</v>
      </c>
      <c r="LU13" s="6"/>
      <c r="LV13" s="6"/>
      <c r="LW13" s="4"/>
      <c r="LX13" s="8"/>
      <c r="LY13" s="5" t="str">
        <f t="shared" si="140"/>
        <v>NO APLICA</v>
      </c>
      <c r="LZ13" s="6"/>
      <c r="MA13" s="6"/>
      <c r="MB13" s="4"/>
      <c r="MC13" s="8"/>
      <c r="MD13" s="5" t="str">
        <f t="shared" si="141"/>
        <v>NO APLICA</v>
      </c>
      <c r="ME13" s="2"/>
      <c r="MF13" s="2"/>
      <c r="MG13" s="4"/>
      <c r="MH13" s="8"/>
      <c r="MI13" s="5" t="str">
        <f t="shared" si="102"/>
        <v>NO APLICA</v>
      </c>
      <c r="MJ13" s="2"/>
      <c r="MK13" s="2"/>
      <c r="ML13" s="4"/>
      <c r="MM13" s="8"/>
      <c r="MN13" s="5" t="str">
        <f t="shared" si="103"/>
        <v>NO APLICA</v>
      </c>
      <c r="MO13" s="5"/>
      <c r="MP13" s="2"/>
      <c r="MQ13" s="4"/>
      <c r="MR13" s="8"/>
      <c r="MS13" s="5" t="str">
        <f t="shared" si="104"/>
        <v>NO APLICA</v>
      </c>
      <c r="MT13" s="5"/>
      <c r="MU13" s="2"/>
      <c r="MV13" s="4"/>
      <c r="MW13" s="2"/>
      <c r="MX13" s="5" t="str">
        <f t="shared" si="105"/>
        <v>NO APLICA</v>
      </c>
      <c r="MY13" s="2"/>
      <c r="MZ13" s="6"/>
      <c r="NA13" s="4"/>
      <c r="NB13" s="8"/>
      <c r="NC13" s="5" t="str">
        <f t="shared" si="106"/>
        <v>NO APLICA</v>
      </c>
      <c r="ND13" s="2"/>
      <c r="NE13" s="6"/>
      <c r="NF13" s="4"/>
      <c r="NG13" s="8"/>
      <c r="NH13" s="5" t="str">
        <f t="shared" si="107"/>
        <v>NO APLICA</v>
      </c>
      <c r="NI13" s="2"/>
      <c r="NJ13" s="6"/>
      <c r="NK13" s="4"/>
      <c r="NL13" s="8"/>
      <c r="NM13" s="5" t="str">
        <f t="shared" si="108"/>
        <v>NO APLICA</v>
      </c>
      <c r="NN13" s="2"/>
      <c r="NO13" s="2"/>
      <c r="NP13" s="4"/>
      <c r="NQ13" s="8"/>
      <c r="NR13" s="5" t="str">
        <f t="shared" si="109"/>
        <v>NO APLICA</v>
      </c>
      <c r="NS13" s="2"/>
      <c r="NT13" s="2"/>
      <c r="NU13" s="4"/>
      <c r="NV13" s="2"/>
      <c r="NW13" s="5" t="str">
        <f t="shared" si="110"/>
        <v>NO APLICA</v>
      </c>
      <c r="NX13" s="6"/>
      <c r="NY13" s="6"/>
      <c r="NZ13" s="4"/>
      <c r="OA13" s="8"/>
      <c r="OB13" s="5" t="str">
        <f t="shared" si="111"/>
        <v>NO APLICA</v>
      </c>
      <c r="OC13" s="6"/>
      <c r="OD13" s="6"/>
      <c r="OE13" s="6"/>
      <c r="OF13" s="6"/>
      <c r="OG13" s="5" t="str">
        <f t="shared" si="112"/>
        <v>NO APLICA</v>
      </c>
      <c r="OH13" s="2"/>
      <c r="OI13" s="2"/>
      <c r="OJ13" s="4"/>
      <c r="OK13" s="8"/>
      <c r="OL13" s="5" t="str">
        <f t="shared" si="113"/>
        <v>NO APLICA</v>
      </c>
      <c r="OM13" s="6"/>
      <c r="ON13" s="6"/>
      <c r="OO13" s="6"/>
      <c r="OP13" s="6"/>
      <c r="OQ13" s="5" t="str">
        <f t="shared" si="114"/>
        <v>NO APLICA</v>
      </c>
      <c r="OR13" s="6"/>
      <c r="OS13" s="6"/>
      <c r="OT13" s="6"/>
      <c r="OU13" s="6"/>
      <c r="OV13" s="5" t="str">
        <f t="shared" si="115"/>
        <v>NO APLICA</v>
      </c>
      <c r="OW13" s="6"/>
      <c r="OX13" s="6"/>
      <c r="OY13" s="6"/>
      <c r="OZ13" s="6"/>
      <c r="PA13" s="5" t="str">
        <f t="shared" si="116"/>
        <v>NO APLICA</v>
      </c>
      <c r="PB13" s="6"/>
      <c r="PC13" s="6"/>
      <c r="PD13" s="6"/>
      <c r="PE13" s="6"/>
      <c r="PF13" s="5" t="str">
        <f t="shared" si="117"/>
        <v>NO APLICA</v>
      </c>
      <c r="PG13" s="6"/>
      <c r="PH13" s="6"/>
      <c r="PI13" s="6"/>
      <c r="PJ13" s="6"/>
      <c r="PK13" s="5" t="str">
        <f t="shared" si="118"/>
        <v>NO APLICA</v>
      </c>
      <c r="PL13" s="5"/>
      <c r="PM13" s="6"/>
      <c r="PN13" s="4"/>
      <c r="PO13" s="8"/>
      <c r="PP13" s="5" t="str">
        <f t="shared" si="119"/>
        <v>NO APLICA</v>
      </c>
      <c r="PQ13" s="6"/>
      <c r="PR13" s="6"/>
      <c r="PS13" s="6"/>
      <c r="PT13" s="6"/>
      <c r="PU13" s="5" t="str">
        <f t="shared" si="120"/>
        <v>NO APLICA</v>
      </c>
      <c r="PV13" s="5"/>
      <c r="PW13" s="6"/>
      <c r="PX13" s="6"/>
      <c r="PY13" s="6"/>
      <c r="PZ13" s="5" t="str">
        <f t="shared" si="121"/>
        <v>NO APLICA</v>
      </c>
    </row>
    <row r="14" spans="1:442" ht="15.6" hidden="1" thickTop="1" thickBot="1" x14ac:dyDescent="0.35">
      <c r="A14" s="26">
        <v>11</v>
      </c>
      <c r="B14" s="27">
        <v>356</v>
      </c>
      <c r="C14" s="28" t="s">
        <v>99</v>
      </c>
      <c r="D14" s="29" t="s">
        <v>64</v>
      </c>
      <c r="E14" s="30" t="s">
        <v>100</v>
      </c>
      <c r="F14" s="2"/>
      <c r="G14" s="6"/>
      <c r="H14" s="4"/>
      <c r="I14" s="8"/>
      <c r="J14" s="5" t="str">
        <f t="shared" si="0"/>
        <v>NO APLICA</v>
      </c>
      <c r="K14" s="5"/>
      <c r="L14" s="6"/>
      <c r="M14" s="6"/>
      <c r="N14" s="8"/>
      <c r="O14" s="5" t="str">
        <f t="shared" si="1"/>
        <v>NO APLICA</v>
      </c>
      <c r="P14" s="4"/>
      <c r="Q14" s="4">
        <v>45822</v>
      </c>
      <c r="R14" s="4">
        <f>DATE(YEAR(Q14)+2,MONTH(Q14),DAY(Q14)-1)</f>
        <v>46551</v>
      </c>
      <c r="S14" s="8">
        <f ca="1">R14-TODAY()</f>
        <v>406</v>
      </c>
      <c r="T14" s="5" t="str">
        <f t="shared" ca="1" si="122"/>
        <v>VIGENTE</v>
      </c>
      <c r="U14" s="5"/>
      <c r="V14" s="2" t="s">
        <v>101</v>
      </c>
      <c r="W14" s="4">
        <v>45337</v>
      </c>
      <c r="X14" s="4">
        <f t="shared" si="2"/>
        <v>47164</v>
      </c>
      <c r="Y14" s="8">
        <f t="shared" ca="1" si="3"/>
        <v>1019</v>
      </c>
      <c r="Z14" s="5" t="str">
        <f t="shared" ca="1" si="4"/>
        <v>VIGENTE</v>
      </c>
      <c r="AA14" s="5"/>
      <c r="AB14" s="2" t="s">
        <v>102</v>
      </c>
      <c r="AC14" s="4">
        <v>45152</v>
      </c>
      <c r="AD14" s="4">
        <f t="shared" si="5"/>
        <v>46979</v>
      </c>
      <c r="AE14" s="8">
        <f t="shared" ca="1" si="6"/>
        <v>834</v>
      </c>
      <c r="AF14" s="5" t="str">
        <f t="shared" ca="1" si="7"/>
        <v>VIGENTE</v>
      </c>
      <c r="AG14" s="3"/>
      <c r="AH14" s="4">
        <v>45936</v>
      </c>
      <c r="AI14" s="4">
        <f>DATE(YEAR(AH14)+2,MONTH(AH14),DAY(AH14))</f>
        <v>46666</v>
      </c>
      <c r="AJ14" s="8">
        <f t="shared" ca="1" si="8"/>
        <v>521</v>
      </c>
      <c r="AK14" s="5" t="str">
        <f t="shared" ca="1" si="9"/>
        <v>VIGENTE</v>
      </c>
      <c r="AL14" s="3"/>
      <c r="AM14" s="4">
        <v>45937</v>
      </c>
      <c r="AN14" s="4">
        <f>DATE(YEAR(AM14)+2,MONTH(AM14),DAY(AM14))</f>
        <v>46667</v>
      </c>
      <c r="AO14" s="8">
        <f t="shared" ca="1" si="10"/>
        <v>522</v>
      </c>
      <c r="AP14" s="5" t="str">
        <f t="shared" ca="1" si="11"/>
        <v>VIGENTE</v>
      </c>
      <c r="AQ14" s="3"/>
      <c r="AR14" s="4">
        <v>45904</v>
      </c>
      <c r="AS14" s="4">
        <f>DATE(YEAR(AR14)+2,MONTH(AR14),DAY(AR14))</f>
        <v>46634</v>
      </c>
      <c r="AT14" s="8">
        <f t="shared" ca="1" si="12"/>
        <v>489</v>
      </c>
      <c r="AU14" s="5" t="str">
        <f t="shared" ca="1" si="13"/>
        <v>VIGENTE</v>
      </c>
      <c r="AV14" s="3"/>
      <c r="AW14" s="4">
        <v>45927</v>
      </c>
      <c r="AX14" s="4">
        <f>DATE(YEAR(AW14)+2,MONTH(AW14),DAY(AW14))</f>
        <v>46657</v>
      </c>
      <c r="AY14" s="8">
        <f t="shared" ca="1" si="15"/>
        <v>512</v>
      </c>
      <c r="AZ14" s="5" t="str">
        <f t="shared" ca="1" si="16"/>
        <v>VIGENTE</v>
      </c>
      <c r="BA14" s="3"/>
      <c r="BB14" s="4">
        <v>45901</v>
      </c>
      <c r="BC14" s="4">
        <f>DATE(YEAR(BB14)+2,MONTH(BB14),DAY(BB14))</f>
        <v>46631</v>
      </c>
      <c r="BD14" s="8">
        <f t="shared" ca="1" si="17"/>
        <v>486</v>
      </c>
      <c r="BE14" s="5" t="str">
        <f t="shared" ca="1" si="18"/>
        <v>VIGENTE</v>
      </c>
      <c r="BF14" s="3"/>
      <c r="BG14" s="4">
        <v>45968</v>
      </c>
      <c r="BH14" s="4">
        <f>DATE(YEAR(BG14)+2,MONTH(BG14),DAY(BG14))</f>
        <v>46698</v>
      </c>
      <c r="BI14" s="8">
        <f t="shared" ca="1" si="19"/>
        <v>553</v>
      </c>
      <c r="BJ14" s="5" t="str">
        <f t="shared" ca="1" si="20"/>
        <v>VIGENTE</v>
      </c>
      <c r="BK14" s="3"/>
      <c r="BL14" s="4">
        <v>46035</v>
      </c>
      <c r="BM14" s="4">
        <f>DATE(YEAR(BL14)+2,MONTH(BL14),DAY(BL14))</f>
        <v>46765</v>
      </c>
      <c r="BN14" s="8">
        <f t="shared" ca="1" si="21"/>
        <v>620</v>
      </c>
      <c r="BO14" s="5" t="str">
        <f t="shared" ca="1" si="22"/>
        <v>VIGENTE</v>
      </c>
      <c r="BP14" s="3"/>
      <c r="BQ14" s="39">
        <v>46050</v>
      </c>
      <c r="BR14" s="4">
        <f>DATE(YEAR(BQ14)+2,MONTH(BQ14),DAY(BQ14))</f>
        <v>46780</v>
      </c>
      <c r="BS14" s="8">
        <f t="shared" ca="1" si="23"/>
        <v>635</v>
      </c>
      <c r="BT14" s="5" t="str">
        <f t="shared" ca="1" si="24"/>
        <v>VIGENTE</v>
      </c>
      <c r="BU14" s="3"/>
      <c r="BV14" s="4">
        <v>46126</v>
      </c>
      <c r="BW14" s="4">
        <f>DATE(YEAR(BV14)+2,MONTH(BV14),DAY(BV14)-1)</f>
        <v>46856</v>
      </c>
      <c r="BX14" s="8">
        <f t="shared" ca="1" si="25"/>
        <v>711</v>
      </c>
      <c r="BY14" s="5" t="str">
        <f t="shared" ca="1" si="26"/>
        <v>VIGENTE</v>
      </c>
      <c r="BZ14" s="3"/>
      <c r="CA14" s="4">
        <v>45911</v>
      </c>
      <c r="CB14" s="4">
        <f t="shared" si="173"/>
        <v>46641</v>
      </c>
      <c r="CC14" s="8">
        <f t="shared" ca="1" si="27"/>
        <v>496</v>
      </c>
      <c r="CD14" s="5" t="str">
        <f t="shared" ca="1" si="28"/>
        <v>VIGENTE</v>
      </c>
      <c r="CE14" s="6"/>
      <c r="CF14" s="4">
        <v>45533</v>
      </c>
      <c r="CG14" s="4">
        <f t="shared" si="29"/>
        <v>46994</v>
      </c>
      <c r="CH14" s="8">
        <f t="shared" ca="1" si="30"/>
        <v>849</v>
      </c>
      <c r="CI14" s="5" t="str">
        <f t="shared" ca="1" si="31"/>
        <v>VIGENTE</v>
      </c>
      <c r="CJ14" s="4"/>
      <c r="CK14" s="4">
        <v>45929</v>
      </c>
      <c r="CL14" s="4">
        <f>DATE(YEAR(CK14)+2,MONTH(CK14),DAY(CK14))</f>
        <v>46659</v>
      </c>
      <c r="CM14" s="8">
        <f t="shared" ca="1" si="32"/>
        <v>514</v>
      </c>
      <c r="CN14" s="5" t="str">
        <f t="shared" ca="1" si="33"/>
        <v>VIGENTE</v>
      </c>
      <c r="CO14" s="3"/>
      <c r="CP14" s="39">
        <v>45888</v>
      </c>
      <c r="CQ14" s="4">
        <f>DATE(YEAR(CP14)+2,MONTH(CP14),DAY(CP14))</f>
        <v>46618</v>
      </c>
      <c r="CR14" s="8">
        <f t="shared" ca="1" si="34"/>
        <v>473</v>
      </c>
      <c r="CS14" s="5" t="str">
        <f t="shared" ca="1" si="35"/>
        <v>VIGENTE</v>
      </c>
      <c r="CT14" s="3"/>
      <c r="CU14" s="4">
        <v>45905</v>
      </c>
      <c r="CV14" s="4">
        <f>DATE(YEAR(CU14)+2,MONTH(CU14),DAY(CU14))</f>
        <v>46635</v>
      </c>
      <c r="CW14" s="8">
        <f t="shared" ca="1" si="36"/>
        <v>490</v>
      </c>
      <c r="CX14" s="5" t="str">
        <f t="shared" ca="1" si="37"/>
        <v>VIGENTE</v>
      </c>
      <c r="CY14" s="3"/>
      <c r="CZ14" s="4">
        <v>45665</v>
      </c>
      <c r="DA14" s="4">
        <f>DATE(YEAR(CZ14)+2,MONTH(CZ14),DAY(CZ14)-1)</f>
        <v>46394</v>
      </c>
      <c r="DB14" s="8">
        <f t="shared" ca="1" si="38"/>
        <v>249</v>
      </c>
      <c r="DC14" s="5" t="str">
        <f t="shared" ca="1" si="39"/>
        <v>VIGENTE</v>
      </c>
      <c r="DD14" s="3"/>
      <c r="DE14" s="39">
        <v>45896</v>
      </c>
      <c r="DF14" s="4">
        <f>DATE(YEAR(DE14)+2,MONTH(DE14),DAY(DE14))</f>
        <v>46626</v>
      </c>
      <c r="DG14" s="8">
        <f t="shared" ca="1" si="40"/>
        <v>481</v>
      </c>
      <c r="DH14" s="5" t="str">
        <f t="shared" ca="1" si="41"/>
        <v>VIGENTE</v>
      </c>
      <c r="DI14" s="3"/>
      <c r="DJ14" s="39">
        <v>45899</v>
      </c>
      <c r="DK14" s="4">
        <f>DATE(YEAR(DJ14)+2,MONTH(DJ14),DAY(DJ14))</f>
        <v>46629</v>
      </c>
      <c r="DL14" s="8">
        <f t="shared" ca="1" si="43"/>
        <v>484</v>
      </c>
      <c r="DM14" s="5" t="str">
        <f t="shared" ca="1" si="44"/>
        <v>VIGENTE</v>
      </c>
      <c r="DN14" s="3"/>
      <c r="DO14" s="4">
        <v>45731</v>
      </c>
      <c r="DP14" s="4">
        <f>DATE(YEAR(DO14)+2,MONTH(DO14),DAY(DO14)-1)</f>
        <v>46460</v>
      </c>
      <c r="DQ14" s="8">
        <f t="shared" ca="1" si="46"/>
        <v>315</v>
      </c>
      <c r="DR14" s="5" t="str">
        <f t="shared" ca="1" si="47"/>
        <v>VIGENTE</v>
      </c>
      <c r="DS14" s="3"/>
      <c r="DT14" s="4">
        <v>45885</v>
      </c>
      <c r="DU14" s="4">
        <f>DATE(YEAR(DT14)+2,MONTH(DT14),DAY(DT14))</f>
        <v>46615</v>
      </c>
      <c r="DV14" s="8">
        <f t="shared" ca="1" si="48"/>
        <v>470</v>
      </c>
      <c r="DW14" s="5" t="str">
        <f t="shared" ca="1" si="49"/>
        <v>VIGENTE</v>
      </c>
      <c r="DX14" s="3"/>
      <c r="DY14" s="4">
        <v>45915</v>
      </c>
      <c r="DZ14" s="4">
        <f>DATE(YEAR(DY14)+2,MONTH(DY14),DAY(DY14))</f>
        <v>46645</v>
      </c>
      <c r="EA14" s="8">
        <f t="shared" ca="1" si="50"/>
        <v>500</v>
      </c>
      <c r="EB14" s="5" t="str">
        <f t="shared" ca="1" si="51"/>
        <v>VIGENTE</v>
      </c>
      <c r="EC14" s="3"/>
      <c r="ED14" s="39">
        <v>45913</v>
      </c>
      <c r="EE14" s="4">
        <f>DATE(YEAR(ED14)+2,MONTH(ED14),DAY(ED14))</f>
        <v>46643</v>
      </c>
      <c r="EF14" s="8">
        <f t="shared" ca="1" si="52"/>
        <v>498</v>
      </c>
      <c r="EG14" s="5" t="str">
        <f t="shared" ca="1" si="53"/>
        <v>VIGENTE</v>
      </c>
      <c r="EH14" s="3"/>
      <c r="EI14" s="3">
        <v>46107</v>
      </c>
      <c r="EJ14" s="4">
        <f t="shared" si="131"/>
        <v>46472</v>
      </c>
      <c r="EK14" s="8">
        <f t="shared" ca="1" si="54"/>
        <v>327</v>
      </c>
      <c r="EL14" s="5" t="str">
        <f t="shared" ca="1" si="55"/>
        <v>VIGENTE</v>
      </c>
      <c r="EM14" s="3"/>
      <c r="EN14" s="4">
        <v>45940</v>
      </c>
      <c r="EO14" s="4">
        <f>DATE(YEAR(EN14)+2,MONTH(EN14),DAY(EN14))</f>
        <v>46670</v>
      </c>
      <c r="EP14" s="8">
        <f t="shared" ca="1" si="56"/>
        <v>525</v>
      </c>
      <c r="EQ14" s="5" t="str">
        <f t="shared" ca="1" si="57"/>
        <v>VIGENTE</v>
      </c>
      <c r="ER14" s="3"/>
      <c r="ES14" s="39">
        <v>45922</v>
      </c>
      <c r="ET14" s="4">
        <f>DATE(YEAR(ES14)+2,MONTH(ES14),DAY(ES14))</f>
        <v>46652</v>
      </c>
      <c r="EU14" s="8">
        <f t="shared" ca="1" si="58"/>
        <v>507</v>
      </c>
      <c r="EV14" s="5" t="str">
        <f t="shared" ca="1" si="59"/>
        <v>VIGENTE</v>
      </c>
      <c r="EW14" s="3"/>
      <c r="EX14" s="4">
        <v>45917</v>
      </c>
      <c r="EY14" s="4">
        <f t="shared" si="146"/>
        <v>46647</v>
      </c>
      <c r="EZ14" s="8">
        <f t="shared" ca="1" si="60"/>
        <v>502</v>
      </c>
      <c r="FA14" s="5" t="str">
        <f t="shared" ca="1" si="61"/>
        <v>VIGENTE</v>
      </c>
      <c r="FB14" s="3"/>
      <c r="FC14" s="4">
        <v>45931</v>
      </c>
      <c r="FD14" s="4">
        <f t="shared" ref="FD14:FD20" si="174">DATE(YEAR(FC14)+2,MONTH(FC14),DAY(FC14))</f>
        <v>46661</v>
      </c>
      <c r="FE14" s="8">
        <f t="shared" ca="1" si="62"/>
        <v>516</v>
      </c>
      <c r="FF14" s="5" t="str">
        <f t="shared" ca="1" si="63"/>
        <v>VIGENTE</v>
      </c>
      <c r="FG14" s="3"/>
      <c r="FH14" s="4">
        <v>45932</v>
      </c>
      <c r="FI14" s="4">
        <f t="shared" si="148"/>
        <v>46662</v>
      </c>
      <c r="FJ14" s="8">
        <f t="shared" ca="1" si="64"/>
        <v>517</v>
      </c>
      <c r="FK14" s="5" t="str">
        <f t="shared" ca="1" si="65"/>
        <v>VIGENTE</v>
      </c>
      <c r="FL14" s="3"/>
      <c r="FM14" s="39">
        <v>45920</v>
      </c>
      <c r="FN14" s="4">
        <f>DATE(YEAR(FM14)+2,MONTH(FM14),DAY(FM14))</f>
        <v>46650</v>
      </c>
      <c r="FO14" s="8">
        <f t="shared" ca="1" si="67"/>
        <v>505</v>
      </c>
      <c r="FP14" s="5" t="str">
        <f t="shared" ca="1" si="68"/>
        <v>VIGENTE</v>
      </c>
      <c r="FQ14" s="3"/>
      <c r="FR14" s="39">
        <v>45957</v>
      </c>
      <c r="FS14" s="4">
        <f>DATE(YEAR(FR14)+2,MONTH(FR14),DAY(FR14))</f>
        <v>46687</v>
      </c>
      <c r="FT14" s="8">
        <f t="shared" ca="1" si="69"/>
        <v>542</v>
      </c>
      <c r="FU14" s="5" t="str">
        <f t="shared" ca="1" si="70"/>
        <v>VIGENTE</v>
      </c>
      <c r="FV14" s="3"/>
      <c r="FW14" s="4">
        <v>45908</v>
      </c>
      <c r="FX14" s="4">
        <f>DATE(YEAR(FW14)+2,MONTH(FW14),DAY(FW14))</f>
        <v>46638</v>
      </c>
      <c r="FY14" s="8">
        <f t="shared" ca="1" si="71"/>
        <v>493</v>
      </c>
      <c r="FZ14" s="5" t="str">
        <f t="shared" ca="1" si="72"/>
        <v>VIGENTE</v>
      </c>
      <c r="GA14" s="3"/>
      <c r="GB14" s="4">
        <v>45925</v>
      </c>
      <c r="GC14" s="4">
        <f>DATE(YEAR(GB14)+2,MONTH(GB14),DAY(GB14))</f>
        <v>46655</v>
      </c>
      <c r="GD14" s="8">
        <f t="shared" ca="1" si="73"/>
        <v>510</v>
      </c>
      <c r="GE14" s="5" t="str">
        <f t="shared" ca="1" si="74"/>
        <v>VIGENTE</v>
      </c>
      <c r="GF14" s="3"/>
      <c r="GG14" s="4">
        <v>45912</v>
      </c>
      <c r="GH14" s="4">
        <f>DATE(YEAR(GG14)+2,MONTH(GG14),DAY(GG14))</f>
        <v>46642</v>
      </c>
      <c r="GI14" s="8">
        <f t="shared" ca="1" si="75"/>
        <v>497</v>
      </c>
      <c r="GJ14" s="5" t="str">
        <f t="shared" ca="1" si="76"/>
        <v>VIGENTE</v>
      </c>
      <c r="GK14" s="3"/>
      <c r="GL14" s="4">
        <v>45608</v>
      </c>
      <c r="GM14" s="4">
        <f>DATE(YEAR(GL14)+2,MONTH(GL14),DAY(GL14)-1)</f>
        <v>46337</v>
      </c>
      <c r="GN14" s="8">
        <f t="shared" ca="1" si="77"/>
        <v>192</v>
      </c>
      <c r="GO14" s="5" t="str">
        <f t="shared" ca="1" si="78"/>
        <v>VIGENTE</v>
      </c>
      <c r="GP14" s="4"/>
      <c r="GQ14" s="6"/>
      <c r="GR14" s="4"/>
      <c r="GS14" s="8"/>
      <c r="GT14" s="5" t="str">
        <f t="shared" si="81"/>
        <v>NO APLICA</v>
      </c>
      <c r="GU14" s="3"/>
      <c r="GV14" s="4">
        <v>44979</v>
      </c>
      <c r="GW14" s="4">
        <f t="shared" si="82"/>
        <v>46805</v>
      </c>
      <c r="GX14" s="8">
        <f t="shared" ca="1" si="83"/>
        <v>660</v>
      </c>
      <c r="GY14" s="5" t="str">
        <f t="shared" ca="1" si="84"/>
        <v>VIGENTE</v>
      </c>
      <c r="GZ14" s="3"/>
      <c r="HA14" s="4">
        <v>45252</v>
      </c>
      <c r="HB14" s="4">
        <f t="shared" si="85"/>
        <v>47079</v>
      </c>
      <c r="HC14" s="8">
        <f t="shared" ca="1" si="86"/>
        <v>934</v>
      </c>
      <c r="HD14" s="5" t="str">
        <f t="shared" ca="1" si="87"/>
        <v>VIGENTE</v>
      </c>
      <c r="HE14" s="6"/>
      <c r="HF14" s="6"/>
      <c r="HG14" s="4"/>
      <c r="HH14" s="8"/>
      <c r="HI14" s="5" t="str">
        <f>IF(HH14&gt;=61,"VIGENTE",IF(HH14&gt;=1,"POR VENCER",IF(HH14&lt;=-1,"PROGRAMAR",IF(HF14=0,"NO APLICA"))))</f>
        <v>NO APLICA</v>
      </c>
      <c r="HJ14" s="2"/>
      <c r="HK14" s="6"/>
      <c r="HL14" s="4"/>
      <c r="HM14" s="8"/>
      <c r="HN14" s="5" t="str">
        <f t="shared" si="91"/>
        <v>NO APLICA</v>
      </c>
      <c r="HO14" s="2"/>
      <c r="HP14" s="5"/>
      <c r="HQ14" s="4"/>
      <c r="HR14" s="5"/>
      <c r="HS14" s="5" t="str">
        <f t="shared" si="92"/>
        <v>NO APLICA</v>
      </c>
      <c r="HT14" s="2"/>
      <c r="HU14" s="4">
        <v>44939</v>
      </c>
      <c r="HV14" s="4">
        <f>DATE(YEAR(HU14)+5,MONTH(HU14),DAY(HU14))</f>
        <v>46765</v>
      </c>
      <c r="HW14" s="8">
        <f ca="1">HV14-TODAY()</f>
        <v>620</v>
      </c>
      <c r="HX14" s="5" t="str">
        <f t="shared" ca="1" si="93"/>
        <v>VIGENTE</v>
      </c>
      <c r="HY14" s="2"/>
      <c r="HZ14" s="4">
        <v>44978</v>
      </c>
      <c r="IA14" s="4">
        <f>DATE(YEAR(HZ14)+5,MONTH(HZ14),DAY(HZ14))</f>
        <v>46804</v>
      </c>
      <c r="IB14" s="8">
        <f ca="1">IA14-TODAY()</f>
        <v>659</v>
      </c>
      <c r="IC14" s="5" t="str">
        <f t="shared" ca="1" si="94"/>
        <v>VIGENTE</v>
      </c>
      <c r="ID14" s="2"/>
      <c r="IE14" s="4">
        <v>45024</v>
      </c>
      <c r="IF14" s="4">
        <f>DATE(YEAR(IE14)+5,MONTH(IE14),DAY(IE14))</f>
        <v>46851</v>
      </c>
      <c r="IG14" s="8">
        <f ca="1">IF14-TODAY()</f>
        <v>706</v>
      </c>
      <c r="IH14" s="5" t="str">
        <f t="shared" ca="1" si="95"/>
        <v>VIGENTE</v>
      </c>
      <c r="II14" s="6"/>
      <c r="IJ14" s="4">
        <v>45058</v>
      </c>
      <c r="IK14" s="4">
        <f>DATE(YEAR(IJ14)+5,MONTH(IJ14),DAY(IJ14))</f>
        <v>46885</v>
      </c>
      <c r="IL14" s="8">
        <f ca="1">IK14-TODAY()</f>
        <v>740</v>
      </c>
      <c r="IM14" s="5" t="str">
        <f t="shared" ca="1" si="96"/>
        <v>VIGENTE</v>
      </c>
      <c r="IN14" s="2"/>
      <c r="IO14" s="4">
        <v>44977</v>
      </c>
      <c r="IP14" s="4">
        <f>DATE(YEAR(IO14)+5,MONTH(IO14),DAY(IO14))</f>
        <v>46803</v>
      </c>
      <c r="IQ14" s="8">
        <f ca="1">IP14-TODAY()</f>
        <v>658</v>
      </c>
      <c r="IR14" s="5" t="str">
        <f t="shared" ca="1" si="97"/>
        <v>VIGENTE</v>
      </c>
      <c r="IS14" s="2"/>
      <c r="IT14" s="4">
        <v>45062</v>
      </c>
      <c r="IU14" s="4">
        <f>DATE(YEAR(IT14)+5,MONTH(IT14),DAY(IT14))</f>
        <v>46889</v>
      </c>
      <c r="IV14" s="8">
        <f ca="1">IU14-TODAY()</f>
        <v>744</v>
      </c>
      <c r="IW14" s="5" t="str">
        <f t="shared" ca="1" si="98"/>
        <v>VIGENTE</v>
      </c>
      <c r="IX14" s="2"/>
      <c r="IY14" s="4">
        <v>44996</v>
      </c>
      <c r="IZ14" s="4">
        <f>DATE(YEAR(IY14)+5,MONTH(IY14),DAY(IY14))</f>
        <v>46823</v>
      </c>
      <c r="JA14" s="8">
        <f ca="1">IZ14-TODAY()</f>
        <v>678</v>
      </c>
      <c r="JB14" s="5" t="str">
        <f t="shared" ca="1" si="99"/>
        <v>VIGENTE</v>
      </c>
      <c r="JC14" s="3" t="s">
        <v>780</v>
      </c>
      <c r="JD14" s="3"/>
      <c r="JE14" s="4"/>
      <c r="JF14" s="8"/>
      <c r="JG14" s="5"/>
      <c r="JH14" s="3" t="s">
        <v>780</v>
      </c>
      <c r="JI14" s="6"/>
      <c r="JJ14" s="6"/>
      <c r="JK14" s="6"/>
      <c r="JL14" s="5"/>
      <c r="JM14" s="6" t="s">
        <v>780</v>
      </c>
      <c r="JN14" s="6"/>
      <c r="JO14" s="6"/>
      <c r="JP14" s="6"/>
      <c r="JQ14" s="5"/>
      <c r="JR14" s="6" t="s">
        <v>780</v>
      </c>
      <c r="JS14" s="6"/>
      <c r="JT14" s="6"/>
      <c r="JU14" s="6"/>
      <c r="JV14" s="5"/>
      <c r="JW14" s="6" t="s">
        <v>780</v>
      </c>
      <c r="JX14" s="5"/>
      <c r="JY14" s="5"/>
      <c r="JZ14" s="5"/>
      <c r="KA14" s="5"/>
      <c r="KB14" s="5"/>
      <c r="KC14" s="5"/>
      <c r="KD14" s="4"/>
      <c r="KE14" s="8"/>
      <c r="KF14" s="5" t="str">
        <f t="shared" si="135"/>
        <v>NO APLICA</v>
      </c>
      <c r="KG14" s="5"/>
      <c r="KH14" s="5"/>
      <c r="KI14" s="4"/>
      <c r="KJ14" s="8"/>
      <c r="KK14" s="5" t="str">
        <f t="shared" si="136"/>
        <v>NO APLICA</v>
      </c>
      <c r="KL14" s="5"/>
      <c r="KM14" s="3">
        <v>45364</v>
      </c>
      <c r="KN14" s="4">
        <f>DATE(YEAR(KM14)+5,MONTH(KM14),DAY(KM14))</f>
        <v>47190</v>
      </c>
      <c r="KO14" s="8">
        <f ca="1">KN14-TODAY()</f>
        <v>1045</v>
      </c>
      <c r="KP14" s="5" t="str">
        <f t="shared" ca="1" si="100"/>
        <v>VIGENTE</v>
      </c>
      <c r="KQ14" s="5"/>
      <c r="KR14" s="3">
        <v>45346</v>
      </c>
      <c r="KS14" s="4">
        <f>DATE(YEAR(KR14)+5,MONTH(KR14),DAY(KR14))</f>
        <v>47173</v>
      </c>
      <c r="KT14" s="8">
        <f ca="1">KS14-TODAY()</f>
        <v>1028</v>
      </c>
      <c r="KU14" s="5" t="str">
        <f t="shared" ca="1" si="137"/>
        <v>VIGENTE</v>
      </c>
      <c r="KV14" s="3"/>
      <c r="KW14" s="4">
        <v>44658</v>
      </c>
      <c r="KX14" s="4">
        <f>DATE(YEAR(KW14)+5,MONTH(KW14),DAY(KW14))</f>
        <v>46484</v>
      </c>
      <c r="KY14" s="8">
        <f ca="1">KX14-TODAY()</f>
        <v>339</v>
      </c>
      <c r="KZ14" s="5" t="str">
        <f t="shared" ca="1" si="151"/>
        <v>VIGENTE</v>
      </c>
      <c r="LA14" s="5"/>
      <c r="LB14" s="4"/>
      <c r="LC14" s="4"/>
      <c r="LD14" s="8"/>
      <c r="LE14" s="5" t="str">
        <f t="shared" si="138"/>
        <v>NO APLICA</v>
      </c>
      <c r="LF14" s="6"/>
      <c r="LG14" s="6"/>
      <c r="LH14" s="4"/>
      <c r="LI14" s="8"/>
      <c r="LJ14" s="5" t="str">
        <f t="shared" si="101"/>
        <v>NO APLICA</v>
      </c>
      <c r="LK14" s="5"/>
      <c r="LL14" s="3"/>
      <c r="LM14" s="4"/>
      <c r="LN14" s="8"/>
      <c r="LO14" s="5" t="str">
        <f t="shared" si="152"/>
        <v>NO APLICA</v>
      </c>
      <c r="LP14" s="3"/>
      <c r="LQ14" s="4">
        <v>44377</v>
      </c>
      <c r="LR14" s="4">
        <f>DATE(YEAR(LQ14)+5,MONTH(LQ14),DAY(LQ14))</f>
        <v>46203</v>
      </c>
      <c r="LS14" s="8">
        <f ca="1">LR14-TODAY()</f>
        <v>58</v>
      </c>
      <c r="LT14" s="5" t="str">
        <f t="shared" ca="1" si="139"/>
        <v>POR VENCER</v>
      </c>
      <c r="LU14" s="4"/>
      <c r="LV14" s="4">
        <v>44986</v>
      </c>
      <c r="LW14" s="4">
        <f>DATE(YEAR(LV14)+5,MONTH(LV14),DAY(LV14))</f>
        <v>46813</v>
      </c>
      <c r="LX14" s="8">
        <f ca="1">LW14-TODAY()</f>
        <v>668</v>
      </c>
      <c r="LY14" s="5" t="str">
        <f t="shared" ca="1" si="140"/>
        <v>VIGENTE</v>
      </c>
      <c r="LZ14" s="4"/>
      <c r="MA14" s="4">
        <v>44988</v>
      </c>
      <c r="MB14" s="4">
        <f>DATE(YEAR(MA14)+5,MONTH(MA14),DAY(MA14))</f>
        <v>46815</v>
      </c>
      <c r="MC14" s="8">
        <f ca="1">MB14-TODAY()</f>
        <v>670</v>
      </c>
      <c r="MD14" s="5" t="str">
        <f t="shared" ca="1" si="141"/>
        <v>VIGENTE</v>
      </c>
      <c r="ME14" s="4"/>
      <c r="MF14" s="4">
        <v>45010</v>
      </c>
      <c r="MG14" s="4">
        <f>DATE(YEAR(MF14)+5,MONTH(MF14),DAY(MF14))</f>
        <v>46837</v>
      </c>
      <c r="MH14" s="8">
        <f ca="1">MG14-TODAY()</f>
        <v>692</v>
      </c>
      <c r="MI14" s="5" t="str">
        <f t="shared" ca="1" si="102"/>
        <v>VIGENTE</v>
      </c>
      <c r="MJ14" s="5"/>
      <c r="MK14" s="5"/>
      <c r="ML14" s="4"/>
      <c r="MM14" s="8"/>
      <c r="MN14" s="5" t="str">
        <f t="shared" si="103"/>
        <v>NO APLICA</v>
      </c>
      <c r="MO14" s="5"/>
      <c r="MP14" s="3">
        <v>45154</v>
      </c>
      <c r="MQ14" s="4">
        <f>DATE(YEAR(MP14)+5,MONTH(MP14),DAY(MP14))</f>
        <v>46981</v>
      </c>
      <c r="MR14" s="8">
        <f ca="1">MQ14-TODAY()</f>
        <v>836</v>
      </c>
      <c r="MS14" s="5" t="str">
        <f t="shared" ca="1" si="104"/>
        <v>VIGENTE</v>
      </c>
      <c r="MT14" s="5"/>
      <c r="MU14" s="3">
        <v>45155</v>
      </c>
      <c r="MV14" s="4">
        <f>DATE(YEAR(MU14)+5,MONTH(MU14),DAY(MU14))</f>
        <v>46982</v>
      </c>
      <c r="MW14" s="8">
        <f ca="1">MV14-TODAY()</f>
        <v>837</v>
      </c>
      <c r="MX14" s="5" t="str">
        <f t="shared" ca="1" si="105"/>
        <v>VIGENTE</v>
      </c>
      <c r="MY14" s="5"/>
      <c r="MZ14" s="6"/>
      <c r="NA14" s="4"/>
      <c r="NB14" s="8"/>
      <c r="NC14" s="5" t="str">
        <f t="shared" si="106"/>
        <v>NO APLICA</v>
      </c>
      <c r="ND14" s="5"/>
      <c r="NE14" s="6"/>
      <c r="NF14" s="4"/>
      <c r="NG14" s="8"/>
      <c r="NH14" s="5" t="str">
        <f t="shared" si="107"/>
        <v>NO APLICA</v>
      </c>
      <c r="NI14" s="5"/>
      <c r="NJ14" s="6"/>
      <c r="NK14" s="4"/>
      <c r="NL14" s="8"/>
      <c r="NM14" s="5" t="str">
        <f t="shared" si="108"/>
        <v>NO APLICA</v>
      </c>
      <c r="NN14" s="5"/>
      <c r="NO14" s="5"/>
      <c r="NP14" s="4"/>
      <c r="NQ14" s="8"/>
      <c r="NR14" s="5" t="str">
        <f t="shared" si="109"/>
        <v>NO APLICA</v>
      </c>
      <c r="NS14" s="5"/>
      <c r="NT14" s="5"/>
      <c r="NU14" s="5"/>
      <c r="NV14" s="5"/>
      <c r="NW14" s="5" t="str">
        <f t="shared" si="110"/>
        <v>NO APLICA</v>
      </c>
      <c r="NX14" s="6"/>
      <c r="NY14" s="4"/>
      <c r="NZ14" s="4"/>
      <c r="OA14" s="8"/>
      <c r="OB14" s="5" t="str">
        <f t="shared" si="111"/>
        <v>NO APLICA</v>
      </c>
      <c r="OC14" s="6"/>
      <c r="OD14" s="6"/>
      <c r="OE14" s="6"/>
      <c r="OF14" s="6"/>
      <c r="OG14" s="5" t="str">
        <f t="shared" si="112"/>
        <v>NO APLICA</v>
      </c>
      <c r="OH14" s="6"/>
      <c r="OI14" s="6"/>
      <c r="OJ14" s="4"/>
      <c r="OK14" s="8"/>
      <c r="OL14" s="5" t="str">
        <f t="shared" si="113"/>
        <v>NO APLICA</v>
      </c>
      <c r="OM14" s="6"/>
      <c r="ON14" s="6"/>
      <c r="OO14" s="6"/>
      <c r="OP14" s="6"/>
      <c r="OQ14" s="5" t="str">
        <f t="shared" si="114"/>
        <v>NO APLICA</v>
      </c>
      <c r="OR14" s="6"/>
      <c r="OS14" s="6"/>
      <c r="OT14" s="6"/>
      <c r="OU14" s="6"/>
      <c r="OV14" s="5" t="str">
        <f t="shared" si="115"/>
        <v>NO APLICA</v>
      </c>
      <c r="OW14" s="6"/>
      <c r="OX14" s="6"/>
      <c r="OY14" s="6"/>
      <c r="OZ14" s="6"/>
      <c r="PA14" s="5" t="str">
        <f t="shared" si="116"/>
        <v>NO APLICA</v>
      </c>
      <c r="PB14" s="6"/>
      <c r="PC14" s="6"/>
      <c r="PD14" s="6"/>
      <c r="PE14" s="6"/>
      <c r="PF14" s="5" t="str">
        <f t="shared" si="117"/>
        <v>NO APLICA</v>
      </c>
      <c r="PG14" s="6"/>
      <c r="PH14" s="6"/>
      <c r="PI14" s="6"/>
      <c r="PJ14" s="6"/>
      <c r="PK14" s="5" t="str">
        <f t="shared" si="118"/>
        <v>NO APLICA</v>
      </c>
      <c r="PL14" s="5"/>
      <c r="PM14" s="4">
        <v>44627</v>
      </c>
      <c r="PN14" s="4">
        <f>DATE(YEAR(PM14)+5,MONTH(PM14),DAY(PM14))</f>
        <v>46453</v>
      </c>
      <c r="PO14" s="8">
        <f ca="1">PN14-TODAY()</f>
        <v>308</v>
      </c>
      <c r="PP14" s="5" t="str">
        <f t="shared" ca="1" si="119"/>
        <v>VIGENTE</v>
      </c>
      <c r="PQ14" s="6"/>
      <c r="PR14" s="6"/>
      <c r="PS14" s="6"/>
      <c r="PT14" s="6"/>
      <c r="PU14" s="5" t="str">
        <f t="shared" si="120"/>
        <v>NO APLICA</v>
      </c>
      <c r="PV14" s="5"/>
      <c r="PW14" s="4">
        <v>45499</v>
      </c>
      <c r="PX14" s="4"/>
      <c r="PY14" s="8"/>
      <c r="PZ14" s="5" t="str">
        <f>IF(PY14&gt;=61,"VIGENTE",IF(PY14&gt;=1,"POR VENCER",IF(PY14&lt;=-1,"VENCIDA",IF(PY14=0,"NO APLICA"))))</f>
        <v>NO APLICA</v>
      </c>
    </row>
    <row r="15" spans="1:442" ht="15.6" hidden="1" thickTop="1" thickBot="1" x14ac:dyDescent="0.35">
      <c r="A15" s="26">
        <v>12</v>
      </c>
      <c r="B15" s="27">
        <v>580</v>
      </c>
      <c r="C15" s="28" t="s">
        <v>103</v>
      </c>
      <c r="D15" s="29" t="s">
        <v>68</v>
      </c>
      <c r="E15" s="30" t="s">
        <v>73</v>
      </c>
      <c r="F15" s="2"/>
      <c r="G15" s="6"/>
      <c r="H15" s="4"/>
      <c r="I15" s="8"/>
      <c r="J15" s="5" t="str">
        <f t="shared" si="0"/>
        <v>NO APLICA</v>
      </c>
      <c r="K15" s="5"/>
      <c r="L15" s="6"/>
      <c r="M15" s="6"/>
      <c r="N15" s="8"/>
      <c r="O15" s="5" t="str">
        <f t="shared" si="1"/>
        <v>NO APLICA</v>
      </c>
      <c r="P15" s="4"/>
      <c r="Q15" s="4">
        <v>45604</v>
      </c>
      <c r="R15" s="4">
        <f>DATE(YEAR(Q15)+2,MONTH(Q15),DAY(Q15)-1)</f>
        <v>46333</v>
      </c>
      <c r="S15" s="8">
        <f ca="1">R15-TODAY()</f>
        <v>188</v>
      </c>
      <c r="T15" s="5" t="str">
        <f t="shared" ca="1" si="122"/>
        <v>VIGENTE</v>
      </c>
      <c r="U15" s="5"/>
      <c r="V15" s="2" t="s">
        <v>104</v>
      </c>
      <c r="W15" s="4">
        <v>45282</v>
      </c>
      <c r="X15" s="4">
        <f t="shared" si="2"/>
        <v>47109</v>
      </c>
      <c r="Y15" s="8">
        <f t="shared" ca="1" si="3"/>
        <v>964</v>
      </c>
      <c r="Z15" s="5" t="str">
        <f t="shared" ca="1" si="4"/>
        <v>VIGENTE</v>
      </c>
      <c r="AA15" s="5"/>
      <c r="AB15" s="2" t="s">
        <v>105</v>
      </c>
      <c r="AC15" s="4">
        <v>45190</v>
      </c>
      <c r="AD15" s="4">
        <f t="shared" si="5"/>
        <v>47017</v>
      </c>
      <c r="AE15" s="8">
        <f t="shared" ca="1" si="6"/>
        <v>872</v>
      </c>
      <c r="AF15" s="5" t="str">
        <f t="shared" ca="1" si="7"/>
        <v>VIGENTE</v>
      </c>
      <c r="AG15" s="3"/>
      <c r="AH15" s="4">
        <v>45902</v>
      </c>
      <c r="AI15" s="4">
        <f>DATE(YEAR(AH15)+2,MONTH(AH15),DAY(AH15))</f>
        <v>46632</v>
      </c>
      <c r="AJ15" s="8">
        <f t="shared" ca="1" si="8"/>
        <v>487</v>
      </c>
      <c r="AK15" s="5" t="str">
        <f t="shared" ca="1" si="9"/>
        <v>VIGENTE</v>
      </c>
      <c r="AL15" s="3"/>
      <c r="AM15" s="4">
        <v>45748</v>
      </c>
      <c r="AN15" s="4">
        <f>DATE(YEAR(AM15)+2,MONTH(AM15),DAY(AM15)-1)</f>
        <v>46477</v>
      </c>
      <c r="AO15" s="8">
        <f t="shared" ca="1" si="10"/>
        <v>332</v>
      </c>
      <c r="AP15" s="5" t="str">
        <f t="shared" ca="1" si="11"/>
        <v>VIGENTE</v>
      </c>
      <c r="AQ15" s="3"/>
      <c r="AR15" s="4">
        <v>45904</v>
      </c>
      <c r="AS15" s="4">
        <f>DATE(YEAR(AR15)+2,MONTH(AR15),DAY(AR15))</f>
        <v>46634</v>
      </c>
      <c r="AT15" s="8">
        <f t="shared" ca="1" si="12"/>
        <v>489</v>
      </c>
      <c r="AU15" s="5" t="str">
        <f t="shared" ca="1" si="13"/>
        <v>VIGENTE</v>
      </c>
      <c r="AV15" s="3"/>
      <c r="AW15" s="4">
        <v>45906</v>
      </c>
      <c r="AX15" s="4">
        <f>DATE(YEAR(AW15)+2,MONTH(AW15),DAY(AW15))</f>
        <v>46636</v>
      </c>
      <c r="AY15" s="8">
        <f t="shared" ca="1" si="15"/>
        <v>491</v>
      </c>
      <c r="AZ15" s="5" t="str">
        <f t="shared" ca="1" si="16"/>
        <v>VIGENTE</v>
      </c>
      <c r="BA15" s="3"/>
      <c r="BB15" s="4">
        <v>45901</v>
      </c>
      <c r="BC15" s="4">
        <f>DATE(YEAR(BB15)+2,MONTH(BB15),DAY(BB15))</f>
        <v>46631</v>
      </c>
      <c r="BD15" s="8">
        <f t="shared" ca="1" si="17"/>
        <v>486</v>
      </c>
      <c r="BE15" s="5" t="str">
        <f t="shared" ca="1" si="18"/>
        <v>VIGENTE</v>
      </c>
      <c r="BF15" s="3"/>
      <c r="BG15" s="4">
        <v>45842</v>
      </c>
      <c r="BH15" s="4">
        <f>DATE(YEAR(BG15)+2,MONTH(BG15),DAY(BG15))</f>
        <v>46572</v>
      </c>
      <c r="BI15" s="8">
        <f t="shared" ca="1" si="19"/>
        <v>427</v>
      </c>
      <c r="BJ15" s="5" t="str">
        <f t="shared" ca="1" si="20"/>
        <v>VIGENTE</v>
      </c>
      <c r="BK15" s="3"/>
      <c r="BL15" s="4">
        <v>45759</v>
      </c>
      <c r="BM15" s="4">
        <f>DATE(YEAR(BL15)+2,MONTH(BL15),DAY(BL15)-1)</f>
        <v>46488</v>
      </c>
      <c r="BN15" s="8">
        <f t="shared" ca="1" si="21"/>
        <v>343</v>
      </c>
      <c r="BO15" s="5" t="str">
        <f t="shared" ca="1" si="22"/>
        <v>VIGENTE</v>
      </c>
      <c r="BP15" s="3"/>
      <c r="BQ15" s="39">
        <v>45750</v>
      </c>
      <c r="BR15" s="4">
        <f>DATE(YEAR(BQ15)+2,MONTH(BQ15),DAY(BQ15)-1)</f>
        <v>46479</v>
      </c>
      <c r="BS15" s="8">
        <f t="shared" ca="1" si="23"/>
        <v>334</v>
      </c>
      <c r="BT15" s="5" t="str">
        <f t="shared" ca="1" si="24"/>
        <v>VIGENTE</v>
      </c>
      <c r="BU15" s="3"/>
      <c r="BV15" s="4">
        <v>45853</v>
      </c>
      <c r="BW15" s="4">
        <f>DATE(YEAR(BV15)+2,MONTH(BV15),DAY(BV15))</f>
        <v>46583</v>
      </c>
      <c r="BX15" s="8">
        <f t="shared" ca="1" si="25"/>
        <v>438</v>
      </c>
      <c r="BY15" s="5" t="str">
        <f t="shared" ca="1" si="26"/>
        <v>VIGENTE</v>
      </c>
      <c r="BZ15" s="2"/>
      <c r="CA15" s="4">
        <v>45770</v>
      </c>
      <c r="CB15" s="4">
        <f t="shared" si="173"/>
        <v>46500</v>
      </c>
      <c r="CC15" s="8">
        <f t="shared" ca="1" si="27"/>
        <v>355</v>
      </c>
      <c r="CD15" s="5" t="str">
        <f t="shared" ca="1" si="28"/>
        <v>VIGENTE</v>
      </c>
      <c r="CE15" s="6"/>
      <c r="CF15" s="4">
        <v>45533</v>
      </c>
      <c r="CG15" s="4">
        <f t="shared" si="29"/>
        <v>46994</v>
      </c>
      <c r="CH15" s="8">
        <f t="shared" ca="1" si="30"/>
        <v>849</v>
      </c>
      <c r="CI15" s="5" t="str">
        <f t="shared" ca="1" si="31"/>
        <v>VIGENTE</v>
      </c>
      <c r="CJ15" s="4"/>
      <c r="CK15" s="4">
        <v>45801</v>
      </c>
      <c r="CL15" s="4">
        <f t="shared" ref="CL15:CL21" si="175">DATE(YEAR(CK15)+2,MONTH(CK15),DAY(CK15)-1)</f>
        <v>46530</v>
      </c>
      <c r="CM15" s="8">
        <f t="shared" ca="1" si="32"/>
        <v>385</v>
      </c>
      <c r="CN15" s="5" t="str">
        <f t="shared" ca="1" si="33"/>
        <v>VIGENTE</v>
      </c>
      <c r="CO15" s="3"/>
      <c r="CP15" s="39">
        <v>45888</v>
      </c>
      <c r="CQ15" s="4">
        <f>DATE(YEAR(CP15)+2,MONTH(CP15),DAY(CP15))</f>
        <v>46618</v>
      </c>
      <c r="CR15" s="8">
        <f t="shared" ca="1" si="34"/>
        <v>473</v>
      </c>
      <c r="CS15" s="5" t="str">
        <f t="shared" ca="1" si="35"/>
        <v>VIGENTE</v>
      </c>
      <c r="CT15" s="3"/>
      <c r="CU15" s="4">
        <v>45805</v>
      </c>
      <c r="CV15" s="4">
        <f>DATE(YEAR(CU15)+2,MONTH(CU15),DAY(CU15))</f>
        <v>46535</v>
      </c>
      <c r="CW15" s="8">
        <f t="shared" ca="1" si="36"/>
        <v>390</v>
      </c>
      <c r="CX15" s="5" t="str">
        <f t="shared" ca="1" si="37"/>
        <v>VIGENTE</v>
      </c>
      <c r="CY15" s="3"/>
      <c r="CZ15" s="4">
        <v>45843</v>
      </c>
      <c r="DA15" s="4">
        <f>DATE(YEAR(CZ15)+2,MONTH(CZ15),DAY(CZ15))</f>
        <v>46573</v>
      </c>
      <c r="DB15" s="8">
        <f t="shared" ca="1" si="38"/>
        <v>428</v>
      </c>
      <c r="DC15" s="5" t="str">
        <f t="shared" ca="1" si="39"/>
        <v>VIGENTE</v>
      </c>
      <c r="DD15" s="3"/>
      <c r="DE15" s="39">
        <v>45761</v>
      </c>
      <c r="DF15" s="4">
        <f>DATE(YEAR(DE15)+2,MONTH(DE15),DAY(DE15))</f>
        <v>46491</v>
      </c>
      <c r="DG15" s="8">
        <f t="shared" ca="1" si="40"/>
        <v>346</v>
      </c>
      <c r="DH15" s="5" t="str">
        <f t="shared" ca="1" si="41"/>
        <v>VIGENTE</v>
      </c>
      <c r="DI15" s="3"/>
      <c r="DJ15" s="39">
        <v>45779</v>
      </c>
      <c r="DK15" s="4">
        <f>DATE(YEAR(DJ15)+2,MONTH(DJ15),DAY(DJ15))</f>
        <v>46509</v>
      </c>
      <c r="DL15" s="8">
        <f t="shared" ca="1" si="43"/>
        <v>364</v>
      </c>
      <c r="DM15" s="5" t="str">
        <f t="shared" ca="1" si="44"/>
        <v>VIGENTE</v>
      </c>
      <c r="DN15" s="3"/>
      <c r="DO15" s="4">
        <v>45857</v>
      </c>
      <c r="DP15" s="4">
        <f>DATE(YEAR(DO15)+2,MONTH(DO15),DAY(DO15))</f>
        <v>46587</v>
      </c>
      <c r="DQ15" s="8">
        <f t="shared" ca="1" si="46"/>
        <v>442</v>
      </c>
      <c r="DR15" s="5" t="str">
        <f t="shared" ca="1" si="47"/>
        <v>VIGENTE</v>
      </c>
      <c r="DS15" s="3"/>
      <c r="DT15" s="4">
        <v>45800</v>
      </c>
      <c r="DU15" s="4">
        <f>DATE(YEAR(DT15)+2,MONTH(DT15),DAY(DT15)-1)</f>
        <v>46529</v>
      </c>
      <c r="DV15" s="8">
        <f t="shared" ca="1" si="48"/>
        <v>384</v>
      </c>
      <c r="DW15" s="5" t="str">
        <f t="shared" ca="1" si="49"/>
        <v>VIGENTE</v>
      </c>
      <c r="DX15" s="3"/>
      <c r="DY15" s="4">
        <v>45804</v>
      </c>
      <c r="DZ15" s="4">
        <f>DATE(YEAR(DY15)+2,MONTH(DY15),DAY(DY15))</f>
        <v>46534</v>
      </c>
      <c r="EA15" s="8">
        <f t="shared" ca="1" si="50"/>
        <v>389</v>
      </c>
      <c r="EB15" s="5" t="str">
        <f t="shared" ca="1" si="51"/>
        <v>VIGENTE</v>
      </c>
      <c r="EC15" s="3"/>
      <c r="ED15" s="39">
        <v>45787</v>
      </c>
      <c r="EE15" s="4">
        <f>DATE(YEAR(ED15)+2,MONTH(ED15),DAY(ED15))</f>
        <v>46517</v>
      </c>
      <c r="EF15" s="8">
        <f t="shared" ca="1" si="52"/>
        <v>372</v>
      </c>
      <c r="EG15" s="5" t="str">
        <f t="shared" ca="1" si="53"/>
        <v>VIGENTE</v>
      </c>
      <c r="EH15" s="3"/>
      <c r="EI15" s="4">
        <v>45948</v>
      </c>
      <c r="EJ15" s="4">
        <f t="shared" si="131"/>
        <v>46313</v>
      </c>
      <c r="EK15" s="8">
        <f t="shared" ca="1" si="54"/>
        <v>168</v>
      </c>
      <c r="EL15" s="5" t="str">
        <f t="shared" ca="1" si="55"/>
        <v>VIGENTE</v>
      </c>
      <c r="EM15" s="3"/>
      <c r="EN15" s="4">
        <v>45840</v>
      </c>
      <c r="EO15" s="4">
        <f>DATE(YEAR(EN15)+2,MONTH(EN15),DAY(EN15))</f>
        <v>46570</v>
      </c>
      <c r="EP15" s="8">
        <f t="shared" ca="1" si="56"/>
        <v>425</v>
      </c>
      <c r="EQ15" s="5" t="str">
        <f t="shared" ca="1" si="57"/>
        <v>VIGENTE</v>
      </c>
      <c r="ER15" s="3"/>
      <c r="ES15" s="39">
        <v>45824</v>
      </c>
      <c r="ET15" s="4">
        <f>DATE(YEAR(ES15)+2,MONTH(ES15),DAY(ES15))</f>
        <v>46554</v>
      </c>
      <c r="EU15" s="8">
        <f t="shared" ca="1" si="58"/>
        <v>409</v>
      </c>
      <c r="EV15" s="5" t="str">
        <f t="shared" ca="1" si="59"/>
        <v>VIGENTE</v>
      </c>
      <c r="EW15" s="3"/>
      <c r="EX15" s="4">
        <v>45794</v>
      </c>
      <c r="EY15" s="4">
        <f t="shared" si="146"/>
        <v>46524</v>
      </c>
      <c r="EZ15" s="8">
        <f t="shared" ca="1" si="60"/>
        <v>379</v>
      </c>
      <c r="FA15" s="5" t="str">
        <f t="shared" ca="1" si="61"/>
        <v>VIGENTE</v>
      </c>
      <c r="FB15" s="3"/>
      <c r="FC15" s="4">
        <v>45922</v>
      </c>
      <c r="FD15" s="4">
        <f t="shared" si="174"/>
        <v>46652</v>
      </c>
      <c r="FE15" s="8">
        <f t="shared" ca="1" si="62"/>
        <v>507</v>
      </c>
      <c r="FF15" s="5" t="str">
        <f t="shared" ca="1" si="63"/>
        <v>VIGENTE</v>
      </c>
      <c r="FG15" s="3"/>
      <c r="FH15" s="4">
        <v>45790</v>
      </c>
      <c r="FI15" s="4">
        <f t="shared" si="148"/>
        <v>46520</v>
      </c>
      <c r="FJ15" s="8">
        <f t="shared" ca="1" si="64"/>
        <v>375</v>
      </c>
      <c r="FK15" s="5" t="str">
        <f t="shared" ca="1" si="65"/>
        <v>VIGENTE</v>
      </c>
      <c r="FL15" s="3"/>
      <c r="FM15" s="39">
        <v>45850</v>
      </c>
      <c r="FN15" s="4">
        <f>DATE(YEAR(FM15)+2,MONTH(FM15),DAY(FM15))</f>
        <v>46580</v>
      </c>
      <c r="FO15" s="8">
        <f t="shared" ca="1" si="67"/>
        <v>435</v>
      </c>
      <c r="FP15" s="5" t="str">
        <f t="shared" ca="1" si="68"/>
        <v>VIGENTE</v>
      </c>
      <c r="FQ15" s="3"/>
      <c r="FR15" s="39">
        <v>45884</v>
      </c>
      <c r="FS15" s="4">
        <f>DATE(YEAR(FR15)+2,MONTH(FR15),DAY(FR15))</f>
        <v>46614</v>
      </c>
      <c r="FT15" s="8">
        <f t="shared" ca="1" si="69"/>
        <v>469</v>
      </c>
      <c r="FU15" s="5" t="str">
        <f t="shared" ca="1" si="70"/>
        <v>VIGENTE</v>
      </c>
      <c r="FV15" s="3"/>
      <c r="FW15" s="4">
        <v>45758</v>
      </c>
      <c r="FX15" s="4">
        <f>DATE(YEAR(FW15)+2,MONTH(FW15),DAY(FW15)-1)</f>
        <v>46487</v>
      </c>
      <c r="FY15" s="8">
        <f t="shared" ca="1" si="71"/>
        <v>342</v>
      </c>
      <c r="FZ15" s="5" t="str">
        <f t="shared" ca="1" si="72"/>
        <v>VIGENTE</v>
      </c>
      <c r="GA15" s="3"/>
      <c r="GB15" s="4">
        <v>45874</v>
      </c>
      <c r="GC15" s="4">
        <f>DATE(YEAR(GB15)+2,MONTH(GB15),DAY(GB15))</f>
        <v>46604</v>
      </c>
      <c r="GD15" s="8">
        <f t="shared" ca="1" si="73"/>
        <v>459</v>
      </c>
      <c r="GE15" s="5" t="str">
        <f t="shared" ca="1" si="74"/>
        <v>VIGENTE</v>
      </c>
      <c r="GF15" s="3"/>
      <c r="GG15" s="4">
        <v>45912</v>
      </c>
      <c r="GH15" s="4">
        <f>DATE(YEAR(GG15)+2,MONTH(GG15),DAY(GG15))</f>
        <v>46642</v>
      </c>
      <c r="GI15" s="8">
        <f t="shared" ca="1" si="75"/>
        <v>497</v>
      </c>
      <c r="GJ15" s="5" t="str">
        <f t="shared" ca="1" si="76"/>
        <v>VIGENTE</v>
      </c>
      <c r="GK15" s="3"/>
      <c r="GL15" s="4">
        <v>45945</v>
      </c>
      <c r="GM15" s="4">
        <f>DATE(YEAR(GL15)+2,MONTH(GL15),DAY(GL15))</f>
        <v>46675</v>
      </c>
      <c r="GN15" s="8">
        <f t="shared" ca="1" si="77"/>
        <v>530</v>
      </c>
      <c r="GO15" s="5" t="str">
        <f t="shared" ca="1" si="78"/>
        <v>VIGENTE</v>
      </c>
      <c r="GP15" s="4"/>
      <c r="GQ15" s="4">
        <v>45219</v>
      </c>
      <c r="GR15" s="4">
        <f t="shared" si="79"/>
        <v>47046</v>
      </c>
      <c r="GS15" s="8">
        <f t="shared" ref="GS15:GS78" ca="1" si="176">GR15-TODAY()</f>
        <v>901</v>
      </c>
      <c r="GT15" s="5" t="str">
        <f t="shared" ca="1" si="81"/>
        <v>VIGENTE</v>
      </c>
      <c r="GU15" s="3"/>
      <c r="GV15" s="4">
        <v>45203</v>
      </c>
      <c r="GW15" s="4">
        <f t="shared" si="82"/>
        <v>47030</v>
      </c>
      <c r="GX15" s="8">
        <f t="shared" ca="1" si="83"/>
        <v>885</v>
      </c>
      <c r="GY15" s="5" t="str">
        <f t="shared" ca="1" si="84"/>
        <v>VIGENTE</v>
      </c>
      <c r="GZ15" s="2"/>
      <c r="HA15" s="4">
        <v>45174</v>
      </c>
      <c r="HB15" s="4">
        <f t="shared" si="85"/>
        <v>47001</v>
      </c>
      <c r="HC15" s="8">
        <f t="shared" ca="1" si="86"/>
        <v>856</v>
      </c>
      <c r="HD15" s="5" t="str">
        <f t="shared" ca="1" si="87"/>
        <v>VIGENTE</v>
      </c>
      <c r="HE15" s="6"/>
      <c r="HF15" s="4">
        <v>45196</v>
      </c>
      <c r="HG15" s="4">
        <f t="shared" si="88"/>
        <v>47023</v>
      </c>
      <c r="HH15" s="8">
        <f t="shared" ca="1" si="89"/>
        <v>878</v>
      </c>
      <c r="HI15" s="5" t="str">
        <f t="shared" ref="HI15:HI22" ca="1" si="177">IF(HH15&gt;=61,"VIGENTE",IF(HH15&gt;=1,"POR VENCER",IF(HH15&lt;=-1,"VENCIDA",IF(HF15=0,"NO APLICA"))))</f>
        <v>VIGENTE</v>
      </c>
      <c r="HJ15" s="2"/>
      <c r="HK15" s="6"/>
      <c r="HL15" s="4"/>
      <c r="HM15" s="8"/>
      <c r="HN15" s="5" t="str">
        <f t="shared" si="91"/>
        <v>NO APLICA</v>
      </c>
      <c r="HO15" s="2"/>
      <c r="HP15" s="5"/>
      <c r="HQ15" s="4"/>
      <c r="HR15" s="5"/>
      <c r="HS15" s="5" t="str">
        <f t="shared" si="92"/>
        <v>NO APLICA</v>
      </c>
      <c r="HT15" s="2"/>
      <c r="HU15" s="6"/>
      <c r="HV15" s="4"/>
      <c r="HW15" s="8"/>
      <c r="HX15" s="5" t="str">
        <f t="shared" si="93"/>
        <v>NO APLICA</v>
      </c>
      <c r="HY15" s="2"/>
      <c r="HZ15" s="6"/>
      <c r="IA15" s="4"/>
      <c r="IB15" s="8"/>
      <c r="IC15" s="5" t="str">
        <f t="shared" si="94"/>
        <v>NO APLICA</v>
      </c>
      <c r="ID15" s="2"/>
      <c r="IE15" s="6"/>
      <c r="IF15" s="4"/>
      <c r="IG15" s="8"/>
      <c r="IH15" s="5" t="str">
        <f t="shared" si="95"/>
        <v>NO APLICA</v>
      </c>
      <c r="II15" s="6"/>
      <c r="IJ15" s="6"/>
      <c r="IK15" s="4"/>
      <c r="IL15" s="8"/>
      <c r="IM15" s="5" t="str">
        <f t="shared" si="96"/>
        <v>NO APLICA</v>
      </c>
      <c r="IN15" s="2"/>
      <c r="IO15" s="6"/>
      <c r="IP15" s="4"/>
      <c r="IQ15" s="8"/>
      <c r="IR15" s="5" t="str">
        <f t="shared" si="97"/>
        <v>NO APLICA</v>
      </c>
      <c r="IS15" s="2"/>
      <c r="IT15" s="6"/>
      <c r="IU15" s="4"/>
      <c r="IV15" s="8"/>
      <c r="IW15" s="5" t="str">
        <f t="shared" si="98"/>
        <v>NO APLICA</v>
      </c>
      <c r="IX15" s="2"/>
      <c r="IY15" s="6"/>
      <c r="IZ15" s="4"/>
      <c r="JA15" s="8"/>
      <c r="JB15" s="5" t="str">
        <f t="shared" si="99"/>
        <v>NO APLICA</v>
      </c>
      <c r="JC15" s="3" t="s">
        <v>780</v>
      </c>
      <c r="JD15" s="3"/>
      <c r="JE15" s="4"/>
      <c r="JF15" s="8"/>
      <c r="JG15" s="5"/>
      <c r="JH15" s="3" t="s">
        <v>780</v>
      </c>
      <c r="JI15" s="6"/>
      <c r="JJ15" s="6"/>
      <c r="JK15" s="6"/>
      <c r="JL15" s="5"/>
      <c r="JM15" s="6" t="s">
        <v>780</v>
      </c>
      <c r="JN15" s="6"/>
      <c r="JO15" s="6"/>
      <c r="JP15" s="6"/>
      <c r="JQ15" s="5"/>
      <c r="JR15" s="6" t="s">
        <v>780</v>
      </c>
      <c r="JS15" s="6"/>
      <c r="JT15" s="6"/>
      <c r="JU15" s="6"/>
      <c r="JV15" s="5"/>
      <c r="JW15" s="6" t="s">
        <v>780</v>
      </c>
      <c r="JX15" s="5"/>
      <c r="JY15" s="5"/>
      <c r="JZ15" s="5"/>
      <c r="KA15" s="5"/>
      <c r="KB15" s="5"/>
      <c r="KC15" s="5"/>
      <c r="KD15" s="4"/>
      <c r="KE15" s="8"/>
      <c r="KF15" s="5" t="str">
        <f t="shared" si="135"/>
        <v>NO APLICA</v>
      </c>
      <c r="KG15" s="5"/>
      <c r="KH15" s="3">
        <v>45328</v>
      </c>
      <c r="KI15" s="4">
        <f>DATE(YEAR(KH15)+5,MONTH(KH15),DAY(KH15)-1)</f>
        <v>47154</v>
      </c>
      <c r="KJ15" s="8">
        <f ca="1">KI15-TODAY()</f>
        <v>1009</v>
      </c>
      <c r="KK15" s="5" t="str">
        <f t="shared" ca="1" si="136"/>
        <v>VIGENTE</v>
      </c>
      <c r="KL15" s="5"/>
      <c r="KM15" s="5"/>
      <c r="KN15" s="4"/>
      <c r="KO15" s="8"/>
      <c r="KP15" s="5" t="str">
        <f t="shared" si="100"/>
        <v>NO APLICA</v>
      </c>
      <c r="KQ15" s="5"/>
      <c r="KR15" s="2"/>
      <c r="KS15" s="4"/>
      <c r="KT15" s="8"/>
      <c r="KU15" s="5" t="str">
        <f t="shared" si="137"/>
        <v>NO APLICA</v>
      </c>
      <c r="KV15" s="3"/>
      <c r="KW15" s="4">
        <v>44653</v>
      </c>
      <c r="KX15" s="4">
        <f>DATE(YEAR(KW15)+5,MONTH(KW15),DAY(KW15))</f>
        <v>46479</v>
      </c>
      <c r="KY15" s="8">
        <f ca="1">KX15-TODAY()</f>
        <v>334</v>
      </c>
      <c r="KZ15" s="5" t="str">
        <f t="shared" ca="1" si="151"/>
        <v>VIGENTE</v>
      </c>
      <c r="LA15" s="5"/>
      <c r="LB15" s="6"/>
      <c r="LC15" s="4"/>
      <c r="LD15" s="8"/>
      <c r="LE15" s="5" t="str">
        <f t="shared" si="138"/>
        <v>NO APLICA</v>
      </c>
      <c r="LF15" s="6"/>
      <c r="LG15" s="6"/>
      <c r="LH15" s="4"/>
      <c r="LI15" s="8"/>
      <c r="LJ15" s="5" t="str">
        <f t="shared" si="101"/>
        <v>NO APLICA</v>
      </c>
      <c r="LK15" s="5"/>
      <c r="LL15" s="5"/>
      <c r="LM15" s="4"/>
      <c r="LN15" s="8"/>
      <c r="LO15" s="5" t="str">
        <f t="shared" si="152"/>
        <v>NO APLICA</v>
      </c>
      <c r="LP15" s="5"/>
      <c r="LQ15" s="6"/>
      <c r="LR15" s="4"/>
      <c r="LS15" s="8"/>
      <c r="LT15" s="5" t="str">
        <f t="shared" si="139"/>
        <v>NO APLICA</v>
      </c>
      <c r="LU15" s="6"/>
      <c r="LV15" s="6"/>
      <c r="LW15" s="4"/>
      <c r="LX15" s="8"/>
      <c r="LY15" s="5" t="str">
        <f t="shared" si="140"/>
        <v>NO APLICA</v>
      </c>
      <c r="LZ15" s="6"/>
      <c r="MA15" s="6"/>
      <c r="MB15" s="4"/>
      <c r="MC15" s="8"/>
      <c r="MD15" s="5" t="str">
        <f t="shared" si="141"/>
        <v>NO APLICA</v>
      </c>
      <c r="ME15" s="5"/>
      <c r="MF15" s="5"/>
      <c r="MG15" s="4"/>
      <c r="MH15" s="8"/>
      <c r="MI15" s="5" t="str">
        <f t="shared" si="102"/>
        <v>NO APLICA</v>
      </c>
      <c r="MJ15" s="5"/>
      <c r="MK15" s="5"/>
      <c r="ML15" s="4"/>
      <c r="MM15" s="8"/>
      <c r="MN15" s="5" t="str">
        <f t="shared" si="103"/>
        <v>NO APLICA</v>
      </c>
      <c r="MO15" s="5"/>
      <c r="MP15" s="5"/>
      <c r="MQ15" s="4"/>
      <c r="MR15" s="8"/>
      <c r="MS15" s="5" t="str">
        <f t="shared" si="104"/>
        <v>NO APLICA</v>
      </c>
      <c r="MT15" s="5"/>
      <c r="MU15" s="5"/>
      <c r="MV15" s="4"/>
      <c r="MW15" s="5"/>
      <c r="MX15" s="5" t="str">
        <f t="shared" si="105"/>
        <v>NO APLICA</v>
      </c>
      <c r="MY15" s="5"/>
      <c r="MZ15" s="6"/>
      <c r="NA15" s="4"/>
      <c r="NB15" s="8"/>
      <c r="NC15" s="5" t="str">
        <f t="shared" si="106"/>
        <v>NO APLICA</v>
      </c>
      <c r="ND15" s="5"/>
      <c r="NE15" s="6"/>
      <c r="NF15" s="4"/>
      <c r="NG15" s="8"/>
      <c r="NH15" s="5" t="str">
        <f t="shared" si="107"/>
        <v>NO APLICA</v>
      </c>
      <c r="NI15" s="5"/>
      <c r="NJ15" s="6"/>
      <c r="NK15" s="4"/>
      <c r="NL15" s="8"/>
      <c r="NM15" s="5" t="str">
        <f t="shared" si="108"/>
        <v>NO APLICA</v>
      </c>
      <c r="NN15" s="5"/>
      <c r="NO15" s="5"/>
      <c r="NP15" s="4"/>
      <c r="NQ15" s="8"/>
      <c r="NR15" s="5" t="str">
        <f t="shared" si="109"/>
        <v>NO APLICA</v>
      </c>
      <c r="NS15" s="5"/>
      <c r="NT15" s="5"/>
      <c r="NU15" s="5"/>
      <c r="NV15" s="5"/>
      <c r="NW15" s="5" t="str">
        <f t="shared" si="110"/>
        <v>NO APLICA</v>
      </c>
      <c r="NX15" s="6"/>
      <c r="NY15" s="6"/>
      <c r="NZ15" s="4"/>
      <c r="OA15" s="8"/>
      <c r="OB15" s="5" t="str">
        <f t="shared" si="111"/>
        <v>NO APLICA</v>
      </c>
      <c r="OC15" s="6"/>
      <c r="OD15" s="6"/>
      <c r="OE15" s="6"/>
      <c r="OF15" s="6"/>
      <c r="OG15" s="5" t="str">
        <f t="shared" si="112"/>
        <v>NO APLICA</v>
      </c>
      <c r="OH15" s="5"/>
      <c r="OI15" s="5"/>
      <c r="OJ15" s="4"/>
      <c r="OK15" s="8"/>
      <c r="OL15" s="5" t="str">
        <f t="shared" si="113"/>
        <v>NO APLICA</v>
      </c>
      <c r="OM15" s="6"/>
      <c r="ON15" s="6"/>
      <c r="OO15" s="6"/>
      <c r="OP15" s="6"/>
      <c r="OQ15" s="5" t="str">
        <f t="shared" si="114"/>
        <v>NO APLICA</v>
      </c>
      <c r="OR15" s="6"/>
      <c r="OS15" s="6"/>
      <c r="OT15" s="6"/>
      <c r="OU15" s="6"/>
      <c r="OV15" s="5" t="str">
        <f t="shared" si="115"/>
        <v>NO APLICA</v>
      </c>
      <c r="OW15" s="6"/>
      <c r="OX15" s="6"/>
      <c r="OY15" s="6"/>
      <c r="OZ15" s="6"/>
      <c r="PA15" s="5" t="str">
        <f t="shared" si="116"/>
        <v>NO APLICA</v>
      </c>
      <c r="PB15" s="6"/>
      <c r="PC15" s="6"/>
      <c r="PD15" s="6"/>
      <c r="PE15" s="6"/>
      <c r="PF15" s="5" t="str">
        <f t="shared" si="117"/>
        <v>NO APLICA</v>
      </c>
      <c r="PG15" s="6"/>
      <c r="PH15" s="6"/>
      <c r="PI15" s="6"/>
      <c r="PJ15" s="6"/>
      <c r="PK15" s="5" t="str">
        <f t="shared" si="118"/>
        <v>NO APLICA</v>
      </c>
      <c r="PL15" s="5"/>
      <c r="PM15" s="6"/>
      <c r="PN15" s="4"/>
      <c r="PO15" s="8"/>
      <c r="PP15" s="5" t="str">
        <f t="shared" si="119"/>
        <v>NO APLICA</v>
      </c>
      <c r="PQ15" s="6"/>
      <c r="PR15" s="6"/>
      <c r="PS15" s="6"/>
      <c r="PT15" s="6"/>
      <c r="PU15" s="5" t="str">
        <f t="shared" si="120"/>
        <v>NO APLICA</v>
      </c>
      <c r="PV15" s="5"/>
      <c r="PW15" s="6"/>
      <c r="PX15" s="6"/>
      <c r="PY15" s="6"/>
      <c r="PZ15" s="5" t="str">
        <f t="shared" si="121"/>
        <v>NO APLICA</v>
      </c>
    </row>
    <row r="16" spans="1:442" ht="15.6" hidden="1" thickTop="1" thickBot="1" x14ac:dyDescent="0.35">
      <c r="A16" s="26">
        <v>13</v>
      </c>
      <c r="B16" s="27">
        <v>1363</v>
      </c>
      <c r="C16" s="28" t="s">
        <v>106</v>
      </c>
      <c r="D16" s="29" t="s">
        <v>68</v>
      </c>
      <c r="E16" s="30" t="s">
        <v>69</v>
      </c>
      <c r="F16" s="2"/>
      <c r="G16" s="6"/>
      <c r="H16" s="4"/>
      <c r="I16" s="8"/>
      <c r="J16" s="5" t="str">
        <f t="shared" si="0"/>
        <v>NO APLICA</v>
      </c>
      <c r="K16" s="2"/>
      <c r="L16" s="6"/>
      <c r="M16" s="6"/>
      <c r="N16" s="8"/>
      <c r="O16" s="5" t="str">
        <f t="shared" si="1"/>
        <v>NO APLICA</v>
      </c>
      <c r="P16" s="6"/>
      <c r="Q16" s="6"/>
      <c r="R16" s="4"/>
      <c r="S16" s="8"/>
      <c r="T16" s="5" t="str">
        <f t="shared" si="122"/>
        <v>NO APLICA</v>
      </c>
      <c r="U16" s="5"/>
      <c r="V16" s="2" t="s">
        <v>107</v>
      </c>
      <c r="W16" s="4">
        <v>45545</v>
      </c>
      <c r="X16" s="4">
        <f t="shared" si="2"/>
        <v>47371</v>
      </c>
      <c r="Y16" s="8">
        <f t="shared" ca="1" si="3"/>
        <v>1226</v>
      </c>
      <c r="Z16" s="5" t="str">
        <f t="shared" ca="1" si="4"/>
        <v>VIGENTE</v>
      </c>
      <c r="AA16" s="5"/>
      <c r="AB16" s="2" t="s">
        <v>108</v>
      </c>
      <c r="AC16" s="4">
        <v>44382</v>
      </c>
      <c r="AD16" s="4">
        <f t="shared" si="5"/>
        <v>46208</v>
      </c>
      <c r="AE16" s="8">
        <f t="shared" ca="1" si="6"/>
        <v>63</v>
      </c>
      <c r="AF16" s="5" t="str">
        <f t="shared" ca="1" si="7"/>
        <v>POR VENCER</v>
      </c>
      <c r="AG16" s="3"/>
      <c r="AH16" s="4">
        <v>45617</v>
      </c>
      <c r="AI16" s="4">
        <f>DATE(YEAR(AH16)+2,MONTH(AH16),DAY(AH16)-1)</f>
        <v>46346</v>
      </c>
      <c r="AJ16" s="8">
        <f t="shared" ca="1" si="8"/>
        <v>201</v>
      </c>
      <c r="AK16" s="5" t="str">
        <f t="shared" ca="1" si="9"/>
        <v>VIGENTE</v>
      </c>
      <c r="AL16" s="3"/>
      <c r="AM16" s="4">
        <v>45959</v>
      </c>
      <c r="AN16" s="4">
        <f>DATE(YEAR(AM16)+2,MONTH(AM16),DAY(AM16))</f>
        <v>46689</v>
      </c>
      <c r="AO16" s="8">
        <f t="shared" ca="1" si="10"/>
        <v>544</v>
      </c>
      <c r="AP16" s="5" t="str">
        <f t="shared" ca="1" si="11"/>
        <v>VIGENTE</v>
      </c>
      <c r="AQ16" s="3"/>
      <c r="AR16" s="4">
        <v>45703</v>
      </c>
      <c r="AS16" s="4">
        <f>DATE(YEAR(AR16)+2,MONTH(AR16),DAY(AR16)-1)</f>
        <v>46432</v>
      </c>
      <c r="AT16" s="8">
        <f t="shared" ca="1" si="12"/>
        <v>287</v>
      </c>
      <c r="AU16" s="5" t="str">
        <f t="shared" ca="1" si="13"/>
        <v>VIGENTE</v>
      </c>
      <c r="AV16" s="3"/>
      <c r="AW16" s="4">
        <v>45702</v>
      </c>
      <c r="AX16" s="4">
        <f>DATE(YEAR(AW16)+2,MONTH(AW16),DAY(AW16)-1)</f>
        <v>46431</v>
      </c>
      <c r="AY16" s="8">
        <f t="shared" ca="1" si="15"/>
        <v>286</v>
      </c>
      <c r="AZ16" s="5" t="str">
        <f t="shared" ca="1" si="16"/>
        <v>VIGENTE</v>
      </c>
      <c r="BA16" s="4"/>
      <c r="BB16" s="4">
        <v>45708</v>
      </c>
      <c r="BC16" s="4">
        <f>DATE(YEAR(BB16)+2,MONTH(BB16),DAY(BB16)-1)</f>
        <v>46437</v>
      </c>
      <c r="BD16" s="8">
        <f t="shared" ca="1" si="17"/>
        <v>292</v>
      </c>
      <c r="BE16" s="5" t="str">
        <f t="shared" ca="1" si="18"/>
        <v>VIGENTE</v>
      </c>
      <c r="BF16" s="3"/>
      <c r="BG16" s="4">
        <v>45987</v>
      </c>
      <c r="BH16" s="4">
        <f>DATE(YEAR(BG16)+2,MONTH(BG16),DAY(BG16))</f>
        <v>46717</v>
      </c>
      <c r="BI16" s="8">
        <f t="shared" ca="1" si="19"/>
        <v>572</v>
      </c>
      <c r="BJ16" s="5" t="str">
        <f t="shared" ca="1" si="20"/>
        <v>VIGENTE</v>
      </c>
      <c r="BK16" s="3"/>
      <c r="BL16" s="4">
        <v>46035</v>
      </c>
      <c r="BM16" s="4">
        <f>DATE(YEAR(BL16)+2,MONTH(BL16),DAY(BL16))</f>
        <v>46765</v>
      </c>
      <c r="BN16" s="8">
        <f t="shared" ca="1" si="21"/>
        <v>620</v>
      </c>
      <c r="BO16" s="5" t="str">
        <f t="shared" ca="1" si="22"/>
        <v>VIGENTE</v>
      </c>
      <c r="BP16" s="4"/>
      <c r="BQ16" s="39">
        <v>45701</v>
      </c>
      <c r="BR16" s="4">
        <f>DATE(YEAR(BQ16)+2,MONTH(BQ16),DAY(BQ16)-1)</f>
        <v>46430</v>
      </c>
      <c r="BS16" s="8">
        <f t="shared" ca="1" si="23"/>
        <v>285</v>
      </c>
      <c r="BT16" s="5" t="str">
        <f t="shared" ca="1" si="24"/>
        <v>VIGENTE</v>
      </c>
      <c r="BU16" s="4"/>
      <c r="BV16" s="4">
        <v>45736</v>
      </c>
      <c r="BW16" s="4">
        <f>DATE(YEAR(BV16)+2,MONTH(BV16),DAY(BV16)-1)</f>
        <v>46465</v>
      </c>
      <c r="BX16" s="8">
        <f t="shared" ca="1" si="25"/>
        <v>320</v>
      </c>
      <c r="BY16" s="5" t="str">
        <f t="shared" ca="1" si="26"/>
        <v>VIGENTE</v>
      </c>
      <c r="BZ16" s="3"/>
      <c r="CA16" s="4">
        <v>45954</v>
      </c>
      <c r="CB16" s="4">
        <f t="shared" si="173"/>
        <v>46684</v>
      </c>
      <c r="CC16" s="8">
        <f t="shared" ca="1" si="27"/>
        <v>539</v>
      </c>
      <c r="CD16" s="5" t="str">
        <f t="shared" ca="1" si="28"/>
        <v>VIGENTE</v>
      </c>
      <c r="CE16" s="6"/>
      <c r="CF16" s="4">
        <v>45211</v>
      </c>
      <c r="CG16" s="4">
        <f t="shared" si="29"/>
        <v>46672</v>
      </c>
      <c r="CH16" s="8">
        <f t="shared" ca="1" si="30"/>
        <v>527</v>
      </c>
      <c r="CI16" s="5" t="str">
        <f t="shared" ca="1" si="31"/>
        <v>VIGENTE</v>
      </c>
      <c r="CJ16" s="4"/>
      <c r="CK16" s="4">
        <v>45688</v>
      </c>
      <c r="CL16" s="4">
        <f t="shared" si="175"/>
        <v>46417</v>
      </c>
      <c r="CM16" s="8">
        <f t="shared" ca="1" si="32"/>
        <v>272</v>
      </c>
      <c r="CN16" s="5" t="str">
        <f t="shared" ca="1" si="33"/>
        <v>VIGENTE</v>
      </c>
      <c r="CO16" s="3"/>
      <c r="CP16" s="39">
        <v>45684</v>
      </c>
      <c r="CQ16" s="4">
        <f>DATE(YEAR(CP16)+2,MONTH(CP16),DAY(CP16)-1)</f>
        <v>46413</v>
      </c>
      <c r="CR16" s="8">
        <f t="shared" ca="1" si="34"/>
        <v>268</v>
      </c>
      <c r="CS16" s="5" t="str">
        <f t="shared" ca="1" si="35"/>
        <v>VIGENTE</v>
      </c>
      <c r="CT16" s="3"/>
      <c r="CU16" s="4">
        <v>45631</v>
      </c>
      <c r="CV16" s="4">
        <f>DATE(YEAR(CU16)+2,MONTH(CU16),DAY(CU16)-1)</f>
        <v>46360</v>
      </c>
      <c r="CW16" s="8">
        <f t="shared" ca="1" si="36"/>
        <v>215</v>
      </c>
      <c r="CX16" s="5" t="str">
        <f t="shared" ca="1" si="37"/>
        <v>VIGENTE</v>
      </c>
      <c r="CY16" s="3"/>
      <c r="CZ16" s="4">
        <v>45681</v>
      </c>
      <c r="DA16" s="4">
        <f>DATE(YEAR(CZ16)+2,MONTH(CZ16),DAY(CZ16)-1)</f>
        <v>46410</v>
      </c>
      <c r="DB16" s="8">
        <f t="shared" ca="1" si="38"/>
        <v>265</v>
      </c>
      <c r="DC16" s="5" t="str">
        <f t="shared" ca="1" si="39"/>
        <v>VIGENTE</v>
      </c>
      <c r="DD16" s="3"/>
      <c r="DE16" s="39">
        <v>45689</v>
      </c>
      <c r="DF16" s="4">
        <f>DATE(YEAR(DE16)+2,MONTH(DE16),DAY(DE16)-1)</f>
        <v>46418</v>
      </c>
      <c r="DG16" s="8">
        <f t="shared" ca="1" si="40"/>
        <v>273</v>
      </c>
      <c r="DH16" s="5" t="str">
        <f t="shared" ca="1" si="41"/>
        <v>VIGENTE</v>
      </c>
      <c r="DI16" s="4"/>
      <c r="DJ16" s="39">
        <v>45696</v>
      </c>
      <c r="DK16" s="4">
        <f>DATE(YEAR(DJ16)+2,MONTH(DJ16),DAY(DJ16)-1)</f>
        <v>46425</v>
      </c>
      <c r="DL16" s="8">
        <f t="shared" ca="1" si="43"/>
        <v>280</v>
      </c>
      <c r="DM16" s="5" t="str">
        <f t="shared" ca="1" si="44"/>
        <v>VIGENTE</v>
      </c>
      <c r="DN16" s="3"/>
      <c r="DO16" s="4">
        <v>45982</v>
      </c>
      <c r="DP16" s="4">
        <f>DATE(YEAR(DO16)+2,MONTH(DO16),DAY(DO16))</f>
        <v>46712</v>
      </c>
      <c r="DQ16" s="8">
        <f t="shared" ca="1" si="46"/>
        <v>567</v>
      </c>
      <c r="DR16" s="5" t="str">
        <f t="shared" ca="1" si="47"/>
        <v>VIGENTE</v>
      </c>
      <c r="DS16" s="3"/>
      <c r="DT16" s="4">
        <v>45728</v>
      </c>
      <c r="DU16" s="4">
        <f>DATE(YEAR(DT16)+2,MONTH(DT16),DAY(DT16)-1)</f>
        <v>46457</v>
      </c>
      <c r="DV16" s="8">
        <f t="shared" ca="1" si="48"/>
        <v>312</v>
      </c>
      <c r="DW16" s="5" t="str">
        <f t="shared" ca="1" si="49"/>
        <v>VIGENTE</v>
      </c>
      <c r="DX16" s="3"/>
      <c r="DY16" s="4">
        <v>45682</v>
      </c>
      <c r="DZ16" s="4">
        <f>DATE(YEAR(DY16)+2,MONTH(DY16),DAY(DY16)-1)</f>
        <v>46411</v>
      </c>
      <c r="EA16" s="8">
        <f t="shared" ca="1" si="50"/>
        <v>266</v>
      </c>
      <c r="EB16" s="5" t="str">
        <f t="shared" ca="1" si="51"/>
        <v>VIGENTE</v>
      </c>
      <c r="EC16" s="3"/>
      <c r="ED16" s="39">
        <v>45674</v>
      </c>
      <c r="EE16" s="4">
        <f>DATE(YEAR(ED16)+2,MONTH(ED16),DAY(ED16)-1)</f>
        <v>46403</v>
      </c>
      <c r="EF16" s="8">
        <f t="shared" ca="1" si="52"/>
        <v>258</v>
      </c>
      <c r="EG16" s="5" t="str">
        <f t="shared" ca="1" si="53"/>
        <v>VIGENTE</v>
      </c>
      <c r="EH16" s="3"/>
      <c r="EI16" s="3">
        <v>46085</v>
      </c>
      <c r="EJ16" s="4">
        <f t="shared" si="131"/>
        <v>46450</v>
      </c>
      <c r="EK16" s="8">
        <f t="shared" ca="1" si="54"/>
        <v>305</v>
      </c>
      <c r="EL16" s="5" t="str">
        <f t="shared" ca="1" si="55"/>
        <v>VIGENTE</v>
      </c>
      <c r="EM16" s="4"/>
      <c r="EN16" s="4">
        <v>45671</v>
      </c>
      <c r="EO16" s="4">
        <f>DATE(YEAR(EN16)+2,MONTH(EN16),DAY(EN16)-1)</f>
        <v>46400</v>
      </c>
      <c r="EP16" s="8">
        <f t="shared" ca="1" si="56"/>
        <v>255</v>
      </c>
      <c r="EQ16" s="5" t="str">
        <f t="shared" ca="1" si="57"/>
        <v>VIGENTE</v>
      </c>
      <c r="ER16" s="4"/>
      <c r="ES16" s="39">
        <v>45677</v>
      </c>
      <c r="ET16" s="4">
        <f>DATE(YEAR(ES16)+2,MONTH(ES16),DAY(ES16)-1)</f>
        <v>46406</v>
      </c>
      <c r="EU16" s="8">
        <f t="shared" ca="1" si="58"/>
        <v>261</v>
      </c>
      <c r="EV16" s="5" t="str">
        <f t="shared" ca="1" si="59"/>
        <v>VIGENTE</v>
      </c>
      <c r="EW16" s="3"/>
      <c r="EX16" s="4">
        <v>45953</v>
      </c>
      <c r="EY16" s="4">
        <f t="shared" si="146"/>
        <v>46683</v>
      </c>
      <c r="EZ16" s="8">
        <f t="shared" ca="1" si="60"/>
        <v>538</v>
      </c>
      <c r="FA16" s="5" t="str">
        <f t="shared" ca="1" si="61"/>
        <v>VIGENTE</v>
      </c>
      <c r="FB16" s="3"/>
      <c r="FC16" s="4">
        <v>45951</v>
      </c>
      <c r="FD16" s="4">
        <f t="shared" si="174"/>
        <v>46681</v>
      </c>
      <c r="FE16" s="8">
        <f t="shared" ca="1" si="62"/>
        <v>536</v>
      </c>
      <c r="FF16" s="5" t="str">
        <f t="shared" ca="1" si="63"/>
        <v>VIGENTE</v>
      </c>
      <c r="FG16" s="3"/>
      <c r="FH16" s="4">
        <v>45992</v>
      </c>
      <c r="FI16" s="4">
        <f t="shared" si="148"/>
        <v>46722</v>
      </c>
      <c r="FJ16" s="8">
        <f t="shared" ca="1" si="64"/>
        <v>577</v>
      </c>
      <c r="FK16" s="5" t="str">
        <f t="shared" ca="1" si="65"/>
        <v>VIGENTE</v>
      </c>
      <c r="FL16" s="3"/>
      <c r="FM16" s="39">
        <v>45670</v>
      </c>
      <c r="FN16" s="4">
        <f>DATE(YEAR(FM16)+2,MONTH(FM16),DAY(FM16)-1)</f>
        <v>46399</v>
      </c>
      <c r="FO16" s="8">
        <f t="shared" ca="1" si="67"/>
        <v>254</v>
      </c>
      <c r="FP16" s="5" t="str">
        <f t="shared" ca="1" si="68"/>
        <v>VIGENTE</v>
      </c>
      <c r="FQ16" s="3"/>
      <c r="FR16" s="39">
        <v>45664</v>
      </c>
      <c r="FS16" s="4">
        <f>DATE(YEAR(FR16)+2,MONTH(FR16),DAY(FR16)-1)</f>
        <v>46393</v>
      </c>
      <c r="FT16" s="8">
        <f t="shared" ca="1" si="69"/>
        <v>248</v>
      </c>
      <c r="FU16" s="5" t="str">
        <f t="shared" ca="1" si="70"/>
        <v>VIGENTE</v>
      </c>
      <c r="FV16" s="4"/>
      <c r="FW16" s="4">
        <v>45581</v>
      </c>
      <c r="FX16" s="4">
        <f>DATE(YEAR(FW16)+2,MONTH(FW16),DAY(FW16)-1)</f>
        <v>46310</v>
      </c>
      <c r="FY16" s="8">
        <f t="shared" ca="1" si="71"/>
        <v>165</v>
      </c>
      <c r="FZ16" s="5" t="str">
        <f t="shared" ca="1" si="72"/>
        <v>VIGENTE</v>
      </c>
      <c r="GA16" s="3"/>
      <c r="GB16" s="4">
        <v>45667</v>
      </c>
      <c r="GC16" s="4">
        <f>DATE(YEAR(GB16)+2,MONTH(GB16),DAY(GB16)-1)</f>
        <v>46396</v>
      </c>
      <c r="GD16" s="8">
        <f t="shared" ca="1" si="73"/>
        <v>251</v>
      </c>
      <c r="GE16" s="5" t="str">
        <f t="shared" ca="1" si="74"/>
        <v>VIGENTE</v>
      </c>
      <c r="GF16" s="3"/>
      <c r="GG16" s="4">
        <v>46036</v>
      </c>
      <c r="GH16" s="4">
        <f>DATE(YEAR(GG16)+2,MONTH(GG16),DAY(GG16))</f>
        <v>46766</v>
      </c>
      <c r="GI16" s="8">
        <f t="shared" ca="1" si="75"/>
        <v>621</v>
      </c>
      <c r="GJ16" s="5" t="str">
        <f t="shared" ca="1" si="76"/>
        <v>VIGENTE</v>
      </c>
      <c r="GK16" s="3"/>
      <c r="GL16" s="4">
        <v>45945</v>
      </c>
      <c r="GM16" s="4">
        <f>DATE(YEAR(GL16)+2,MONTH(GL16),DAY(GL16))</f>
        <v>46675</v>
      </c>
      <c r="GN16" s="8">
        <f t="shared" ca="1" si="77"/>
        <v>530</v>
      </c>
      <c r="GO16" s="5" t="str">
        <f t="shared" ca="1" si="78"/>
        <v>VIGENTE</v>
      </c>
      <c r="GP16" s="4"/>
      <c r="GQ16" s="4">
        <v>45017</v>
      </c>
      <c r="GR16" s="4">
        <f t="shared" si="79"/>
        <v>46844</v>
      </c>
      <c r="GS16" s="8">
        <f t="shared" ca="1" si="176"/>
        <v>699</v>
      </c>
      <c r="GT16" s="5" t="str">
        <f t="shared" ca="1" si="81"/>
        <v>VIGENTE</v>
      </c>
      <c r="GU16" s="3"/>
      <c r="GV16" s="4">
        <v>45277</v>
      </c>
      <c r="GW16" s="4">
        <f t="shared" si="82"/>
        <v>47104</v>
      </c>
      <c r="GX16" s="8">
        <f t="shared" ca="1" si="83"/>
        <v>959</v>
      </c>
      <c r="GY16" s="5" t="str">
        <f t="shared" ca="1" si="84"/>
        <v>VIGENTE</v>
      </c>
      <c r="GZ16" s="3"/>
      <c r="HA16" s="4">
        <v>44980</v>
      </c>
      <c r="HB16" s="4">
        <f t="shared" si="85"/>
        <v>46806</v>
      </c>
      <c r="HC16" s="8">
        <f t="shared" ca="1" si="86"/>
        <v>661</v>
      </c>
      <c r="HD16" s="5" t="str">
        <f t="shared" ca="1" si="87"/>
        <v>VIGENTE</v>
      </c>
      <c r="HE16" s="6"/>
      <c r="HF16" s="4">
        <v>44879</v>
      </c>
      <c r="HG16" s="4">
        <f t="shared" si="88"/>
        <v>46705</v>
      </c>
      <c r="HH16" s="8">
        <f t="shared" ca="1" si="89"/>
        <v>560</v>
      </c>
      <c r="HI16" s="5" t="str">
        <f t="shared" ca="1" si="177"/>
        <v>VIGENTE</v>
      </c>
      <c r="HJ16" s="3"/>
      <c r="HK16" s="4">
        <v>45368</v>
      </c>
      <c r="HL16" s="4">
        <f>DATE(YEAR(HK16)+5,MONTH(HK16),DAY(HK16))</f>
        <v>47194</v>
      </c>
      <c r="HM16" s="8">
        <f ca="1">HL16-TODAY()</f>
        <v>1049</v>
      </c>
      <c r="HN16" s="5" t="str">
        <f t="shared" ca="1" si="91"/>
        <v>VIGENTE</v>
      </c>
      <c r="HO16" s="2"/>
      <c r="HP16" s="2"/>
      <c r="HQ16" s="4"/>
      <c r="HR16" s="2"/>
      <c r="HS16" s="5" t="str">
        <f t="shared" si="92"/>
        <v>NO APLICA</v>
      </c>
      <c r="HT16" s="3"/>
      <c r="HU16" s="4">
        <v>45420</v>
      </c>
      <c r="HV16" s="4">
        <f>DATE(YEAR(HU16)+5,MONTH(HU16),DAY(HU16))</f>
        <v>47246</v>
      </c>
      <c r="HW16" s="8">
        <f ca="1">HV16-TODAY()</f>
        <v>1101</v>
      </c>
      <c r="HX16" s="5" t="str">
        <f t="shared" ca="1" si="93"/>
        <v>VIGENTE</v>
      </c>
      <c r="HY16" s="3"/>
      <c r="HZ16" s="4">
        <v>44981</v>
      </c>
      <c r="IA16" s="4">
        <f>DATE(YEAR(HZ16)+5,MONTH(HZ16),DAY(HZ16))</f>
        <v>46807</v>
      </c>
      <c r="IB16" s="8">
        <f ca="1">IA16-TODAY()</f>
        <v>662</v>
      </c>
      <c r="IC16" s="5" t="str">
        <f t="shared" ca="1" si="94"/>
        <v>VIGENTE</v>
      </c>
      <c r="ID16" s="3"/>
      <c r="IE16" s="4">
        <v>45192</v>
      </c>
      <c r="IF16" s="4">
        <f>DATE(YEAR(IE16)+5,MONTH(IE16),DAY(IE16))</f>
        <v>47019</v>
      </c>
      <c r="IG16" s="8">
        <f ca="1">IF16-TODAY()</f>
        <v>874</v>
      </c>
      <c r="IH16" s="5" t="str">
        <f t="shared" ca="1" si="95"/>
        <v>VIGENTE</v>
      </c>
      <c r="II16" s="4"/>
      <c r="IJ16" s="4">
        <v>45262</v>
      </c>
      <c r="IK16" s="4">
        <f>DATE(YEAR(IJ16)+5,MONTH(IJ16),DAY(IJ16))</f>
        <v>47089</v>
      </c>
      <c r="IL16" s="8">
        <f ca="1">IK16-TODAY()</f>
        <v>944</v>
      </c>
      <c r="IM16" s="5" t="str">
        <f t="shared" ca="1" si="96"/>
        <v>VIGENTE</v>
      </c>
      <c r="IN16" s="3"/>
      <c r="IO16" s="4">
        <v>45273</v>
      </c>
      <c r="IP16" s="4">
        <f>DATE(YEAR(IO16)+5,MONTH(IO16),DAY(IO16))</f>
        <v>47100</v>
      </c>
      <c r="IQ16" s="8">
        <f ca="1">IP16-TODAY()</f>
        <v>955</v>
      </c>
      <c r="IR16" s="5" t="str">
        <f t="shared" ca="1" si="97"/>
        <v>VIGENTE</v>
      </c>
      <c r="IS16" s="3"/>
      <c r="IT16" s="4">
        <v>45240</v>
      </c>
      <c r="IU16" s="4">
        <f>DATE(YEAR(IT16)+5,MONTH(IT16),DAY(IT16))</f>
        <v>47067</v>
      </c>
      <c r="IV16" s="8">
        <f ca="1">IU16-TODAY()</f>
        <v>922</v>
      </c>
      <c r="IW16" s="5" t="str">
        <f t="shared" ca="1" si="98"/>
        <v>VIGENTE</v>
      </c>
      <c r="IX16" s="3"/>
      <c r="IY16" s="4">
        <v>45461</v>
      </c>
      <c r="IZ16" s="4">
        <f>DATE(YEAR(IY16)+5,MONTH(IY16),DAY(IY16))</f>
        <v>47287</v>
      </c>
      <c r="JA16" s="8">
        <f ca="1">IZ16-TODAY()</f>
        <v>1142</v>
      </c>
      <c r="JB16" s="5" t="str">
        <f t="shared" ca="1" si="99"/>
        <v>VIGENTE</v>
      </c>
      <c r="JC16" s="3" t="s">
        <v>780</v>
      </c>
      <c r="JD16" s="3"/>
      <c r="JE16" s="4"/>
      <c r="JF16" s="8"/>
      <c r="JG16" s="5"/>
      <c r="JH16" s="3" t="s">
        <v>780</v>
      </c>
      <c r="JI16" s="6"/>
      <c r="JJ16" s="6"/>
      <c r="JK16" s="6"/>
      <c r="JL16" s="5"/>
      <c r="JM16" s="6" t="s">
        <v>780</v>
      </c>
      <c r="JN16" s="6"/>
      <c r="JO16" s="6"/>
      <c r="JP16" s="6"/>
      <c r="JQ16" s="5"/>
      <c r="JR16" s="6" t="s">
        <v>780</v>
      </c>
      <c r="JS16" s="6"/>
      <c r="JT16" s="6"/>
      <c r="JU16" s="6"/>
      <c r="JV16" s="5"/>
      <c r="JW16" s="6" t="s">
        <v>780</v>
      </c>
      <c r="JX16" s="5"/>
      <c r="JY16" s="5"/>
      <c r="JZ16" s="5"/>
      <c r="KA16" s="5"/>
      <c r="KB16" s="5"/>
      <c r="KC16" s="2"/>
      <c r="KD16" s="4"/>
      <c r="KE16" s="8"/>
      <c r="KF16" s="5" t="str">
        <f t="shared" si="135"/>
        <v>NO APLICA</v>
      </c>
      <c r="KG16" s="5"/>
      <c r="KH16" s="2"/>
      <c r="KI16" s="4"/>
      <c r="KJ16" s="8"/>
      <c r="KK16" s="5" t="str">
        <f t="shared" si="136"/>
        <v>NO APLICA</v>
      </c>
      <c r="KL16" s="5"/>
      <c r="KM16" s="3">
        <v>45364</v>
      </c>
      <c r="KN16" s="4">
        <f>DATE(YEAR(KM16)+5,MONTH(KM16),DAY(KM16))</f>
        <v>47190</v>
      </c>
      <c r="KO16" s="8">
        <f ca="1">KN16-TODAY()</f>
        <v>1045</v>
      </c>
      <c r="KP16" s="5" t="str">
        <f t="shared" ca="1" si="100"/>
        <v>VIGENTE</v>
      </c>
      <c r="KQ16" s="5"/>
      <c r="KR16" s="2"/>
      <c r="KS16" s="4"/>
      <c r="KT16" s="8"/>
      <c r="KU16" s="5" t="str">
        <f t="shared" si="137"/>
        <v>NO APLICA</v>
      </c>
      <c r="KV16" s="3"/>
      <c r="KW16" s="4">
        <v>44658</v>
      </c>
      <c r="KX16" s="4">
        <f>DATE(YEAR(KW16)+5,MONTH(KW16),DAY(KW16))</f>
        <v>46484</v>
      </c>
      <c r="KY16" s="8">
        <f ca="1">KX16-TODAY()</f>
        <v>339</v>
      </c>
      <c r="KZ16" s="5" t="str">
        <f t="shared" ca="1" si="151"/>
        <v>VIGENTE</v>
      </c>
      <c r="LA16" s="5"/>
      <c r="LB16" s="4">
        <v>44615</v>
      </c>
      <c r="LC16" s="4">
        <f>DATE(YEAR(LB16)+5,MONTH(LB16),DAY(LB16))</f>
        <v>46441</v>
      </c>
      <c r="LD16" s="8">
        <f ca="1">LC16-TODAY()</f>
        <v>296</v>
      </c>
      <c r="LE16" s="5" t="str">
        <f t="shared" ca="1" si="138"/>
        <v>VIGENTE</v>
      </c>
      <c r="LF16" s="4"/>
      <c r="LG16" s="4"/>
      <c r="LH16" s="4"/>
      <c r="LI16" s="8"/>
      <c r="LJ16" s="5" t="str">
        <f t="shared" si="101"/>
        <v>NO APLICA</v>
      </c>
      <c r="LK16" s="5"/>
      <c r="LL16" s="21"/>
      <c r="LM16" s="4"/>
      <c r="LN16" s="8"/>
      <c r="LO16" s="5" t="str">
        <f t="shared" si="152"/>
        <v>NO APLICA</v>
      </c>
      <c r="LP16" s="2"/>
      <c r="LQ16" s="6"/>
      <c r="LR16" s="4"/>
      <c r="LS16" s="8"/>
      <c r="LT16" s="5" t="str">
        <f t="shared" si="139"/>
        <v>NO APLICA</v>
      </c>
      <c r="LU16" s="4"/>
      <c r="LV16" s="4">
        <v>44986</v>
      </c>
      <c r="LW16" s="4">
        <f>DATE(YEAR(LV16)+5,MONTH(LV16),DAY(LV16))</f>
        <v>46813</v>
      </c>
      <c r="LX16" s="8">
        <f ca="1">LW16-TODAY()</f>
        <v>668</v>
      </c>
      <c r="LY16" s="5" t="str">
        <f t="shared" ca="1" si="140"/>
        <v>VIGENTE</v>
      </c>
      <c r="LZ16" s="4"/>
      <c r="MA16" s="4">
        <v>44988</v>
      </c>
      <c r="MB16" s="4">
        <f>DATE(YEAR(MA16)+5,MONTH(MA16),DAY(MA16))</f>
        <v>46815</v>
      </c>
      <c r="MC16" s="8">
        <f ca="1">MB16-TODAY()</f>
        <v>670</v>
      </c>
      <c r="MD16" s="5" t="str">
        <f t="shared" ca="1" si="141"/>
        <v>VIGENTE</v>
      </c>
      <c r="ME16" s="4"/>
      <c r="MF16" s="4">
        <v>45010</v>
      </c>
      <c r="MG16" s="4">
        <f>DATE(YEAR(MF16)+5,MONTH(MF16),DAY(MF16))</f>
        <v>46837</v>
      </c>
      <c r="MH16" s="8">
        <f ca="1">MG16-TODAY()</f>
        <v>692</v>
      </c>
      <c r="MI16" s="5" t="str">
        <f t="shared" ca="1" si="102"/>
        <v>VIGENTE</v>
      </c>
      <c r="MJ16" s="2"/>
      <c r="MK16" s="2"/>
      <c r="ML16" s="4"/>
      <c r="MM16" s="8"/>
      <c r="MN16" s="5" t="str">
        <f t="shared" si="103"/>
        <v>NO APLICA</v>
      </c>
      <c r="MO16" s="5"/>
      <c r="MP16" s="2"/>
      <c r="MQ16" s="4"/>
      <c r="MR16" s="8"/>
      <c r="MS16" s="5" t="str">
        <f t="shared" si="104"/>
        <v>NO APLICA</v>
      </c>
      <c r="MT16" s="5"/>
      <c r="MU16" s="2"/>
      <c r="MV16" s="4"/>
      <c r="MW16" s="2"/>
      <c r="MX16" s="5" t="str">
        <f t="shared" si="105"/>
        <v>NO APLICA</v>
      </c>
      <c r="MY16" s="2"/>
      <c r="MZ16" s="4">
        <v>44834</v>
      </c>
      <c r="NA16" s="4">
        <f>DATE(YEAR(MZ16)+5,MONTH(MZ16),DAY(MZ16))</f>
        <v>46660</v>
      </c>
      <c r="NB16" s="8">
        <f ca="1">NA16-TODAY()</f>
        <v>515</v>
      </c>
      <c r="NC16" s="5" t="str">
        <f t="shared" ca="1" si="106"/>
        <v>VIGENTE</v>
      </c>
      <c r="ND16" s="2"/>
      <c r="NE16" s="4">
        <v>44835</v>
      </c>
      <c r="NF16" s="4">
        <f>DATE(YEAR(NE16)+5,MONTH(NE16),DAY(NE16))</f>
        <v>46661</v>
      </c>
      <c r="NG16" s="8">
        <f ca="1">NF16-TODAY()</f>
        <v>516</v>
      </c>
      <c r="NH16" s="5" t="str">
        <f t="shared" ca="1" si="107"/>
        <v>VIGENTE</v>
      </c>
      <c r="NI16" s="2"/>
      <c r="NJ16" s="6"/>
      <c r="NK16" s="4"/>
      <c r="NL16" s="8"/>
      <c r="NM16" s="5" t="str">
        <f t="shared" si="108"/>
        <v>NO APLICA</v>
      </c>
      <c r="NN16" s="2"/>
      <c r="NO16" s="2"/>
      <c r="NP16" s="4"/>
      <c r="NQ16" s="8"/>
      <c r="NR16" s="5" t="str">
        <f t="shared" si="109"/>
        <v>NO APLICA</v>
      </c>
      <c r="NS16" s="2"/>
      <c r="NT16" s="2"/>
      <c r="NU16" s="4"/>
      <c r="NV16" s="2"/>
      <c r="NW16" s="5" t="str">
        <f t="shared" si="110"/>
        <v>NO APLICA</v>
      </c>
      <c r="NX16" s="6"/>
      <c r="NY16" s="6"/>
      <c r="NZ16" s="4"/>
      <c r="OA16" s="8"/>
      <c r="OB16" s="5" t="str">
        <f t="shared" si="111"/>
        <v>NO APLICA</v>
      </c>
      <c r="OC16" s="6"/>
      <c r="OD16" s="6"/>
      <c r="OE16" s="6"/>
      <c r="OF16" s="6"/>
      <c r="OG16" s="5" t="str">
        <f t="shared" si="112"/>
        <v>NO APLICA</v>
      </c>
      <c r="OH16" s="2"/>
      <c r="OI16" s="2"/>
      <c r="OJ16" s="4"/>
      <c r="OK16" s="8"/>
      <c r="OL16" s="5" t="str">
        <f t="shared" si="113"/>
        <v>NO APLICA</v>
      </c>
      <c r="OM16" s="6"/>
      <c r="ON16" s="6"/>
      <c r="OO16" s="6"/>
      <c r="OP16" s="6"/>
      <c r="OQ16" s="5" t="str">
        <f t="shared" si="114"/>
        <v>NO APLICA</v>
      </c>
      <c r="OR16" s="6"/>
      <c r="OS16" s="6"/>
      <c r="OT16" s="6"/>
      <c r="OU16" s="6"/>
      <c r="OV16" s="5" t="str">
        <f t="shared" si="115"/>
        <v>NO APLICA</v>
      </c>
      <c r="OW16" s="6"/>
      <c r="OX16" s="6"/>
      <c r="OY16" s="6"/>
      <c r="OZ16" s="6"/>
      <c r="PA16" s="5" t="str">
        <f t="shared" si="116"/>
        <v>NO APLICA</v>
      </c>
      <c r="PB16" s="6"/>
      <c r="PC16" s="6"/>
      <c r="PD16" s="6"/>
      <c r="PE16" s="6"/>
      <c r="PF16" s="5" t="str">
        <f t="shared" si="117"/>
        <v>NO APLICA</v>
      </c>
      <c r="PG16" s="6"/>
      <c r="PH16" s="6"/>
      <c r="PI16" s="6"/>
      <c r="PJ16" s="6"/>
      <c r="PK16" s="5" t="str">
        <f t="shared" si="118"/>
        <v>NO APLICA</v>
      </c>
      <c r="PL16" s="5"/>
      <c r="PM16" s="6"/>
      <c r="PN16" s="4"/>
      <c r="PO16" s="8"/>
      <c r="PP16" s="5" t="str">
        <f t="shared" si="119"/>
        <v>NO APLICA</v>
      </c>
      <c r="PQ16" s="6"/>
      <c r="PR16" s="6"/>
      <c r="PS16" s="6"/>
      <c r="PT16" s="6"/>
      <c r="PU16" s="5" t="str">
        <f t="shared" si="120"/>
        <v>NO APLICA</v>
      </c>
      <c r="PV16" s="5"/>
      <c r="PW16" s="6"/>
      <c r="PX16" s="6"/>
      <c r="PY16" s="6"/>
      <c r="PZ16" s="5" t="str">
        <f t="shared" si="121"/>
        <v>NO APLICA</v>
      </c>
    </row>
    <row r="17" spans="1:442" ht="15.6" hidden="1" thickTop="1" thickBot="1" x14ac:dyDescent="0.35">
      <c r="A17" s="26">
        <v>14</v>
      </c>
      <c r="B17" s="27">
        <v>1545</v>
      </c>
      <c r="C17" s="28" t="s">
        <v>109</v>
      </c>
      <c r="D17" s="29" t="s">
        <v>64</v>
      </c>
      <c r="E17" s="30" t="s">
        <v>65</v>
      </c>
      <c r="F17" s="2"/>
      <c r="G17" s="6"/>
      <c r="H17" s="4"/>
      <c r="I17" s="8"/>
      <c r="J17" s="5" t="str">
        <f t="shared" si="0"/>
        <v>NO APLICA</v>
      </c>
      <c r="K17" s="2"/>
      <c r="L17" s="6"/>
      <c r="M17" s="6"/>
      <c r="N17" s="8"/>
      <c r="O17" s="5" t="str">
        <f t="shared" si="1"/>
        <v>NO APLICA</v>
      </c>
      <c r="P17" s="4"/>
      <c r="Q17" s="4">
        <v>45758</v>
      </c>
      <c r="R17" s="4">
        <f>DATE(YEAR(Q17)+2,MONTH(Q17),DAY(Q17)-1)</f>
        <v>46487</v>
      </c>
      <c r="S17" s="8">
        <f ca="1">R17-TODAY()</f>
        <v>342</v>
      </c>
      <c r="T17" s="5" t="str">
        <f t="shared" ca="1" si="122"/>
        <v>VIGENTE</v>
      </c>
      <c r="U17" s="5"/>
      <c r="V17" s="2" t="s">
        <v>110</v>
      </c>
      <c r="W17" s="4">
        <v>45426</v>
      </c>
      <c r="X17" s="4">
        <f t="shared" si="2"/>
        <v>47252</v>
      </c>
      <c r="Y17" s="8">
        <f t="shared" ca="1" si="3"/>
        <v>1107</v>
      </c>
      <c r="Z17" s="5" t="str">
        <f t="shared" ca="1" si="4"/>
        <v>VIGENTE</v>
      </c>
      <c r="AA17" s="5"/>
      <c r="AB17" s="2" t="s">
        <v>111</v>
      </c>
      <c r="AC17" s="4">
        <v>45190</v>
      </c>
      <c r="AD17" s="4">
        <f t="shared" si="5"/>
        <v>47017</v>
      </c>
      <c r="AE17" s="8">
        <f t="shared" ca="1" si="6"/>
        <v>872</v>
      </c>
      <c r="AF17" s="5" t="str">
        <f t="shared" ca="1" si="7"/>
        <v>VIGENTE</v>
      </c>
      <c r="AG17" s="3"/>
      <c r="AH17" s="4">
        <v>45936</v>
      </c>
      <c r="AI17" s="4">
        <f>DATE(YEAR(AH17)+2,MONTH(AH17),DAY(AH17))</f>
        <v>46666</v>
      </c>
      <c r="AJ17" s="8">
        <f t="shared" ca="1" si="8"/>
        <v>521</v>
      </c>
      <c r="AK17" s="5" t="str">
        <f t="shared" ca="1" si="9"/>
        <v>VIGENTE</v>
      </c>
      <c r="AL17" s="3"/>
      <c r="AM17" s="4">
        <v>45937</v>
      </c>
      <c r="AN17" s="4">
        <f>DATE(YEAR(AM17)+2,MONTH(AM17),DAY(AM17))</f>
        <v>46667</v>
      </c>
      <c r="AO17" s="8">
        <f t="shared" ca="1" si="10"/>
        <v>522</v>
      </c>
      <c r="AP17" s="5" t="str">
        <f t="shared" ca="1" si="11"/>
        <v>VIGENTE</v>
      </c>
      <c r="AQ17" s="3"/>
      <c r="AR17" s="4">
        <v>45887</v>
      </c>
      <c r="AS17" s="4">
        <f t="shared" ref="AS17:AS26" si="178">DATE(YEAR(AR17)+2,MONTH(AR17),DAY(AR17))</f>
        <v>46617</v>
      </c>
      <c r="AT17" s="8">
        <f t="shared" ca="1" si="12"/>
        <v>472</v>
      </c>
      <c r="AU17" s="5" t="str">
        <f t="shared" ca="1" si="13"/>
        <v>VIGENTE</v>
      </c>
      <c r="AV17" s="3"/>
      <c r="AW17" s="4">
        <v>45927</v>
      </c>
      <c r="AX17" s="4">
        <f>DATE(YEAR(AW17)+2,MONTH(AW17),DAY(AW17))</f>
        <v>46657</v>
      </c>
      <c r="AY17" s="8">
        <f t="shared" ca="1" si="15"/>
        <v>512</v>
      </c>
      <c r="AZ17" s="5" t="str">
        <f t="shared" ca="1" si="16"/>
        <v>VIGENTE</v>
      </c>
      <c r="BA17" s="3"/>
      <c r="BB17" s="4">
        <v>45742</v>
      </c>
      <c r="BC17" s="4">
        <f>DATE(YEAR(BB17)+2,MONTH(BB17),DAY(BB17)-1)</f>
        <v>46471</v>
      </c>
      <c r="BD17" s="8">
        <f t="shared" ca="1" si="17"/>
        <v>326</v>
      </c>
      <c r="BE17" s="5" t="str">
        <f t="shared" ca="1" si="18"/>
        <v>VIGENTE</v>
      </c>
      <c r="BF17" s="3"/>
      <c r="BG17" s="4">
        <v>45987</v>
      </c>
      <c r="BH17" s="4">
        <f>DATE(YEAR(BG17)+2,MONTH(BG17),DAY(BG17))</f>
        <v>46717</v>
      </c>
      <c r="BI17" s="8">
        <f t="shared" ca="1" si="19"/>
        <v>572</v>
      </c>
      <c r="BJ17" s="5" t="str">
        <f t="shared" ca="1" si="20"/>
        <v>VIGENTE</v>
      </c>
      <c r="BK17" s="3"/>
      <c r="BL17" s="4">
        <v>46035</v>
      </c>
      <c r="BM17" s="4">
        <f>DATE(YEAR(BL17)+2,MONTH(BL17),DAY(BL17))</f>
        <v>46765</v>
      </c>
      <c r="BN17" s="8">
        <f t="shared" ca="1" si="21"/>
        <v>620</v>
      </c>
      <c r="BO17" s="5" t="str">
        <f t="shared" ca="1" si="22"/>
        <v>VIGENTE</v>
      </c>
      <c r="BP17" s="3"/>
      <c r="BQ17" s="39">
        <v>46050</v>
      </c>
      <c r="BR17" s="4">
        <f>DATE(YEAR(BQ17)+2,MONTH(BQ17),DAY(BQ17))</f>
        <v>46780</v>
      </c>
      <c r="BS17" s="8">
        <f t="shared" ca="1" si="23"/>
        <v>635</v>
      </c>
      <c r="BT17" s="5" t="str">
        <f t="shared" ca="1" si="24"/>
        <v>VIGENTE</v>
      </c>
      <c r="BU17" s="3"/>
      <c r="BV17" s="4">
        <v>46126</v>
      </c>
      <c r="BW17" s="4">
        <f>DATE(YEAR(BV17)+2,MONTH(BV17),DAY(BV17)-1)</f>
        <v>46856</v>
      </c>
      <c r="BX17" s="8">
        <f t="shared" ca="1" si="25"/>
        <v>711</v>
      </c>
      <c r="BY17" s="5" t="str">
        <f t="shared" ca="1" si="26"/>
        <v>VIGENTE</v>
      </c>
      <c r="BZ17" s="3"/>
      <c r="CA17" s="4">
        <v>45944</v>
      </c>
      <c r="CB17" s="4">
        <f t="shared" si="173"/>
        <v>46674</v>
      </c>
      <c r="CC17" s="8">
        <f t="shared" ca="1" si="27"/>
        <v>529</v>
      </c>
      <c r="CD17" s="5" t="str">
        <f t="shared" ca="1" si="28"/>
        <v>VIGENTE</v>
      </c>
      <c r="CE17" s="6"/>
      <c r="CF17" s="4">
        <v>45616</v>
      </c>
      <c r="CG17" s="4">
        <f t="shared" si="29"/>
        <v>47077</v>
      </c>
      <c r="CH17" s="8">
        <f t="shared" ca="1" si="30"/>
        <v>932</v>
      </c>
      <c r="CI17" s="5" t="str">
        <f t="shared" ca="1" si="31"/>
        <v>VIGENTE</v>
      </c>
      <c r="CJ17" s="4"/>
      <c r="CK17" s="4">
        <v>45504</v>
      </c>
      <c r="CL17" s="4">
        <f t="shared" si="175"/>
        <v>46233</v>
      </c>
      <c r="CM17" s="8">
        <f t="shared" ca="1" si="32"/>
        <v>88</v>
      </c>
      <c r="CN17" s="5" t="str">
        <f t="shared" ca="1" si="33"/>
        <v>POR VENCER</v>
      </c>
      <c r="CO17" s="3"/>
      <c r="CP17" s="39">
        <v>45517</v>
      </c>
      <c r="CQ17" s="4">
        <f>DATE(YEAR(CP17)+2,MONTH(CP17),DAY(CP17)-1)</f>
        <v>46246</v>
      </c>
      <c r="CR17" s="8">
        <f t="shared" ca="1" si="34"/>
        <v>101</v>
      </c>
      <c r="CS17" s="5" t="str">
        <f t="shared" ca="1" si="35"/>
        <v>VIGENTE</v>
      </c>
      <c r="CT17" s="3"/>
      <c r="CU17" s="4">
        <v>45624</v>
      </c>
      <c r="CV17" s="4">
        <f>DATE(YEAR(CU17)+2,MONTH(CU17),DAY(CU17)-1)</f>
        <v>46353</v>
      </c>
      <c r="CW17" s="8">
        <f t="shared" ca="1" si="36"/>
        <v>208</v>
      </c>
      <c r="CX17" s="5" t="str">
        <f t="shared" ca="1" si="37"/>
        <v>VIGENTE</v>
      </c>
      <c r="CY17" s="3"/>
      <c r="CZ17" s="4">
        <v>46098</v>
      </c>
      <c r="DA17" s="4">
        <f>DATE(YEAR(CZ17)+2,MONTH(CZ17),DAY(CZ17))</f>
        <v>46829</v>
      </c>
      <c r="DB17" s="8">
        <f t="shared" ca="1" si="38"/>
        <v>684</v>
      </c>
      <c r="DC17" s="5" t="str">
        <f t="shared" ca="1" si="39"/>
        <v>VIGENTE</v>
      </c>
      <c r="DD17" s="3"/>
      <c r="DE17" s="39">
        <v>45761</v>
      </c>
      <c r="DF17" s="4">
        <f>DATE(YEAR(DE17)+2,MONTH(DE17),DAY(DE17))</f>
        <v>46491</v>
      </c>
      <c r="DG17" s="8">
        <f t="shared" ca="1" si="40"/>
        <v>346</v>
      </c>
      <c r="DH17" s="5" t="str">
        <f t="shared" ca="1" si="41"/>
        <v>VIGENTE</v>
      </c>
      <c r="DI17" s="2"/>
      <c r="DJ17" s="39">
        <v>45734</v>
      </c>
      <c r="DK17" s="4">
        <f>DATE(YEAR(DJ17)+2,MONTH(DJ17),DAY(DJ17)-1)</f>
        <v>46463</v>
      </c>
      <c r="DL17" s="8">
        <f t="shared" ca="1" si="43"/>
        <v>318</v>
      </c>
      <c r="DM17" s="5" t="str">
        <f t="shared" ca="1" si="44"/>
        <v>VIGENTE</v>
      </c>
      <c r="DN17" s="3"/>
      <c r="DO17" s="4">
        <v>45731</v>
      </c>
      <c r="DP17" s="4">
        <f>DATE(YEAR(DO17)+2,MONTH(DO17),DAY(DO17)-1)</f>
        <v>46460</v>
      </c>
      <c r="DQ17" s="8">
        <f t="shared" ca="1" si="46"/>
        <v>315</v>
      </c>
      <c r="DR17" s="5" t="str">
        <f t="shared" ca="1" si="47"/>
        <v>VIGENTE</v>
      </c>
      <c r="DS17" s="3"/>
      <c r="DT17" s="4">
        <v>45685</v>
      </c>
      <c r="DU17" s="4">
        <f>DATE(YEAR(DT17)+2,MONTH(DT17),DAY(DT17)-1)</f>
        <v>46414</v>
      </c>
      <c r="DV17" s="8">
        <f t="shared" ca="1" si="48"/>
        <v>269</v>
      </c>
      <c r="DW17" s="5" t="str">
        <f t="shared" ca="1" si="49"/>
        <v>VIGENTE</v>
      </c>
      <c r="DX17" s="3"/>
      <c r="DY17" s="4">
        <v>45663</v>
      </c>
      <c r="DZ17" s="4">
        <f>DATE(YEAR(DY17)+2,MONTH(DY17),DAY(DY17)-1)</f>
        <v>46392</v>
      </c>
      <c r="EA17" s="8">
        <f t="shared" ca="1" si="50"/>
        <v>247</v>
      </c>
      <c r="EB17" s="5" t="str">
        <f t="shared" ca="1" si="51"/>
        <v>VIGENTE</v>
      </c>
      <c r="EC17" s="3"/>
      <c r="ED17" s="39">
        <v>45674</v>
      </c>
      <c r="EE17" s="4">
        <f>DATE(YEAR(ED17)+2,MONTH(ED17),DAY(ED17)-1)</f>
        <v>46403</v>
      </c>
      <c r="EF17" s="8">
        <f t="shared" ca="1" si="52"/>
        <v>258</v>
      </c>
      <c r="EG17" s="5" t="str">
        <f t="shared" ca="1" si="53"/>
        <v>VIGENTE</v>
      </c>
      <c r="EH17" s="3"/>
      <c r="EI17" s="3">
        <v>46107</v>
      </c>
      <c r="EJ17" s="4">
        <f t="shared" si="131"/>
        <v>46472</v>
      </c>
      <c r="EK17" s="8">
        <f t="shared" ca="1" si="54"/>
        <v>327</v>
      </c>
      <c r="EL17" s="5" t="str">
        <f t="shared" ca="1" si="55"/>
        <v>VIGENTE</v>
      </c>
      <c r="EM17" s="3"/>
      <c r="EN17" s="3">
        <v>45596</v>
      </c>
      <c r="EO17" s="4">
        <f>DATE(YEAR(EN17)+2,MONTH(EN17),DAY(EN17)-1)</f>
        <v>46325</v>
      </c>
      <c r="EP17" s="8">
        <f t="shared" ca="1" si="56"/>
        <v>180</v>
      </c>
      <c r="EQ17" s="5" t="str">
        <f t="shared" ca="1" si="57"/>
        <v>VIGENTE</v>
      </c>
      <c r="ER17" s="3"/>
      <c r="ES17" s="39">
        <v>45623</v>
      </c>
      <c r="ET17" s="4">
        <f>DATE(YEAR(ES17)+2,MONTH(ES17),DAY(ES17)-1)</f>
        <v>46352</v>
      </c>
      <c r="EU17" s="8">
        <f t="shared" ca="1" si="58"/>
        <v>207</v>
      </c>
      <c r="EV17" s="5" t="str">
        <f t="shared" ca="1" si="59"/>
        <v>VIGENTE</v>
      </c>
      <c r="EW17" s="3"/>
      <c r="EX17" s="4">
        <v>45917</v>
      </c>
      <c r="EY17" s="4">
        <f t="shared" si="146"/>
        <v>46647</v>
      </c>
      <c r="EZ17" s="8">
        <f t="shared" ca="1" si="60"/>
        <v>502</v>
      </c>
      <c r="FA17" s="5" t="str">
        <f t="shared" ca="1" si="61"/>
        <v>VIGENTE</v>
      </c>
      <c r="FB17" s="3"/>
      <c r="FC17" s="4">
        <v>45931</v>
      </c>
      <c r="FD17" s="4">
        <f t="shared" si="174"/>
        <v>46661</v>
      </c>
      <c r="FE17" s="8">
        <f t="shared" ca="1" si="62"/>
        <v>516</v>
      </c>
      <c r="FF17" s="5" t="str">
        <f t="shared" ca="1" si="63"/>
        <v>VIGENTE</v>
      </c>
      <c r="FG17" s="3"/>
      <c r="FH17" s="4">
        <v>45932</v>
      </c>
      <c r="FI17" s="4">
        <f t="shared" si="148"/>
        <v>46662</v>
      </c>
      <c r="FJ17" s="8">
        <f t="shared" ca="1" si="64"/>
        <v>517</v>
      </c>
      <c r="FK17" s="5" t="str">
        <f t="shared" ca="1" si="65"/>
        <v>VIGENTE</v>
      </c>
      <c r="FL17" s="3"/>
      <c r="FM17" s="39">
        <v>45670</v>
      </c>
      <c r="FN17" s="4">
        <f>DATE(YEAR(FM17)+2,MONTH(FM17),DAY(FM17)-1)</f>
        <v>46399</v>
      </c>
      <c r="FO17" s="8">
        <f t="shared" ca="1" si="67"/>
        <v>254</v>
      </c>
      <c r="FP17" s="5" t="str">
        <f t="shared" ca="1" si="68"/>
        <v>VIGENTE</v>
      </c>
      <c r="FQ17" s="3"/>
      <c r="FR17" s="39">
        <v>45724</v>
      </c>
      <c r="FS17" s="4">
        <f>DATE(YEAR(FR17)+2,MONTH(FR17),DAY(FR17)-1)</f>
        <v>46453</v>
      </c>
      <c r="FT17" s="8">
        <f t="shared" ca="1" si="69"/>
        <v>308</v>
      </c>
      <c r="FU17" s="5" t="str">
        <f t="shared" ca="1" si="70"/>
        <v>VIGENTE</v>
      </c>
      <c r="FV17" s="3"/>
      <c r="FW17" s="4">
        <v>45941</v>
      </c>
      <c r="FX17" s="4">
        <f>DATE(YEAR(FW17)+2,MONTH(FW17),DAY(FW17))</f>
        <v>46671</v>
      </c>
      <c r="FY17" s="8">
        <f t="shared" ca="1" si="71"/>
        <v>526</v>
      </c>
      <c r="FZ17" s="5" t="str">
        <f t="shared" ca="1" si="72"/>
        <v>VIGENTE</v>
      </c>
      <c r="GA17" s="3"/>
      <c r="GB17" s="4">
        <v>45715</v>
      </c>
      <c r="GC17" s="4">
        <f>DATE(YEAR(GB17)+2,MONTH(GB17),DAY(GB17)-1)</f>
        <v>46444</v>
      </c>
      <c r="GD17" s="8">
        <f t="shared" ca="1" si="73"/>
        <v>299</v>
      </c>
      <c r="GE17" s="5" t="str">
        <f t="shared" ca="1" si="74"/>
        <v>VIGENTE</v>
      </c>
      <c r="GF17" s="3"/>
      <c r="GG17" s="4">
        <v>45672</v>
      </c>
      <c r="GH17" s="4">
        <f>DATE(YEAR(GG17)+2,MONTH(GG17),DAY(GG17)-1)</f>
        <v>46401</v>
      </c>
      <c r="GI17" s="8">
        <f t="shared" ca="1" si="75"/>
        <v>256</v>
      </c>
      <c r="GJ17" s="5" t="str">
        <f t="shared" ca="1" si="76"/>
        <v>VIGENTE</v>
      </c>
      <c r="GK17" s="3"/>
      <c r="GL17" s="4">
        <v>45945</v>
      </c>
      <c r="GM17" s="4">
        <f>DATE(YEAR(GL17)+2,MONTH(GL17),DAY(GL17))</f>
        <v>46675</v>
      </c>
      <c r="GN17" s="8">
        <f t="shared" ca="1" si="77"/>
        <v>530</v>
      </c>
      <c r="GO17" s="5" t="str">
        <f t="shared" ca="1" si="78"/>
        <v>VIGENTE</v>
      </c>
      <c r="GP17" s="4"/>
      <c r="GQ17" s="4">
        <v>44952</v>
      </c>
      <c r="GR17" s="4">
        <f t="shared" si="79"/>
        <v>46778</v>
      </c>
      <c r="GS17" s="8">
        <f t="shared" ca="1" si="176"/>
        <v>633</v>
      </c>
      <c r="GT17" s="5" t="str">
        <f t="shared" ca="1" si="81"/>
        <v>VIGENTE</v>
      </c>
      <c r="GU17" s="3"/>
      <c r="GV17" s="4">
        <v>45252</v>
      </c>
      <c r="GW17" s="4">
        <f t="shared" si="82"/>
        <v>47079</v>
      </c>
      <c r="GX17" s="8">
        <f t="shared" ca="1" si="83"/>
        <v>934</v>
      </c>
      <c r="GY17" s="5" t="str">
        <f t="shared" ca="1" si="84"/>
        <v>VIGENTE</v>
      </c>
      <c r="GZ17" s="3"/>
      <c r="HA17" s="4">
        <v>45251</v>
      </c>
      <c r="HB17" s="4">
        <f t="shared" si="85"/>
        <v>47078</v>
      </c>
      <c r="HC17" s="8">
        <f t="shared" ca="1" si="86"/>
        <v>933</v>
      </c>
      <c r="HD17" s="5" t="str">
        <f t="shared" ca="1" si="87"/>
        <v>VIGENTE</v>
      </c>
      <c r="HE17" s="6"/>
      <c r="HF17" s="4">
        <v>45094</v>
      </c>
      <c r="HG17" s="4">
        <f t="shared" si="88"/>
        <v>46921</v>
      </c>
      <c r="HH17" s="8">
        <f t="shared" ca="1" si="89"/>
        <v>776</v>
      </c>
      <c r="HI17" s="5" t="str">
        <f t="shared" ca="1" si="177"/>
        <v>VIGENTE</v>
      </c>
      <c r="HJ17" s="2"/>
      <c r="HK17" s="6"/>
      <c r="HL17" s="4"/>
      <c r="HM17" s="8"/>
      <c r="HN17" s="5" t="str">
        <f t="shared" si="91"/>
        <v>NO APLICA</v>
      </c>
      <c r="HO17" s="2"/>
      <c r="HP17" s="2"/>
      <c r="HQ17" s="4"/>
      <c r="HR17" s="2"/>
      <c r="HS17" s="5" t="str">
        <f t="shared" si="92"/>
        <v>NO APLICA</v>
      </c>
      <c r="HT17" s="2"/>
      <c r="HU17" s="4">
        <v>45089</v>
      </c>
      <c r="HV17" s="4">
        <f>DATE(YEAR(HU17)+5,MONTH(HU17),DAY(HU17))</f>
        <v>46916</v>
      </c>
      <c r="HW17" s="8">
        <f ca="1">HV17-TODAY()</f>
        <v>771</v>
      </c>
      <c r="HX17" s="5" t="str">
        <f t="shared" ca="1" si="93"/>
        <v>VIGENTE</v>
      </c>
      <c r="HY17" s="2"/>
      <c r="HZ17" s="4">
        <v>45092</v>
      </c>
      <c r="IA17" s="4">
        <f>DATE(YEAR(HZ17)+5,MONTH(HZ17),DAY(HZ17))</f>
        <v>46919</v>
      </c>
      <c r="IB17" s="8">
        <f ca="1">IA17-TODAY()</f>
        <v>774</v>
      </c>
      <c r="IC17" s="5" t="str">
        <f t="shared" ca="1" si="94"/>
        <v>VIGENTE</v>
      </c>
      <c r="ID17" s="2"/>
      <c r="IE17" s="4">
        <v>44972</v>
      </c>
      <c r="IF17" s="4">
        <f>DATE(YEAR(IE17)+5,MONTH(IE17),DAY(IE17))</f>
        <v>46798</v>
      </c>
      <c r="IG17" s="8">
        <f ca="1">IF17-TODAY()</f>
        <v>653</v>
      </c>
      <c r="IH17" s="5" t="str">
        <f t="shared" ca="1" si="95"/>
        <v>VIGENTE</v>
      </c>
      <c r="II17" s="6"/>
      <c r="IJ17" s="4">
        <v>45009</v>
      </c>
      <c r="IK17" s="4">
        <f>DATE(YEAR(IJ17)+5,MONTH(IJ17),DAY(IJ17))</f>
        <v>46836</v>
      </c>
      <c r="IL17" s="8">
        <f ca="1">IK17-TODAY()</f>
        <v>691</v>
      </c>
      <c r="IM17" s="5" t="str">
        <f t="shared" ca="1" si="96"/>
        <v>VIGENTE</v>
      </c>
      <c r="IN17" s="2"/>
      <c r="IO17" s="4">
        <v>44977</v>
      </c>
      <c r="IP17" s="4">
        <f>DATE(YEAR(IO17)+5,MONTH(IO17),DAY(IO17))</f>
        <v>46803</v>
      </c>
      <c r="IQ17" s="8">
        <f ca="1">IP17-TODAY()</f>
        <v>658</v>
      </c>
      <c r="IR17" s="5" t="str">
        <f t="shared" ca="1" si="97"/>
        <v>VIGENTE</v>
      </c>
      <c r="IS17" s="2"/>
      <c r="IT17" s="4">
        <v>45013</v>
      </c>
      <c r="IU17" s="4">
        <f>DATE(YEAR(IT17)+5,MONTH(IT17),DAY(IT17))</f>
        <v>46840</v>
      </c>
      <c r="IV17" s="8">
        <f ca="1">IU17-TODAY()</f>
        <v>695</v>
      </c>
      <c r="IW17" s="5" t="str">
        <f t="shared" ca="1" si="98"/>
        <v>VIGENTE</v>
      </c>
      <c r="IX17" s="2"/>
      <c r="IY17" s="4">
        <v>44973</v>
      </c>
      <c r="IZ17" s="4">
        <f>DATE(YEAR(IY17)+5,MONTH(IY17),DAY(IY17))</f>
        <v>46799</v>
      </c>
      <c r="JA17" s="8">
        <f ca="1">IZ17-TODAY()</f>
        <v>654</v>
      </c>
      <c r="JB17" s="5" t="str">
        <f t="shared" ca="1" si="99"/>
        <v>VIGENTE</v>
      </c>
      <c r="JC17" s="3" t="s">
        <v>780</v>
      </c>
      <c r="JD17" s="3"/>
      <c r="JE17" s="4"/>
      <c r="JF17" s="8"/>
      <c r="JG17" s="5"/>
      <c r="JH17" s="3" t="s">
        <v>780</v>
      </c>
      <c r="JI17" s="6"/>
      <c r="JJ17" s="6"/>
      <c r="JK17" s="6"/>
      <c r="JL17" s="5"/>
      <c r="JM17" s="6" t="s">
        <v>780</v>
      </c>
      <c r="JN17" s="6"/>
      <c r="JO17" s="6"/>
      <c r="JP17" s="6"/>
      <c r="JQ17" s="5"/>
      <c r="JR17" s="6" t="s">
        <v>780</v>
      </c>
      <c r="JS17" s="6"/>
      <c r="JT17" s="6"/>
      <c r="JU17" s="6"/>
      <c r="JV17" s="5"/>
      <c r="JW17" s="6" t="s">
        <v>780</v>
      </c>
      <c r="JX17" s="5"/>
      <c r="JY17" s="5"/>
      <c r="JZ17" s="5"/>
      <c r="KA17" s="5"/>
      <c r="KB17" s="5"/>
      <c r="KC17" s="2"/>
      <c r="KD17" s="4"/>
      <c r="KE17" s="8"/>
      <c r="KF17" s="5" t="str">
        <f t="shared" si="135"/>
        <v>NO APLICA</v>
      </c>
      <c r="KG17" s="5"/>
      <c r="KH17" s="2"/>
      <c r="KI17" s="4"/>
      <c r="KJ17" s="8"/>
      <c r="KK17" s="5" t="str">
        <f t="shared" si="136"/>
        <v>NO APLICA</v>
      </c>
      <c r="KL17" s="5"/>
      <c r="KM17" s="2"/>
      <c r="KN17" s="4"/>
      <c r="KO17" s="8"/>
      <c r="KP17" s="5" t="str">
        <f t="shared" si="100"/>
        <v>NO APLICA</v>
      </c>
      <c r="KQ17" s="5"/>
      <c r="KR17" s="2"/>
      <c r="KS17" s="4"/>
      <c r="KT17" s="8"/>
      <c r="KU17" s="5" t="str">
        <f t="shared" si="137"/>
        <v>NO APLICA</v>
      </c>
      <c r="KV17" s="2"/>
      <c r="KW17" s="6"/>
      <c r="KX17" s="4"/>
      <c r="KY17" s="8"/>
      <c r="KZ17" s="5" t="str">
        <f t="shared" si="151"/>
        <v>NO APLICA</v>
      </c>
      <c r="LA17" s="5"/>
      <c r="LB17" s="4">
        <v>44608</v>
      </c>
      <c r="LC17" s="4">
        <f>DATE(YEAR(LB17)+5,MONTH(LB17),DAY(LB17))</f>
        <v>46434</v>
      </c>
      <c r="LD17" s="8">
        <f ca="1">LC17-TODAY()</f>
        <v>289</v>
      </c>
      <c r="LE17" s="5" t="str">
        <f t="shared" ca="1" si="138"/>
        <v>VIGENTE</v>
      </c>
      <c r="LF17" s="6"/>
      <c r="LG17" s="6"/>
      <c r="LH17" s="4"/>
      <c r="LI17" s="8"/>
      <c r="LJ17" s="5" t="str">
        <f t="shared" si="101"/>
        <v>NO APLICA</v>
      </c>
      <c r="LK17" s="5"/>
      <c r="LL17" s="5"/>
      <c r="LM17" s="4"/>
      <c r="LN17" s="8"/>
      <c r="LO17" s="5" t="str">
        <f t="shared" si="152"/>
        <v>NO APLICA</v>
      </c>
      <c r="LP17" s="2"/>
      <c r="LQ17" s="6"/>
      <c r="LR17" s="4"/>
      <c r="LS17" s="8"/>
      <c r="LT17" s="5" t="str">
        <f t="shared" si="139"/>
        <v>NO APLICA</v>
      </c>
      <c r="LU17" s="4"/>
      <c r="LV17" s="4">
        <v>44986</v>
      </c>
      <c r="LW17" s="4">
        <f>DATE(YEAR(LV17)+5,MONTH(LV17),DAY(LV17))</f>
        <v>46813</v>
      </c>
      <c r="LX17" s="8">
        <f ca="1">LW17-TODAY()</f>
        <v>668</v>
      </c>
      <c r="LY17" s="5" t="str">
        <f t="shared" ca="1" si="140"/>
        <v>VIGENTE</v>
      </c>
      <c r="LZ17" s="4"/>
      <c r="MA17" s="4">
        <v>44988</v>
      </c>
      <c r="MB17" s="4">
        <f>DATE(YEAR(MA17)+5,MONTH(MA17),DAY(MA17))</f>
        <v>46815</v>
      </c>
      <c r="MC17" s="8">
        <f ca="1">MB17-TODAY()</f>
        <v>670</v>
      </c>
      <c r="MD17" s="5" t="str">
        <f t="shared" ca="1" si="141"/>
        <v>VIGENTE</v>
      </c>
      <c r="ME17" s="3"/>
      <c r="MF17" s="4">
        <v>44998</v>
      </c>
      <c r="MG17" s="4">
        <f>DATE(YEAR(MF17)+5,MONTH(MF17),DAY(MF17))</f>
        <v>46825</v>
      </c>
      <c r="MH17" s="8">
        <f ca="1">MG17-TODAY()</f>
        <v>680</v>
      </c>
      <c r="MI17" s="5" t="str">
        <f t="shared" ca="1" si="102"/>
        <v>VIGENTE</v>
      </c>
      <c r="MJ17" s="2"/>
      <c r="MK17" s="2"/>
      <c r="ML17" s="4"/>
      <c r="MM17" s="8"/>
      <c r="MN17" s="5" t="str">
        <f t="shared" si="103"/>
        <v>NO APLICA</v>
      </c>
      <c r="MO17" s="5"/>
      <c r="MP17" s="3">
        <v>45154</v>
      </c>
      <c r="MQ17" s="4">
        <f>DATE(YEAR(MP17)+5,MONTH(MP17),DAY(MP17))</f>
        <v>46981</v>
      </c>
      <c r="MR17" s="8">
        <f ca="1">MQ17-TODAY()</f>
        <v>836</v>
      </c>
      <c r="MS17" s="5" t="str">
        <f t="shared" ca="1" si="104"/>
        <v>VIGENTE</v>
      </c>
      <c r="MT17" s="5"/>
      <c r="MU17" s="3">
        <v>45155</v>
      </c>
      <c r="MV17" s="4">
        <f>DATE(YEAR(MU17)+5,MONTH(MU17),DAY(MU17))</f>
        <v>46982</v>
      </c>
      <c r="MW17" s="8">
        <f ca="1">MV17-TODAY()</f>
        <v>837</v>
      </c>
      <c r="MX17" s="5" t="str">
        <f t="shared" ca="1" si="105"/>
        <v>VIGENTE</v>
      </c>
      <c r="MY17" s="2"/>
      <c r="MZ17" s="6"/>
      <c r="NA17" s="4"/>
      <c r="NB17" s="8"/>
      <c r="NC17" s="5" t="str">
        <f t="shared" si="106"/>
        <v>NO APLICA</v>
      </c>
      <c r="ND17" s="2"/>
      <c r="NE17" s="6"/>
      <c r="NF17" s="4"/>
      <c r="NG17" s="8"/>
      <c r="NH17" s="5" t="str">
        <f t="shared" si="107"/>
        <v>NO APLICA</v>
      </c>
      <c r="NI17" s="2"/>
      <c r="NJ17" s="6"/>
      <c r="NK17" s="4"/>
      <c r="NL17" s="8"/>
      <c r="NM17" s="5" t="str">
        <f t="shared" si="108"/>
        <v>NO APLICA</v>
      </c>
      <c r="NN17" s="2"/>
      <c r="NO17" s="2"/>
      <c r="NP17" s="4"/>
      <c r="NQ17" s="8"/>
      <c r="NR17" s="5" t="str">
        <f t="shared" si="109"/>
        <v>NO APLICA</v>
      </c>
      <c r="NS17" s="2"/>
      <c r="NT17" s="2"/>
      <c r="NU17" s="4"/>
      <c r="NV17" s="2"/>
      <c r="NW17" s="5" t="str">
        <f t="shared" si="110"/>
        <v>NO APLICA</v>
      </c>
      <c r="NX17" s="6"/>
      <c r="NY17" s="6"/>
      <c r="NZ17" s="4"/>
      <c r="OA17" s="8"/>
      <c r="OB17" s="5" t="str">
        <f t="shared" si="111"/>
        <v>NO APLICA</v>
      </c>
      <c r="OC17" s="6"/>
      <c r="OD17" s="6"/>
      <c r="OE17" s="6"/>
      <c r="OF17" s="6"/>
      <c r="OG17" s="5" t="str">
        <f t="shared" si="112"/>
        <v>NO APLICA</v>
      </c>
      <c r="OH17" s="2"/>
      <c r="OI17" s="2"/>
      <c r="OJ17" s="4"/>
      <c r="OK17" s="8"/>
      <c r="OL17" s="5" t="str">
        <f t="shared" si="113"/>
        <v>NO APLICA</v>
      </c>
      <c r="OM17" s="6"/>
      <c r="ON17" s="6"/>
      <c r="OO17" s="6"/>
      <c r="OP17" s="6"/>
      <c r="OQ17" s="5" t="str">
        <f t="shared" si="114"/>
        <v>NO APLICA</v>
      </c>
      <c r="OR17" s="6"/>
      <c r="OS17" s="6"/>
      <c r="OT17" s="6"/>
      <c r="OU17" s="6"/>
      <c r="OV17" s="5" t="str">
        <f t="shared" si="115"/>
        <v>NO APLICA</v>
      </c>
      <c r="OW17" s="6"/>
      <c r="OX17" s="6"/>
      <c r="OY17" s="6"/>
      <c r="OZ17" s="6"/>
      <c r="PA17" s="5" t="str">
        <f t="shared" si="116"/>
        <v>NO APLICA</v>
      </c>
      <c r="PB17" s="6"/>
      <c r="PC17" s="6"/>
      <c r="PD17" s="6"/>
      <c r="PE17" s="6"/>
      <c r="PF17" s="5" t="str">
        <f t="shared" si="117"/>
        <v>NO APLICA</v>
      </c>
      <c r="PG17" s="6"/>
      <c r="PH17" s="6"/>
      <c r="PI17" s="6"/>
      <c r="PJ17" s="6"/>
      <c r="PK17" s="5" t="str">
        <f t="shared" si="118"/>
        <v>NO APLICA</v>
      </c>
      <c r="PL17" s="5"/>
      <c r="PM17" s="6"/>
      <c r="PN17" s="4"/>
      <c r="PO17" s="8"/>
      <c r="PP17" s="5" t="str">
        <f t="shared" si="119"/>
        <v>NO APLICA</v>
      </c>
      <c r="PQ17" s="6"/>
      <c r="PR17" s="6"/>
      <c r="PS17" s="6"/>
      <c r="PT17" s="6"/>
      <c r="PU17" s="5" t="str">
        <f t="shared" si="120"/>
        <v>NO APLICA</v>
      </c>
      <c r="PV17" s="5"/>
      <c r="PW17" s="4">
        <v>46126</v>
      </c>
      <c r="PX17" s="4">
        <f t="shared" ref="PX17:PX19" si="179">DATE(YEAR(PW17)+1,MONTH(PW17),DAY(PW17))</f>
        <v>46491</v>
      </c>
      <c r="PY17" s="8">
        <f t="shared" ref="PY17:PY19" ca="1" si="180">PX17-TODAY()</f>
        <v>346</v>
      </c>
      <c r="PZ17" s="5" t="str">
        <f t="shared" ca="1" si="121"/>
        <v>VIGENTE</v>
      </c>
    </row>
    <row r="18" spans="1:442" ht="15.6" hidden="1" thickTop="1" thickBot="1" x14ac:dyDescent="0.35">
      <c r="A18" s="26">
        <v>15</v>
      </c>
      <c r="B18" s="27">
        <v>142</v>
      </c>
      <c r="C18" s="28" t="s">
        <v>112</v>
      </c>
      <c r="D18" s="29" t="s">
        <v>113</v>
      </c>
      <c r="E18" s="30" t="s">
        <v>114</v>
      </c>
      <c r="F18" s="2"/>
      <c r="G18" s="6"/>
      <c r="H18" s="4"/>
      <c r="I18" s="8"/>
      <c r="J18" s="5" t="str">
        <f t="shared" si="0"/>
        <v>NO APLICA</v>
      </c>
      <c r="K18" s="5"/>
      <c r="L18" s="6"/>
      <c r="M18" s="6"/>
      <c r="N18" s="8"/>
      <c r="O18" s="5" t="str">
        <f t="shared" si="1"/>
        <v>NO APLICA</v>
      </c>
      <c r="P18" s="6"/>
      <c r="Q18" s="6"/>
      <c r="R18" s="4"/>
      <c r="S18" s="8"/>
      <c r="T18" s="5" t="str">
        <f t="shared" si="122"/>
        <v>NO APLICA</v>
      </c>
      <c r="U18" s="5"/>
      <c r="V18" s="2" t="s">
        <v>115</v>
      </c>
      <c r="W18" s="4">
        <v>45337</v>
      </c>
      <c r="X18" s="4">
        <f t="shared" si="2"/>
        <v>47164</v>
      </c>
      <c r="Y18" s="8">
        <f t="shared" ca="1" si="3"/>
        <v>1019</v>
      </c>
      <c r="Z18" s="5" t="str">
        <f t="shared" ca="1" si="4"/>
        <v>VIGENTE</v>
      </c>
      <c r="AA18" s="5"/>
      <c r="AB18" s="2"/>
      <c r="AC18" s="6"/>
      <c r="AD18" s="4"/>
      <c r="AE18" s="8"/>
      <c r="AF18" s="5" t="str">
        <f t="shared" si="7"/>
        <v>NO APLICA</v>
      </c>
      <c r="AG18" s="3"/>
      <c r="AH18" s="4">
        <v>45902</v>
      </c>
      <c r="AI18" s="4">
        <f>DATE(YEAR(AH18)+2,MONTH(AH18),DAY(AH18))</f>
        <v>46632</v>
      </c>
      <c r="AJ18" s="8">
        <f t="shared" ca="1" si="8"/>
        <v>487</v>
      </c>
      <c r="AK18" s="5" t="str">
        <f t="shared" ca="1" si="9"/>
        <v>VIGENTE</v>
      </c>
      <c r="AL18" s="3"/>
      <c r="AM18" s="4">
        <v>45748</v>
      </c>
      <c r="AN18" s="4">
        <f>DATE(YEAR(AM18)+2,MONTH(AM18),DAY(AM18)-1)</f>
        <v>46477</v>
      </c>
      <c r="AO18" s="8">
        <f t="shared" ca="1" si="10"/>
        <v>332</v>
      </c>
      <c r="AP18" s="5" t="str">
        <f t="shared" ca="1" si="11"/>
        <v>VIGENTE</v>
      </c>
      <c r="AQ18" s="3"/>
      <c r="AR18" s="4">
        <v>45904</v>
      </c>
      <c r="AS18" s="4">
        <f t="shared" si="178"/>
        <v>46634</v>
      </c>
      <c r="AT18" s="8">
        <f t="shared" ca="1" si="12"/>
        <v>489</v>
      </c>
      <c r="AU18" s="5" t="str">
        <f t="shared" ca="1" si="13"/>
        <v>VIGENTE</v>
      </c>
      <c r="AV18" s="3"/>
      <c r="AW18" s="4">
        <v>45906</v>
      </c>
      <c r="AX18" s="4">
        <f>DATE(YEAR(AW18)+2,MONTH(AW18),DAY(AW18))</f>
        <v>46636</v>
      </c>
      <c r="AY18" s="8">
        <f t="shared" ca="1" si="15"/>
        <v>491</v>
      </c>
      <c r="AZ18" s="5" t="str">
        <f t="shared" ca="1" si="16"/>
        <v>VIGENTE</v>
      </c>
      <c r="BA18" s="3"/>
      <c r="BB18" s="4">
        <v>45901</v>
      </c>
      <c r="BC18" s="4">
        <f>DATE(YEAR(BB18)+2,MONTH(BB18),DAY(BB18))</f>
        <v>46631</v>
      </c>
      <c r="BD18" s="8">
        <f t="shared" ca="1" si="17"/>
        <v>486</v>
      </c>
      <c r="BE18" s="5" t="str">
        <f t="shared" ca="1" si="18"/>
        <v>VIGENTE</v>
      </c>
      <c r="BF18" s="3"/>
      <c r="BG18" s="4">
        <v>45826</v>
      </c>
      <c r="BH18" s="4">
        <f>DATE(YEAR(BG18)+2,MONTH(BG18),DAY(BG18))</f>
        <v>46556</v>
      </c>
      <c r="BI18" s="8">
        <f t="shared" ca="1" si="19"/>
        <v>411</v>
      </c>
      <c r="BJ18" s="5" t="str">
        <f t="shared" ca="1" si="20"/>
        <v>VIGENTE</v>
      </c>
      <c r="BK18" s="3"/>
      <c r="BL18" s="4">
        <v>45759</v>
      </c>
      <c r="BM18" s="4">
        <f>DATE(YEAR(BL18)+2,MONTH(BL18),DAY(BL18)-1)</f>
        <v>46488</v>
      </c>
      <c r="BN18" s="8">
        <f t="shared" ca="1" si="21"/>
        <v>343</v>
      </c>
      <c r="BO18" s="5" t="str">
        <f t="shared" ca="1" si="22"/>
        <v>VIGENTE</v>
      </c>
      <c r="BP18" s="3"/>
      <c r="BQ18" s="39">
        <v>45841</v>
      </c>
      <c r="BR18" s="4">
        <f>DATE(YEAR(BQ18)+2,MONTH(BQ18),DAY(BQ18))</f>
        <v>46571</v>
      </c>
      <c r="BS18" s="8">
        <f t="shared" ca="1" si="23"/>
        <v>426</v>
      </c>
      <c r="BT18" s="5" t="str">
        <f t="shared" ca="1" si="24"/>
        <v>VIGENTE</v>
      </c>
      <c r="BU18" s="3"/>
      <c r="BV18" s="4">
        <v>45853</v>
      </c>
      <c r="BW18" s="4">
        <f>DATE(YEAR(BV18)+2,MONTH(BV18),DAY(BV18))</f>
        <v>46583</v>
      </c>
      <c r="BX18" s="8">
        <f t="shared" ca="1" si="25"/>
        <v>438</v>
      </c>
      <c r="BY18" s="5" t="str">
        <f t="shared" ca="1" si="26"/>
        <v>VIGENTE</v>
      </c>
      <c r="BZ18" s="2"/>
      <c r="CA18" s="4">
        <v>45770</v>
      </c>
      <c r="CB18" s="4">
        <f t="shared" si="173"/>
        <v>46500</v>
      </c>
      <c r="CC18" s="8">
        <f t="shared" ca="1" si="27"/>
        <v>355</v>
      </c>
      <c r="CD18" s="5" t="str">
        <f t="shared" ca="1" si="28"/>
        <v>VIGENTE</v>
      </c>
      <c r="CE18" s="6"/>
      <c r="CF18" s="4">
        <v>45828</v>
      </c>
      <c r="CG18" s="4">
        <f t="shared" si="29"/>
        <v>47289</v>
      </c>
      <c r="CH18" s="8">
        <f t="shared" ca="1" si="30"/>
        <v>1144</v>
      </c>
      <c r="CI18" s="5" t="str">
        <f t="shared" ca="1" si="31"/>
        <v>VIGENTE</v>
      </c>
      <c r="CJ18" s="4"/>
      <c r="CK18" s="4">
        <v>45801</v>
      </c>
      <c r="CL18" s="4">
        <f t="shared" si="175"/>
        <v>46530</v>
      </c>
      <c r="CM18" s="8">
        <f t="shared" ca="1" si="32"/>
        <v>385</v>
      </c>
      <c r="CN18" s="5" t="str">
        <f t="shared" ca="1" si="33"/>
        <v>VIGENTE</v>
      </c>
      <c r="CO18" s="3"/>
      <c r="CP18" s="39">
        <v>45888</v>
      </c>
      <c r="CQ18" s="4">
        <f>DATE(YEAR(CP18)+2,MONTH(CP18),DAY(CP18))</f>
        <v>46618</v>
      </c>
      <c r="CR18" s="8">
        <f t="shared" ca="1" si="34"/>
        <v>473</v>
      </c>
      <c r="CS18" s="5" t="str">
        <f t="shared" ca="1" si="35"/>
        <v>VIGENTE</v>
      </c>
      <c r="CT18" s="3"/>
      <c r="CU18" s="4">
        <v>45805</v>
      </c>
      <c r="CV18" s="4">
        <f>DATE(YEAR(CU18)+2,MONTH(CU18),DAY(CU18))</f>
        <v>46535</v>
      </c>
      <c r="CW18" s="8">
        <f t="shared" ca="1" si="36"/>
        <v>390</v>
      </c>
      <c r="CX18" s="5" t="str">
        <f t="shared" ca="1" si="37"/>
        <v>VIGENTE</v>
      </c>
      <c r="CY18" s="3"/>
      <c r="CZ18" s="4">
        <v>45835</v>
      </c>
      <c r="DA18" s="4">
        <f>DATE(YEAR(CZ18)+2,MONTH(CZ18),DAY(CZ18))</f>
        <v>46565</v>
      </c>
      <c r="DB18" s="8">
        <f t="shared" ca="1" si="38"/>
        <v>420</v>
      </c>
      <c r="DC18" s="5" t="str">
        <f t="shared" ca="1" si="39"/>
        <v>VIGENTE</v>
      </c>
      <c r="DD18" s="3"/>
      <c r="DE18" s="39">
        <v>45761</v>
      </c>
      <c r="DF18" s="4">
        <f>DATE(YEAR(DE18)+2,MONTH(DE18),DAY(DE18))</f>
        <v>46491</v>
      </c>
      <c r="DG18" s="8">
        <f t="shared" ca="1" si="40"/>
        <v>346</v>
      </c>
      <c r="DH18" s="5" t="str">
        <f t="shared" ca="1" si="41"/>
        <v>VIGENTE</v>
      </c>
      <c r="DI18" s="3"/>
      <c r="DJ18" s="39">
        <v>45798</v>
      </c>
      <c r="DK18" s="4">
        <f>DATE(YEAR(DJ18)+2,MONTH(DJ18),DAY(DJ18))</f>
        <v>46528</v>
      </c>
      <c r="DL18" s="8">
        <f t="shared" ca="1" si="43"/>
        <v>383</v>
      </c>
      <c r="DM18" s="5" t="str">
        <f t="shared" ca="1" si="44"/>
        <v>VIGENTE</v>
      </c>
      <c r="DN18" s="4"/>
      <c r="DO18" s="4">
        <v>45873</v>
      </c>
      <c r="DP18" s="4">
        <f>DATE(YEAR(DO18)+2,MONTH(DO18),DAY(DO18))</f>
        <v>46603</v>
      </c>
      <c r="DQ18" s="8">
        <f t="shared" ca="1" si="46"/>
        <v>458</v>
      </c>
      <c r="DR18" s="5" t="str">
        <f t="shared" ca="1" si="47"/>
        <v>VIGENTE</v>
      </c>
      <c r="DS18" s="3"/>
      <c r="DT18" s="4">
        <v>45800</v>
      </c>
      <c r="DU18" s="4">
        <f>DATE(YEAR(DT18)+2,MONTH(DT18),DAY(DT18)-1)</f>
        <v>46529</v>
      </c>
      <c r="DV18" s="8">
        <f t="shared" ca="1" si="48"/>
        <v>384</v>
      </c>
      <c r="DW18" s="5" t="str">
        <f t="shared" ca="1" si="49"/>
        <v>VIGENTE</v>
      </c>
      <c r="DX18" s="3"/>
      <c r="DY18" s="4">
        <v>45804</v>
      </c>
      <c r="DZ18" s="4">
        <f>DATE(YEAR(DY18)+2,MONTH(DY18),DAY(DY18))</f>
        <v>46534</v>
      </c>
      <c r="EA18" s="8">
        <f t="shared" ca="1" si="50"/>
        <v>389</v>
      </c>
      <c r="EB18" s="5" t="str">
        <f t="shared" ca="1" si="51"/>
        <v>VIGENTE</v>
      </c>
      <c r="EC18" s="3"/>
      <c r="ED18" s="39">
        <v>45787</v>
      </c>
      <c r="EE18" s="4">
        <f>DATE(YEAR(ED18)+2,MONTH(ED18),DAY(ED18))</f>
        <v>46517</v>
      </c>
      <c r="EF18" s="8">
        <f t="shared" ca="1" si="52"/>
        <v>372</v>
      </c>
      <c r="EG18" s="5" t="str">
        <f t="shared" ca="1" si="53"/>
        <v>VIGENTE</v>
      </c>
      <c r="EH18" s="3"/>
      <c r="EI18" s="3">
        <v>45911</v>
      </c>
      <c r="EJ18" s="4">
        <f t="shared" si="131"/>
        <v>46276</v>
      </c>
      <c r="EK18" s="8">
        <f t="shared" ca="1" si="54"/>
        <v>131</v>
      </c>
      <c r="EL18" s="5" t="str">
        <f t="shared" ca="1" si="55"/>
        <v>VIGENTE</v>
      </c>
      <c r="EM18" s="3"/>
      <c r="EN18" s="4">
        <v>45840</v>
      </c>
      <c r="EO18" s="4">
        <f>DATE(YEAR(EN18)+2,MONTH(EN18),DAY(EN18))</f>
        <v>46570</v>
      </c>
      <c r="EP18" s="8">
        <f t="shared" ca="1" si="56"/>
        <v>425</v>
      </c>
      <c r="EQ18" s="5" t="str">
        <f t="shared" ca="1" si="57"/>
        <v>VIGENTE</v>
      </c>
      <c r="ER18" s="3"/>
      <c r="ES18" s="39">
        <v>45824</v>
      </c>
      <c r="ET18" s="4">
        <f>DATE(YEAR(ES18)+2,MONTH(ES18),DAY(ES18))</f>
        <v>46554</v>
      </c>
      <c r="EU18" s="8">
        <f t="shared" ca="1" si="58"/>
        <v>409</v>
      </c>
      <c r="EV18" s="5" t="str">
        <f t="shared" ca="1" si="59"/>
        <v>VIGENTE</v>
      </c>
      <c r="EW18" s="3"/>
      <c r="EX18" s="4">
        <v>45794</v>
      </c>
      <c r="EY18" s="4">
        <f t="shared" si="146"/>
        <v>46524</v>
      </c>
      <c r="EZ18" s="8">
        <f t="shared" ca="1" si="60"/>
        <v>379</v>
      </c>
      <c r="FA18" s="5" t="str">
        <f t="shared" ca="1" si="61"/>
        <v>VIGENTE</v>
      </c>
      <c r="FB18" s="3"/>
      <c r="FC18" s="4">
        <v>45922</v>
      </c>
      <c r="FD18" s="4">
        <f t="shared" si="174"/>
        <v>46652</v>
      </c>
      <c r="FE18" s="8">
        <f t="shared" ca="1" si="62"/>
        <v>507</v>
      </c>
      <c r="FF18" s="5" t="str">
        <f t="shared" ca="1" si="63"/>
        <v>VIGENTE</v>
      </c>
      <c r="FG18" s="3"/>
      <c r="FH18" s="4">
        <v>45790</v>
      </c>
      <c r="FI18" s="4">
        <f t="shared" si="148"/>
        <v>46520</v>
      </c>
      <c r="FJ18" s="8">
        <f t="shared" ca="1" si="64"/>
        <v>375</v>
      </c>
      <c r="FK18" s="5" t="str">
        <f t="shared" ca="1" si="65"/>
        <v>VIGENTE</v>
      </c>
      <c r="FL18" s="3"/>
      <c r="FM18" s="39">
        <v>45850</v>
      </c>
      <c r="FN18" s="4">
        <f>DATE(YEAR(FM18)+2,MONTH(FM18),DAY(FM18))</f>
        <v>46580</v>
      </c>
      <c r="FO18" s="8">
        <f t="shared" ca="1" si="67"/>
        <v>435</v>
      </c>
      <c r="FP18" s="5" t="str">
        <f t="shared" ca="1" si="68"/>
        <v>VIGENTE</v>
      </c>
      <c r="FQ18" s="3"/>
      <c r="FR18" s="39">
        <v>45884</v>
      </c>
      <c r="FS18" s="4">
        <f>DATE(YEAR(FR18)+2,MONTH(FR18),DAY(FR18))</f>
        <v>46614</v>
      </c>
      <c r="FT18" s="8">
        <f t="shared" ca="1" si="69"/>
        <v>469</v>
      </c>
      <c r="FU18" s="5" t="str">
        <f t="shared" ca="1" si="70"/>
        <v>VIGENTE</v>
      </c>
      <c r="FV18" s="3"/>
      <c r="FW18" s="4">
        <v>45758</v>
      </c>
      <c r="FX18" s="4">
        <f>DATE(YEAR(FW18)+2,MONTH(FW18),DAY(FW18)-1)</f>
        <v>46487</v>
      </c>
      <c r="FY18" s="8">
        <f t="shared" ca="1" si="71"/>
        <v>342</v>
      </c>
      <c r="FZ18" s="5" t="str">
        <f t="shared" ca="1" si="72"/>
        <v>VIGENTE</v>
      </c>
      <c r="GA18" s="3"/>
      <c r="GB18" s="4">
        <v>45874</v>
      </c>
      <c r="GC18" s="4">
        <f>DATE(YEAR(GB18)+2,MONTH(GB18),DAY(GB18))</f>
        <v>46604</v>
      </c>
      <c r="GD18" s="8">
        <f t="shared" ca="1" si="73"/>
        <v>459</v>
      </c>
      <c r="GE18" s="5" t="str">
        <f t="shared" ca="1" si="74"/>
        <v>VIGENTE</v>
      </c>
      <c r="GF18" s="3"/>
      <c r="GG18" s="4">
        <v>45912</v>
      </c>
      <c r="GH18" s="4">
        <f>DATE(YEAR(GG18)+2,MONTH(GG18),DAY(GG18))</f>
        <v>46642</v>
      </c>
      <c r="GI18" s="8">
        <f t="shared" ca="1" si="75"/>
        <v>497</v>
      </c>
      <c r="GJ18" s="5" t="str">
        <f t="shared" ca="1" si="76"/>
        <v>VIGENTE</v>
      </c>
      <c r="GK18" s="3"/>
      <c r="GL18" s="4">
        <v>45945</v>
      </c>
      <c r="GM18" s="4">
        <f>DATE(YEAR(GL18)+2,MONTH(GL18),DAY(GL18))</f>
        <v>46675</v>
      </c>
      <c r="GN18" s="8">
        <f t="shared" ca="1" si="77"/>
        <v>530</v>
      </c>
      <c r="GO18" s="5" t="str">
        <f t="shared" ca="1" si="78"/>
        <v>VIGENTE</v>
      </c>
      <c r="GP18" s="4"/>
      <c r="GQ18" s="4">
        <v>45219</v>
      </c>
      <c r="GR18" s="4">
        <f t="shared" si="79"/>
        <v>47046</v>
      </c>
      <c r="GS18" s="8">
        <f t="shared" ca="1" si="176"/>
        <v>901</v>
      </c>
      <c r="GT18" s="5" t="str">
        <f t="shared" ca="1" si="81"/>
        <v>VIGENTE</v>
      </c>
      <c r="GU18" s="3"/>
      <c r="GV18" s="4">
        <v>45203</v>
      </c>
      <c r="GW18" s="4">
        <f t="shared" si="82"/>
        <v>47030</v>
      </c>
      <c r="GX18" s="8">
        <f t="shared" ca="1" si="83"/>
        <v>885</v>
      </c>
      <c r="GY18" s="5" t="str">
        <f t="shared" ca="1" si="84"/>
        <v>VIGENTE</v>
      </c>
      <c r="GZ18" s="2"/>
      <c r="HA18" s="4">
        <v>45174</v>
      </c>
      <c r="HB18" s="4">
        <f t="shared" si="85"/>
        <v>47001</v>
      </c>
      <c r="HC18" s="8">
        <f t="shared" ca="1" si="86"/>
        <v>856</v>
      </c>
      <c r="HD18" s="5" t="str">
        <f t="shared" ca="1" si="87"/>
        <v>VIGENTE</v>
      </c>
      <c r="HE18" s="6"/>
      <c r="HF18" s="6"/>
      <c r="HG18" s="4"/>
      <c r="HH18" s="8"/>
      <c r="HI18" s="5" t="str">
        <f t="shared" si="177"/>
        <v>NO APLICA</v>
      </c>
      <c r="HJ18" s="2"/>
      <c r="HK18" s="6"/>
      <c r="HL18" s="4"/>
      <c r="HM18" s="8"/>
      <c r="HN18" s="5" t="str">
        <f t="shared" si="91"/>
        <v>NO APLICA</v>
      </c>
      <c r="HO18" s="2"/>
      <c r="HP18" s="5"/>
      <c r="HQ18" s="5"/>
      <c r="HR18" s="5"/>
      <c r="HS18" s="5" t="str">
        <f t="shared" si="92"/>
        <v>NO APLICA</v>
      </c>
      <c r="HT18" s="2"/>
      <c r="HU18" s="6"/>
      <c r="HV18" s="4"/>
      <c r="HW18" s="8"/>
      <c r="HX18" s="5" t="str">
        <f t="shared" si="93"/>
        <v>NO APLICA</v>
      </c>
      <c r="HY18" s="2"/>
      <c r="HZ18" s="6"/>
      <c r="IA18" s="4"/>
      <c r="IB18" s="8"/>
      <c r="IC18" s="5" t="str">
        <f t="shared" si="94"/>
        <v>NO APLICA</v>
      </c>
      <c r="ID18" s="2"/>
      <c r="IE18" s="6"/>
      <c r="IF18" s="4"/>
      <c r="IG18" s="8"/>
      <c r="IH18" s="5" t="str">
        <f t="shared" si="95"/>
        <v>NO APLICA</v>
      </c>
      <c r="II18" s="6"/>
      <c r="IJ18" s="6"/>
      <c r="IK18" s="4"/>
      <c r="IL18" s="8"/>
      <c r="IM18" s="5" t="str">
        <f t="shared" si="96"/>
        <v>NO APLICA</v>
      </c>
      <c r="IN18" s="2"/>
      <c r="IO18" s="6"/>
      <c r="IP18" s="4"/>
      <c r="IQ18" s="8"/>
      <c r="IR18" s="5" t="str">
        <f t="shared" si="97"/>
        <v>NO APLICA</v>
      </c>
      <c r="IS18" s="2"/>
      <c r="IT18" s="6"/>
      <c r="IU18" s="4"/>
      <c r="IV18" s="8"/>
      <c r="IW18" s="5" t="str">
        <f t="shared" si="98"/>
        <v>NO APLICA</v>
      </c>
      <c r="IX18" s="2"/>
      <c r="IY18" s="6"/>
      <c r="IZ18" s="4"/>
      <c r="JA18" s="8"/>
      <c r="JB18" s="5" t="str">
        <f t="shared" si="99"/>
        <v>NO APLICA</v>
      </c>
      <c r="JC18" s="3" t="s">
        <v>780</v>
      </c>
      <c r="JD18" s="3"/>
      <c r="JE18" s="4"/>
      <c r="JF18" s="8"/>
      <c r="JG18" s="5"/>
      <c r="JH18" s="3" t="s">
        <v>780</v>
      </c>
      <c r="JI18" s="6"/>
      <c r="JJ18" s="6"/>
      <c r="JK18" s="6"/>
      <c r="JL18" s="5"/>
      <c r="JM18" s="6" t="s">
        <v>780</v>
      </c>
      <c r="JN18" s="6"/>
      <c r="JO18" s="6"/>
      <c r="JP18" s="6"/>
      <c r="JQ18" s="5"/>
      <c r="JR18" s="6" t="s">
        <v>780</v>
      </c>
      <c r="JS18" s="6"/>
      <c r="JT18" s="6"/>
      <c r="JU18" s="6"/>
      <c r="JV18" s="5"/>
      <c r="JW18" s="6" t="s">
        <v>780</v>
      </c>
      <c r="JX18" s="5"/>
      <c r="JY18" s="5"/>
      <c r="JZ18" s="5"/>
      <c r="KA18" s="5"/>
      <c r="KB18" s="5"/>
      <c r="KC18" s="5"/>
      <c r="KD18" s="4"/>
      <c r="KE18" s="8"/>
      <c r="KF18" s="5" t="str">
        <f t="shared" si="135"/>
        <v>NO APLICA</v>
      </c>
      <c r="KG18" s="5"/>
      <c r="KH18" s="5"/>
      <c r="KI18" s="4"/>
      <c r="KJ18" s="8"/>
      <c r="KK18" s="5" t="str">
        <f t="shared" si="136"/>
        <v>NO APLICA</v>
      </c>
      <c r="KL18" s="5"/>
      <c r="KM18" s="5"/>
      <c r="KN18" s="4"/>
      <c r="KO18" s="8"/>
      <c r="KP18" s="5" t="str">
        <f t="shared" si="100"/>
        <v>NO APLICA</v>
      </c>
      <c r="KQ18" s="5"/>
      <c r="KR18" s="2"/>
      <c r="KS18" s="4"/>
      <c r="KT18" s="8"/>
      <c r="KU18" s="5" t="str">
        <f t="shared" si="137"/>
        <v>NO APLICA</v>
      </c>
      <c r="KV18" s="2"/>
      <c r="KW18" s="6"/>
      <c r="KX18" s="4"/>
      <c r="KY18" s="8"/>
      <c r="KZ18" s="5" t="str">
        <f t="shared" si="151"/>
        <v>NO APLICA</v>
      </c>
      <c r="LA18" s="5"/>
      <c r="LB18" s="6"/>
      <c r="LC18" s="4"/>
      <c r="LD18" s="8"/>
      <c r="LE18" s="5" t="str">
        <f t="shared" si="138"/>
        <v>NO APLICA</v>
      </c>
      <c r="LF18" s="6"/>
      <c r="LG18" s="6"/>
      <c r="LH18" s="4"/>
      <c r="LI18" s="8"/>
      <c r="LJ18" s="5" t="str">
        <f t="shared" si="101"/>
        <v>NO APLICA</v>
      </c>
      <c r="LK18" s="5"/>
      <c r="LL18" s="5"/>
      <c r="LM18" s="4"/>
      <c r="LN18" s="8"/>
      <c r="LO18" s="5" t="str">
        <f t="shared" si="152"/>
        <v>NO APLICA</v>
      </c>
      <c r="LP18" s="5"/>
      <c r="LQ18" s="6"/>
      <c r="LR18" s="4"/>
      <c r="LS18" s="8"/>
      <c r="LT18" s="5" t="str">
        <f t="shared" si="139"/>
        <v>NO APLICA</v>
      </c>
      <c r="LU18" s="6"/>
      <c r="LV18" s="6"/>
      <c r="LW18" s="4"/>
      <c r="LX18" s="8"/>
      <c r="LY18" s="5" t="str">
        <f t="shared" si="140"/>
        <v>NO APLICA</v>
      </c>
      <c r="LZ18" s="6"/>
      <c r="MA18" s="6"/>
      <c r="MB18" s="4"/>
      <c r="MC18" s="8"/>
      <c r="MD18" s="5" t="str">
        <f t="shared" si="141"/>
        <v>NO APLICA</v>
      </c>
      <c r="ME18" s="5"/>
      <c r="MF18" s="5"/>
      <c r="MG18" s="4"/>
      <c r="MH18" s="8"/>
      <c r="MI18" s="5" t="str">
        <f t="shared" si="102"/>
        <v>NO APLICA</v>
      </c>
      <c r="MJ18" s="5"/>
      <c r="MK18" s="5"/>
      <c r="ML18" s="4"/>
      <c r="MM18" s="8"/>
      <c r="MN18" s="5" t="str">
        <f t="shared" si="103"/>
        <v>NO APLICA</v>
      </c>
      <c r="MO18" s="5"/>
      <c r="MP18" s="5"/>
      <c r="MQ18" s="4"/>
      <c r="MR18" s="8"/>
      <c r="MS18" s="5" t="str">
        <f t="shared" si="104"/>
        <v>NO APLICA</v>
      </c>
      <c r="MT18" s="5"/>
      <c r="MU18" s="5"/>
      <c r="MV18" s="4"/>
      <c r="MW18" s="5"/>
      <c r="MX18" s="5" t="str">
        <f t="shared" si="105"/>
        <v>NO APLICA</v>
      </c>
      <c r="MY18" s="5"/>
      <c r="MZ18" s="6"/>
      <c r="NA18" s="4"/>
      <c r="NB18" s="8"/>
      <c r="NC18" s="5" t="str">
        <f t="shared" si="106"/>
        <v>NO APLICA</v>
      </c>
      <c r="ND18" s="5"/>
      <c r="NE18" s="6"/>
      <c r="NF18" s="4"/>
      <c r="NG18" s="8"/>
      <c r="NH18" s="5" t="str">
        <f t="shared" si="107"/>
        <v>NO APLICA</v>
      </c>
      <c r="NI18" s="5"/>
      <c r="NJ18" s="6"/>
      <c r="NK18" s="4"/>
      <c r="NL18" s="8"/>
      <c r="NM18" s="5" t="str">
        <f t="shared" si="108"/>
        <v>NO APLICA</v>
      </c>
      <c r="NN18" s="5"/>
      <c r="NO18" s="5"/>
      <c r="NP18" s="4"/>
      <c r="NQ18" s="8"/>
      <c r="NR18" s="5" t="str">
        <f t="shared" si="109"/>
        <v>NO APLICA</v>
      </c>
      <c r="NS18" s="5"/>
      <c r="NT18" s="5"/>
      <c r="NU18" s="5"/>
      <c r="NV18" s="5"/>
      <c r="NW18" s="5" t="str">
        <f t="shared" si="110"/>
        <v>NO APLICA</v>
      </c>
      <c r="NX18" s="6"/>
      <c r="NY18" s="6"/>
      <c r="NZ18" s="6"/>
      <c r="OA18" s="6"/>
      <c r="OB18" s="5" t="str">
        <f t="shared" si="111"/>
        <v>NO APLICA</v>
      </c>
      <c r="OC18" s="6"/>
      <c r="OD18" s="6"/>
      <c r="OE18" s="6"/>
      <c r="OF18" s="6"/>
      <c r="OG18" s="5" t="str">
        <f t="shared" si="112"/>
        <v>NO APLICA</v>
      </c>
      <c r="OH18" s="6"/>
      <c r="OI18" s="6"/>
      <c r="OJ18" s="4"/>
      <c r="OK18" s="8"/>
      <c r="OL18" s="5" t="str">
        <f t="shared" si="113"/>
        <v>NO APLICA</v>
      </c>
      <c r="OM18" s="6"/>
      <c r="ON18" s="6"/>
      <c r="OO18" s="6"/>
      <c r="OP18" s="6"/>
      <c r="OQ18" s="5" t="str">
        <f t="shared" si="114"/>
        <v>NO APLICA</v>
      </c>
      <c r="OR18" s="6"/>
      <c r="OS18" s="6"/>
      <c r="OT18" s="6"/>
      <c r="OU18" s="6"/>
      <c r="OV18" s="5" t="str">
        <f t="shared" si="115"/>
        <v>NO APLICA</v>
      </c>
      <c r="OW18" s="6"/>
      <c r="OX18" s="6"/>
      <c r="OY18" s="6"/>
      <c r="OZ18" s="6"/>
      <c r="PA18" s="5" t="str">
        <f t="shared" si="116"/>
        <v>NO APLICA</v>
      </c>
      <c r="PB18" s="6"/>
      <c r="PC18" s="6"/>
      <c r="PD18" s="6"/>
      <c r="PE18" s="6"/>
      <c r="PF18" s="5" t="str">
        <f t="shared" si="117"/>
        <v>NO APLICA</v>
      </c>
      <c r="PG18" s="6"/>
      <c r="PH18" s="6"/>
      <c r="PI18" s="6"/>
      <c r="PJ18" s="6"/>
      <c r="PK18" s="5" t="str">
        <f t="shared" si="118"/>
        <v>NO APLICA</v>
      </c>
      <c r="PL18" s="5"/>
      <c r="PM18" s="6"/>
      <c r="PN18" s="4"/>
      <c r="PO18" s="8"/>
      <c r="PP18" s="5" t="str">
        <f t="shared" si="119"/>
        <v>NO APLICA</v>
      </c>
      <c r="PQ18" s="6"/>
      <c r="PR18" s="6"/>
      <c r="PS18" s="6"/>
      <c r="PT18" s="6"/>
      <c r="PU18" s="5" t="str">
        <f t="shared" si="120"/>
        <v>NO APLICA</v>
      </c>
      <c r="PV18" s="5"/>
      <c r="PW18" s="4">
        <v>46126</v>
      </c>
      <c r="PX18" s="4">
        <f t="shared" si="179"/>
        <v>46491</v>
      </c>
      <c r="PY18" s="8">
        <f t="shared" ca="1" si="180"/>
        <v>346</v>
      </c>
      <c r="PZ18" s="5" t="str">
        <f t="shared" ca="1" si="121"/>
        <v>VIGENTE</v>
      </c>
    </row>
    <row r="19" spans="1:442" ht="15.6" hidden="1" thickTop="1" thickBot="1" x14ac:dyDescent="0.35">
      <c r="A19" s="26">
        <v>16</v>
      </c>
      <c r="B19" s="31">
        <v>1740</v>
      </c>
      <c r="C19" s="28" t="s">
        <v>116</v>
      </c>
      <c r="D19" s="29" t="s">
        <v>117</v>
      </c>
      <c r="E19" s="30" t="s">
        <v>118</v>
      </c>
      <c r="F19" s="2"/>
      <c r="G19" s="6"/>
      <c r="H19" s="6"/>
      <c r="I19" s="6"/>
      <c r="J19" s="5" t="str">
        <f t="shared" si="0"/>
        <v>NO APLICA</v>
      </c>
      <c r="K19" s="6"/>
      <c r="L19" s="6"/>
      <c r="M19" s="6"/>
      <c r="N19" s="6"/>
      <c r="O19" s="5" t="str">
        <f t="shared" si="1"/>
        <v>NO APLICA</v>
      </c>
      <c r="P19" s="6"/>
      <c r="Q19" s="6"/>
      <c r="R19" s="6"/>
      <c r="S19" s="6"/>
      <c r="T19" s="5" t="str">
        <f t="shared" si="122"/>
        <v>NO APLICA</v>
      </c>
      <c r="U19" s="5"/>
      <c r="V19" s="6" t="s">
        <v>119</v>
      </c>
      <c r="W19" s="4">
        <v>45135</v>
      </c>
      <c r="X19" s="4">
        <f t="shared" si="2"/>
        <v>46962</v>
      </c>
      <c r="Y19" s="8">
        <f t="shared" ca="1" si="3"/>
        <v>817</v>
      </c>
      <c r="Z19" s="5" t="str">
        <f t="shared" ca="1" si="4"/>
        <v>VIGENTE</v>
      </c>
      <c r="AA19" s="5"/>
      <c r="AB19" s="6" t="s">
        <v>120</v>
      </c>
      <c r="AC19" s="4">
        <v>45499</v>
      </c>
      <c r="AD19" s="4">
        <f>DATE(YEAR(AC19)+5,MONTH(AC19),DAY(AC19))</f>
        <v>47325</v>
      </c>
      <c r="AE19" s="8">
        <f ca="1">AD19-TODAY()</f>
        <v>1180</v>
      </c>
      <c r="AF19" s="5" t="str">
        <f t="shared" ca="1" si="7"/>
        <v>VIGENTE</v>
      </c>
      <c r="AG19" s="4"/>
      <c r="AH19" s="4">
        <v>45721</v>
      </c>
      <c r="AI19" s="4">
        <f>DATE(YEAR(AH19)+2,MONTH(AH19),DAY(AH19)-1)</f>
        <v>46450</v>
      </c>
      <c r="AJ19" s="8">
        <f t="shared" ca="1" si="8"/>
        <v>305</v>
      </c>
      <c r="AK19" s="5" t="str">
        <f t="shared" ca="1" si="9"/>
        <v>VIGENTE</v>
      </c>
      <c r="AL19" s="6"/>
      <c r="AM19" s="4">
        <v>45490</v>
      </c>
      <c r="AN19" s="4">
        <f>DATE(YEAR(AM19)+2,MONTH(AM19),DAY(AM19)-1)</f>
        <v>46219</v>
      </c>
      <c r="AO19" s="8">
        <f t="shared" ca="1" si="10"/>
        <v>74</v>
      </c>
      <c r="AP19" s="5" t="str">
        <f t="shared" ca="1" si="11"/>
        <v>POR VENCER</v>
      </c>
      <c r="AQ19" s="4"/>
      <c r="AR19" s="4">
        <v>45775</v>
      </c>
      <c r="AS19" s="4">
        <f t="shared" si="178"/>
        <v>46505</v>
      </c>
      <c r="AT19" s="8">
        <f t="shared" ca="1" si="12"/>
        <v>360</v>
      </c>
      <c r="AU19" s="5" t="str">
        <f t="shared" ca="1" si="13"/>
        <v>VIGENTE</v>
      </c>
      <c r="AV19" s="4"/>
      <c r="AW19" s="4">
        <v>45720</v>
      </c>
      <c r="AX19" s="4">
        <f>DATE(YEAR(AW19)+2,MONTH(AW19),DAY(AW19)-1)</f>
        <v>46449</v>
      </c>
      <c r="AY19" s="8">
        <f t="shared" ca="1" si="15"/>
        <v>304</v>
      </c>
      <c r="AZ19" s="5" t="str">
        <f t="shared" ca="1" si="16"/>
        <v>VIGENTE</v>
      </c>
      <c r="BA19" s="4"/>
      <c r="BB19" s="4">
        <v>45773</v>
      </c>
      <c r="BC19" s="4">
        <f>DATE(YEAR(BB19)+2,MONTH(BB19),DAY(BB19))</f>
        <v>46503</v>
      </c>
      <c r="BD19" s="8">
        <f t="shared" ca="1" si="17"/>
        <v>358</v>
      </c>
      <c r="BE19" s="5" t="str">
        <f t="shared" ca="1" si="18"/>
        <v>VIGENTE</v>
      </c>
      <c r="BF19" s="4"/>
      <c r="BG19" s="4">
        <v>45692</v>
      </c>
      <c r="BH19" s="4">
        <f>DATE(YEAR(BG19)+2,MONTH(BG19),DAY(BG19)-1)</f>
        <v>46421</v>
      </c>
      <c r="BI19" s="8">
        <f t="shared" ca="1" si="19"/>
        <v>276</v>
      </c>
      <c r="BJ19" s="5" t="str">
        <f t="shared" ca="1" si="20"/>
        <v>VIGENTE</v>
      </c>
      <c r="BK19" s="4"/>
      <c r="BL19" s="4">
        <v>45693</v>
      </c>
      <c r="BM19" s="4">
        <f>DATE(YEAR(BL19)+2,MONTH(BL19),DAY(BL19)-1)</f>
        <v>46422</v>
      </c>
      <c r="BN19" s="8">
        <f t="shared" ca="1" si="21"/>
        <v>277</v>
      </c>
      <c r="BO19" s="5" t="str">
        <f t="shared" ca="1" si="22"/>
        <v>VIGENTE</v>
      </c>
      <c r="BP19" s="4"/>
      <c r="BQ19" s="4">
        <v>45772</v>
      </c>
      <c r="BR19" s="4">
        <f>DATE(YEAR(BQ19)+2,MONTH(BQ19),DAY(BQ19))</f>
        <v>46502</v>
      </c>
      <c r="BS19" s="8">
        <f t="shared" ca="1" si="23"/>
        <v>357</v>
      </c>
      <c r="BT19" s="5" t="str">
        <f t="shared" ca="1" si="24"/>
        <v>VIGENTE</v>
      </c>
      <c r="BU19" s="4"/>
      <c r="BV19" s="4">
        <v>45776</v>
      </c>
      <c r="BW19" s="4">
        <f>DATE(YEAR(BV19)+2,MONTH(BV19),DAY(BV19))</f>
        <v>46506</v>
      </c>
      <c r="BX19" s="8">
        <f t="shared" ca="1" si="25"/>
        <v>361</v>
      </c>
      <c r="BY19" s="5" t="str">
        <f t="shared" ca="1" si="26"/>
        <v>VIGENTE</v>
      </c>
      <c r="BZ19" s="4"/>
      <c r="CA19" s="4">
        <v>45730</v>
      </c>
      <c r="CB19" s="4">
        <f>DATE(YEAR(CA19)+2,MONTH(CA19),DAY(CA19)-1)</f>
        <v>46459</v>
      </c>
      <c r="CC19" s="8">
        <f t="shared" ca="1" si="27"/>
        <v>314</v>
      </c>
      <c r="CD19" s="5" t="str">
        <f t="shared" ca="1" si="28"/>
        <v>VIGENTE</v>
      </c>
      <c r="CE19" s="6"/>
      <c r="CF19" s="4">
        <v>45489</v>
      </c>
      <c r="CG19" s="4">
        <f t="shared" si="29"/>
        <v>46950</v>
      </c>
      <c r="CH19" s="8">
        <f t="shared" ca="1" si="30"/>
        <v>805</v>
      </c>
      <c r="CI19" s="5" t="str">
        <f t="shared" ca="1" si="31"/>
        <v>VIGENTE</v>
      </c>
      <c r="CJ19" s="4"/>
      <c r="CK19" s="4">
        <v>45723</v>
      </c>
      <c r="CL19" s="4">
        <f t="shared" si="175"/>
        <v>46452</v>
      </c>
      <c r="CM19" s="8">
        <f t="shared" ca="1" si="32"/>
        <v>307</v>
      </c>
      <c r="CN19" s="5" t="str">
        <f t="shared" ca="1" si="33"/>
        <v>VIGENTE</v>
      </c>
      <c r="CO19" s="4"/>
      <c r="CP19" s="4">
        <v>45726</v>
      </c>
      <c r="CQ19" s="4">
        <f>DATE(YEAR(CP19)+2,MONTH(CP19),DAY(CP19)-1)</f>
        <v>46455</v>
      </c>
      <c r="CR19" s="8">
        <f t="shared" ca="1" si="34"/>
        <v>310</v>
      </c>
      <c r="CS19" s="5" t="str">
        <f t="shared" ca="1" si="35"/>
        <v>VIGENTE</v>
      </c>
      <c r="CT19" s="4"/>
      <c r="CU19" s="4">
        <v>45727</v>
      </c>
      <c r="CV19" s="4">
        <f>DATE(YEAR(CU19)+2,MONTH(CU19),DAY(CU19)-1)</f>
        <v>46456</v>
      </c>
      <c r="CW19" s="8">
        <f t="shared" ca="1" si="36"/>
        <v>311</v>
      </c>
      <c r="CX19" s="5" t="str">
        <f t="shared" ca="1" si="37"/>
        <v>VIGENTE</v>
      </c>
      <c r="CY19" s="4"/>
      <c r="CZ19" s="4">
        <v>45744</v>
      </c>
      <c r="DA19" s="4">
        <f>DATE(YEAR(CZ19)+2,MONTH(CZ19),DAY(CZ19)-1)</f>
        <v>46473</v>
      </c>
      <c r="DB19" s="8">
        <f t="shared" ca="1" si="38"/>
        <v>328</v>
      </c>
      <c r="DC19" s="5" t="str">
        <f t="shared" ca="1" si="39"/>
        <v>VIGENTE</v>
      </c>
      <c r="DD19" s="4"/>
      <c r="DE19" s="4">
        <v>45713</v>
      </c>
      <c r="DF19" s="4">
        <f>DATE(YEAR(DE19)+2,MONTH(DE19),DAY(DE19)-1)</f>
        <v>46442</v>
      </c>
      <c r="DG19" s="8">
        <f t="shared" ca="1" si="40"/>
        <v>297</v>
      </c>
      <c r="DH19" s="5" t="str">
        <f t="shared" ca="1" si="41"/>
        <v>VIGENTE</v>
      </c>
      <c r="DI19" s="4"/>
      <c r="DJ19" s="4">
        <v>45798</v>
      </c>
      <c r="DK19" s="4">
        <f>DATE(YEAR(DJ19)+2,MONTH(DJ19),DAY(DJ19))</f>
        <v>46528</v>
      </c>
      <c r="DL19" s="8">
        <f t="shared" ca="1" si="43"/>
        <v>383</v>
      </c>
      <c r="DM19" s="5" t="str">
        <f t="shared" ca="1" si="44"/>
        <v>VIGENTE</v>
      </c>
      <c r="DN19" s="4"/>
      <c r="DO19" s="4">
        <v>45799</v>
      </c>
      <c r="DP19" s="4">
        <f>DATE(YEAR(DO19)+2,MONTH(DO19),DAY(DO19))</f>
        <v>46529</v>
      </c>
      <c r="DQ19" s="8">
        <f t="shared" ca="1" si="46"/>
        <v>384</v>
      </c>
      <c r="DR19" s="5" t="str">
        <f t="shared" ca="1" si="47"/>
        <v>VIGENTE</v>
      </c>
      <c r="DS19" s="4"/>
      <c r="DT19" s="4">
        <v>45728</v>
      </c>
      <c r="DU19" s="4">
        <f>DATE(YEAR(DT19)+2,MONTH(DT19),DAY(DT19)-1)</f>
        <v>46457</v>
      </c>
      <c r="DV19" s="8">
        <f t="shared" ca="1" si="48"/>
        <v>312</v>
      </c>
      <c r="DW19" s="5" t="str">
        <f t="shared" ca="1" si="49"/>
        <v>VIGENTE</v>
      </c>
      <c r="DX19" s="4"/>
      <c r="DY19" s="4">
        <v>45751</v>
      </c>
      <c r="DZ19" s="4">
        <f>DATE(YEAR(DY19)+2,MONTH(DY19),DAY(DY19)-1)</f>
        <v>46480</v>
      </c>
      <c r="EA19" s="8">
        <f t="shared" ca="1" si="50"/>
        <v>335</v>
      </c>
      <c r="EB19" s="5" t="str">
        <f t="shared" ca="1" si="51"/>
        <v>VIGENTE</v>
      </c>
      <c r="EC19" s="4"/>
      <c r="ED19" s="4">
        <v>45768</v>
      </c>
      <c r="EE19" s="4">
        <f>DATE(YEAR(ED19)+2,MONTH(ED19),DAY(ED19))</f>
        <v>46498</v>
      </c>
      <c r="EF19" s="8">
        <f t="shared" ca="1" si="52"/>
        <v>353</v>
      </c>
      <c r="EG19" s="5" t="str">
        <f t="shared" ca="1" si="53"/>
        <v>VIGENTE</v>
      </c>
      <c r="EH19" s="4"/>
      <c r="EI19" s="4">
        <v>46115</v>
      </c>
      <c r="EJ19" s="4">
        <f t="shared" si="131"/>
        <v>46480</v>
      </c>
      <c r="EK19" s="8">
        <f t="shared" ca="1" si="54"/>
        <v>335</v>
      </c>
      <c r="EL19" s="5" t="str">
        <f t="shared" ca="1" si="55"/>
        <v>VIGENTE</v>
      </c>
      <c r="EM19" s="4"/>
      <c r="EN19" s="4">
        <v>45737</v>
      </c>
      <c r="EO19" s="4">
        <f t="shared" ref="EO19:EO24" si="181">DATE(YEAR(EN19)+2,MONTH(EN19),DAY(EN19)-1)</f>
        <v>46466</v>
      </c>
      <c r="EP19" s="8">
        <f t="shared" ca="1" si="56"/>
        <v>321</v>
      </c>
      <c r="EQ19" s="5" t="str">
        <f t="shared" ca="1" si="57"/>
        <v>VIGENTE</v>
      </c>
      <c r="ER19" s="4"/>
      <c r="ES19" s="4">
        <v>45735</v>
      </c>
      <c r="ET19" s="4">
        <f t="shared" ref="ET19:ET24" si="182">DATE(YEAR(ES19)+2,MONTH(ES19),DAY(ES19)-1)</f>
        <v>46464</v>
      </c>
      <c r="EU19" s="8">
        <f t="shared" ca="1" si="58"/>
        <v>319</v>
      </c>
      <c r="EV19" s="5" t="str">
        <f t="shared" ca="1" si="59"/>
        <v>VIGENTE</v>
      </c>
      <c r="EW19" s="4"/>
      <c r="EX19" s="4">
        <v>45719</v>
      </c>
      <c r="EY19" s="4">
        <f>DATE(YEAR(EX19)+2,MONTH(EX19),DAY(EX19)-1)</f>
        <v>46448</v>
      </c>
      <c r="EZ19" s="8">
        <f t="shared" ca="1" si="60"/>
        <v>303</v>
      </c>
      <c r="FA19" s="5" t="str">
        <f t="shared" ca="1" si="61"/>
        <v>VIGENTE</v>
      </c>
      <c r="FB19" s="4"/>
      <c r="FC19" s="4">
        <v>45803</v>
      </c>
      <c r="FD19" s="4">
        <f t="shared" si="174"/>
        <v>46533</v>
      </c>
      <c r="FE19" s="8">
        <f t="shared" ca="1" si="62"/>
        <v>388</v>
      </c>
      <c r="FF19" s="5" t="str">
        <f t="shared" ca="1" si="63"/>
        <v>VIGENTE</v>
      </c>
      <c r="FG19" s="4"/>
      <c r="FH19" s="4">
        <v>45668</v>
      </c>
      <c r="FI19" s="4">
        <f>DATE(YEAR(FH19)+2,MONTH(FH19),DAY(FH19)-1)</f>
        <v>46397</v>
      </c>
      <c r="FJ19" s="8">
        <f t="shared" ca="1" si="64"/>
        <v>252</v>
      </c>
      <c r="FK19" s="5" t="str">
        <f t="shared" ca="1" si="65"/>
        <v>VIGENTE</v>
      </c>
      <c r="FL19" s="4"/>
      <c r="FM19" s="4">
        <v>45479</v>
      </c>
      <c r="FN19" s="4">
        <f>DATE(YEAR(FM19)+2,MONTH(FM19),DAY(FM19)-1)</f>
        <v>46208</v>
      </c>
      <c r="FO19" s="8">
        <f t="shared" ca="1" si="67"/>
        <v>63</v>
      </c>
      <c r="FP19" s="5" t="str">
        <f t="shared" ca="1" si="68"/>
        <v>POR VENCER</v>
      </c>
      <c r="FQ19" s="4"/>
      <c r="FR19" s="4">
        <v>45483</v>
      </c>
      <c r="FS19" s="4">
        <f>DATE(YEAR(FR19)+2,MONTH(FR19),DAY(FR19)-1)</f>
        <v>46212</v>
      </c>
      <c r="FT19" s="8">
        <f t="shared" ca="1" si="69"/>
        <v>67</v>
      </c>
      <c r="FU19" s="5" t="str">
        <f t="shared" ca="1" si="70"/>
        <v>POR VENCER</v>
      </c>
      <c r="FV19" s="4"/>
      <c r="FW19" s="4">
        <v>45491</v>
      </c>
      <c r="FX19" s="4">
        <f>DATE(YEAR(FW19)+2,MONTH(FW19),DAY(FW19)-1)</f>
        <v>46220</v>
      </c>
      <c r="FY19" s="8">
        <f t="shared" ca="1" si="71"/>
        <v>75</v>
      </c>
      <c r="FZ19" s="5" t="str">
        <f t="shared" ca="1" si="72"/>
        <v>POR VENCER</v>
      </c>
      <c r="GA19" s="4"/>
      <c r="GB19" s="4">
        <v>45492</v>
      </c>
      <c r="GC19" s="4">
        <f t="shared" ref="GC19:GC24" si="183">DATE(YEAR(GB19)+2,MONTH(GB19),DAY(GB19)-1)</f>
        <v>46221</v>
      </c>
      <c r="GD19" s="8">
        <f t="shared" ca="1" si="73"/>
        <v>76</v>
      </c>
      <c r="GE19" s="5" t="str">
        <f t="shared" ca="1" si="74"/>
        <v>POR VENCER</v>
      </c>
      <c r="GF19" s="4"/>
      <c r="GG19" s="4">
        <v>45475</v>
      </c>
      <c r="GH19" s="4">
        <f>DATE(YEAR(GG19)+2,MONTH(GG19),DAY(GG19)-1)</f>
        <v>46204</v>
      </c>
      <c r="GI19" s="8">
        <f t="shared" ca="1" si="75"/>
        <v>59</v>
      </c>
      <c r="GJ19" s="5" t="str">
        <f t="shared" ca="1" si="76"/>
        <v>POR VENCER</v>
      </c>
      <c r="GK19" s="4"/>
      <c r="GL19" s="4">
        <v>45493</v>
      </c>
      <c r="GM19" s="4">
        <f>DATE(YEAR(GL19)+2,MONTH(GL19),DAY(GL19)-1)</f>
        <v>46222</v>
      </c>
      <c r="GN19" s="8">
        <f t="shared" ca="1" si="77"/>
        <v>77</v>
      </c>
      <c r="GO19" s="5" t="str">
        <f t="shared" ca="1" si="78"/>
        <v>VIGENTE</v>
      </c>
      <c r="GP19" s="4"/>
      <c r="GQ19" s="4">
        <v>45495</v>
      </c>
      <c r="GR19" s="4">
        <f t="shared" si="79"/>
        <v>47321</v>
      </c>
      <c r="GS19" s="8">
        <f t="shared" ca="1" si="176"/>
        <v>1176</v>
      </c>
      <c r="GT19" s="5" t="str">
        <f t="shared" ca="1" si="81"/>
        <v>VIGENTE</v>
      </c>
      <c r="GU19" s="4"/>
      <c r="GV19" s="4">
        <v>45478</v>
      </c>
      <c r="GW19" s="4">
        <f t="shared" si="82"/>
        <v>47304</v>
      </c>
      <c r="GX19" s="8">
        <f t="shared" ca="1" si="83"/>
        <v>1159</v>
      </c>
      <c r="GY19" s="5" t="str">
        <f t="shared" ca="1" si="84"/>
        <v>VIGENTE</v>
      </c>
      <c r="GZ19" s="6"/>
      <c r="HA19" s="4">
        <v>45497</v>
      </c>
      <c r="HB19" s="4">
        <f t="shared" si="85"/>
        <v>47323</v>
      </c>
      <c r="HC19" s="8">
        <f t="shared" ca="1" si="86"/>
        <v>1178</v>
      </c>
      <c r="HD19" s="5" t="str">
        <f t="shared" ca="1" si="87"/>
        <v>VIGENTE</v>
      </c>
      <c r="HE19" s="6"/>
      <c r="HF19" s="4">
        <v>45496</v>
      </c>
      <c r="HG19" s="4">
        <f>DATE(YEAR(HF19)+5,MONTH(HF19),DAY(HF19))</f>
        <v>47322</v>
      </c>
      <c r="HH19" s="8">
        <f ca="1">HG19-TODAY()</f>
        <v>1177</v>
      </c>
      <c r="HI19" s="5" t="str">
        <f t="shared" ca="1" si="177"/>
        <v>VIGENTE</v>
      </c>
      <c r="HJ19" s="6"/>
      <c r="HK19" s="6"/>
      <c r="HL19" s="4"/>
      <c r="HM19" s="8"/>
      <c r="HN19" s="5" t="str">
        <f t="shared" si="91"/>
        <v>NO APLICA</v>
      </c>
      <c r="HO19" s="6"/>
      <c r="HP19" s="6"/>
      <c r="HQ19" s="4"/>
      <c r="HR19" s="6"/>
      <c r="HS19" s="5" t="str">
        <f t="shared" si="92"/>
        <v>NO APLICA</v>
      </c>
      <c r="HT19" s="6"/>
      <c r="HU19" s="6"/>
      <c r="HV19" s="4"/>
      <c r="HW19" s="6"/>
      <c r="HX19" s="5" t="str">
        <f t="shared" si="93"/>
        <v>NO APLICA</v>
      </c>
      <c r="HY19" s="6"/>
      <c r="HZ19" s="6"/>
      <c r="IA19" s="4"/>
      <c r="IB19" s="6"/>
      <c r="IC19" s="5" t="str">
        <f t="shared" si="94"/>
        <v>NO APLICA</v>
      </c>
      <c r="ID19" s="6"/>
      <c r="IE19" s="6"/>
      <c r="IF19" s="4"/>
      <c r="IG19" s="6"/>
      <c r="IH19" s="5" t="str">
        <f t="shared" si="95"/>
        <v>NO APLICA</v>
      </c>
      <c r="II19" s="6"/>
      <c r="IJ19" s="6"/>
      <c r="IK19" s="4"/>
      <c r="IL19" s="6"/>
      <c r="IM19" s="5" t="str">
        <f t="shared" si="96"/>
        <v>NO APLICA</v>
      </c>
      <c r="IN19" s="6"/>
      <c r="IO19" s="6"/>
      <c r="IP19" s="4"/>
      <c r="IQ19" s="8"/>
      <c r="IR19" s="5" t="str">
        <f t="shared" si="97"/>
        <v>NO APLICA</v>
      </c>
      <c r="IS19" s="6"/>
      <c r="IT19" s="6"/>
      <c r="IU19" s="4"/>
      <c r="IV19" s="6"/>
      <c r="IW19" s="5" t="str">
        <f t="shared" si="98"/>
        <v>NO APLICA</v>
      </c>
      <c r="IX19" s="6"/>
      <c r="IY19" s="6"/>
      <c r="IZ19" s="4"/>
      <c r="JA19" s="6"/>
      <c r="JB19" s="5" t="str">
        <f t="shared" si="99"/>
        <v>NO APLICA</v>
      </c>
      <c r="JC19" s="3" t="s">
        <v>780</v>
      </c>
      <c r="JD19" s="6"/>
      <c r="JE19" s="6"/>
      <c r="JF19" s="6"/>
      <c r="JG19" s="5"/>
      <c r="JH19" s="3" t="s">
        <v>780</v>
      </c>
      <c r="JI19" s="6"/>
      <c r="JJ19" s="6"/>
      <c r="JK19" s="6"/>
      <c r="JL19" s="5"/>
      <c r="JM19" s="6" t="s">
        <v>780</v>
      </c>
      <c r="JN19" s="4"/>
      <c r="JO19" s="6"/>
      <c r="JP19" s="6"/>
      <c r="JQ19" s="5"/>
      <c r="JR19" s="6" t="s">
        <v>780</v>
      </c>
      <c r="JS19" s="6"/>
      <c r="JT19" s="6"/>
      <c r="JU19" s="6"/>
      <c r="JV19" s="5"/>
      <c r="JW19" s="6" t="s">
        <v>780</v>
      </c>
      <c r="JX19" s="3"/>
      <c r="JY19" s="4"/>
      <c r="JZ19" s="8"/>
      <c r="KA19" s="5"/>
      <c r="KB19" s="5"/>
      <c r="KC19" s="6"/>
      <c r="KD19" s="4"/>
      <c r="KE19" s="6"/>
      <c r="KF19" s="5" t="str">
        <f t="shared" si="135"/>
        <v>NO APLICA</v>
      </c>
      <c r="KG19" s="5"/>
      <c r="KH19" s="6"/>
      <c r="KI19" s="4"/>
      <c r="KJ19" s="6"/>
      <c r="KK19" s="5" t="str">
        <f t="shared" si="136"/>
        <v>NO APLICA</v>
      </c>
      <c r="KL19" s="5"/>
      <c r="KM19" s="6"/>
      <c r="KN19" s="4"/>
      <c r="KO19" s="6"/>
      <c r="KP19" s="5" t="str">
        <f t="shared" si="100"/>
        <v>NO APLICA</v>
      </c>
      <c r="KQ19" s="5"/>
      <c r="KR19" s="2"/>
      <c r="KS19" s="2"/>
      <c r="KT19" s="2"/>
      <c r="KU19" s="5" t="str">
        <f t="shared" si="137"/>
        <v>NO APLICA</v>
      </c>
      <c r="KV19" s="6"/>
      <c r="KW19" s="6"/>
      <c r="KX19" s="4"/>
      <c r="KY19" s="6"/>
      <c r="KZ19" s="5" t="str">
        <f t="shared" si="151"/>
        <v>NO APLICA</v>
      </c>
      <c r="LA19" s="5"/>
      <c r="LB19" s="6"/>
      <c r="LC19" s="4"/>
      <c r="LD19" s="6"/>
      <c r="LE19" s="5" t="str">
        <f t="shared" si="138"/>
        <v>NO APLICA</v>
      </c>
      <c r="LF19" s="6"/>
      <c r="LG19" s="6"/>
      <c r="LH19" s="6"/>
      <c r="LI19" s="6"/>
      <c r="LJ19" s="5" t="str">
        <f t="shared" si="101"/>
        <v>NO APLICA</v>
      </c>
      <c r="LK19" s="5"/>
      <c r="LL19" s="5"/>
      <c r="LM19" s="5"/>
      <c r="LN19" s="5"/>
      <c r="LO19" s="5" t="str">
        <f t="shared" si="152"/>
        <v>NO APLICA</v>
      </c>
      <c r="LP19" s="6"/>
      <c r="LQ19" s="6"/>
      <c r="LR19" s="4"/>
      <c r="LS19" s="8"/>
      <c r="LT19" s="5" t="str">
        <f t="shared" si="139"/>
        <v>NO APLICA</v>
      </c>
      <c r="LU19" s="6"/>
      <c r="LV19" s="6"/>
      <c r="LW19" s="4"/>
      <c r="LX19" s="6"/>
      <c r="LY19" s="5" t="str">
        <f t="shared" si="140"/>
        <v>NO APLICA</v>
      </c>
      <c r="LZ19" s="6"/>
      <c r="MA19" s="6"/>
      <c r="MB19" s="4"/>
      <c r="MC19" s="6"/>
      <c r="MD19" s="5" t="str">
        <f t="shared" si="141"/>
        <v>NO APLICA</v>
      </c>
      <c r="ME19" s="6"/>
      <c r="MF19" s="6"/>
      <c r="MG19" s="4"/>
      <c r="MH19" s="6"/>
      <c r="MI19" s="5" t="str">
        <f t="shared" si="102"/>
        <v>NO APLICA</v>
      </c>
      <c r="MJ19" s="6"/>
      <c r="MK19" s="6"/>
      <c r="ML19" s="4"/>
      <c r="MM19" s="6"/>
      <c r="MN19" s="5" t="str">
        <f t="shared" si="103"/>
        <v>NO APLICA</v>
      </c>
      <c r="MO19" s="5"/>
      <c r="MP19" s="6"/>
      <c r="MQ19" s="4"/>
      <c r="MR19" s="6"/>
      <c r="MS19" s="5" t="str">
        <f t="shared" si="104"/>
        <v>NO APLICA</v>
      </c>
      <c r="MT19" s="5"/>
      <c r="MU19" s="6"/>
      <c r="MV19" s="6"/>
      <c r="MW19" s="6"/>
      <c r="MX19" s="5" t="str">
        <f t="shared" si="105"/>
        <v>NO APLICA</v>
      </c>
      <c r="MY19" s="6"/>
      <c r="MZ19" s="6"/>
      <c r="NA19" s="4"/>
      <c r="NB19" s="6"/>
      <c r="NC19" s="5" t="str">
        <f t="shared" si="106"/>
        <v>NO APLICA</v>
      </c>
      <c r="ND19" s="6"/>
      <c r="NE19" s="6"/>
      <c r="NF19" s="4"/>
      <c r="NG19" s="6"/>
      <c r="NH19" s="5" t="str">
        <f t="shared" si="107"/>
        <v>NO APLICA</v>
      </c>
      <c r="NI19" s="6"/>
      <c r="NJ19" s="6"/>
      <c r="NK19" s="4"/>
      <c r="NL19" s="6"/>
      <c r="NM19" s="5" t="str">
        <f t="shared" si="108"/>
        <v>NO APLICA</v>
      </c>
      <c r="NN19" s="6"/>
      <c r="NO19" s="6"/>
      <c r="NP19" s="4"/>
      <c r="NQ19" s="6"/>
      <c r="NR19" s="5" t="str">
        <f t="shared" si="109"/>
        <v>NO APLICA</v>
      </c>
      <c r="NS19" s="6"/>
      <c r="NT19" s="6"/>
      <c r="NU19" s="4"/>
      <c r="NV19" s="6"/>
      <c r="NW19" s="5" t="str">
        <f t="shared" si="110"/>
        <v>NO APLICA</v>
      </c>
      <c r="NX19" s="6"/>
      <c r="NY19" s="6"/>
      <c r="NZ19" s="4"/>
      <c r="OA19" s="8"/>
      <c r="OB19" s="5" t="str">
        <f t="shared" si="111"/>
        <v>NO APLICA</v>
      </c>
      <c r="OC19" s="6"/>
      <c r="OD19" s="6"/>
      <c r="OE19" s="6"/>
      <c r="OF19" s="6"/>
      <c r="OG19" s="5" t="str">
        <f t="shared" si="112"/>
        <v>NO APLICA</v>
      </c>
      <c r="OH19" s="6"/>
      <c r="OI19" s="6"/>
      <c r="OJ19" s="6"/>
      <c r="OK19" s="6"/>
      <c r="OL19" s="5" t="str">
        <f t="shared" si="113"/>
        <v>NO APLICA</v>
      </c>
      <c r="OM19" s="6"/>
      <c r="ON19" s="4">
        <v>45481</v>
      </c>
      <c r="OO19" s="4">
        <f>DATE(YEAR(ON19)+2,MONTH(ON19),DAY(ON19))</f>
        <v>46211</v>
      </c>
      <c r="OP19" s="8">
        <f ca="1">OO19-TODAY()</f>
        <v>66</v>
      </c>
      <c r="OQ19" s="5" t="str">
        <f t="shared" ca="1" si="114"/>
        <v>VIGENTE</v>
      </c>
      <c r="OR19" s="6"/>
      <c r="OS19" s="4"/>
      <c r="OT19" s="4"/>
      <c r="OU19" s="8"/>
      <c r="OV19" s="5" t="str">
        <f t="shared" si="115"/>
        <v>NO APLICA</v>
      </c>
      <c r="OW19" s="6"/>
      <c r="OX19" s="4"/>
      <c r="OY19" s="4"/>
      <c r="OZ19" s="8"/>
      <c r="PA19" s="5" t="str">
        <f t="shared" si="116"/>
        <v>NO APLICA</v>
      </c>
      <c r="PB19" s="6"/>
      <c r="PC19" s="4"/>
      <c r="PD19" s="4"/>
      <c r="PE19" s="8"/>
      <c r="PF19" s="5" t="str">
        <f t="shared" si="117"/>
        <v>NO APLICA</v>
      </c>
      <c r="PG19" s="6"/>
      <c r="PH19" s="4"/>
      <c r="PI19" s="4"/>
      <c r="PJ19" s="8"/>
      <c r="PK19" s="5" t="str">
        <f t="shared" si="118"/>
        <v>NO APLICA</v>
      </c>
      <c r="PL19" s="5"/>
      <c r="PM19" s="6"/>
      <c r="PN19" s="6"/>
      <c r="PO19" s="6"/>
      <c r="PP19" s="5" t="str">
        <f t="shared" si="119"/>
        <v>NO APLICA</v>
      </c>
      <c r="PQ19" s="6"/>
      <c r="PR19" s="4"/>
      <c r="PS19" s="4"/>
      <c r="PT19" s="8"/>
      <c r="PU19" s="5" t="str">
        <f t="shared" si="120"/>
        <v>NO APLICA</v>
      </c>
      <c r="PV19" s="5"/>
      <c r="PW19" s="4">
        <v>46126</v>
      </c>
      <c r="PX19" s="4">
        <f t="shared" si="179"/>
        <v>46491</v>
      </c>
      <c r="PY19" s="8">
        <f t="shared" ca="1" si="180"/>
        <v>346</v>
      </c>
      <c r="PZ19" s="5" t="str">
        <f t="shared" ca="1" si="121"/>
        <v>VIGENTE</v>
      </c>
    </row>
    <row r="20" spans="1:442" ht="15.6" hidden="1" thickTop="1" thickBot="1" x14ac:dyDescent="0.35">
      <c r="A20" s="26">
        <v>17</v>
      </c>
      <c r="B20" s="27">
        <v>1481</v>
      </c>
      <c r="C20" s="28" t="s">
        <v>121</v>
      </c>
      <c r="D20" s="29" t="s">
        <v>68</v>
      </c>
      <c r="E20" s="30" t="s">
        <v>122</v>
      </c>
      <c r="F20" s="2"/>
      <c r="G20" s="6"/>
      <c r="H20" s="4"/>
      <c r="I20" s="8"/>
      <c r="J20" s="5" t="str">
        <f t="shared" si="0"/>
        <v>NO APLICA</v>
      </c>
      <c r="K20" s="5"/>
      <c r="L20" s="6"/>
      <c r="M20" s="6"/>
      <c r="N20" s="8"/>
      <c r="O20" s="5" t="str">
        <f t="shared" si="1"/>
        <v>NO APLICA</v>
      </c>
      <c r="P20" s="6"/>
      <c r="Q20" s="6"/>
      <c r="R20" s="4"/>
      <c r="S20" s="8"/>
      <c r="T20" s="5" t="str">
        <f t="shared" si="122"/>
        <v>NO APLICA</v>
      </c>
      <c r="U20" s="5"/>
      <c r="V20" s="2" t="s">
        <v>123</v>
      </c>
      <c r="W20" s="4">
        <v>45500</v>
      </c>
      <c r="X20" s="4">
        <f t="shared" si="2"/>
        <v>47326</v>
      </c>
      <c r="Y20" s="8">
        <f t="shared" ca="1" si="3"/>
        <v>1181</v>
      </c>
      <c r="Z20" s="5" t="str">
        <f t="shared" ca="1" si="4"/>
        <v>VIGENTE</v>
      </c>
      <c r="AA20" s="5"/>
      <c r="AB20" s="2" t="s">
        <v>124</v>
      </c>
      <c r="AC20" s="4">
        <v>44824</v>
      </c>
      <c r="AD20" s="4">
        <f>DATE(YEAR(AC20)+5,MONTH(AC20),DAY(AC20))</f>
        <v>46650</v>
      </c>
      <c r="AE20" s="8">
        <f ca="1">AD20-TODAY()</f>
        <v>505</v>
      </c>
      <c r="AF20" s="5" t="str">
        <f t="shared" ca="1" si="7"/>
        <v>VIGENTE</v>
      </c>
      <c r="AG20" s="3"/>
      <c r="AH20" s="4">
        <v>45594</v>
      </c>
      <c r="AI20" s="4">
        <f>DATE(YEAR(AH20)+2,MONTH(AH20),DAY(AH20)-1)</f>
        <v>46323</v>
      </c>
      <c r="AJ20" s="8">
        <f t="shared" ca="1" si="8"/>
        <v>178</v>
      </c>
      <c r="AK20" s="5" t="str">
        <f t="shared" ca="1" si="9"/>
        <v>VIGENTE</v>
      </c>
      <c r="AL20" s="3"/>
      <c r="AM20" s="4">
        <v>45959</v>
      </c>
      <c r="AN20" s="4">
        <f t="shared" ref="AN20:AN26" si="184">DATE(YEAR(AM20)+2,MONTH(AM20),DAY(AM20))</f>
        <v>46689</v>
      </c>
      <c r="AO20" s="8">
        <f t="shared" ca="1" si="10"/>
        <v>544</v>
      </c>
      <c r="AP20" s="5" t="str">
        <f t="shared" ca="1" si="11"/>
        <v>VIGENTE</v>
      </c>
      <c r="AQ20" s="3"/>
      <c r="AR20" s="4">
        <v>45967</v>
      </c>
      <c r="AS20" s="4">
        <f t="shared" si="178"/>
        <v>46697</v>
      </c>
      <c r="AT20" s="8">
        <f t="shared" ca="1" si="12"/>
        <v>552</v>
      </c>
      <c r="AU20" s="5" t="str">
        <f t="shared" ca="1" si="13"/>
        <v>VIGENTE</v>
      </c>
      <c r="AV20" s="3"/>
      <c r="AW20" s="4">
        <v>45927</v>
      </c>
      <c r="AX20" s="4">
        <f>DATE(YEAR(AW20)+2,MONTH(AW20),DAY(AW20))</f>
        <v>46657</v>
      </c>
      <c r="AY20" s="8">
        <f t="shared" ca="1" si="15"/>
        <v>512</v>
      </c>
      <c r="AZ20" s="5" t="str">
        <f t="shared" ca="1" si="16"/>
        <v>VIGENTE</v>
      </c>
      <c r="BA20" s="3"/>
      <c r="BB20" s="4">
        <v>45930</v>
      </c>
      <c r="BC20" s="4">
        <f>DATE(YEAR(BB20)+2,MONTH(BB20),DAY(BB20))</f>
        <v>46660</v>
      </c>
      <c r="BD20" s="8">
        <f t="shared" ca="1" si="17"/>
        <v>515</v>
      </c>
      <c r="BE20" s="5" t="str">
        <f t="shared" ca="1" si="18"/>
        <v>VIGENTE</v>
      </c>
      <c r="BF20" s="3"/>
      <c r="BG20" s="4">
        <v>45968</v>
      </c>
      <c r="BH20" s="4">
        <f>DATE(YEAR(BG20)+2,MONTH(BG20),DAY(BG20))</f>
        <v>46698</v>
      </c>
      <c r="BI20" s="8">
        <f t="shared" ca="1" si="19"/>
        <v>553</v>
      </c>
      <c r="BJ20" s="5" t="str">
        <f t="shared" ca="1" si="20"/>
        <v>VIGENTE</v>
      </c>
      <c r="BK20" s="3"/>
      <c r="BL20" s="4">
        <v>46051</v>
      </c>
      <c r="BM20" s="4">
        <f>DATE(YEAR(BL20)+2,MONTH(BL20),DAY(BL20))</f>
        <v>46781</v>
      </c>
      <c r="BN20" s="8">
        <f t="shared" ca="1" si="21"/>
        <v>636</v>
      </c>
      <c r="BO20" s="5" t="str">
        <f t="shared" ca="1" si="22"/>
        <v>VIGENTE</v>
      </c>
      <c r="BP20" s="3"/>
      <c r="BQ20" s="39">
        <v>46069</v>
      </c>
      <c r="BR20" s="4">
        <f>DATE(YEAR(BQ20)+2,MONTH(BQ20),DAY(BQ20))</f>
        <v>46799</v>
      </c>
      <c r="BS20" s="8">
        <f t="shared" ca="1" si="23"/>
        <v>654</v>
      </c>
      <c r="BT20" s="5" t="str">
        <f t="shared" ca="1" si="24"/>
        <v>VIGENTE</v>
      </c>
      <c r="BU20" s="3"/>
      <c r="BV20" s="4">
        <v>46116</v>
      </c>
      <c r="BW20" s="4">
        <f t="shared" ref="BW20:BW30" si="185">DATE(YEAR(BV20)+2,MONTH(BV20),DAY(BV20)-1)</f>
        <v>46846</v>
      </c>
      <c r="BX20" s="8">
        <f t="shared" ca="1" si="25"/>
        <v>701</v>
      </c>
      <c r="BY20" s="5" t="str">
        <f t="shared" ca="1" si="26"/>
        <v>VIGENTE</v>
      </c>
      <c r="BZ20" s="3"/>
      <c r="CA20" s="4">
        <v>45944</v>
      </c>
      <c r="CB20" s="4">
        <f t="shared" ref="CB20:CB25" si="186">DATE(YEAR(CA20)+2,MONTH(CA20),DAY(CA20))</f>
        <v>46674</v>
      </c>
      <c r="CC20" s="8">
        <f t="shared" ca="1" si="27"/>
        <v>529</v>
      </c>
      <c r="CD20" s="5" t="str">
        <f t="shared" ca="1" si="28"/>
        <v>VIGENTE</v>
      </c>
      <c r="CE20" s="6"/>
      <c r="CF20" s="4">
        <v>45301</v>
      </c>
      <c r="CG20" s="4">
        <f t="shared" si="29"/>
        <v>46762</v>
      </c>
      <c r="CH20" s="8">
        <f t="shared" ca="1" si="30"/>
        <v>617</v>
      </c>
      <c r="CI20" s="5" t="str">
        <f t="shared" ca="1" si="31"/>
        <v>VIGENTE</v>
      </c>
      <c r="CJ20" s="4"/>
      <c r="CK20" s="4">
        <v>45511</v>
      </c>
      <c r="CL20" s="4">
        <f t="shared" si="175"/>
        <v>46240</v>
      </c>
      <c r="CM20" s="8">
        <f t="shared" ca="1" si="32"/>
        <v>95</v>
      </c>
      <c r="CN20" s="5" t="str">
        <f t="shared" ca="1" si="33"/>
        <v>VIGENTE</v>
      </c>
      <c r="CO20" s="3"/>
      <c r="CP20" s="39">
        <v>45979</v>
      </c>
      <c r="CQ20" s="4">
        <f>DATE(YEAR(CP20)+2,MONTH(CP20),DAY(CP20))</f>
        <v>46709</v>
      </c>
      <c r="CR20" s="8">
        <f t="shared" ca="1" si="34"/>
        <v>564</v>
      </c>
      <c r="CS20" s="5" t="str">
        <f t="shared" ca="1" si="35"/>
        <v>VIGENTE</v>
      </c>
      <c r="CT20" s="3"/>
      <c r="CU20" s="4">
        <v>45645</v>
      </c>
      <c r="CV20" s="4">
        <f>DATE(YEAR(CU20)+2,MONTH(CU20),DAY(CU20)-1)</f>
        <v>46374</v>
      </c>
      <c r="CW20" s="8">
        <f t="shared" ca="1" si="36"/>
        <v>229</v>
      </c>
      <c r="CX20" s="5" t="str">
        <f t="shared" ca="1" si="37"/>
        <v>VIGENTE</v>
      </c>
      <c r="CY20" s="3"/>
      <c r="CZ20" s="4">
        <v>45661</v>
      </c>
      <c r="DA20" s="4">
        <f>DATE(YEAR(CZ20)+2,MONTH(CZ20),DAY(CZ20)-1)</f>
        <v>46390</v>
      </c>
      <c r="DB20" s="8">
        <f t="shared" ca="1" si="38"/>
        <v>245</v>
      </c>
      <c r="DC20" s="5" t="str">
        <f t="shared" ca="1" si="39"/>
        <v>VIGENTE</v>
      </c>
      <c r="DD20" s="3"/>
      <c r="DE20" s="39">
        <v>45689</v>
      </c>
      <c r="DF20" s="4">
        <f>DATE(YEAR(DE20)+2,MONTH(DE20),DAY(DE20)-1)</f>
        <v>46418</v>
      </c>
      <c r="DG20" s="8">
        <f t="shared" ca="1" si="40"/>
        <v>273</v>
      </c>
      <c r="DH20" s="5" t="str">
        <f t="shared" ca="1" si="41"/>
        <v>VIGENTE</v>
      </c>
      <c r="DI20" s="3"/>
      <c r="DJ20" s="39">
        <v>45924</v>
      </c>
      <c r="DK20" s="4">
        <f>DATE(YEAR(DJ20)+2,MONTH(DJ20),DAY(DJ20))</f>
        <v>46654</v>
      </c>
      <c r="DL20" s="8">
        <f t="shared" ca="1" si="43"/>
        <v>509</v>
      </c>
      <c r="DM20" s="5" t="str">
        <f t="shared" ca="1" si="44"/>
        <v>VIGENTE</v>
      </c>
      <c r="DN20" s="3"/>
      <c r="DO20" s="4">
        <v>46008</v>
      </c>
      <c r="DP20" s="4">
        <f>DATE(YEAR(DO20)+2,MONTH(DO20),DAY(DO20))</f>
        <v>46738</v>
      </c>
      <c r="DQ20" s="8">
        <f t="shared" ca="1" si="46"/>
        <v>593</v>
      </c>
      <c r="DR20" s="5" t="str">
        <f t="shared" ca="1" si="47"/>
        <v>VIGENTE</v>
      </c>
      <c r="DS20" s="3"/>
      <c r="DT20" s="4">
        <v>45918</v>
      </c>
      <c r="DU20" s="4">
        <f>DATE(YEAR(DT20)+2,MONTH(DT20),DAY(DT20))</f>
        <v>46648</v>
      </c>
      <c r="DV20" s="8">
        <f t="shared" ca="1" si="48"/>
        <v>503</v>
      </c>
      <c r="DW20" s="5" t="str">
        <f t="shared" ca="1" si="49"/>
        <v>VIGENTE</v>
      </c>
      <c r="DX20" s="3"/>
      <c r="DY20" s="4">
        <v>45934</v>
      </c>
      <c r="DZ20" s="4">
        <f>DATE(YEAR(DY20)+2,MONTH(DY20),DAY(DY20))</f>
        <v>46664</v>
      </c>
      <c r="EA20" s="8">
        <f t="shared" ca="1" si="50"/>
        <v>519</v>
      </c>
      <c r="EB20" s="5" t="str">
        <f t="shared" ca="1" si="51"/>
        <v>VIGENTE</v>
      </c>
      <c r="EC20" s="3"/>
      <c r="ED20" s="39">
        <v>45829</v>
      </c>
      <c r="EE20" s="4">
        <f>DATE(YEAR(ED20)+2,MONTH(ED20),DAY(ED20))</f>
        <v>46559</v>
      </c>
      <c r="EF20" s="8">
        <f t="shared" ca="1" si="52"/>
        <v>414</v>
      </c>
      <c r="EG20" s="5" t="str">
        <f t="shared" ca="1" si="53"/>
        <v>VIGENTE</v>
      </c>
      <c r="EH20" s="3"/>
      <c r="EI20" s="4">
        <v>45948</v>
      </c>
      <c r="EJ20" s="4">
        <f t="shared" si="131"/>
        <v>46313</v>
      </c>
      <c r="EK20" s="8">
        <f t="shared" ca="1" si="54"/>
        <v>168</v>
      </c>
      <c r="EL20" s="5" t="str">
        <f t="shared" ca="1" si="55"/>
        <v>VIGENTE</v>
      </c>
      <c r="EM20" s="3"/>
      <c r="EN20" s="4">
        <v>45737</v>
      </c>
      <c r="EO20" s="4">
        <f t="shared" si="181"/>
        <v>46466</v>
      </c>
      <c r="EP20" s="8">
        <f t="shared" ca="1" si="56"/>
        <v>321</v>
      </c>
      <c r="EQ20" s="5" t="str">
        <f t="shared" ca="1" si="57"/>
        <v>VIGENTE</v>
      </c>
      <c r="ER20" s="3"/>
      <c r="ES20" s="39">
        <v>45755</v>
      </c>
      <c r="ET20" s="4">
        <f t="shared" si="182"/>
        <v>46484</v>
      </c>
      <c r="EU20" s="8">
        <f t="shared" ca="1" si="58"/>
        <v>339</v>
      </c>
      <c r="EV20" s="5" t="str">
        <f t="shared" ca="1" si="59"/>
        <v>VIGENTE</v>
      </c>
      <c r="EW20" s="3"/>
      <c r="EX20" s="4">
        <v>45953</v>
      </c>
      <c r="EY20" s="4">
        <f>DATE(YEAR(EX20)+2,MONTH(EX20),DAY(EX20))</f>
        <v>46683</v>
      </c>
      <c r="EZ20" s="8">
        <f t="shared" ca="1" si="60"/>
        <v>538</v>
      </c>
      <c r="FA20" s="5" t="str">
        <f t="shared" ca="1" si="61"/>
        <v>VIGENTE</v>
      </c>
      <c r="FB20" s="3"/>
      <c r="FC20" s="4">
        <v>45951</v>
      </c>
      <c r="FD20" s="4">
        <f t="shared" si="174"/>
        <v>46681</v>
      </c>
      <c r="FE20" s="8">
        <f t="shared" ca="1" si="62"/>
        <v>536</v>
      </c>
      <c r="FF20" s="5" t="str">
        <f t="shared" ca="1" si="63"/>
        <v>VIGENTE</v>
      </c>
      <c r="FG20" s="3"/>
      <c r="FH20" s="4">
        <v>45969</v>
      </c>
      <c r="FI20" s="4">
        <f>DATE(YEAR(FH20)+2,MONTH(FH20),DAY(FH20))</f>
        <v>46699</v>
      </c>
      <c r="FJ20" s="8">
        <f t="shared" ca="1" si="64"/>
        <v>554</v>
      </c>
      <c r="FK20" s="5" t="str">
        <f t="shared" ca="1" si="65"/>
        <v>VIGENTE</v>
      </c>
      <c r="FL20" s="3"/>
      <c r="FM20" s="39">
        <v>46049</v>
      </c>
      <c r="FN20" s="4">
        <f>DATE(YEAR(FM20)+2,MONTH(FM20),DAY(FM20))</f>
        <v>46779</v>
      </c>
      <c r="FO20" s="8">
        <f t="shared" ca="1" si="67"/>
        <v>634</v>
      </c>
      <c r="FP20" s="5" t="str">
        <f t="shared" ca="1" si="68"/>
        <v>VIGENTE</v>
      </c>
      <c r="FQ20" s="3"/>
      <c r="FR20" s="39">
        <v>46013</v>
      </c>
      <c r="FS20" s="4">
        <f>DATE(YEAR(FR20)+2,MONTH(FR20),DAY(FR20))</f>
        <v>46743</v>
      </c>
      <c r="FT20" s="8">
        <f t="shared" ca="1" si="69"/>
        <v>598</v>
      </c>
      <c r="FU20" s="5" t="str">
        <f t="shared" ca="1" si="70"/>
        <v>VIGENTE</v>
      </c>
      <c r="FV20" s="4"/>
      <c r="FW20" s="4">
        <v>45536</v>
      </c>
      <c r="FX20" s="4">
        <f>DATE(YEAR(FW20)+2,MONTH(FW20),DAY(FW20)-1)</f>
        <v>46265</v>
      </c>
      <c r="FY20" s="8">
        <f t="shared" ca="1" si="71"/>
        <v>120</v>
      </c>
      <c r="FZ20" s="5" t="str">
        <f t="shared" ca="1" si="72"/>
        <v>VIGENTE</v>
      </c>
      <c r="GA20" s="3"/>
      <c r="GB20" s="4">
        <v>45469</v>
      </c>
      <c r="GC20" s="4">
        <f t="shared" si="183"/>
        <v>46198</v>
      </c>
      <c r="GD20" s="8">
        <f t="shared" ca="1" si="73"/>
        <v>53</v>
      </c>
      <c r="GE20" s="5" t="str">
        <f t="shared" ca="1" si="74"/>
        <v>POR VENCER</v>
      </c>
      <c r="GF20" s="3"/>
      <c r="GG20" s="4">
        <v>45960</v>
      </c>
      <c r="GH20" s="4">
        <f>DATE(YEAR(GG20)+2,MONTH(GG20),DAY(GG20))</f>
        <v>46690</v>
      </c>
      <c r="GI20" s="8">
        <f t="shared" ca="1" si="75"/>
        <v>545</v>
      </c>
      <c r="GJ20" s="5" t="str">
        <f t="shared" ca="1" si="76"/>
        <v>VIGENTE</v>
      </c>
      <c r="GK20" s="3"/>
      <c r="GL20" s="4">
        <v>45945</v>
      </c>
      <c r="GM20" s="4">
        <f>DATE(YEAR(GL20)+2,MONTH(GL20),DAY(GL20))</f>
        <v>46675</v>
      </c>
      <c r="GN20" s="8">
        <f t="shared" ca="1" si="77"/>
        <v>530</v>
      </c>
      <c r="GO20" s="5" t="str">
        <f t="shared" ca="1" si="78"/>
        <v>VIGENTE</v>
      </c>
      <c r="GP20" s="4"/>
      <c r="GQ20" s="4">
        <v>45283</v>
      </c>
      <c r="GR20" s="4">
        <f t="shared" si="79"/>
        <v>47110</v>
      </c>
      <c r="GS20" s="8">
        <f t="shared" ca="1" si="176"/>
        <v>965</v>
      </c>
      <c r="GT20" s="5" t="str">
        <f t="shared" ca="1" si="81"/>
        <v>VIGENTE</v>
      </c>
      <c r="GU20" s="3"/>
      <c r="GV20" s="4">
        <v>45195</v>
      </c>
      <c r="GW20" s="4">
        <f t="shared" si="82"/>
        <v>47022</v>
      </c>
      <c r="GX20" s="8">
        <f t="shared" ca="1" si="83"/>
        <v>877</v>
      </c>
      <c r="GY20" s="5" t="str">
        <f t="shared" ca="1" si="84"/>
        <v>VIGENTE</v>
      </c>
      <c r="GZ20" s="3"/>
      <c r="HA20" s="4">
        <v>45268</v>
      </c>
      <c r="HB20" s="4">
        <f t="shared" si="85"/>
        <v>47095</v>
      </c>
      <c r="HC20" s="8">
        <f t="shared" ca="1" si="86"/>
        <v>950</v>
      </c>
      <c r="HD20" s="5" t="str">
        <f t="shared" ca="1" si="87"/>
        <v>VIGENTE</v>
      </c>
      <c r="HE20" s="6"/>
      <c r="HF20" s="4">
        <v>44900</v>
      </c>
      <c r="HG20" s="4">
        <f>DATE(YEAR(HF20)+5,MONTH(HF20),DAY(HF20))</f>
        <v>46726</v>
      </c>
      <c r="HH20" s="8">
        <f ca="1">HG20-TODAY()</f>
        <v>581</v>
      </c>
      <c r="HI20" s="5" t="str">
        <f t="shared" ca="1" si="177"/>
        <v>VIGENTE</v>
      </c>
      <c r="HJ20" s="2"/>
      <c r="HK20" s="4">
        <v>45331</v>
      </c>
      <c r="HL20" s="4">
        <f>DATE(YEAR(HK20)+5,MONTH(HK20),DAY(HK20))</f>
        <v>47158</v>
      </c>
      <c r="HM20" s="8">
        <f ca="1">HL20-TODAY()</f>
        <v>1013</v>
      </c>
      <c r="HN20" s="5" t="str">
        <f t="shared" ca="1" si="91"/>
        <v>VIGENTE</v>
      </c>
      <c r="HO20" s="2"/>
      <c r="HP20" s="3">
        <v>45374</v>
      </c>
      <c r="HQ20" s="4">
        <f>DATE(YEAR(HP20)+5,MONTH(HP20),DAY(HP20))</f>
        <v>47200</v>
      </c>
      <c r="HR20" s="8">
        <f ca="1">HQ20-TODAY()</f>
        <v>1055</v>
      </c>
      <c r="HS20" s="5" t="str">
        <f t="shared" ca="1" si="92"/>
        <v>VIGENTE</v>
      </c>
      <c r="HT20" s="3"/>
      <c r="HU20" s="4">
        <v>45440</v>
      </c>
      <c r="HV20" s="4">
        <f>DATE(YEAR(HU20)+5,MONTH(HU20),DAY(HU20))</f>
        <v>47266</v>
      </c>
      <c r="HW20" s="8">
        <f ca="1">HV20-TODAY()</f>
        <v>1121</v>
      </c>
      <c r="HX20" s="5" t="str">
        <f t="shared" ca="1" si="93"/>
        <v>VIGENTE</v>
      </c>
      <c r="HY20" s="3"/>
      <c r="HZ20" s="4">
        <v>45194</v>
      </c>
      <c r="IA20" s="4">
        <f>DATE(YEAR(HZ20)+5,MONTH(HZ20),DAY(HZ20))</f>
        <v>47021</v>
      </c>
      <c r="IB20" s="8">
        <f ca="1">IA20-TODAY()</f>
        <v>876</v>
      </c>
      <c r="IC20" s="5" t="str">
        <f t="shared" ca="1" si="94"/>
        <v>VIGENTE</v>
      </c>
      <c r="ID20" s="3"/>
      <c r="IE20" s="4">
        <v>45230</v>
      </c>
      <c r="IF20" s="4">
        <f>DATE(YEAR(IE20)+5,MONTH(IE20),DAY(IE20))</f>
        <v>47057</v>
      </c>
      <c r="IG20" s="8">
        <f ca="1">IF20-TODAY()</f>
        <v>912</v>
      </c>
      <c r="IH20" s="5" t="str">
        <f t="shared" ca="1" si="95"/>
        <v>VIGENTE</v>
      </c>
      <c r="II20" s="4"/>
      <c r="IJ20" s="4">
        <v>45266</v>
      </c>
      <c r="IK20" s="4">
        <f>DATE(YEAR(IJ20)+5,MONTH(IJ20),DAY(IJ20))</f>
        <v>47093</v>
      </c>
      <c r="IL20" s="8">
        <f ca="1">IK20-TODAY()</f>
        <v>948</v>
      </c>
      <c r="IM20" s="5" t="str">
        <f t="shared" ca="1" si="96"/>
        <v>VIGENTE</v>
      </c>
      <c r="IN20" s="3"/>
      <c r="IO20" s="4">
        <v>45259</v>
      </c>
      <c r="IP20" s="4">
        <f>DATE(YEAR(IO20)+5,MONTH(IO20),DAY(IO20))</f>
        <v>47086</v>
      </c>
      <c r="IQ20" s="8">
        <f ca="1">IP20-TODAY()</f>
        <v>941</v>
      </c>
      <c r="IR20" s="5" t="str">
        <f t="shared" ca="1" si="97"/>
        <v>VIGENTE</v>
      </c>
      <c r="IS20" s="3"/>
      <c r="IT20" s="4">
        <v>45199</v>
      </c>
      <c r="IU20" s="4">
        <f>DATE(YEAR(IT20)+5,MONTH(IT20),DAY(IT20))</f>
        <v>47026</v>
      </c>
      <c r="IV20" s="8">
        <f ca="1">IU20-TODAY()</f>
        <v>881</v>
      </c>
      <c r="IW20" s="5" t="str">
        <f t="shared" ca="1" si="98"/>
        <v>VIGENTE</v>
      </c>
      <c r="IX20" s="3"/>
      <c r="IY20" s="4">
        <v>45198</v>
      </c>
      <c r="IZ20" s="4">
        <f>DATE(YEAR(IY20)+5,MONTH(IY20),DAY(IY20))</f>
        <v>47025</v>
      </c>
      <c r="JA20" s="8">
        <f ca="1">IZ20-TODAY()</f>
        <v>880</v>
      </c>
      <c r="JB20" s="5" t="str">
        <f t="shared" ca="1" si="99"/>
        <v>VIGENTE</v>
      </c>
      <c r="JC20" s="3" t="s">
        <v>780</v>
      </c>
      <c r="JD20" s="3"/>
      <c r="JE20" s="4"/>
      <c r="JF20" s="8"/>
      <c r="JG20" s="5"/>
      <c r="JH20" s="3" t="s">
        <v>780</v>
      </c>
      <c r="JI20" s="6"/>
      <c r="JJ20" s="6"/>
      <c r="JK20" s="6"/>
      <c r="JL20" s="5"/>
      <c r="JM20" s="6" t="s">
        <v>780</v>
      </c>
      <c r="JN20" s="6"/>
      <c r="JO20" s="6"/>
      <c r="JP20" s="6"/>
      <c r="JQ20" s="5"/>
      <c r="JR20" s="6" t="s">
        <v>780</v>
      </c>
      <c r="JS20" s="6"/>
      <c r="JT20" s="6"/>
      <c r="JU20" s="6"/>
      <c r="JV20" s="5"/>
      <c r="JW20" s="6" t="s">
        <v>780</v>
      </c>
      <c r="JX20" s="5"/>
      <c r="JY20" s="5"/>
      <c r="JZ20" s="5"/>
      <c r="KA20" s="5"/>
      <c r="KB20" s="5"/>
      <c r="KC20" s="2"/>
      <c r="KD20" s="4"/>
      <c r="KE20" s="8"/>
      <c r="KF20" s="5" t="str">
        <f t="shared" si="135"/>
        <v>NO APLICA</v>
      </c>
      <c r="KG20" s="5"/>
      <c r="KH20" s="2"/>
      <c r="KI20" s="4"/>
      <c r="KJ20" s="8"/>
      <c r="KK20" s="5" t="str">
        <f t="shared" si="136"/>
        <v>NO APLICA</v>
      </c>
      <c r="KL20" s="5"/>
      <c r="KM20" s="2"/>
      <c r="KN20" s="4"/>
      <c r="KO20" s="8"/>
      <c r="KP20" s="5" t="str">
        <f t="shared" si="100"/>
        <v>NO APLICA</v>
      </c>
      <c r="KQ20" s="5"/>
      <c r="KR20" s="2"/>
      <c r="KS20" s="4"/>
      <c r="KT20" s="8"/>
      <c r="KU20" s="5" t="str">
        <f t="shared" si="137"/>
        <v>NO APLICA</v>
      </c>
      <c r="KV20" s="2"/>
      <c r="KW20" s="6"/>
      <c r="KX20" s="4"/>
      <c r="KY20" s="8"/>
      <c r="KZ20" s="5" t="str">
        <f t="shared" si="151"/>
        <v>NO APLICA</v>
      </c>
      <c r="LA20" s="5"/>
      <c r="LB20" s="4">
        <v>44613</v>
      </c>
      <c r="LC20" s="4">
        <f>DATE(YEAR(LB20)+5,MONTH(LB20),DAY(LB20))</f>
        <v>46439</v>
      </c>
      <c r="LD20" s="8">
        <f ca="1">LC20-TODAY()</f>
        <v>294</v>
      </c>
      <c r="LE20" s="5" t="str">
        <f t="shared" ca="1" si="138"/>
        <v>VIGENTE</v>
      </c>
      <c r="LF20" s="6"/>
      <c r="LG20" s="4"/>
      <c r="LH20" s="4"/>
      <c r="LI20" s="8"/>
      <c r="LJ20" s="5" t="str">
        <f t="shared" si="101"/>
        <v>NO APLICA</v>
      </c>
      <c r="LK20" s="5"/>
      <c r="LL20" s="5"/>
      <c r="LM20" s="5"/>
      <c r="LN20" s="5"/>
      <c r="LO20" s="5" t="str">
        <f t="shared" si="152"/>
        <v>NO APLICA</v>
      </c>
      <c r="LP20" s="2"/>
      <c r="LQ20" s="6"/>
      <c r="LR20" s="4"/>
      <c r="LS20" s="8"/>
      <c r="LT20" s="5" t="str">
        <f t="shared" si="139"/>
        <v>NO APLICA</v>
      </c>
      <c r="LU20" s="4"/>
      <c r="LV20" s="4">
        <v>44986</v>
      </c>
      <c r="LW20" s="4">
        <f>DATE(YEAR(LV20)+5,MONTH(LV20),DAY(LV20))</f>
        <v>46813</v>
      </c>
      <c r="LX20" s="8">
        <f ca="1">LW20-TODAY()</f>
        <v>668</v>
      </c>
      <c r="LY20" s="5" t="str">
        <f t="shared" ca="1" si="140"/>
        <v>VIGENTE</v>
      </c>
      <c r="LZ20" s="4"/>
      <c r="MA20" s="4">
        <v>44988</v>
      </c>
      <c r="MB20" s="4">
        <f>DATE(YEAR(MA20)+5,MONTH(MA20),DAY(MA20))</f>
        <v>46815</v>
      </c>
      <c r="MC20" s="8">
        <f ca="1">MB20-TODAY()</f>
        <v>670</v>
      </c>
      <c r="MD20" s="5" t="str">
        <f t="shared" ca="1" si="141"/>
        <v>VIGENTE</v>
      </c>
      <c r="ME20" s="2"/>
      <c r="MF20" s="2"/>
      <c r="MG20" s="4"/>
      <c r="MH20" s="8"/>
      <c r="MI20" s="5" t="str">
        <f t="shared" si="102"/>
        <v>NO APLICA</v>
      </c>
      <c r="MJ20" s="2"/>
      <c r="MK20" s="2"/>
      <c r="ML20" s="4"/>
      <c r="MM20" s="8"/>
      <c r="MN20" s="5" t="str">
        <f t="shared" si="103"/>
        <v>NO APLICA</v>
      </c>
      <c r="MO20" s="5"/>
      <c r="MP20" s="2"/>
      <c r="MQ20" s="4"/>
      <c r="MR20" s="8"/>
      <c r="MS20" s="5" t="str">
        <f t="shared" si="104"/>
        <v>NO APLICA</v>
      </c>
      <c r="MT20" s="5"/>
      <c r="MU20" s="2"/>
      <c r="MV20" s="4"/>
      <c r="MW20" s="2"/>
      <c r="MX20" s="5" t="str">
        <f t="shared" si="105"/>
        <v>NO APLICA</v>
      </c>
      <c r="MY20" s="2"/>
      <c r="MZ20" s="6"/>
      <c r="NA20" s="4"/>
      <c r="NB20" s="8"/>
      <c r="NC20" s="5" t="str">
        <f t="shared" si="106"/>
        <v>NO APLICA</v>
      </c>
      <c r="ND20" s="2"/>
      <c r="NE20" s="6"/>
      <c r="NF20" s="4"/>
      <c r="NG20" s="8"/>
      <c r="NH20" s="5" t="str">
        <f t="shared" si="107"/>
        <v>NO APLICA</v>
      </c>
      <c r="NI20" s="2"/>
      <c r="NJ20" s="6"/>
      <c r="NK20" s="4"/>
      <c r="NL20" s="8"/>
      <c r="NM20" s="5" t="str">
        <f t="shared" si="108"/>
        <v>NO APLICA</v>
      </c>
      <c r="NN20" s="2"/>
      <c r="NO20" s="2"/>
      <c r="NP20" s="4"/>
      <c r="NQ20" s="2"/>
      <c r="NR20" s="5" t="str">
        <f t="shared" si="109"/>
        <v>NO APLICA</v>
      </c>
      <c r="NS20" s="2"/>
      <c r="NT20" s="2"/>
      <c r="NU20" s="4"/>
      <c r="NV20" s="2"/>
      <c r="NW20" s="5" t="str">
        <f t="shared" si="110"/>
        <v>NO APLICA</v>
      </c>
      <c r="NX20" s="6"/>
      <c r="NY20" s="6"/>
      <c r="NZ20" s="4"/>
      <c r="OA20" s="8"/>
      <c r="OB20" s="5" t="str">
        <f t="shared" si="111"/>
        <v>NO APLICA</v>
      </c>
      <c r="OC20" s="6"/>
      <c r="OD20" s="6"/>
      <c r="OE20" s="6"/>
      <c r="OF20" s="6"/>
      <c r="OG20" s="5" t="str">
        <f t="shared" si="112"/>
        <v>NO APLICA</v>
      </c>
      <c r="OH20" s="6"/>
      <c r="OI20" s="6"/>
      <c r="OJ20" s="4"/>
      <c r="OK20" s="8"/>
      <c r="OL20" s="5" t="str">
        <f t="shared" si="113"/>
        <v>NO APLICA</v>
      </c>
      <c r="OM20" s="6"/>
      <c r="ON20" s="6"/>
      <c r="OO20" s="6"/>
      <c r="OP20" s="6"/>
      <c r="OQ20" s="5" t="str">
        <f t="shared" si="114"/>
        <v>NO APLICA</v>
      </c>
      <c r="OR20" s="6"/>
      <c r="OS20" s="6"/>
      <c r="OT20" s="6"/>
      <c r="OU20" s="6"/>
      <c r="OV20" s="5" t="str">
        <f t="shared" si="115"/>
        <v>NO APLICA</v>
      </c>
      <c r="OW20" s="6"/>
      <c r="OX20" s="6"/>
      <c r="OY20" s="6"/>
      <c r="OZ20" s="6"/>
      <c r="PA20" s="5" t="str">
        <f t="shared" si="116"/>
        <v>NO APLICA</v>
      </c>
      <c r="PB20" s="6"/>
      <c r="PC20" s="6"/>
      <c r="PD20" s="6"/>
      <c r="PE20" s="6"/>
      <c r="PF20" s="5" t="str">
        <f t="shared" si="117"/>
        <v>NO APLICA</v>
      </c>
      <c r="PG20" s="6"/>
      <c r="PH20" s="6"/>
      <c r="PI20" s="6"/>
      <c r="PJ20" s="6"/>
      <c r="PK20" s="5" t="str">
        <f t="shared" si="118"/>
        <v>NO APLICA</v>
      </c>
      <c r="PL20" s="5"/>
      <c r="PM20" s="6"/>
      <c r="PN20" s="4"/>
      <c r="PO20" s="8"/>
      <c r="PP20" s="5" t="str">
        <f t="shared" si="119"/>
        <v>NO APLICA</v>
      </c>
      <c r="PQ20" s="6"/>
      <c r="PR20" s="6"/>
      <c r="PS20" s="6"/>
      <c r="PT20" s="6"/>
      <c r="PU20" s="5" t="str">
        <f t="shared" si="120"/>
        <v>NO APLICA</v>
      </c>
      <c r="PV20" s="5"/>
      <c r="PW20" s="6"/>
      <c r="PX20" s="6"/>
      <c r="PY20" s="6"/>
      <c r="PZ20" s="5" t="str">
        <f t="shared" si="121"/>
        <v>NO APLICA</v>
      </c>
    </row>
    <row r="21" spans="1:442" ht="15.6" hidden="1" thickTop="1" thickBot="1" x14ac:dyDescent="0.35">
      <c r="A21" s="26">
        <v>18</v>
      </c>
      <c r="B21" s="31">
        <v>1641</v>
      </c>
      <c r="C21" s="28" t="s">
        <v>125</v>
      </c>
      <c r="D21" s="29" t="s">
        <v>113</v>
      </c>
      <c r="E21" s="30" t="s">
        <v>126</v>
      </c>
      <c r="F21" s="3"/>
      <c r="G21" s="4">
        <v>46058</v>
      </c>
      <c r="H21" s="4">
        <f>DATE(YEAR(G21)+2,MONTH(G21),DAY(G21))</f>
        <v>46788</v>
      </c>
      <c r="I21" s="8">
        <f ca="1">H21-TODAY()</f>
        <v>643</v>
      </c>
      <c r="J21" s="5" t="str">
        <f t="shared" ca="1" si="0"/>
        <v>VIGENTE</v>
      </c>
      <c r="K21" s="5"/>
      <c r="L21" s="6"/>
      <c r="M21" s="6"/>
      <c r="N21" s="8"/>
      <c r="O21" s="5" t="str">
        <f t="shared" si="1"/>
        <v>NO APLICA</v>
      </c>
      <c r="P21" s="6"/>
      <c r="Q21" s="6"/>
      <c r="R21" s="4"/>
      <c r="S21" s="8"/>
      <c r="T21" s="5" t="str">
        <f t="shared" si="122"/>
        <v>NO APLICA</v>
      </c>
      <c r="U21" s="5"/>
      <c r="V21" s="2" t="s">
        <v>127</v>
      </c>
      <c r="W21" s="4">
        <v>44944</v>
      </c>
      <c r="X21" s="4">
        <f t="shared" si="2"/>
        <v>46770</v>
      </c>
      <c r="Y21" s="8">
        <f t="shared" ca="1" si="3"/>
        <v>625</v>
      </c>
      <c r="Z21" s="5" t="str">
        <f t="shared" ca="1" si="4"/>
        <v>VIGENTE</v>
      </c>
      <c r="AA21" s="5"/>
      <c r="AB21" s="2"/>
      <c r="AC21" s="6"/>
      <c r="AD21" s="4"/>
      <c r="AE21" s="8"/>
      <c r="AF21" s="5" t="str">
        <f t="shared" si="7"/>
        <v>NO APLICA</v>
      </c>
      <c r="AG21" s="3"/>
      <c r="AH21" s="4">
        <v>45680</v>
      </c>
      <c r="AI21" s="4">
        <f>DATE(YEAR(AH21)+2,MONTH(AH21),DAY(AH21)-1)</f>
        <v>46409</v>
      </c>
      <c r="AJ21" s="8">
        <f t="shared" ca="1" si="8"/>
        <v>264</v>
      </c>
      <c r="AK21" s="5" t="str">
        <f t="shared" ca="1" si="9"/>
        <v>VIGENTE</v>
      </c>
      <c r="AL21" s="3"/>
      <c r="AM21" s="4">
        <v>45838</v>
      </c>
      <c r="AN21" s="4">
        <f t="shared" si="184"/>
        <v>46568</v>
      </c>
      <c r="AO21" s="8">
        <f t="shared" ca="1" si="10"/>
        <v>423</v>
      </c>
      <c r="AP21" s="5" t="str">
        <f t="shared" ca="1" si="11"/>
        <v>VIGENTE</v>
      </c>
      <c r="AQ21" s="3"/>
      <c r="AR21" s="4">
        <v>45845</v>
      </c>
      <c r="AS21" s="4">
        <f t="shared" si="178"/>
        <v>46575</v>
      </c>
      <c r="AT21" s="8">
        <f t="shared" ca="1" si="12"/>
        <v>430</v>
      </c>
      <c r="AU21" s="5" t="str">
        <f t="shared" ca="1" si="13"/>
        <v>VIGENTE</v>
      </c>
      <c r="AV21" s="3"/>
      <c r="AW21" s="4">
        <v>45514</v>
      </c>
      <c r="AX21" s="4">
        <f>DATE(YEAR(AW21)+2,MONTH(AW21),DAY(AW21)-1)</f>
        <v>46243</v>
      </c>
      <c r="AY21" s="8">
        <f t="shared" ca="1" si="15"/>
        <v>98</v>
      </c>
      <c r="AZ21" s="5" t="str">
        <f t="shared" ca="1" si="16"/>
        <v>VIGENTE</v>
      </c>
      <c r="BA21" s="3"/>
      <c r="BB21" s="4">
        <v>45742</v>
      </c>
      <c r="BC21" s="4">
        <f>DATE(YEAR(BB21)+2,MONTH(BB21),DAY(BB21)-1)</f>
        <v>46471</v>
      </c>
      <c r="BD21" s="8">
        <f t="shared" ca="1" si="17"/>
        <v>326</v>
      </c>
      <c r="BE21" s="5" t="str">
        <f t="shared" ca="1" si="18"/>
        <v>VIGENTE</v>
      </c>
      <c r="BF21" s="3"/>
      <c r="BG21" s="4">
        <v>45495</v>
      </c>
      <c r="BH21" s="4">
        <f>DATE(YEAR(BG21)+2,MONTH(BG21),DAY(BG21)-1)</f>
        <v>46224</v>
      </c>
      <c r="BI21" s="8">
        <f t="shared" ca="1" si="19"/>
        <v>79</v>
      </c>
      <c r="BJ21" s="5" t="str">
        <f t="shared" ca="1" si="20"/>
        <v>POR VENCER</v>
      </c>
      <c r="BK21" s="3"/>
      <c r="BL21" s="4">
        <v>45819</v>
      </c>
      <c r="BM21" s="4">
        <f>DATE(YEAR(BL21)+2,MONTH(BL21),DAY(BL21))</f>
        <v>46549</v>
      </c>
      <c r="BN21" s="8">
        <f t="shared" ca="1" si="21"/>
        <v>404</v>
      </c>
      <c r="BO21" s="5" t="str">
        <f t="shared" ca="1" si="22"/>
        <v>VIGENTE</v>
      </c>
      <c r="BP21" s="3"/>
      <c r="BQ21" s="39">
        <v>45604</v>
      </c>
      <c r="BR21" s="4">
        <f>DATE(YEAR(BQ21)+2,MONTH(BQ21),DAY(BQ21)-1)</f>
        <v>46333</v>
      </c>
      <c r="BS21" s="8">
        <f t="shared" ca="1" si="23"/>
        <v>188</v>
      </c>
      <c r="BT21" s="5" t="str">
        <f t="shared" ca="1" si="24"/>
        <v>VIGENTE</v>
      </c>
      <c r="BU21" s="2"/>
      <c r="BV21" s="4">
        <v>45736</v>
      </c>
      <c r="BW21" s="4">
        <f t="shared" si="185"/>
        <v>46465</v>
      </c>
      <c r="BX21" s="8">
        <f t="shared" ca="1" si="25"/>
        <v>320</v>
      </c>
      <c r="BY21" s="5" t="str">
        <f t="shared" ca="1" si="26"/>
        <v>VIGENTE</v>
      </c>
      <c r="BZ21" s="3"/>
      <c r="CA21" s="4">
        <v>45818</v>
      </c>
      <c r="CB21" s="4">
        <f t="shared" si="186"/>
        <v>46548</v>
      </c>
      <c r="CC21" s="8">
        <f t="shared" ca="1" si="27"/>
        <v>403</v>
      </c>
      <c r="CD21" s="5" t="str">
        <f t="shared" ca="1" si="28"/>
        <v>VIGENTE</v>
      </c>
      <c r="CE21" s="6"/>
      <c r="CF21" s="4">
        <v>45832</v>
      </c>
      <c r="CG21" s="4">
        <f t="shared" si="29"/>
        <v>47293</v>
      </c>
      <c r="CH21" s="8">
        <f t="shared" ca="1" si="30"/>
        <v>1148</v>
      </c>
      <c r="CI21" s="5" t="str">
        <f t="shared" ca="1" si="31"/>
        <v>VIGENTE</v>
      </c>
      <c r="CJ21" s="4"/>
      <c r="CK21" s="4">
        <v>45688</v>
      </c>
      <c r="CL21" s="4">
        <f t="shared" si="175"/>
        <v>46417</v>
      </c>
      <c r="CM21" s="8">
        <f t="shared" ca="1" si="32"/>
        <v>272</v>
      </c>
      <c r="CN21" s="5" t="str">
        <f t="shared" ca="1" si="33"/>
        <v>VIGENTE</v>
      </c>
      <c r="CO21" s="3"/>
      <c r="CP21" s="39">
        <v>45817</v>
      </c>
      <c r="CQ21" s="4">
        <f>DATE(YEAR(CP21)+2,MONTH(CP21),DAY(CP21))</f>
        <v>46547</v>
      </c>
      <c r="CR21" s="8">
        <f t="shared" ca="1" si="34"/>
        <v>402</v>
      </c>
      <c r="CS21" s="5" t="str">
        <f t="shared" ca="1" si="35"/>
        <v>VIGENTE</v>
      </c>
      <c r="CT21" s="3"/>
      <c r="CU21" s="4">
        <v>45813</v>
      </c>
      <c r="CV21" s="4">
        <f>DATE(YEAR(CU21)+2,MONTH(CU21),DAY(CU21))</f>
        <v>46543</v>
      </c>
      <c r="CW21" s="8">
        <f t="shared" ca="1" si="36"/>
        <v>398</v>
      </c>
      <c r="CX21" s="5" t="str">
        <f t="shared" ca="1" si="37"/>
        <v>VIGENTE</v>
      </c>
      <c r="CY21" s="3"/>
      <c r="CZ21" s="4">
        <v>45665</v>
      </c>
      <c r="DA21" s="4">
        <f>DATE(YEAR(CZ21)+2,MONTH(CZ21),DAY(CZ21)-1)</f>
        <v>46394</v>
      </c>
      <c r="DB21" s="8">
        <f t="shared" ca="1" si="38"/>
        <v>249</v>
      </c>
      <c r="DC21" s="5" t="str">
        <f t="shared" ca="1" si="39"/>
        <v>VIGENTE</v>
      </c>
      <c r="DD21" s="3"/>
      <c r="DE21" s="39">
        <v>45607</v>
      </c>
      <c r="DF21" s="4">
        <f>DATE(YEAR(DE21)+2,MONTH(DE21),DAY(DE21)-1)</f>
        <v>46336</v>
      </c>
      <c r="DG21" s="8">
        <f t="shared" ca="1" si="40"/>
        <v>191</v>
      </c>
      <c r="DH21" s="5" t="str">
        <f t="shared" ca="1" si="41"/>
        <v>VIGENTE</v>
      </c>
      <c r="DI21" s="3"/>
      <c r="DJ21" s="39">
        <v>45580</v>
      </c>
      <c r="DK21" s="4">
        <f>DATE(YEAR(DJ21)+2,MONTH(DJ21),DAY(DJ21)-1)</f>
        <v>46309</v>
      </c>
      <c r="DL21" s="8">
        <f t="shared" ca="1" si="43"/>
        <v>164</v>
      </c>
      <c r="DM21" s="5" t="str">
        <f t="shared" ca="1" si="44"/>
        <v>VIGENTE</v>
      </c>
      <c r="DN21" s="4"/>
      <c r="DO21" s="4">
        <v>45873</v>
      </c>
      <c r="DP21" s="4">
        <f>DATE(YEAR(DO21)+2,MONTH(DO21),DAY(DO21))</f>
        <v>46603</v>
      </c>
      <c r="DQ21" s="8">
        <f t="shared" ca="1" si="46"/>
        <v>458</v>
      </c>
      <c r="DR21" s="5" t="str">
        <f t="shared" ca="1" si="47"/>
        <v>VIGENTE</v>
      </c>
      <c r="DS21" s="3"/>
      <c r="DT21" s="4">
        <v>45608</v>
      </c>
      <c r="DU21" s="4">
        <f>DATE(YEAR(DT21)+2,MONTH(DT21),DAY(DT21)-1)</f>
        <v>46337</v>
      </c>
      <c r="DV21" s="8">
        <f t="shared" ca="1" si="48"/>
        <v>192</v>
      </c>
      <c r="DW21" s="5" t="str">
        <f t="shared" ca="1" si="49"/>
        <v>VIGENTE</v>
      </c>
      <c r="DX21" s="3"/>
      <c r="DY21" s="4">
        <v>45663</v>
      </c>
      <c r="DZ21" s="4">
        <f>DATE(YEAR(DY21)+2,MONTH(DY21),DAY(DY21)-1)</f>
        <v>46392</v>
      </c>
      <c r="EA21" s="8">
        <f t="shared" ca="1" si="50"/>
        <v>247</v>
      </c>
      <c r="EB21" s="5" t="str">
        <f t="shared" ca="1" si="51"/>
        <v>VIGENTE</v>
      </c>
      <c r="EC21" s="3"/>
      <c r="ED21" s="39">
        <v>45602</v>
      </c>
      <c r="EE21" s="4">
        <f>DATE(YEAR(ED21)+2,MONTH(ED21),DAY(ED21)-1)</f>
        <v>46331</v>
      </c>
      <c r="EF21" s="8">
        <f t="shared" ca="1" si="52"/>
        <v>186</v>
      </c>
      <c r="EG21" s="5" t="str">
        <f t="shared" ca="1" si="53"/>
        <v>VIGENTE</v>
      </c>
      <c r="EH21" s="3"/>
      <c r="EI21" s="3">
        <v>46060</v>
      </c>
      <c r="EJ21" s="4">
        <f t="shared" si="131"/>
        <v>46425</v>
      </c>
      <c r="EK21" s="8">
        <f t="shared" ca="1" si="54"/>
        <v>280</v>
      </c>
      <c r="EL21" s="5" t="str">
        <f t="shared" ca="1" si="55"/>
        <v>VIGENTE</v>
      </c>
      <c r="EM21" s="3"/>
      <c r="EN21" s="4">
        <v>45671</v>
      </c>
      <c r="EO21" s="4">
        <f t="shared" si="181"/>
        <v>46400</v>
      </c>
      <c r="EP21" s="8">
        <f t="shared" ca="1" si="56"/>
        <v>255</v>
      </c>
      <c r="EQ21" s="5" t="str">
        <f t="shared" ca="1" si="57"/>
        <v>VIGENTE</v>
      </c>
      <c r="ER21" s="2"/>
      <c r="ES21" s="39">
        <v>45735</v>
      </c>
      <c r="ET21" s="4">
        <f t="shared" si="182"/>
        <v>46464</v>
      </c>
      <c r="EU21" s="8">
        <f t="shared" ca="1" si="58"/>
        <v>319</v>
      </c>
      <c r="EV21" s="5" t="str">
        <f t="shared" ca="1" si="59"/>
        <v>VIGENTE</v>
      </c>
      <c r="EW21" s="3"/>
      <c r="EX21" s="4">
        <v>45694</v>
      </c>
      <c r="EY21" s="4">
        <f>DATE(YEAR(EX21)+2,MONTH(EX21),DAY(EX21)-1)</f>
        <v>46423</v>
      </c>
      <c r="EZ21" s="8">
        <f t="shared" ca="1" si="60"/>
        <v>278</v>
      </c>
      <c r="FA21" s="5" t="str">
        <f t="shared" ca="1" si="61"/>
        <v>VIGENTE</v>
      </c>
      <c r="FB21" s="3"/>
      <c r="FC21" s="4">
        <v>45611</v>
      </c>
      <c r="FD21" s="4">
        <f>DATE(YEAR(FC21)+2,MONTH(FC21),DAY(FC21)-1)</f>
        <v>46340</v>
      </c>
      <c r="FE21" s="8">
        <f t="shared" ca="1" si="62"/>
        <v>195</v>
      </c>
      <c r="FF21" s="5" t="str">
        <f t="shared" ca="1" si="63"/>
        <v>VIGENTE</v>
      </c>
      <c r="FG21" s="3"/>
      <c r="FH21" s="4">
        <v>45790</v>
      </c>
      <c r="FI21" s="4">
        <f>DATE(YEAR(FH21)+2,MONTH(FH21),DAY(FH21))</f>
        <v>46520</v>
      </c>
      <c r="FJ21" s="8">
        <f t="shared" ca="1" si="64"/>
        <v>375</v>
      </c>
      <c r="FK21" s="5" t="str">
        <f t="shared" ca="1" si="65"/>
        <v>VIGENTE</v>
      </c>
      <c r="FL21" s="3"/>
      <c r="FM21" s="39">
        <v>45771</v>
      </c>
      <c r="FN21" s="4">
        <f>DATE(YEAR(FM21)+2,MONTH(FM21),DAY(FM21))</f>
        <v>46501</v>
      </c>
      <c r="FO21" s="8">
        <f t="shared" ca="1" si="67"/>
        <v>356</v>
      </c>
      <c r="FP21" s="5" t="str">
        <f t="shared" ca="1" si="68"/>
        <v>VIGENTE</v>
      </c>
      <c r="FQ21" s="3"/>
      <c r="FR21" s="39">
        <v>45605</v>
      </c>
      <c r="FS21" s="4">
        <f>DATE(YEAR(FR21)+2,MONTH(FR21),DAY(FR21)-1)</f>
        <v>46334</v>
      </c>
      <c r="FT21" s="8">
        <f t="shared" ca="1" si="69"/>
        <v>189</v>
      </c>
      <c r="FU21" s="5" t="str">
        <f t="shared" ca="1" si="70"/>
        <v>VIGENTE</v>
      </c>
      <c r="FV21" s="3"/>
      <c r="FW21" s="4">
        <v>45581</v>
      </c>
      <c r="FX21" s="4">
        <f>DATE(YEAR(FW21)+2,MONTH(FW21),DAY(FW21)-1)</f>
        <v>46310</v>
      </c>
      <c r="FY21" s="8">
        <f t="shared" ca="1" si="71"/>
        <v>165</v>
      </c>
      <c r="FZ21" s="5" t="str">
        <f t="shared" ca="1" si="72"/>
        <v>VIGENTE</v>
      </c>
      <c r="GA21" s="3"/>
      <c r="GB21" s="4">
        <v>45595</v>
      </c>
      <c r="GC21" s="4">
        <f t="shared" si="183"/>
        <v>46324</v>
      </c>
      <c r="GD21" s="8">
        <f t="shared" ca="1" si="73"/>
        <v>179</v>
      </c>
      <c r="GE21" s="5" t="str">
        <f t="shared" ca="1" si="74"/>
        <v>VIGENTE</v>
      </c>
      <c r="GF21" s="3"/>
      <c r="GG21" s="4">
        <v>45579</v>
      </c>
      <c r="GH21" s="4">
        <f>DATE(YEAR(GG21)+2,MONTH(GG21),DAY(GG21)-1)</f>
        <v>46308</v>
      </c>
      <c r="GI21" s="8">
        <f t="shared" ca="1" si="75"/>
        <v>163</v>
      </c>
      <c r="GJ21" s="5" t="str">
        <f t="shared" ca="1" si="76"/>
        <v>VIGENTE</v>
      </c>
      <c r="GK21" s="3"/>
      <c r="GL21" s="4">
        <v>45848</v>
      </c>
      <c r="GM21" s="4">
        <f>DATE(YEAR(GL21)+2,MONTH(GL21),DAY(GL21))</f>
        <v>46578</v>
      </c>
      <c r="GN21" s="8">
        <f t="shared" ca="1" si="77"/>
        <v>433</v>
      </c>
      <c r="GO21" s="5" t="str">
        <f t="shared" ca="1" si="78"/>
        <v>VIGENTE</v>
      </c>
      <c r="GP21" s="4"/>
      <c r="GQ21" s="4">
        <v>44952</v>
      </c>
      <c r="GR21" s="4">
        <f t="shared" si="79"/>
        <v>46778</v>
      </c>
      <c r="GS21" s="8">
        <f t="shared" ca="1" si="176"/>
        <v>633</v>
      </c>
      <c r="GT21" s="5" t="str">
        <f t="shared" ca="1" si="81"/>
        <v>VIGENTE</v>
      </c>
      <c r="GU21" s="3"/>
      <c r="GV21" s="4">
        <v>45138</v>
      </c>
      <c r="GW21" s="4">
        <f t="shared" si="82"/>
        <v>46965</v>
      </c>
      <c r="GX21" s="8">
        <f t="shared" ca="1" si="83"/>
        <v>820</v>
      </c>
      <c r="GY21" s="5" t="str">
        <f t="shared" ca="1" si="84"/>
        <v>VIGENTE</v>
      </c>
      <c r="GZ21" s="2"/>
      <c r="HA21" s="4">
        <v>45174</v>
      </c>
      <c r="HB21" s="4">
        <f t="shared" si="85"/>
        <v>47001</v>
      </c>
      <c r="HC21" s="8">
        <f t="shared" ca="1" si="86"/>
        <v>856</v>
      </c>
      <c r="HD21" s="5" t="str">
        <f t="shared" ca="1" si="87"/>
        <v>VIGENTE</v>
      </c>
      <c r="HE21" s="6"/>
      <c r="HF21" s="4"/>
      <c r="HG21" s="4"/>
      <c r="HH21" s="8"/>
      <c r="HI21" s="5" t="str">
        <f t="shared" si="177"/>
        <v>NO APLICA</v>
      </c>
      <c r="HJ21" s="2"/>
      <c r="HK21" s="6"/>
      <c r="HL21" s="4"/>
      <c r="HM21" s="8"/>
      <c r="HN21" s="5" t="str">
        <f t="shared" si="91"/>
        <v>NO APLICA</v>
      </c>
      <c r="HO21" s="2"/>
      <c r="HP21" s="2"/>
      <c r="HQ21" s="4"/>
      <c r="HR21" s="2"/>
      <c r="HS21" s="5" t="str">
        <f t="shared" si="92"/>
        <v>NO APLICA</v>
      </c>
      <c r="HT21" s="2"/>
      <c r="HU21" s="6"/>
      <c r="HV21" s="4"/>
      <c r="HW21" s="8"/>
      <c r="HX21" s="5" t="str">
        <f t="shared" si="93"/>
        <v>NO APLICA</v>
      </c>
      <c r="HY21" s="2"/>
      <c r="HZ21" s="6"/>
      <c r="IA21" s="4"/>
      <c r="IB21" s="8"/>
      <c r="IC21" s="5" t="str">
        <f t="shared" si="94"/>
        <v>NO APLICA</v>
      </c>
      <c r="ID21" s="2"/>
      <c r="IE21" s="6"/>
      <c r="IF21" s="4"/>
      <c r="IG21" s="8"/>
      <c r="IH21" s="5" t="str">
        <f t="shared" si="95"/>
        <v>NO APLICA</v>
      </c>
      <c r="II21" s="6"/>
      <c r="IJ21" s="6"/>
      <c r="IK21" s="4"/>
      <c r="IL21" s="8"/>
      <c r="IM21" s="5" t="str">
        <f t="shared" si="96"/>
        <v>NO APLICA</v>
      </c>
      <c r="IN21" s="2"/>
      <c r="IO21" s="6"/>
      <c r="IP21" s="4"/>
      <c r="IQ21" s="8"/>
      <c r="IR21" s="5" t="str">
        <f t="shared" si="97"/>
        <v>NO APLICA</v>
      </c>
      <c r="IS21" s="2"/>
      <c r="IT21" s="6"/>
      <c r="IU21" s="4"/>
      <c r="IV21" s="8"/>
      <c r="IW21" s="5" t="str">
        <f t="shared" si="98"/>
        <v>NO APLICA</v>
      </c>
      <c r="IX21" s="2"/>
      <c r="IY21" s="6"/>
      <c r="IZ21" s="4"/>
      <c r="JA21" s="8"/>
      <c r="JB21" s="5" t="str">
        <f t="shared" si="99"/>
        <v>NO APLICA</v>
      </c>
      <c r="JC21" s="3" t="s">
        <v>780</v>
      </c>
      <c r="JD21" s="3"/>
      <c r="JE21" s="4"/>
      <c r="JF21" s="8"/>
      <c r="JG21" s="5"/>
      <c r="JH21" s="3" t="s">
        <v>780</v>
      </c>
      <c r="JI21" s="6"/>
      <c r="JJ21" s="6"/>
      <c r="JK21" s="6"/>
      <c r="JL21" s="5"/>
      <c r="JM21" s="6" t="s">
        <v>780</v>
      </c>
      <c r="JN21" s="6"/>
      <c r="JO21" s="6"/>
      <c r="JP21" s="6"/>
      <c r="JQ21" s="5"/>
      <c r="JR21" s="6" t="s">
        <v>780</v>
      </c>
      <c r="JS21" s="6"/>
      <c r="JT21" s="6"/>
      <c r="JU21" s="6"/>
      <c r="JV21" s="5"/>
      <c r="JW21" s="6" t="s">
        <v>780</v>
      </c>
      <c r="JX21" s="5"/>
      <c r="JY21" s="5"/>
      <c r="JZ21" s="5"/>
      <c r="KA21" s="5"/>
      <c r="KB21" s="5"/>
      <c r="KC21" s="2"/>
      <c r="KD21" s="4"/>
      <c r="KE21" s="8"/>
      <c r="KF21" s="5" t="str">
        <f t="shared" si="135"/>
        <v>NO APLICA</v>
      </c>
      <c r="KG21" s="5"/>
      <c r="KH21" s="2"/>
      <c r="KI21" s="4"/>
      <c r="KJ21" s="8"/>
      <c r="KK21" s="5" t="str">
        <f t="shared" si="136"/>
        <v>NO APLICA</v>
      </c>
      <c r="KL21" s="5"/>
      <c r="KM21" s="2"/>
      <c r="KN21" s="4"/>
      <c r="KO21" s="8"/>
      <c r="KP21" s="5" t="str">
        <f t="shared" si="100"/>
        <v>NO APLICA</v>
      </c>
      <c r="KQ21" s="5"/>
      <c r="KR21" s="2"/>
      <c r="KS21" s="4"/>
      <c r="KT21" s="8"/>
      <c r="KU21" s="5" t="str">
        <f t="shared" si="137"/>
        <v>NO APLICA</v>
      </c>
      <c r="KV21" s="2"/>
      <c r="KW21" s="6"/>
      <c r="KX21" s="4"/>
      <c r="KY21" s="8"/>
      <c r="KZ21" s="5" t="str">
        <f t="shared" si="151"/>
        <v>NO APLICA</v>
      </c>
      <c r="LA21" s="5"/>
      <c r="LB21" s="6"/>
      <c r="LC21" s="4"/>
      <c r="LD21" s="8"/>
      <c r="LE21" s="5" t="str">
        <f t="shared" si="138"/>
        <v>NO APLICA</v>
      </c>
      <c r="LF21" s="6"/>
      <c r="LG21" s="6"/>
      <c r="LH21" s="4"/>
      <c r="LI21" s="8"/>
      <c r="LJ21" s="5" t="str">
        <f t="shared" si="101"/>
        <v>NO APLICA</v>
      </c>
      <c r="LK21" s="5"/>
      <c r="LL21" s="5"/>
      <c r="LM21" s="4"/>
      <c r="LN21" s="8"/>
      <c r="LO21" s="5" t="str">
        <f t="shared" si="152"/>
        <v>NO APLICA</v>
      </c>
      <c r="LP21" s="2"/>
      <c r="LQ21" s="6"/>
      <c r="LR21" s="4"/>
      <c r="LS21" s="8"/>
      <c r="LT21" s="5" t="str">
        <f t="shared" si="139"/>
        <v>NO APLICA</v>
      </c>
      <c r="LU21" s="6"/>
      <c r="LV21" s="6"/>
      <c r="LW21" s="4"/>
      <c r="LX21" s="8"/>
      <c r="LY21" s="5" t="str">
        <f t="shared" si="140"/>
        <v>NO APLICA</v>
      </c>
      <c r="LZ21" s="6"/>
      <c r="MA21" s="6"/>
      <c r="MB21" s="4"/>
      <c r="MC21" s="8"/>
      <c r="MD21" s="5" t="str">
        <f t="shared" si="141"/>
        <v>NO APLICA</v>
      </c>
      <c r="ME21" s="2"/>
      <c r="MF21" s="2"/>
      <c r="MG21" s="4"/>
      <c r="MH21" s="8"/>
      <c r="MI21" s="5" t="str">
        <f t="shared" si="102"/>
        <v>NO APLICA</v>
      </c>
      <c r="MJ21" s="2"/>
      <c r="MK21" s="2"/>
      <c r="ML21" s="4"/>
      <c r="MM21" s="8"/>
      <c r="MN21" s="5" t="str">
        <f t="shared" si="103"/>
        <v>NO APLICA</v>
      </c>
      <c r="MO21" s="5"/>
      <c r="MP21" s="2"/>
      <c r="MQ21" s="4"/>
      <c r="MR21" s="8"/>
      <c r="MS21" s="5" t="str">
        <f t="shared" si="104"/>
        <v>NO APLICA</v>
      </c>
      <c r="MT21" s="5"/>
      <c r="MU21" s="2"/>
      <c r="MV21" s="4"/>
      <c r="MW21" s="2"/>
      <c r="MX21" s="5" t="str">
        <f t="shared" si="105"/>
        <v>NO APLICA</v>
      </c>
      <c r="MY21" s="2"/>
      <c r="MZ21" s="6"/>
      <c r="NA21" s="4"/>
      <c r="NB21" s="8"/>
      <c r="NC21" s="5" t="str">
        <f t="shared" si="106"/>
        <v>NO APLICA</v>
      </c>
      <c r="ND21" s="2"/>
      <c r="NE21" s="6"/>
      <c r="NF21" s="4"/>
      <c r="NG21" s="8"/>
      <c r="NH21" s="5" t="str">
        <f t="shared" si="107"/>
        <v>NO APLICA</v>
      </c>
      <c r="NI21" s="2"/>
      <c r="NJ21" s="6"/>
      <c r="NK21" s="4"/>
      <c r="NL21" s="8"/>
      <c r="NM21" s="5" t="str">
        <f t="shared" si="108"/>
        <v>NO APLICA</v>
      </c>
      <c r="NN21" s="2"/>
      <c r="NO21" s="2"/>
      <c r="NP21" s="4"/>
      <c r="NQ21" s="2"/>
      <c r="NR21" s="5" t="str">
        <f t="shared" si="109"/>
        <v>NO APLICA</v>
      </c>
      <c r="NS21" s="2"/>
      <c r="NT21" s="2"/>
      <c r="NU21" s="4"/>
      <c r="NV21" s="2"/>
      <c r="NW21" s="5" t="str">
        <f t="shared" si="110"/>
        <v>NO APLICA</v>
      </c>
      <c r="NX21" s="6"/>
      <c r="NY21" s="6"/>
      <c r="NZ21" s="4"/>
      <c r="OA21" s="8"/>
      <c r="OB21" s="5" t="str">
        <f t="shared" si="111"/>
        <v>NO APLICA</v>
      </c>
      <c r="OC21" s="6"/>
      <c r="OD21" s="6"/>
      <c r="OE21" s="6"/>
      <c r="OF21" s="6"/>
      <c r="OG21" s="5" t="str">
        <f t="shared" si="112"/>
        <v>NO APLICA</v>
      </c>
      <c r="OH21" s="2"/>
      <c r="OI21" s="2"/>
      <c r="OJ21" s="4"/>
      <c r="OK21" s="8"/>
      <c r="OL21" s="5" t="str">
        <f t="shared" si="113"/>
        <v>NO APLICA</v>
      </c>
      <c r="OM21" s="6"/>
      <c r="ON21" s="6"/>
      <c r="OO21" s="6"/>
      <c r="OP21" s="6"/>
      <c r="OQ21" s="5" t="str">
        <f t="shared" si="114"/>
        <v>NO APLICA</v>
      </c>
      <c r="OR21" s="6"/>
      <c r="OS21" s="6"/>
      <c r="OT21" s="6"/>
      <c r="OU21" s="6"/>
      <c r="OV21" s="5" t="str">
        <f t="shared" si="115"/>
        <v>NO APLICA</v>
      </c>
      <c r="OW21" s="6"/>
      <c r="OX21" s="6"/>
      <c r="OY21" s="6"/>
      <c r="OZ21" s="6"/>
      <c r="PA21" s="5" t="str">
        <f t="shared" si="116"/>
        <v>NO APLICA</v>
      </c>
      <c r="PB21" s="6"/>
      <c r="PC21" s="6"/>
      <c r="PD21" s="6"/>
      <c r="PE21" s="6"/>
      <c r="PF21" s="5" t="str">
        <f t="shared" si="117"/>
        <v>NO APLICA</v>
      </c>
      <c r="PG21" s="6"/>
      <c r="PH21" s="6"/>
      <c r="PI21" s="6"/>
      <c r="PJ21" s="6"/>
      <c r="PK21" s="5" t="str">
        <f t="shared" si="118"/>
        <v>NO APLICA</v>
      </c>
      <c r="PL21" s="5"/>
      <c r="PM21" s="6"/>
      <c r="PN21" s="4"/>
      <c r="PO21" s="8"/>
      <c r="PP21" s="5" t="str">
        <f t="shared" si="119"/>
        <v>NO APLICA</v>
      </c>
      <c r="PQ21" s="6"/>
      <c r="PR21" s="6"/>
      <c r="PS21" s="6"/>
      <c r="PT21" s="6"/>
      <c r="PU21" s="5" t="str">
        <f t="shared" si="120"/>
        <v>NO APLICA</v>
      </c>
      <c r="PV21" s="5"/>
      <c r="PW21" s="6"/>
      <c r="PX21" s="6"/>
      <c r="PY21" s="6"/>
      <c r="PZ21" s="5" t="str">
        <f t="shared" si="121"/>
        <v>NO APLICA</v>
      </c>
    </row>
    <row r="22" spans="1:442" ht="15.6" hidden="1" thickTop="1" thickBot="1" x14ac:dyDescent="0.35">
      <c r="A22" s="26">
        <v>19</v>
      </c>
      <c r="B22" s="27">
        <v>730</v>
      </c>
      <c r="C22" s="28" t="s">
        <v>128</v>
      </c>
      <c r="D22" s="29" t="s">
        <v>68</v>
      </c>
      <c r="E22" s="30" t="s">
        <v>129</v>
      </c>
      <c r="F22" s="5"/>
      <c r="G22" s="6"/>
      <c r="H22" s="4"/>
      <c r="I22" s="8"/>
      <c r="J22" s="5" t="str">
        <f t="shared" si="0"/>
        <v>NO APLICA</v>
      </c>
      <c r="K22" s="5"/>
      <c r="L22" s="6"/>
      <c r="M22" s="6"/>
      <c r="N22" s="8"/>
      <c r="O22" s="5" t="str">
        <f t="shared" si="1"/>
        <v>NO APLICA</v>
      </c>
      <c r="P22" s="6"/>
      <c r="Q22" s="6"/>
      <c r="R22" s="4"/>
      <c r="S22" s="8"/>
      <c r="T22" s="5" t="str">
        <f t="shared" si="122"/>
        <v>NO APLICA</v>
      </c>
      <c r="U22" s="5"/>
      <c r="V22" s="2" t="s">
        <v>130</v>
      </c>
      <c r="W22" s="4">
        <v>45401</v>
      </c>
      <c r="X22" s="4">
        <f t="shared" si="2"/>
        <v>47227</v>
      </c>
      <c r="Y22" s="8">
        <f t="shared" ca="1" si="3"/>
        <v>1082</v>
      </c>
      <c r="Z22" s="5" t="str">
        <f t="shared" ca="1" si="4"/>
        <v>VIGENTE</v>
      </c>
      <c r="AA22" s="5"/>
      <c r="AB22" s="2" t="s">
        <v>131</v>
      </c>
      <c r="AC22" s="4">
        <v>44603</v>
      </c>
      <c r="AD22" s="4">
        <f>DATE(YEAR(AC22)+5,MONTH(AC22),DAY(AC22))</f>
        <v>46429</v>
      </c>
      <c r="AE22" s="8">
        <f ca="1">AD22-TODAY()</f>
        <v>284</v>
      </c>
      <c r="AF22" s="5" t="str">
        <f t="shared" ca="1" si="7"/>
        <v>VIGENTE</v>
      </c>
      <c r="AG22" s="3"/>
      <c r="AH22" s="4">
        <v>45594</v>
      </c>
      <c r="AI22" s="4">
        <f>DATE(YEAR(AH22)+2,MONTH(AH22),DAY(AH22)-1)</f>
        <v>46323</v>
      </c>
      <c r="AJ22" s="8">
        <f t="shared" ca="1" si="8"/>
        <v>178</v>
      </c>
      <c r="AK22" s="5" t="str">
        <f t="shared" ca="1" si="9"/>
        <v>VIGENTE</v>
      </c>
      <c r="AL22" s="3"/>
      <c r="AM22" s="4">
        <v>45959</v>
      </c>
      <c r="AN22" s="4">
        <f t="shared" si="184"/>
        <v>46689</v>
      </c>
      <c r="AO22" s="8">
        <f t="shared" ca="1" si="10"/>
        <v>544</v>
      </c>
      <c r="AP22" s="5" t="str">
        <f t="shared" ca="1" si="11"/>
        <v>VIGENTE</v>
      </c>
      <c r="AQ22" s="3"/>
      <c r="AR22" s="4">
        <v>45967</v>
      </c>
      <c r="AS22" s="4">
        <f t="shared" si="178"/>
        <v>46697</v>
      </c>
      <c r="AT22" s="8">
        <f t="shared" ca="1" si="12"/>
        <v>552</v>
      </c>
      <c r="AU22" s="5" t="str">
        <f t="shared" ca="1" si="13"/>
        <v>VIGENTE</v>
      </c>
      <c r="AV22" s="3"/>
      <c r="AW22" s="4">
        <v>45972</v>
      </c>
      <c r="AX22" s="4">
        <f>DATE(YEAR(AW22)+2,MONTH(AW22),DAY(AW22))</f>
        <v>46702</v>
      </c>
      <c r="AY22" s="8">
        <f t="shared" ca="1" si="15"/>
        <v>557</v>
      </c>
      <c r="AZ22" s="5" t="str">
        <f t="shared" ca="1" si="16"/>
        <v>VIGENTE</v>
      </c>
      <c r="BA22" s="3"/>
      <c r="BB22" s="4">
        <v>45708</v>
      </c>
      <c r="BC22" s="4">
        <f>DATE(YEAR(BB22)+2,MONTH(BB22),DAY(BB22)-1)</f>
        <v>46437</v>
      </c>
      <c r="BD22" s="8">
        <f t="shared" ca="1" si="17"/>
        <v>292</v>
      </c>
      <c r="BE22" s="5" t="str">
        <f t="shared" ca="1" si="18"/>
        <v>VIGENTE</v>
      </c>
      <c r="BF22" s="3"/>
      <c r="BG22" s="4">
        <v>45968</v>
      </c>
      <c r="BH22" s="4">
        <f>DATE(YEAR(BG22)+2,MONTH(BG22),DAY(BG22))</f>
        <v>46698</v>
      </c>
      <c r="BI22" s="8">
        <f t="shared" ca="1" si="19"/>
        <v>553</v>
      </c>
      <c r="BJ22" s="5" t="str">
        <f t="shared" ca="1" si="20"/>
        <v>VIGENTE</v>
      </c>
      <c r="BK22" s="3"/>
      <c r="BL22" s="4">
        <v>46017</v>
      </c>
      <c r="BM22" s="4">
        <f>DATE(YEAR(BL22)+2,MONTH(BL22),DAY(BL22))</f>
        <v>46747</v>
      </c>
      <c r="BN22" s="8">
        <f t="shared" ca="1" si="21"/>
        <v>602</v>
      </c>
      <c r="BO22" s="5" t="str">
        <f t="shared" ca="1" si="22"/>
        <v>VIGENTE</v>
      </c>
      <c r="BP22" s="3"/>
      <c r="BQ22" s="39">
        <v>46069</v>
      </c>
      <c r="BR22" s="4">
        <f>DATE(YEAR(BQ22)+2,MONTH(BQ22),DAY(BQ22))</f>
        <v>46799</v>
      </c>
      <c r="BS22" s="8">
        <f t="shared" ca="1" si="23"/>
        <v>654</v>
      </c>
      <c r="BT22" s="5" t="str">
        <f t="shared" ca="1" si="24"/>
        <v>VIGENTE</v>
      </c>
      <c r="BU22" s="3"/>
      <c r="BV22" s="4">
        <v>46126</v>
      </c>
      <c r="BW22" s="4">
        <f t="shared" si="185"/>
        <v>46856</v>
      </c>
      <c r="BX22" s="8">
        <f t="shared" ca="1" si="25"/>
        <v>711</v>
      </c>
      <c r="BY22" s="5" t="str">
        <f t="shared" ca="1" si="26"/>
        <v>VIGENTE</v>
      </c>
      <c r="BZ22" s="3"/>
      <c r="CA22" s="4">
        <v>45944</v>
      </c>
      <c r="CB22" s="4">
        <f t="shared" si="186"/>
        <v>46674</v>
      </c>
      <c r="CC22" s="8">
        <f t="shared" ca="1" si="27"/>
        <v>529</v>
      </c>
      <c r="CD22" s="5" t="str">
        <f t="shared" ca="1" si="28"/>
        <v>VIGENTE</v>
      </c>
      <c r="CE22" s="6"/>
      <c r="CF22" s="4">
        <v>45241</v>
      </c>
      <c r="CG22" s="4">
        <f t="shared" si="29"/>
        <v>46702</v>
      </c>
      <c r="CH22" s="8">
        <f t="shared" ca="1" si="30"/>
        <v>557</v>
      </c>
      <c r="CI22" s="5" t="str">
        <f t="shared" ca="1" si="31"/>
        <v>VIGENTE</v>
      </c>
      <c r="CJ22" s="6"/>
      <c r="CK22" s="4">
        <v>45763</v>
      </c>
      <c r="CL22" s="4">
        <f>DATE(YEAR(CK22)+2,MONTH(CK22),DAY(CK22))</f>
        <v>46493</v>
      </c>
      <c r="CM22" s="8">
        <f t="shared" ca="1" si="32"/>
        <v>348</v>
      </c>
      <c r="CN22" s="5" t="str">
        <f t="shared" ca="1" si="33"/>
        <v>VIGENTE</v>
      </c>
      <c r="CO22" s="3"/>
      <c r="CP22" s="39">
        <v>45517</v>
      </c>
      <c r="CQ22" s="4">
        <f>DATE(YEAR(CP22)+2,MONTH(CP22),DAY(CP22)-1)</f>
        <v>46246</v>
      </c>
      <c r="CR22" s="8">
        <f t="shared" ca="1" si="34"/>
        <v>101</v>
      </c>
      <c r="CS22" s="5" t="str">
        <f t="shared" ca="1" si="35"/>
        <v>VIGENTE</v>
      </c>
      <c r="CT22" s="3"/>
      <c r="CU22" s="4">
        <v>45645</v>
      </c>
      <c r="CV22" s="4">
        <f>DATE(YEAR(CU22)+2,MONTH(CU22),DAY(CU22)-1)</f>
        <v>46374</v>
      </c>
      <c r="CW22" s="8">
        <f t="shared" ca="1" si="36"/>
        <v>229</v>
      </c>
      <c r="CX22" s="5" t="str">
        <f t="shared" ca="1" si="37"/>
        <v>VIGENTE</v>
      </c>
      <c r="CY22" s="3"/>
      <c r="CZ22" s="4">
        <v>45661</v>
      </c>
      <c r="DA22" s="4">
        <f>DATE(YEAR(CZ22)+2,MONTH(CZ22),DAY(CZ22)-1)</f>
        <v>46390</v>
      </c>
      <c r="DB22" s="8">
        <f t="shared" ca="1" si="38"/>
        <v>245</v>
      </c>
      <c r="DC22" s="5" t="str">
        <f t="shared" ca="1" si="39"/>
        <v>VIGENTE</v>
      </c>
      <c r="DD22" s="3"/>
      <c r="DE22" s="39">
        <v>45689</v>
      </c>
      <c r="DF22" s="4">
        <f>DATE(YEAR(DE22)+2,MONTH(DE22),DAY(DE22)-1)</f>
        <v>46418</v>
      </c>
      <c r="DG22" s="8">
        <f t="shared" ca="1" si="40"/>
        <v>273</v>
      </c>
      <c r="DH22" s="5" t="str">
        <f t="shared" ca="1" si="41"/>
        <v>VIGENTE</v>
      </c>
      <c r="DI22" s="3"/>
      <c r="DJ22" s="39">
        <v>45696</v>
      </c>
      <c r="DK22" s="4">
        <f>DATE(YEAR(DJ22)+2,MONTH(DJ22),DAY(DJ22)-1)</f>
        <v>46425</v>
      </c>
      <c r="DL22" s="8">
        <f t="shared" ca="1" si="43"/>
        <v>280</v>
      </c>
      <c r="DM22" s="5" t="str">
        <f t="shared" ca="1" si="44"/>
        <v>VIGENTE</v>
      </c>
      <c r="DN22" s="3"/>
      <c r="DO22" s="4">
        <v>45731</v>
      </c>
      <c r="DP22" s="4">
        <f>DATE(YEAR(DO22)+2,MONTH(DO22),DAY(DO22)-1)</f>
        <v>46460</v>
      </c>
      <c r="DQ22" s="8">
        <f t="shared" ca="1" si="46"/>
        <v>315</v>
      </c>
      <c r="DR22" s="5" t="str">
        <f t="shared" ca="1" si="47"/>
        <v>VIGENTE</v>
      </c>
      <c r="DS22" s="3"/>
      <c r="DT22" s="4">
        <v>45728</v>
      </c>
      <c r="DU22" s="4">
        <f>DATE(YEAR(DT22)+2,MONTH(DT22),DAY(DT22)-1)</f>
        <v>46457</v>
      </c>
      <c r="DV22" s="8">
        <f t="shared" ca="1" si="48"/>
        <v>312</v>
      </c>
      <c r="DW22" s="5" t="str">
        <f t="shared" ca="1" si="49"/>
        <v>VIGENTE</v>
      </c>
      <c r="DX22" s="3"/>
      <c r="DY22" s="4">
        <v>45751</v>
      </c>
      <c r="DZ22" s="4">
        <f>DATE(YEAR(DY22)+2,MONTH(DY22),DAY(DY22)-1)</f>
        <v>46480</v>
      </c>
      <c r="EA22" s="8">
        <f t="shared" ca="1" si="50"/>
        <v>335</v>
      </c>
      <c r="EB22" s="5" t="str">
        <f t="shared" ca="1" si="51"/>
        <v>VIGENTE</v>
      </c>
      <c r="EC22" s="3"/>
      <c r="ED22" s="39">
        <v>45674</v>
      </c>
      <c r="EE22" s="4">
        <f>DATE(YEAR(ED22)+2,MONTH(ED22),DAY(ED22)-1)</f>
        <v>46403</v>
      </c>
      <c r="EF22" s="8">
        <f t="shared" ca="1" si="52"/>
        <v>258</v>
      </c>
      <c r="EG22" s="5" t="str">
        <f t="shared" ca="1" si="53"/>
        <v>VIGENTE</v>
      </c>
      <c r="EH22" s="3"/>
      <c r="EI22" s="4">
        <v>46123</v>
      </c>
      <c r="EJ22" s="4">
        <f t="shared" si="131"/>
        <v>46488</v>
      </c>
      <c r="EK22" s="8">
        <f t="shared" ca="1" si="54"/>
        <v>343</v>
      </c>
      <c r="EL22" s="5" t="str">
        <f t="shared" ca="1" si="55"/>
        <v>VIGENTE</v>
      </c>
      <c r="EM22" s="3"/>
      <c r="EN22" s="4">
        <v>45660</v>
      </c>
      <c r="EO22" s="4">
        <f t="shared" si="181"/>
        <v>46389</v>
      </c>
      <c r="EP22" s="8">
        <f t="shared" ca="1" si="56"/>
        <v>244</v>
      </c>
      <c r="EQ22" s="5" t="str">
        <f t="shared" ca="1" si="57"/>
        <v>VIGENTE</v>
      </c>
      <c r="ER22" s="3"/>
      <c r="ES22" s="39">
        <v>45677</v>
      </c>
      <c r="ET22" s="4">
        <f t="shared" si="182"/>
        <v>46406</v>
      </c>
      <c r="EU22" s="8">
        <f t="shared" ca="1" si="58"/>
        <v>261</v>
      </c>
      <c r="EV22" s="5" t="str">
        <f t="shared" ca="1" si="59"/>
        <v>VIGENTE</v>
      </c>
      <c r="EW22" s="3"/>
      <c r="EX22" s="4">
        <v>45973</v>
      </c>
      <c r="EY22" s="4">
        <f>DATE(YEAR(EX22)+2,MONTH(EX22),DAY(EX22))</f>
        <v>46703</v>
      </c>
      <c r="EZ22" s="8">
        <f t="shared" ca="1" si="60"/>
        <v>558</v>
      </c>
      <c r="FA22" s="5" t="str">
        <f t="shared" ca="1" si="61"/>
        <v>VIGENTE</v>
      </c>
      <c r="FB22" s="3"/>
      <c r="FC22" s="4">
        <v>45951</v>
      </c>
      <c r="FD22" s="4">
        <f>DATE(YEAR(FC22)+2,MONTH(FC22),DAY(FC22))</f>
        <v>46681</v>
      </c>
      <c r="FE22" s="8">
        <f t="shared" ca="1" si="62"/>
        <v>536</v>
      </c>
      <c r="FF22" s="5" t="str">
        <f t="shared" ca="1" si="63"/>
        <v>VIGENTE</v>
      </c>
      <c r="FG22" s="3"/>
      <c r="FH22" s="4">
        <v>45932</v>
      </c>
      <c r="FI22" s="4">
        <f>DATE(YEAR(FH22)+2,MONTH(FH22),DAY(FH22))</f>
        <v>46662</v>
      </c>
      <c r="FJ22" s="8">
        <f t="shared" ca="1" si="64"/>
        <v>517</v>
      </c>
      <c r="FK22" s="5" t="str">
        <f t="shared" ca="1" si="65"/>
        <v>VIGENTE</v>
      </c>
      <c r="FL22" s="3"/>
      <c r="FM22" s="39">
        <v>45933</v>
      </c>
      <c r="FN22" s="4">
        <f>DATE(YEAR(FM22)+2,MONTH(FM22),DAY(FM22))</f>
        <v>46663</v>
      </c>
      <c r="FO22" s="8">
        <f t="shared" ca="1" si="67"/>
        <v>518</v>
      </c>
      <c r="FP22" s="5" t="str">
        <f t="shared" ca="1" si="68"/>
        <v>VIGENTE</v>
      </c>
      <c r="FQ22" s="3"/>
      <c r="FR22" s="39">
        <v>45957</v>
      </c>
      <c r="FS22" s="4">
        <f>DATE(YEAR(FR22)+2,MONTH(FR22),DAY(FR22))</f>
        <v>46687</v>
      </c>
      <c r="FT22" s="8">
        <f t="shared" ca="1" si="69"/>
        <v>542</v>
      </c>
      <c r="FU22" s="5" t="str">
        <f t="shared" ca="1" si="70"/>
        <v>VIGENTE</v>
      </c>
      <c r="FV22" s="3"/>
      <c r="FW22" s="4">
        <v>46014</v>
      </c>
      <c r="FX22" s="4">
        <f>DATE(YEAR(FW22)+2,MONTH(FW22),DAY(FW22))</f>
        <v>46744</v>
      </c>
      <c r="FY22" s="8">
        <f t="shared" ca="1" si="71"/>
        <v>599</v>
      </c>
      <c r="FZ22" s="5" t="str">
        <f t="shared" ca="1" si="72"/>
        <v>VIGENTE</v>
      </c>
      <c r="GA22" s="3"/>
      <c r="GB22" s="4">
        <v>45667</v>
      </c>
      <c r="GC22" s="4">
        <f t="shared" si="183"/>
        <v>46396</v>
      </c>
      <c r="GD22" s="8">
        <f t="shared" ca="1" si="73"/>
        <v>251</v>
      </c>
      <c r="GE22" s="5" t="str">
        <f t="shared" ca="1" si="74"/>
        <v>VIGENTE</v>
      </c>
      <c r="GF22" s="3"/>
      <c r="GG22" s="4">
        <v>45672</v>
      </c>
      <c r="GH22" s="4">
        <f>DATE(YEAR(GG22)+2,MONTH(GG22),DAY(GG22)-1)</f>
        <v>46401</v>
      </c>
      <c r="GI22" s="8">
        <f t="shared" ca="1" si="75"/>
        <v>256</v>
      </c>
      <c r="GJ22" s="5" t="str">
        <f t="shared" ca="1" si="76"/>
        <v>VIGENTE</v>
      </c>
      <c r="GK22" s="3"/>
      <c r="GL22" s="4">
        <v>45945</v>
      </c>
      <c r="GM22" s="4">
        <f>DATE(YEAR(GL22)+2,MONTH(GL22),DAY(GL22))</f>
        <v>46675</v>
      </c>
      <c r="GN22" s="8">
        <f t="shared" ca="1" si="77"/>
        <v>530</v>
      </c>
      <c r="GO22" s="5" t="str">
        <f t="shared" ca="1" si="78"/>
        <v>VIGENTE</v>
      </c>
      <c r="GP22" s="4"/>
      <c r="GQ22" s="4">
        <v>45295</v>
      </c>
      <c r="GR22" s="4">
        <f t="shared" si="79"/>
        <v>47122</v>
      </c>
      <c r="GS22" s="8">
        <f t="shared" ca="1" si="176"/>
        <v>977</v>
      </c>
      <c r="GT22" s="5" t="str">
        <f t="shared" ca="1" si="81"/>
        <v>VIGENTE</v>
      </c>
      <c r="GU22" s="3"/>
      <c r="GV22" s="4">
        <v>45254</v>
      </c>
      <c r="GW22" s="4">
        <f t="shared" si="82"/>
        <v>47081</v>
      </c>
      <c r="GX22" s="8">
        <f t="shared" ca="1" si="83"/>
        <v>936</v>
      </c>
      <c r="GY22" s="5" t="str">
        <f t="shared" ca="1" si="84"/>
        <v>VIGENTE</v>
      </c>
      <c r="GZ22" s="3"/>
      <c r="HA22" s="4">
        <v>45268</v>
      </c>
      <c r="HB22" s="4">
        <f t="shared" si="85"/>
        <v>47095</v>
      </c>
      <c r="HC22" s="8">
        <f t="shared" ca="1" si="86"/>
        <v>950</v>
      </c>
      <c r="HD22" s="5" t="str">
        <f t="shared" ca="1" si="87"/>
        <v>VIGENTE</v>
      </c>
      <c r="HE22" s="6"/>
      <c r="HF22" s="4">
        <v>44879</v>
      </c>
      <c r="HG22" s="4">
        <f>DATE(YEAR(HF22)+5,MONTH(HF22),DAY(HF22))</f>
        <v>46705</v>
      </c>
      <c r="HH22" s="8">
        <f ca="1">HG22-TODAY()</f>
        <v>560</v>
      </c>
      <c r="HI22" s="5" t="str">
        <f t="shared" ca="1" si="177"/>
        <v>VIGENTE</v>
      </c>
      <c r="HJ22" s="2"/>
      <c r="HK22" s="4">
        <v>45331</v>
      </c>
      <c r="HL22" s="4">
        <f>DATE(YEAR(HK22)+5,MONTH(HK22),DAY(HK22))</f>
        <v>47158</v>
      </c>
      <c r="HM22" s="8">
        <f ca="1">HL22-TODAY()</f>
        <v>1013</v>
      </c>
      <c r="HN22" s="5" t="str">
        <f t="shared" ca="1" si="91"/>
        <v>VIGENTE</v>
      </c>
      <c r="HO22" s="2"/>
      <c r="HP22" s="3">
        <v>45374</v>
      </c>
      <c r="HQ22" s="4">
        <f>DATE(YEAR(HP22)+5,MONTH(HP22),DAY(HP22))</f>
        <v>47200</v>
      </c>
      <c r="HR22" s="8">
        <f ca="1">HQ22-TODAY()</f>
        <v>1055</v>
      </c>
      <c r="HS22" s="5" t="str">
        <f t="shared" ca="1" si="92"/>
        <v>VIGENTE</v>
      </c>
      <c r="HT22" s="3"/>
      <c r="HU22" s="4">
        <v>45243</v>
      </c>
      <c r="HV22" s="4">
        <f>DATE(YEAR(HU22)+5,MONTH(HU22),DAY(HU22))</f>
        <v>47070</v>
      </c>
      <c r="HW22" s="8">
        <f ca="1">HV22-TODAY()</f>
        <v>925</v>
      </c>
      <c r="HX22" s="5" t="str">
        <f t="shared" ca="1" si="93"/>
        <v>VIGENTE</v>
      </c>
      <c r="HY22" s="3"/>
      <c r="HZ22" s="4">
        <v>45428</v>
      </c>
      <c r="IA22" s="4">
        <f>DATE(YEAR(HZ22)+5,MONTH(HZ22),DAY(HZ22))</f>
        <v>47254</v>
      </c>
      <c r="IB22" s="8">
        <f ca="1">IA22-TODAY()</f>
        <v>1109</v>
      </c>
      <c r="IC22" s="5" t="str">
        <f t="shared" ca="1" si="94"/>
        <v>VIGENTE</v>
      </c>
      <c r="ID22" s="3"/>
      <c r="IE22" s="4">
        <v>45470</v>
      </c>
      <c r="IF22" s="4">
        <f>DATE(YEAR(IE22)+5,MONTH(IE22),DAY(IE22))</f>
        <v>47296</v>
      </c>
      <c r="IG22" s="8">
        <f ca="1">IF22-TODAY()</f>
        <v>1151</v>
      </c>
      <c r="IH22" s="5" t="str">
        <f t="shared" ca="1" si="95"/>
        <v>VIGENTE</v>
      </c>
      <c r="II22" s="4"/>
      <c r="IJ22" s="4">
        <v>45452</v>
      </c>
      <c r="IK22" s="4">
        <f>DATE(YEAR(IJ22)+5,MONTH(IJ22),DAY(IJ22))</f>
        <v>47278</v>
      </c>
      <c r="IL22" s="8">
        <f ca="1">IK22-TODAY()</f>
        <v>1133</v>
      </c>
      <c r="IM22" s="5" t="str">
        <f t="shared" ca="1" si="96"/>
        <v>VIGENTE</v>
      </c>
      <c r="IN22" s="3"/>
      <c r="IO22" s="4">
        <v>45453</v>
      </c>
      <c r="IP22" s="4">
        <f>DATE(YEAR(IO22)+5,MONTH(IO22),DAY(IO22))</f>
        <v>47279</v>
      </c>
      <c r="IQ22" s="8">
        <f ca="1">IP22-TODAY()</f>
        <v>1134</v>
      </c>
      <c r="IR22" s="5" t="str">
        <f t="shared" ca="1" si="97"/>
        <v>VIGENTE</v>
      </c>
      <c r="IS22" s="3"/>
      <c r="IT22" s="4">
        <v>45489</v>
      </c>
      <c r="IU22" s="4">
        <f>DATE(YEAR(IT22)+5,MONTH(IT22),DAY(IT22))</f>
        <v>47315</v>
      </c>
      <c r="IV22" s="8">
        <f ca="1">IU22-TODAY()</f>
        <v>1170</v>
      </c>
      <c r="IW22" s="5" t="str">
        <f t="shared" ca="1" si="98"/>
        <v>VIGENTE</v>
      </c>
      <c r="IX22" s="3"/>
      <c r="IY22" s="4">
        <v>45477</v>
      </c>
      <c r="IZ22" s="4">
        <f>DATE(YEAR(IY22)+5,MONTH(IY22),DAY(IY22))</f>
        <v>47303</v>
      </c>
      <c r="JA22" s="8">
        <f ca="1">IZ22-TODAY()</f>
        <v>1158</v>
      </c>
      <c r="JB22" s="5" t="str">
        <f t="shared" ca="1" si="99"/>
        <v>VIGENTE</v>
      </c>
      <c r="JC22" s="3" t="s">
        <v>780</v>
      </c>
      <c r="JD22" s="3"/>
      <c r="JE22" s="4"/>
      <c r="JF22" s="8"/>
      <c r="JG22" s="5"/>
      <c r="JH22" s="3" t="s">
        <v>780</v>
      </c>
      <c r="JI22" s="6"/>
      <c r="JJ22" s="6"/>
      <c r="JK22" s="6"/>
      <c r="JL22" s="5"/>
      <c r="JM22" s="6" t="s">
        <v>780</v>
      </c>
      <c r="JN22" s="6"/>
      <c r="JO22" s="6"/>
      <c r="JP22" s="6"/>
      <c r="JQ22" s="5"/>
      <c r="JR22" s="6" t="s">
        <v>780</v>
      </c>
      <c r="JS22" s="6"/>
      <c r="JT22" s="6"/>
      <c r="JU22" s="6"/>
      <c r="JV22" s="5"/>
      <c r="JW22" s="6" t="s">
        <v>780</v>
      </c>
      <c r="JX22" s="3"/>
      <c r="JY22" s="4"/>
      <c r="JZ22" s="8"/>
      <c r="KA22" s="5"/>
      <c r="KB22" s="5"/>
      <c r="KC22" s="5"/>
      <c r="KD22" s="4"/>
      <c r="KE22" s="8"/>
      <c r="KF22" s="5" t="str">
        <f t="shared" si="135"/>
        <v>NO APLICA</v>
      </c>
      <c r="KG22" s="5"/>
      <c r="KH22" s="5"/>
      <c r="KI22" s="4"/>
      <c r="KJ22" s="8"/>
      <c r="KK22" s="5" t="str">
        <f t="shared" si="136"/>
        <v>NO APLICA</v>
      </c>
      <c r="KL22" s="5"/>
      <c r="KM22" s="5"/>
      <c r="KN22" s="4"/>
      <c r="KO22" s="8"/>
      <c r="KP22" s="5" t="str">
        <f t="shared" si="100"/>
        <v>NO APLICA</v>
      </c>
      <c r="KQ22" s="5"/>
      <c r="KR22" s="2"/>
      <c r="KS22" s="4"/>
      <c r="KT22" s="8"/>
      <c r="KU22" s="5" t="str">
        <f t="shared" si="137"/>
        <v>NO APLICA</v>
      </c>
      <c r="KV22" s="3"/>
      <c r="KW22" s="4">
        <v>44653</v>
      </c>
      <c r="KX22" s="4">
        <f>DATE(YEAR(KW22)+5,MONTH(KW22),DAY(KW22))</f>
        <v>46479</v>
      </c>
      <c r="KY22" s="8">
        <f ca="1">KX22-TODAY()</f>
        <v>334</v>
      </c>
      <c r="KZ22" s="5" t="str">
        <f t="shared" ca="1" si="151"/>
        <v>VIGENTE</v>
      </c>
      <c r="LA22" s="5"/>
      <c r="LB22" s="6"/>
      <c r="LC22" s="4"/>
      <c r="LD22" s="8"/>
      <c r="LE22" s="5" t="str">
        <f t="shared" si="138"/>
        <v>NO APLICA</v>
      </c>
      <c r="LF22" s="6"/>
      <c r="LG22" s="4"/>
      <c r="LH22" s="4"/>
      <c r="LI22" s="8"/>
      <c r="LJ22" s="5" t="str">
        <f t="shared" si="101"/>
        <v>NO APLICA</v>
      </c>
      <c r="LK22" s="5"/>
      <c r="LL22" s="5"/>
      <c r="LM22" s="4"/>
      <c r="LN22" s="8"/>
      <c r="LO22" s="5" t="str">
        <f t="shared" si="152"/>
        <v>NO APLICA</v>
      </c>
      <c r="LP22" s="5"/>
      <c r="LQ22" s="6"/>
      <c r="LR22" s="4"/>
      <c r="LS22" s="8"/>
      <c r="LT22" s="5" t="str">
        <f t="shared" si="139"/>
        <v>NO APLICA</v>
      </c>
      <c r="LU22" s="6"/>
      <c r="LV22" s="6"/>
      <c r="LW22" s="4"/>
      <c r="LX22" s="8"/>
      <c r="LY22" s="5" t="str">
        <f t="shared" si="140"/>
        <v>NO APLICA</v>
      </c>
      <c r="LZ22" s="6"/>
      <c r="MA22" s="6"/>
      <c r="MB22" s="4"/>
      <c r="MC22" s="8"/>
      <c r="MD22" s="5" t="str">
        <f t="shared" si="141"/>
        <v>NO APLICA</v>
      </c>
      <c r="ME22" s="5"/>
      <c r="MF22" s="5"/>
      <c r="MG22" s="4"/>
      <c r="MH22" s="8"/>
      <c r="MI22" s="5" t="str">
        <f t="shared" si="102"/>
        <v>NO APLICA</v>
      </c>
      <c r="MJ22" s="5"/>
      <c r="MK22" s="5"/>
      <c r="ML22" s="4"/>
      <c r="MM22" s="8"/>
      <c r="MN22" s="5" t="str">
        <f t="shared" si="103"/>
        <v>NO APLICA</v>
      </c>
      <c r="MO22" s="5"/>
      <c r="MP22" s="5"/>
      <c r="MQ22" s="4"/>
      <c r="MR22" s="8"/>
      <c r="MS22" s="5" t="str">
        <f t="shared" si="104"/>
        <v>NO APLICA</v>
      </c>
      <c r="MT22" s="5"/>
      <c r="MU22" s="5"/>
      <c r="MV22" s="4"/>
      <c r="MW22" s="5"/>
      <c r="MX22" s="5" t="str">
        <f t="shared" si="105"/>
        <v>NO APLICA</v>
      </c>
      <c r="MY22" s="5"/>
      <c r="MZ22" s="6"/>
      <c r="NA22" s="4"/>
      <c r="NB22" s="8"/>
      <c r="NC22" s="5" t="str">
        <f t="shared" si="106"/>
        <v>NO APLICA</v>
      </c>
      <c r="ND22" s="5"/>
      <c r="NE22" s="6"/>
      <c r="NF22" s="4"/>
      <c r="NG22" s="8"/>
      <c r="NH22" s="5" t="str">
        <f t="shared" si="107"/>
        <v>NO APLICA</v>
      </c>
      <c r="NI22" s="5"/>
      <c r="NJ22" s="6"/>
      <c r="NK22" s="4"/>
      <c r="NL22" s="8"/>
      <c r="NM22" s="5" t="str">
        <f t="shared" si="108"/>
        <v>NO APLICA</v>
      </c>
      <c r="NN22" s="5"/>
      <c r="NO22" s="5"/>
      <c r="NP22" s="4"/>
      <c r="NQ22" s="5"/>
      <c r="NR22" s="5" t="str">
        <f t="shared" si="109"/>
        <v>NO APLICA</v>
      </c>
      <c r="NS22" s="5"/>
      <c r="NT22" s="5"/>
      <c r="NU22" s="5"/>
      <c r="NV22" s="5"/>
      <c r="NW22" s="5" t="str">
        <f t="shared" si="110"/>
        <v>NO APLICA</v>
      </c>
      <c r="NX22" s="6"/>
      <c r="NY22" s="6"/>
      <c r="NZ22" s="4"/>
      <c r="OA22" s="8"/>
      <c r="OB22" s="5" t="str">
        <f t="shared" si="111"/>
        <v>NO APLICA</v>
      </c>
      <c r="OC22" s="6"/>
      <c r="OD22" s="6"/>
      <c r="OE22" s="6"/>
      <c r="OF22" s="6"/>
      <c r="OG22" s="5" t="str">
        <f t="shared" si="112"/>
        <v>NO APLICA</v>
      </c>
      <c r="OH22" s="5"/>
      <c r="OI22" s="5"/>
      <c r="OJ22" s="4"/>
      <c r="OK22" s="8"/>
      <c r="OL22" s="5" t="str">
        <f t="shared" si="113"/>
        <v>NO APLICA</v>
      </c>
      <c r="OM22" s="6"/>
      <c r="ON22" s="6"/>
      <c r="OO22" s="6"/>
      <c r="OP22" s="6"/>
      <c r="OQ22" s="5" t="str">
        <f t="shared" si="114"/>
        <v>NO APLICA</v>
      </c>
      <c r="OR22" s="6"/>
      <c r="OS22" s="6"/>
      <c r="OT22" s="6"/>
      <c r="OU22" s="6"/>
      <c r="OV22" s="5" t="str">
        <f t="shared" si="115"/>
        <v>NO APLICA</v>
      </c>
      <c r="OW22" s="6"/>
      <c r="OX22" s="6"/>
      <c r="OY22" s="6"/>
      <c r="OZ22" s="6"/>
      <c r="PA22" s="5" t="str">
        <f t="shared" si="116"/>
        <v>NO APLICA</v>
      </c>
      <c r="PB22" s="6"/>
      <c r="PC22" s="6"/>
      <c r="PD22" s="6"/>
      <c r="PE22" s="6"/>
      <c r="PF22" s="5" t="str">
        <f t="shared" si="117"/>
        <v>NO APLICA</v>
      </c>
      <c r="PG22" s="6"/>
      <c r="PH22" s="6"/>
      <c r="PI22" s="6"/>
      <c r="PJ22" s="6"/>
      <c r="PK22" s="5" t="str">
        <f t="shared" si="118"/>
        <v>NO APLICA</v>
      </c>
      <c r="PL22" s="5"/>
      <c r="PM22" s="6"/>
      <c r="PN22" s="4"/>
      <c r="PO22" s="8"/>
      <c r="PP22" s="5" t="str">
        <f t="shared" si="119"/>
        <v>NO APLICA</v>
      </c>
      <c r="PQ22" s="6"/>
      <c r="PR22" s="6"/>
      <c r="PS22" s="6"/>
      <c r="PT22" s="6"/>
      <c r="PU22" s="5" t="str">
        <f t="shared" si="120"/>
        <v>NO APLICA</v>
      </c>
      <c r="PV22" s="5"/>
      <c r="PW22" s="6"/>
      <c r="PX22" s="6"/>
      <c r="PY22" s="6"/>
      <c r="PZ22" s="5" t="str">
        <f t="shared" si="121"/>
        <v>NO APLICA</v>
      </c>
    </row>
    <row r="23" spans="1:442" ht="15.6" hidden="1" thickTop="1" thickBot="1" x14ac:dyDescent="0.35">
      <c r="A23" s="26">
        <v>20</v>
      </c>
      <c r="B23" s="27">
        <v>252</v>
      </c>
      <c r="C23" s="28" t="s">
        <v>132</v>
      </c>
      <c r="D23" s="29" t="s">
        <v>64</v>
      </c>
      <c r="E23" s="30" t="s">
        <v>133</v>
      </c>
      <c r="F23" s="5"/>
      <c r="G23" s="6"/>
      <c r="H23" s="4"/>
      <c r="I23" s="8"/>
      <c r="J23" s="5" t="str">
        <f t="shared" si="0"/>
        <v>NO APLICA</v>
      </c>
      <c r="K23" s="5"/>
      <c r="L23" s="6"/>
      <c r="M23" s="6"/>
      <c r="N23" s="8"/>
      <c r="O23" s="5" t="str">
        <f t="shared" si="1"/>
        <v>NO APLICA</v>
      </c>
      <c r="P23" s="4"/>
      <c r="Q23" s="4">
        <v>45604</v>
      </c>
      <c r="R23" s="4">
        <f>DATE(YEAR(Q23)+2,MONTH(Q23),DAY(Q23)-1)</f>
        <v>46333</v>
      </c>
      <c r="S23" s="8">
        <f ca="1">R23-TODAY()</f>
        <v>188</v>
      </c>
      <c r="T23" s="5" t="str">
        <f t="shared" ca="1" si="122"/>
        <v>VIGENTE</v>
      </c>
      <c r="U23" s="5"/>
      <c r="V23" s="2" t="s">
        <v>134</v>
      </c>
      <c r="W23" s="4">
        <v>45391</v>
      </c>
      <c r="X23" s="4">
        <f t="shared" si="2"/>
        <v>47217</v>
      </c>
      <c r="Y23" s="8">
        <f t="shared" ca="1" si="3"/>
        <v>1072</v>
      </c>
      <c r="Z23" s="5" t="str">
        <f t="shared" ca="1" si="4"/>
        <v>VIGENTE</v>
      </c>
      <c r="AA23" s="5"/>
      <c r="AB23" s="2" t="s">
        <v>135</v>
      </c>
      <c r="AC23" s="4">
        <v>45190</v>
      </c>
      <c r="AD23" s="4">
        <f>DATE(YEAR(AC23)+5,MONTH(AC23),DAY(AC23))</f>
        <v>47017</v>
      </c>
      <c r="AE23" s="8">
        <f ca="1">AD23-TODAY()</f>
        <v>872</v>
      </c>
      <c r="AF23" s="5" t="str">
        <f t="shared" ca="1" si="7"/>
        <v>VIGENTE</v>
      </c>
      <c r="AG23" s="3"/>
      <c r="AH23" s="4">
        <v>45902</v>
      </c>
      <c r="AI23" s="4">
        <f>DATE(YEAR(AH23)+2,MONTH(AH23),DAY(AH23))</f>
        <v>46632</v>
      </c>
      <c r="AJ23" s="8">
        <f t="shared" ca="1" si="8"/>
        <v>487</v>
      </c>
      <c r="AK23" s="5" t="str">
        <f t="shared" ca="1" si="9"/>
        <v>VIGENTE</v>
      </c>
      <c r="AL23" s="3"/>
      <c r="AM23" s="4">
        <v>45937</v>
      </c>
      <c r="AN23" s="4">
        <f t="shared" si="184"/>
        <v>46667</v>
      </c>
      <c r="AO23" s="8">
        <f t="shared" ca="1" si="10"/>
        <v>522</v>
      </c>
      <c r="AP23" s="5" t="str">
        <f t="shared" ca="1" si="11"/>
        <v>VIGENTE</v>
      </c>
      <c r="AQ23" s="3"/>
      <c r="AR23" s="4">
        <v>45989</v>
      </c>
      <c r="AS23" s="4">
        <f t="shared" si="178"/>
        <v>46719</v>
      </c>
      <c r="AT23" s="8">
        <f t="shared" ca="1" si="12"/>
        <v>574</v>
      </c>
      <c r="AU23" s="5" t="str">
        <f t="shared" ca="1" si="13"/>
        <v>VIGENTE</v>
      </c>
      <c r="AV23" s="3"/>
      <c r="AW23" s="4">
        <v>45990</v>
      </c>
      <c r="AX23" s="4">
        <f>DATE(YEAR(AW23)+2,MONTH(AW23),DAY(AW23))</f>
        <v>46720</v>
      </c>
      <c r="AY23" s="8">
        <f t="shared" ca="1" si="15"/>
        <v>575</v>
      </c>
      <c r="AZ23" s="5" t="str">
        <f t="shared" ca="1" si="16"/>
        <v>VIGENTE</v>
      </c>
      <c r="BA23" s="3"/>
      <c r="BB23" s="4">
        <v>45622</v>
      </c>
      <c r="BC23" s="4">
        <f>DATE(YEAR(BB23)+2,MONTH(BB23),DAY(BB23)-1)</f>
        <v>46351</v>
      </c>
      <c r="BD23" s="8">
        <f t="shared" ca="1" si="17"/>
        <v>206</v>
      </c>
      <c r="BE23" s="5" t="str">
        <f t="shared" ca="1" si="18"/>
        <v>VIGENTE</v>
      </c>
      <c r="BF23" s="3"/>
      <c r="BG23" s="4">
        <v>45698</v>
      </c>
      <c r="BH23" s="4">
        <f>DATE(YEAR(BG23)+2,MONTH(BG23),DAY(BG23)-1)</f>
        <v>46427</v>
      </c>
      <c r="BI23" s="8">
        <f t="shared" ca="1" si="19"/>
        <v>282</v>
      </c>
      <c r="BJ23" s="5" t="str">
        <f t="shared" ca="1" si="20"/>
        <v>VIGENTE</v>
      </c>
      <c r="BK23" s="3"/>
      <c r="BL23" s="4">
        <v>45600</v>
      </c>
      <c r="BM23" s="4">
        <f>DATE(YEAR(BL23)+2,MONTH(BL23),DAY(BL23)-1)</f>
        <v>46329</v>
      </c>
      <c r="BN23" s="8">
        <f t="shared" ca="1" si="21"/>
        <v>184</v>
      </c>
      <c r="BO23" s="5" t="str">
        <f t="shared" ca="1" si="22"/>
        <v>VIGENTE</v>
      </c>
      <c r="BP23" s="3"/>
      <c r="BQ23" s="39">
        <v>46120</v>
      </c>
      <c r="BR23" s="4">
        <f>DATE(YEAR(BQ23)+2,MONTH(BQ23),DAY(BQ23)-1)</f>
        <v>46850</v>
      </c>
      <c r="BS23" s="8">
        <f t="shared" ca="1" si="23"/>
        <v>705</v>
      </c>
      <c r="BT23" s="5" t="str">
        <f t="shared" ca="1" si="24"/>
        <v>VIGENTE</v>
      </c>
      <c r="BU23" s="3"/>
      <c r="BV23" s="4">
        <v>46135</v>
      </c>
      <c r="BW23" s="4">
        <f t="shared" si="185"/>
        <v>46865</v>
      </c>
      <c r="BX23" s="8">
        <f t="shared" ca="1" si="25"/>
        <v>720</v>
      </c>
      <c r="BY23" s="5" t="str">
        <f t="shared" ca="1" si="26"/>
        <v>VIGENTE</v>
      </c>
      <c r="BZ23" s="3"/>
      <c r="CA23" s="4">
        <v>45944</v>
      </c>
      <c r="CB23" s="4">
        <f t="shared" si="186"/>
        <v>46674</v>
      </c>
      <c r="CC23" s="8">
        <f t="shared" ca="1" si="27"/>
        <v>529</v>
      </c>
      <c r="CD23" s="5" t="str">
        <f t="shared" ca="1" si="28"/>
        <v>VIGENTE</v>
      </c>
      <c r="CE23" s="6"/>
      <c r="CF23" s="4">
        <v>45828</v>
      </c>
      <c r="CG23" s="4">
        <f t="shared" si="29"/>
        <v>47289</v>
      </c>
      <c r="CH23" s="8">
        <f t="shared" ca="1" si="30"/>
        <v>1144</v>
      </c>
      <c r="CI23" s="5" t="str">
        <f t="shared" ca="1" si="31"/>
        <v>VIGENTE</v>
      </c>
      <c r="CJ23" s="4"/>
      <c r="CK23" s="4">
        <v>45601</v>
      </c>
      <c r="CL23" s="4">
        <f>DATE(YEAR(CK23)+2,MONTH(CK23),DAY(CK23)-1)</f>
        <v>46330</v>
      </c>
      <c r="CM23" s="8">
        <f t="shared" ca="1" si="32"/>
        <v>185</v>
      </c>
      <c r="CN23" s="5" t="str">
        <f t="shared" ca="1" si="33"/>
        <v>VIGENTE</v>
      </c>
      <c r="CO23" s="3"/>
      <c r="CP23" s="39">
        <v>45597</v>
      </c>
      <c r="CQ23" s="4">
        <f>DATE(YEAR(CP23)+2,MONTH(CP23),DAY(CP23)-1)</f>
        <v>46326</v>
      </c>
      <c r="CR23" s="8">
        <f t="shared" ca="1" si="34"/>
        <v>181</v>
      </c>
      <c r="CS23" s="5" t="str">
        <f t="shared" ca="1" si="35"/>
        <v>VIGENTE</v>
      </c>
      <c r="CT23" s="3"/>
      <c r="CU23" s="4">
        <v>45905</v>
      </c>
      <c r="CV23" s="4">
        <f>DATE(YEAR(CU23)+2,MONTH(CU23),DAY(CU23))</f>
        <v>46635</v>
      </c>
      <c r="CW23" s="8">
        <f t="shared" ca="1" si="36"/>
        <v>490</v>
      </c>
      <c r="CX23" s="5" t="str">
        <f t="shared" ca="1" si="37"/>
        <v>VIGENTE</v>
      </c>
      <c r="CY23" s="3"/>
      <c r="CZ23" s="4">
        <v>46000</v>
      </c>
      <c r="DA23" s="4">
        <f>DATE(YEAR(CZ23)+2,MONTH(CZ23),DAY(CZ23))</f>
        <v>46730</v>
      </c>
      <c r="DB23" s="8">
        <f t="shared" ca="1" si="38"/>
        <v>585</v>
      </c>
      <c r="DC23" s="5" t="str">
        <f t="shared" ca="1" si="39"/>
        <v>VIGENTE</v>
      </c>
      <c r="DD23" s="3"/>
      <c r="DE23" s="39">
        <v>45596</v>
      </c>
      <c r="DF23" s="4">
        <f>DATE(YEAR(DE23)+2,MONTH(DE23),DAY(DE23)-1)</f>
        <v>46325</v>
      </c>
      <c r="DG23" s="8">
        <f t="shared" ca="1" si="40"/>
        <v>180</v>
      </c>
      <c r="DH23" s="5" t="str">
        <f t="shared" ca="1" si="41"/>
        <v>VIGENTE</v>
      </c>
      <c r="DI23" s="3"/>
      <c r="DJ23" s="39">
        <v>45975</v>
      </c>
      <c r="DK23" s="4">
        <f>DATE(YEAR(DJ23)+2,MONTH(DJ23),DAY(DJ23))</f>
        <v>46705</v>
      </c>
      <c r="DL23" s="8">
        <f t="shared" ca="1" si="43"/>
        <v>560</v>
      </c>
      <c r="DM23" s="5" t="str">
        <f t="shared" ca="1" si="44"/>
        <v>VIGENTE</v>
      </c>
      <c r="DN23" s="3"/>
      <c r="DO23" s="4">
        <v>45982</v>
      </c>
      <c r="DP23" s="4">
        <f>DATE(YEAR(DO23)+2,MONTH(DO23),DAY(DO23))</f>
        <v>46712</v>
      </c>
      <c r="DQ23" s="8">
        <f t="shared" ca="1" si="46"/>
        <v>567</v>
      </c>
      <c r="DR23" s="5" t="str">
        <f t="shared" ca="1" si="47"/>
        <v>VIGENTE</v>
      </c>
      <c r="DS23" s="3"/>
      <c r="DT23" s="4">
        <v>45608</v>
      </c>
      <c r="DU23" s="4">
        <f>DATE(YEAR(DT23)+2,MONTH(DT23),DAY(DT23)-1)</f>
        <v>46337</v>
      </c>
      <c r="DV23" s="8">
        <f t="shared" ca="1" si="48"/>
        <v>192</v>
      </c>
      <c r="DW23" s="5" t="str">
        <f t="shared" ca="1" si="49"/>
        <v>VIGENTE</v>
      </c>
      <c r="DX23" s="3"/>
      <c r="DY23" s="4">
        <v>45582</v>
      </c>
      <c r="DZ23" s="4">
        <f>DATE(YEAR(DY23)+2,MONTH(DY23),DAY(DY23)-1)</f>
        <v>46311</v>
      </c>
      <c r="EA23" s="8">
        <f t="shared" ca="1" si="50"/>
        <v>166</v>
      </c>
      <c r="EB23" s="5" t="str">
        <f t="shared" ca="1" si="51"/>
        <v>VIGENTE</v>
      </c>
      <c r="EC23" s="3"/>
      <c r="ED23" s="39">
        <v>45602</v>
      </c>
      <c r="EE23" s="4">
        <f>DATE(YEAR(ED23)+2,MONTH(ED23),DAY(ED23)-1)</f>
        <v>46331</v>
      </c>
      <c r="EF23" s="8">
        <f t="shared" ca="1" si="52"/>
        <v>186</v>
      </c>
      <c r="EG23" s="5" t="str">
        <f t="shared" ca="1" si="53"/>
        <v>VIGENTE</v>
      </c>
      <c r="EH23" s="3"/>
      <c r="EI23" s="3">
        <v>46107</v>
      </c>
      <c r="EJ23" s="4">
        <f t="shared" si="131"/>
        <v>46472</v>
      </c>
      <c r="EK23" s="8">
        <f t="shared" ca="1" si="54"/>
        <v>327</v>
      </c>
      <c r="EL23" s="5" t="str">
        <f t="shared" ca="1" si="55"/>
        <v>VIGENTE</v>
      </c>
      <c r="EM23" s="3"/>
      <c r="EN23" s="4">
        <v>45584</v>
      </c>
      <c r="EO23" s="4">
        <f t="shared" si="181"/>
        <v>46313</v>
      </c>
      <c r="EP23" s="8">
        <f t="shared" ca="1" si="56"/>
        <v>168</v>
      </c>
      <c r="EQ23" s="5" t="str">
        <f t="shared" ca="1" si="57"/>
        <v>VIGENTE</v>
      </c>
      <c r="ER23" s="3"/>
      <c r="ES23" s="39">
        <v>45575</v>
      </c>
      <c r="ET23" s="4">
        <f t="shared" si="182"/>
        <v>46304</v>
      </c>
      <c r="EU23" s="8">
        <f t="shared" ca="1" si="58"/>
        <v>159</v>
      </c>
      <c r="EV23" s="5" t="str">
        <f t="shared" ca="1" si="59"/>
        <v>VIGENTE</v>
      </c>
      <c r="EW23" s="3"/>
      <c r="EX23" s="4">
        <v>45917</v>
      </c>
      <c r="EY23" s="4">
        <f>DATE(YEAR(EX23)+2,MONTH(EX23),DAY(EX23))</f>
        <v>46647</v>
      </c>
      <c r="EZ23" s="8">
        <f t="shared" ca="1" si="60"/>
        <v>502</v>
      </c>
      <c r="FA23" s="5" t="str">
        <f t="shared" ca="1" si="61"/>
        <v>VIGENTE</v>
      </c>
      <c r="FB23" s="3"/>
      <c r="FC23" s="4">
        <v>45931</v>
      </c>
      <c r="FD23" s="4">
        <f>DATE(YEAR(FC23)+2,MONTH(FC23),DAY(FC23))</f>
        <v>46661</v>
      </c>
      <c r="FE23" s="8">
        <f t="shared" ca="1" si="62"/>
        <v>516</v>
      </c>
      <c r="FF23" s="5" t="str">
        <f t="shared" ca="1" si="63"/>
        <v>VIGENTE</v>
      </c>
      <c r="FG23" s="3"/>
      <c r="FH23" s="4">
        <v>45919</v>
      </c>
      <c r="FI23" s="4">
        <f>DATE(YEAR(FH23)+2,MONTH(FH23),DAY(FH23))</f>
        <v>46649</v>
      </c>
      <c r="FJ23" s="8">
        <f t="shared" ca="1" si="64"/>
        <v>504</v>
      </c>
      <c r="FK23" s="5" t="str">
        <f t="shared" ca="1" si="65"/>
        <v>VIGENTE</v>
      </c>
      <c r="FL23" s="3"/>
      <c r="FM23" s="39">
        <v>45588</v>
      </c>
      <c r="FN23" s="4">
        <f>DATE(YEAR(FM23)+2,MONTH(FM23),DAY(FM23)-1)</f>
        <v>46317</v>
      </c>
      <c r="FO23" s="8">
        <f t="shared" ca="1" si="67"/>
        <v>172</v>
      </c>
      <c r="FP23" s="5" t="str">
        <f t="shared" ca="1" si="68"/>
        <v>VIGENTE</v>
      </c>
      <c r="FQ23" s="3"/>
      <c r="FR23" s="39">
        <v>45664</v>
      </c>
      <c r="FS23" s="4">
        <f>DATE(YEAR(FR23)+2,MONTH(FR23),DAY(FR23)-1)</f>
        <v>46393</v>
      </c>
      <c r="FT23" s="8">
        <f t="shared" ca="1" si="69"/>
        <v>248</v>
      </c>
      <c r="FU23" s="5" t="str">
        <f t="shared" ca="1" si="70"/>
        <v>VIGENTE</v>
      </c>
      <c r="FV23" s="3"/>
      <c r="FW23" s="4">
        <v>45941</v>
      </c>
      <c r="FX23" s="4">
        <f>DATE(YEAR(FW23)+2,MONTH(FW23),DAY(FW23))</f>
        <v>46671</v>
      </c>
      <c r="FY23" s="8">
        <f t="shared" ca="1" si="71"/>
        <v>526</v>
      </c>
      <c r="FZ23" s="5" t="str">
        <f t="shared" ca="1" si="72"/>
        <v>VIGENTE</v>
      </c>
      <c r="GA23" s="3"/>
      <c r="GB23" s="4">
        <v>45595</v>
      </c>
      <c r="GC23" s="4">
        <f t="shared" si="183"/>
        <v>46324</v>
      </c>
      <c r="GD23" s="8">
        <f t="shared" ca="1" si="73"/>
        <v>179</v>
      </c>
      <c r="GE23" s="5" t="str">
        <f t="shared" ca="1" si="74"/>
        <v>VIGENTE</v>
      </c>
      <c r="GF23" s="3"/>
      <c r="GG23" s="4">
        <v>45579</v>
      </c>
      <c r="GH23" s="4">
        <f>DATE(YEAR(GG23)+2,MONTH(GG23),DAY(GG23)-1)</f>
        <v>46308</v>
      </c>
      <c r="GI23" s="8">
        <f t="shared" ca="1" si="75"/>
        <v>163</v>
      </c>
      <c r="GJ23" s="5" t="str">
        <f t="shared" ca="1" si="76"/>
        <v>VIGENTE</v>
      </c>
      <c r="GK23" s="3"/>
      <c r="GL23" s="4">
        <v>45567</v>
      </c>
      <c r="GM23" s="4">
        <f>DATE(YEAR(GL23)+2,MONTH(GL23),DAY(GL23)-1)</f>
        <v>46296</v>
      </c>
      <c r="GN23" s="8">
        <f t="shared" ca="1" si="77"/>
        <v>151</v>
      </c>
      <c r="GO23" s="5" t="str">
        <f t="shared" ca="1" si="78"/>
        <v>VIGENTE</v>
      </c>
      <c r="GP23" s="4"/>
      <c r="GQ23" s="4">
        <v>45495</v>
      </c>
      <c r="GR23" s="4">
        <f t="shared" si="79"/>
        <v>47321</v>
      </c>
      <c r="GS23" s="8">
        <f t="shared" ca="1" si="176"/>
        <v>1176</v>
      </c>
      <c r="GT23" s="5" t="str">
        <f t="shared" ca="1" si="81"/>
        <v>VIGENTE</v>
      </c>
      <c r="GU23" s="3"/>
      <c r="GV23" s="4">
        <v>45507</v>
      </c>
      <c r="GW23" s="4">
        <f t="shared" si="82"/>
        <v>47333</v>
      </c>
      <c r="GX23" s="8">
        <f t="shared" ca="1" si="83"/>
        <v>1188</v>
      </c>
      <c r="GY23" s="5" t="str">
        <f t="shared" ca="1" si="84"/>
        <v>VIGENTE</v>
      </c>
      <c r="GZ23" s="3"/>
      <c r="HA23" s="4">
        <v>45294</v>
      </c>
      <c r="HB23" s="4">
        <f t="shared" si="85"/>
        <v>47121</v>
      </c>
      <c r="HC23" s="8">
        <f t="shared" ca="1" si="86"/>
        <v>976</v>
      </c>
      <c r="HD23" s="5" t="str">
        <f t="shared" ca="1" si="87"/>
        <v>VIGENTE</v>
      </c>
      <c r="HE23" s="6"/>
      <c r="HF23" s="6"/>
      <c r="HG23" s="4"/>
      <c r="HH23" s="8"/>
      <c r="HI23" s="5" t="str">
        <f>IF(HH23&gt;=61,"VIGENTE",IF(HH23&gt;=1,"POR VENCER",IF(HH23&lt;=-1,"PROGRAMAR",IF(HF23=0,"NO APLICA"))))</f>
        <v>NO APLICA</v>
      </c>
      <c r="HJ23" s="2"/>
      <c r="HK23" s="6"/>
      <c r="HL23" s="4"/>
      <c r="HM23" s="8"/>
      <c r="HN23" s="5" t="str">
        <f t="shared" si="91"/>
        <v>NO APLICA</v>
      </c>
      <c r="HO23" s="2"/>
      <c r="HP23" s="5"/>
      <c r="HQ23" s="5"/>
      <c r="HR23" s="5"/>
      <c r="HS23" s="5" t="str">
        <f t="shared" si="92"/>
        <v>NO APLICA</v>
      </c>
      <c r="HT23" s="2"/>
      <c r="HU23" s="6"/>
      <c r="HV23" s="4"/>
      <c r="HW23" s="8"/>
      <c r="HX23" s="5" t="str">
        <f t="shared" si="93"/>
        <v>NO APLICA</v>
      </c>
      <c r="HY23" s="2"/>
      <c r="HZ23" s="6"/>
      <c r="IA23" s="4"/>
      <c r="IB23" s="8"/>
      <c r="IC23" s="5" t="str">
        <f t="shared" si="94"/>
        <v>NO APLICA</v>
      </c>
      <c r="ID23" s="2"/>
      <c r="IE23" s="6"/>
      <c r="IF23" s="4"/>
      <c r="IG23" s="8"/>
      <c r="IH23" s="5" t="str">
        <f t="shared" si="95"/>
        <v>NO APLICA</v>
      </c>
      <c r="II23" s="6"/>
      <c r="IJ23" s="6"/>
      <c r="IK23" s="4"/>
      <c r="IL23" s="8"/>
      <c r="IM23" s="5" t="str">
        <f t="shared" si="96"/>
        <v>NO APLICA</v>
      </c>
      <c r="IN23" s="2"/>
      <c r="IO23" s="6"/>
      <c r="IP23" s="4"/>
      <c r="IQ23" s="8"/>
      <c r="IR23" s="5" t="str">
        <f t="shared" si="97"/>
        <v>NO APLICA</v>
      </c>
      <c r="IS23" s="2"/>
      <c r="IT23" s="6"/>
      <c r="IU23" s="4"/>
      <c r="IV23" s="8"/>
      <c r="IW23" s="5" t="str">
        <f t="shared" si="98"/>
        <v>NO APLICA</v>
      </c>
      <c r="IX23" s="2"/>
      <c r="IY23" s="6"/>
      <c r="IZ23" s="4"/>
      <c r="JA23" s="8"/>
      <c r="JB23" s="5" t="str">
        <f t="shared" si="99"/>
        <v>NO APLICA</v>
      </c>
      <c r="JC23" s="3" t="s">
        <v>780</v>
      </c>
      <c r="JD23" s="3"/>
      <c r="JE23" s="4"/>
      <c r="JF23" s="8"/>
      <c r="JG23" s="5"/>
      <c r="JH23" s="3" t="s">
        <v>780</v>
      </c>
      <c r="JI23" s="6"/>
      <c r="JJ23" s="6"/>
      <c r="JK23" s="6"/>
      <c r="JL23" s="5"/>
      <c r="JM23" s="6" t="s">
        <v>780</v>
      </c>
      <c r="JN23" s="6"/>
      <c r="JO23" s="6"/>
      <c r="JP23" s="6"/>
      <c r="JQ23" s="5"/>
      <c r="JR23" s="6" t="s">
        <v>780</v>
      </c>
      <c r="JS23" s="6"/>
      <c r="JT23" s="6"/>
      <c r="JU23" s="6"/>
      <c r="JV23" s="5"/>
      <c r="JW23" s="6" t="s">
        <v>780</v>
      </c>
      <c r="JX23" s="5"/>
      <c r="JY23" s="5"/>
      <c r="JZ23" s="5"/>
      <c r="KA23" s="5"/>
      <c r="KB23" s="5"/>
      <c r="KC23" s="5"/>
      <c r="KD23" s="4"/>
      <c r="KE23" s="8"/>
      <c r="KF23" s="5" t="str">
        <f t="shared" si="135"/>
        <v>NO APLICA</v>
      </c>
      <c r="KG23" s="5"/>
      <c r="KH23" s="5"/>
      <c r="KI23" s="4"/>
      <c r="KJ23" s="8"/>
      <c r="KK23" s="5" t="str">
        <f t="shared" si="136"/>
        <v>NO APLICA</v>
      </c>
      <c r="KL23" s="5"/>
      <c r="KM23" s="5"/>
      <c r="KN23" s="4"/>
      <c r="KO23" s="8"/>
      <c r="KP23" s="5" t="str">
        <f t="shared" si="100"/>
        <v>NO APLICA</v>
      </c>
      <c r="KQ23" s="5"/>
      <c r="KR23" s="2"/>
      <c r="KS23" s="4"/>
      <c r="KT23" s="8"/>
      <c r="KU23" s="5" t="str">
        <f t="shared" si="137"/>
        <v>NO APLICA</v>
      </c>
      <c r="KV23" s="3"/>
      <c r="KW23" s="4">
        <v>44658</v>
      </c>
      <c r="KX23" s="4">
        <f>DATE(YEAR(KW23)+5,MONTH(KW23),DAY(KW23))</f>
        <v>46484</v>
      </c>
      <c r="KY23" s="8">
        <f ca="1">KX23-TODAY()</f>
        <v>339</v>
      </c>
      <c r="KZ23" s="5" t="str">
        <f t="shared" ca="1" si="151"/>
        <v>VIGENTE</v>
      </c>
      <c r="LA23" s="5"/>
      <c r="LB23" s="4">
        <v>44545</v>
      </c>
      <c r="LC23" s="4">
        <f>DATE(YEAR(LB23)+5,MONTH(LB23),DAY(LB23))</f>
        <v>46371</v>
      </c>
      <c r="LD23" s="8">
        <f ca="1">LC23-TODAY()</f>
        <v>226</v>
      </c>
      <c r="LE23" s="5" t="str">
        <f t="shared" ca="1" si="138"/>
        <v>VIGENTE</v>
      </c>
      <c r="LF23" s="6"/>
      <c r="LG23" s="6"/>
      <c r="LH23" s="4"/>
      <c r="LI23" s="8"/>
      <c r="LJ23" s="5" t="str">
        <f t="shared" si="101"/>
        <v>NO APLICA</v>
      </c>
      <c r="LK23" s="5"/>
      <c r="LL23" s="5"/>
      <c r="LM23" s="4"/>
      <c r="LN23" s="8"/>
      <c r="LO23" s="5" t="str">
        <f t="shared" si="152"/>
        <v>NO APLICA</v>
      </c>
      <c r="LP23" s="5"/>
      <c r="LQ23" s="6"/>
      <c r="LR23" s="4"/>
      <c r="LS23" s="8"/>
      <c r="LT23" s="5" t="str">
        <f t="shared" si="139"/>
        <v>NO APLICA</v>
      </c>
      <c r="LU23" s="6"/>
      <c r="LV23" s="6"/>
      <c r="LW23" s="4"/>
      <c r="LX23" s="8"/>
      <c r="LY23" s="5" t="str">
        <f t="shared" si="140"/>
        <v>NO APLICA</v>
      </c>
      <c r="LZ23" s="6"/>
      <c r="MA23" s="6"/>
      <c r="MB23" s="4"/>
      <c r="MC23" s="8"/>
      <c r="MD23" s="5" t="str">
        <f t="shared" si="141"/>
        <v>NO APLICA</v>
      </c>
      <c r="ME23" s="5"/>
      <c r="MF23" s="5"/>
      <c r="MG23" s="4"/>
      <c r="MH23" s="8"/>
      <c r="MI23" s="5" t="str">
        <f t="shared" si="102"/>
        <v>NO APLICA</v>
      </c>
      <c r="MJ23" s="5"/>
      <c r="MK23" s="5"/>
      <c r="ML23" s="4"/>
      <c r="MM23" s="8"/>
      <c r="MN23" s="5" t="str">
        <f t="shared" si="103"/>
        <v>NO APLICA</v>
      </c>
      <c r="MO23" s="5"/>
      <c r="MP23" s="5"/>
      <c r="MQ23" s="4"/>
      <c r="MR23" s="8"/>
      <c r="MS23" s="5" t="str">
        <f t="shared" si="104"/>
        <v>NO APLICA</v>
      </c>
      <c r="MT23" s="5"/>
      <c r="MU23" s="5"/>
      <c r="MV23" s="4"/>
      <c r="MW23" s="5"/>
      <c r="MX23" s="5" t="str">
        <f t="shared" si="105"/>
        <v>NO APLICA</v>
      </c>
      <c r="MY23" s="5"/>
      <c r="MZ23" s="6"/>
      <c r="NA23" s="4"/>
      <c r="NB23" s="8"/>
      <c r="NC23" s="5" t="str">
        <f t="shared" si="106"/>
        <v>NO APLICA</v>
      </c>
      <c r="ND23" s="5"/>
      <c r="NE23" s="6"/>
      <c r="NF23" s="4"/>
      <c r="NG23" s="8"/>
      <c r="NH23" s="5" t="str">
        <f t="shared" si="107"/>
        <v>NO APLICA</v>
      </c>
      <c r="NI23" s="5"/>
      <c r="NJ23" s="6"/>
      <c r="NK23" s="4"/>
      <c r="NL23" s="8"/>
      <c r="NM23" s="5" t="str">
        <f t="shared" si="108"/>
        <v>NO APLICA</v>
      </c>
      <c r="NN23" s="5"/>
      <c r="NO23" s="5"/>
      <c r="NP23" s="4"/>
      <c r="NQ23" s="8"/>
      <c r="NR23" s="5" t="str">
        <f t="shared" si="109"/>
        <v>NO APLICA</v>
      </c>
      <c r="NS23" s="5"/>
      <c r="NT23" s="5"/>
      <c r="NU23" s="5"/>
      <c r="NV23" s="5"/>
      <c r="NW23" s="5" t="str">
        <f t="shared" si="110"/>
        <v>NO APLICA</v>
      </c>
      <c r="NX23" s="6"/>
      <c r="NY23" s="6"/>
      <c r="NZ23" s="6"/>
      <c r="OA23" s="6"/>
      <c r="OB23" s="5" t="str">
        <f t="shared" si="111"/>
        <v>NO APLICA</v>
      </c>
      <c r="OC23" s="6"/>
      <c r="OD23" s="6"/>
      <c r="OE23" s="6"/>
      <c r="OF23" s="6"/>
      <c r="OG23" s="5" t="str">
        <f t="shared" si="112"/>
        <v>NO APLICA</v>
      </c>
      <c r="OH23" s="5"/>
      <c r="OI23" s="5"/>
      <c r="OJ23" s="4"/>
      <c r="OK23" s="8"/>
      <c r="OL23" s="5" t="str">
        <f t="shared" si="113"/>
        <v>NO APLICA</v>
      </c>
      <c r="OM23" s="6"/>
      <c r="ON23" s="6"/>
      <c r="OO23" s="6"/>
      <c r="OP23" s="6"/>
      <c r="OQ23" s="5" t="str">
        <f t="shared" si="114"/>
        <v>NO APLICA</v>
      </c>
      <c r="OR23" s="6"/>
      <c r="OS23" s="6"/>
      <c r="OT23" s="6"/>
      <c r="OU23" s="6"/>
      <c r="OV23" s="5" t="str">
        <f t="shared" si="115"/>
        <v>NO APLICA</v>
      </c>
      <c r="OW23" s="6"/>
      <c r="OX23" s="6"/>
      <c r="OY23" s="6"/>
      <c r="OZ23" s="6"/>
      <c r="PA23" s="5" t="str">
        <f t="shared" si="116"/>
        <v>NO APLICA</v>
      </c>
      <c r="PB23" s="6"/>
      <c r="PC23" s="6"/>
      <c r="PD23" s="6"/>
      <c r="PE23" s="6"/>
      <c r="PF23" s="5" t="str">
        <f t="shared" si="117"/>
        <v>NO APLICA</v>
      </c>
      <c r="PG23" s="6"/>
      <c r="PH23" s="6"/>
      <c r="PI23" s="6"/>
      <c r="PJ23" s="6"/>
      <c r="PK23" s="5" t="str">
        <f t="shared" si="118"/>
        <v>NO APLICA</v>
      </c>
      <c r="PL23" s="5"/>
      <c r="PM23" s="6"/>
      <c r="PN23" s="4"/>
      <c r="PO23" s="8"/>
      <c r="PP23" s="5" t="str">
        <f t="shared" si="119"/>
        <v>NO APLICA</v>
      </c>
      <c r="PQ23" s="6"/>
      <c r="PR23" s="6"/>
      <c r="PS23" s="6"/>
      <c r="PT23" s="6"/>
      <c r="PU23" s="5" t="str">
        <f t="shared" si="120"/>
        <v>NO APLICA</v>
      </c>
      <c r="PV23" s="5"/>
      <c r="PW23" s="6"/>
      <c r="PX23" s="6"/>
      <c r="PY23" s="6"/>
      <c r="PZ23" s="5" t="str">
        <f t="shared" si="121"/>
        <v>NO APLICA</v>
      </c>
    </row>
    <row r="24" spans="1:442" ht="15.6" hidden="1" thickTop="1" thickBot="1" x14ac:dyDescent="0.35">
      <c r="A24" s="26">
        <v>21</v>
      </c>
      <c r="B24" s="27">
        <v>1549</v>
      </c>
      <c r="C24" s="28" t="s">
        <v>136</v>
      </c>
      <c r="D24" s="29" t="s">
        <v>64</v>
      </c>
      <c r="E24" s="30" t="s">
        <v>65</v>
      </c>
      <c r="F24" s="5"/>
      <c r="G24" s="6"/>
      <c r="H24" s="4"/>
      <c r="I24" s="8"/>
      <c r="J24" s="5" t="str">
        <f t="shared" si="0"/>
        <v>NO APLICA</v>
      </c>
      <c r="K24" s="2"/>
      <c r="L24" s="6"/>
      <c r="M24" s="6"/>
      <c r="N24" s="8"/>
      <c r="O24" s="5" t="str">
        <f t="shared" si="1"/>
        <v>NO APLICA</v>
      </c>
      <c r="P24" s="4"/>
      <c r="Q24" s="4">
        <v>45758</v>
      </c>
      <c r="R24" s="4">
        <f>DATE(YEAR(Q24)+2,MONTH(Q24),DAY(Q24)-1)</f>
        <v>46487</v>
      </c>
      <c r="S24" s="8">
        <f ca="1">R24-TODAY()</f>
        <v>342</v>
      </c>
      <c r="T24" s="5" t="str">
        <f t="shared" ca="1" si="122"/>
        <v>VIGENTE</v>
      </c>
      <c r="U24" s="5"/>
      <c r="V24" s="2" t="s">
        <v>137</v>
      </c>
      <c r="W24" s="4">
        <v>45498</v>
      </c>
      <c r="X24" s="4">
        <f t="shared" si="2"/>
        <v>47324</v>
      </c>
      <c r="Y24" s="8">
        <f t="shared" ca="1" si="3"/>
        <v>1179</v>
      </c>
      <c r="Z24" s="5" t="str">
        <f t="shared" ca="1" si="4"/>
        <v>VIGENTE</v>
      </c>
      <c r="AA24" s="5"/>
      <c r="AB24" s="2" t="s">
        <v>138</v>
      </c>
      <c r="AC24" s="4">
        <v>45190</v>
      </c>
      <c r="AD24" s="4">
        <f>DATE(YEAR(AC24)+5,MONTH(AC24),DAY(AC24))</f>
        <v>47017</v>
      </c>
      <c r="AE24" s="8">
        <f ca="1">AD24-TODAY()</f>
        <v>872</v>
      </c>
      <c r="AF24" s="5" t="str">
        <f t="shared" ca="1" si="7"/>
        <v>VIGENTE</v>
      </c>
      <c r="AG24" s="3"/>
      <c r="AH24" s="4">
        <v>45609</v>
      </c>
      <c r="AI24" s="4">
        <f>DATE(YEAR(AH24)+2,MONTH(AH24),DAY(AH24)-1)</f>
        <v>46338</v>
      </c>
      <c r="AJ24" s="8">
        <f t="shared" ca="1" si="8"/>
        <v>193</v>
      </c>
      <c r="AK24" s="5" t="str">
        <f t="shared" ca="1" si="9"/>
        <v>VIGENTE</v>
      </c>
      <c r="AL24" s="3"/>
      <c r="AM24" s="4">
        <v>45937</v>
      </c>
      <c r="AN24" s="4">
        <f t="shared" si="184"/>
        <v>46667</v>
      </c>
      <c r="AO24" s="8">
        <f t="shared" ca="1" si="10"/>
        <v>522</v>
      </c>
      <c r="AP24" s="5" t="str">
        <f t="shared" ca="1" si="11"/>
        <v>VIGENTE</v>
      </c>
      <c r="AQ24" s="3"/>
      <c r="AR24" s="4">
        <v>45904</v>
      </c>
      <c r="AS24" s="4">
        <f t="shared" si="178"/>
        <v>46634</v>
      </c>
      <c r="AT24" s="8">
        <f t="shared" ca="1" si="12"/>
        <v>489</v>
      </c>
      <c r="AU24" s="5" t="str">
        <f t="shared" ca="1" si="13"/>
        <v>VIGENTE</v>
      </c>
      <c r="AV24" s="3"/>
      <c r="AW24" s="4">
        <v>45927</v>
      </c>
      <c r="AX24" s="4">
        <f>DATE(YEAR(AW24)+2,MONTH(AW24),DAY(AW24))</f>
        <v>46657</v>
      </c>
      <c r="AY24" s="8">
        <f t="shared" ca="1" si="15"/>
        <v>512</v>
      </c>
      <c r="AZ24" s="5" t="str">
        <f t="shared" ca="1" si="16"/>
        <v>VIGENTE</v>
      </c>
      <c r="BA24" s="3"/>
      <c r="BB24" s="4">
        <v>45901</v>
      </c>
      <c r="BC24" s="4">
        <f>DATE(YEAR(BB24)+2,MONTH(BB24),DAY(BB24))</f>
        <v>46631</v>
      </c>
      <c r="BD24" s="8">
        <f t="shared" ca="1" si="17"/>
        <v>486</v>
      </c>
      <c r="BE24" s="5" t="str">
        <f t="shared" ca="1" si="18"/>
        <v>VIGENTE</v>
      </c>
      <c r="BF24" s="3"/>
      <c r="BG24" s="4">
        <v>45997</v>
      </c>
      <c r="BH24" s="4">
        <f>DATE(YEAR(BG24)+2,MONTH(BG24),DAY(BG24))</f>
        <v>46727</v>
      </c>
      <c r="BI24" s="8">
        <f t="shared" ca="1" si="19"/>
        <v>582</v>
      </c>
      <c r="BJ24" s="5" t="str">
        <f t="shared" ca="1" si="20"/>
        <v>VIGENTE</v>
      </c>
      <c r="BK24" s="3"/>
      <c r="BL24" s="4">
        <v>46035</v>
      </c>
      <c r="BM24" s="4">
        <f>DATE(YEAR(BL24)+2,MONTH(BL24),DAY(BL24))</f>
        <v>46765</v>
      </c>
      <c r="BN24" s="8">
        <f t="shared" ca="1" si="21"/>
        <v>620</v>
      </c>
      <c r="BO24" s="5" t="str">
        <f t="shared" ca="1" si="22"/>
        <v>VIGENTE</v>
      </c>
      <c r="BP24" s="3"/>
      <c r="BQ24" s="39">
        <v>46050</v>
      </c>
      <c r="BR24" s="4">
        <f>DATE(YEAR(BQ24)+2,MONTH(BQ24),DAY(BQ24))</f>
        <v>46780</v>
      </c>
      <c r="BS24" s="8">
        <f t="shared" ca="1" si="23"/>
        <v>635</v>
      </c>
      <c r="BT24" s="5" t="str">
        <f t="shared" ca="1" si="24"/>
        <v>VIGENTE</v>
      </c>
      <c r="BU24" s="3"/>
      <c r="BV24" s="4">
        <v>46126</v>
      </c>
      <c r="BW24" s="4">
        <f t="shared" si="185"/>
        <v>46856</v>
      </c>
      <c r="BX24" s="8">
        <f t="shared" ca="1" si="25"/>
        <v>711</v>
      </c>
      <c r="BY24" s="5" t="str">
        <f t="shared" ca="1" si="26"/>
        <v>VIGENTE</v>
      </c>
      <c r="BZ24" s="3"/>
      <c r="CA24" s="4">
        <v>45944</v>
      </c>
      <c r="CB24" s="4">
        <f t="shared" si="186"/>
        <v>46674</v>
      </c>
      <c r="CC24" s="8">
        <f t="shared" ca="1" si="27"/>
        <v>529</v>
      </c>
      <c r="CD24" s="5" t="str">
        <f t="shared" ca="1" si="28"/>
        <v>VIGENTE</v>
      </c>
      <c r="CE24" s="6"/>
      <c r="CF24" s="4">
        <v>45616</v>
      </c>
      <c r="CG24" s="4">
        <f t="shared" si="29"/>
        <v>47077</v>
      </c>
      <c r="CH24" s="8">
        <f t="shared" ca="1" si="30"/>
        <v>932</v>
      </c>
      <c r="CI24" s="5" t="str">
        <f t="shared" ca="1" si="31"/>
        <v>VIGENTE</v>
      </c>
      <c r="CJ24" s="4"/>
      <c r="CK24" s="4">
        <v>45929</v>
      </c>
      <c r="CL24" s="4">
        <f>DATE(YEAR(CK24)+2,MONTH(CK24),DAY(CK24))</f>
        <v>46659</v>
      </c>
      <c r="CM24" s="8">
        <f t="shared" ca="1" si="32"/>
        <v>514</v>
      </c>
      <c r="CN24" s="5" t="str">
        <f t="shared" ca="1" si="33"/>
        <v>VIGENTE</v>
      </c>
      <c r="CO24" s="3"/>
      <c r="CP24" s="39">
        <v>45888</v>
      </c>
      <c r="CQ24" s="4">
        <f>DATE(YEAR(CP24)+2,MONTH(CP24),DAY(CP24))</f>
        <v>46618</v>
      </c>
      <c r="CR24" s="8">
        <f t="shared" ca="1" si="34"/>
        <v>473</v>
      </c>
      <c r="CS24" s="5" t="str">
        <f t="shared" ca="1" si="35"/>
        <v>VIGENTE</v>
      </c>
      <c r="CT24" s="3"/>
      <c r="CU24" s="4">
        <v>45905</v>
      </c>
      <c r="CV24" s="4">
        <f>DATE(YEAR(CU24)+2,MONTH(CU24),DAY(CU24))</f>
        <v>46635</v>
      </c>
      <c r="CW24" s="8">
        <f t="shared" ca="1" si="36"/>
        <v>490</v>
      </c>
      <c r="CX24" s="5" t="str">
        <f t="shared" ca="1" si="37"/>
        <v>VIGENTE</v>
      </c>
      <c r="CY24" s="3"/>
      <c r="CZ24" s="4">
        <v>45665</v>
      </c>
      <c r="DA24" s="4">
        <f>DATE(YEAR(CZ24)+2,MONTH(CZ24),DAY(CZ24)-1)</f>
        <v>46394</v>
      </c>
      <c r="DB24" s="8">
        <f t="shared" ca="1" si="38"/>
        <v>249</v>
      </c>
      <c r="DC24" s="5" t="str">
        <f t="shared" ca="1" si="39"/>
        <v>VIGENTE</v>
      </c>
      <c r="DD24" s="3"/>
      <c r="DE24" s="39">
        <v>45896</v>
      </c>
      <c r="DF24" s="4">
        <f>DATE(YEAR(DE24)+2,MONTH(DE24),DAY(DE24))</f>
        <v>46626</v>
      </c>
      <c r="DG24" s="8">
        <f t="shared" ca="1" si="40"/>
        <v>481</v>
      </c>
      <c r="DH24" s="5" t="str">
        <f t="shared" ca="1" si="41"/>
        <v>VIGENTE</v>
      </c>
      <c r="DI24" s="3"/>
      <c r="DJ24" s="39">
        <v>45899</v>
      </c>
      <c r="DK24" s="4">
        <f>DATE(YEAR(DJ24)+2,MONTH(DJ24),DAY(DJ24))</f>
        <v>46629</v>
      </c>
      <c r="DL24" s="8">
        <f t="shared" ca="1" si="43"/>
        <v>484</v>
      </c>
      <c r="DM24" s="5" t="str">
        <f t="shared" ca="1" si="44"/>
        <v>VIGENTE</v>
      </c>
      <c r="DN24" s="3"/>
      <c r="DO24" s="4">
        <v>45577</v>
      </c>
      <c r="DP24" s="4">
        <f>DATE(YEAR(DO24)+2,MONTH(DO24),DAY(DO24)-1)</f>
        <v>46306</v>
      </c>
      <c r="DQ24" s="8">
        <f t="shared" ca="1" si="46"/>
        <v>161</v>
      </c>
      <c r="DR24" s="5" t="str">
        <f t="shared" ca="1" si="47"/>
        <v>VIGENTE</v>
      </c>
      <c r="DS24" s="3"/>
      <c r="DT24" s="4">
        <v>45852</v>
      </c>
      <c r="DU24" s="4">
        <f>DATE(YEAR(DT24)+2,MONTH(DT24),DAY(DT24))</f>
        <v>46582</v>
      </c>
      <c r="DV24" s="8">
        <f t="shared" ca="1" si="48"/>
        <v>437</v>
      </c>
      <c r="DW24" s="5" t="str">
        <f t="shared" ca="1" si="49"/>
        <v>VIGENTE</v>
      </c>
      <c r="DX24" s="3"/>
      <c r="DY24" s="4">
        <v>45663</v>
      </c>
      <c r="DZ24" s="4">
        <f>DATE(YEAR(DY24)+2,MONTH(DY24),DAY(DY24)-1)</f>
        <v>46392</v>
      </c>
      <c r="EA24" s="8">
        <f t="shared" ca="1" si="50"/>
        <v>247</v>
      </c>
      <c r="EB24" s="5" t="str">
        <f t="shared" ca="1" si="51"/>
        <v>VIGENTE</v>
      </c>
      <c r="EC24" s="3"/>
      <c r="ED24" s="39">
        <v>45583</v>
      </c>
      <c r="EE24" s="4">
        <f>DATE(YEAR(ED24)+2,MONTH(ED24),DAY(ED24)-1)</f>
        <v>46312</v>
      </c>
      <c r="EF24" s="8">
        <f t="shared" ca="1" si="52"/>
        <v>167</v>
      </c>
      <c r="EG24" s="5" t="str">
        <f t="shared" ca="1" si="53"/>
        <v>VIGENTE</v>
      </c>
      <c r="EH24" s="3"/>
      <c r="EI24" s="3">
        <v>45911</v>
      </c>
      <c r="EJ24" s="4">
        <f t="shared" si="131"/>
        <v>46276</v>
      </c>
      <c r="EK24" s="8">
        <f t="shared" ca="1" si="54"/>
        <v>131</v>
      </c>
      <c r="EL24" s="5" t="str">
        <f t="shared" ca="1" si="55"/>
        <v>VIGENTE</v>
      </c>
      <c r="EM24" s="3"/>
      <c r="EN24" s="4">
        <v>45636</v>
      </c>
      <c r="EO24" s="4">
        <f t="shared" si="181"/>
        <v>46365</v>
      </c>
      <c r="EP24" s="8">
        <f t="shared" ca="1" si="56"/>
        <v>220</v>
      </c>
      <c r="EQ24" s="5" t="str">
        <f t="shared" ca="1" si="57"/>
        <v>VIGENTE</v>
      </c>
      <c r="ER24" s="3"/>
      <c r="ES24" s="39">
        <v>45677</v>
      </c>
      <c r="ET24" s="4">
        <f t="shared" si="182"/>
        <v>46406</v>
      </c>
      <c r="EU24" s="8">
        <f t="shared" ca="1" si="58"/>
        <v>261</v>
      </c>
      <c r="EV24" s="5" t="str">
        <f t="shared" ca="1" si="59"/>
        <v>VIGENTE</v>
      </c>
      <c r="EW24" s="3"/>
      <c r="EX24" s="4">
        <v>45694</v>
      </c>
      <c r="EY24" s="4">
        <f>DATE(YEAR(EX24)+2,MONTH(EX24),DAY(EX24)-1)</f>
        <v>46423</v>
      </c>
      <c r="EZ24" s="8">
        <f t="shared" ca="1" si="60"/>
        <v>278</v>
      </c>
      <c r="FA24" s="5" t="str">
        <f t="shared" ca="1" si="61"/>
        <v>VIGENTE</v>
      </c>
      <c r="FB24" s="3"/>
      <c r="FC24" s="4">
        <v>45666</v>
      </c>
      <c r="FD24" s="4">
        <f>DATE(YEAR(FC24)+2,MONTH(FC24),DAY(FC24)-1)</f>
        <v>46395</v>
      </c>
      <c r="FE24" s="8">
        <f t="shared" ca="1" si="62"/>
        <v>250</v>
      </c>
      <c r="FF24" s="5" t="str">
        <f t="shared" ca="1" si="63"/>
        <v>VIGENTE</v>
      </c>
      <c r="FG24" s="3"/>
      <c r="FH24" s="4">
        <v>45668</v>
      </c>
      <c r="FI24" s="4">
        <f>DATE(YEAR(FH24)+2,MONTH(FH24),DAY(FH24)-1)</f>
        <v>46397</v>
      </c>
      <c r="FJ24" s="8">
        <f t="shared" ca="1" si="64"/>
        <v>252</v>
      </c>
      <c r="FK24" s="5" t="str">
        <f t="shared" ca="1" si="65"/>
        <v>VIGENTE</v>
      </c>
      <c r="FL24" s="3"/>
      <c r="FM24" s="39">
        <v>45670</v>
      </c>
      <c r="FN24" s="4">
        <f>DATE(YEAR(FM24)+2,MONTH(FM24),DAY(FM24)-1)</f>
        <v>46399</v>
      </c>
      <c r="FO24" s="8">
        <f t="shared" ca="1" si="67"/>
        <v>254</v>
      </c>
      <c r="FP24" s="5" t="str">
        <f t="shared" ca="1" si="68"/>
        <v>VIGENTE</v>
      </c>
      <c r="FQ24" s="3"/>
      <c r="FR24" s="39">
        <v>45957</v>
      </c>
      <c r="FS24" s="4">
        <f>DATE(YEAR(FR24)+2,MONTH(FR24),DAY(FR24))</f>
        <v>46687</v>
      </c>
      <c r="FT24" s="8">
        <f t="shared" ca="1" si="69"/>
        <v>542</v>
      </c>
      <c r="FU24" s="5" t="str">
        <f t="shared" ca="1" si="70"/>
        <v>VIGENTE</v>
      </c>
      <c r="FV24" s="3"/>
      <c r="FW24" s="4">
        <v>45587</v>
      </c>
      <c r="FX24" s="4">
        <f>DATE(YEAR(FW24)+2,MONTH(FW24),DAY(FW24)-1)</f>
        <v>46316</v>
      </c>
      <c r="FY24" s="8">
        <f t="shared" ca="1" si="71"/>
        <v>171</v>
      </c>
      <c r="FZ24" s="5" t="str">
        <f t="shared" ca="1" si="72"/>
        <v>VIGENTE</v>
      </c>
      <c r="GA24" s="3"/>
      <c r="GB24" s="4">
        <v>45595</v>
      </c>
      <c r="GC24" s="4">
        <f t="shared" si="183"/>
        <v>46324</v>
      </c>
      <c r="GD24" s="8">
        <f t="shared" ca="1" si="73"/>
        <v>179</v>
      </c>
      <c r="GE24" s="5" t="str">
        <f t="shared" ca="1" si="74"/>
        <v>VIGENTE</v>
      </c>
      <c r="GF24" s="3"/>
      <c r="GG24" s="4">
        <v>45672</v>
      </c>
      <c r="GH24" s="4">
        <f>DATE(YEAR(GG24)+2,MONTH(GG24),DAY(GG24)-1)</f>
        <v>46401</v>
      </c>
      <c r="GI24" s="8">
        <f t="shared" ca="1" si="75"/>
        <v>256</v>
      </c>
      <c r="GJ24" s="5" t="str">
        <f t="shared" ca="1" si="76"/>
        <v>VIGENTE</v>
      </c>
      <c r="GK24" s="3"/>
      <c r="GL24" s="4">
        <v>45923</v>
      </c>
      <c r="GM24" s="4">
        <f>DATE(YEAR(GL24)+2,MONTH(GL24),DAY(GL24))</f>
        <v>46653</v>
      </c>
      <c r="GN24" s="8">
        <f t="shared" ca="1" si="77"/>
        <v>508</v>
      </c>
      <c r="GO24" s="5" t="str">
        <f t="shared" ca="1" si="78"/>
        <v>VIGENTE</v>
      </c>
      <c r="GP24" s="4"/>
      <c r="GQ24" s="4">
        <v>44912</v>
      </c>
      <c r="GR24" s="4">
        <f t="shared" si="79"/>
        <v>46738</v>
      </c>
      <c r="GS24" s="8">
        <f t="shared" ca="1" si="176"/>
        <v>593</v>
      </c>
      <c r="GT24" s="5" t="str">
        <f t="shared" ca="1" si="81"/>
        <v>VIGENTE</v>
      </c>
      <c r="GU24" s="3"/>
      <c r="GV24" s="4">
        <v>44984</v>
      </c>
      <c r="GW24" s="4">
        <f t="shared" si="82"/>
        <v>46810</v>
      </c>
      <c r="GX24" s="8">
        <f t="shared" ca="1" si="83"/>
        <v>665</v>
      </c>
      <c r="GY24" s="5" t="str">
        <f t="shared" ca="1" si="84"/>
        <v>VIGENTE</v>
      </c>
      <c r="GZ24" s="3"/>
      <c r="HA24" s="4">
        <v>45268</v>
      </c>
      <c r="HB24" s="4">
        <f t="shared" si="85"/>
        <v>47095</v>
      </c>
      <c r="HC24" s="8">
        <f t="shared" ca="1" si="86"/>
        <v>950</v>
      </c>
      <c r="HD24" s="5" t="str">
        <f t="shared" ca="1" si="87"/>
        <v>VIGENTE</v>
      </c>
      <c r="HE24" s="6"/>
      <c r="HF24" s="4">
        <v>44900</v>
      </c>
      <c r="HG24" s="4">
        <f>DATE(YEAR(HF24)+5,MONTH(HF24),DAY(HF24))</f>
        <v>46726</v>
      </c>
      <c r="HH24" s="8">
        <f ca="1">HG24-TODAY()</f>
        <v>581</v>
      </c>
      <c r="HI24" s="5" t="str">
        <f t="shared" ref="HI24:HI44" ca="1" si="187">IF(HH24&gt;=61,"VIGENTE",IF(HH24&gt;=1,"POR VENCER",IF(HH24&lt;=-1,"VENCIDA",IF(HF24=0,"NO APLICA"))))</f>
        <v>VIGENTE</v>
      </c>
      <c r="HJ24" s="3"/>
      <c r="HK24" s="4">
        <v>45414</v>
      </c>
      <c r="HL24" s="4">
        <f>DATE(YEAR(HK24)+5,MONTH(HK24),DAY(HK24))</f>
        <v>47240</v>
      </c>
      <c r="HM24" s="8">
        <f ca="1">HL24-TODAY()</f>
        <v>1095</v>
      </c>
      <c r="HN24" s="5" t="str">
        <f t="shared" ca="1" si="91"/>
        <v>VIGENTE</v>
      </c>
      <c r="HO24" s="2"/>
      <c r="HP24" s="2"/>
      <c r="HQ24" s="4"/>
      <c r="HR24" s="2"/>
      <c r="HS24" s="5" t="str">
        <f t="shared" si="92"/>
        <v>NO APLICA</v>
      </c>
      <c r="HT24" s="2"/>
      <c r="HU24" s="4">
        <v>44987</v>
      </c>
      <c r="HV24" s="4">
        <f>DATE(YEAR(HU24)+5,MONTH(HU24),DAY(HU24))</f>
        <v>46814</v>
      </c>
      <c r="HW24" s="8">
        <f ca="1">HV24-TODAY()</f>
        <v>669</v>
      </c>
      <c r="HX24" s="5" t="str">
        <f t="shared" ca="1" si="93"/>
        <v>VIGENTE</v>
      </c>
      <c r="HY24" s="2"/>
      <c r="HZ24" s="4">
        <v>44981</v>
      </c>
      <c r="IA24" s="4">
        <f>DATE(YEAR(HZ24)+5,MONTH(HZ24),DAY(HZ24))</f>
        <v>46807</v>
      </c>
      <c r="IB24" s="8">
        <f ca="1">IA24-TODAY()</f>
        <v>662</v>
      </c>
      <c r="IC24" s="5" t="str">
        <f t="shared" ca="1" si="94"/>
        <v>VIGENTE</v>
      </c>
      <c r="ID24" s="2"/>
      <c r="IE24" s="4">
        <v>45024</v>
      </c>
      <c r="IF24" s="4">
        <f>DATE(YEAR(IE24)+5,MONTH(IE24),DAY(IE24))</f>
        <v>46851</v>
      </c>
      <c r="IG24" s="8">
        <f ca="1">IF24-TODAY()</f>
        <v>706</v>
      </c>
      <c r="IH24" s="5" t="str">
        <f t="shared" ca="1" si="95"/>
        <v>VIGENTE</v>
      </c>
      <c r="II24" s="6"/>
      <c r="IJ24" s="4">
        <v>45009</v>
      </c>
      <c r="IK24" s="4">
        <f>DATE(YEAR(IJ24)+5,MONTH(IJ24),DAY(IJ24))</f>
        <v>46836</v>
      </c>
      <c r="IL24" s="8">
        <f ca="1">IK24-TODAY()</f>
        <v>691</v>
      </c>
      <c r="IM24" s="5" t="str">
        <f t="shared" ca="1" si="96"/>
        <v>VIGENTE</v>
      </c>
      <c r="IN24" s="2"/>
      <c r="IO24" s="4">
        <v>44977</v>
      </c>
      <c r="IP24" s="4">
        <f>DATE(YEAR(IO24)+5,MONTH(IO24),DAY(IO24))</f>
        <v>46803</v>
      </c>
      <c r="IQ24" s="8">
        <f ca="1">IP24-TODAY()</f>
        <v>658</v>
      </c>
      <c r="IR24" s="5" t="str">
        <f t="shared" ca="1" si="97"/>
        <v>VIGENTE</v>
      </c>
      <c r="IS24" s="2"/>
      <c r="IT24" s="4">
        <v>45013</v>
      </c>
      <c r="IU24" s="4">
        <f>DATE(YEAR(IT24)+5,MONTH(IT24),DAY(IT24))</f>
        <v>46840</v>
      </c>
      <c r="IV24" s="8">
        <f ca="1">IU24-TODAY()</f>
        <v>695</v>
      </c>
      <c r="IW24" s="5" t="str">
        <f t="shared" ca="1" si="98"/>
        <v>VIGENTE</v>
      </c>
      <c r="IX24" s="2"/>
      <c r="IY24" s="4">
        <v>44996</v>
      </c>
      <c r="IZ24" s="4">
        <f>DATE(YEAR(IY24)+5,MONTH(IY24),DAY(IY24))</f>
        <v>46823</v>
      </c>
      <c r="JA24" s="8">
        <f ca="1">IZ24-TODAY()</f>
        <v>678</v>
      </c>
      <c r="JB24" s="5" t="str">
        <f t="shared" ca="1" si="99"/>
        <v>VIGENTE</v>
      </c>
      <c r="JC24" s="3" t="s">
        <v>780</v>
      </c>
      <c r="JD24" s="3"/>
      <c r="JE24" s="4"/>
      <c r="JF24" s="8"/>
      <c r="JG24" s="5"/>
      <c r="JH24" s="3" t="s">
        <v>780</v>
      </c>
      <c r="JI24" s="6"/>
      <c r="JJ24" s="6"/>
      <c r="JK24" s="6"/>
      <c r="JL24" s="5"/>
      <c r="JM24" s="6" t="s">
        <v>780</v>
      </c>
      <c r="JN24" s="6"/>
      <c r="JO24" s="6"/>
      <c r="JP24" s="6"/>
      <c r="JQ24" s="5"/>
      <c r="JR24" s="6" t="s">
        <v>780</v>
      </c>
      <c r="JS24" s="6"/>
      <c r="JT24" s="6"/>
      <c r="JU24" s="6"/>
      <c r="JV24" s="5"/>
      <c r="JW24" s="6" t="s">
        <v>780</v>
      </c>
      <c r="JX24" s="5"/>
      <c r="JY24" s="5"/>
      <c r="JZ24" s="5"/>
      <c r="KA24" s="5"/>
      <c r="KB24" s="5"/>
      <c r="KC24" s="2"/>
      <c r="KD24" s="4"/>
      <c r="KE24" s="8"/>
      <c r="KF24" s="5" t="str">
        <f t="shared" si="135"/>
        <v>NO APLICA</v>
      </c>
      <c r="KG24" s="5"/>
      <c r="KH24" s="2"/>
      <c r="KI24" s="4"/>
      <c r="KJ24" s="8"/>
      <c r="KK24" s="5" t="str">
        <f t="shared" si="136"/>
        <v>NO APLICA</v>
      </c>
      <c r="KL24" s="5"/>
      <c r="KM24" s="2"/>
      <c r="KN24" s="4"/>
      <c r="KO24" s="8"/>
      <c r="KP24" s="5" t="str">
        <f t="shared" si="100"/>
        <v>NO APLICA</v>
      </c>
      <c r="KQ24" s="5"/>
      <c r="KR24" s="2"/>
      <c r="KS24" s="4"/>
      <c r="KT24" s="8"/>
      <c r="KU24" s="5" t="str">
        <f t="shared" si="137"/>
        <v>NO APLICA</v>
      </c>
      <c r="KV24" s="3"/>
      <c r="KW24" s="4">
        <v>44653</v>
      </c>
      <c r="KX24" s="4">
        <f>DATE(YEAR(KW24)+5,MONTH(KW24),DAY(KW24))</f>
        <v>46479</v>
      </c>
      <c r="KY24" s="8">
        <f ca="1">KX24-TODAY()</f>
        <v>334</v>
      </c>
      <c r="KZ24" s="5" t="str">
        <f t="shared" ca="1" si="151"/>
        <v>VIGENTE</v>
      </c>
      <c r="LA24" s="5"/>
      <c r="LB24" s="4">
        <v>44614</v>
      </c>
      <c r="LC24" s="4">
        <f>DATE(YEAR(LB24)+5,MONTH(LB24),DAY(LB24))</f>
        <v>46440</v>
      </c>
      <c r="LD24" s="8">
        <f ca="1">LC24-TODAY()</f>
        <v>295</v>
      </c>
      <c r="LE24" s="5" t="str">
        <f t="shared" ca="1" si="138"/>
        <v>VIGENTE</v>
      </c>
      <c r="LF24" s="6"/>
      <c r="LG24" s="6"/>
      <c r="LH24" s="4"/>
      <c r="LI24" s="8"/>
      <c r="LJ24" s="5" t="str">
        <f t="shared" si="101"/>
        <v>NO APLICA</v>
      </c>
      <c r="LK24" s="5"/>
      <c r="LL24" s="3"/>
      <c r="LM24" s="4"/>
      <c r="LN24" s="8"/>
      <c r="LO24" s="5" t="str">
        <f t="shared" si="152"/>
        <v>NO APLICA</v>
      </c>
      <c r="LP24" s="2"/>
      <c r="LQ24" s="6"/>
      <c r="LR24" s="4"/>
      <c r="LS24" s="8"/>
      <c r="LT24" s="5" t="str">
        <f t="shared" si="139"/>
        <v>NO APLICA</v>
      </c>
      <c r="LU24" s="6"/>
      <c r="LV24" s="6"/>
      <c r="LW24" s="4"/>
      <c r="LX24" s="8"/>
      <c r="LY24" s="5" t="str">
        <f t="shared" si="140"/>
        <v>NO APLICA</v>
      </c>
      <c r="LZ24" s="6"/>
      <c r="MA24" s="6"/>
      <c r="MB24" s="4"/>
      <c r="MC24" s="8"/>
      <c r="MD24" s="5" t="str">
        <f t="shared" si="141"/>
        <v>NO APLICA</v>
      </c>
      <c r="ME24" s="2"/>
      <c r="MF24" s="2"/>
      <c r="MG24" s="4"/>
      <c r="MH24" s="8"/>
      <c r="MI24" s="5" t="str">
        <f t="shared" si="102"/>
        <v>NO APLICA</v>
      </c>
      <c r="MJ24" s="2"/>
      <c r="MK24" s="2"/>
      <c r="ML24" s="4"/>
      <c r="MM24" s="8"/>
      <c r="MN24" s="5" t="str">
        <f t="shared" si="103"/>
        <v>NO APLICA</v>
      </c>
      <c r="MO24" s="5"/>
      <c r="MP24" s="2"/>
      <c r="MQ24" s="4"/>
      <c r="MR24" s="8"/>
      <c r="MS24" s="5" t="str">
        <f t="shared" si="104"/>
        <v>NO APLICA</v>
      </c>
      <c r="MT24" s="5"/>
      <c r="MU24" s="2"/>
      <c r="MV24" s="4"/>
      <c r="MW24" s="2"/>
      <c r="MX24" s="5" t="str">
        <f t="shared" si="105"/>
        <v>NO APLICA</v>
      </c>
      <c r="MY24" s="2"/>
      <c r="MZ24" s="6"/>
      <c r="NA24" s="4"/>
      <c r="NB24" s="8"/>
      <c r="NC24" s="5" t="str">
        <f t="shared" si="106"/>
        <v>NO APLICA</v>
      </c>
      <c r="ND24" s="2"/>
      <c r="NE24" s="6"/>
      <c r="NF24" s="4"/>
      <c r="NG24" s="8"/>
      <c r="NH24" s="5" t="str">
        <f t="shared" si="107"/>
        <v>NO APLICA</v>
      </c>
      <c r="NI24" s="2"/>
      <c r="NJ24" s="6"/>
      <c r="NK24" s="4"/>
      <c r="NL24" s="8"/>
      <c r="NM24" s="5" t="str">
        <f t="shared" si="108"/>
        <v>NO APLICA</v>
      </c>
      <c r="NN24" s="2"/>
      <c r="NO24" s="2"/>
      <c r="NP24" s="4"/>
      <c r="NQ24" s="8"/>
      <c r="NR24" s="5" t="str">
        <f t="shared" si="109"/>
        <v>NO APLICA</v>
      </c>
      <c r="NS24" s="2"/>
      <c r="NT24" s="2"/>
      <c r="NU24" s="4"/>
      <c r="NV24" s="2"/>
      <c r="NW24" s="5" t="str">
        <f t="shared" si="110"/>
        <v>NO APLICA</v>
      </c>
      <c r="NX24" s="6"/>
      <c r="NY24" s="6"/>
      <c r="NZ24" s="4"/>
      <c r="OA24" s="8"/>
      <c r="OB24" s="5" t="str">
        <f t="shared" si="111"/>
        <v>NO APLICA</v>
      </c>
      <c r="OC24" s="6"/>
      <c r="OD24" s="6"/>
      <c r="OE24" s="6"/>
      <c r="OF24" s="6"/>
      <c r="OG24" s="5" t="str">
        <f t="shared" si="112"/>
        <v>NO APLICA</v>
      </c>
      <c r="OH24" s="2"/>
      <c r="OI24" s="2"/>
      <c r="OJ24" s="4"/>
      <c r="OK24" s="8"/>
      <c r="OL24" s="5" t="str">
        <f t="shared" si="113"/>
        <v>NO APLICA</v>
      </c>
      <c r="OM24" s="6"/>
      <c r="ON24" s="6"/>
      <c r="OO24" s="6"/>
      <c r="OP24" s="6"/>
      <c r="OQ24" s="5" t="str">
        <f t="shared" si="114"/>
        <v>NO APLICA</v>
      </c>
      <c r="OR24" s="6"/>
      <c r="OS24" s="6"/>
      <c r="OT24" s="6"/>
      <c r="OU24" s="6"/>
      <c r="OV24" s="5" t="str">
        <f t="shared" si="115"/>
        <v>NO APLICA</v>
      </c>
      <c r="OW24" s="6"/>
      <c r="OX24" s="6"/>
      <c r="OY24" s="6"/>
      <c r="OZ24" s="6"/>
      <c r="PA24" s="5" t="str">
        <f t="shared" si="116"/>
        <v>NO APLICA</v>
      </c>
      <c r="PB24" s="6"/>
      <c r="PC24" s="6"/>
      <c r="PD24" s="6"/>
      <c r="PE24" s="6"/>
      <c r="PF24" s="5" t="str">
        <f t="shared" si="117"/>
        <v>NO APLICA</v>
      </c>
      <c r="PG24" s="6"/>
      <c r="PH24" s="6"/>
      <c r="PI24" s="6"/>
      <c r="PJ24" s="6"/>
      <c r="PK24" s="5" t="str">
        <f t="shared" si="118"/>
        <v>NO APLICA</v>
      </c>
      <c r="PL24" s="5"/>
      <c r="PM24" s="6"/>
      <c r="PN24" s="4"/>
      <c r="PO24" s="8"/>
      <c r="PP24" s="5" t="str">
        <f t="shared" si="119"/>
        <v>NO APLICA</v>
      </c>
      <c r="PQ24" s="6"/>
      <c r="PR24" s="6"/>
      <c r="PS24" s="6"/>
      <c r="PT24" s="6"/>
      <c r="PU24" s="5" t="str">
        <f t="shared" si="120"/>
        <v>NO APLICA</v>
      </c>
      <c r="PV24" s="5"/>
      <c r="PW24" s="4">
        <v>46126</v>
      </c>
      <c r="PX24" s="4">
        <f>DATE(YEAR(PW24)+1,MONTH(PW24),DAY(PW24))</f>
        <v>46491</v>
      </c>
      <c r="PY24" s="8">
        <f ca="1">PX24-TODAY()</f>
        <v>346</v>
      </c>
      <c r="PZ24" s="5" t="str">
        <f t="shared" ca="1" si="121"/>
        <v>VIGENTE</v>
      </c>
    </row>
    <row r="25" spans="1:442" ht="15.6" hidden="1" thickTop="1" thickBot="1" x14ac:dyDescent="0.35">
      <c r="A25" s="26">
        <v>22</v>
      </c>
      <c r="B25" s="31">
        <v>1682</v>
      </c>
      <c r="C25" s="28" t="s">
        <v>139</v>
      </c>
      <c r="D25" s="29" t="s">
        <v>68</v>
      </c>
      <c r="E25" s="30" t="s">
        <v>73</v>
      </c>
      <c r="F25" s="5"/>
      <c r="G25" s="6"/>
      <c r="H25" s="4"/>
      <c r="I25" s="8"/>
      <c r="J25" s="5" t="str">
        <f t="shared" si="0"/>
        <v>NO APLICA</v>
      </c>
      <c r="K25" s="2"/>
      <c r="L25" s="6"/>
      <c r="M25" s="6"/>
      <c r="N25" s="8"/>
      <c r="O25" s="5" t="str">
        <f t="shared" si="1"/>
        <v>NO APLICA</v>
      </c>
      <c r="P25" s="6"/>
      <c r="Q25" s="6"/>
      <c r="R25" s="4"/>
      <c r="S25" s="8"/>
      <c r="T25" s="5" t="str">
        <f t="shared" si="122"/>
        <v>NO APLICA</v>
      </c>
      <c r="U25" s="5"/>
      <c r="V25" s="2" t="s">
        <v>140</v>
      </c>
      <c r="W25" s="4">
        <v>45142</v>
      </c>
      <c r="X25" s="4">
        <f t="shared" si="2"/>
        <v>46969</v>
      </c>
      <c r="Y25" s="8">
        <f t="shared" ca="1" si="3"/>
        <v>824</v>
      </c>
      <c r="Z25" s="5" t="str">
        <f t="shared" ca="1" si="4"/>
        <v>VIGENTE</v>
      </c>
      <c r="AA25" s="5"/>
      <c r="AB25" s="2" t="s">
        <v>141</v>
      </c>
      <c r="AC25" s="4">
        <v>45149</v>
      </c>
      <c r="AD25" s="4">
        <f>DATE(YEAR(AC25)+5,MONTH(AC25),DAY(AC25))</f>
        <v>46976</v>
      </c>
      <c r="AE25" s="8">
        <f ca="1">AD25-TODAY()</f>
        <v>831</v>
      </c>
      <c r="AF25" s="5" t="str">
        <f t="shared" ca="1" si="7"/>
        <v>VIGENTE</v>
      </c>
      <c r="AG25" s="3"/>
      <c r="AH25" s="4">
        <v>45902</v>
      </c>
      <c r="AI25" s="4">
        <f>DATE(YEAR(AH25)+2,MONTH(AH25),DAY(AH25))</f>
        <v>46632</v>
      </c>
      <c r="AJ25" s="8">
        <f t="shared" ca="1" si="8"/>
        <v>487</v>
      </c>
      <c r="AK25" s="5" t="str">
        <f t="shared" ca="1" si="9"/>
        <v>VIGENTE</v>
      </c>
      <c r="AL25" s="2"/>
      <c r="AM25" s="4">
        <v>45937</v>
      </c>
      <c r="AN25" s="4">
        <f t="shared" si="184"/>
        <v>46667</v>
      </c>
      <c r="AO25" s="8">
        <f t="shared" ca="1" si="10"/>
        <v>522</v>
      </c>
      <c r="AP25" s="5" t="str">
        <f t="shared" ca="1" si="11"/>
        <v>VIGENTE</v>
      </c>
      <c r="AQ25" s="3"/>
      <c r="AR25" s="4">
        <v>45820</v>
      </c>
      <c r="AS25" s="4">
        <f t="shared" si="178"/>
        <v>46550</v>
      </c>
      <c r="AT25" s="8">
        <f t="shared" ca="1" si="12"/>
        <v>405</v>
      </c>
      <c r="AU25" s="5" t="str">
        <f t="shared" ca="1" si="13"/>
        <v>VIGENTE</v>
      </c>
      <c r="AV25" s="3"/>
      <c r="AW25" s="4">
        <v>45765</v>
      </c>
      <c r="AX25" s="4">
        <f>DATE(YEAR(AW25)+2,MONTH(AW25),DAY(AW25))</f>
        <v>46495</v>
      </c>
      <c r="AY25" s="8">
        <f t="shared" ca="1" si="15"/>
        <v>350</v>
      </c>
      <c r="AZ25" s="5" t="str">
        <f t="shared" ca="1" si="16"/>
        <v>VIGENTE</v>
      </c>
      <c r="BA25" s="3"/>
      <c r="BB25" s="4">
        <v>45901</v>
      </c>
      <c r="BC25" s="4">
        <f>DATE(YEAR(BB25)+2,MONTH(BB25),DAY(BB25))</f>
        <v>46631</v>
      </c>
      <c r="BD25" s="8">
        <f t="shared" ca="1" si="17"/>
        <v>486</v>
      </c>
      <c r="BE25" s="5" t="str">
        <f t="shared" ca="1" si="18"/>
        <v>VIGENTE</v>
      </c>
      <c r="BF25" s="3"/>
      <c r="BG25" s="4">
        <v>45842</v>
      </c>
      <c r="BH25" s="4">
        <f>DATE(YEAR(BG25)+2,MONTH(BG25),DAY(BG25))</f>
        <v>46572</v>
      </c>
      <c r="BI25" s="8">
        <f t="shared" ca="1" si="19"/>
        <v>427</v>
      </c>
      <c r="BJ25" s="5" t="str">
        <f t="shared" ca="1" si="20"/>
        <v>VIGENTE</v>
      </c>
      <c r="BK25" s="3"/>
      <c r="BL25" s="4">
        <v>45797</v>
      </c>
      <c r="BM25" s="4">
        <f>DATE(YEAR(BL25)+2,MONTH(BL25),DAY(BL25))</f>
        <v>46527</v>
      </c>
      <c r="BN25" s="8">
        <f t="shared" ca="1" si="21"/>
        <v>382</v>
      </c>
      <c r="BO25" s="5" t="str">
        <f t="shared" ca="1" si="22"/>
        <v>VIGENTE</v>
      </c>
      <c r="BP25" s="3"/>
      <c r="BQ25" s="39">
        <v>45750</v>
      </c>
      <c r="BR25" s="4">
        <f>DATE(YEAR(BQ25)+2,MONTH(BQ25),DAY(BQ25)-1)</f>
        <v>46479</v>
      </c>
      <c r="BS25" s="8">
        <f t="shared" ca="1" si="23"/>
        <v>334</v>
      </c>
      <c r="BT25" s="5" t="str">
        <f t="shared" ca="1" si="24"/>
        <v>VIGENTE</v>
      </c>
      <c r="BU25" s="3"/>
      <c r="BV25" s="4">
        <v>45813</v>
      </c>
      <c r="BW25" s="4">
        <f t="shared" si="185"/>
        <v>46542</v>
      </c>
      <c r="BX25" s="8">
        <f t="shared" ca="1" si="25"/>
        <v>397</v>
      </c>
      <c r="BY25" s="5" t="str">
        <f t="shared" ca="1" si="26"/>
        <v>VIGENTE</v>
      </c>
      <c r="BZ25" s="3"/>
      <c r="CA25" s="4">
        <v>45954</v>
      </c>
      <c r="CB25" s="4">
        <f t="shared" si="186"/>
        <v>46684</v>
      </c>
      <c r="CC25" s="8">
        <f t="shared" ca="1" si="27"/>
        <v>539</v>
      </c>
      <c r="CD25" s="5" t="str">
        <f t="shared" ca="1" si="28"/>
        <v>VIGENTE</v>
      </c>
      <c r="CE25" s="6"/>
      <c r="CF25" s="4">
        <v>45227</v>
      </c>
      <c r="CG25" s="4">
        <f t="shared" si="29"/>
        <v>46688</v>
      </c>
      <c r="CH25" s="8">
        <f t="shared" ca="1" si="30"/>
        <v>543</v>
      </c>
      <c r="CI25" s="5" t="str">
        <f t="shared" ca="1" si="31"/>
        <v>VIGENTE</v>
      </c>
      <c r="CJ25" s="4"/>
      <c r="CK25" s="4">
        <v>45801</v>
      </c>
      <c r="CL25" s="4">
        <f>DATE(YEAR(CK25)+2,MONTH(CK25),DAY(CK25)-1)</f>
        <v>46530</v>
      </c>
      <c r="CM25" s="8">
        <f t="shared" ca="1" si="32"/>
        <v>385</v>
      </c>
      <c r="CN25" s="5" t="str">
        <f t="shared" ca="1" si="33"/>
        <v>VIGENTE</v>
      </c>
      <c r="CO25" s="2"/>
      <c r="CP25" s="39">
        <v>45769</v>
      </c>
      <c r="CQ25" s="4">
        <f>DATE(YEAR(CP25)+2,MONTH(CP25),DAY(CP25))</f>
        <v>46499</v>
      </c>
      <c r="CR25" s="8">
        <f t="shared" ca="1" si="34"/>
        <v>354</v>
      </c>
      <c r="CS25" s="5" t="str">
        <f t="shared" ca="1" si="35"/>
        <v>VIGENTE</v>
      </c>
      <c r="CT25" s="3"/>
      <c r="CU25" s="4">
        <v>45965</v>
      </c>
      <c r="CV25" s="4">
        <f>DATE(YEAR(CU25)+2,MONTH(CU25),DAY(CU25))</f>
        <v>46695</v>
      </c>
      <c r="CW25" s="8">
        <f t="shared" ca="1" si="36"/>
        <v>550</v>
      </c>
      <c r="CX25" s="5" t="str">
        <f t="shared" ca="1" si="37"/>
        <v>VIGENTE</v>
      </c>
      <c r="CY25" s="3"/>
      <c r="CZ25" s="4">
        <v>45835</v>
      </c>
      <c r="DA25" s="4">
        <f>DATE(YEAR(CZ25)+2,MONTH(CZ25),DAY(CZ25))</f>
        <v>46565</v>
      </c>
      <c r="DB25" s="8">
        <f t="shared" ca="1" si="38"/>
        <v>420</v>
      </c>
      <c r="DC25" s="5" t="str">
        <f t="shared" ca="1" si="39"/>
        <v>VIGENTE</v>
      </c>
      <c r="DD25" s="3"/>
      <c r="DE25" s="39">
        <v>45836</v>
      </c>
      <c r="DF25" s="4">
        <f>DATE(YEAR(DE25)+2,MONTH(DE25),DAY(DE25))</f>
        <v>46566</v>
      </c>
      <c r="DG25" s="8">
        <f t="shared" ca="1" si="40"/>
        <v>421</v>
      </c>
      <c r="DH25" s="5" t="str">
        <f t="shared" ca="1" si="41"/>
        <v>VIGENTE</v>
      </c>
      <c r="DI25" s="3"/>
      <c r="DJ25" s="39">
        <v>45899</v>
      </c>
      <c r="DK25" s="4">
        <f>DATE(YEAR(DJ25)+2,MONTH(DJ25),DAY(DJ25))</f>
        <v>46629</v>
      </c>
      <c r="DL25" s="8">
        <f t="shared" ca="1" si="43"/>
        <v>484</v>
      </c>
      <c r="DM25" s="5" t="str">
        <f t="shared" ca="1" si="44"/>
        <v>VIGENTE</v>
      </c>
      <c r="DN25" s="3"/>
      <c r="DO25" s="4">
        <v>45857</v>
      </c>
      <c r="DP25" s="4">
        <f>DATE(YEAR(DO25)+2,MONTH(DO25),DAY(DO25))</f>
        <v>46587</v>
      </c>
      <c r="DQ25" s="8">
        <f t="shared" ca="1" si="46"/>
        <v>442</v>
      </c>
      <c r="DR25" s="5" t="str">
        <f t="shared" ca="1" si="47"/>
        <v>VIGENTE</v>
      </c>
      <c r="DS25" s="3"/>
      <c r="DT25" s="4">
        <v>45852</v>
      </c>
      <c r="DU25" s="4">
        <f>DATE(YEAR(DT25)+2,MONTH(DT25),DAY(DT25))</f>
        <v>46582</v>
      </c>
      <c r="DV25" s="8">
        <f t="shared" ca="1" si="48"/>
        <v>437</v>
      </c>
      <c r="DW25" s="5" t="str">
        <f t="shared" ca="1" si="49"/>
        <v>VIGENTE</v>
      </c>
      <c r="DX25" s="3"/>
      <c r="DY25" s="4">
        <v>45915</v>
      </c>
      <c r="DZ25" s="4">
        <f>DATE(YEAR(DY25)+2,MONTH(DY25),DAY(DY25))</f>
        <v>46645</v>
      </c>
      <c r="EA25" s="8">
        <f t="shared" ca="1" si="50"/>
        <v>500</v>
      </c>
      <c r="EB25" s="5" t="str">
        <f t="shared" ca="1" si="51"/>
        <v>VIGENTE</v>
      </c>
      <c r="EC25" s="3"/>
      <c r="ED25" s="39">
        <v>45913</v>
      </c>
      <c r="EE25" s="4">
        <f>DATE(YEAR(ED25)+2,MONTH(ED25),DAY(ED25))</f>
        <v>46643</v>
      </c>
      <c r="EF25" s="8">
        <f t="shared" ca="1" si="52"/>
        <v>498</v>
      </c>
      <c r="EG25" s="5" t="str">
        <f t="shared" ca="1" si="53"/>
        <v>VIGENTE</v>
      </c>
      <c r="EH25" s="3"/>
      <c r="EI25" s="4">
        <v>46115</v>
      </c>
      <c r="EJ25" s="4">
        <f t="shared" si="131"/>
        <v>46480</v>
      </c>
      <c r="EK25" s="8">
        <f t="shared" ca="1" si="54"/>
        <v>335</v>
      </c>
      <c r="EL25" s="5" t="str">
        <f t="shared" ca="1" si="55"/>
        <v>VIGENTE</v>
      </c>
      <c r="EM25" s="3"/>
      <c r="EN25" s="4">
        <v>45966</v>
      </c>
      <c r="EO25" s="4">
        <f>DATE(YEAR(EN25)+2,MONTH(EN25),DAY(EN25))</f>
        <v>46696</v>
      </c>
      <c r="EP25" s="8">
        <f t="shared" ca="1" si="56"/>
        <v>551</v>
      </c>
      <c r="EQ25" s="5" t="str">
        <f t="shared" ca="1" si="57"/>
        <v>VIGENTE</v>
      </c>
      <c r="ER25" s="3"/>
      <c r="ES25" s="39">
        <v>45824</v>
      </c>
      <c r="ET25" s="4">
        <f>DATE(YEAR(ES25)+2,MONTH(ES25),DAY(ES25))</f>
        <v>46554</v>
      </c>
      <c r="EU25" s="8">
        <f t="shared" ca="1" si="58"/>
        <v>409</v>
      </c>
      <c r="EV25" s="5" t="str">
        <f t="shared" ca="1" si="59"/>
        <v>VIGENTE</v>
      </c>
      <c r="EW25" s="2"/>
      <c r="EX25" s="4">
        <v>45953</v>
      </c>
      <c r="EY25" s="4">
        <f>DATE(YEAR(EX25)+2,MONTH(EX25),DAY(EX25))</f>
        <v>46683</v>
      </c>
      <c r="EZ25" s="8">
        <f t="shared" ca="1" si="60"/>
        <v>538</v>
      </c>
      <c r="FA25" s="5" t="str">
        <f t="shared" ca="1" si="61"/>
        <v>VIGENTE</v>
      </c>
      <c r="FB25" s="3"/>
      <c r="FC25" s="4">
        <v>45783</v>
      </c>
      <c r="FD25" s="4">
        <f>DATE(YEAR(FC25)+2,MONTH(FC25),DAY(FC25))</f>
        <v>46513</v>
      </c>
      <c r="FE25" s="8">
        <f t="shared" ca="1" si="62"/>
        <v>368</v>
      </c>
      <c r="FF25" s="5" t="str">
        <f t="shared" ca="1" si="63"/>
        <v>VIGENTE</v>
      </c>
      <c r="FG25" s="3"/>
      <c r="FH25" s="4">
        <v>45790</v>
      </c>
      <c r="FI25" s="4">
        <f>DATE(YEAR(FH25)+2,MONTH(FH25),DAY(FH25))</f>
        <v>46520</v>
      </c>
      <c r="FJ25" s="8">
        <f t="shared" ca="1" si="64"/>
        <v>375</v>
      </c>
      <c r="FK25" s="5" t="str">
        <f t="shared" ca="1" si="65"/>
        <v>VIGENTE</v>
      </c>
      <c r="FL25" s="3"/>
      <c r="FM25" s="39">
        <v>45850</v>
      </c>
      <c r="FN25" s="4">
        <f>DATE(YEAR(FM25)+2,MONTH(FM25),DAY(FM25))</f>
        <v>46580</v>
      </c>
      <c r="FO25" s="8">
        <f t="shared" ca="1" si="67"/>
        <v>435</v>
      </c>
      <c r="FP25" s="5" t="str">
        <f t="shared" ca="1" si="68"/>
        <v>VIGENTE</v>
      </c>
      <c r="FQ25" s="3"/>
      <c r="FR25" s="39">
        <v>45957</v>
      </c>
      <c r="FS25" s="4">
        <f>DATE(YEAR(FR25)+2,MONTH(FR25),DAY(FR25))</f>
        <v>46687</v>
      </c>
      <c r="FT25" s="8">
        <f t="shared" ca="1" si="69"/>
        <v>542</v>
      </c>
      <c r="FU25" s="5" t="str">
        <f t="shared" ca="1" si="70"/>
        <v>VIGENTE</v>
      </c>
      <c r="FV25" s="3"/>
      <c r="FW25" s="4">
        <v>45822</v>
      </c>
      <c r="FX25" s="4">
        <f>DATE(YEAR(FW25)+2,MONTH(FW25),DAY(FW25))</f>
        <v>46552</v>
      </c>
      <c r="FY25" s="8">
        <f t="shared" ca="1" si="71"/>
        <v>407</v>
      </c>
      <c r="FZ25" s="5" t="str">
        <f t="shared" ca="1" si="72"/>
        <v>VIGENTE</v>
      </c>
      <c r="GA25" s="3"/>
      <c r="GB25" s="4">
        <v>45821</v>
      </c>
      <c r="GC25" s="4">
        <f>DATE(YEAR(GB25)+2,MONTH(GB25),DAY(GB25))</f>
        <v>46551</v>
      </c>
      <c r="GD25" s="8">
        <f t="shared" ca="1" si="73"/>
        <v>406</v>
      </c>
      <c r="GE25" s="5" t="str">
        <f t="shared" ca="1" si="74"/>
        <v>VIGENTE</v>
      </c>
      <c r="GF25" s="3"/>
      <c r="GG25" s="4">
        <v>45814</v>
      </c>
      <c r="GH25" s="4">
        <f>DATE(YEAR(GG25)+2,MONTH(GG25),DAY(GG25))</f>
        <v>46544</v>
      </c>
      <c r="GI25" s="8">
        <f t="shared" ca="1" si="75"/>
        <v>399</v>
      </c>
      <c r="GJ25" s="5" t="str">
        <f t="shared" ca="1" si="76"/>
        <v>VIGENTE</v>
      </c>
      <c r="GK25" s="3"/>
      <c r="GL25" s="4">
        <v>45958</v>
      </c>
      <c r="GM25" s="4">
        <f>DATE(YEAR(GL25)+2,MONTH(GL25),DAY(GL25))</f>
        <v>46688</v>
      </c>
      <c r="GN25" s="8">
        <f t="shared" ca="1" si="77"/>
        <v>543</v>
      </c>
      <c r="GO25" s="5" t="str">
        <f t="shared" ca="1" si="78"/>
        <v>VIGENTE</v>
      </c>
      <c r="GP25" s="4"/>
      <c r="GQ25" s="4">
        <v>45164</v>
      </c>
      <c r="GR25" s="4">
        <f t="shared" si="79"/>
        <v>46991</v>
      </c>
      <c r="GS25" s="8">
        <f t="shared" ca="1" si="176"/>
        <v>846</v>
      </c>
      <c r="GT25" s="5" t="str">
        <f t="shared" ca="1" si="81"/>
        <v>VIGENTE</v>
      </c>
      <c r="GU25" s="3"/>
      <c r="GV25" s="4">
        <v>45252</v>
      </c>
      <c r="GW25" s="4">
        <f t="shared" si="82"/>
        <v>47079</v>
      </c>
      <c r="GX25" s="8">
        <f t="shared" ca="1" si="83"/>
        <v>934</v>
      </c>
      <c r="GY25" s="5" t="str">
        <f t="shared" ca="1" si="84"/>
        <v>VIGENTE</v>
      </c>
      <c r="GZ25" s="2"/>
      <c r="HA25" s="4">
        <v>45127</v>
      </c>
      <c r="HB25" s="4">
        <f t="shared" si="85"/>
        <v>46954</v>
      </c>
      <c r="HC25" s="8">
        <f t="shared" ca="1" si="86"/>
        <v>809</v>
      </c>
      <c r="HD25" s="5" t="str">
        <f t="shared" ca="1" si="87"/>
        <v>VIGENTE</v>
      </c>
      <c r="HE25" s="6"/>
      <c r="HF25" s="4">
        <v>45150</v>
      </c>
      <c r="HG25" s="4">
        <f>DATE(YEAR(HF25)+5,MONTH(HF25),DAY(HF25))</f>
        <v>46977</v>
      </c>
      <c r="HH25" s="8">
        <f ca="1">HG25-TODAY()</f>
        <v>832</v>
      </c>
      <c r="HI25" s="5" t="str">
        <f t="shared" ca="1" si="187"/>
        <v>VIGENTE</v>
      </c>
      <c r="HJ25" s="2"/>
      <c r="HK25" s="6"/>
      <c r="HL25" s="4"/>
      <c r="HM25" s="8"/>
      <c r="HN25" s="5" t="str">
        <f t="shared" si="91"/>
        <v>NO APLICA</v>
      </c>
      <c r="HO25" s="2"/>
      <c r="HP25" s="2"/>
      <c r="HQ25" s="4"/>
      <c r="HR25" s="2"/>
      <c r="HS25" s="5" t="str">
        <f t="shared" si="92"/>
        <v>NO APLICA</v>
      </c>
      <c r="HT25" s="2"/>
      <c r="HU25" s="6"/>
      <c r="HV25" s="4"/>
      <c r="HW25" s="8"/>
      <c r="HX25" s="5" t="str">
        <f t="shared" si="93"/>
        <v>NO APLICA</v>
      </c>
      <c r="HY25" s="2"/>
      <c r="HZ25" s="6"/>
      <c r="IA25" s="4"/>
      <c r="IB25" s="8"/>
      <c r="IC25" s="5" t="str">
        <f t="shared" si="94"/>
        <v>NO APLICA</v>
      </c>
      <c r="ID25" s="2"/>
      <c r="IE25" s="4">
        <v>45355</v>
      </c>
      <c r="IF25" s="4">
        <f>DATE(YEAR(IE25)+5,MONTH(IE25),DAY(IE25))</f>
        <v>47181</v>
      </c>
      <c r="IG25" s="8">
        <f ca="1">IF25-TODAY()</f>
        <v>1036</v>
      </c>
      <c r="IH25" s="5" t="str">
        <f t="shared" ca="1" si="95"/>
        <v>VIGENTE</v>
      </c>
      <c r="II25" s="6"/>
      <c r="IJ25" s="6"/>
      <c r="IK25" s="4"/>
      <c r="IL25" s="8"/>
      <c r="IM25" s="5" t="str">
        <f t="shared" si="96"/>
        <v>NO APLICA</v>
      </c>
      <c r="IN25" s="2"/>
      <c r="IO25" s="4">
        <v>45354</v>
      </c>
      <c r="IP25" s="4">
        <f>DATE(YEAR(IO25)+5,MONTH(IO25),DAY(IO25))</f>
        <v>47180</v>
      </c>
      <c r="IQ25" s="8">
        <f ca="1">IP25-TODAY()</f>
        <v>1035</v>
      </c>
      <c r="IR25" s="5" t="str">
        <f t="shared" ca="1" si="97"/>
        <v>VIGENTE</v>
      </c>
      <c r="IS25" s="2"/>
      <c r="IT25" s="4">
        <v>45350</v>
      </c>
      <c r="IU25" s="4">
        <f>DATE(YEAR(IT25)+5,MONTH(IT25),DAY(IT25))</f>
        <v>47177</v>
      </c>
      <c r="IV25" s="8">
        <f ca="1">IU25-TODAY()</f>
        <v>1032</v>
      </c>
      <c r="IW25" s="5" t="str">
        <f t="shared" ca="1" si="98"/>
        <v>VIGENTE</v>
      </c>
      <c r="IX25" s="2"/>
      <c r="IY25" s="4">
        <v>45339</v>
      </c>
      <c r="IZ25" s="4">
        <f>DATE(YEAR(IY25)+5,MONTH(IY25),DAY(IY25))</f>
        <v>47166</v>
      </c>
      <c r="JA25" s="8">
        <f ca="1">IZ25-TODAY()</f>
        <v>1021</v>
      </c>
      <c r="JB25" s="5" t="str">
        <f t="shared" ca="1" si="99"/>
        <v>VIGENTE</v>
      </c>
      <c r="JC25" s="3" t="s">
        <v>780</v>
      </c>
      <c r="JD25" s="3"/>
      <c r="JE25" s="4"/>
      <c r="JF25" s="8"/>
      <c r="JG25" s="5"/>
      <c r="JH25" s="3" t="s">
        <v>780</v>
      </c>
      <c r="JI25" s="6"/>
      <c r="JJ25" s="6"/>
      <c r="JK25" s="6"/>
      <c r="JL25" s="5"/>
      <c r="JM25" s="6" t="s">
        <v>780</v>
      </c>
      <c r="JN25" s="6"/>
      <c r="JO25" s="6"/>
      <c r="JP25" s="6"/>
      <c r="JQ25" s="5"/>
      <c r="JR25" s="6" t="s">
        <v>780</v>
      </c>
      <c r="JS25" s="6"/>
      <c r="JT25" s="6"/>
      <c r="JU25" s="6"/>
      <c r="JV25" s="5"/>
      <c r="JW25" s="6" t="s">
        <v>780</v>
      </c>
      <c r="JX25" s="5"/>
      <c r="JY25" s="5"/>
      <c r="JZ25" s="5"/>
      <c r="KA25" s="5"/>
      <c r="KB25" s="5"/>
      <c r="KC25" s="2"/>
      <c r="KD25" s="4"/>
      <c r="KE25" s="8"/>
      <c r="KF25" s="5" t="str">
        <f t="shared" si="135"/>
        <v>NO APLICA</v>
      </c>
      <c r="KG25" s="5"/>
      <c r="KH25" s="2"/>
      <c r="KI25" s="4"/>
      <c r="KJ25" s="8"/>
      <c r="KK25" s="5" t="str">
        <f t="shared" si="136"/>
        <v>NO APLICA</v>
      </c>
      <c r="KL25" s="5"/>
      <c r="KM25" s="2"/>
      <c r="KN25" s="4"/>
      <c r="KO25" s="8"/>
      <c r="KP25" s="5" t="str">
        <f t="shared" si="100"/>
        <v>NO APLICA</v>
      </c>
      <c r="KQ25" s="5"/>
      <c r="KR25" s="2"/>
      <c r="KS25" s="4"/>
      <c r="KT25" s="8"/>
      <c r="KU25" s="5" t="str">
        <f t="shared" si="137"/>
        <v>NO APLICA</v>
      </c>
      <c r="KV25" s="2"/>
      <c r="KW25" s="6"/>
      <c r="KX25" s="4"/>
      <c r="KY25" s="8"/>
      <c r="KZ25" s="5" t="str">
        <f t="shared" si="151"/>
        <v>NO APLICA</v>
      </c>
      <c r="LA25" s="5"/>
      <c r="LB25" s="6"/>
      <c r="LC25" s="4"/>
      <c r="LD25" s="8"/>
      <c r="LE25" s="5" t="str">
        <f t="shared" si="138"/>
        <v>NO APLICA</v>
      </c>
      <c r="LF25" s="6"/>
      <c r="LG25" s="6"/>
      <c r="LH25" s="4"/>
      <c r="LI25" s="8"/>
      <c r="LJ25" s="5" t="str">
        <f t="shared" si="101"/>
        <v>NO APLICA</v>
      </c>
      <c r="LK25" s="5"/>
      <c r="LL25" s="5"/>
      <c r="LM25" s="4"/>
      <c r="LN25" s="8"/>
      <c r="LO25" s="5" t="str">
        <f t="shared" si="152"/>
        <v>NO APLICA</v>
      </c>
      <c r="LP25" s="2"/>
      <c r="LQ25" s="6"/>
      <c r="LR25" s="4"/>
      <c r="LS25" s="8"/>
      <c r="LT25" s="5" t="str">
        <f t="shared" si="139"/>
        <v>NO APLICA</v>
      </c>
      <c r="LU25" s="6"/>
      <c r="LV25" s="6"/>
      <c r="LW25" s="4"/>
      <c r="LX25" s="8"/>
      <c r="LY25" s="5" t="str">
        <f t="shared" si="140"/>
        <v>NO APLICA</v>
      </c>
      <c r="LZ25" s="6"/>
      <c r="MA25" s="6"/>
      <c r="MB25" s="4"/>
      <c r="MC25" s="8"/>
      <c r="MD25" s="5" t="str">
        <f t="shared" si="141"/>
        <v>NO APLICA</v>
      </c>
      <c r="ME25" s="2"/>
      <c r="MF25" s="2"/>
      <c r="MG25" s="4"/>
      <c r="MH25" s="8"/>
      <c r="MI25" s="5" t="str">
        <f t="shared" si="102"/>
        <v>NO APLICA</v>
      </c>
      <c r="MJ25" s="2"/>
      <c r="MK25" s="2"/>
      <c r="ML25" s="4"/>
      <c r="MM25" s="8"/>
      <c r="MN25" s="5" t="str">
        <f t="shared" si="103"/>
        <v>NO APLICA</v>
      </c>
      <c r="MO25" s="5"/>
      <c r="MP25" s="3">
        <v>45154</v>
      </c>
      <c r="MQ25" s="4">
        <f>DATE(YEAR(MP25)+5,MONTH(MP25),DAY(MP25))</f>
        <v>46981</v>
      </c>
      <c r="MR25" s="8">
        <f ca="1">MQ25-TODAY()</f>
        <v>836</v>
      </c>
      <c r="MS25" s="5" t="str">
        <f t="shared" ca="1" si="104"/>
        <v>VIGENTE</v>
      </c>
      <c r="MT25" s="5"/>
      <c r="MU25" s="3">
        <v>45155</v>
      </c>
      <c r="MV25" s="4">
        <f>DATE(YEAR(MU25)+5,MONTH(MU25),DAY(MU25))</f>
        <v>46982</v>
      </c>
      <c r="MW25" s="8">
        <f ca="1">MV25-TODAY()</f>
        <v>837</v>
      </c>
      <c r="MX25" s="5" t="str">
        <f t="shared" ca="1" si="105"/>
        <v>VIGENTE</v>
      </c>
      <c r="MY25" s="2"/>
      <c r="MZ25" s="6"/>
      <c r="NA25" s="4"/>
      <c r="NB25" s="8"/>
      <c r="NC25" s="5" t="str">
        <f t="shared" si="106"/>
        <v>NO APLICA</v>
      </c>
      <c r="ND25" s="2"/>
      <c r="NE25" s="6"/>
      <c r="NF25" s="4"/>
      <c r="NG25" s="8"/>
      <c r="NH25" s="5" t="str">
        <f t="shared" si="107"/>
        <v>NO APLICA</v>
      </c>
      <c r="NI25" s="2"/>
      <c r="NJ25" s="6"/>
      <c r="NK25" s="4"/>
      <c r="NL25" s="8"/>
      <c r="NM25" s="5" t="str">
        <f t="shared" si="108"/>
        <v>NO APLICA</v>
      </c>
      <c r="NN25" s="2"/>
      <c r="NO25" s="2"/>
      <c r="NP25" s="4"/>
      <c r="NQ25" s="8"/>
      <c r="NR25" s="5" t="str">
        <f t="shared" si="109"/>
        <v>NO APLICA</v>
      </c>
      <c r="NS25" s="2"/>
      <c r="NT25" s="2"/>
      <c r="NU25" s="4"/>
      <c r="NV25" s="2"/>
      <c r="NW25" s="5" t="str">
        <f t="shared" si="110"/>
        <v>NO APLICA</v>
      </c>
      <c r="NX25" s="6"/>
      <c r="NY25" s="6"/>
      <c r="NZ25" s="4"/>
      <c r="OA25" s="8"/>
      <c r="OB25" s="5" t="str">
        <f t="shared" si="111"/>
        <v>NO APLICA</v>
      </c>
      <c r="OC25" s="6"/>
      <c r="OD25" s="6"/>
      <c r="OE25" s="6"/>
      <c r="OF25" s="6"/>
      <c r="OG25" s="5" t="str">
        <f t="shared" si="112"/>
        <v>NO APLICA</v>
      </c>
      <c r="OH25" s="6"/>
      <c r="OI25" s="6"/>
      <c r="OJ25" s="4"/>
      <c r="OK25" s="8"/>
      <c r="OL25" s="5" t="str">
        <f t="shared" si="113"/>
        <v>NO APLICA</v>
      </c>
      <c r="OM25" s="6"/>
      <c r="ON25" s="6"/>
      <c r="OO25" s="6"/>
      <c r="OP25" s="6"/>
      <c r="OQ25" s="5" t="str">
        <f t="shared" si="114"/>
        <v>NO APLICA</v>
      </c>
      <c r="OR25" s="6"/>
      <c r="OS25" s="6"/>
      <c r="OT25" s="6"/>
      <c r="OU25" s="6"/>
      <c r="OV25" s="5" t="str">
        <f t="shared" si="115"/>
        <v>NO APLICA</v>
      </c>
      <c r="OW25" s="6"/>
      <c r="OX25" s="6"/>
      <c r="OY25" s="6"/>
      <c r="OZ25" s="6"/>
      <c r="PA25" s="5" t="str">
        <f t="shared" si="116"/>
        <v>NO APLICA</v>
      </c>
      <c r="PB25" s="6"/>
      <c r="PC25" s="6"/>
      <c r="PD25" s="6"/>
      <c r="PE25" s="6"/>
      <c r="PF25" s="5" t="str">
        <f t="shared" si="117"/>
        <v>NO APLICA</v>
      </c>
      <c r="PG25" s="6"/>
      <c r="PH25" s="6"/>
      <c r="PI25" s="6"/>
      <c r="PJ25" s="6"/>
      <c r="PK25" s="5" t="str">
        <f t="shared" si="118"/>
        <v>NO APLICA</v>
      </c>
      <c r="PL25" s="5"/>
      <c r="PM25" s="6"/>
      <c r="PN25" s="4"/>
      <c r="PO25" s="8"/>
      <c r="PP25" s="5" t="str">
        <f t="shared" si="119"/>
        <v>NO APLICA</v>
      </c>
      <c r="PQ25" s="6"/>
      <c r="PR25" s="6"/>
      <c r="PS25" s="6"/>
      <c r="PT25" s="6"/>
      <c r="PU25" s="5" t="str">
        <f t="shared" si="120"/>
        <v>NO APLICA</v>
      </c>
      <c r="PV25" s="5"/>
      <c r="PW25" s="6"/>
      <c r="PX25" s="6"/>
      <c r="PY25" s="6"/>
      <c r="PZ25" s="5" t="str">
        <f t="shared" si="121"/>
        <v>NO APLICA</v>
      </c>
    </row>
    <row r="26" spans="1:442" ht="15.6" hidden="1" thickTop="1" thickBot="1" x14ac:dyDescent="0.35">
      <c r="A26" s="26">
        <v>23</v>
      </c>
      <c r="B26" s="27">
        <v>607</v>
      </c>
      <c r="C26" s="28" t="s">
        <v>142</v>
      </c>
      <c r="D26" s="29" t="s">
        <v>113</v>
      </c>
      <c r="E26" s="30" t="s">
        <v>126</v>
      </c>
      <c r="F26" s="3"/>
      <c r="G26" s="4">
        <v>46058</v>
      </c>
      <c r="H26" s="4">
        <f>DATE(YEAR(G26)+2,MONTH(G26),DAY(G26))</f>
        <v>46788</v>
      </c>
      <c r="I26" s="8">
        <f ca="1">H26-TODAY()</f>
        <v>643</v>
      </c>
      <c r="J26" s="5" t="str">
        <f t="shared" ca="1" si="0"/>
        <v>VIGENTE</v>
      </c>
      <c r="K26" s="5"/>
      <c r="L26" s="6"/>
      <c r="M26" s="6"/>
      <c r="N26" s="8"/>
      <c r="O26" s="5" t="str">
        <f t="shared" si="1"/>
        <v>NO APLICA</v>
      </c>
      <c r="P26" s="4"/>
      <c r="Q26" s="4"/>
      <c r="R26" s="4"/>
      <c r="S26" s="8"/>
      <c r="T26" s="5" t="str">
        <f t="shared" si="122"/>
        <v>NO APLICA</v>
      </c>
      <c r="U26" s="5"/>
      <c r="V26" s="2" t="s">
        <v>143</v>
      </c>
      <c r="W26" s="4">
        <v>45735</v>
      </c>
      <c r="X26" s="4">
        <f t="shared" si="2"/>
        <v>47561</v>
      </c>
      <c r="Y26" s="8">
        <f t="shared" ca="1" si="3"/>
        <v>1416</v>
      </c>
      <c r="Z26" s="5" t="str">
        <f t="shared" ca="1" si="4"/>
        <v>VIGENTE</v>
      </c>
      <c r="AA26" s="5"/>
      <c r="AB26" s="2"/>
      <c r="AC26" s="4"/>
      <c r="AD26" s="4"/>
      <c r="AE26" s="8"/>
      <c r="AF26" s="5" t="str">
        <f t="shared" si="7"/>
        <v>NO APLICA</v>
      </c>
      <c r="AG26" s="3"/>
      <c r="AH26" s="4">
        <v>45680</v>
      </c>
      <c r="AI26" s="4">
        <f>DATE(YEAR(AH26)+2,MONTH(AH26),DAY(AH26)-1)</f>
        <v>46409</v>
      </c>
      <c r="AJ26" s="8">
        <f t="shared" ca="1" si="8"/>
        <v>264</v>
      </c>
      <c r="AK26" s="5" t="str">
        <f t="shared" ca="1" si="9"/>
        <v>VIGENTE</v>
      </c>
      <c r="AL26" s="3"/>
      <c r="AM26" s="4">
        <v>45937</v>
      </c>
      <c r="AN26" s="4">
        <f t="shared" si="184"/>
        <v>46667</v>
      </c>
      <c r="AO26" s="8">
        <f t="shared" ca="1" si="10"/>
        <v>522</v>
      </c>
      <c r="AP26" s="5" t="str">
        <f t="shared" ca="1" si="11"/>
        <v>VIGENTE</v>
      </c>
      <c r="AQ26" s="3"/>
      <c r="AR26" s="4">
        <v>45904</v>
      </c>
      <c r="AS26" s="4">
        <f t="shared" si="178"/>
        <v>46634</v>
      </c>
      <c r="AT26" s="8">
        <f t="shared" ca="1" si="12"/>
        <v>489</v>
      </c>
      <c r="AU26" s="5" t="str">
        <f t="shared" ca="1" si="13"/>
        <v>VIGENTE</v>
      </c>
      <c r="AV26" s="3"/>
      <c r="AW26" s="4">
        <v>45927</v>
      </c>
      <c r="AX26" s="4">
        <f>DATE(YEAR(AW26)+2,MONTH(AW26),DAY(AW26))</f>
        <v>46657</v>
      </c>
      <c r="AY26" s="8">
        <f t="shared" ca="1" si="15"/>
        <v>512</v>
      </c>
      <c r="AZ26" s="5" t="str">
        <f t="shared" ca="1" si="16"/>
        <v>VIGENTE</v>
      </c>
      <c r="BA26" s="3"/>
      <c r="BB26" s="4">
        <v>45717</v>
      </c>
      <c r="BC26" s="4">
        <f>DATE(YEAR(BB26)+2,MONTH(BB26),DAY(BB26)-1)</f>
        <v>46446</v>
      </c>
      <c r="BD26" s="8">
        <f t="shared" ca="1" si="17"/>
        <v>301</v>
      </c>
      <c r="BE26" s="5" t="str">
        <f t="shared" ca="1" si="18"/>
        <v>VIGENTE</v>
      </c>
      <c r="BF26" s="3"/>
      <c r="BG26" s="4">
        <v>45968</v>
      </c>
      <c r="BH26" s="4">
        <f>DATE(YEAR(BG26)+2,MONTH(BG26),DAY(BG26))</f>
        <v>46698</v>
      </c>
      <c r="BI26" s="8">
        <f t="shared" ca="1" si="19"/>
        <v>553</v>
      </c>
      <c r="BJ26" s="5" t="str">
        <f t="shared" ca="1" si="20"/>
        <v>VIGENTE</v>
      </c>
      <c r="BK26" s="3"/>
      <c r="BL26" s="4">
        <v>46051</v>
      </c>
      <c r="BM26" s="4">
        <f>DATE(YEAR(BL26)+2,MONTH(BL26),DAY(BL26))</f>
        <v>46781</v>
      </c>
      <c r="BN26" s="8">
        <f t="shared" ca="1" si="21"/>
        <v>636</v>
      </c>
      <c r="BO26" s="5" t="str">
        <f t="shared" ca="1" si="22"/>
        <v>VIGENTE</v>
      </c>
      <c r="BP26" s="3"/>
      <c r="BQ26" s="39">
        <v>46050</v>
      </c>
      <c r="BR26" s="4">
        <f>DATE(YEAR(BQ26)+2,MONTH(BQ26),DAY(BQ26))</f>
        <v>46780</v>
      </c>
      <c r="BS26" s="8">
        <f t="shared" ca="1" si="23"/>
        <v>635</v>
      </c>
      <c r="BT26" s="5" t="str">
        <f t="shared" ca="1" si="24"/>
        <v>VIGENTE</v>
      </c>
      <c r="BU26" s="3"/>
      <c r="BV26" s="4">
        <v>45695</v>
      </c>
      <c r="BW26" s="4">
        <f t="shared" si="185"/>
        <v>46424</v>
      </c>
      <c r="BX26" s="8">
        <f t="shared" ca="1" si="25"/>
        <v>279</v>
      </c>
      <c r="BY26" s="5" t="str">
        <f t="shared" ca="1" si="26"/>
        <v>VIGENTE</v>
      </c>
      <c r="BZ26" s="3"/>
      <c r="CA26" s="4">
        <v>45600</v>
      </c>
      <c r="CB26" s="4">
        <f>DATE(YEAR(CA26)+2,MONTH(CA26),DAY(CA26)-1)</f>
        <v>46329</v>
      </c>
      <c r="CC26" s="8">
        <f t="shared" ca="1" si="27"/>
        <v>184</v>
      </c>
      <c r="CD26" s="5" t="str">
        <f t="shared" ca="1" si="28"/>
        <v>VIGENTE</v>
      </c>
      <c r="CE26" s="6"/>
      <c r="CF26" s="4">
        <v>46134</v>
      </c>
      <c r="CG26" s="4">
        <f t="shared" si="29"/>
        <v>47595</v>
      </c>
      <c r="CH26" s="8">
        <f t="shared" ca="1" si="30"/>
        <v>1450</v>
      </c>
      <c r="CI26" s="5" t="str">
        <f t="shared" ca="1" si="31"/>
        <v>VIGENTE</v>
      </c>
      <c r="CJ26" s="4"/>
      <c r="CK26" s="4">
        <v>45504</v>
      </c>
      <c r="CL26" s="4">
        <f>DATE(YEAR(CK26)+2,MONTH(CK26),DAY(CK26)-1)</f>
        <v>46233</v>
      </c>
      <c r="CM26" s="8">
        <f t="shared" ca="1" si="32"/>
        <v>88</v>
      </c>
      <c r="CN26" s="5" t="str">
        <f t="shared" ca="1" si="33"/>
        <v>POR VENCER</v>
      </c>
      <c r="CO26" s="3"/>
      <c r="CP26" s="39">
        <v>45513</v>
      </c>
      <c r="CQ26" s="4">
        <f>DATE(YEAR(CP26)+2,MONTH(CP26),DAY(CP26)-1)</f>
        <v>46242</v>
      </c>
      <c r="CR26" s="8">
        <f t="shared" ca="1" si="34"/>
        <v>97</v>
      </c>
      <c r="CS26" s="5" t="str">
        <f t="shared" ca="1" si="35"/>
        <v>VIGENTE</v>
      </c>
      <c r="CT26" s="3"/>
      <c r="CU26" s="4">
        <v>45624</v>
      </c>
      <c r="CV26" s="4">
        <f>DATE(YEAR(CU26)+2,MONTH(CU26),DAY(CU26)-1)</f>
        <v>46353</v>
      </c>
      <c r="CW26" s="8">
        <f t="shared" ca="1" si="36"/>
        <v>208</v>
      </c>
      <c r="CX26" s="5" t="str">
        <f t="shared" ca="1" si="37"/>
        <v>VIGENTE</v>
      </c>
      <c r="CY26" s="3"/>
      <c r="CZ26" s="4">
        <v>45744</v>
      </c>
      <c r="DA26" s="4">
        <f>DATE(YEAR(CZ26)+2,MONTH(CZ26),DAY(CZ26)-1)</f>
        <v>46473</v>
      </c>
      <c r="DB26" s="8">
        <f t="shared" ca="1" si="38"/>
        <v>328</v>
      </c>
      <c r="DC26" s="5" t="str">
        <f t="shared" ca="1" si="39"/>
        <v>VIGENTE</v>
      </c>
      <c r="DD26" s="3"/>
      <c r="DE26" s="39">
        <v>45723</v>
      </c>
      <c r="DF26" s="4">
        <f t="shared" ref="DF26:DF34" si="188">DATE(YEAR(DE26)+2,MONTH(DE26),DAY(DE26)-1)</f>
        <v>46452</v>
      </c>
      <c r="DG26" s="8">
        <f t="shared" ca="1" si="40"/>
        <v>307</v>
      </c>
      <c r="DH26" s="5" t="str">
        <f t="shared" ca="1" si="41"/>
        <v>VIGENTE</v>
      </c>
      <c r="DI26" s="3"/>
      <c r="DJ26" s="39">
        <v>45696</v>
      </c>
      <c r="DK26" s="4">
        <f>DATE(YEAR(DJ26)+2,MONTH(DJ26),DAY(DJ26)-1)</f>
        <v>46425</v>
      </c>
      <c r="DL26" s="8">
        <f t="shared" ca="1" si="43"/>
        <v>280</v>
      </c>
      <c r="DM26" s="5" t="str">
        <f t="shared" ca="1" si="44"/>
        <v>VIGENTE</v>
      </c>
      <c r="DN26" s="3"/>
      <c r="DO26" s="4">
        <v>45731</v>
      </c>
      <c r="DP26" s="4">
        <f>DATE(YEAR(DO26)+2,MONTH(DO26),DAY(DO26)-1)</f>
        <v>46460</v>
      </c>
      <c r="DQ26" s="8">
        <f t="shared" ca="1" si="46"/>
        <v>315</v>
      </c>
      <c r="DR26" s="5" t="str">
        <f t="shared" ca="1" si="47"/>
        <v>VIGENTE</v>
      </c>
      <c r="DS26" s="3"/>
      <c r="DT26" s="4">
        <v>45608</v>
      </c>
      <c r="DU26" s="4">
        <f>DATE(YEAR(DT26)+2,MONTH(DT26),DAY(DT26)-1)</f>
        <v>46337</v>
      </c>
      <c r="DV26" s="8">
        <f t="shared" ca="1" si="48"/>
        <v>192</v>
      </c>
      <c r="DW26" s="5" t="str">
        <f t="shared" ca="1" si="49"/>
        <v>VIGENTE</v>
      </c>
      <c r="DX26" s="3"/>
      <c r="DY26" s="4">
        <v>45663</v>
      </c>
      <c r="DZ26" s="4">
        <f>DATE(YEAR(DY26)+2,MONTH(DY26),DAY(DY26)-1)</f>
        <v>46392</v>
      </c>
      <c r="EA26" s="8">
        <f t="shared" ca="1" si="50"/>
        <v>247</v>
      </c>
      <c r="EB26" s="5" t="str">
        <f t="shared" ca="1" si="51"/>
        <v>VIGENTE</v>
      </c>
      <c r="EC26" s="3"/>
      <c r="ED26" s="39">
        <v>45602</v>
      </c>
      <c r="EE26" s="4">
        <f>DATE(YEAR(ED26)+2,MONTH(ED26),DAY(ED26)-1)</f>
        <v>46331</v>
      </c>
      <c r="EF26" s="8">
        <f t="shared" ca="1" si="52"/>
        <v>186</v>
      </c>
      <c r="EG26" s="5" t="str">
        <f t="shared" ca="1" si="53"/>
        <v>VIGENTE</v>
      </c>
      <c r="EH26" s="3"/>
      <c r="EI26" s="3">
        <v>46085</v>
      </c>
      <c r="EJ26" s="4">
        <f t="shared" si="131"/>
        <v>46450</v>
      </c>
      <c r="EK26" s="8">
        <f t="shared" ca="1" si="54"/>
        <v>305</v>
      </c>
      <c r="EL26" s="5" t="str">
        <f t="shared" ca="1" si="55"/>
        <v>VIGENTE</v>
      </c>
      <c r="EM26" s="3"/>
      <c r="EN26" s="4">
        <v>45671</v>
      </c>
      <c r="EO26" s="4">
        <f>DATE(YEAR(EN26)+2,MONTH(EN26),DAY(EN26)-1)</f>
        <v>46400</v>
      </c>
      <c r="EP26" s="8">
        <f t="shared" ca="1" si="56"/>
        <v>255</v>
      </c>
      <c r="EQ26" s="5" t="str">
        <f t="shared" ca="1" si="57"/>
        <v>VIGENTE</v>
      </c>
      <c r="ER26" s="3"/>
      <c r="ES26" s="39">
        <v>45623</v>
      </c>
      <c r="ET26" s="4">
        <f>DATE(YEAR(ES26)+2,MONTH(ES26),DAY(ES26)-1)</f>
        <v>46352</v>
      </c>
      <c r="EU26" s="8">
        <f t="shared" ca="1" si="58"/>
        <v>207</v>
      </c>
      <c r="EV26" s="5" t="str">
        <f t="shared" ca="1" si="59"/>
        <v>VIGENTE</v>
      </c>
      <c r="EW26" s="3"/>
      <c r="EX26" s="4">
        <v>45694</v>
      </c>
      <c r="EY26" s="4">
        <f>DATE(YEAR(EX26)+2,MONTH(EX26),DAY(EX26)-1)</f>
        <v>46423</v>
      </c>
      <c r="EZ26" s="8">
        <f t="shared" ca="1" si="60"/>
        <v>278</v>
      </c>
      <c r="FA26" s="5" t="str">
        <f t="shared" ca="1" si="61"/>
        <v>VIGENTE</v>
      </c>
      <c r="FB26" s="3"/>
      <c r="FC26" s="4">
        <v>45666</v>
      </c>
      <c r="FD26" s="4">
        <f>DATE(YEAR(FC26)+2,MONTH(FC26),DAY(FC26)-1)</f>
        <v>46395</v>
      </c>
      <c r="FE26" s="8">
        <f t="shared" ca="1" si="62"/>
        <v>250</v>
      </c>
      <c r="FF26" s="5" t="str">
        <f t="shared" ca="1" si="63"/>
        <v>VIGENTE</v>
      </c>
      <c r="FG26" s="3"/>
      <c r="FH26" s="4">
        <v>45668</v>
      </c>
      <c r="FI26" s="4">
        <f>DATE(YEAR(FH26)+2,MONTH(FH26),DAY(FH26)-1)</f>
        <v>46397</v>
      </c>
      <c r="FJ26" s="8">
        <f t="shared" ca="1" si="64"/>
        <v>252</v>
      </c>
      <c r="FK26" s="5" t="str">
        <f t="shared" ca="1" si="65"/>
        <v>VIGENTE</v>
      </c>
      <c r="FL26" s="3"/>
      <c r="FM26" s="39">
        <v>45670</v>
      </c>
      <c r="FN26" s="4">
        <f>DATE(YEAR(FM26)+2,MONTH(FM26),DAY(FM26)-1)</f>
        <v>46399</v>
      </c>
      <c r="FO26" s="8">
        <f t="shared" ca="1" si="67"/>
        <v>254</v>
      </c>
      <c r="FP26" s="5" t="str">
        <f t="shared" ca="1" si="68"/>
        <v>VIGENTE</v>
      </c>
      <c r="FQ26" s="3"/>
      <c r="FR26" s="39">
        <v>45678</v>
      </c>
      <c r="FS26" s="4">
        <f>DATE(YEAR(FR26)+2,MONTH(FR26),DAY(FR26)-1)</f>
        <v>46407</v>
      </c>
      <c r="FT26" s="8">
        <f t="shared" ca="1" si="69"/>
        <v>262</v>
      </c>
      <c r="FU26" s="5" t="str">
        <f t="shared" ca="1" si="70"/>
        <v>VIGENTE</v>
      </c>
      <c r="FV26" s="3"/>
      <c r="FW26" s="4">
        <v>45700</v>
      </c>
      <c r="FX26" s="4">
        <f>DATE(YEAR(FW26)+2,MONTH(FW26),DAY(FW26)-1)</f>
        <v>46429</v>
      </c>
      <c r="FY26" s="8">
        <f t="shared" ca="1" si="71"/>
        <v>284</v>
      </c>
      <c r="FZ26" s="5" t="str">
        <f t="shared" ca="1" si="72"/>
        <v>VIGENTE</v>
      </c>
      <c r="GA26" s="3"/>
      <c r="GB26" s="4">
        <v>45667</v>
      </c>
      <c r="GC26" s="4">
        <f>DATE(YEAR(GB26)+2,MONTH(GB26),DAY(GB26)-1)</f>
        <v>46396</v>
      </c>
      <c r="GD26" s="8">
        <f t="shared" ca="1" si="73"/>
        <v>251</v>
      </c>
      <c r="GE26" s="5" t="str">
        <f t="shared" ca="1" si="74"/>
        <v>VIGENTE</v>
      </c>
      <c r="GF26" s="3"/>
      <c r="GG26" s="4">
        <v>45672</v>
      </c>
      <c r="GH26" s="4">
        <f t="shared" ref="GH26:GH31" si="189">DATE(YEAR(GG26)+2,MONTH(GG26),DAY(GG26)-1)</f>
        <v>46401</v>
      </c>
      <c r="GI26" s="8">
        <f t="shared" ca="1" si="75"/>
        <v>256</v>
      </c>
      <c r="GJ26" s="5" t="str">
        <f t="shared" ca="1" si="76"/>
        <v>VIGENTE</v>
      </c>
      <c r="GK26" s="3"/>
      <c r="GL26" s="4">
        <v>45923</v>
      </c>
      <c r="GM26" s="4">
        <f>DATE(YEAR(GL26)+2,MONTH(GL26),DAY(GL26))</f>
        <v>46653</v>
      </c>
      <c r="GN26" s="8">
        <f t="shared" ca="1" si="77"/>
        <v>508</v>
      </c>
      <c r="GO26" s="5" t="str">
        <f t="shared" ca="1" si="78"/>
        <v>VIGENTE</v>
      </c>
      <c r="GP26" s="4"/>
      <c r="GQ26" s="4">
        <v>45013</v>
      </c>
      <c r="GR26" s="4">
        <f t="shared" si="79"/>
        <v>46840</v>
      </c>
      <c r="GS26" s="8">
        <f t="shared" ca="1" si="176"/>
        <v>695</v>
      </c>
      <c r="GT26" s="5" t="str">
        <f t="shared" ca="1" si="81"/>
        <v>VIGENTE</v>
      </c>
      <c r="GU26" s="3"/>
      <c r="GV26" s="4">
        <v>45010</v>
      </c>
      <c r="GW26" s="4">
        <f t="shared" si="82"/>
        <v>46837</v>
      </c>
      <c r="GX26" s="8">
        <f t="shared" ca="1" si="83"/>
        <v>692</v>
      </c>
      <c r="GY26" s="5" t="str">
        <f t="shared" ca="1" si="84"/>
        <v>VIGENTE</v>
      </c>
      <c r="GZ26" s="2"/>
      <c r="HA26" s="4">
        <v>44980</v>
      </c>
      <c r="HB26" s="4">
        <f t="shared" si="85"/>
        <v>46806</v>
      </c>
      <c r="HC26" s="8">
        <f t="shared" ca="1" si="86"/>
        <v>661</v>
      </c>
      <c r="HD26" s="5" t="str">
        <f t="shared" ca="1" si="87"/>
        <v>VIGENTE</v>
      </c>
      <c r="HE26" s="6"/>
      <c r="HF26" s="6"/>
      <c r="HG26" s="4"/>
      <c r="HH26" s="8"/>
      <c r="HI26" s="5" t="str">
        <f t="shared" si="187"/>
        <v>NO APLICA</v>
      </c>
      <c r="HJ26" s="2"/>
      <c r="HK26" s="4"/>
      <c r="HL26" s="4"/>
      <c r="HM26" s="8"/>
      <c r="HN26" s="5" t="str">
        <f t="shared" si="91"/>
        <v>NO APLICA</v>
      </c>
      <c r="HO26" s="2"/>
      <c r="HP26" s="5"/>
      <c r="HQ26" s="4"/>
      <c r="HR26" s="5"/>
      <c r="HS26" s="5" t="str">
        <f t="shared" si="92"/>
        <v>NO APLICA</v>
      </c>
      <c r="HT26" s="2"/>
      <c r="HU26" s="6"/>
      <c r="HV26" s="4"/>
      <c r="HW26" s="8"/>
      <c r="HX26" s="5" t="str">
        <f t="shared" si="93"/>
        <v>NO APLICA</v>
      </c>
      <c r="HY26" s="2"/>
      <c r="HZ26" s="6"/>
      <c r="IA26" s="4"/>
      <c r="IB26" s="8"/>
      <c r="IC26" s="5" t="str">
        <f t="shared" si="94"/>
        <v>NO APLICA</v>
      </c>
      <c r="ID26" s="2"/>
      <c r="IE26" s="6"/>
      <c r="IF26" s="4"/>
      <c r="IG26" s="8"/>
      <c r="IH26" s="5" t="str">
        <f t="shared" si="95"/>
        <v>NO APLICA</v>
      </c>
      <c r="II26" s="6"/>
      <c r="IJ26" s="6"/>
      <c r="IK26" s="4"/>
      <c r="IL26" s="8"/>
      <c r="IM26" s="5" t="str">
        <f t="shared" si="96"/>
        <v>NO APLICA</v>
      </c>
      <c r="IN26" s="2"/>
      <c r="IO26" s="6"/>
      <c r="IP26" s="4"/>
      <c r="IQ26" s="8"/>
      <c r="IR26" s="5" t="str">
        <f t="shared" si="97"/>
        <v>NO APLICA</v>
      </c>
      <c r="IS26" s="2"/>
      <c r="IT26" s="6"/>
      <c r="IU26" s="4"/>
      <c r="IV26" s="8"/>
      <c r="IW26" s="5" t="str">
        <f t="shared" si="98"/>
        <v>NO APLICA</v>
      </c>
      <c r="IX26" s="2"/>
      <c r="IY26" s="6"/>
      <c r="IZ26" s="4"/>
      <c r="JA26" s="8"/>
      <c r="JB26" s="5" t="str">
        <f t="shared" si="99"/>
        <v>NO APLICA</v>
      </c>
      <c r="JC26" s="3" t="s">
        <v>780</v>
      </c>
      <c r="JD26" s="3"/>
      <c r="JE26" s="4"/>
      <c r="JF26" s="8"/>
      <c r="JG26" s="5"/>
      <c r="JH26" s="3" t="s">
        <v>780</v>
      </c>
      <c r="JI26" s="6"/>
      <c r="JJ26" s="6"/>
      <c r="JK26" s="6"/>
      <c r="JL26" s="5"/>
      <c r="JM26" s="6" t="s">
        <v>780</v>
      </c>
      <c r="JN26" s="6"/>
      <c r="JO26" s="6"/>
      <c r="JP26" s="6"/>
      <c r="JQ26" s="5"/>
      <c r="JR26" s="6" t="s">
        <v>780</v>
      </c>
      <c r="JS26" s="6"/>
      <c r="JT26" s="6"/>
      <c r="JU26" s="6"/>
      <c r="JV26" s="5"/>
      <c r="JW26" s="6" t="s">
        <v>780</v>
      </c>
      <c r="JX26" s="3"/>
      <c r="JY26" s="4"/>
      <c r="JZ26" s="8"/>
      <c r="KA26" s="5"/>
      <c r="KB26" s="5"/>
      <c r="KC26" s="5"/>
      <c r="KD26" s="4"/>
      <c r="KE26" s="8"/>
      <c r="KF26" s="5" t="str">
        <f t="shared" si="135"/>
        <v>NO APLICA</v>
      </c>
      <c r="KG26" s="5"/>
      <c r="KH26" s="5"/>
      <c r="KI26" s="4"/>
      <c r="KJ26" s="8"/>
      <c r="KK26" s="5" t="str">
        <f t="shared" si="136"/>
        <v>NO APLICA</v>
      </c>
      <c r="KL26" s="5"/>
      <c r="KM26" s="5"/>
      <c r="KN26" s="4"/>
      <c r="KO26" s="8"/>
      <c r="KP26" s="5" t="str">
        <f t="shared" si="100"/>
        <v>NO APLICA</v>
      </c>
      <c r="KQ26" s="5"/>
      <c r="KR26" s="2"/>
      <c r="KS26" s="4"/>
      <c r="KT26" s="8"/>
      <c r="KU26" s="5" t="str">
        <f t="shared" si="137"/>
        <v>NO APLICA</v>
      </c>
      <c r="KV26" s="2"/>
      <c r="KW26" s="6"/>
      <c r="KX26" s="4"/>
      <c r="KY26" s="8"/>
      <c r="KZ26" s="5" t="str">
        <f t="shared" si="151"/>
        <v>NO APLICA</v>
      </c>
      <c r="LA26" s="5"/>
      <c r="LB26" s="6"/>
      <c r="LC26" s="4"/>
      <c r="LD26" s="8"/>
      <c r="LE26" s="5" t="str">
        <f t="shared" si="138"/>
        <v>NO APLICA</v>
      </c>
      <c r="LF26" s="6"/>
      <c r="LG26" s="6"/>
      <c r="LH26" s="4"/>
      <c r="LI26" s="8"/>
      <c r="LJ26" s="5" t="str">
        <f t="shared" si="101"/>
        <v>NO APLICA</v>
      </c>
      <c r="LK26" s="5"/>
      <c r="LL26" s="5"/>
      <c r="LM26" s="4"/>
      <c r="LN26" s="8"/>
      <c r="LO26" s="5" t="str">
        <f t="shared" si="152"/>
        <v>NO APLICA</v>
      </c>
      <c r="LP26" s="5"/>
      <c r="LQ26" s="6"/>
      <c r="LR26" s="4"/>
      <c r="LS26" s="8"/>
      <c r="LT26" s="5" t="str">
        <f t="shared" si="139"/>
        <v>NO APLICA</v>
      </c>
      <c r="LU26" s="6"/>
      <c r="LV26" s="6"/>
      <c r="LW26" s="4"/>
      <c r="LX26" s="8"/>
      <c r="LY26" s="5" t="str">
        <f t="shared" si="140"/>
        <v>NO APLICA</v>
      </c>
      <c r="LZ26" s="6"/>
      <c r="MA26" s="6"/>
      <c r="MB26" s="4"/>
      <c r="MC26" s="8"/>
      <c r="MD26" s="5" t="str">
        <f t="shared" si="141"/>
        <v>NO APLICA</v>
      </c>
      <c r="ME26" s="5"/>
      <c r="MF26" s="5"/>
      <c r="MG26" s="4"/>
      <c r="MH26" s="8"/>
      <c r="MI26" s="5" t="str">
        <f t="shared" si="102"/>
        <v>NO APLICA</v>
      </c>
      <c r="MJ26" s="5"/>
      <c r="MK26" s="5"/>
      <c r="ML26" s="4"/>
      <c r="MM26" s="8"/>
      <c r="MN26" s="5" t="str">
        <f t="shared" si="103"/>
        <v>NO APLICA</v>
      </c>
      <c r="MO26" s="5"/>
      <c r="MP26" s="5"/>
      <c r="MQ26" s="4"/>
      <c r="MR26" s="8"/>
      <c r="MS26" s="5" t="str">
        <f t="shared" si="104"/>
        <v>NO APLICA</v>
      </c>
      <c r="MT26" s="5"/>
      <c r="MU26" s="5"/>
      <c r="MV26" s="4"/>
      <c r="MW26" s="5"/>
      <c r="MX26" s="5" t="str">
        <f t="shared" si="105"/>
        <v>NO APLICA</v>
      </c>
      <c r="MY26" s="5"/>
      <c r="MZ26" s="6"/>
      <c r="NA26" s="4"/>
      <c r="NB26" s="8"/>
      <c r="NC26" s="5" t="str">
        <f t="shared" si="106"/>
        <v>NO APLICA</v>
      </c>
      <c r="ND26" s="5"/>
      <c r="NE26" s="6"/>
      <c r="NF26" s="4"/>
      <c r="NG26" s="8"/>
      <c r="NH26" s="5" t="str">
        <f t="shared" si="107"/>
        <v>NO APLICA</v>
      </c>
      <c r="NI26" s="5"/>
      <c r="NJ26" s="6"/>
      <c r="NK26" s="4"/>
      <c r="NL26" s="8"/>
      <c r="NM26" s="5" t="str">
        <f t="shared" si="108"/>
        <v>NO APLICA</v>
      </c>
      <c r="NN26" s="5"/>
      <c r="NO26" s="5"/>
      <c r="NP26" s="4"/>
      <c r="NQ26" s="8"/>
      <c r="NR26" s="5" t="str">
        <f t="shared" si="109"/>
        <v>NO APLICA</v>
      </c>
      <c r="NS26" s="5"/>
      <c r="NT26" s="5"/>
      <c r="NU26" s="5"/>
      <c r="NV26" s="5"/>
      <c r="NW26" s="5" t="str">
        <f t="shared" si="110"/>
        <v>NO APLICA</v>
      </c>
      <c r="NX26" s="6"/>
      <c r="NY26" s="6"/>
      <c r="NZ26" s="4"/>
      <c r="OA26" s="8"/>
      <c r="OB26" s="5" t="str">
        <f t="shared" si="111"/>
        <v>NO APLICA</v>
      </c>
      <c r="OC26" s="6"/>
      <c r="OD26" s="6"/>
      <c r="OE26" s="6"/>
      <c r="OF26" s="6"/>
      <c r="OG26" s="5" t="str">
        <f t="shared" si="112"/>
        <v>NO APLICA</v>
      </c>
      <c r="OH26" s="5"/>
      <c r="OI26" s="5"/>
      <c r="OJ26" s="4"/>
      <c r="OK26" s="8"/>
      <c r="OL26" s="5" t="str">
        <f t="shared" si="113"/>
        <v>NO APLICA</v>
      </c>
      <c r="OM26" s="6"/>
      <c r="ON26" s="6"/>
      <c r="OO26" s="6"/>
      <c r="OP26" s="6"/>
      <c r="OQ26" s="5" t="str">
        <f t="shared" si="114"/>
        <v>NO APLICA</v>
      </c>
      <c r="OR26" s="6"/>
      <c r="OS26" s="6"/>
      <c r="OT26" s="6"/>
      <c r="OU26" s="6"/>
      <c r="OV26" s="5" t="str">
        <f t="shared" si="115"/>
        <v>NO APLICA</v>
      </c>
      <c r="OW26" s="6"/>
      <c r="OX26" s="6"/>
      <c r="OY26" s="6"/>
      <c r="OZ26" s="6"/>
      <c r="PA26" s="5" t="str">
        <f t="shared" si="116"/>
        <v>NO APLICA</v>
      </c>
      <c r="PB26" s="6"/>
      <c r="PC26" s="6"/>
      <c r="PD26" s="6"/>
      <c r="PE26" s="6"/>
      <c r="PF26" s="5" t="str">
        <f t="shared" si="117"/>
        <v>NO APLICA</v>
      </c>
      <c r="PG26" s="6"/>
      <c r="PH26" s="6"/>
      <c r="PI26" s="6"/>
      <c r="PJ26" s="6"/>
      <c r="PK26" s="5" t="str">
        <f t="shared" si="118"/>
        <v>NO APLICA</v>
      </c>
      <c r="PL26" s="5"/>
      <c r="PM26" s="6"/>
      <c r="PN26" s="4"/>
      <c r="PO26" s="8"/>
      <c r="PP26" s="5" t="str">
        <f t="shared" si="119"/>
        <v>NO APLICA</v>
      </c>
      <c r="PQ26" s="6"/>
      <c r="PR26" s="6"/>
      <c r="PS26" s="6"/>
      <c r="PT26" s="6"/>
      <c r="PU26" s="5" t="str">
        <f t="shared" si="120"/>
        <v>NO APLICA</v>
      </c>
      <c r="PV26" s="5"/>
      <c r="PW26" s="6"/>
      <c r="PX26" s="6"/>
      <c r="PY26" s="6"/>
      <c r="PZ26" s="5" t="str">
        <f t="shared" si="121"/>
        <v>NO APLICA</v>
      </c>
    </row>
    <row r="27" spans="1:442" ht="15.6" hidden="1" thickTop="1" thickBot="1" x14ac:dyDescent="0.35">
      <c r="A27" s="26">
        <v>24</v>
      </c>
      <c r="B27" s="31">
        <v>886</v>
      </c>
      <c r="C27" s="28" t="s">
        <v>144</v>
      </c>
      <c r="D27" s="29" t="s">
        <v>68</v>
      </c>
      <c r="E27" s="30" t="s">
        <v>77</v>
      </c>
      <c r="F27" s="6"/>
      <c r="G27" s="6"/>
      <c r="H27" s="6"/>
      <c r="I27" s="8"/>
      <c r="J27" s="5" t="str">
        <f t="shared" si="0"/>
        <v>NO APLICA</v>
      </c>
      <c r="K27" s="6"/>
      <c r="L27" s="6"/>
      <c r="M27" s="6"/>
      <c r="N27" s="8"/>
      <c r="O27" s="5" t="str">
        <f t="shared" si="1"/>
        <v>NO APLICA</v>
      </c>
      <c r="P27" s="6"/>
      <c r="Q27" s="6"/>
      <c r="R27" s="4"/>
      <c r="S27" s="8"/>
      <c r="T27" s="5" t="str">
        <f t="shared" si="122"/>
        <v>NO APLICA</v>
      </c>
      <c r="U27" s="5"/>
      <c r="V27" s="2" t="s">
        <v>145</v>
      </c>
      <c r="W27" s="4">
        <v>44837</v>
      </c>
      <c r="X27" s="4">
        <f t="shared" si="2"/>
        <v>46663</v>
      </c>
      <c r="Y27" s="8">
        <f t="shared" ca="1" si="3"/>
        <v>518</v>
      </c>
      <c r="Z27" s="5" t="str">
        <f t="shared" ca="1" si="4"/>
        <v>VIGENTE</v>
      </c>
      <c r="AA27" s="5"/>
      <c r="AB27" s="2" t="s">
        <v>146</v>
      </c>
      <c r="AC27" s="4">
        <v>44839</v>
      </c>
      <c r="AD27" s="4">
        <f>DATE(YEAR(AC27)+5,MONTH(AC27),DAY(AC27))</f>
        <v>46665</v>
      </c>
      <c r="AE27" s="8">
        <f ca="1">AD27-TODAY()</f>
        <v>520</v>
      </c>
      <c r="AF27" s="5" t="str">
        <f t="shared" ca="1" si="7"/>
        <v>VIGENTE</v>
      </c>
      <c r="AG27" s="4"/>
      <c r="AH27" s="4">
        <v>45680</v>
      </c>
      <c r="AI27" s="4">
        <f>DATE(YEAR(AH27)+2,MONTH(AH27),DAY(AH27)-1)</f>
        <v>46409</v>
      </c>
      <c r="AJ27" s="8">
        <f t="shared" ca="1" si="8"/>
        <v>264</v>
      </c>
      <c r="AK27" s="5" t="str">
        <f t="shared" ca="1" si="9"/>
        <v>VIGENTE</v>
      </c>
      <c r="AL27" s="4"/>
      <c r="AM27" s="4">
        <v>45516</v>
      </c>
      <c r="AN27" s="4">
        <f>DATE(YEAR(AM27)+2,MONTH(AM27),DAY(AM27)-1)</f>
        <v>46245</v>
      </c>
      <c r="AO27" s="8">
        <f t="shared" ca="1" si="10"/>
        <v>100</v>
      </c>
      <c r="AP27" s="5" t="str">
        <f t="shared" ca="1" si="11"/>
        <v>VIGENTE</v>
      </c>
      <c r="AQ27" s="4"/>
      <c r="AR27" s="4">
        <v>45529</v>
      </c>
      <c r="AS27" s="4">
        <f>DATE(YEAR(AR27)+2,MONTH(AR27),DAY(AR27)-1)</f>
        <v>46258</v>
      </c>
      <c r="AT27" s="8">
        <f t="shared" ca="1" si="12"/>
        <v>113</v>
      </c>
      <c r="AU27" s="5" t="str">
        <f t="shared" ca="1" si="13"/>
        <v>VIGENTE</v>
      </c>
      <c r="AV27" s="4"/>
      <c r="AW27" s="4">
        <v>45514</v>
      </c>
      <c r="AX27" s="4">
        <f>DATE(YEAR(AW27)+2,MONTH(AW27),DAY(AW27)-1)</f>
        <v>46243</v>
      </c>
      <c r="AY27" s="8">
        <f t="shared" ca="1" si="15"/>
        <v>98</v>
      </c>
      <c r="AZ27" s="5" t="str">
        <f t="shared" ca="1" si="16"/>
        <v>VIGENTE</v>
      </c>
      <c r="BA27" s="4"/>
      <c r="BB27" s="4">
        <v>45603</v>
      </c>
      <c r="BC27" s="4">
        <f>DATE(YEAR(BB27)+2,MONTH(BB27),DAY(BB27)-1)</f>
        <v>46332</v>
      </c>
      <c r="BD27" s="8">
        <f t="shared" ca="1" si="17"/>
        <v>187</v>
      </c>
      <c r="BE27" s="5" t="str">
        <f t="shared" ca="1" si="18"/>
        <v>VIGENTE</v>
      </c>
      <c r="BF27" s="4"/>
      <c r="BG27" s="4">
        <v>45531</v>
      </c>
      <c r="BH27" s="4">
        <f>DATE(YEAR(BG27)+2,MONTH(BG27),DAY(BG27)-1)</f>
        <v>46260</v>
      </c>
      <c r="BI27" s="8">
        <f t="shared" ca="1" si="19"/>
        <v>115</v>
      </c>
      <c r="BJ27" s="5" t="str">
        <f t="shared" ca="1" si="20"/>
        <v>VIGENTE</v>
      </c>
      <c r="BK27" s="4"/>
      <c r="BL27" s="4">
        <v>45548</v>
      </c>
      <c r="BM27" s="4">
        <f>DATE(YEAR(BL27)+2,MONTH(BL27),DAY(BL27)-1)</f>
        <v>46277</v>
      </c>
      <c r="BN27" s="8">
        <f t="shared" ca="1" si="21"/>
        <v>132</v>
      </c>
      <c r="BO27" s="5" t="str">
        <f t="shared" ca="1" si="22"/>
        <v>VIGENTE</v>
      </c>
      <c r="BP27" s="4"/>
      <c r="BQ27" s="39">
        <v>45604</v>
      </c>
      <c r="BR27" s="4">
        <f>DATE(YEAR(BQ27)+2,MONTH(BQ27),DAY(BQ27)-1)</f>
        <v>46333</v>
      </c>
      <c r="BS27" s="8">
        <f t="shared" ca="1" si="23"/>
        <v>188</v>
      </c>
      <c r="BT27" s="5" t="str">
        <f t="shared" ca="1" si="24"/>
        <v>VIGENTE</v>
      </c>
      <c r="BU27" s="4"/>
      <c r="BV27" s="4">
        <v>45572</v>
      </c>
      <c r="BW27" s="4">
        <f t="shared" si="185"/>
        <v>46301</v>
      </c>
      <c r="BX27" s="8">
        <f t="shared" ca="1" si="25"/>
        <v>156</v>
      </c>
      <c r="BY27" s="5" t="str">
        <f t="shared" ca="1" si="26"/>
        <v>VIGENTE</v>
      </c>
      <c r="BZ27" s="4"/>
      <c r="CA27" s="4">
        <v>45818</v>
      </c>
      <c r="CB27" s="4">
        <f>DATE(YEAR(CA27)+2,MONTH(CA27),DAY(CA27))</f>
        <v>46548</v>
      </c>
      <c r="CC27" s="8">
        <f t="shared" ca="1" si="27"/>
        <v>403</v>
      </c>
      <c r="CD27" s="5" t="str">
        <f t="shared" ca="1" si="28"/>
        <v>VIGENTE</v>
      </c>
      <c r="CE27" s="6"/>
      <c r="CF27" s="4">
        <v>45227</v>
      </c>
      <c r="CG27" s="4">
        <f t="shared" si="29"/>
        <v>46688</v>
      </c>
      <c r="CH27" s="8">
        <f t="shared" ca="1" si="30"/>
        <v>543</v>
      </c>
      <c r="CI27" s="5" t="str">
        <f t="shared" ca="1" si="31"/>
        <v>VIGENTE</v>
      </c>
      <c r="CJ27" s="4"/>
      <c r="CK27" s="4">
        <v>45777</v>
      </c>
      <c r="CL27" s="4">
        <f>DATE(YEAR(CK27)+2,MONTH(CK27),DAY(CK27))</f>
        <v>46507</v>
      </c>
      <c r="CM27" s="8">
        <f t="shared" ca="1" si="32"/>
        <v>362</v>
      </c>
      <c r="CN27" s="5" t="str">
        <f t="shared" ca="1" si="33"/>
        <v>VIGENTE</v>
      </c>
      <c r="CO27" s="4"/>
      <c r="CP27" s="39">
        <v>45597</v>
      </c>
      <c r="CQ27" s="4">
        <f>DATE(YEAR(CP27)+2,MONTH(CP27),DAY(CP27)-1)</f>
        <v>46326</v>
      </c>
      <c r="CR27" s="8">
        <f t="shared" ca="1" si="34"/>
        <v>181</v>
      </c>
      <c r="CS27" s="5" t="str">
        <f t="shared" ca="1" si="35"/>
        <v>VIGENTE</v>
      </c>
      <c r="CT27" s="4"/>
      <c r="CU27" s="4">
        <v>45631</v>
      </c>
      <c r="CV27" s="4">
        <f>DATE(YEAR(CU27)+2,MONTH(CU27),DAY(CU27)-1)</f>
        <v>46360</v>
      </c>
      <c r="CW27" s="8">
        <f t="shared" ca="1" si="36"/>
        <v>215</v>
      </c>
      <c r="CX27" s="5" t="str">
        <f t="shared" ca="1" si="37"/>
        <v>VIGENTE</v>
      </c>
      <c r="CY27" s="4"/>
      <c r="CZ27" s="4">
        <v>45593</v>
      </c>
      <c r="DA27" s="4">
        <f>DATE(YEAR(CZ27)+2,MONTH(CZ27),DAY(CZ27)-1)</f>
        <v>46322</v>
      </c>
      <c r="DB27" s="8">
        <f t="shared" ca="1" si="38"/>
        <v>177</v>
      </c>
      <c r="DC27" s="5" t="str">
        <f t="shared" ca="1" si="39"/>
        <v>VIGENTE</v>
      </c>
      <c r="DD27" s="4"/>
      <c r="DE27" s="39">
        <v>45596</v>
      </c>
      <c r="DF27" s="4">
        <f t="shared" si="188"/>
        <v>46325</v>
      </c>
      <c r="DG27" s="8">
        <f t="shared" ca="1" si="40"/>
        <v>180</v>
      </c>
      <c r="DH27" s="5" t="str">
        <f t="shared" ca="1" si="41"/>
        <v>VIGENTE</v>
      </c>
      <c r="DI27" s="4"/>
      <c r="DJ27" s="39">
        <v>45580</v>
      </c>
      <c r="DK27" s="4">
        <f>DATE(YEAR(DJ27)+2,MONTH(DJ27),DAY(DJ27)-1)</f>
        <v>46309</v>
      </c>
      <c r="DL27" s="8">
        <f t="shared" ca="1" si="43"/>
        <v>164</v>
      </c>
      <c r="DM27" s="5" t="str">
        <f t="shared" ca="1" si="44"/>
        <v>VIGENTE</v>
      </c>
      <c r="DN27" s="4"/>
      <c r="DO27" s="4">
        <v>45577</v>
      </c>
      <c r="DP27" s="4">
        <f>DATE(YEAR(DO27)+2,MONTH(DO27),DAY(DO27)-1)</f>
        <v>46306</v>
      </c>
      <c r="DQ27" s="8">
        <f t="shared" ca="1" si="46"/>
        <v>161</v>
      </c>
      <c r="DR27" s="5" t="str">
        <f t="shared" ca="1" si="47"/>
        <v>VIGENTE</v>
      </c>
      <c r="DS27" s="4"/>
      <c r="DT27" s="4">
        <v>45619</v>
      </c>
      <c r="DU27" s="4">
        <f>DATE(YEAR(DT27)+2,MONTH(DT27),DAY(DT27)-1)</f>
        <v>46348</v>
      </c>
      <c r="DV27" s="8">
        <f t="shared" ca="1" si="48"/>
        <v>203</v>
      </c>
      <c r="DW27" s="5" t="str">
        <f t="shared" ca="1" si="49"/>
        <v>VIGENTE</v>
      </c>
      <c r="DX27" s="4"/>
      <c r="DY27" s="4">
        <v>45582</v>
      </c>
      <c r="DZ27" s="4">
        <f>DATE(YEAR(DY27)+2,MONTH(DY27),DAY(DY27)-1)</f>
        <v>46311</v>
      </c>
      <c r="EA27" s="8">
        <f t="shared" ca="1" si="50"/>
        <v>166</v>
      </c>
      <c r="EB27" s="5" t="str">
        <f t="shared" ca="1" si="51"/>
        <v>VIGENTE</v>
      </c>
      <c r="EC27" s="4"/>
      <c r="ED27" s="39">
        <v>45583</v>
      </c>
      <c r="EE27" s="4">
        <f>DATE(YEAR(ED27)+2,MONTH(ED27),DAY(ED27)-1)</f>
        <v>46312</v>
      </c>
      <c r="EF27" s="8">
        <f t="shared" ca="1" si="52"/>
        <v>167</v>
      </c>
      <c r="EG27" s="5" t="str">
        <f t="shared" ca="1" si="53"/>
        <v>VIGENTE</v>
      </c>
      <c r="EH27" s="4"/>
      <c r="EI27" s="4">
        <v>46115</v>
      </c>
      <c r="EJ27" s="4">
        <f t="shared" si="131"/>
        <v>46480</v>
      </c>
      <c r="EK27" s="8">
        <f t="shared" ca="1" si="54"/>
        <v>335</v>
      </c>
      <c r="EL27" s="5" t="str">
        <f t="shared" ca="1" si="55"/>
        <v>VIGENTE</v>
      </c>
      <c r="EM27" s="4"/>
      <c r="EN27" s="4">
        <v>45584</v>
      </c>
      <c r="EO27" s="4">
        <f>DATE(YEAR(EN27)+2,MONTH(EN27),DAY(EN27)-1)</f>
        <v>46313</v>
      </c>
      <c r="EP27" s="8">
        <f t="shared" ca="1" si="56"/>
        <v>168</v>
      </c>
      <c r="EQ27" s="5" t="str">
        <f t="shared" ca="1" si="57"/>
        <v>VIGENTE</v>
      </c>
      <c r="ER27" s="4"/>
      <c r="ES27" s="39">
        <v>45575</v>
      </c>
      <c r="ET27" s="4">
        <f>DATE(YEAR(ES27)+2,MONTH(ES27),DAY(ES27)-1)</f>
        <v>46304</v>
      </c>
      <c r="EU27" s="8">
        <f t="shared" ca="1" si="58"/>
        <v>159</v>
      </c>
      <c r="EV27" s="5" t="str">
        <f t="shared" ca="1" si="59"/>
        <v>VIGENTE</v>
      </c>
      <c r="EW27" s="4"/>
      <c r="EX27" s="4">
        <v>45610</v>
      </c>
      <c r="EY27" s="4">
        <f>DATE(YEAR(EX27)+2,MONTH(EX27),DAY(EX27)-1)</f>
        <v>46339</v>
      </c>
      <c r="EZ27" s="8">
        <f t="shared" ca="1" si="60"/>
        <v>194</v>
      </c>
      <c r="FA27" s="5" t="str">
        <f t="shared" ca="1" si="61"/>
        <v>VIGENTE</v>
      </c>
      <c r="FB27" s="4"/>
      <c r="FC27" s="4">
        <v>45611</v>
      </c>
      <c r="FD27" s="4">
        <f>DATE(YEAR(FC27)+2,MONTH(FC27),DAY(FC27)-1)</f>
        <v>46340</v>
      </c>
      <c r="FE27" s="8">
        <f t="shared" ca="1" si="62"/>
        <v>195</v>
      </c>
      <c r="FF27" s="5" t="str">
        <f t="shared" ca="1" si="63"/>
        <v>VIGENTE</v>
      </c>
      <c r="FG27" s="6"/>
      <c r="FH27" s="4">
        <v>45542</v>
      </c>
      <c r="FI27" s="4">
        <f>DATE(YEAR(FH27)+2,MONTH(FH27),DAY(FH27)-1)</f>
        <v>46271</v>
      </c>
      <c r="FJ27" s="8">
        <f t="shared" ca="1" si="64"/>
        <v>126</v>
      </c>
      <c r="FK27" s="5" t="str">
        <f t="shared" ca="1" si="65"/>
        <v>VIGENTE</v>
      </c>
      <c r="FL27" s="4"/>
      <c r="FM27" s="39">
        <v>45670</v>
      </c>
      <c r="FN27" s="4">
        <f>DATE(YEAR(FM27)+2,MONTH(FM27),DAY(FM27)-1)</f>
        <v>46399</v>
      </c>
      <c r="FO27" s="8">
        <f t="shared" ca="1" si="67"/>
        <v>254</v>
      </c>
      <c r="FP27" s="5" t="str">
        <f t="shared" ca="1" si="68"/>
        <v>VIGENTE</v>
      </c>
      <c r="FQ27" s="4"/>
      <c r="FR27" s="39">
        <v>45782</v>
      </c>
      <c r="FS27" s="4">
        <f>DATE(YEAR(FR27)+2,MONTH(FR27),DAY(FR27))</f>
        <v>46512</v>
      </c>
      <c r="FT27" s="8">
        <f t="shared" ca="1" si="69"/>
        <v>367</v>
      </c>
      <c r="FU27" s="5" t="str">
        <f t="shared" ca="1" si="70"/>
        <v>VIGENTE</v>
      </c>
      <c r="FV27" s="4"/>
      <c r="FW27" s="4">
        <v>45700</v>
      </c>
      <c r="FX27" s="4">
        <f>DATE(YEAR(FW27)+2,MONTH(FW27),DAY(FW27)-1)</f>
        <v>46429</v>
      </c>
      <c r="FY27" s="8">
        <f t="shared" ca="1" si="71"/>
        <v>284</v>
      </c>
      <c r="FZ27" s="5" t="str">
        <f t="shared" ca="1" si="72"/>
        <v>VIGENTE</v>
      </c>
      <c r="GA27" s="4"/>
      <c r="GB27" s="4">
        <v>45757</v>
      </c>
      <c r="GC27" s="4">
        <f>DATE(YEAR(GB27)+2,MONTH(GB27),DAY(GB27)-1)</f>
        <v>46486</v>
      </c>
      <c r="GD27" s="8">
        <f t="shared" ca="1" si="73"/>
        <v>341</v>
      </c>
      <c r="GE27" s="5" t="str">
        <f t="shared" ca="1" si="74"/>
        <v>VIGENTE</v>
      </c>
      <c r="GF27" s="4"/>
      <c r="GG27" s="4">
        <v>45752</v>
      </c>
      <c r="GH27" s="4">
        <f t="shared" si="189"/>
        <v>46481</v>
      </c>
      <c r="GI27" s="8">
        <f t="shared" ca="1" si="75"/>
        <v>336</v>
      </c>
      <c r="GJ27" s="5" t="str">
        <f t="shared" ca="1" si="76"/>
        <v>VIGENTE</v>
      </c>
      <c r="GK27" s="4"/>
      <c r="GL27" s="4">
        <v>45608</v>
      </c>
      <c r="GM27" s="4">
        <f>DATE(YEAR(GL27)+2,MONTH(GL27),DAY(GL27)-1)</f>
        <v>46337</v>
      </c>
      <c r="GN27" s="8">
        <f t="shared" ca="1" si="77"/>
        <v>192</v>
      </c>
      <c r="GO27" s="5" t="str">
        <f t="shared" ca="1" si="78"/>
        <v>VIGENTE</v>
      </c>
      <c r="GP27" s="4"/>
      <c r="GQ27" s="4">
        <v>45120</v>
      </c>
      <c r="GR27" s="4">
        <f t="shared" si="79"/>
        <v>46947</v>
      </c>
      <c r="GS27" s="8">
        <f t="shared" ca="1" si="176"/>
        <v>802</v>
      </c>
      <c r="GT27" s="5" t="str">
        <f t="shared" ca="1" si="81"/>
        <v>VIGENTE</v>
      </c>
      <c r="GU27" s="4"/>
      <c r="GV27" s="4">
        <v>45117</v>
      </c>
      <c r="GW27" s="4">
        <f t="shared" si="82"/>
        <v>46944</v>
      </c>
      <c r="GX27" s="8">
        <f t="shared" ca="1" si="83"/>
        <v>799</v>
      </c>
      <c r="GY27" s="5" t="str">
        <f t="shared" ca="1" si="84"/>
        <v>VIGENTE</v>
      </c>
      <c r="GZ27" s="6"/>
      <c r="HA27" s="4">
        <v>45119</v>
      </c>
      <c r="HB27" s="4">
        <f t="shared" si="85"/>
        <v>46946</v>
      </c>
      <c r="HC27" s="8">
        <f t="shared" ca="1" si="86"/>
        <v>801</v>
      </c>
      <c r="HD27" s="5" t="str">
        <f t="shared" ca="1" si="87"/>
        <v>VIGENTE</v>
      </c>
      <c r="HE27" s="6"/>
      <c r="HF27" s="4">
        <v>45115</v>
      </c>
      <c r="HG27" s="4">
        <f>DATE(YEAR(HF27)+5,MONTH(HF27),DAY(HF27))</f>
        <v>46942</v>
      </c>
      <c r="HH27" s="8">
        <f ca="1">HG27-TODAY()</f>
        <v>797</v>
      </c>
      <c r="HI27" s="5" t="str">
        <f t="shared" ca="1" si="187"/>
        <v>VIGENTE</v>
      </c>
      <c r="HJ27" s="6"/>
      <c r="HK27" s="6"/>
      <c r="HL27" s="4"/>
      <c r="HM27" s="8"/>
      <c r="HN27" s="5" t="str">
        <f t="shared" si="91"/>
        <v>NO APLICA</v>
      </c>
      <c r="HO27" s="2"/>
      <c r="HP27" s="2"/>
      <c r="HQ27" s="4"/>
      <c r="HR27" s="2"/>
      <c r="HS27" s="5" t="str">
        <f t="shared" si="92"/>
        <v>NO APLICA</v>
      </c>
      <c r="HT27" s="6"/>
      <c r="HU27" s="4">
        <v>45149</v>
      </c>
      <c r="HV27" s="4">
        <f>DATE(YEAR(HU27)+5,MONTH(HU27),DAY(HU27))</f>
        <v>46976</v>
      </c>
      <c r="HW27" s="8">
        <f ca="1">HV27-TODAY()</f>
        <v>831</v>
      </c>
      <c r="HX27" s="5" t="str">
        <f t="shared" ca="1" si="93"/>
        <v>VIGENTE</v>
      </c>
      <c r="HY27" s="6"/>
      <c r="HZ27" s="4">
        <v>45162</v>
      </c>
      <c r="IA27" s="4">
        <f>DATE(YEAR(HZ27)+5,MONTH(HZ27),DAY(HZ27))</f>
        <v>46989</v>
      </c>
      <c r="IB27" s="8">
        <f ca="1">IA27-TODAY()</f>
        <v>844</v>
      </c>
      <c r="IC27" s="5" t="str">
        <f t="shared" ca="1" si="94"/>
        <v>VIGENTE</v>
      </c>
      <c r="ID27" s="6"/>
      <c r="IE27" s="4">
        <v>45147</v>
      </c>
      <c r="IF27" s="4">
        <f>DATE(YEAR(IE27)+5,MONTH(IE27),DAY(IE27))</f>
        <v>46974</v>
      </c>
      <c r="IG27" s="8">
        <f ca="1">IF27-TODAY()</f>
        <v>829</v>
      </c>
      <c r="IH27" s="5" t="str">
        <f t="shared" ca="1" si="95"/>
        <v>VIGENTE</v>
      </c>
      <c r="II27" s="6"/>
      <c r="IJ27" s="4">
        <v>45399</v>
      </c>
      <c r="IK27" s="4">
        <f>DATE(YEAR(IJ27)+5,MONTH(IJ27),DAY(IJ27))</f>
        <v>47225</v>
      </c>
      <c r="IL27" s="8">
        <f ca="1">IK27-TODAY()</f>
        <v>1080</v>
      </c>
      <c r="IM27" s="5" t="str">
        <f t="shared" ca="1" si="96"/>
        <v>VIGENTE</v>
      </c>
      <c r="IN27" s="6"/>
      <c r="IO27" s="4">
        <v>45354</v>
      </c>
      <c r="IP27" s="4">
        <f>DATE(YEAR(IO27)+5,MONTH(IO27),DAY(IO27))</f>
        <v>47180</v>
      </c>
      <c r="IQ27" s="8">
        <f ca="1">IP27-TODAY()</f>
        <v>1035</v>
      </c>
      <c r="IR27" s="5" t="str">
        <f t="shared" ca="1" si="97"/>
        <v>VIGENTE</v>
      </c>
      <c r="IS27" s="6"/>
      <c r="IT27" s="4">
        <v>45146</v>
      </c>
      <c r="IU27" s="4">
        <f>DATE(YEAR(IT27)+5,MONTH(IT27),DAY(IT27))</f>
        <v>46973</v>
      </c>
      <c r="IV27" s="8">
        <f ca="1">IU27-TODAY()</f>
        <v>828</v>
      </c>
      <c r="IW27" s="5" t="str">
        <f t="shared" ca="1" si="98"/>
        <v>VIGENTE</v>
      </c>
      <c r="IX27" s="6"/>
      <c r="IY27" s="4">
        <v>45161</v>
      </c>
      <c r="IZ27" s="4">
        <f>DATE(YEAR(IY27)+5,MONTH(IY27),DAY(IY27))</f>
        <v>46988</v>
      </c>
      <c r="JA27" s="8">
        <f ca="1">IZ27-TODAY()</f>
        <v>843</v>
      </c>
      <c r="JB27" s="5" t="str">
        <f t="shared" ca="1" si="99"/>
        <v>VIGENTE</v>
      </c>
      <c r="JC27" s="3" t="s">
        <v>780</v>
      </c>
      <c r="JD27" s="3"/>
      <c r="JE27" s="4"/>
      <c r="JF27" s="8"/>
      <c r="JG27" s="5"/>
      <c r="JH27" s="3" t="s">
        <v>780</v>
      </c>
      <c r="JI27" s="6"/>
      <c r="JJ27" s="6"/>
      <c r="JK27" s="6"/>
      <c r="JL27" s="5"/>
      <c r="JM27" s="6" t="s">
        <v>780</v>
      </c>
      <c r="JN27" s="6"/>
      <c r="JO27" s="6"/>
      <c r="JP27" s="6"/>
      <c r="JQ27" s="5"/>
      <c r="JR27" s="6" t="s">
        <v>780</v>
      </c>
      <c r="JS27" s="6"/>
      <c r="JT27" s="6"/>
      <c r="JU27" s="6"/>
      <c r="JV27" s="5"/>
      <c r="JW27" s="6" t="s">
        <v>780</v>
      </c>
      <c r="JX27" s="3"/>
      <c r="JY27" s="4"/>
      <c r="JZ27" s="8"/>
      <c r="KA27" s="5"/>
      <c r="KB27" s="5"/>
      <c r="KC27" s="2"/>
      <c r="KD27" s="4"/>
      <c r="KE27" s="8"/>
      <c r="KF27" s="5" t="str">
        <f t="shared" si="135"/>
        <v>NO APLICA</v>
      </c>
      <c r="KG27" s="5"/>
      <c r="KH27" s="2"/>
      <c r="KI27" s="4"/>
      <c r="KJ27" s="8"/>
      <c r="KK27" s="5" t="str">
        <f t="shared" si="136"/>
        <v>NO APLICA</v>
      </c>
      <c r="KL27" s="5"/>
      <c r="KM27" s="2"/>
      <c r="KN27" s="4"/>
      <c r="KO27" s="8"/>
      <c r="KP27" s="5" t="str">
        <f t="shared" si="100"/>
        <v>NO APLICA</v>
      </c>
      <c r="KQ27" s="5"/>
      <c r="KR27" s="2"/>
      <c r="KS27" s="4"/>
      <c r="KT27" s="8"/>
      <c r="KU27" s="5" t="str">
        <f t="shared" si="137"/>
        <v>NO APLICA</v>
      </c>
      <c r="KV27" s="6"/>
      <c r="KW27" s="6"/>
      <c r="KX27" s="4"/>
      <c r="KY27" s="8"/>
      <c r="KZ27" s="5" t="str">
        <f t="shared" si="151"/>
        <v>NO APLICA</v>
      </c>
      <c r="LA27" s="5"/>
      <c r="LB27" s="6"/>
      <c r="LC27" s="4"/>
      <c r="LD27" s="8"/>
      <c r="LE27" s="5" t="str">
        <f t="shared" si="138"/>
        <v>NO APLICA</v>
      </c>
      <c r="LF27" s="6"/>
      <c r="LG27" s="6"/>
      <c r="LH27" s="4"/>
      <c r="LI27" s="8"/>
      <c r="LJ27" s="5" t="str">
        <f t="shared" si="101"/>
        <v>NO APLICA</v>
      </c>
      <c r="LK27" s="5"/>
      <c r="LL27" s="5"/>
      <c r="LM27" s="5"/>
      <c r="LN27" s="5"/>
      <c r="LO27" s="5" t="str">
        <f t="shared" si="152"/>
        <v>NO APLICA</v>
      </c>
      <c r="LP27" s="6"/>
      <c r="LQ27" s="6"/>
      <c r="LR27" s="4"/>
      <c r="LS27" s="8"/>
      <c r="LT27" s="5" t="str">
        <f t="shared" si="139"/>
        <v>NO APLICA</v>
      </c>
      <c r="LU27" s="6"/>
      <c r="LV27" s="6"/>
      <c r="LW27" s="4"/>
      <c r="LX27" s="8"/>
      <c r="LY27" s="5" t="str">
        <f t="shared" si="140"/>
        <v>NO APLICA</v>
      </c>
      <c r="LZ27" s="6"/>
      <c r="MA27" s="6"/>
      <c r="MB27" s="4"/>
      <c r="MC27" s="8"/>
      <c r="MD27" s="5" t="str">
        <f t="shared" si="141"/>
        <v>NO APLICA</v>
      </c>
      <c r="ME27" s="2"/>
      <c r="MF27" s="2"/>
      <c r="MG27" s="4"/>
      <c r="MH27" s="8"/>
      <c r="MI27" s="5" t="str">
        <f t="shared" si="102"/>
        <v>NO APLICA</v>
      </c>
      <c r="MJ27" s="2"/>
      <c r="MK27" s="2"/>
      <c r="ML27" s="4"/>
      <c r="MM27" s="8"/>
      <c r="MN27" s="5" t="str">
        <f t="shared" si="103"/>
        <v>NO APLICA</v>
      </c>
      <c r="MO27" s="5"/>
      <c r="MP27" s="2"/>
      <c r="MQ27" s="4"/>
      <c r="MR27" s="8"/>
      <c r="MS27" s="5" t="str">
        <f t="shared" si="104"/>
        <v>NO APLICA</v>
      </c>
      <c r="MT27" s="5"/>
      <c r="MU27" s="2"/>
      <c r="MV27" s="4"/>
      <c r="MW27" s="2"/>
      <c r="MX27" s="5" t="str">
        <f t="shared" si="105"/>
        <v>NO APLICA</v>
      </c>
      <c r="MY27" s="6"/>
      <c r="MZ27" s="6"/>
      <c r="NA27" s="4"/>
      <c r="NB27" s="8"/>
      <c r="NC27" s="5" t="str">
        <f t="shared" si="106"/>
        <v>NO APLICA</v>
      </c>
      <c r="ND27" s="6"/>
      <c r="NE27" s="6"/>
      <c r="NF27" s="4"/>
      <c r="NG27" s="8"/>
      <c r="NH27" s="5" t="str">
        <f t="shared" si="107"/>
        <v>NO APLICA</v>
      </c>
      <c r="NI27" s="6"/>
      <c r="NJ27" s="6"/>
      <c r="NK27" s="4"/>
      <c r="NL27" s="8"/>
      <c r="NM27" s="5" t="str">
        <f t="shared" si="108"/>
        <v>NO APLICA</v>
      </c>
      <c r="NN27" s="2"/>
      <c r="NO27" s="2"/>
      <c r="NP27" s="4"/>
      <c r="NQ27" s="2"/>
      <c r="NR27" s="5" t="str">
        <f t="shared" si="109"/>
        <v>NO APLICA</v>
      </c>
      <c r="NS27" s="2"/>
      <c r="NT27" s="2"/>
      <c r="NU27" s="2"/>
      <c r="NV27" s="2"/>
      <c r="NW27" s="5" t="str">
        <f t="shared" si="110"/>
        <v>NO APLICA</v>
      </c>
      <c r="NX27" s="6"/>
      <c r="NY27" s="6"/>
      <c r="NZ27" s="4"/>
      <c r="OA27" s="8"/>
      <c r="OB27" s="5" t="str">
        <f t="shared" si="111"/>
        <v>NO APLICA</v>
      </c>
      <c r="OC27" s="6"/>
      <c r="OD27" s="6"/>
      <c r="OE27" s="6"/>
      <c r="OF27" s="6"/>
      <c r="OG27" s="5" t="str">
        <f t="shared" si="112"/>
        <v>NO APLICA</v>
      </c>
      <c r="OH27" s="6"/>
      <c r="OI27" s="6"/>
      <c r="OJ27" s="4"/>
      <c r="OK27" s="8"/>
      <c r="OL27" s="5" t="str">
        <f t="shared" si="113"/>
        <v>NO APLICA</v>
      </c>
      <c r="OM27" s="6"/>
      <c r="ON27" s="6"/>
      <c r="OO27" s="6"/>
      <c r="OP27" s="6"/>
      <c r="OQ27" s="5" t="str">
        <f t="shared" si="114"/>
        <v>NO APLICA</v>
      </c>
      <c r="OR27" s="6"/>
      <c r="OS27" s="6"/>
      <c r="OT27" s="6"/>
      <c r="OU27" s="6"/>
      <c r="OV27" s="5" t="str">
        <f t="shared" si="115"/>
        <v>NO APLICA</v>
      </c>
      <c r="OW27" s="6"/>
      <c r="OX27" s="6"/>
      <c r="OY27" s="6"/>
      <c r="OZ27" s="6"/>
      <c r="PA27" s="5" t="str">
        <f t="shared" si="116"/>
        <v>NO APLICA</v>
      </c>
      <c r="PB27" s="6"/>
      <c r="PC27" s="6"/>
      <c r="PD27" s="6"/>
      <c r="PE27" s="6"/>
      <c r="PF27" s="5" t="str">
        <f t="shared" si="117"/>
        <v>NO APLICA</v>
      </c>
      <c r="PG27" s="6"/>
      <c r="PH27" s="6"/>
      <c r="PI27" s="6"/>
      <c r="PJ27" s="6"/>
      <c r="PK27" s="5" t="str">
        <f t="shared" si="118"/>
        <v>NO APLICA</v>
      </c>
      <c r="PL27" s="5"/>
      <c r="PM27" s="6"/>
      <c r="PN27" s="4"/>
      <c r="PO27" s="8"/>
      <c r="PP27" s="5" t="str">
        <f t="shared" si="119"/>
        <v>NO APLICA</v>
      </c>
      <c r="PQ27" s="6"/>
      <c r="PR27" s="6"/>
      <c r="PS27" s="6"/>
      <c r="PT27" s="6"/>
      <c r="PU27" s="5" t="str">
        <f t="shared" si="120"/>
        <v>NO APLICA</v>
      </c>
      <c r="PV27" s="5"/>
      <c r="PW27" s="6"/>
      <c r="PX27" s="6"/>
      <c r="PY27" s="6"/>
      <c r="PZ27" s="5" t="str">
        <f t="shared" si="121"/>
        <v>NO APLICA</v>
      </c>
    </row>
    <row r="28" spans="1:442" ht="15.6" hidden="1" thickTop="1" thickBot="1" x14ac:dyDescent="0.35">
      <c r="A28" s="26">
        <v>25</v>
      </c>
      <c r="B28" s="27">
        <v>1408</v>
      </c>
      <c r="C28" s="28" t="s">
        <v>147</v>
      </c>
      <c r="D28" s="29" t="s">
        <v>113</v>
      </c>
      <c r="E28" s="30" t="s">
        <v>148</v>
      </c>
      <c r="F28" s="3"/>
      <c r="G28" s="4">
        <v>46058</v>
      </c>
      <c r="H28" s="4">
        <f>DATE(YEAR(G28)+2,MONTH(G28),DAY(G28))</f>
        <v>46788</v>
      </c>
      <c r="I28" s="8">
        <f ca="1">H28-TODAY()</f>
        <v>643</v>
      </c>
      <c r="J28" s="5" t="str">
        <f t="shared" ca="1" si="0"/>
        <v>VIGENTE</v>
      </c>
      <c r="K28" s="3"/>
      <c r="L28" s="4"/>
      <c r="M28" s="6"/>
      <c r="N28" s="8"/>
      <c r="O28" s="5" t="str">
        <f t="shared" si="1"/>
        <v>NO APLICA</v>
      </c>
      <c r="P28" s="6"/>
      <c r="Q28" s="6"/>
      <c r="R28" s="4"/>
      <c r="S28" s="8"/>
      <c r="T28" s="5" t="str">
        <f t="shared" si="122"/>
        <v>NO APLICA</v>
      </c>
      <c r="U28" s="5"/>
      <c r="V28" s="2" t="s">
        <v>149</v>
      </c>
      <c r="W28" s="4">
        <v>46069</v>
      </c>
      <c r="X28" s="4">
        <f t="shared" si="2"/>
        <v>47895</v>
      </c>
      <c r="Y28" s="8">
        <f t="shared" ca="1" si="3"/>
        <v>1750</v>
      </c>
      <c r="Z28" s="5" t="str">
        <f t="shared" ca="1" si="4"/>
        <v>VIGENTE</v>
      </c>
      <c r="AA28" s="5"/>
      <c r="AB28" s="2"/>
      <c r="AC28" s="6"/>
      <c r="AD28" s="4"/>
      <c r="AE28" s="8"/>
      <c r="AF28" s="5" t="str">
        <f t="shared" si="7"/>
        <v>NO APLICA</v>
      </c>
      <c r="AG28" s="3"/>
      <c r="AH28" s="4">
        <v>45936</v>
      </c>
      <c r="AI28" s="4">
        <f>DATE(YEAR(AH28)+2,MONTH(AH28),DAY(AH28))</f>
        <v>46666</v>
      </c>
      <c r="AJ28" s="8">
        <f t="shared" ca="1" si="8"/>
        <v>521</v>
      </c>
      <c r="AK28" s="5" t="str">
        <f t="shared" ca="1" si="9"/>
        <v>VIGENTE</v>
      </c>
      <c r="AL28" s="3"/>
      <c r="AM28" s="4">
        <v>45926</v>
      </c>
      <c r="AN28" s="4">
        <f>DATE(YEAR(AM28)+2,MONTH(AM28),DAY(AM28))</f>
        <v>46656</v>
      </c>
      <c r="AO28" s="8">
        <f t="shared" ca="1" si="10"/>
        <v>511</v>
      </c>
      <c r="AP28" s="5" t="str">
        <f t="shared" ca="1" si="11"/>
        <v>VIGENTE</v>
      </c>
      <c r="AQ28" s="3"/>
      <c r="AR28" s="4">
        <v>45904</v>
      </c>
      <c r="AS28" s="4">
        <f>DATE(YEAR(AR28)+2,MONTH(AR28),DAY(AR28))</f>
        <v>46634</v>
      </c>
      <c r="AT28" s="8">
        <f t="shared" ca="1" si="12"/>
        <v>489</v>
      </c>
      <c r="AU28" s="5" t="str">
        <f t="shared" ca="1" si="13"/>
        <v>VIGENTE</v>
      </c>
      <c r="AV28" s="3"/>
      <c r="AW28" s="4">
        <v>45927</v>
      </c>
      <c r="AX28" s="4">
        <f>DATE(YEAR(AW28)+2,MONTH(AW28),DAY(AW28))</f>
        <v>46657</v>
      </c>
      <c r="AY28" s="8">
        <f t="shared" ca="1" si="15"/>
        <v>512</v>
      </c>
      <c r="AZ28" s="5" t="str">
        <f t="shared" ca="1" si="16"/>
        <v>VIGENTE</v>
      </c>
      <c r="BA28" s="3"/>
      <c r="BB28" s="4">
        <v>45603</v>
      </c>
      <c r="BC28" s="4">
        <f>DATE(YEAR(BB28)+2,MONTH(BB28),DAY(BB28)-1)</f>
        <v>46332</v>
      </c>
      <c r="BD28" s="8">
        <f t="shared" ca="1" si="17"/>
        <v>187</v>
      </c>
      <c r="BE28" s="5" t="str">
        <f t="shared" ca="1" si="18"/>
        <v>VIGENTE</v>
      </c>
      <c r="BF28" s="3"/>
      <c r="BG28" s="4">
        <v>45698</v>
      </c>
      <c r="BH28" s="4">
        <f>DATE(YEAR(BG28)+2,MONTH(BG28),DAY(BG28)-1)</f>
        <v>46427</v>
      </c>
      <c r="BI28" s="8">
        <f t="shared" ca="1" si="19"/>
        <v>282</v>
      </c>
      <c r="BJ28" s="5" t="str">
        <f t="shared" ca="1" si="20"/>
        <v>VIGENTE</v>
      </c>
      <c r="BK28" s="3"/>
      <c r="BL28" s="4">
        <v>45570</v>
      </c>
      <c r="BM28" s="4">
        <f>DATE(YEAR(BL28)+2,MONTH(BL28),DAY(BL28)-1)</f>
        <v>46299</v>
      </c>
      <c r="BN28" s="8">
        <f t="shared" ca="1" si="21"/>
        <v>154</v>
      </c>
      <c r="BO28" s="5" t="str">
        <f t="shared" ca="1" si="22"/>
        <v>VIGENTE</v>
      </c>
      <c r="BP28" s="3"/>
      <c r="BQ28" s="39">
        <v>45478</v>
      </c>
      <c r="BR28" s="4">
        <f>DATE(YEAR(BQ28)+2,MONTH(BQ28),DAY(BQ28)-1)</f>
        <v>46207</v>
      </c>
      <c r="BS28" s="8">
        <f t="shared" ca="1" si="23"/>
        <v>62</v>
      </c>
      <c r="BT28" s="5" t="str">
        <f t="shared" ca="1" si="24"/>
        <v>POR VENCER</v>
      </c>
      <c r="BU28" s="3"/>
      <c r="BV28" s="4">
        <v>46126</v>
      </c>
      <c r="BW28" s="4">
        <f t="shared" si="185"/>
        <v>46856</v>
      </c>
      <c r="BX28" s="8">
        <f t="shared" ca="1" si="25"/>
        <v>711</v>
      </c>
      <c r="BY28" s="5" t="str">
        <f t="shared" ca="1" si="26"/>
        <v>VIGENTE</v>
      </c>
      <c r="BZ28" s="3"/>
      <c r="CA28" s="4">
        <v>45911</v>
      </c>
      <c r="CB28" s="4">
        <f>DATE(YEAR(CA28)+2,MONTH(CA28),DAY(CA28))</f>
        <v>46641</v>
      </c>
      <c r="CC28" s="8">
        <f t="shared" ca="1" si="27"/>
        <v>496</v>
      </c>
      <c r="CD28" s="5" t="str">
        <f t="shared" ca="1" si="28"/>
        <v>VIGENTE</v>
      </c>
      <c r="CE28" s="6"/>
      <c r="CF28" s="4">
        <v>45723</v>
      </c>
      <c r="CG28" s="4">
        <f t="shared" si="29"/>
        <v>47184</v>
      </c>
      <c r="CH28" s="8">
        <f t="shared" ca="1" si="30"/>
        <v>1039</v>
      </c>
      <c r="CI28" s="5" t="str">
        <f t="shared" ca="1" si="31"/>
        <v>VIGENTE</v>
      </c>
      <c r="CJ28" s="4"/>
      <c r="CK28" s="4">
        <v>45688</v>
      </c>
      <c r="CL28" s="4">
        <f>DATE(YEAR(CK28)+2,MONTH(CK28),DAY(CK28)-1)</f>
        <v>46417</v>
      </c>
      <c r="CM28" s="8">
        <f t="shared" ca="1" si="32"/>
        <v>272</v>
      </c>
      <c r="CN28" s="5" t="str">
        <f t="shared" ca="1" si="33"/>
        <v>VIGENTE</v>
      </c>
      <c r="CO28" s="3"/>
      <c r="CP28" s="39">
        <v>45684</v>
      </c>
      <c r="CQ28" s="4">
        <f>DATE(YEAR(CP28)+2,MONTH(CP28),DAY(CP28)-1)</f>
        <v>46413</v>
      </c>
      <c r="CR28" s="8">
        <f t="shared" ca="1" si="34"/>
        <v>268</v>
      </c>
      <c r="CS28" s="5" t="str">
        <f t="shared" ca="1" si="35"/>
        <v>VIGENTE</v>
      </c>
      <c r="CT28" s="3"/>
      <c r="CU28" s="4">
        <v>45905</v>
      </c>
      <c r="CV28" s="4">
        <f>DATE(YEAR(CU28)+2,MONTH(CU28),DAY(CU28))</f>
        <v>46635</v>
      </c>
      <c r="CW28" s="8">
        <f t="shared" ca="1" si="36"/>
        <v>490</v>
      </c>
      <c r="CX28" s="5" t="str">
        <f t="shared" ca="1" si="37"/>
        <v>VIGENTE</v>
      </c>
      <c r="CY28" s="3"/>
      <c r="CZ28" s="4">
        <v>45924</v>
      </c>
      <c r="DA28" s="4">
        <f>DATE(YEAR(CZ28)+2,MONTH(CZ28),DAY(CZ28))</f>
        <v>46654</v>
      </c>
      <c r="DB28" s="8">
        <f t="shared" ca="1" si="38"/>
        <v>509</v>
      </c>
      <c r="DC28" s="5" t="str">
        <f t="shared" ca="1" si="39"/>
        <v>VIGENTE</v>
      </c>
      <c r="DD28" s="3"/>
      <c r="DE28" s="39">
        <v>45689</v>
      </c>
      <c r="DF28" s="4">
        <f t="shared" si="188"/>
        <v>46418</v>
      </c>
      <c r="DG28" s="8">
        <f t="shared" ca="1" si="40"/>
        <v>273</v>
      </c>
      <c r="DH28" s="5" t="str">
        <f t="shared" ca="1" si="41"/>
        <v>VIGENTE</v>
      </c>
      <c r="DI28" s="3"/>
      <c r="DJ28" s="39">
        <v>45834</v>
      </c>
      <c r="DK28" s="4">
        <f>DATE(YEAR(DJ28)+2,MONTH(DJ28),DAY(DJ28))</f>
        <v>46564</v>
      </c>
      <c r="DL28" s="8">
        <f t="shared" ca="1" si="43"/>
        <v>419</v>
      </c>
      <c r="DM28" s="5" t="str">
        <f t="shared" ca="1" si="44"/>
        <v>VIGENTE</v>
      </c>
      <c r="DN28" s="3"/>
      <c r="DO28" s="4">
        <v>46008</v>
      </c>
      <c r="DP28" s="4">
        <f>DATE(YEAR(DO28)+2,MONTH(DO28),DAY(DO28))</f>
        <v>46738</v>
      </c>
      <c r="DQ28" s="8">
        <f t="shared" ca="1" si="46"/>
        <v>593</v>
      </c>
      <c r="DR28" s="5" t="str">
        <f t="shared" ca="1" si="47"/>
        <v>VIGENTE</v>
      </c>
      <c r="DS28" s="3"/>
      <c r="DT28" s="4">
        <v>45608</v>
      </c>
      <c r="DU28" s="4">
        <f>DATE(YEAR(DT28)+2,MONTH(DT28),DAY(DT28)-1)</f>
        <v>46337</v>
      </c>
      <c r="DV28" s="8">
        <f t="shared" ca="1" si="48"/>
        <v>192</v>
      </c>
      <c r="DW28" s="5" t="str">
        <f t="shared" ca="1" si="49"/>
        <v>VIGENTE</v>
      </c>
      <c r="DX28" s="3"/>
      <c r="DY28" s="4">
        <v>45663</v>
      </c>
      <c r="DZ28" s="4">
        <f>DATE(YEAR(DY28)+2,MONTH(DY28),DAY(DY28)-1)</f>
        <v>46392</v>
      </c>
      <c r="EA28" s="8">
        <f t="shared" ca="1" si="50"/>
        <v>247</v>
      </c>
      <c r="EB28" s="5" t="str">
        <f t="shared" ca="1" si="51"/>
        <v>VIGENTE</v>
      </c>
      <c r="EC28" s="3"/>
      <c r="ED28" s="39">
        <v>45674</v>
      </c>
      <c r="EE28" s="4">
        <f>DATE(YEAR(ED28)+2,MONTH(ED28),DAY(ED28)-1)</f>
        <v>46403</v>
      </c>
      <c r="EF28" s="8">
        <f t="shared" ca="1" si="52"/>
        <v>258</v>
      </c>
      <c r="EG28" s="5" t="str">
        <f t="shared" ca="1" si="53"/>
        <v>VIGENTE</v>
      </c>
      <c r="EH28" s="3"/>
      <c r="EI28" s="3">
        <v>46085</v>
      </c>
      <c r="EJ28" s="4">
        <f t="shared" si="131"/>
        <v>46450</v>
      </c>
      <c r="EK28" s="8">
        <f t="shared" ca="1" si="54"/>
        <v>305</v>
      </c>
      <c r="EL28" s="5" t="str">
        <f t="shared" ca="1" si="55"/>
        <v>VIGENTE</v>
      </c>
      <c r="EM28" s="3"/>
      <c r="EN28" s="4">
        <v>45671</v>
      </c>
      <c r="EO28" s="4">
        <f>DATE(YEAR(EN28)+2,MONTH(EN28),DAY(EN28)-1)</f>
        <v>46400</v>
      </c>
      <c r="EP28" s="8">
        <f t="shared" ca="1" si="56"/>
        <v>255</v>
      </c>
      <c r="EQ28" s="5" t="str">
        <f t="shared" ca="1" si="57"/>
        <v>VIGENTE</v>
      </c>
      <c r="ER28" s="3"/>
      <c r="ES28" s="39">
        <v>45575</v>
      </c>
      <c r="ET28" s="4">
        <f>DATE(YEAR(ES28)+2,MONTH(ES28),DAY(ES28)-1)</f>
        <v>46304</v>
      </c>
      <c r="EU28" s="8">
        <f t="shared" ca="1" si="58"/>
        <v>159</v>
      </c>
      <c r="EV28" s="5" t="str">
        <f t="shared" ca="1" si="59"/>
        <v>VIGENTE</v>
      </c>
      <c r="EW28" s="3"/>
      <c r="EX28" s="4">
        <v>45917</v>
      </c>
      <c r="EY28" s="4">
        <f>DATE(YEAR(EX28)+2,MONTH(EX28),DAY(EX28))</f>
        <v>46647</v>
      </c>
      <c r="EZ28" s="8">
        <f t="shared" ca="1" si="60"/>
        <v>502</v>
      </c>
      <c r="FA28" s="5" t="str">
        <f t="shared" ca="1" si="61"/>
        <v>VIGENTE</v>
      </c>
      <c r="FB28" s="3"/>
      <c r="FC28" s="4">
        <v>45931</v>
      </c>
      <c r="FD28" s="4">
        <f>DATE(YEAR(FC28)+2,MONTH(FC28),DAY(FC28))</f>
        <v>46661</v>
      </c>
      <c r="FE28" s="8">
        <f t="shared" ca="1" si="62"/>
        <v>516</v>
      </c>
      <c r="FF28" s="5" t="str">
        <f t="shared" ca="1" si="63"/>
        <v>VIGENTE</v>
      </c>
      <c r="FG28" s="3"/>
      <c r="FH28" s="4">
        <v>45832</v>
      </c>
      <c r="FI28" s="4">
        <f>DATE(YEAR(FH28)+2,MONTH(FH28),DAY(FH28))</f>
        <v>46562</v>
      </c>
      <c r="FJ28" s="8">
        <f t="shared" ca="1" si="64"/>
        <v>417</v>
      </c>
      <c r="FK28" s="5" t="str">
        <f t="shared" ca="1" si="65"/>
        <v>VIGENTE</v>
      </c>
      <c r="FL28" s="3"/>
      <c r="FM28" s="39">
        <v>45588</v>
      </c>
      <c r="FN28" s="4">
        <f>DATE(YEAR(FM28)+2,MONTH(FM28),DAY(FM28)-1)</f>
        <v>46317</v>
      </c>
      <c r="FO28" s="8">
        <f t="shared" ca="1" si="67"/>
        <v>172</v>
      </c>
      <c r="FP28" s="5" t="str">
        <f t="shared" ca="1" si="68"/>
        <v>VIGENTE</v>
      </c>
      <c r="FQ28" s="3"/>
      <c r="FR28" s="39">
        <v>45664</v>
      </c>
      <c r="FS28" s="4">
        <f t="shared" ref="FS28:FS33" si="190">DATE(YEAR(FR28)+2,MONTH(FR28),DAY(FR28)-1)</f>
        <v>46393</v>
      </c>
      <c r="FT28" s="8">
        <f t="shared" ca="1" si="69"/>
        <v>248</v>
      </c>
      <c r="FU28" s="5" t="str">
        <f t="shared" ca="1" si="70"/>
        <v>VIGENTE</v>
      </c>
      <c r="FV28" s="3"/>
      <c r="FW28" s="4">
        <v>45941</v>
      </c>
      <c r="FX28" s="4">
        <f>DATE(YEAR(FW28)+2,MONTH(FW28),DAY(FW28))</f>
        <v>46671</v>
      </c>
      <c r="FY28" s="8">
        <f t="shared" ca="1" si="71"/>
        <v>526</v>
      </c>
      <c r="FZ28" s="5" t="str">
        <f t="shared" ca="1" si="72"/>
        <v>VIGENTE</v>
      </c>
      <c r="GA28" s="3"/>
      <c r="GB28" s="4">
        <v>45626</v>
      </c>
      <c r="GC28" s="4">
        <f>DATE(YEAR(GB28)+2,MONTH(GB28),DAY(GB28)-1)</f>
        <v>46355</v>
      </c>
      <c r="GD28" s="8">
        <f t="shared" ca="1" si="73"/>
        <v>210</v>
      </c>
      <c r="GE28" s="5" t="str">
        <f t="shared" ca="1" si="74"/>
        <v>VIGENTE</v>
      </c>
      <c r="GF28" s="3"/>
      <c r="GG28" s="4">
        <v>45579</v>
      </c>
      <c r="GH28" s="4">
        <f t="shared" si="189"/>
        <v>46308</v>
      </c>
      <c r="GI28" s="8">
        <f t="shared" ca="1" si="75"/>
        <v>163</v>
      </c>
      <c r="GJ28" s="5" t="str">
        <f t="shared" ca="1" si="76"/>
        <v>VIGENTE</v>
      </c>
      <c r="GK28" s="3"/>
      <c r="GL28" s="4">
        <v>45567</v>
      </c>
      <c r="GM28" s="4">
        <f>DATE(YEAR(GL28)+2,MONTH(GL28),DAY(GL28)-1)</f>
        <v>46296</v>
      </c>
      <c r="GN28" s="8">
        <f t="shared" ca="1" si="77"/>
        <v>151</v>
      </c>
      <c r="GO28" s="5" t="str">
        <f t="shared" ca="1" si="78"/>
        <v>VIGENTE</v>
      </c>
      <c r="GP28" s="4"/>
      <c r="GQ28" s="4">
        <v>44873</v>
      </c>
      <c r="GR28" s="4">
        <f t="shared" si="79"/>
        <v>46699</v>
      </c>
      <c r="GS28" s="8">
        <f t="shared" ca="1" si="176"/>
        <v>554</v>
      </c>
      <c r="GT28" s="5" t="str">
        <f t="shared" ca="1" si="81"/>
        <v>VIGENTE</v>
      </c>
      <c r="GU28" s="3"/>
      <c r="GV28" s="4">
        <v>44886</v>
      </c>
      <c r="GW28" s="4">
        <f t="shared" si="82"/>
        <v>46712</v>
      </c>
      <c r="GX28" s="8">
        <f t="shared" ca="1" si="83"/>
        <v>567</v>
      </c>
      <c r="GY28" s="5" t="str">
        <f t="shared" ca="1" si="84"/>
        <v>VIGENTE</v>
      </c>
      <c r="GZ28" s="2"/>
      <c r="HA28" s="4">
        <v>44883</v>
      </c>
      <c r="HB28" s="4">
        <f t="shared" si="85"/>
        <v>46709</v>
      </c>
      <c r="HC28" s="8">
        <f t="shared" ca="1" si="86"/>
        <v>564</v>
      </c>
      <c r="HD28" s="5" t="str">
        <f t="shared" ca="1" si="87"/>
        <v>VIGENTE</v>
      </c>
      <c r="HE28" s="6"/>
      <c r="HF28" s="6"/>
      <c r="HG28" s="4"/>
      <c r="HH28" s="8"/>
      <c r="HI28" s="5" t="str">
        <f t="shared" si="187"/>
        <v>NO APLICA</v>
      </c>
      <c r="HJ28" s="2"/>
      <c r="HK28" s="6"/>
      <c r="HL28" s="4"/>
      <c r="HM28" s="8"/>
      <c r="HN28" s="5" t="str">
        <f t="shared" si="91"/>
        <v>NO APLICA</v>
      </c>
      <c r="HO28" s="2"/>
      <c r="HP28" s="2"/>
      <c r="HQ28" s="4"/>
      <c r="HR28" s="2"/>
      <c r="HS28" s="5" t="str">
        <f t="shared" si="92"/>
        <v>NO APLICA</v>
      </c>
      <c r="HT28" s="2"/>
      <c r="HU28" s="6"/>
      <c r="HV28" s="4"/>
      <c r="HW28" s="8"/>
      <c r="HX28" s="5" t="str">
        <f t="shared" si="93"/>
        <v>NO APLICA</v>
      </c>
      <c r="HY28" s="2"/>
      <c r="HZ28" s="6"/>
      <c r="IA28" s="4"/>
      <c r="IB28" s="8"/>
      <c r="IC28" s="5" t="str">
        <f t="shared" si="94"/>
        <v>NO APLICA</v>
      </c>
      <c r="ID28" s="2"/>
      <c r="IE28" s="6"/>
      <c r="IF28" s="4"/>
      <c r="IG28" s="8"/>
      <c r="IH28" s="5" t="str">
        <f t="shared" si="95"/>
        <v>NO APLICA</v>
      </c>
      <c r="II28" s="6"/>
      <c r="IJ28" s="6"/>
      <c r="IK28" s="4"/>
      <c r="IL28" s="8"/>
      <c r="IM28" s="5" t="str">
        <f t="shared" si="96"/>
        <v>NO APLICA</v>
      </c>
      <c r="IN28" s="2"/>
      <c r="IO28" s="6"/>
      <c r="IP28" s="4"/>
      <c r="IQ28" s="8"/>
      <c r="IR28" s="5" t="str">
        <f t="shared" si="97"/>
        <v>NO APLICA</v>
      </c>
      <c r="IS28" s="2"/>
      <c r="IT28" s="6"/>
      <c r="IU28" s="4"/>
      <c r="IV28" s="8"/>
      <c r="IW28" s="5" t="str">
        <f t="shared" si="98"/>
        <v>NO APLICA</v>
      </c>
      <c r="IX28" s="2"/>
      <c r="IY28" s="6"/>
      <c r="IZ28" s="4"/>
      <c r="JA28" s="8"/>
      <c r="JB28" s="5" t="str">
        <f t="shared" si="99"/>
        <v>NO APLICA</v>
      </c>
      <c r="JC28" s="3" t="s">
        <v>780</v>
      </c>
      <c r="JD28" s="3"/>
      <c r="JE28" s="4"/>
      <c r="JF28" s="8"/>
      <c r="JG28" s="5"/>
      <c r="JH28" s="3" t="s">
        <v>780</v>
      </c>
      <c r="JI28" s="6"/>
      <c r="JJ28" s="6"/>
      <c r="JK28" s="6"/>
      <c r="JL28" s="5"/>
      <c r="JM28" s="6" t="s">
        <v>780</v>
      </c>
      <c r="JN28" s="6"/>
      <c r="JO28" s="6"/>
      <c r="JP28" s="6"/>
      <c r="JQ28" s="5"/>
      <c r="JR28" s="6" t="s">
        <v>780</v>
      </c>
      <c r="JS28" s="6"/>
      <c r="JT28" s="6"/>
      <c r="JU28" s="6"/>
      <c r="JV28" s="5"/>
      <c r="JW28" s="6" t="s">
        <v>780</v>
      </c>
      <c r="JX28" s="5"/>
      <c r="JY28" s="5"/>
      <c r="JZ28" s="5"/>
      <c r="KA28" s="5"/>
      <c r="KB28" s="5"/>
      <c r="KC28" s="2"/>
      <c r="KD28" s="4"/>
      <c r="KE28" s="8"/>
      <c r="KF28" s="5" t="str">
        <f t="shared" si="135"/>
        <v>NO APLICA</v>
      </c>
      <c r="KG28" s="5"/>
      <c r="KH28" s="2"/>
      <c r="KI28" s="4"/>
      <c r="KJ28" s="8"/>
      <c r="KK28" s="5" t="str">
        <f t="shared" si="136"/>
        <v>NO APLICA</v>
      </c>
      <c r="KL28" s="5"/>
      <c r="KM28" s="2"/>
      <c r="KN28" s="4"/>
      <c r="KO28" s="8"/>
      <c r="KP28" s="5" t="str">
        <f t="shared" si="100"/>
        <v>NO APLICA</v>
      </c>
      <c r="KQ28" s="5"/>
      <c r="KR28" s="2"/>
      <c r="KS28" s="4"/>
      <c r="KT28" s="8"/>
      <c r="KU28" s="5" t="str">
        <f t="shared" si="137"/>
        <v>NO APLICA</v>
      </c>
      <c r="KV28" s="2"/>
      <c r="KW28" s="6"/>
      <c r="KX28" s="4"/>
      <c r="KY28" s="8"/>
      <c r="KZ28" s="5" t="str">
        <f t="shared" si="151"/>
        <v>NO APLICA</v>
      </c>
      <c r="LA28" s="5"/>
      <c r="LB28" s="6"/>
      <c r="LC28" s="4"/>
      <c r="LD28" s="8"/>
      <c r="LE28" s="5" t="str">
        <f t="shared" si="138"/>
        <v>NO APLICA</v>
      </c>
      <c r="LF28" s="6"/>
      <c r="LG28" s="6"/>
      <c r="LH28" s="4"/>
      <c r="LI28" s="8"/>
      <c r="LJ28" s="5" t="str">
        <f t="shared" si="101"/>
        <v>NO APLICA</v>
      </c>
      <c r="LK28" s="5"/>
      <c r="LL28" s="5"/>
      <c r="LM28" s="5"/>
      <c r="LN28" s="5"/>
      <c r="LO28" s="5" t="str">
        <f t="shared" si="152"/>
        <v>NO APLICA</v>
      </c>
      <c r="LP28" s="2"/>
      <c r="LQ28" s="6"/>
      <c r="LR28" s="4"/>
      <c r="LS28" s="8"/>
      <c r="LT28" s="5" t="str">
        <f t="shared" si="139"/>
        <v>NO APLICA</v>
      </c>
      <c r="LU28" s="6"/>
      <c r="LV28" s="6"/>
      <c r="LW28" s="4"/>
      <c r="LX28" s="8"/>
      <c r="LY28" s="5" t="str">
        <f t="shared" si="140"/>
        <v>NO APLICA</v>
      </c>
      <c r="LZ28" s="6"/>
      <c r="MA28" s="6"/>
      <c r="MB28" s="4"/>
      <c r="MC28" s="8"/>
      <c r="MD28" s="5" t="str">
        <f t="shared" si="141"/>
        <v>NO APLICA</v>
      </c>
      <c r="ME28" s="2"/>
      <c r="MF28" s="2"/>
      <c r="MG28" s="4"/>
      <c r="MH28" s="8"/>
      <c r="MI28" s="5" t="str">
        <f t="shared" si="102"/>
        <v>NO APLICA</v>
      </c>
      <c r="MJ28" s="2"/>
      <c r="MK28" s="2"/>
      <c r="ML28" s="4"/>
      <c r="MM28" s="8"/>
      <c r="MN28" s="5" t="str">
        <f t="shared" si="103"/>
        <v>NO APLICA</v>
      </c>
      <c r="MO28" s="5"/>
      <c r="MP28" s="2"/>
      <c r="MQ28" s="4"/>
      <c r="MR28" s="8"/>
      <c r="MS28" s="5" t="str">
        <f t="shared" si="104"/>
        <v>NO APLICA</v>
      </c>
      <c r="MT28" s="5"/>
      <c r="MU28" s="2"/>
      <c r="MV28" s="4"/>
      <c r="MW28" s="2"/>
      <c r="MX28" s="5" t="str">
        <f t="shared" si="105"/>
        <v>NO APLICA</v>
      </c>
      <c r="MY28" s="2"/>
      <c r="MZ28" s="6"/>
      <c r="NA28" s="4"/>
      <c r="NB28" s="8"/>
      <c r="NC28" s="5" t="str">
        <f t="shared" si="106"/>
        <v>NO APLICA</v>
      </c>
      <c r="ND28" s="2"/>
      <c r="NE28" s="6"/>
      <c r="NF28" s="4"/>
      <c r="NG28" s="8"/>
      <c r="NH28" s="5" t="str">
        <f t="shared" si="107"/>
        <v>NO APLICA</v>
      </c>
      <c r="NI28" s="2"/>
      <c r="NJ28" s="6"/>
      <c r="NK28" s="4"/>
      <c r="NL28" s="8"/>
      <c r="NM28" s="5" t="str">
        <f t="shared" si="108"/>
        <v>NO APLICA</v>
      </c>
      <c r="NN28" s="2"/>
      <c r="NO28" s="2"/>
      <c r="NP28" s="4"/>
      <c r="NQ28" s="2"/>
      <c r="NR28" s="5" t="str">
        <f t="shared" si="109"/>
        <v>NO APLICA</v>
      </c>
      <c r="NS28" s="2"/>
      <c r="NT28" s="2"/>
      <c r="NU28" s="4"/>
      <c r="NV28" s="2"/>
      <c r="NW28" s="5" t="str">
        <f t="shared" si="110"/>
        <v>NO APLICA</v>
      </c>
      <c r="NX28" s="6"/>
      <c r="NY28" s="6"/>
      <c r="NZ28" s="4"/>
      <c r="OA28" s="8"/>
      <c r="OB28" s="5" t="str">
        <f t="shared" si="111"/>
        <v>NO APLICA</v>
      </c>
      <c r="OC28" s="6"/>
      <c r="OD28" s="6"/>
      <c r="OE28" s="6"/>
      <c r="OF28" s="6"/>
      <c r="OG28" s="5" t="str">
        <f t="shared" si="112"/>
        <v>NO APLICA</v>
      </c>
      <c r="OH28" s="6"/>
      <c r="OI28" s="6"/>
      <c r="OJ28" s="4"/>
      <c r="OK28" s="8"/>
      <c r="OL28" s="5" t="str">
        <f t="shared" si="113"/>
        <v>NO APLICA</v>
      </c>
      <c r="OM28" s="6"/>
      <c r="ON28" s="6"/>
      <c r="OO28" s="6"/>
      <c r="OP28" s="6"/>
      <c r="OQ28" s="5" t="str">
        <f t="shared" si="114"/>
        <v>NO APLICA</v>
      </c>
      <c r="OR28" s="6"/>
      <c r="OS28" s="6"/>
      <c r="OT28" s="6"/>
      <c r="OU28" s="6"/>
      <c r="OV28" s="5" t="str">
        <f t="shared" si="115"/>
        <v>NO APLICA</v>
      </c>
      <c r="OW28" s="6"/>
      <c r="OX28" s="6"/>
      <c r="OY28" s="6"/>
      <c r="OZ28" s="6"/>
      <c r="PA28" s="5" t="str">
        <f t="shared" si="116"/>
        <v>NO APLICA</v>
      </c>
      <c r="PB28" s="6"/>
      <c r="PC28" s="6"/>
      <c r="PD28" s="6"/>
      <c r="PE28" s="6"/>
      <c r="PF28" s="5" t="str">
        <f t="shared" si="117"/>
        <v>NO APLICA</v>
      </c>
      <c r="PG28" s="6"/>
      <c r="PH28" s="6"/>
      <c r="PI28" s="6"/>
      <c r="PJ28" s="6"/>
      <c r="PK28" s="5" t="str">
        <f t="shared" si="118"/>
        <v>NO APLICA</v>
      </c>
      <c r="PL28" s="5"/>
      <c r="PM28" s="6"/>
      <c r="PN28" s="4"/>
      <c r="PO28" s="8"/>
      <c r="PP28" s="5" t="str">
        <f t="shared" si="119"/>
        <v>NO APLICA</v>
      </c>
      <c r="PQ28" s="6"/>
      <c r="PR28" s="6"/>
      <c r="PS28" s="6"/>
      <c r="PT28" s="6"/>
      <c r="PU28" s="5" t="str">
        <f t="shared" si="120"/>
        <v>NO APLICA</v>
      </c>
      <c r="PV28" s="5"/>
      <c r="PW28" s="6"/>
      <c r="PX28" s="6"/>
      <c r="PY28" s="6"/>
      <c r="PZ28" s="5" t="str">
        <f t="shared" si="121"/>
        <v>NO APLICA</v>
      </c>
    </row>
    <row r="29" spans="1:442" ht="15.6" hidden="1" thickTop="1" thickBot="1" x14ac:dyDescent="0.35">
      <c r="A29" s="26">
        <v>26</v>
      </c>
      <c r="B29" s="31">
        <v>1642</v>
      </c>
      <c r="C29" s="28" t="s">
        <v>150</v>
      </c>
      <c r="D29" s="29" t="s">
        <v>113</v>
      </c>
      <c r="E29" s="30" t="s">
        <v>126</v>
      </c>
      <c r="F29" s="3"/>
      <c r="G29" s="4">
        <v>46060</v>
      </c>
      <c r="H29" s="4">
        <f>DATE(YEAR(G29)+2,MONTH(G29),DAY(G29))</f>
        <v>46790</v>
      </c>
      <c r="I29" s="8">
        <f ca="1">H29-TODAY()</f>
        <v>645</v>
      </c>
      <c r="J29" s="5" t="str">
        <f t="shared" ca="1" si="0"/>
        <v>VIGENTE</v>
      </c>
      <c r="K29" s="2"/>
      <c r="L29" s="6"/>
      <c r="M29" s="6"/>
      <c r="N29" s="8"/>
      <c r="O29" s="5" t="str">
        <f t="shared" si="1"/>
        <v>NO APLICA</v>
      </c>
      <c r="P29" s="4"/>
      <c r="Q29" s="4"/>
      <c r="R29" s="4"/>
      <c r="S29" s="8"/>
      <c r="T29" s="5" t="str">
        <f t="shared" si="122"/>
        <v>NO APLICA</v>
      </c>
      <c r="U29" s="5"/>
      <c r="V29" s="2" t="s">
        <v>151</v>
      </c>
      <c r="W29" s="4">
        <v>44932</v>
      </c>
      <c r="X29" s="4">
        <f t="shared" si="2"/>
        <v>46758</v>
      </c>
      <c r="Y29" s="8">
        <f t="shared" ca="1" si="3"/>
        <v>613</v>
      </c>
      <c r="Z29" s="5" t="str">
        <f t="shared" ca="1" si="4"/>
        <v>VIGENTE</v>
      </c>
      <c r="AA29" s="5"/>
      <c r="AB29" s="2"/>
      <c r="AC29" s="6"/>
      <c r="AD29" s="4"/>
      <c r="AE29" s="8"/>
      <c r="AF29" s="5" t="str">
        <f t="shared" si="7"/>
        <v>NO APLICA</v>
      </c>
      <c r="AG29" s="3"/>
      <c r="AH29" s="4">
        <v>45680</v>
      </c>
      <c r="AI29" s="4">
        <f>DATE(YEAR(AH29)+2,MONTH(AH29),DAY(AH29)-1)</f>
        <v>46409</v>
      </c>
      <c r="AJ29" s="8">
        <f t="shared" ca="1" si="8"/>
        <v>264</v>
      </c>
      <c r="AK29" s="5" t="str">
        <f t="shared" ca="1" si="9"/>
        <v>VIGENTE</v>
      </c>
      <c r="AL29" s="3"/>
      <c r="AM29" s="4">
        <v>45602</v>
      </c>
      <c r="AN29" s="4">
        <f>DATE(YEAR(AM29)+2,MONTH(AM29),DAY(AM29)-1)</f>
        <v>46331</v>
      </c>
      <c r="AO29" s="8">
        <f t="shared" ca="1" si="10"/>
        <v>186</v>
      </c>
      <c r="AP29" s="5" t="str">
        <f t="shared" ca="1" si="11"/>
        <v>VIGENTE</v>
      </c>
      <c r="AQ29" s="3"/>
      <c r="AR29" s="4">
        <v>45591</v>
      </c>
      <c r="AS29" s="4">
        <f>DATE(YEAR(AR29)+2,MONTH(AR29),DAY(AR29)-1)</f>
        <v>46320</v>
      </c>
      <c r="AT29" s="8">
        <f t="shared" ca="1" si="12"/>
        <v>175</v>
      </c>
      <c r="AU29" s="5" t="str">
        <f t="shared" ca="1" si="13"/>
        <v>VIGENTE</v>
      </c>
      <c r="AV29" s="3"/>
      <c r="AW29" s="4">
        <v>45496</v>
      </c>
      <c r="AX29" s="4">
        <f>DATE(YEAR(AW29)+2,MONTH(AW29),DAY(AW29)-1)</f>
        <v>46225</v>
      </c>
      <c r="AY29" s="8">
        <f t="shared" ca="1" si="15"/>
        <v>80</v>
      </c>
      <c r="AZ29" s="5" t="str">
        <f t="shared" ca="1" si="16"/>
        <v>POR VENCER</v>
      </c>
      <c r="BA29" s="3"/>
      <c r="BB29" s="4">
        <v>45534</v>
      </c>
      <c r="BC29" s="4">
        <f>DATE(YEAR(BB29)+2,MONTH(BB29),DAY(BB29)-1)</f>
        <v>46263</v>
      </c>
      <c r="BD29" s="8">
        <f t="shared" ca="1" si="17"/>
        <v>118</v>
      </c>
      <c r="BE29" s="5" t="str">
        <f t="shared" ca="1" si="18"/>
        <v>VIGENTE</v>
      </c>
      <c r="BF29" s="3"/>
      <c r="BG29" s="4">
        <v>45698</v>
      </c>
      <c r="BH29" s="4">
        <f>DATE(YEAR(BG29)+2,MONTH(BG29),DAY(BG29)-1)</f>
        <v>46427</v>
      </c>
      <c r="BI29" s="8">
        <f t="shared" ca="1" si="19"/>
        <v>282</v>
      </c>
      <c r="BJ29" s="5" t="str">
        <f t="shared" ca="1" si="20"/>
        <v>VIGENTE</v>
      </c>
      <c r="BK29" s="3"/>
      <c r="BL29" s="4">
        <v>45600</v>
      </c>
      <c r="BM29" s="4">
        <f>DATE(YEAR(BL29)+2,MONTH(BL29),DAY(BL29)-1)</f>
        <v>46329</v>
      </c>
      <c r="BN29" s="8">
        <f t="shared" ca="1" si="21"/>
        <v>184</v>
      </c>
      <c r="BO29" s="5" t="str">
        <f t="shared" ca="1" si="22"/>
        <v>VIGENTE</v>
      </c>
      <c r="BP29" s="3"/>
      <c r="BQ29" s="39">
        <v>45604</v>
      </c>
      <c r="BR29" s="4">
        <f>DATE(YEAR(BQ29)+2,MONTH(BQ29),DAY(BQ29)-1)</f>
        <v>46333</v>
      </c>
      <c r="BS29" s="8">
        <f t="shared" ca="1" si="23"/>
        <v>188</v>
      </c>
      <c r="BT29" s="5" t="str">
        <f t="shared" ca="1" si="24"/>
        <v>VIGENTE</v>
      </c>
      <c r="BU29" s="2"/>
      <c r="BV29" s="4">
        <v>45736</v>
      </c>
      <c r="BW29" s="4">
        <f t="shared" si="185"/>
        <v>46465</v>
      </c>
      <c r="BX29" s="8">
        <f t="shared" ca="1" si="25"/>
        <v>320</v>
      </c>
      <c r="BY29" s="5" t="str">
        <f t="shared" ca="1" si="26"/>
        <v>VIGENTE</v>
      </c>
      <c r="BZ29" s="3"/>
      <c r="CA29" s="4">
        <v>45629</v>
      </c>
      <c r="CB29" s="4">
        <f>DATE(YEAR(CA29)+2,MONTH(CA29),DAY(CA29)-1)</f>
        <v>46358</v>
      </c>
      <c r="CC29" s="8">
        <f t="shared" ca="1" si="27"/>
        <v>213</v>
      </c>
      <c r="CD29" s="5" t="str">
        <f t="shared" ca="1" si="28"/>
        <v>VIGENTE</v>
      </c>
      <c r="CE29" s="6"/>
      <c r="CF29" s="4">
        <v>45832</v>
      </c>
      <c r="CG29" s="4">
        <f t="shared" si="29"/>
        <v>47293</v>
      </c>
      <c r="CH29" s="8">
        <f t="shared" ca="1" si="30"/>
        <v>1148</v>
      </c>
      <c r="CI29" s="5" t="str">
        <f t="shared" ca="1" si="31"/>
        <v>VIGENTE</v>
      </c>
      <c r="CJ29" s="4"/>
      <c r="CK29" s="4">
        <v>45688</v>
      </c>
      <c r="CL29" s="4">
        <f>DATE(YEAR(CK29)+2,MONTH(CK29),DAY(CK29)-1)</f>
        <v>46417</v>
      </c>
      <c r="CM29" s="8">
        <f t="shared" ca="1" si="32"/>
        <v>272</v>
      </c>
      <c r="CN29" s="5" t="str">
        <f t="shared" ca="1" si="33"/>
        <v>VIGENTE</v>
      </c>
      <c r="CO29" s="3"/>
      <c r="CP29" s="39">
        <v>45684</v>
      </c>
      <c r="CQ29" s="4">
        <f>DATE(YEAR(CP29)+2,MONTH(CP29),DAY(CP29)-1)</f>
        <v>46413</v>
      </c>
      <c r="CR29" s="8">
        <f t="shared" ca="1" si="34"/>
        <v>268</v>
      </c>
      <c r="CS29" s="5" t="str">
        <f t="shared" ca="1" si="35"/>
        <v>VIGENTE</v>
      </c>
      <c r="CT29" s="3"/>
      <c r="CU29" s="4">
        <v>45624</v>
      </c>
      <c r="CV29" s="4">
        <f>DATE(YEAR(CU29)+2,MONTH(CU29),DAY(CU29)-1)</f>
        <v>46353</v>
      </c>
      <c r="CW29" s="8">
        <f t="shared" ca="1" si="36"/>
        <v>208</v>
      </c>
      <c r="CX29" s="5" t="str">
        <f t="shared" ca="1" si="37"/>
        <v>VIGENTE</v>
      </c>
      <c r="CY29" s="3"/>
      <c r="CZ29" s="4">
        <v>45665</v>
      </c>
      <c r="DA29" s="4">
        <f>DATE(YEAR(CZ29)+2,MONTH(CZ29),DAY(CZ29)-1)</f>
        <v>46394</v>
      </c>
      <c r="DB29" s="8">
        <f t="shared" ca="1" si="38"/>
        <v>249</v>
      </c>
      <c r="DC29" s="5" t="str">
        <f t="shared" ca="1" si="39"/>
        <v>VIGENTE</v>
      </c>
      <c r="DD29" s="3"/>
      <c r="DE29" s="39">
        <v>45689</v>
      </c>
      <c r="DF29" s="4">
        <f t="shared" si="188"/>
        <v>46418</v>
      </c>
      <c r="DG29" s="8">
        <f t="shared" ca="1" si="40"/>
        <v>273</v>
      </c>
      <c r="DH29" s="5" t="str">
        <f t="shared" ca="1" si="41"/>
        <v>VIGENTE</v>
      </c>
      <c r="DI29" s="3"/>
      <c r="DJ29" s="39">
        <v>46126</v>
      </c>
      <c r="DK29" s="4">
        <f>DATE(YEAR(DJ29)+2,MONTH(DJ29),DAY(DJ29)-1)</f>
        <v>46856</v>
      </c>
      <c r="DL29" s="8">
        <f t="shared" ca="1" si="43"/>
        <v>711</v>
      </c>
      <c r="DM29" s="5" t="str">
        <f t="shared" ca="1" si="44"/>
        <v>VIGENTE</v>
      </c>
      <c r="DN29" s="3"/>
      <c r="DO29" s="4">
        <v>45577</v>
      </c>
      <c r="DP29" s="4">
        <f>DATE(YEAR(DO29)+2,MONTH(DO29),DAY(DO29)-1)</f>
        <v>46306</v>
      </c>
      <c r="DQ29" s="8">
        <f t="shared" ca="1" si="46"/>
        <v>161</v>
      </c>
      <c r="DR29" s="5" t="str">
        <f t="shared" ca="1" si="47"/>
        <v>VIGENTE</v>
      </c>
      <c r="DS29" s="3"/>
      <c r="DT29" s="4">
        <v>45625</v>
      </c>
      <c r="DU29" s="4">
        <f>DATE(YEAR(DT29)+2,MONTH(DT29),DAY(DT29)-1)</f>
        <v>46354</v>
      </c>
      <c r="DV29" s="8">
        <f t="shared" ca="1" si="48"/>
        <v>209</v>
      </c>
      <c r="DW29" s="5" t="str">
        <f t="shared" ca="1" si="49"/>
        <v>VIGENTE</v>
      </c>
      <c r="DX29" s="3"/>
      <c r="DY29" s="4">
        <v>45612</v>
      </c>
      <c r="DZ29" s="4">
        <f>DATE(YEAR(DY29)+2,MONTH(DY29),DAY(DY29)-1)</f>
        <v>46341</v>
      </c>
      <c r="EA29" s="8">
        <f t="shared" ca="1" si="50"/>
        <v>196</v>
      </c>
      <c r="EB29" s="5" t="str">
        <f t="shared" ca="1" si="51"/>
        <v>VIGENTE</v>
      </c>
      <c r="EC29" s="3"/>
      <c r="ED29" s="39">
        <v>45674</v>
      </c>
      <c r="EE29" s="4">
        <f>DATE(YEAR(ED29)+2,MONTH(ED29),DAY(ED29)-1)</f>
        <v>46403</v>
      </c>
      <c r="EF29" s="8">
        <f t="shared" ca="1" si="52"/>
        <v>258</v>
      </c>
      <c r="EG29" s="5" t="str">
        <f t="shared" ca="1" si="53"/>
        <v>VIGENTE</v>
      </c>
      <c r="EH29" s="3"/>
      <c r="EI29" s="3">
        <v>46085</v>
      </c>
      <c r="EJ29" s="4">
        <f t="shared" si="131"/>
        <v>46450</v>
      </c>
      <c r="EK29" s="8">
        <f t="shared" ca="1" si="54"/>
        <v>305</v>
      </c>
      <c r="EL29" s="5" t="str">
        <f t="shared" ca="1" si="55"/>
        <v>VIGENTE</v>
      </c>
      <c r="EM29" s="3"/>
      <c r="EN29" s="3">
        <v>45596</v>
      </c>
      <c r="EO29" s="4">
        <f>DATE(YEAR(EN29)+2,MONTH(EN29),DAY(EN29)-1)</f>
        <v>46325</v>
      </c>
      <c r="EP29" s="8">
        <f t="shared" ca="1" si="56"/>
        <v>180</v>
      </c>
      <c r="EQ29" s="5" t="str">
        <f t="shared" ca="1" si="57"/>
        <v>VIGENTE</v>
      </c>
      <c r="ER29" s="2"/>
      <c r="ES29" s="39">
        <v>45735</v>
      </c>
      <c r="ET29" s="4">
        <f>DATE(YEAR(ES29)+2,MONTH(ES29),DAY(ES29)-1)</f>
        <v>46464</v>
      </c>
      <c r="EU29" s="8">
        <f t="shared" ca="1" si="58"/>
        <v>319</v>
      </c>
      <c r="EV29" s="5" t="str">
        <f t="shared" ca="1" si="59"/>
        <v>VIGENTE</v>
      </c>
      <c r="EW29" s="3"/>
      <c r="EX29" s="4">
        <v>45610</v>
      </c>
      <c r="EY29" s="4">
        <f>DATE(YEAR(EX29)+2,MONTH(EX29),DAY(EX29)-1)</f>
        <v>46339</v>
      </c>
      <c r="EZ29" s="8">
        <f t="shared" ca="1" si="60"/>
        <v>194</v>
      </c>
      <c r="FA29" s="5" t="str">
        <f t="shared" ca="1" si="61"/>
        <v>VIGENTE</v>
      </c>
      <c r="FB29" s="3"/>
      <c r="FC29" s="4">
        <v>45666</v>
      </c>
      <c r="FD29" s="4">
        <f>DATE(YEAR(FC29)+2,MONTH(FC29),DAY(FC29)-1)</f>
        <v>46395</v>
      </c>
      <c r="FE29" s="8">
        <f t="shared" ca="1" si="62"/>
        <v>250</v>
      </c>
      <c r="FF29" s="5" t="str">
        <f t="shared" ca="1" si="63"/>
        <v>VIGENTE</v>
      </c>
      <c r="FG29" s="3"/>
      <c r="FH29" s="4">
        <v>45668</v>
      </c>
      <c r="FI29" s="4">
        <f>DATE(YEAR(FH29)+2,MONTH(FH29),DAY(FH29)-1)</f>
        <v>46397</v>
      </c>
      <c r="FJ29" s="8">
        <f t="shared" ca="1" si="64"/>
        <v>252</v>
      </c>
      <c r="FK29" s="5" t="str">
        <f t="shared" ca="1" si="65"/>
        <v>VIGENTE</v>
      </c>
      <c r="FL29" s="3"/>
      <c r="FM29" s="39">
        <v>45738</v>
      </c>
      <c r="FN29" s="4">
        <f>DATE(YEAR(FM29)+2,MONTH(FM29),DAY(FM29)-1)</f>
        <v>46467</v>
      </c>
      <c r="FO29" s="8">
        <f t="shared" ca="1" si="67"/>
        <v>322</v>
      </c>
      <c r="FP29" s="5" t="str">
        <f t="shared" ca="1" si="68"/>
        <v>VIGENTE</v>
      </c>
      <c r="FQ29" s="3"/>
      <c r="FR29" s="39">
        <v>45664</v>
      </c>
      <c r="FS29" s="4">
        <f t="shared" si="190"/>
        <v>46393</v>
      </c>
      <c r="FT29" s="8">
        <f t="shared" ca="1" si="69"/>
        <v>248</v>
      </c>
      <c r="FU29" s="5" t="str">
        <f t="shared" ca="1" si="70"/>
        <v>VIGENTE</v>
      </c>
      <c r="FV29" s="3"/>
      <c r="FW29" s="4">
        <v>45587</v>
      </c>
      <c r="FX29" s="4">
        <f>DATE(YEAR(FW29)+2,MONTH(FW29),DAY(FW29)-1)</f>
        <v>46316</v>
      </c>
      <c r="FY29" s="8">
        <f t="shared" ca="1" si="71"/>
        <v>171</v>
      </c>
      <c r="FZ29" s="5" t="str">
        <f t="shared" ca="1" si="72"/>
        <v>VIGENTE</v>
      </c>
      <c r="GA29" s="3"/>
      <c r="GB29" s="4">
        <v>45595</v>
      </c>
      <c r="GC29" s="4">
        <f>DATE(YEAR(GB29)+2,MONTH(GB29),DAY(GB29)-1)</f>
        <v>46324</v>
      </c>
      <c r="GD29" s="8">
        <f t="shared" ca="1" si="73"/>
        <v>179</v>
      </c>
      <c r="GE29" s="5" t="str">
        <f t="shared" ca="1" si="74"/>
        <v>VIGENTE</v>
      </c>
      <c r="GF29" s="3"/>
      <c r="GG29" s="4">
        <v>45579</v>
      </c>
      <c r="GH29" s="4">
        <f t="shared" si="189"/>
        <v>46308</v>
      </c>
      <c r="GI29" s="8">
        <f t="shared" ca="1" si="75"/>
        <v>163</v>
      </c>
      <c r="GJ29" s="5" t="str">
        <f t="shared" ca="1" si="76"/>
        <v>VIGENTE</v>
      </c>
      <c r="GK29" s="3"/>
      <c r="GL29" s="4">
        <v>45608</v>
      </c>
      <c r="GM29" s="4">
        <f>DATE(YEAR(GL29)+2,MONTH(GL29),DAY(GL29)-1)</f>
        <v>46337</v>
      </c>
      <c r="GN29" s="8">
        <f t="shared" ca="1" si="77"/>
        <v>192</v>
      </c>
      <c r="GO29" s="5" t="str">
        <f t="shared" ca="1" si="78"/>
        <v>VIGENTE</v>
      </c>
      <c r="GP29" s="4"/>
      <c r="GQ29" s="4">
        <v>45495</v>
      </c>
      <c r="GR29" s="4">
        <f t="shared" si="79"/>
        <v>47321</v>
      </c>
      <c r="GS29" s="8">
        <f t="shared" ca="1" si="176"/>
        <v>1176</v>
      </c>
      <c r="GT29" s="5" t="str">
        <f t="shared" ca="1" si="81"/>
        <v>VIGENTE</v>
      </c>
      <c r="GU29" s="3"/>
      <c r="GV29" s="4">
        <v>44984</v>
      </c>
      <c r="GW29" s="4">
        <f t="shared" si="82"/>
        <v>46810</v>
      </c>
      <c r="GX29" s="8">
        <f t="shared" ca="1" si="83"/>
        <v>665</v>
      </c>
      <c r="GY29" s="5" t="str">
        <f t="shared" ca="1" si="84"/>
        <v>VIGENTE</v>
      </c>
      <c r="GZ29" s="2"/>
      <c r="HA29" s="4">
        <v>45016</v>
      </c>
      <c r="HB29" s="4">
        <f t="shared" si="85"/>
        <v>46843</v>
      </c>
      <c r="HC29" s="8">
        <f t="shared" ca="1" si="86"/>
        <v>698</v>
      </c>
      <c r="HD29" s="5" t="str">
        <f t="shared" ca="1" si="87"/>
        <v>VIGENTE</v>
      </c>
      <c r="HE29" s="6"/>
      <c r="HF29" s="6"/>
      <c r="HG29" s="4"/>
      <c r="HH29" s="8"/>
      <c r="HI29" s="5" t="str">
        <f t="shared" si="187"/>
        <v>NO APLICA</v>
      </c>
      <c r="HJ29" s="2"/>
      <c r="HK29" s="6"/>
      <c r="HL29" s="4"/>
      <c r="HM29" s="8"/>
      <c r="HN29" s="5" t="str">
        <f t="shared" si="91"/>
        <v>NO APLICA</v>
      </c>
      <c r="HO29" s="2"/>
      <c r="HP29" s="2"/>
      <c r="HQ29" s="4"/>
      <c r="HR29" s="2"/>
      <c r="HS29" s="5" t="str">
        <f t="shared" si="92"/>
        <v>NO APLICA</v>
      </c>
      <c r="HT29" s="2"/>
      <c r="HU29" s="6"/>
      <c r="HV29" s="4"/>
      <c r="HW29" s="8"/>
      <c r="HX29" s="5" t="str">
        <f t="shared" si="93"/>
        <v>NO APLICA</v>
      </c>
      <c r="HY29" s="2"/>
      <c r="HZ29" s="6"/>
      <c r="IA29" s="4"/>
      <c r="IB29" s="8"/>
      <c r="IC29" s="5" t="str">
        <f t="shared" si="94"/>
        <v>NO APLICA</v>
      </c>
      <c r="ID29" s="2"/>
      <c r="IE29" s="6"/>
      <c r="IF29" s="4"/>
      <c r="IG29" s="8"/>
      <c r="IH29" s="5" t="str">
        <f t="shared" si="95"/>
        <v>NO APLICA</v>
      </c>
      <c r="II29" s="6"/>
      <c r="IJ29" s="6"/>
      <c r="IK29" s="4"/>
      <c r="IL29" s="8"/>
      <c r="IM29" s="5" t="str">
        <f t="shared" si="96"/>
        <v>NO APLICA</v>
      </c>
      <c r="IN29" s="2"/>
      <c r="IO29" s="6"/>
      <c r="IP29" s="4"/>
      <c r="IQ29" s="8"/>
      <c r="IR29" s="5" t="str">
        <f t="shared" si="97"/>
        <v>NO APLICA</v>
      </c>
      <c r="IS29" s="2"/>
      <c r="IT29" s="6"/>
      <c r="IU29" s="4"/>
      <c r="IV29" s="8"/>
      <c r="IW29" s="5" t="str">
        <f t="shared" si="98"/>
        <v>NO APLICA</v>
      </c>
      <c r="IX29" s="2"/>
      <c r="IY29" s="6"/>
      <c r="IZ29" s="4"/>
      <c r="JA29" s="8"/>
      <c r="JB29" s="5" t="str">
        <f t="shared" si="99"/>
        <v>NO APLICA</v>
      </c>
      <c r="JC29" s="3" t="s">
        <v>780</v>
      </c>
      <c r="JD29" s="3"/>
      <c r="JE29" s="4"/>
      <c r="JF29" s="8"/>
      <c r="JG29" s="5"/>
      <c r="JH29" s="3" t="s">
        <v>780</v>
      </c>
      <c r="JI29" s="6"/>
      <c r="JJ29" s="6"/>
      <c r="JK29" s="6"/>
      <c r="JL29" s="5"/>
      <c r="JM29" s="6" t="s">
        <v>780</v>
      </c>
      <c r="JN29" s="6"/>
      <c r="JO29" s="6"/>
      <c r="JP29" s="6"/>
      <c r="JQ29" s="5"/>
      <c r="JR29" s="6" t="s">
        <v>780</v>
      </c>
      <c r="JS29" s="6"/>
      <c r="JT29" s="6"/>
      <c r="JU29" s="6"/>
      <c r="JV29" s="5"/>
      <c r="JW29" s="6" t="s">
        <v>780</v>
      </c>
      <c r="JX29" s="5"/>
      <c r="JY29" s="5"/>
      <c r="JZ29" s="5"/>
      <c r="KA29" s="5"/>
      <c r="KB29" s="5"/>
      <c r="KC29" s="2"/>
      <c r="KD29" s="4"/>
      <c r="KE29" s="8"/>
      <c r="KF29" s="5" t="str">
        <f t="shared" si="135"/>
        <v>NO APLICA</v>
      </c>
      <c r="KG29" s="5"/>
      <c r="KH29" s="2"/>
      <c r="KI29" s="4"/>
      <c r="KJ29" s="8"/>
      <c r="KK29" s="5" t="str">
        <f t="shared" si="136"/>
        <v>NO APLICA</v>
      </c>
      <c r="KL29" s="5"/>
      <c r="KM29" s="2"/>
      <c r="KN29" s="4"/>
      <c r="KO29" s="8"/>
      <c r="KP29" s="5" t="str">
        <f t="shared" si="100"/>
        <v>NO APLICA</v>
      </c>
      <c r="KQ29" s="5"/>
      <c r="KR29" s="2"/>
      <c r="KS29" s="4"/>
      <c r="KT29" s="8"/>
      <c r="KU29" s="5" t="str">
        <f t="shared" si="137"/>
        <v>NO APLICA</v>
      </c>
      <c r="KV29" s="2"/>
      <c r="KW29" s="6"/>
      <c r="KX29" s="4"/>
      <c r="KY29" s="8"/>
      <c r="KZ29" s="5" t="str">
        <f t="shared" si="151"/>
        <v>NO APLICA</v>
      </c>
      <c r="LA29" s="5"/>
      <c r="LB29" s="6"/>
      <c r="LC29" s="4"/>
      <c r="LD29" s="8"/>
      <c r="LE29" s="5" t="str">
        <f t="shared" si="138"/>
        <v>NO APLICA</v>
      </c>
      <c r="LF29" s="6"/>
      <c r="LG29" s="6"/>
      <c r="LH29" s="4"/>
      <c r="LI29" s="8"/>
      <c r="LJ29" s="5" t="str">
        <f t="shared" si="101"/>
        <v>NO APLICA</v>
      </c>
      <c r="LK29" s="5"/>
      <c r="LL29" s="5"/>
      <c r="LM29" s="4"/>
      <c r="LN29" s="8"/>
      <c r="LO29" s="5" t="str">
        <f t="shared" si="152"/>
        <v>NO APLICA</v>
      </c>
      <c r="LP29" s="2"/>
      <c r="LQ29" s="6"/>
      <c r="LR29" s="4"/>
      <c r="LS29" s="8"/>
      <c r="LT29" s="5" t="str">
        <f t="shared" si="139"/>
        <v>NO APLICA</v>
      </c>
      <c r="LU29" s="6"/>
      <c r="LV29" s="6"/>
      <c r="LW29" s="4"/>
      <c r="LX29" s="8"/>
      <c r="LY29" s="5" t="str">
        <f t="shared" si="140"/>
        <v>NO APLICA</v>
      </c>
      <c r="LZ29" s="6"/>
      <c r="MA29" s="6"/>
      <c r="MB29" s="4"/>
      <c r="MC29" s="8"/>
      <c r="MD29" s="5" t="str">
        <f t="shared" si="141"/>
        <v>NO APLICA</v>
      </c>
      <c r="ME29" s="2"/>
      <c r="MF29" s="2"/>
      <c r="MG29" s="4"/>
      <c r="MH29" s="8"/>
      <c r="MI29" s="5" t="str">
        <f t="shared" si="102"/>
        <v>NO APLICA</v>
      </c>
      <c r="MJ29" s="2"/>
      <c r="MK29" s="2"/>
      <c r="ML29" s="4"/>
      <c r="MM29" s="8"/>
      <c r="MN29" s="5" t="str">
        <f t="shared" si="103"/>
        <v>NO APLICA</v>
      </c>
      <c r="MO29" s="5"/>
      <c r="MP29" s="2"/>
      <c r="MQ29" s="4"/>
      <c r="MR29" s="8"/>
      <c r="MS29" s="5" t="str">
        <f t="shared" si="104"/>
        <v>NO APLICA</v>
      </c>
      <c r="MT29" s="5"/>
      <c r="MU29" s="2"/>
      <c r="MV29" s="4"/>
      <c r="MW29" s="2"/>
      <c r="MX29" s="5" t="str">
        <f t="shared" si="105"/>
        <v>NO APLICA</v>
      </c>
      <c r="MY29" s="2"/>
      <c r="MZ29" s="6"/>
      <c r="NA29" s="4"/>
      <c r="NB29" s="8"/>
      <c r="NC29" s="5" t="str">
        <f t="shared" si="106"/>
        <v>NO APLICA</v>
      </c>
      <c r="ND29" s="2"/>
      <c r="NE29" s="6"/>
      <c r="NF29" s="4"/>
      <c r="NG29" s="8"/>
      <c r="NH29" s="5" t="str">
        <f t="shared" si="107"/>
        <v>NO APLICA</v>
      </c>
      <c r="NI29" s="2"/>
      <c r="NJ29" s="6"/>
      <c r="NK29" s="4"/>
      <c r="NL29" s="8"/>
      <c r="NM29" s="5" t="str">
        <f t="shared" si="108"/>
        <v>NO APLICA</v>
      </c>
      <c r="NN29" s="2"/>
      <c r="NO29" s="2"/>
      <c r="NP29" s="4"/>
      <c r="NQ29" s="8"/>
      <c r="NR29" s="5" t="str">
        <f t="shared" si="109"/>
        <v>NO APLICA</v>
      </c>
      <c r="NS29" s="2"/>
      <c r="NT29" s="2"/>
      <c r="NU29" s="4"/>
      <c r="NV29" s="2"/>
      <c r="NW29" s="5" t="str">
        <f t="shared" si="110"/>
        <v>NO APLICA</v>
      </c>
      <c r="NX29" s="6"/>
      <c r="NY29" s="6"/>
      <c r="NZ29" s="4"/>
      <c r="OA29" s="8"/>
      <c r="OB29" s="5" t="str">
        <f t="shared" si="111"/>
        <v>NO APLICA</v>
      </c>
      <c r="OC29" s="6"/>
      <c r="OD29" s="6"/>
      <c r="OE29" s="6"/>
      <c r="OF29" s="6"/>
      <c r="OG29" s="5" t="str">
        <f t="shared" si="112"/>
        <v>NO APLICA</v>
      </c>
      <c r="OH29" s="6"/>
      <c r="OI29" s="6"/>
      <c r="OJ29" s="4"/>
      <c r="OK29" s="8"/>
      <c r="OL29" s="5" t="str">
        <f t="shared" si="113"/>
        <v>NO APLICA</v>
      </c>
      <c r="OM29" s="6"/>
      <c r="ON29" s="6"/>
      <c r="OO29" s="6"/>
      <c r="OP29" s="6"/>
      <c r="OQ29" s="5" t="str">
        <f t="shared" si="114"/>
        <v>NO APLICA</v>
      </c>
      <c r="OR29" s="6"/>
      <c r="OS29" s="6"/>
      <c r="OT29" s="6"/>
      <c r="OU29" s="6"/>
      <c r="OV29" s="5" t="str">
        <f t="shared" si="115"/>
        <v>NO APLICA</v>
      </c>
      <c r="OW29" s="6"/>
      <c r="OX29" s="6"/>
      <c r="OY29" s="6"/>
      <c r="OZ29" s="6"/>
      <c r="PA29" s="5" t="str">
        <f t="shared" si="116"/>
        <v>NO APLICA</v>
      </c>
      <c r="PB29" s="6"/>
      <c r="PC29" s="6"/>
      <c r="PD29" s="6"/>
      <c r="PE29" s="6"/>
      <c r="PF29" s="5" t="str">
        <f t="shared" si="117"/>
        <v>NO APLICA</v>
      </c>
      <c r="PG29" s="6"/>
      <c r="PH29" s="6"/>
      <c r="PI29" s="6"/>
      <c r="PJ29" s="6"/>
      <c r="PK29" s="5" t="str">
        <f t="shared" si="118"/>
        <v>NO APLICA</v>
      </c>
      <c r="PL29" s="5"/>
      <c r="PM29" s="6"/>
      <c r="PN29" s="4"/>
      <c r="PO29" s="8"/>
      <c r="PP29" s="5" t="str">
        <f t="shared" si="119"/>
        <v>NO APLICA</v>
      </c>
      <c r="PQ29" s="6"/>
      <c r="PR29" s="6"/>
      <c r="PS29" s="6"/>
      <c r="PT29" s="6"/>
      <c r="PU29" s="5" t="str">
        <f t="shared" si="120"/>
        <v>NO APLICA</v>
      </c>
      <c r="PV29" s="5"/>
      <c r="PW29" s="6"/>
      <c r="PX29" s="6"/>
      <c r="PY29" s="6"/>
      <c r="PZ29" s="5" t="str">
        <f t="shared" si="121"/>
        <v>NO APLICA</v>
      </c>
    </row>
    <row r="30" spans="1:442" ht="15.6" hidden="1" thickTop="1" thickBot="1" x14ac:dyDescent="0.35">
      <c r="A30" s="26">
        <v>27</v>
      </c>
      <c r="B30" s="27">
        <v>685</v>
      </c>
      <c r="C30" s="28" t="s">
        <v>152</v>
      </c>
      <c r="D30" s="29" t="s">
        <v>68</v>
      </c>
      <c r="E30" s="30" t="s">
        <v>153</v>
      </c>
      <c r="F30" s="5"/>
      <c r="G30" s="6"/>
      <c r="H30" s="4"/>
      <c r="I30" s="8"/>
      <c r="J30" s="5" t="str">
        <f t="shared" si="0"/>
        <v>NO APLICA</v>
      </c>
      <c r="K30" s="5"/>
      <c r="L30" s="6"/>
      <c r="M30" s="6"/>
      <c r="N30" s="8"/>
      <c r="O30" s="5" t="str">
        <f t="shared" si="1"/>
        <v>NO APLICA</v>
      </c>
      <c r="P30" s="4"/>
      <c r="Q30" s="4">
        <v>45597</v>
      </c>
      <c r="R30" s="4">
        <f>DATE(YEAR(Q30)+2,MONTH(Q30),DAY(Q30)-1)</f>
        <v>46326</v>
      </c>
      <c r="S30" s="8">
        <f ca="1">R30-TODAY()</f>
        <v>181</v>
      </c>
      <c r="T30" s="5" t="str">
        <f t="shared" ca="1" si="122"/>
        <v>VIGENTE</v>
      </c>
      <c r="U30" s="5"/>
      <c r="V30" s="2" t="s">
        <v>154</v>
      </c>
      <c r="W30" s="4">
        <v>45391</v>
      </c>
      <c r="X30" s="4">
        <f t="shared" si="2"/>
        <v>47217</v>
      </c>
      <c r="Y30" s="8">
        <f t="shared" ca="1" si="3"/>
        <v>1072</v>
      </c>
      <c r="Z30" s="5" t="str">
        <f t="shared" ca="1" si="4"/>
        <v>VIGENTE</v>
      </c>
      <c r="AA30" s="5"/>
      <c r="AB30" s="2" t="s">
        <v>155</v>
      </c>
      <c r="AC30" s="4">
        <v>44826</v>
      </c>
      <c r="AD30" s="4">
        <f t="shared" ref="AD30:AD35" si="191">DATE(YEAR(AC30)+5,MONTH(AC30),DAY(AC30))</f>
        <v>46652</v>
      </c>
      <c r="AE30" s="8">
        <f t="shared" ref="AE30:AE35" ca="1" si="192">AD30-TODAY()</f>
        <v>507</v>
      </c>
      <c r="AF30" s="5" t="str">
        <f t="shared" ca="1" si="7"/>
        <v>VIGENTE</v>
      </c>
      <c r="AG30" s="3"/>
      <c r="AH30" s="4">
        <v>45589</v>
      </c>
      <c r="AI30" s="4">
        <f>DATE(YEAR(AH30)+2,MONTH(AH30),DAY(AH30)-1)</f>
        <v>46318</v>
      </c>
      <c r="AJ30" s="8">
        <f t="shared" ca="1" si="8"/>
        <v>173</v>
      </c>
      <c r="AK30" s="5" t="str">
        <f t="shared" ca="1" si="9"/>
        <v>VIGENTE</v>
      </c>
      <c r="AL30" s="3"/>
      <c r="AM30" s="4">
        <v>45926</v>
      </c>
      <c r="AN30" s="4">
        <f t="shared" ref="AN30:AN38" si="193">DATE(YEAR(AM30)+2,MONTH(AM30),DAY(AM30))</f>
        <v>46656</v>
      </c>
      <c r="AO30" s="8">
        <f t="shared" ca="1" si="10"/>
        <v>511</v>
      </c>
      <c r="AP30" s="5" t="str">
        <f t="shared" ca="1" si="11"/>
        <v>VIGENTE</v>
      </c>
      <c r="AQ30" s="3"/>
      <c r="AR30" s="4">
        <v>45989</v>
      </c>
      <c r="AS30" s="4">
        <f>DATE(YEAR(AR30)+2,MONTH(AR30),DAY(AR30))</f>
        <v>46719</v>
      </c>
      <c r="AT30" s="8">
        <f t="shared" ca="1" si="12"/>
        <v>574</v>
      </c>
      <c r="AU30" s="5" t="str">
        <f t="shared" ca="1" si="13"/>
        <v>VIGENTE</v>
      </c>
      <c r="AV30" s="3"/>
      <c r="AW30" s="4">
        <v>45972</v>
      </c>
      <c r="AX30" s="4">
        <f t="shared" ref="AX30:AX38" si="194">DATE(YEAR(AW30)+2,MONTH(AW30),DAY(AW30))</f>
        <v>46702</v>
      </c>
      <c r="AY30" s="8">
        <f t="shared" ca="1" si="15"/>
        <v>557</v>
      </c>
      <c r="AZ30" s="5" t="str">
        <f t="shared" ca="1" si="16"/>
        <v>VIGENTE</v>
      </c>
      <c r="BA30" s="3"/>
      <c r="BB30" s="4">
        <v>46041</v>
      </c>
      <c r="BC30" s="4">
        <f>DATE(YEAR(BB30)+2,MONTH(BB30),DAY(BB30))</f>
        <v>46771</v>
      </c>
      <c r="BD30" s="8">
        <f t="shared" ca="1" si="17"/>
        <v>626</v>
      </c>
      <c r="BE30" s="5" t="str">
        <f t="shared" ca="1" si="18"/>
        <v>VIGENTE</v>
      </c>
      <c r="BF30" s="3"/>
      <c r="BG30" s="4">
        <v>46027</v>
      </c>
      <c r="BH30" s="4">
        <f t="shared" ref="BH30:BH38" si="195">DATE(YEAR(BG30)+2,MONTH(BG30),DAY(BG30))</f>
        <v>46757</v>
      </c>
      <c r="BI30" s="8">
        <f t="shared" ca="1" si="19"/>
        <v>612</v>
      </c>
      <c r="BJ30" s="5" t="str">
        <f t="shared" ca="1" si="20"/>
        <v>VIGENTE</v>
      </c>
      <c r="BK30" s="3"/>
      <c r="BL30" s="4">
        <v>45976</v>
      </c>
      <c r="BM30" s="4">
        <f t="shared" ref="BM30:BM38" si="196">DATE(YEAR(BL30)+2,MONTH(BL30),DAY(BL30))</f>
        <v>46706</v>
      </c>
      <c r="BN30" s="8">
        <f t="shared" ca="1" si="21"/>
        <v>561</v>
      </c>
      <c r="BO30" s="5" t="str">
        <f t="shared" ca="1" si="22"/>
        <v>VIGENTE</v>
      </c>
      <c r="BP30" s="3"/>
      <c r="BQ30" s="39">
        <v>45981</v>
      </c>
      <c r="BR30" s="4">
        <f>DATE(YEAR(BQ30)+2,MONTH(BQ30),DAY(BQ30))</f>
        <v>46711</v>
      </c>
      <c r="BS30" s="8">
        <f t="shared" ca="1" si="23"/>
        <v>566</v>
      </c>
      <c r="BT30" s="5" t="str">
        <f t="shared" ca="1" si="24"/>
        <v>VIGENTE</v>
      </c>
      <c r="BU30" s="3"/>
      <c r="BV30" s="4">
        <v>46116</v>
      </c>
      <c r="BW30" s="4">
        <f t="shared" si="185"/>
        <v>46846</v>
      </c>
      <c r="BX30" s="8">
        <f t="shared" ca="1" si="25"/>
        <v>701</v>
      </c>
      <c r="BY30" s="5" t="str">
        <f t="shared" ca="1" si="26"/>
        <v>VIGENTE</v>
      </c>
      <c r="BZ30" s="3"/>
      <c r="CA30" s="4">
        <v>45944</v>
      </c>
      <c r="CB30" s="4">
        <f>DATE(YEAR(CA30)+2,MONTH(CA30),DAY(CA30))</f>
        <v>46674</v>
      </c>
      <c r="CC30" s="8">
        <f t="shared" ca="1" si="27"/>
        <v>529</v>
      </c>
      <c r="CD30" s="5" t="str">
        <f t="shared" ca="1" si="28"/>
        <v>VIGENTE</v>
      </c>
      <c r="CE30" s="6"/>
      <c r="CF30" s="4">
        <v>45241</v>
      </c>
      <c r="CG30" s="4">
        <f t="shared" si="29"/>
        <v>46702</v>
      </c>
      <c r="CH30" s="8">
        <f t="shared" ca="1" si="30"/>
        <v>557</v>
      </c>
      <c r="CI30" s="5" t="str">
        <f t="shared" ca="1" si="31"/>
        <v>VIGENTE</v>
      </c>
      <c r="CJ30" s="4"/>
      <c r="CK30" s="4">
        <v>45511</v>
      </c>
      <c r="CL30" s="4">
        <f>DATE(YEAR(CK30)+2,MONTH(CK30),DAY(CK30)-1)</f>
        <v>46240</v>
      </c>
      <c r="CM30" s="8">
        <f t="shared" ca="1" si="32"/>
        <v>95</v>
      </c>
      <c r="CN30" s="5" t="str">
        <f t="shared" ca="1" si="33"/>
        <v>VIGENTE</v>
      </c>
      <c r="CO30" s="3"/>
      <c r="CP30" s="39">
        <v>45888</v>
      </c>
      <c r="CQ30" s="4">
        <f>DATE(YEAR(CP30)+2,MONTH(CP30),DAY(CP30))</f>
        <v>46618</v>
      </c>
      <c r="CR30" s="8">
        <f t="shared" ca="1" si="34"/>
        <v>473</v>
      </c>
      <c r="CS30" s="5" t="str">
        <f t="shared" ca="1" si="35"/>
        <v>VIGENTE</v>
      </c>
      <c r="CT30" s="3"/>
      <c r="CU30" s="4">
        <v>45631</v>
      </c>
      <c r="CV30" s="4">
        <f>DATE(YEAR(CU30)+2,MONTH(CU30),DAY(CU30)-1)</f>
        <v>46360</v>
      </c>
      <c r="CW30" s="8">
        <f t="shared" ca="1" si="36"/>
        <v>215</v>
      </c>
      <c r="CX30" s="5" t="str">
        <f t="shared" ca="1" si="37"/>
        <v>VIGENTE</v>
      </c>
      <c r="CY30" s="3"/>
      <c r="CZ30" s="4">
        <v>45661</v>
      </c>
      <c r="DA30" s="4">
        <f>DATE(YEAR(CZ30)+2,MONTH(CZ30),DAY(CZ30)-1)</f>
        <v>46390</v>
      </c>
      <c r="DB30" s="8">
        <f t="shared" ca="1" si="38"/>
        <v>245</v>
      </c>
      <c r="DC30" s="5" t="str">
        <f t="shared" ca="1" si="39"/>
        <v>VIGENTE</v>
      </c>
      <c r="DD30" s="3"/>
      <c r="DE30" s="39">
        <v>45689</v>
      </c>
      <c r="DF30" s="4">
        <f t="shared" si="188"/>
        <v>46418</v>
      </c>
      <c r="DG30" s="8">
        <f t="shared" ca="1" si="40"/>
        <v>273</v>
      </c>
      <c r="DH30" s="5" t="str">
        <f t="shared" ca="1" si="41"/>
        <v>VIGENTE</v>
      </c>
      <c r="DI30" s="3"/>
      <c r="DJ30" s="39">
        <v>45955</v>
      </c>
      <c r="DK30" s="4">
        <f>DATE(YEAR(DJ30)+2,MONTH(DJ30),DAY(DJ30))</f>
        <v>46685</v>
      </c>
      <c r="DL30" s="8">
        <f t="shared" ca="1" si="43"/>
        <v>540</v>
      </c>
      <c r="DM30" s="5" t="str">
        <f t="shared" ca="1" si="44"/>
        <v>VIGENTE</v>
      </c>
      <c r="DN30" s="3"/>
      <c r="DO30" s="4">
        <v>45982</v>
      </c>
      <c r="DP30" s="4">
        <f>DATE(YEAR(DO30)+2,MONTH(DO30),DAY(DO30))</f>
        <v>46712</v>
      </c>
      <c r="DQ30" s="8">
        <f t="shared" ca="1" si="46"/>
        <v>567</v>
      </c>
      <c r="DR30" s="5" t="str">
        <f t="shared" ca="1" si="47"/>
        <v>VIGENTE</v>
      </c>
      <c r="DS30" s="3"/>
      <c r="DT30" s="4">
        <v>46053</v>
      </c>
      <c r="DU30" s="4">
        <f>DATE(YEAR(DT30)+2,MONTH(DT30),DAY(DT30))</f>
        <v>46783</v>
      </c>
      <c r="DV30" s="8">
        <f t="shared" ca="1" si="48"/>
        <v>638</v>
      </c>
      <c r="DW30" s="5" t="str">
        <f t="shared" ca="1" si="49"/>
        <v>VIGENTE</v>
      </c>
      <c r="DX30" s="3"/>
      <c r="DY30" s="4">
        <v>46020</v>
      </c>
      <c r="DZ30" s="4">
        <f>DATE(YEAR(DY30)+2,MONTH(DY30),DAY(DY30))</f>
        <v>46750</v>
      </c>
      <c r="EA30" s="8">
        <f t="shared" ca="1" si="50"/>
        <v>605</v>
      </c>
      <c r="EB30" s="5" t="str">
        <f t="shared" ca="1" si="51"/>
        <v>VIGENTE</v>
      </c>
      <c r="EC30" s="3"/>
      <c r="ED30" s="39">
        <v>45913</v>
      </c>
      <c r="EE30" s="4">
        <f>DATE(YEAR(ED30)+2,MONTH(ED30),DAY(ED30))</f>
        <v>46643</v>
      </c>
      <c r="EF30" s="8">
        <f t="shared" ca="1" si="52"/>
        <v>498</v>
      </c>
      <c r="EG30" s="5" t="str">
        <f t="shared" ca="1" si="53"/>
        <v>VIGENTE</v>
      </c>
      <c r="EH30" s="3"/>
      <c r="EI30" s="4">
        <v>45948</v>
      </c>
      <c r="EJ30" s="4">
        <f t="shared" si="131"/>
        <v>46313</v>
      </c>
      <c r="EK30" s="8">
        <f t="shared" ca="1" si="54"/>
        <v>168</v>
      </c>
      <c r="EL30" s="5" t="str">
        <f t="shared" ca="1" si="55"/>
        <v>VIGENTE</v>
      </c>
      <c r="EM30" s="3"/>
      <c r="EN30" s="4">
        <v>45940</v>
      </c>
      <c r="EO30" s="4">
        <f>DATE(YEAR(EN30)+2,MONTH(EN30),DAY(EN30))</f>
        <v>46670</v>
      </c>
      <c r="EP30" s="8">
        <f t="shared" ca="1" si="56"/>
        <v>525</v>
      </c>
      <c r="EQ30" s="5" t="str">
        <f t="shared" ca="1" si="57"/>
        <v>VIGENTE</v>
      </c>
      <c r="ER30" s="3"/>
      <c r="ES30" s="39">
        <v>45999</v>
      </c>
      <c r="ET30" s="4">
        <f>DATE(YEAR(ES30)+2,MONTH(ES30),DAY(ES30))</f>
        <v>46729</v>
      </c>
      <c r="EU30" s="8">
        <f t="shared" ca="1" si="58"/>
        <v>584</v>
      </c>
      <c r="EV30" s="5" t="str">
        <f t="shared" ca="1" si="59"/>
        <v>VIGENTE</v>
      </c>
      <c r="EW30" s="3"/>
      <c r="EX30" s="4">
        <v>45953</v>
      </c>
      <c r="EY30" s="4">
        <f t="shared" ref="EY30:EY38" si="197">DATE(YEAR(EX30)+2,MONTH(EX30),DAY(EX30))</f>
        <v>46683</v>
      </c>
      <c r="EZ30" s="8">
        <f t="shared" ca="1" si="60"/>
        <v>538</v>
      </c>
      <c r="FA30" s="5" t="str">
        <f t="shared" ca="1" si="61"/>
        <v>VIGENTE</v>
      </c>
      <c r="FB30" s="3"/>
      <c r="FC30" s="4">
        <v>45951</v>
      </c>
      <c r="FD30" s="4">
        <f t="shared" ref="FD30:FD38" si="198">DATE(YEAR(FC30)+2,MONTH(FC30),DAY(FC30))</f>
        <v>46681</v>
      </c>
      <c r="FE30" s="8">
        <f t="shared" ca="1" si="62"/>
        <v>536</v>
      </c>
      <c r="FF30" s="5" t="str">
        <f t="shared" ca="1" si="63"/>
        <v>VIGENTE</v>
      </c>
      <c r="FG30" s="3"/>
      <c r="FH30" s="4">
        <v>45932</v>
      </c>
      <c r="FI30" s="4">
        <f t="shared" ref="FI30:FI38" si="199">DATE(YEAR(FH30)+2,MONTH(FH30),DAY(FH30))</f>
        <v>46662</v>
      </c>
      <c r="FJ30" s="8">
        <f t="shared" ca="1" si="64"/>
        <v>517</v>
      </c>
      <c r="FK30" s="5" t="str">
        <f t="shared" ca="1" si="65"/>
        <v>VIGENTE</v>
      </c>
      <c r="FL30" s="3"/>
      <c r="FM30" s="39">
        <v>46129</v>
      </c>
      <c r="FN30" s="4">
        <f>DATE(YEAR(FM30)+2,MONTH(FM30),DAY(FM30)-1)</f>
        <v>46859</v>
      </c>
      <c r="FO30" s="8">
        <f t="shared" ca="1" si="67"/>
        <v>714</v>
      </c>
      <c r="FP30" s="5" t="str">
        <f t="shared" ca="1" si="68"/>
        <v>VIGENTE</v>
      </c>
      <c r="FQ30" s="3"/>
      <c r="FR30" s="39">
        <v>46132</v>
      </c>
      <c r="FS30" s="4">
        <f t="shared" si="190"/>
        <v>46862</v>
      </c>
      <c r="FT30" s="8">
        <f t="shared" ca="1" si="69"/>
        <v>717</v>
      </c>
      <c r="FU30" s="5" t="str">
        <f t="shared" ca="1" si="70"/>
        <v>VIGENTE</v>
      </c>
      <c r="FV30" s="4"/>
      <c r="FW30" s="4">
        <v>45941</v>
      </c>
      <c r="FX30" s="4">
        <f>DATE(YEAR(FW30)+2,MONTH(FW30),DAY(FW30))</f>
        <v>46671</v>
      </c>
      <c r="FY30" s="8">
        <f t="shared" ca="1" si="71"/>
        <v>526</v>
      </c>
      <c r="FZ30" s="5" t="str">
        <f t="shared" ca="1" si="72"/>
        <v>VIGENTE</v>
      </c>
      <c r="GA30" s="3"/>
      <c r="GB30" s="4">
        <v>46030</v>
      </c>
      <c r="GC30" s="4">
        <f>DATE(YEAR(GB30)+2,MONTH(GB30),DAY(GB30))</f>
        <v>46760</v>
      </c>
      <c r="GD30" s="8">
        <f t="shared" ca="1" si="73"/>
        <v>615</v>
      </c>
      <c r="GE30" s="5" t="str">
        <f t="shared" ca="1" si="74"/>
        <v>VIGENTE</v>
      </c>
      <c r="GF30" s="3"/>
      <c r="GG30" s="4">
        <v>45475</v>
      </c>
      <c r="GH30" s="4">
        <f t="shared" si="189"/>
        <v>46204</v>
      </c>
      <c r="GI30" s="8">
        <f t="shared" ca="1" si="75"/>
        <v>59</v>
      </c>
      <c r="GJ30" s="5" t="str">
        <f t="shared" ca="1" si="76"/>
        <v>POR VENCER</v>
      </c>
      <c r="GK30" s="3"/>
      <c r="GL30" s="4">
        <v>46093</v>
      </c>
      <c r="GM30" s="4">
        <f>DATE(YEAR(GL30)+2,MONTH(GL30),DAY(GL30))</f>
        <v>46824</v>
      </c>
      <c r="GN30" s="8">
        <f t="shared" ca="1" si="77"/>
        <v>679</v>
      </c>
      <c r="GO30" s="5" t="str">
        <f t="shared" ca="1" si="78"/>
        <v>VIGENTE</v>
      </c>
      <c r="GP30" s="4"/>
      <c r="GQ30" s="4">
        <v>45265</v>
      </c>
      <c r="GR30" s="4">
        <f t="shared" si="79"/>
        <v>47092</v>
      </c>
      <c r="GS30" s="8">
        <f t="shared" ca="1" si="176"/>
        <v>947</v>
      </c>
      <c r="GT30" s="5" t="str">
        <f t="shared" ca="1" si="81"/>
        <v>VIGENTE</v>
      </c>
      <c r="GU30" s="3"/>
      <c r="GV30" s="4">
        <v>45277</v>
      </c>
      <c r="GW30" s="4">
        <f t="shared" si="82"/>
        <v>47104</v>
      </c>
      <c r="GX30" s="8">
        <f t="shared" ca="1" si="83"/>
        <v>959</v>
      </c>
      <c r="GY30" s="5" t="str">
        <f t="shared" ca="1" si="84"/>
        <v>VIGENTE</v>
      </c>
      <c r="GZ30" s="3"/>
      <c r="HA30" s="4">
        <v>45268</v>
      </c>
      <c r="HB30" s="4">
        <f t="shared" si="85"/>
        <v>47095</v>
      </c>
      <c r="HC30" s="8">
        <f t="shared" ca="1" si="86"/>
        <v>950</v>
      </c>
      <c r="HD30" s="5" t="str">
        <f t="shared" ca="1" si="87"/>
        <v>VIGENTE</v>
      </c>
      <c r="HE30" s="6"/>
      <c r="HF30" s="4">
        <v>45404</v>
      </c>
      <c r="HG30" s="4">
        <f t="shared" ref="HG30:HG35" si="200">DATE(YEAR(HF30)+5,MONTH(HF30),DAY(HF30))</f>
        <v>47230</v>
      </c>
      <c r="HH30" s="8">
        <f t="shared" ref="HH30:HH35" ca="1" si="201">HG30-TODAY()</f>
        <v>1085</v>
      </c>
      <c r="HI30" s="5" t="str">
        <f t="shared" ca="1" si="187"/>
        <v>VIGENTE</v>
      </c>
      <c r="HJ30" s="2"/>
      <c r="HK30" s="4">
        <v>45368</v>
      </c>
      <c r="HL30" s="4">
        <f>DATE(YEAR(HK30)+5,MONTH(HK30),DAY(HK30))</f>
        <v>47194</v>
      </c>
      <c r="HM30" s="8">
        <f ca="1">HL30-TODAY()</f>
        <v>1049</v>
      </c>
      <c r="HN30" s="5" t="str">
        <f t="shared" ca="1" si="91"/>
        <v>VIGENTE</v>
      </c>
      <c r="HO30" s="2"/>
      <c r="HP30" s="5"/>
      <c r="HQ30" s="4"/>
      <c r="HR30" s="5"/>
      <c r="HS30" s="5" t="str">
        <f t="shared" si="92"/>
        <v>NO APLICA</v>
      </c>
      <c r="HT30" s="3"/>
      <c r="HU30" s="4">
        <v>45469</v>
      </c>
      <c r="HV30" s="4">
        <f>DATE(YEAR(HU30)+5,MONTH(HU30),DAY(HU30))</f>
        <v>47295</v>
      </c>
      <c r="HW30" s="8">
        <f ca="1">HV30-TODAY()</f>
        <v>1150</v>
      </c>
      <c r="HX30" s="5" t="str">
        <f t="shared" ca="1" si="93"/>
        <v>VIGENTE</v>
      </c>
      <c r="HY30" s="3"/>
      <c r="HZ30" s="4">
        <v>45234</v>
      </c>
      <c r="IA30" s="4">
        <f>DATE(YEAR(HZ30)+5,MONTH(HZ30),DAY(HZ30))</f>
        <v>47061</v>
      </c>
      <c r="IB30" s="8">
        <f ca="1">IA30-TODAY()</f>
        <v>916</v>
      </c>
      <c r="IC30" s="5" t="str">
        <f t="shared" ca="1" si="94"/>
        <v>VIGENTE</v>
      </c>
      <c r="ID30" s="3"/>
      <c r="IE30" s="4">
        <v>45470</v>
      </c>
      <c r="IF30" s="4">
        <f>DATE(YEAR(IE30)+5,MONTH(IE30),DAY(IE30))</f>
        <v>47296</v>
      </c>
      <c r="IG30" s="8">
        <f ca="1">IF30-TODAY()</f>
        <v>1151</v>
      </c>
      <c r="IH30" s="5" t="str">
        <f t="shared" ca="1" si="95"/>
        <v>VIGENTE</v>
      </c>
      <c r="II30" s="4"/>
      <c r="IJ30" s="4">
        <v>45455</v>
      </c>
      <c r="IK30" s="4">
        <f>DATE(YEAR(IJ30)+5,MONTH(IJ30),DAY(IJ30))</f>
        <v>47281</v>
      </c>
      <c r="IL30" s="8">
        <f ca="1">IK30-TODAY()</f>
        <v>1136</v>
      </c>
      <c r="IM30" s="5" t="str">
        <f t="shared" ca="1" si="96"/>
        <v>VIGENTE</v>
      </c>
      <c r="IN30" s="3"/>
      <c r="IO30" s="4">
        <v>45453</v>
      </c>
      <c r="IP30" s="4">
        <f>DATE(YEAR(IO30)+5,MONTH(IO30),DAY(IO30))</f>
        <v>47279</v>
      </c>
      <c r="IQ30" s="8">
        <f ca="1">IP30-TODAY()</f>
        <v>1134</v>
      </c>
      <c r="IR30" s="5" t="str">
        <f t="shared" ca="1" si="97"/>
        <v>VIGENTE</v>
      </c>
      <c r="IS30" s="3"/>
      <c r="IT30" s="4">
        <v>45435</v>
      </c>
      <c r="IU30" s="4">
        <f>DATE(YEAR(IT30)+5,MONTH(IT30),DAY(IT30))</f>
        <v>47261</v>
      </c>
      <c r="IV30" s="8">
        <f ca="1">IU30-TODAY()</f>
        <v>1116</v>
      </c>
      <c r="IW30" s="5" t="str">
        <f t="shared" ca="1" si="98"/>
        <v>VIGENTE</v>
      </c>
      <c r="IX30" s="3"/>
      <c r="IY30" s="4">
        <v>45251</v>
      </c>
      <c r="IZ30" s="4">
        <f>DATE(YEAR(IY30)+5,MONTH(IY30),DAY(IY30))</f>
        <v>47078</v>
      </c>
      <c r="JA30" s="8">
        <f ca="1">IZ30-TODAY()</f>
        <v>933</v>
      </c>
      <c r="JB30" s="5" t="str">
        <f t="shared" ca="1" si="99"/>
        <v>VIGENTE</v>
      </c>
      <c r="JC30" s="3" t="s">
        <v>780</v>
      </c>
      <c r="JD30" s="3"/>
      <c r="JE30" s="4"/>
      <c r="JF30" s="8"/>
      <c r="JG30" s="5"/>
      <c r="JH30" s="3" t="s">
        <v>780</v>
      </c>
      <c r="JI30" s="6"/>
      <c r="JJ30" s="6"/>
      <c r="JK30" s="6"/>
      <c r="JL30" s="5"/>
      <c r="JM30" s="6" t="s">
        <v>780</v>
      </c>
      <c r="JN30" s="6"/>
      <c r="JO30" s="6"/>
      <c r="JP30" s="6"/>
      <c r="JQ30" s="5"/>
      <c r="JR30" s="6" t="s">
        <v>780</v>
      </c>
      <c r="JS30" s="6"/>
      <c r="JT30" s="6"/>
      <c r="JU30" s="6"/>
      <c r="JV30" s="5"/>
      <c r="JW30" s="6" t="s">
        <v>780</v>
      </c>
      <c r="JX30" s="5"/>
      <c r="JY30" s="5"/>
      <c r="JZ30" s="5"/>
      <c r="KA30" s="5"/>
      <c r="KB30" s="5"/>
      <c r="KC30" s="3">
        <v>45362</v>
      </c>
      <c r="KD30" s="4">
        <f>DATE(YEAR(KC30)+5,MONTH(KC30),DAY(KC30))</f>
        <v>47188</v>
      </c>
      <c r="KE30" s="8">
        <f ca="1">KD30-TODAY()</f>
        <v>1043</v>
      </c>
      <c r="KF30" s="5" t="str">
        <f t="shared" ca="1" si="135"/>
        <v>VIGENTE</v>
      </c>
      <c r="KG30" s="5"/>
      <c r="KH30" s="5"/>
      <c r="KI30" s="4"/>
      <c r="KJ30" s="8"/>
      <c r="KK30" s="5" t="str">
        <f t="shared" si="136"/>
        <v>NO APLICA</v>
      </c>
      <c r="KL30" s="5"/>
      <c r="KM30" s="3">
        <v>45364</v>
      </c>
      <c r="KN30" s="4">
        <f>DATE(YEAR(KM30)+5,MONTH(KM30),DAY(KM30))</f>
        <v>47190</v>
      </c>
      <c r="KO30" s="8">
        <f ca="1">KN30-TODAY()</f>
        <v>1045</v>
      </c>
      <c r="KP30" s="5" t="str">
        <f t="shared" ca="1" si="100"/>
        <v>VIGENTE</v>
      </c>
      <c r="KQ30" s="5"/>
      <c r="KR30" s="3">
        <v>45346</v>
      </c>
      <c r="KS30" s="4">
        <f>DATE(YEAR(KR30)+5,MONTH(KR30),DAY(KR30))</f>
        <v>47173</v>
      </c>
      <c r="KT30" s="8">
        <f ca="1">KS30-TODAY()</f>
        <v>1028</v>
      </c>
      <c r="KU30" s="5" t="str">
        <f t="shared" ca="1" si="137"/>
        <v>VIGENTE</v>
      </c>
      <c r="KV30" s="2"/>
      <c r="KW30" s="6"/>
      <c r="KX30" s="4"/>
      <c r="KY30" s="8"/>
      <c r="KZ30" s="5" t="str">
        <f t="shared" si="151"/>
        <v>NO APLICA</v>
      </c>
      <c r="LA30" s="5"/>
      <c r="LB30" s="4">
        <v>44603</v>
      </c>
      <c r="LC30" s="4">
        <f>DATE(YEAR(LB30)+5,MONTH(LB30),DAY(LB30))</f>
        <v>46429</v>
      </c>
      <c r="LD30" s="8">
        <f ca="1">LC30-TODAY()</f>
        <v>284</v>
      </c>
      <c r="LE30" s="5" t="str">
        <f t="shared" ca="1" si="138"/>
        <v>VIGENTE</v>
      </c>
      <c r="LF30" s="6"/>
      <c r="LG30" s="6"/>
      <c r="LH30" s="4"/>
      <c r="LI30" s="8"/>
      <c r="LJ30" s="5" t="str">
        <f t="shared" si="101"/>
        <v>NO APLICA</v>
      </c>
      <c r="LK30" s="5"/>
      <c r="LL30" s="5"/>
      <c r="LM30" s="4"/>
      <c r="LN30" s="8"/>
      <c r="LO30" s="5" t="str">
        <f t="shared" si="152"/>
        <v>NO APLICA</v>
      </c>
      <c r="LP30" s="5"/>
      <c r="LQ30" s="6"/>
      <c r="LR30" s="4"/>
      <c r="LS30" s="8"/>
      <c r="LT30" s="5" t="str">
        <f t="shared" si="139"/>
        <v>NO APLICA</v>
      </c>
      <c r="LU30" s="4"/>
      <c r="LV30" s="4">
        <v>44986</v>
      </c>
      <c r="LW30" s="4">
        <f>DATE(YEAR(LV30)+5,MONTH(LV30),DAY(LV30))</f>
        <v>46813</v>
      </c>
      <c r="LX30" s="8">
        <f ca="1">LW30-TODAY()</f>
        <v>668</v>
      </c>
      <c r="LY30" s="5" t="str">
        <f t="shared" ca="1" si="140"/>
        <v>VIGENTE</v>
      </c>
      <c r="LZ30" s="4"/>
      <c r="MA30" s="4">
        <v>44988</v>
      </c>
      <c r="MB30" s="4">
        <f>DATE(YEAR(MA30)+5,MONTH(MA30),DAY(MA30))</f>
        <v>46815</v>
      </c>
      <c r="MC30" s="8">
        <f ca="1">MB30-TODAY()</f>
        <v>670</v>
      </c>
      <c r="MD30" s="5" t="str">
        <f t="shared" ca="1" si="141"/>
        <v>VIGENTE</v>
      </c>
      <c r="ME30" s="5"/>
      <c r="MF30" s="5"/>
      <c r="MG30" s="4"/>
      <c r="MH30" s="8"/>
      <c r="MI30" s="5" t="str">
        <f t="shared" si="102"/>
        <v>NO APLICA</v>
      </c>
      <c r="MJ30" s="5"/>
      <c r="MK30" s="5"/>
      <c r="ML30" s="4"/>
      <c r="MM30" s="8"/>
      <c r="MN30" s="5" t="str">
        <f t="shared" si="103"/>
        <v>NO APLICA</v>
      </c>
      <c r="MO30" s="5"/>
      <c r="MP30" s="5"/>
      <c r="MQ30" s="4"/>
      <c r="MR30" s="8"/>
      <c r="MS30" s="5" t="str">
        <f t="shared" si="104"/>
        <v>NO APLICA</v>
      </c>
      <c r="MT30" s="5"/>
      <c r="MU30" s="5"/>
      <c r="MV30" s="4"/>
      <c r="MW30" s="5"/>
      <c r="MX30" s="5" t="str">
        <f t="shared" si="105"/>
        <v>NO APLICA</v>
      </c>
      <c r="MY30" s="5"/>
      <c r="MZ30" s="4">
        <v>44834</v>
      </c>
      <c r="NA30" s="4">
        <f>DATE(YEAR(MZ30)+5,MONTH(MZ30),DAY(MZ30))</f>
        <v>46660</v>
      </c>
      <c r="NB30" s="8">
        <f ca="1">NA30-TODAY()</f>
        <v>515</v>
      </c>
      <c r="NC30" s="5" t="str">
        <f t="shared" ca="1" si="106"/>
        <v>VIGENTE</v>
      </c>
      <c r="ND30" s="5"/>
      <c r="NE30" s="4">
        <v>44835</v>
      </c>
      <c r="NF30" s="4">
        <f>DATE(YEAR(NE30)+5,MONTH(NE30),DAY(NE30))</f>
        <v>46661</v>
      </c>
      <c r="NG30" s="8">
        <f ca="1">NF30-TODAY()</f>
        <v>516</v>
      </c>
      <c r="NH30" s="5" t="str">
        <f t="shared" ca="1" si="107"/>
        <v>VIGENTE</v>
      </c>
      <c r="NI30" s="5"/>
      <c r="NJ30" s="6"/>
      <c r="NK30" s="4"/>
      <c r="NL30" s="8"/>
      <c r="NM30" s="5" t="str">
        <f t="shared" si="108"/>
        <v>NO APLICA</v>
      </c>
      <c r="NN30" s="3"/>
      <c r="NO30" s="4">
        <v>45001</v>
      </c>
      <c r="NP30" s="4">
        <f>DATE(YEAR(NO30)+5,MONTH(NO30),DAY(NO30))</f>
        <v>46828</v>
      </c>
      <c r="NQ30" s="8">
        <f ca="1">NP30-TODAY()</f>
        <v>683</v>
      </c>
      <c r="NR30" s="5" t="str">
        <f t="shared" ca="1" si="109"/>
        <v>VIGENTE</v>
      </c>
      <c r="NS30" s="5"/>
      <c r="NT30" s="5"/>
      <c r="NU30" s="5"/>
      <c r="NV30" s="5"/>
      <c r="NW30" s="5" t="str">
        <f t="shared" si="110"/>
        <v>NO APLICA</v>
      </c>
      <c r="NX30" s="6"/>
      <c r="NY30" s="6"/>
      <c r="NZ30" s="4"/>
      <c r="OA30" s="8"/>
      <c r="OB30" s="5" t="str">
        <f t="shared" si="111"/>
        <v>NO APLICA</v>
      </c>
      <c r="OC30" s="4"/>
      <c r="OD30" s="4"/>
      <c r="OE30" s="4"/>
      <c r="OF30" s="8"/>
      <c r="OG30" s="5" t="str">
        <f t="shared" si="112"/>
        <v>NO APLICA</v>
      </c>
      <c r="OH30" s="5"/>
      <c r="OI30" s="5"/>
      <c r="OJ30" s="4"/>
      <c r="OK30" s="8"/>
      <c r="OL30" s="5" t="str">
        <f t="shared" si="113"/>
        <v>NO APLICA</v>
      </c>
      <c r="OM30" s="6"/>
      <c r="ON30" s="6"/>
      <c r="OO30" s="6"/>
      <c r="OP30" s="6"/>
      <c r="OQ30" s="5" t="str">
        <f t="shared" si="114"/>
        <v>NO APLICA</v>
      </c>
      <c r="OR30" s="6"/>
      <c r="OS30" s="6"/>
      <c r="OT30" s="6"/>
      <c r="OU30" s="6"/>
      <c r="OV30" s="5" t="str">
        <f t="shared" si="115"/>
        <v>NO APLICA</v>
      </c>
      <c r="OW30" s="6"/>
      <c r="OX30" s="6"/>
      <c r="OY30" s="6"/>
      <c r="OZ30" s="6"/>
      <c r="PA30" s="5" t="str">
        <f t="shared" si="116"/>
        <v>NO APLICA</v>
      </c>
      <c r="PB30" s="6"/>
      <c r="PC30" s="6"/>
      <c r="PD30" s="6"/>
      <c r="PE30" s="6"/>
      <c r="PF30" s="5" t="str">
        <f t="shared" si="117"/>
        <v>NO APLICA</v>
      </c>
      <c r="PG30" s="6"/>
      <c r="PH30" s="6"/>
      <c r="PI30" s="6"/>
      <c r="PJ30" s="6"/>
      <c r="PK30" s="5" t="str">
        <f t="shared" si="118"/>
        <v>NO APLICA</v>
      </c>
      <c r="PL30" s="5"/>
      <c r="PM30" s="6"/>
      <c r="PN30" s="4"/>
      <c r="PO30" s="8"/>
      <c r="PP30" s="5" t="str">
        <f t="shared" si="119"/>
        <v>NO APLICA</v>
      </c>
      <c r="PQ30" s="6"/>
      <c r="PR30" s="6"/>
      <c r="PS30" s="6"/>
      <c r="PT30" s="6"/>
      <c r="PU30" s="5" t="str">
        <f t="shared" si="120"/>
        <v>NO APLICA</v>
      </c>
      <c r="PV30" s="5"/>
      <c r="PW30" s="6"/>
      <c r="PX30" s="6"/>
      <c r="PY30" s="6"/>
      <c r="PZ30" s="5" t="str">
        <f t="shared" si="121"/>
        <v>NO APLICA</v>
      </c>
    </row>
    <row r="31" spans="1:442" ht="15.6" hidden="1" thickTop="1" thickBot="1" x14ac:dyDescent="0.35">
      <c r="A31" s="26">
        <v>28</v>
      </c>
      <c r="B31" s="27">
        <v>1593</v>
      </c>
      <c r="C31" s="28" t="s">
        <v>156</v>
      </c>
      <c r="D31" s="29" t="s">
        <v>157</v>
      </c>
      <c r="E31" s="30" t="s">
        <v>158</v>
      </c>
      <c r="F31" s="5"/>
      <c r="G31" s="6"/>
      <c r="H31" s="4"/>
      <c r="I31" s="8"/>
      <c r="J31" s="5" t="str">
        <f t="shared" si="0"/>
        <v>NO APLICA</v>
      </c>
      <c r="K31" s="5"/>
      <c r="L31" s="6"/>
      <c r="M31" s="6"/>
      <c r="N31" s="8"/>
      <c r="O31" s="5" t="str">
        <f t="shared" si="1"/>
        <v>NO APLICA</v>
      </c>
      <c r="P31" s="6"/>
      <c r="Q31" s="6"/>
      <c r="R31" s="4"/>
      <c r="S31" s="8"/>
      <c r="T31" s="5" t="str">
        <f t="shared" si="122"/>
        <v>NO APLICA</v>
      </c>
      <c r="U31" s="5"/>
      <c r="V31" s="2" t="s">
        <v>159</v>
      </c>
      <c r="W31" s="4">
        <v>44590</v>
      </c>
      <c r="X31" s="4">
        <f t="shared" si="2"/>
        <v>46416</v>
      </c>
      <c r="Y31" s="8">
        <f t="shared" ca="1" si="3"/>
        <v>271</v>
      </c>
      <c r="Z31" s="5" t="str">
        <f t="shared" ca="1" si="4"/>
        <v>VIGENTE</v>
      </c>
      <c r="AA31" s="5"/>
      <c r="AB31" s="2" t="s">
        <v>160</v>
      </c>
      <c r="AC31" s="4">
        <v>45192</v>
      </c>
      <c r="AD31" s="4">
        <f t="shared" si="191"/>
        <v>47019</v>
      </c>
      <c r="AE31" s="8">
        <f t="shared" ca="1" si="192"/>
        <v>874</v>
      </c>
      <c r="AF31" s="5" t="str">
        <f t="shared" ca="1" si="7"/>
        <v>VIGENTE</v>
      </c>
      <c r="AG31" s="3"/>
      <c r="AH31" s="4">
        <v>45902</v>
      </c>
      <c r="AI31" s="4">
        <f>DATE(YEAR(AH31)+2,MONTH(AH31),DAY(AH31))</f>
        <v>46632</v>
      </c>
      <c r="AJ31" s="8">
        <f t="shared" ca="1" si="8"/>
        <v>487</v>
      </c>
      <c r="AK31" s="5" t="str">
        <f t="shared" ca="1" si="9"/>
        <v>VIGENTE</v>
      </c>
      <c r="AL31" s="3"/>
      <c r="AM31" s="4">
        <v>45937</v>
      </c>
      <c r="AN31" s="4">
        <f t="shared" si="193"/>
        <v>46667</v>
      </c>
      <c r="AO31" s="8">
        <f t="shared" ca="1" si="10"/>
        <v>522</v>
      </c>
      <c r="AP31" s="5" t="str">
        <f t="shared" ca="1" si="11"/>
        <v>VIGENTE</v>
      </c>
      <c r="AQ31" s="3"/>
      <c r="AR31" s="4">
        <v>45887</v>
      </c>
      <c r="AS31" s="4">
        <f>DATE(YEAR(AR31)+2,MONTH(AR31),DAY(AR31))</f>
        <v>46617</v>
      </c>
      <c r="AT31" s="8">
        <f t="shared" ca="1" si="12"/>
        <v>472</v>
      </c>
      <c r="AU31" s="5" t="str">
        <f t="shared" ca="1" si="13"/>
        <v>VIGENTE</v>
      </c>
      <c r="AV31" s="3"/>
      <c r="AW31" s="4">
        <v>45927</v>
      </c>
      <c r="AX31" s="4">
        <f t="shared" si="194"/>
        <v>46657</v>
      </c>
      <c r="AY31" s="8">
        <f t="shared" ca="1" si="15"/>
        <v>512</v>
      </c>
      <c r="AZ31" s="5" t="str">
        <f t="shared" ca="1" si="16"/>
        <v>VIGENTE</v>
      </c>
      <c r="BA31" s="3"/>
      <c r="BB31" s="4">
        <v>45943</v>
      </c>
      <c r="BC31" s="4">
        <f>DATE(YEAR(BB31)+2,MONTH(BB31),DAY(BB31))</f>
        <v>46673</v>
      </c>
      <c r="BD31" s="8">
        <f t="shared" ca="1" si="17"/>
        <v>528</v>
      </c>
      <c r="BE31" s="5" t="str">
        <f t="shared" ca="1" si="18"/>
        <v>VIGENTE</v>
      </c>
      <c r="BF31" s="3"/>
      <c r="BG31" s="4">
        <v>45997</v>
      </c>
      <c r="BH31" s="4">
        <f t="shared" si="195"/>
        <v>46727</v>
      </c>
      <c r="BI31" s="8">
        <f t="shared" ca="1" si="19"/>
        <v>582</v>
      </c>
      <c r="BJ31" s="5" t="str">
        <f t="shared" ca="1" si="20"/>
        <v>VIGENTE</v>
      </c>
      <c r="BK31" s="3"/>
      <c r="BL31" s="4">
        <v>46051</v>
      </c>
      <c r="BM31" s="4">
        <f t="shared" si="196"/>
        <v>46781</v>
      </c>
      <c r="BN31" s="8">
        <f t="shared" ca="1" si="21"/>
        <v>636</v>
      </c>
      <c r="BO31" s="5" t="str">
        <f t="shared" ca="1" si="22"/>
        <v>VIGENTE</v>
      </c>
      <c r="BP31" s="3"/>
      <c r="BQ31" s="39">
        <v>45470</v>
      </c>
      <c r="BR31" s="4">
        <f>DATE(YEAR(BQ31)+2,MONTH(BQ31),DAY(BQ31)-1)</f>
        <v>46199</v>
      </c>
      <c r="BS31" s="8">
        <f t="shared" ca="1" si="23"/>
        <v>54</v>
      </c>
      <c r="BT31" s="5" t="str">
        <f t="shared" ca="1" si="24"/>
        <v>POR VENCER</v>
      </c>
      <c r="BU31" s="3"/>
      <c r="BV31" s="4">
        <v>45950</v>
      </c>
      <c r="BW31" s="4">
        <f>DATE(YEAR(BV31)+2,MONTH(BV31),DAY(BV31))</f>
        <v>46680</v>
      </c>
      <c r="BX31" s="8">
        <f t="shared" ca="1" si="25"/>
        <v>535</v>
      </c>
      <c r="BY31" s="5" t="str">
        <f t="shared" ca="1" si="26"/>
        <v>VIGENTE</v>
      </c>
      <c r="BZ31" s="3"/>
      <c r="CA31" s="4">
        <v>45944</v>
      </c>
      <c r="CB31" s="4">
        <f>DATE(YEAR(CA31)+2,MONTH(CA31),DAY(CA31))</f>
        <v>46674</v>
      </c>
      <c r="CC31" s="8">
        <f t="shared" ca="1" si="27"/>
        <v>529</v>
      </c>
      <c r="CD31" s="5" t="str">
        <f t="shared" ca="1" si="28"/>
        <v>VIGENTE</v>
      </c>
      <c r="CE31" s="6"/>
      <c r="CF31" s="4">
        <v>45828</v>
      </c>
      <c r="CG31" s="4">
        <f t="shared" si="29"/>
        <v>47289</v>
      </c>
      <c r="CH31" s="8">
        <f t="shared" ca="1" si="30"/>
        <v>1144</v>
      </c>
      <c r="CI31" s="5" t="str">
        <f t="shared" ca="1" si="31"/>
        <v>VIGENTE</v>
      </c>
      <c r="CJ31" s="4"/>
      <c r="CK31" s="4">
        <v>45929</v>
      </c>
      <c r="CL31" s="4">
        <f>DATE(YEAR(CK31)+2,MONTH(CK31),DAY(CK31))</f>
        <v>46659</v>
      </c>
      <c r="CM31" s="8">
        <f t="shared" ca="1" si="32"/>
        <v>514</v>
      </c>
      <c r="CN31" s="5" t="str">
        <f t="shared" ca="1" si="33"/>
        <v>VIGENTE</v>
      </c>
      <c r="CO31" s="3"/>
      <c r="CP31" s="39">
        <v>45888</v>
      </c>
      <c r="CQ31" s="4">
        <f>DATE(YEAR(CP31)+2,MONTH(CP31),DAY(CP31))</f>
        <v>46618</v>
      </c>
      <c r="CR31" s="8">
        <f t="shared" ca="1" si="34"/>
        <v>473</v>
      </c>
      <c r="CS31" s="5" t="str">
        <f t="shared" ca="1" si="35"/>
        <v>VIGENTE</v>
      </c>
      <c r="CT31" s="3"/>
      <c r="CU31" s="4">
        <v>45905</v>
      </c>
      <c r="CV31" s="4">
        <f>DATE(YEAR(CU31)+2,MONTH(CU31),DAY(CU31))</f>
        <v>46635</v>
      </c>
      <c r="CW31" s="8">
        <f t="shared" ca="1" si="36"/>
        <v>490</v>
      </c>
      <c r="CX31" s="5" t="str">
        <f t="shared" ca="1" si="37"/>
        <v>VIGENTE</v>
      </c>
      <c r="CY31" s="3"/>
      <c r="CZ31" s="4">
        <v>45924</v>
      </c>
      <c r="DA31" s="4">
        <f>DATE(YEAR(CZ31)+2,MONTH(CZ31),DAY(CZ31))</f>
        <v>46654</v>
      </c>
      <c r="DB31" s="8">
        <f t="shared" ca="1" si="38"/>
        <v>509</v>
      </c>
      <c r="DC31" s="5" t="str">
        <f t="shared" ca="1" si="39"/>
        <v>VIGENTE</v>
      </c>
      <c r="DD31" s="3"/>
      <c r="DE31" s="39">
        <v>46123</v>
      </c>
      <c r="DF31" s="4">
        <f t="shared" si="188"/>
        <v>46853</v>
      </c>
      <c r="DG31" s="8">
        <f t="shared" ca="1" si="40"/>
        <v>708</v>
      </c>
      <c r="DH31" s="5" t="str">
        <f t="shared" ca="1" si="41"/>
        <v>VIGENTE</v>
      </c>
      <c r="DI31" s="3"/>
      <c r="DJ31" s="39">
        <v>45975</v>
      </c>
      <c r="DK31" s="4">
        <f>DATE(YEAR(DJ31)+2,MONTH(DJ31),DAY(DJ31))</f>
        <v>46705</v>
      </c>
      <c r="DL31" s="8">
        <f t="shared" ca="1" si="43"/>
        <v>560</v>
      </c>
      <c r="DM31" s="5" t="str">
        <f t="shared" ca="1" si="44"/>
        <v>VIGENTE</v>
      </c>
      <c r="DN31" s="3"/>
      <c r="DO31" s="4">
        <v>45731</v>
      </c>
      <c r="DP31" s="4">
        <f>DATE(YEAR(DO31)+2,MONTH(DO31),DAY(DO31)-1)</f>
        <v>46460</v>
      </c>
      <c r="DQ31" s="8">
        <f t="shared" ca="1" si="46"/>
        <v>315</v>
      </c>
      <c r="DR31" s="5" t="str">
        <f t="shared" ca="1" si="47"/>
        <v>VIGENTE</v>
      </c>
      <c r="DS31" s="3"/>
      <c r="DT31" s="4">
        <v>45885</v>
      </c>
      <c r="DU31" s="4">
        <f>DATE(YEAR(DT31)+2,MONTH(DT31),DAY(DT31))</f>
        <v>46615</v>
      </c>
      <c r="DV31" s="8">
        <f t="shared" ca="1" si="48"/>
        <v>470</v>
      </c>
      <c r="DW31" s="5" t="str">
        <f t="shared" ca="1" si="49"/>
        <v>VIGENTE</v>
      </c>
      <c r="DX31" s="3"/>
      <c r="DY31" s="4">
        <v>45934</v>
      </c>
      <c r="DZ31" s="4">
        <f>DATE(YEAR(DY31)+2,MONTH(DY31),DAY(DY31))</f>
        <v>46664</v>
      </c>
      <c r="EA31" s="8">
        <f t="shared" ca="1" si="50"/>
        <v>519</v>
      </c>
      <c r="EB31" s="5" t="str">
        <f t="shared" ca="1" si="51"/>
        <v>VIGENTE</v>
      </c>
      <c r="EC31" s="3"/>
      <c r="ED31" s="39">
        <v>45938</v>
      </c>
      <c r="EE31" s="4">
        <f>DATE(YEAR(ED31)+2,MONTH(ED31),DAY(ED31))</f>
        <v>46668</v>
      </c>
      <c r="EF31" s="8">
        <f t="shared" ca="1" si="52"/>
        <v>523</v>
      </c>
      <c r="EG31" s="5" t="str">
        <f t="shared" ca="1" si="53"/>
        <v>VIGENTE</v>
      </c>
      <c r="EH31" s="3"/>
      <c r="EI31" s="3">
        <v>45911</v>
      </c>
      <c r="EJ31" s="4">
        <f t="shared" si="131"/>
        <v>46276</v>
      </c>
      <c r="EK31" s="8">
        <f t="shared" ca="1" si="54"/>
        <v>131</v>
      </c>
      <c r="EL31" s="5" t="str">
        <f t="shared" ca="1" si="55"/>
        <v>VIGENTE</v>
      </c>
      <c r="EM31" s="3"/>
      <c r="EN31" s="4">
        <v>46100</v>
      </c>
      <c r="EO31" s="4">
        <f>DATE(YEAR(EN31)+2,MONTH(EN31),DAY(EN31))</f>
        <v>46831</v>
      </c>
      <c r="EP31" s="8">
        <f t="shared" ca="1" si="56"/>
        <v>686</v>
      </c>
      <c r="EQ31" s="5" t="str">
        <f t="shared" ca="1" si="57"/>
        <v>VIGENTE</v>
      </c>
      <c r="ER31" s="3"/>
      <c r="ES31" s="39">
        <v>45922</v>
      </c>
      <c r="ET31" s="4">
        <f>DATE(YEAR(ES31)+2,MONTH(ES31),DAY(ES31))</f>
        <v>46652</v>
      </c>
      <c r="EU31" s="8">
        <f t="shared" ca="1" si="58"/>
        <v>507</v>
      </c>
      <c r="EV31" s="5" t="str">
        <f t="shared" ca="1" si="59"/>
        <v>VIGENTE</v>
      </c>
      <c r="EW31" s="3"/>
      <c r="EX31" s="4">
        <v>45917</v>
      </c>
      <c r="EY31" s="4">
        <f t="shared" si="197"/>
        <v>46647</v>
      </c>
      <c r="EZ31" s="8">
        <f t="shared" ca="1" si="60"/>
        <v>502</v>
      </c>
      <c r="FA31" s="5" t="str">
        <f t="shared" ca="1" si="61"/>
        <v>VIGENTE</v>
      </c>
      <c r="FB31" s="3"/>
      <c r="FC31" s="4">
        <v>45931</v>
      </c>
      <c r="FD31" s="4">
        <f t="shared" si="198"/>
        <v>46661</v>
      </c>
      <c r="FE31" s="8">
        <f t="shared" ca="1" si="62"/>
        <v>516</v>
      </c>
      <c r="FF31" s="5" t="str">
        <f t="shared" ca="1" si="63"/>
        <v>VIGENTE</v>
      </c>
      <c r="FG31" s="3"/>
      <c r="FH31" s="4">
        <v>45932</v>
      </c>
      <c r="FI31" s="4">
        <f t="shared" si="199"/>
        <v>46662</v>
      </c>
      <c r="FJ31" s="8">
        <f t="shared" ca="1" si="64"/>
        <v>517</v>
      </c>
      <c r="FK31" s="5" t="str">
        <f t="shared" ca="1" si="65"/>
        <v>VIGENTE</v>
      </c>
      <c r="FL31" s="3"/>
      <c r="FM31" s="39">
        <v>45920</v>
      </c>
      <c r="FN31" s="4">
        <f>DATE(YEAR(FM31)+2,MONTH(FM31),DAY(FM31))</f>
        <v>46650</v>
      </c>
      <c r="FO31" s="8">
        <f t="shared" ca="1" si="67"/>
        <v>505</v>
      </c>
      <c r="FP31" s="5" t="str">
        <f t="shared" ca="1" si="68"/>
        <v>VIGENTE</v>
      </c>
      <c r="FQ31" s="3"/>
      <c r="FR31" s="39">
        <v>46122</v>
      </c>
      <c r="FS31" s="4">
        <f t="shared" si="190"/>
        <v>46852</v>
      </c>
      <c r="FT31" s="8">
        <f t="shared" ca="1" si="69"/>
        <v>707</v>
      </c>
      <c r="FU31" s="5" t="str">
        <f t="shared" ca="1" si="70"/>
        <v>VIGENTE</v>
      </c>
      <c r="FV31" s="3"/>
      <c r="FW31" s="4">
        <v>45941</v>
      </c>
      <c r="FX31" s="4">
        <f>DATE(YEAR(FW31)+2,MONTH(FW31),DAY(FW31))</f>
        <v>46671</v>
      </c>
      <c r="FY31" s="8">
        <f t="shared" ca="1" si="71"/>
        <v>526</v>
      </c>
      <c r="FZ31" s="5" t="str">
        <f t="shared" ca="1" si="72"/>
        <v>VIGENTE</v>
      </c>
      <c r="GA31" s="3"/>
      <c r="GB31" s="4">
        <v>45925</v>
      </c>
      <c r="GC31" s="4">
        <f>DATE(YEAR(GB31)+2,MONTH(GB31),DAY(GB31))</f>
        <v>46655</v>
      </c>
      <c r="GD31" s="8">
        <f t="shared" ca="1" si="73"/>
        <v>510</v>
      </c>
      <c r="GE31" s="5" t="str">
        <f t="shared" ca="1" si="74"/>
        <v>VIGENTE</v>
      </c>
      <c r="GF31" s="3"/>
      <c r="GG31" s="4">
        <v>45472</v>
      </c>
      <c r="GH31" s="4">
        <f t="shared" si="189"/>
        <v>46201</v>
      </c>
      <c r="GI31" s="8">
        <f t="shared" ca="1" si="75"/>
        <v>56</v>
      </c>
      <c r="GJ31" s="5" t="str">
        <f t="shared" ca="1" si="76"/>
        <v>POR VENCER</v>
      </c>
      <c r="GK31" s="3"/>
      <c r="GL31" s="4">
        <v>45945</v>
      </c>
      <c r="GM31" s="4">
        <f>DATE(YEAR(GL31)+2,MONTH(GL31),DAY(GL31))</f>
        <v>46675</v>
      </c>
      <c r="GN31" s="8">
        <f t="shared" ca="1" si="77"/>
        <v>530</v>
      </c>
      <c r="GO31" s="5" t="str">
        <f t="shared" ca="1" si="78"/>
        <v>VIGENTE</v>
      </c>
      <c r="GP31" s="4"/>
      <c r="GQ31" s="4">
        <v>45017</v>
      </c>
      <c r="GR31" s="4">
        <f t="shared" si="79"/>
        <v>46844</v>
      </c>
      <c r="GS31" s="8">
        <f t="shared" ca="1" si="176"/>
        <v>699</v>
      </c>
      <c r="GT31" s="5" t="str">
        <f t="shared" ca="1" si="81"/>
        <v>VIGENTE</v>
      </c>
      <c r="GU31" s="3"/>
      <c r="GV31" s="4">
        <v>45010</v>
      </c>
      <c r="GW31" s="4">
        <f t="shared" si="82"/>
        <v>46837</v>
      </c>
      <c r="GX31" s="8">
        <f t="shared" ca="1" si="83"/>
        <v>692</v>
      </c>
      <c r="GY31" s="5" t="str">
        <f t="shared" ca="1" si="84"/>
        <v>VIGENTE</v>
      </c>
      <c r="GZ31" s="2"/>
      <c r="HA31" s="4">
        <v>45016</v>
      </c>
      <c r="HB31" s="4">
        <f t="shared" si="85"/>
        <v>46843</v>
      </c>
      <c r="HC31" s="8">
        <f t="shared" ca="1" si="86"/>
        <v>698</v>
      </c>
      <c r="HD31" s="5" t="str">
        <f t="shared" ca="1" si="87"/>
        <v>VIGENTE</v>
      </c>
      <c r="HE31" s="6"/>
      <c r="HF31" s="4">
        <v>44956</v>
      </c>
      <c r="HG31" s="4">
        <f t="shared" si="200"/>
        <v>46782</v>
      </c>
      <c r="HH31" s="8">
        <f t="shared" ca="1" si="201"/>
        <v>637</v>
      </c>
      <c r="HI31" s="5" t="str">
        <f t="shared" ca="1" si="187"/>
        <v>VIGENTE</v>
      </c>
      <c r="HJ31" s="2"/>
      <c r="HK31" s="6"/>
      <c r="HL31" s="4"/>
      <c r="HM31" s="8"/>
      <c r="HN31" s="5" t="str">
        <f>IF(HM31&gt;=61,"VIGENTE",IF(HM31&gt;=1,"POR VENCER",IF(HM31&lt;=-1,"PROGRAMAR",IF(HK31=0,"NO APLICA"))))</f>
        <v>NO APLICA</v>
      </c>
      <c r="HO31" s="2"/>
      <c r="HP31" s="2"/>
      <c r="HQ31" s="4"/>
      <c r="HR31" s="2"/>
      <c r="HS31" s="5" t="str">
        <f t="shared" si="92"/>
        <v>NO APLICA</v>
      </c>
      <c r="HT31" s="2"/>
      <c r="HU31" s="6"/>
      <c r="HV31" s="4"/>
      <c r="HW31" s="8"/>
      <c r="HX31" s="5" t="str">
        <f t="shared" si="93"/>
        <v>NO APLICA</v>
      </c>
      <c r="HY31" s="2"/>
      <c r="HZ31" s="6"/>
      <c r="IA31" s="4"/>
      <c r="IB31" s="8"/>
      <c r="IC31" s="5" t="str">
        <f t="shared" si="94"/>
        <v>NO APLICA</v>
      </c>
      <c r="ID31" s="2"/>
      <c r="IE31" s="6"/>
      <c r="IF31" s="4"/>
      <c r="IG31" s="8"/>
      <c r="IH31" s="5" t="str">
        <f t="shared" si="95"/>
        <v>NO APLICA</v>
      </c>
      <c r="II31" s="6"/>
      <c r="IJ31" s="6"/>
      <c r="IK31" s="4"/>
      <c r="IL31" s="8"/>
      <c r="IM31" s="5" t="str">
        <f t="shared" si="96"/>
        <v>NO APLICA</v>
      </c>
      <c r="IN31" s="2"/>
      <c r="IO31" s="6"/>
      <c r="IP31" s="4"/>
      <c r="IQ31" s="8"/>
      <c r="IR31" s="5" t="str">
        <f t="shared" si="97"/>
        <v>NO APLICA</v>
      </c>
      <c r="IS31" s="2"/>
      <c r="IT31" s="6"/>
      <c r="IU31" s="4"/>
      <c r="IV31" s="8"/>
      <c r="IW31" s="5" t="str">
        <f t="shared" si="98"/>
        <v>NO APLICA</v>
      </c>
      <c r="IX31" s="2"/>
      <c r="IY31" s="6"/>
      <c r="IZ31" s="4"/>
      <c r="JA31" s="8"/>
      <c r="JB31" s="5" t="str">
        <f t="shared" si="99"/>
        <v>NO APLICA</v>
      </c>
      <c r="JC31" s="3" t="s">
        <v>780</v>
      </c>
      <c r="JD31" s="3"/>
      <c r="JE31" s="4"/>
      <c r="JF31" s="8"/>
      <c r="JG31" s="5"/>
      <c r="JH31" s="3" t="s">
        <v>780</v>
      </c>
      <c r="JI31" s="6"/>
      <c r="JJ31" s="6"/>
      <c r="JK31" s="6"/>
      <c r="JL31" s="5"/>
      <c r="JM31" s="6" t="s">
        <v>780</v>
      </c>
      <c r="JN31" s="6"/>
      <c r="JO31" s="6"/>
      <c r="JP31" s="6"/>
      <c r="JQ31" s="5"/>
      <c r="JR31" s="6" t="s">
        <v>780</v>
      </c>
      <c r="JS31" s="6"/>
      <c r="JT31" s="6"/>
      <c r="JU31" s="6"/>
      <c r="JV31" s="5"/>
      <c r="JW31" s="6" t="s">
        <v>780</v>
      </c>
      <c r="JX31" s="5"/>
      <c r="JY31" s="5"/>
      <c r="JZ31" s="5"/>
      <c r="KA31" s="5"/>
      <c r="KB31" s="5"/>
      <c r="KC31" s="2"/>
      <c r="KD31" s="4"/>
      <c r="KE31" s="8"/>
      <c r="KF31" s="5" t="str">
        <f t="shared" si="135"/>
        <v>NO APLICA</v>
      </c>
      <c r="KG31" s="5"/>
      <c r="KH31" s="2"/>
      <c r="KI31" s="4"/>
      <c r="KJ31" s="8"/>
      <c r="KK31" s="5" t="str">
        <f t="shared" si="136"/>
        <v>NO APLICA</v>
      </c>
      <c r="KL31" s="5"/>
      <c r="KM31" s="2"/>
      <c r="KN31" s="4"/>
      <c r="KO31" s="8"/>
      <c r="KP31" s="5" t="str">
        <f t="shared" si="100"/>
        <v>NO APLICA</v>
      </c>
      <c r="KQ31" s="5"/>
      <c r="KR31" s="2"/>
      <c r="KS31" s="4"/>
      <c r="KT31" s="8"/>
      <c r="KU31" s="5" t="str">
        <f t="shared" si="137"/>
        <v>NO APLICA</v>
      </c>
      <c r="KV31" s="2"/>
      <c r="KW31" s="6"/>
      <c r="KX31" s="4"/>
      <c r="KY31" s="8"/>
      <c r="KZ31" s="5" t="str">
        <f t="shared" si="151"/>
        <v>NO APLICA</v>
      </c>
      <c r="LA31" s="5"/>
      <c r="LB31" s="6"/>
      <c r="LC31" s="4"/>
      <c r="LD31" s="8"/>
      <c r="LE31" s="5" t="str">
        <f t="shared" si="138"/>
        <v>NO APLICA</v>
      </c>
      <c r="LF31" s="6"/>
      <c r="LG31" s="6"/>
      <c r="LH31" s="4"/>
      <c r="LI31" s="8"/>
      <c r="LJ31" s="5" t="str">
        <f t="shared" si="101"/>
        <v>NO APLICA</v>
      </c>
      <c r="LK31" s="5"/>
      <c r="LL31" s="5"/>
      <c r="LM31" s="5"/>
      <c r="LN31" s="5"/>
      <c r="LO31" s="5" t="str">
        <f t="shared" si="152"/>
        <v>NO APLICA</v>
      </c>
      <c r="LP31" s="2"/>
      <c r="LQ31" s="6"/>
      <c r="LR31" s="4"/>
      <c r="LS31" s="8"/>
      <c r="LT31" s="5" t="str">
        <f t="shared" si="139"/>
        <v>NO APLICA</v>
      </c>
      <c r="LU31" s="6"/>
      <c r="LV31" s="6"/>
      <c r="LW31" s="4"/>
      <c r="LX31" s="8"/>
      <c r="LY31" s="5" t="str">
        <f t="shared" si="140"/>
        <v>NO APLICA</v>
      </c>
      <c r="LZ31" s="6"/>
      <c r="MA31" s="6"/>
      <c r="MB31" s="4"/>
      <c r="MC31" s="8"/>
      <c r="MD31" s="5" t="str">
        <f t="shared" si="141"/>
        <v>NO APLICA</v>
      </c>
      <c r="ME31" s="2"/>
      <c r="MF31" s="2"/>
      <c r="MG31" s="4"/>
      <c r="MH31" s="8"/>
      <c r="MI31" s="5" t="str">
        <f t="shared" si="102"/>
        <v>NO APLICA</v>
      </c>
      <c r="MJ31" s="2"/>
      <c r="MK31" s="2"/>
      <c r="ML31" s="4"/>
      <c r="MM31" s="8"/>
      <c r="MN31" s="5" t="str">
        <f t="shared" si="103"/>
        <v>NO APLICA</v>
      </c>
      <c r="MO31" s="5"/>
      <c r="MP31" s="2"/>
      <c r="MQ31" s="4"/>
      <c r="MR31" s="8"/>
      <c r="MS31" s="5" t="str">
        <f t="shared" si="104"/>
        <v>NO APLICA</v>
      </c>
      <c r="MT31" s="5"/>
      <c r="MU31" s="2"/>
      <c r="MV31" s="4"/>
      <c r="MW31" s="2"/>
      <c r="MX31" s="5" t="str">
        <f t="shared" si="105"/>
        <v>NO APLICA</v>
      </c>
      <c r="MY31" s="2"/>
      <c r="MZ31" s="4">
        <v>44834</v>
      </c>
      <c r="NA31" s="4">
        <f>DATE(YEAR(MZ31)+5,MONTH(MZ31),DAY(MZ31))</f>
        <v>46660</v>
      </c>
      <c r="NB31" s="8">
        <f ca="1">NA31-TODAY()</f>
        <v>515</v>
      </c>
      <c r="NC31" s="5" t="str">
        <f t="shared" ca="1" si="106"/>
        <v>VIGENTE</v>
      </c>
      <c r="ND31" s="2"/>
      <c r="NE31" s="4">
        <v>44835</v>
      </c>
      <c r="NF31" s="4">
        <f>DATE(YEAR(NE31)+5,MONTH(NE31),DAY(NE31))</f>
        <v>46661</v>
      </c>
      <c r="NG31" s="8">
        <f ca="1">NF31-TODAY()</f>
        <v>516</v>
      </c>
      <c r="NH31" s="5" t="str">
        <f t="shared" ca="1" si="107"/>
        <v>VIGENTE</v>
      </c>
      <c r="NI31" s="2"/>
      <c r="NJ31" s="6"/>
      <c r="NK31" s="4"/>
      <c r="NL31" s="8"/>
      <c r="NM31" s="5" t="str">
        <f t="shared" si="108"/>
        <v>NO APLICA</v>
      </c>
      <c r="NN31" s="3"/>
      <c r="NO31" s="3">
        <v>45002</v>
      </c>
      <c r="NP31" s="4">
        <f>DATE(YEAR(NO31)+5,MONTH(NO31),DAY(NO31))</f>
        <v>46829</v>
      </c>
      <c r="NQ31" s="8">
        <f ca="1">NP31-TODAY()</f>
        <v>684</v>
      </c>
      <c r="NR31" s="5" t="str">
        <f t="shared" ca="1" si="109"/>
        <v>VIGENTE</v>
      </c>
      <c r="NS31" s="4"/>
      <c r="NT31" s="4">
        <v>45103</v>
      </c>
      <c r="NU31" s="4">
        <f>DATE(YEAR(NT31)+5,MONTH(NT31),DAY(NT31))</f>
        <v>46930</v>
      </c>
      <c r="NV31" s="8">
        <f ca="1">NU31-TODAY()</f>
        <v>785</v>
      </c>
      <c r="NW31" s="5" t="str">
        <f t="shared" ca="1" si="110"/>
        <v>VIGENTE</v>
      </c>
      <c r="NX31" s="6"/>
      <c r="NY31" s="6"/>
      <c r="NZ31" s="4"/>
      <c r="OA31" s="8"/>
      <c r="OB31" s="5" t="str">
        <f t="shared" si="111"/>
        <v>NO APLICA</v>
      </c>
      <c r="OC31" s="6"/>
      <c r="OD31" s="6"/>
      <c r="OE31" s="6"/>
      <c r="OF31" s="6"/>
      <c r="OG31" s="5" t="str">
        <f t="shared" si="112"/>
        <v>NO APLICA</v>
      </c>
      <c r="OH31" s="6"/>
      <c r="OI31" s="6"/>
      <c r="OJ31" s="4"/>
      <c r="OK31" s="8"/>
      <c r="OL31" s="5" t="str">
        <f t="shared" si="113"/>
        <v>NO APLICA</v>
      </c>
      <c r="OM31" s="6"/>
      <c r="ON31" s="6"/>
      <c r="OO31" s="6"/>
      <c r="OP31" s="6"/>
      <c r="OQ31" s="5" t="str">
        <f t="shared" si="114"/>
        <v>NO APLICA</v>
      </c>
      <c r="OR31" s="6"/>
      <c r="OS31" s="6"/>
      <c r="OT31" s="6"/>
      <c r="OU31" s="6"/>
      <c r="OV31" s="5" t="str">
        <f t="shared" si="115"/>
        <v>NO APLICA</v>
      </c>
      <c r="OW31" s="6"/>
      <c r="OX31" s="6"/>
      <c r="OY31" s="6"/>
      <c r="OZ31" s="6"/>
      <c r="PA31" s="5" t="str">
        <f t="shared" si="116"/>
        <v>NO APLICA</v>
      </c>
      <c r="PB31" s="6"/>
      <c r="PC31" s="6"/>
      <c r="PD31" s="6"/>
      <c r="PE31" s="6"/>
      <c r="PF31" s="5" t="str">
        <f t="shared" si="117"/>
        <v>NO APLICA</v>
      </c>
      <c r="PG31" s="6"/>
      <c r="PH31" s="6"/>
      <c r="PI31" s="6"/>
      <c r="PJ31" s="6"/>
      <c r="PK31" s="5" t="str">
        <f t="shared" si="118"/>
        <v>NO APLICA</v>
      </c>
      <c r="PL31" s="5"/>
      <c r="PM31" s="6"/>
      <c r="PN31" s="4"/>
      <c r="PO31" s="8"/>
      <c r="PP31" s="5" t="str">
        <f t="shared" si="119"/>
        <v>NO APLICA</v>
      </c>
      <c r="PQ31" s="6"/>
      <c r="PR31" s="6"/>
      <c r="PS31" s="6"/>
      <c r="PT31" s="6"/>
      <c r="PU31" s="5" t="str">
        <f t="shared" si="120"/>
        <v>NO APLICA</v>
      </c>
      <c r="PV31" s="5"/>
      <c r="PW31" s="6"/>
      <c r="PX31" s="6"/>
      <c r="PY31" s="6"/>
      <c r="PZ31" s="5" t="str">
        <f t="shared" si="121"/>
        <v>NO APLICA</v>
      </c>
    </row>
    <row r="32" spans="1:442" ht="15.6" hidden="1" thickTop="1" thickBot="1" x14ac:dyDescent="0.35">
      <c r="A32" s="26">
        <v>29</v>
      </c>
      <c r="B32" s="27">
        <v>1157</v>
      </c>
      <c r="C32" s="28" t="s">
        <v>771</v>
      </c>
      <c r="D32" s="29" t="s">
        <v>64</v>
      </c>
      <c r="E32" s="30" t="s">
        <v>161</v>
      </c>
      <c r="F32" s="5"/>
      <c r="G32" s="6"/>
      <c r="H32" s="4"/>
      <c r="I32" s="8"/>
      <c r="J32" s="5" t="str">
        <f t="shared" si="0"/>
        <v>NO APLICA</v>
      </c>
      <c r="K32" s="3"/>
      <c r="L32" s="4">
        <v>46083</v>
      </c>
      <c r="M32" s="4">
        <f>DATE(YEAR(L32),MONTH(L32)+6,DAY(L32)-1)</f>
        <v>46266</v>
      </c>
      <c r="N32" s="8">
        <f ca="1">M32-TODAY()</f>
        <v>121</v>
      </c>
      <c r="O32" s="5" t="str">
        <f t="shared" ca="1" si="1"/>
        <v>VIGENTE</v>
      </c>
      <c r="P32" s="4"/>
      <c r="Q32" s="4">
        <v>45590</v>
      </c>
      <c r="R32" s="4">
        <f>DATE(YEAR(Q32)+2,MONTH(Q32),DAY(Q32)-1)</f>
        <v>46319</v>
      </c>
      <c r="S32" s="8">
        <f ca="1">R32-TODAY()</f>
        <v>174</v>
      </c>
      <c r="T32" s="5" t="str">
        <f t="shared" ca="1" si="122"/>
        <v>VIGENTE</v>
      </c>
      <c r="U32" s="5"/>
      <c r="V32" s="2" t="s">
        <v>162</v>
      </c>
      <c r="W32" s="4">
        <v>44856</v>
      </c>
      <c r="X32" s="4">
        <f t="shared" si="2"/>
        <v>46682</v>
      </c>
      <c r="Y32" s="8">
        <f t="shared" ca="1" si="3"/>
        <v>537</v>
      </c>
      <c r="Z32" s="5" t="str">
        <f t="shared" ca="1" si="4"/>
        <v>VIGENTE</v>
      </c>
      <c r="AA32" s="5"/>
      <c r="AB32" s="2" t="s">
        <v>163</v>
      </c>
      <c r="AC32" s="4">
        <v>45190</v>
      </c>
      <c r="AD32" s="4">
        <f t="shared" si="191"/>
        <v>47017</v>
      </c>
      <c r="AE32" s="8">
        <f t="shared" ca="1" si="192"/>
        <v>872</v>
      </c>
      <c r="AF32" s="5" t="str">
        <f t="shared" ca="1" si="7"/>
        <v>VIGENTE</v>
      </c>
      <c r="AG32" s="3"/>
      <c r="AH32" s="4">
        <v>46085</v>
      </c>
      <c r="AI32" s="4">
        <f>DATE(YEAR(AH32)+2,MONTH(AH32),DAY(AH32))</f>
        <v>46816</v>
      </c>
      <c r="AJ32" s="8">
        <f t="shared" ca="1" si="8"/>
        <v>671</v>
      </c>
      <c r="AK32" s="5" t="str">
        <f t="shared" ca="1" si="9"/>
        <v>VIGENTE</v>
      </c>
      <c r="AL32" s="3"/>
      <c r="AM32" s="4">
        <v>46062</v>
      </c>
      <c r="AN32" s="4">
        <f t="shared" si="193"/>
        <v>46792</v>
      </c>
      <c r="AO32" s="8">
        <f t="shared" ca="1" si="10"/>
        <v>647</v>
      </c>
      <c r="AP32" s="5" t="str">
        <f t="shared" ca="1" si="11"/>
        <v>VIGENTE</v>
      </c>
      <c r="AQ32" s="3"/>
      <c r="AR32" s="4">
        <v>46048</v>
      </c>
      <c r="AS32" s="4">
        <f>DATE(YEAR(AR32)+2,MONTH(AR32),DAY(AR32))</f>
        <v>46778</v>
      </c>
      <c r="AT32" s="8">
        <f t="shared" ca="1" si="12"/>
        <v>633</v>
      </c>
      <c r="AU32" s="5" t="str">
        <f t="shared" ca="1" si="13"/>
        <v>VIGENTE</v>
      </c>
      <c r="AV32" s="3"/>
      <c r="AW32" s="4">
        <v>46070</v>
      </c>
      <c r="AX32" s="4">
        <f t="shared" si="194"/>
        <v>46800</v>
      </c>
      <c r="AY32" s="8">
        <f t="shared" ca="1" si="15"/>
        <v>655</v>
      </c>
      <c r="AZ32" s="5" t="str">
        <f t="shared" ca="1" si="16"/>
        <v>VIGENTE</v>
      </c>
      <c r="BA32" s="3"/>
      <c r="BB32" s="4">
        <v>46071</v>
      </c>
      <c r="BC32" s="4">
        <f>DATE(YEAR(BB32)+2,MONTH(BB32),DAY(BB32))</f>
        <v>46801</v>
      </c>
      <c r="BD32" s="8">
        <f t="shared" ca="1" si="17"/>
        <v>656</v>
      </c>
      <c r="BE32" s="5" t="str">
        <f t="shared" ca="1" si="18"/>
        <v>VIGENTE</v>
      </c>
      <c r="BF32" s="3"/>
      <c r="BG32" s="4">
        <v>46027</v>
      </c>
      <c r="BH32" s="4">
        <f t="shared" si="195"/>
        <v>46757</v>
      </c>
      <c r="BI32" s="8">
        <f t="shared" ca="1" si="19"/>
        <v>612</v>
      </c>
      <c r="BJ32" s="5" t="str">
        <f t="shared" ca="1" si="20"/>
        <v>VIGENTE</v>
      </c>
      <c r="BK32" s="3"/>
      <c r="BL32" s="4">
        <v>46051</v>
      </c>
      <c r="BM32" s="4">
        <f t="shared" si="196"/>
        <v>46781</v>
      </c>
      <c r="BN32" s="8">
        <f t="shared" ca="1" si="21"/>
        <v>636</v>
      </c>
      <c r="BO32" s="5" t="str">
        <f t="shared" ca="1" si="22"/>
        <v>VIGENTE</v>
      </c>
      <c r="BP32" s="3"/>
      <c r="BQ32" s="39">
        <v>45470</v>
      </c>
      <c r="BR32" s="4">
        <f>DATE(YEAR(BQ32)+2,MONTH(BQ32),DAY(BQ32)-1)</f>
        <v>46199</v>
      </c>
      <c r="BS32" s="8">
        <f t="shared" ca="1" si="23"/>
        <v>54</v>
      </c>
      <c r="BT32" s="5" t="str">
        <f t="shared" ca="1" si="24"/>
        <v>POR VENCER</v>
      </c>
      <c r="BU32" s="3"/>
      <c r="BV32" s="4">
        <v>46063</v>
      </c>
      <c r="BW32" s="4">
        <f>DATE(YEAR(BV32)+2,MONTH(BV32),DAY(BV32))</f>
        <v>46793</v>
      </c>
      <c r="BX32" s="8">
        <f t="shared" ca="1" si="25"/>
        <v>648</v>
      </c>
      <c r="BY32" s="5" t="str">
        <f t="shared" ca="1" si="26"/>
        <v>VIGENTE</v>
      </c>
      <c r="BZ32" s="3"/>
      <c r="CA32" s="4">
        <v>45480</v>
      </c>
      <c r="CB32" s="4">
        <f>DATE(YEAR(CA32)+2,MONTH(CA32),DAY(CA32)-1)</f>
        <v>46209</v>
      </c>
      <c r="CC32" s="8">
        <f t="shared" ca="1" si="27"/>
        <v>64</v>
      </c>
      <c r="CD32" s="5" t="str">
        <f t="shared" ca="1" si="28"/>
        <v>POR VENCER</v>
      </c>
      <c r="CE32" s="6"/>
      <c r="CF32" s="4">
        <v>45393</v>
      </c>
      <c r="CG32" s="4">
        <f t="shared" si="29"/>
        <v>46854</v>
      </c>
      <c r="CH32" s="8">
        <f t="shared" ca="1" si="30"/>
        <v>709</v>
      </c>
      <c r="CI32" s="5" t="str">
        <f t="shared" ca="1" si="31"/>
        <v>VIGENTE</v>
      </c>
      <c r="CJ32" s="4"/>
      <c r="CK32" s="4">
        <v>46134</v>
      </c>
      <c r="CL32" s="4">
        <f>DATE(YEAR(CK32)+2,MONTH(CK32),DAY(CK32)-1)</f>
        <v>46864</v>
      </c>
      <c r="CM32" s="8">
        <f t="shared" ca="1" si="32"/>
        <v>719</v>
      </c>
      <c r="CN32" s="5" t="str">
        <f t="shared" ca="1" si="33"/>
        <v>VIGENTE</v>
      </c>
      <c r="CO32" s="3"/>
      <c r="CP32" s="39">
        <v>45481</v>
      </c>
      <c r="CQ32" s="4">
        <f>DATE(YEAR(CP32)+2,MONTH(CP32),DAY(CP32)-1)</f>
        <v>46210</v>
      </c>
      <c r="CR32" s="8">
        <f t="shared" ca="1" si="34"/>
        <v>65</v>
      </c>
      <c r="CS32" s="5" t="str">
        <f t="shared" ca="1" si="35"/>
        <v>POR VENCER</v>
      </c>
      <c r="CT32" s="3"/>
      <c r="CU32" s="4">
        <v>46081</v>
      </c>
      <c r="CV32" s="4">
        <f>DATE(YEAR(CU32)+2,MONTH(CU32),DAY(CU32))</f>
        <v>46811</v>
      </c>
      <c r="CW32" s="8">
        <f t="shared" ca="1" si="36"/>
        <v>666</v>
      </c>
      <c r="CX32" s="5" t="str">
        <f t="shared" ca="1" si="37"/>
        <v>VIGENTE</v>
      </c>
      <c r="CY32" s="3"/>
      <c r="CZ32" s="4">
        <v>46098</v>
      </c>
      <c r="DA32" s="4">
        <f>DATE(YEAR(CZ32)+2,MONTH(CZ32),DAY(CZ32))</f>
        <v>46829</v>
      </c>
      <c r="DB32" s="8">
        <f t="shared" ca="1" si="38"/>
        <v>684</v>
      </c>
      <c r="DC32" s="5" t="str">
        <f t="shared" ca="1" si="39"/>
        <v>VIGENTE</v>
      </c>
      <c r="DD32" s="3"/>
      <c r="DE32" s="39">
        <v>46123</v>
      </c>
      <c r="DF32" s="4">
        <f t="shared" si="188"/>
        <v>46853</v>
      </c>
      <c r="DG32" s="8">
        <f t="shared" ca="1" si="40"/>
        <v>708</v>
      </c>
      <c r="DH32" s="5" t="str">
        <f t="shared" ca="1" si="41"/>
        <v>VIGENTE</v>
      </c>
      <c r="DI32" s="3"/>
      <c r="DJ32" s="39">
        <v>46073</v>
      </c>
      <c r="DK32" s="4">
        <f>DATE(YEAR(DJ32)+2,MONTH(DJ32),DAY(DJ32))</f>
        <v>46803</v>
      </c>
      <c r="DL32" s="8">
        <f t="shared" ca="1" si="43"/>
        <v>658</v>
      </c>
      <c r="DM32" s="5" t="str">
        <f t="shared" ca="1" si="44"/>
        <v>VIGENTE</v>
      </c>
      <c r="DN32" s="3"/>
      <c r="DO32" s="4">
        <v>46128</v>
      </c>
      <c r="DP32" s="4">
        <f>DATE(YEAR(DO32)+2,MONTH(DO32),DAY(DO32)-1)</f>
        <v>46858</v>
      </c>
      <c r="DQ32" s="8">
        <f t="shared" ca="1" si="46"/>
        <v>713</v>
      </c>
      <c r="DR32" s="5" t="str">
        <f t="shared" ca="1" si="47"/>
        <v>VIGENTE</v>
      </c>
      <c r="DS32" s="3"/>
      <c r="DT32" s="4">
        <v>46053</v>
      </c>
      <c r="DU32" s="4">
        <f>DATE(YEAR(DT32)+2,MONTH(DT32),DAY(DT32))</f>
        <v>46783</v>
      </c>
      <c r="DV32" s="8">
        <f t="shared" ca="1" si="48"/>
        <v>638</v>
      </c>
      <c r="DW32" s="5" t="str">
        <f t="shared" ca="1" si="49"/>
        <v>VIGENTE</v>
      </c>
      <c r="DX32" s="3"/>
      <c r="DY32" s="4">
        <v>46099</v>
      </c>
      <c r="DZ32" s="4">
        <f>DATE(YEAR(DY32)+2,MONTH(DY32),DAY(DY32))</f>
        <v>46830</v>
      </c>
      <c r="EA32" s="8">
        <f t="shared" ca="1" si="50"/>
        <v>685</v>
      </c>
      <c r="EB32" s="5" t="str">
        <f t="shared" ca="1" si="51"/>
        <v>VIGENTE</v>
      </c>
      <c r="EC32" s="3"/>
      <c r="ED32" s="39">
        <v>46104</v>
      </c>
      <c r="EE32" s="4">
        <f>DATE(YEAR(ED32)+2,MONTH(ED32),DAY(ED32))</f>
        <v>46835</v>
      </c>
      <c r="EF32" s="8">
        <f t="shared" ca="1" si="52"/>
        <v>690</v>
      </c>
      <c r="EG32" s="5" t="str">
        <f t="shared" ca="1" si="53"/>
        <v>VIGENTE</v>
      </c>
      <c r="EH32" s="3"/>
      <c r="EI32" s="3">
        <v>46060</v>
      </c>
      <c r="EJ32" s="4">
        <f t="shared" si="131"/>
        <v>46425</v>
      </c>
      <c r="EK32" s="8">
        <f t="shared" ca="1" si="54"/>
        <v>280</v>
      </c>
      <c r="EL32" s="5" t="str">
        <f t="shared" ca="1" si="55"/>
        <v>VIGENTE</v>
      </c>
      <c r="EM32" s="3"/>
      <c r="EN32" s="4">
        <v>46100</v>
      </c>
      <c r="EO32" s="4">
        <f>DATE(YEAR(EN32)+2,MONTH(EN32),DAY(EN32))</f>
        <v>46831</v>
      </c>
      <c r="EP32" s="8">
        <f t="shared" ca="1" si="56"/>
        <v>686</v>
      </c>
      <c r="EQ32" s="5" t="str">
        <f t="shared" ca="1" si="57"/>
        <v>VIGENTE</v>
      </c>
      <c r="ER32" s="3"/>
      <c r="ES32" s="39">
        <v>46094</v>
      </c>
      <c r="ET32" s="4">
        <f>DATE(YEAR(ES32)+2,MONTH(ES32),DAY(ES32))</f>
        <v>46825</v>
      </c>
      <c r="EU32" s="8">
        <f t="shared" ca="1" si="58"/>
        <v>680</v>
      </c>
      <c r="EV32" s="5" t="str">
        <f t="shared" ca="1" si="59"/>
        <v>VIGENTE</v>
      </c>
      <c r="EW32" s="3"/>
      <c r="EX32" s="4">
        <v>46086</v>
      </c>
      <c r="EY32" s="4">
        <f t="shared" si="197"/>
        <v>46817</v>
      </c>
      <c r="EZ32" s="8">
        <f t="shared" ca="1" si="60"/>
        <v>672</v>
      </c>
      <c r="FA32" s="5" t="str">
        <f t="shared" ca="1" si="61"/>
        <v>VIGENTE</v>
      </c>
      <c r="FB32" s="3"/>
      <c r="FC32" s="4">
        <v>46091</v>
      </c>
      <c r="FD32" s="4">
        <f t="shared" si="198"/>
        <v>46822</v>
      </c>
      <c r="FE32" s="8">
        <f t="shared" ca="1" si="62"/>
        <v>677</v>
      </c>
      <c r="FF32" s="5" t="str">
        <f t="shared" ca="1" si="63"/>
        <v>VIGENTE</v>
      </c>
      <c r="FG32" s="3"/>
      <c r="FH32" s="4">
        <v>46066</v>
      </c>
      <c r="FI32" s="4">
        <f t="shared" si="199"/>
        <v>46796</v>
      </c>
      <c r="FJ32" s="8">
        <f t="shared" ca="1" si="64"/>
        <v>651</v>
      </c>
      <c r="FK32" s="5" t="str">
        <f t="shared" ca="1" si="65"/>
        <v>VIGENTE</v>
      </c>
      <c r="FL32" s="3"/>
      <c r="FM32" s="39">
        <v>46129</v>
      </c>
      <c r="FN32" s="4">
        <f>DATE(YEAR(FM32)+2,MONTH(FM32),DAY(FM32)-1)</f>
        <v>46859</v>
      </c>
      <c r="FO32" s="8">
        <f t="shared" ca="1" si="67"/>
        <v>714</v>
      </c>
      <c r="FP32" s="5" t="str">
        <f t="shared" ca="1" si="68"/>
        <v>VIGENTE</v>
      </c>
      <c r="FQ32" s="3"/>
      <c r="FR32" s="39">
        <v>46122</v>
      </c>
      <c r="FS32" s="4">
        <f t="shared" si="190"/>
        <v>46852</v>
      </c>
      <c r="FT32" s="8">
        <f t="shared" ca="1" si="69"/>
        <v>707</v>
      </c>
      <c r="FU32" s="5" t="str">
        <f t="shared" ca="1" si="70"/>
        <v>VIGENTE</v>
      </c>
      <c r="FV32" s="3"/>
      <c r="FW32" s="4">
        <v>45587</v>
      </c>
      <c r="FX32" s="4">
        <f>DATE(YEAR(FW32)+2,MONTH(FW32),DAY(FW32)-1)</f>
        <v>46316</v>
      </c>
      <c r="FY32" s="8">
        <f t="shared" ca="1" si="71"/>
        <v>171</v>
      </c>
      <c r="FZ32" s="5" t="str">
        <f t="shared" ca="1" si="72"/>
        <v>VIGENTE</v>
      </c>
      <c r="GA32" s="3"/>
      <c r="GB32" s="4">
        <v>45667</v>
      </c>
      <c r="GC32" s="4">
        <f>DATE(YEAR(GB32)+2,MONTH(GB32),DAY(GB32)-1)</f>
        <v>46396</v>
      </c>
      <c r="GD32" s="8">
        <f t="shared" ca="1" si="73"/>
        <v>251</v>
      </c>
      <c r="GE32" s="5" t="str">
        <f t="shared" ca="1" si="74"/>
        <v>VIGENTE</v>
      </c>
      <c r="GF32" s="3"/>
      <c r="GG32" s="4">
        <v>46036</v>
      </c>
      <c r="GH32" s="4">
        <f>DATE(YEAR(GG32)+2,MONTH(GG32),DAY(GG32))</f>
        <v>46766</v>
      </c>
      <c r="GI32" s="8">
        <f t="shared" ca="1" si="75"/>
        <v>621</v>
      </c>
      <c r="GJ32" s="5" t="str">
        <f t="shared" ca="1" si="76"/>
        <v>VIGENTE</v>
      </c>
      <c r="GK32" s="3"/>
      <c r="GL32" s="4">
        <v>45687</v>
      </c>
      <c r="GM32" s="4">
        <f>DATE(YEAR(GL32)+2,MONTH(GL32),DAY(GL32)-1)</f>
        <v>46416</v>
      </c>
      <c r="GN32" s="8">
        <f t="shared" ca="1" si="77"/>
        <v>271</v>
      </c>
      <c r="GO32" s="5" t="str">
        <f t="shared" ca="1" si="78"/>
        <v>VIGENTE</v>
      </c>
      <c r="GP32" s="4"/>
      <c r="GQ32" s="4">
        <v>45013</v>
      </c>
      <c r="GR32" s="4">
        <f t="shared" si="79"/>
        <v>46840</v>
      </c>
      <c r="GS32" s="8">
        <f t="shared" ca="1" si="176"/>
        <v>695</v>
      </c>
      <c r="GT32" s="5" t="str">
        <f t="shared" ca="1" si="81"/>
        <v>VIGENTE</v>
      </c>
      <c r="GU32" s="3"/>
      <c r="GV32" s="4">
        <v>45006</v>
      </c>
      <c r="GW32" s="4">
        <f t="shared" si="82"/>
        <v>46833</v>
      </c>
      <c r="GX32" s="8">
        <f t="shared" ca="1" si="83"/>
        <v>688</v>
      </c>
      <c r="GY32" s="5" t="str">
        <f t="shared" ca="1" si="84"/>
        <v>VIGENTE</v>
      </c>
      <c r="GZ32" s="2"/>
      <c r="HA32" s="4">
        <v>45016</v>
      </c>
      <c r="HB32" s="4">
        <f t="shared" si="85"/>
        <v>46843</v>
      </c>
      <c r="HC32" s="8">
        <f t="shared" ca="1" si="86"/>
        <v>698</v>
      </c>
      <c r="HD32" s="5" t="str">
        <f t="shared" ca="1" si="87"/>
        <v>VIGENTE</v>
      </c>
      <c r="HE32" s="6"/>
      <c r="HF32" s="4">
        <v>45094</v>
      </c>
      <c r="HG32" s="4">
        <f t="shared" si="200"/>
        <v>46921</v>
      </c>
      <c r="HH32" s="8">
        <f t="shared" ca="1" si="201"/>
        <v>776</v>
      </c>
      <c r="HI32" s="5" t="str">
        <f t="shared" ca="1" si="187"/>
        <v>VIGENTE</v>
      </c>
      <c r="HJ32" s="2"/>
      <c r="HK32" s="6"/>
      <c r="HL32" s="4"/>
      <c r="HM32" s="8"/>
      <c r="HN32" s="5" t="str">
        <f t="shared" ref="HN32:HN48" si="202">IF(HM32&gt;=61,"VIGENTE",IF(HM32&gt;=1,"POR VENCER",IF(HM32&lt;=-1,"VENCIDA",IF(HK32=0,"NO APLICA"))))</f>
        <v>NO APLICA</v>
      </c>
      <c r="HO32" s="2"/>
      <c r="HP32" s="2"/>
      <c r="HQ32" s="4"/>
      <c r="HR32" s="2"/>
      <c r="HS32" s="5" t="str">
        <f t="shared" si="92"/>
        <v>NO APLICA</v>
      </c>
      <c r="HT32" s="2"/>
      <c r="HU32" s="6"/>
      <c r="HV32" s="4"/>
      <c r="HW32" s="8"/>
      <c r="HX32" s="5" t="str">
        <f t="shared" si="93"/>
        <v>NO APLICA</v>
      </c>
      <c r="HY32" s="2"/>
      <c r="HZ32" s="6"/>
      <c r="IA32" s="4"/>
      <c r="IB32" s="8"/>
      <c r="IC32" s="5" t="str">
        <f t="shared" si="94"/>
        <v>NO APLICA</v>
      </c>
      <c r="ID32" s="2"/>
      <c r="IE32" s="6"/>
      <c r="IF32" s="4"/>
      <c r="IG32" s="8"/>
      <c r="IH32" s="5" t="str">
        <f t="shared" si="95"/>
        <v>NO APLICA</v>
      </c>
      <c r="II32" s="6"/>
      <c r="IJ32" s="6"/>
      <c r="IK32" s="4"/>
      <c r="IL32" s="8"/>
      <c r="IM32" s="5" t="str">
        <f t="shared" si="96"/>
        <v>NO APLICA</v>
      </c>
      <c r="IN32" s="2"/>
      <c r="IO32" s="6"/>
      <c r="IP32" s="4"/>
      <c r="IQ32" s="8"/>
      <c r="IR32" s="5" t="str">
        <f t="shared" si="97"/>
        <v>NO APLICA</v>
      </c>
      <c r="IS32" s="2"/>
      <c r="IT32" s="6"/>
      <c r="IU32" s="4"/>
      <c r="IV32" s="8"/>
      <c r="IW32" s="5" t="str">
        <f t="shared" si="98"/>
        <v>NO APLICA</v>
      </c>
      <c r="IX32" s="2"/>
      <c r="IY32" s="6"/>
      <c r="IZ32" s="4"/>
      <c r="JA32" s="8"/>
      <c r="JB32" s="5" t="str">
        <f t="shared" si="99"/>
        <v>NO APLICA</v>
      </c>
      <c r="JC32" s="3" t="s">
        <v>780</v>
      </c>
      <c r="JD32" s="3"/>
      <c r="JE32" s="4"/>
      <c r="JF32" s="8"/>
      <c r="JG32" s="5"/>
      <c r="JH32" s="3" t="s">
        <v>780</v>
      </c>
      <c r="JI32" s="6"/>
      <c r="JJ32" s="6"/>
      <c r="JK32" s="6"/>
      <c r="JL32" s="5"/>
      <c r="JM32" s="6" t="s">
        <v>780</v>
      </c>
      <c r="JN32" s="6"/>
      <c r="JO32" s="6"/>
      <c r="JP32" s="6"/>
      <c r="JQ32" s="5"/>
      <c r="JR32" s="6" t="s">
        <v>780</v>
      </c>
      <c r="JS32" s="6"/>
      <c r="JT32" s="6"/>
      <c r="JU32" s="6"/>
      <c r="JV32" s="5"/>
      <c r="JW32" s="6" t="s">
        <v>780</v>
      </c>
      <c r="JX32" s="5"/>
      <c r="JY32" s="5"/>
      <c r="JZ32" s="5"/>
      <c r="KA32" s="5"/>
      <c r="KB32" s="5"/>
      <c r="KC32" s="2"/>
      <c r="KD32" s="4"/>
      <c r="KE32" s="8"/>
      <c r="KF32" s="5" t="str">
        <f t="shared" si="135"/>
        <v>NO APLICA</v>
      </c>
      <c r="KG32" s="5"/>
      <c r="KH32" s="2"/>
      <c r="KI32" s="4"/>
      <c r="KJ32" s="8"/>
      <c r="KK32" s="5" t="str">
        <f t="shared" si="136"/>
        <v>NO APLICA</v>
      </c>
      <c r="KL32" s="5"/>
      <c r="KM32" s="2"/>
      <c r="KN32" s="4"/>
      <c r="KO32" s="8"/>
      <c r="KP32" s="5" t="str">
        <f t="shared" si="100"/>
        <v>NO APLICA</v>
      </c>
      <c r="KQ32" s="5"/>
      <c r="KR32" s="2"/>
      <c r="KS32" s="4"/>
      <c r="KT32" s="8"/>
      <c r="KU32" s="5" t="str">
        <f t="shared" si="137"/>
        <v>NO APLICA</v>
      </c>
      <c r="KV32" s="2"/>
      <c r="KW32" s="6"/>
      <c r="KX32" s="4"/>
      <c r="KY32" s="8"/>
      <c r="KZ32" s="5" t="str">
        <f t="shared" si="151"/>
        <v>NO APLICA</v>
      </c>
      <c r="LA32" s="5"/>
      <c r="LB32" s="6"/>
      <c r="LC32" s="4"/>
      <c r="LD32" s="8"/>
      <c r="LE32" s="5" t="str">
        <f t="shared" si="138"/>
        <v>NO APLICA</v>
      </c>
      <c r="LF32" s="6"/>
      <c r="LG32" s="4"/>
      <c r="LH32" s="4"/>
      <c r="LI32" s="8"/>
      <c r="LJ32" s="5" t="str">
        <f t="shared" si="101"/>
        <v>NO APLICA</v>
      </c>
      <c r="LK32" s="5"/>
      <c r="LL32" s="5"/>
      <c r="LM32" s="5"/>
      <c r="LN32" s="5"/>
      <c r="LO32" s="5" t="str">
        <f t="shared" si="152"/>
        <v>NO APLICA</v>
      </c>
      <c r="LP32" s="2"/>
      <c r="LQ32" s="6"/>
      <c r="LR32" s="4"/>
      <c r="LS32" s="8"/>
      <c r="LT32" s="5" t="str">
        <f t="shared" si="139"/>
        <v>NO APLICA</v>
      </c>
      <c r="LU32" s="6"/>
      <c r="LV32" s="6"/>
      <c r="LW32" s="4"/>
      <c r="LX32" s="8"/>
      <c r="LY32" s="5" t="str">
        <f t="shared" si="140"/>
        <v>NO APLICA</v>
      </c>
      <c r="LZ32" s="6"/>
      <c r="MA32" s="6"/>
      <c r="MB32" s="4"/>
      <c r="MC32" s="8"/>
      <c r="MD32" s="5" t="str">
        <f t="shared" si="141"/>
        <v>NO APLICA</v>
      </c>
      <c r="ME32" s="2"/>
      <c r="MF32" s="2"/>
      <c r="MG32" s="4"/>
      <c r="MH32" s="8"/>
      <c r="MI32" s="5" t="str">
        <f t="shared" si="102"/>
        <v>NO APLICA</v>
      </c>
      <c r="MJ32" s="2"/>
      <c r="MK32" s="2"/>
      <c r="ML32" s="4"/>
      <c r="MM32" s="8"/>
      <c r="MN32" s="5" t="str">
        <f t="shared" si="103"/>
        <v>NO APLICA</v>
      </c>
      <c r="MO32" s="5"/>
      <c r="MP32" s="2"/>
      <c r="MQ32" s="4"/>
      <c r="MR32" s="8"/>
      <c r="MS32" s="5" t="str">
        <f t="shared" si="104"/>
        <v>NO APLICA</v>
      </c>
      <c r="MT32" s="5"/>
      <c r="MU32" s="2"/>
      <c r="MV32" s="4"/>
      <c r="MW32" s="2"/>
      <c r="MX32" s="5" t="str">
        <f t="shared" si="105"/>
        <v>NO APLICA</v>
      </c>
      <c r="MY32" s="2"/>
      <c r="MZ32" s="6"/>
      <c r="NA32" s="4"/>
      <c r="NB32" s="8"/>
      <c r="NC32" s="5" t="str">
        <f t="shared" si="106"/>
        <v>NO APLICA</v>
      </c>
      <c r="ND32" s="2"/>
      <c r="NE32" s="6"/>
      <c r="NF32" s="4"/>
      <c r="NG32" s="8"/>
      <c r="NH32" s="5" t="str">
        <f t="shared" si="107"/>
        <v>NO APLICA</v>
      </c>
      <c r="NI32" s="2"/>
      <c r="NJ32" s="6"/>
      <c r="NK32" s="4"/>
      <c r="NL32" s="8"/>
      <c r="NM32" s="5" t="str">
        <f t="shared" si="108"/>
        <v>NO APLICA</v>
      </c>
      <c r="NN32" s="2"/>
      <c r="NO32" s="2"/>
      <c r="NP32" s="4"/>
      <c r="NQ32" s="2"/>
      <c r="NR32" s="5" t="str">
        <f t="shared" si="109"/>
        <v>NO APLICA</v>
      </c>
      <c r="NS32" s="2"/>
      <c r="NT32" s="2"/>
      <c r="NU32" s="4"/>
      <c r="NV32" s="2"/>
      <c r="NW32" s="5" t="str">
        <f t="shared" si="110"/>
        <v>NO APLICA</v>
      </c>
      <c r="NX32" s="6"/>
      <c r="NY32" s="6"/>
      <c r="NZ32" s="4"/>
      <c r="OA32" s="8"/>
      <c r="OB32" s="5" t="str">
        <f t="shared" si="111"/>
        <v>NO APLICA</v>
      </c>
      <c r="OC32" s="6"/>
      <c r="OD32" s="6"/>
      <c r="OE32" s="6"/>
      <c r="OF32" s="6"/>
      <c r="OG32" s="5" t="str">
        <f t="shared" si="112"/>
        <v>NO APLICA</v>
      </c>
      <c r="OH32" s="6"/>
      <c r="OI32" s="6"/>
      <c r="OJ32" s="4"/>
      <c r="OK32" s="8"/>
      <c r="OL32" s="5" t="str">
        <f t="shared" si="113"/>
        <v>NO APLICA</v>
      </c>
      <c r="OM32" s="6"/>
      <c r="ON32" s="6"/>
      <c r="OO32" s="6"/>
      <c r="OP32" s="6"/>
      <c r="OQ32" s="5" t="str">
        <f t="shared" si="114"/>
        <v>NO APLICA</v>
      </c>
      <c r="OR32" s="6"/>
      <c r="OS32" s="6"/>
      <c r="OT32" s="6"/>
      <c r="OU32" s="6"/>
      <c r="OV32" s="5" t="str">
        <f t="shared" si="115"/>
        <v>NO APLICA</v>
      </c>
      <c r="OW32" s="6"/>
      <c r="OX32" s="6"/>
      <c r="OY32" s="6"/>
      <c r="OZ32" s="6"/>
      <c r="PA32" s="5" t="str">
        <f t="shared" si="116"/>
        <v>NO APLICA</v>
      </c>
      <c r="PB32" s="6"/>
      <c r="PC32" s="6"/>
      <c r="PD32" s="6"/>
      <c r="PE32" s="6"/>
      <c r="PF32" s="5" t="str">
        <f t="shared" si="117"/>
        <v>NO APLICA</v>
      </c>
      <c r="PG32" s="6"/>
      <c r="PH32" s="6"/>
      <c r="PI32" s="6"/>
      <c r="PJ32" s="6"/>
      <c r="PK32" s="5" t="str">
        <f t="shared" si="118"/>
        <v>NO APLICA</v>
      </c>
      <c r="PL32" s="5"/>
      <c r="PM32" s="6"/>
      <c r="PN32" s="4"/>
      <c r="PO32" s="8"/>
      <c r="PP32" s="5" t="str">
        <f t="shared" si="119"/>
        <v>NO APLICA</v>
      </c>
      <c r="PQ32" s="6"/>
      <c r="PR32" s="6"/>
      <c r="PS32" s="6"/>
      <c r="PT32" s="6"/>
      <c r="PU32" s="5" t="str">
        <f t="shared" si="120"/>
        <v>NO APLICA</v>
      </c>
      <c r="PV32" s="5"/>
      <c r="PW32" s="6"/>
      <c r="PX32" s="6"/>
      <c r="PY32" s="6"/>
      <c r="PZ32" s="5" t="str">
        <f t="shared" si="121"/>
        <v>NO APLICA</v>
      </c>
    </row>
    <row r="33" spans="1:442" ht="15.6" hidden="1" thickTop="1" thickBot="1" x14ac:dyDescent="0.35">
      <c r="A33" s="26">
        <v>30</v>
      </c>
      <c r="B33" s="27">
        <v>698</v>
      </c>
      <c r="C33" s="28" t="s">
        <v>753</v>
      </c>
      <c r="D33" s="29" t="s">
        <v>68</v>
      </c>
      <c r="E33" s="30" t="s">
        <v>164</v>
      </c>
      <c r="F33" s="5"/>
      <c r="G33" s="6"/>
      <c r="H33" s="4"/>
      <c r="I33" s="8"/>
      <c r="J33" s="5" t="str">
        <f t="shared" si="0"/>
        <v>NO APLICA</v>
      </c>
      <c r="K33" s="5"/>
      <c r="L33" s="6"/>
      <c r="M33" s="6"/>
      <c r="N33" s="8"/>
      <c r="O33" s="5" t="str">
        <f t="shared" si="1"/>
        <v>NO APLICA</v>
      </c>
      <c r="P33" s="6"/>
      <c r="Q33" s="6"/>
      <c r="R33" s="4"/>
      <c r="S33" s="8"/>
      <c r="T33" s="5" t="str">
        <f t="shared" si="122"/>
        <v>NO APLICA</v>
      </c>
      <c r="U33" s="5"/>
      <c r="V33" s="2" t="s">
        <v>165</v>
      </c>
      <c r="W33" s="4">
        <v>45216</v>
      </c>
      <c r="X33" s="4">
        <f t="shared" si="2"/>
        <v>47043</v>
      </c>
      <c r="Y33" s="8">
        <f t="shared" ca="1" si="3"/>
        <v>898</v>
      </c>
      <c r="Z33" s="5" t="str">
        <f t="shared" ca="1" si="4"/>
        <v>VIGENTE</v>
      </c>
      <c r="AA33" s="5"/>
      <c r="AB33" s="2" t="s">
        <v>166</v>
      </c>
      <c r="AC33" s="4">
        <v>44824</v>
      </c>
      <c r="AD33" s="4">
        <f t="shared" si="191"/>
        <v>46650</v>
      </c>
      <c r="AE33" s="8">
        <f t="shared" ca="1" si="192"/>
        <v>505</v>
      </c>
      <c r="AF33" s="5" t="str">
        <f t="shared" ca="1" si="7"/>
        <v>VIGENTE</v>
      </c>
      <c r="AG33" s="3"/>
      <c r="AH33" s="4">
        <v>45617</v>
      </c>
      <c r="AI33" s="4">
        <f>DATE(YEAR(AH33)+2,MONTH(AH33),DAY(AH33)-1)</f>
        <v>46346</v>
      </c>
      <c r="AJ33" s="8">
        <f t="shared" ca="1" si="8"/>
        <v>201</v>
      </c>
      <c r="AK33" s="5" t="str">
        <f t="shared" ca="1" si="9"/>
        <v>VIGENTE</v>
      </c>
      <c r="AL33" s="3"/>
      <c r="AM33" s="4">
        <v>45903</v>
      </c>
      <c r="AN33" s="4">
        <f t="shared" si="193"/>
        <v>46633</v>
      </c>
      <c r="AO33" s="8">
        <f t="shared" ca="1" si="10"/>
        <v>488</v>
      </c>
      <c r="AP33" s="5" t="str">
        <f t="shared" ca="1" si="11"/>
        <v>VIGENTE</v>
      </c>
      <c r="AQ33" s="3"/>
      <c r="AR33" s="4">
        <v>45703</v>
      </c>
      <c r="AS33" s="4">
        <f>DATE(YEAR(AR33)+2,MONTH(AR33),DAY(AR33)-1)</f>
        <v>46432</v>
      </c>
      <c r="AT33" s="8">
        <f t="shared" ca="1" si="12"/>
        <v>287</v>
      </c>
      <c r="AU33" s="5" t="str">
        <f t="shared" ca="1" si="13"/>
        <v>VIGENTE</v>
      </c>
      <c r="AV33" s="3"/>
      <c r="AW33" s="4">
        <v>45990</v>
      </c>
      <c r="AX33" s="4">
        <f t="shared" si="194"/>
        <v>46720</v>
      </c>
      <c r="AY33" s="8">
        <f t="shared" ca="1" si="15"/>
        <v>575</v>
      </c>
      <c r="AZ33" s="5" t="str">
        <f t="shared" ca="1" si="16"/>
        <v>VIGENTE</v>
      </c>
      <c r="BA33" s="3"/>
      <c r="BB33" s="4">
        <v>45717</v>
      </c>
      <c r="BC33" s="4">
        <f>DATE(YEAR(BB33)+2,MONTH(BB33),DAY(BB33)-1)</f>
        <v>46446</v>
      </c>
      <c r="BD33" s="8">
        <f t="shared" ca="1" si="17"/>
        <v>301</v>
      </c>
      <c r="BE33" s="5" t="str">
        <f t="shared" ca="1" si="18"/>
        <v>VIGENTE</v>
      </c>
      <c r="BF33" s="3"/>
      <c r="BG33" s="4">
        <v>46027</v>
      </c>
      <c r="BH33" s="4">
        <f t="shared" si="195"/>
        <v>46757</v>
      </c>
      <c r="BI33" s="8">
        <f t="shared" ca="1" si="19"/>
        <v>612</v>
      </c>
      <c r="BJ33" s="5" t="str">
        <f t="shared" ca="1" si="20"/>
        <v>VIGENTE</v>
      </c>
      <c r="BK33" s="3"/>
      <c r="BL33" s="4">
        <v>46056</v>
      </c>
      <c r="BM33" s="4">
        <f t="shared" si="196"/>
        <v>46786</v>
      </c>
      <c r="BN33" s="8">
        <f t="shared" ca="1" si="21"/>
        <v>641</v>
      </c>
      <c r="BO33" s="5" t="str">
        <f t="shared" ca="1" si="22"/>
        <v>VIGENTE</v>
      </c>
      <c r="BP33" s="3"/>
      <c r="BQ33" s="39">
        <v>46069</v>
      </c>
      <c r="BR33" s="4">
        <f>DATE(YEAR(BQ33)+2,MONTH(BQ33),DAY(BQ33))</f>
        <v>46799</v>
      </c>
      <c r="BS33" s="8">
        <f t="shared" ca="1" si="23"/>
        <v>654</v>
      </c>
      <c r="BT33" s="5" t="str">
        <f t="shared" ca="1" si="24"/>
        <v>VIGENTE</v>
      </c>
      <c r="BU33" s="4"/>
      <c r="BV33" s="4">
        <v>45736</v>
      </c>
      <c r="BW33" s="4">
        <f>DATE(YEAR(BV33)+2,MONTH(BV33),DAY(BV33)-1)</f>
        <v>46465</v>
      </c>
      <c r="BX33" s="8">
        <f t="shared" ca="1" si="25"/>
        <v>320</v>
      </c>
      <c r="BY33" s="5" t="str">
        <f t="shared" ca="1" si="26"/>
        <v>VIGENTE</v>
      </c>
      <c r="BZ33" s="3"/>
      <c r="CA33" s="4">
        <v>45974</v>
      </c>
      <c r="CB33" s="4">
        <f t="shared" ref="CB33:CB38" si="203">DATE(YEAR(CA33)+2,MONTH(CA33),DAY(CA33))</f>
        <v>46704</v>
      </c>
      <c r="CC33" s="8">
        <f t="shared" ca="1" si="27"/>
        <v>559</v>
      </c>
      <c r="CD33" s="5" t="str">
        <f t="shared" ca="1" si="28"/>
        <v>VIGENTE</v>
      </c>
      <c r="CE33" s="6"/>
      <c r="CF33" s="4">
        <v>45227</v>
      </c>
      <c r="CG33" s="4">
        <f t="shared" si="29"/>
        <v>46688</v>
      </c>
      <c r="CH33" s="8">
        <f t="shared" ca="1" si="30"/>
        <v>543</v>
      </c>
      <c r="CI33" s="5" t="str">
        <f t="shared" ca="1" si="31"/>
        <v>VIGENTE</v>
      </c>
      <c r="CJ33" s="4"/>
      <c r="CK33" s="4">
        <v>45777</v>
      </c>
      <c r="CL33" s="4">
        <f>DATE(YEAR(CK33)+2,MONTH(CK33),DAY(CK33))</f>
        <v>46507</v>
      </c>
      <c r="CM33" s="8">
        <f t="shared" ca="1" si="32"/>
        <v>362</v>
      </c>
      <c r="CN33" s="5" t="str">
        <f t="shared" ca="1" si="33"/>
        <v>VIGENTE</v>
      </c>
      <c r="CO33" s="4"/>
      <c r="CP33" s="39">
        <v>45726</v>
      </c>
      <c r="CQ33" s="4">
        <f>DATE(YEAR(CP33)+2,MONTH(CP33),DAY(CP33)-1)</f>
        <v>46455</v>
      </c>
      <c r="CR33" s="8">
        <f t="shared" ca="1" si="34"/>
        <v>310</v>
      </c>
      <c r="CS33" s="5" t="str">
        <f t="shared" ca="1" si="35"/>
        <v>VIGENTE</v>
      </c>
      <c r="CT33" s="3"/>
      <c r="CU33" s="4">
        <v>45639</v>
      </c>
      <c r="CV33" s="4">
        <f>DATE(YEAR(CU33)+2,MONTH(CU33),DAY(CU33)-1)</f>
        <v>46368</v>
      </c>
      <c r="CW33" s="8">
        <f t="shared" ca="1" si="36"/>
        <v>223</v>
      </c>
      <c r="CX33" s="5" t="str">
        <f t="shared" ca="1" si="37"/>
        <v>VIGENTE</v>
      </c>
      <c r="CY33" s="3"/>
      <c r="CZ33" s="4">
        <v>45646</v>
      </c>
      <c r="DA33" s="4">
        <f>DATE(YEAR(CZ33)+2,MONTH(CZ33),DAY(CZ33)-1)</f>
        <v>46375</v>
      </c>
      <c r="DB33" s="8">
        <f t="shared" ca="1" si="38"/>
        <v>230</v>
      </c>
      <c r="DC33" s="5" t="str">
        <f t="shared" ca="1" si="39"/>
        <v>VIGENTE</v>
      </c>
      <c r="DD33" s="3"/>
      <c r="DE33" s="39">
        <v>45689</v>
      </c>
      <c r="DF33" s="4">
        <f t="shared" si="188"/>
        <v>46418</v>
      </c>
      <c r="DG33" s="8">
        <f t="shared" ca="1" si="40"/>
        <v>273</v>
      </c>
      <c r="DH33" s="5" t="str">
        <f t="shared" ca="1" si="41"/>
        <v>VIGENTE</v>
      </c>
      <c r="DI33" s="3"/>
      <c r="DJ33" s="39">
        <v>45696</v>
      </c>
      <c r="DK33" s="4">
        <f>DATE(YEAR(DJ33)+2,MONTH(DJ33),DAY(DJ33)-1)</f>
        <v>46425</v>
      </c>
      <c r="DL33" s="8">
        <f t="shared" ca="1" si="43"/>
        <v>280</v>
      </c>
      <c r="DM33" s="5" t="str">
        <f t="shared" ca="1" si="44"/>
        <v>VIGENTE</v>
      </c>
      <c r="DN33" s="3"/>
      <c r="DO33" s="4">
        <v>45982</v>
      </c>
      <c r="DP33" s="4">
        <f t="shared" ref="DP33:DP38" si="204">DATE(YEAR(DO33)+2,MONTH(DO33),DAY(DO33))</f>
        <v>46712</v>
      </c>
      <c r="DQ33" s="8">
        <f t="shared" ca="1" si="46"/>
        <v>567</v>
      </c>
      <c r="DR33" s="5" t="str">
        <f t="shared" ca="1" si="47"/>
        <v>VIGENTE</v>
      </c>
      <c r="DS33" s="3"/>
      <c r="DT33" s="4">
        <v>45728</v>
      </c>
      <c r="DU33" s="4">
        <f>DATE(YEAR(DT33)+2,MONTH(DT33),DAY(DT33)-1)</f>
        <v>46457</v>
      </c>
      <c r="DV33" s="8">
        <f t="shared" ca="1" si="48"/>
        <v>312</v>
      </c>
      <c r="DW33" s="5" t="str">
        <f t="shared" ca="1" si="49"/>
        <v>VIGENTE</v>
      </c>
      <c r="DX33" s="3"/>
      <c r="DY33" s="4">
        <v>45751</v>
      </c>
      <c r="DZ33" s="4">
        <f>DATE(YEAR(DY33)+2,MONTH(DY33),DAY(DY33)-1)</f>
        <v>46480</v>
      </c>
      <c r="EA33" s="8">
        <f t="shared" ca="1" si="50"/>
        <v>335</v>
      </c>
      <c r="EB33" s="5" t="str">
        <f t="shared" ca="1" si="51"/>
        <v>VIGENTE</v>
      </c>
      <c r="EC33" s="3"/>
      <c r="ED33" s="39">
        <v>45674</v>
      </c>
      <c r="EE33" s="4">
        <f>DATE(YEAR(ED33)+2,MONTH(ED33),DAY(ED33)-1)</f>
        <v>46403</v>
      </c>
      <c r="EF33" s="8">
        <f t="shared" ca="1" si="52"/>
        <v>258</v>
      </c>
      <c r="EG33" s="5" t="str">
        <f t="shared" ca="1" si="53"/>
        <v>VIGENTE</v>
      </c>
      <c r="EH33" s="3"/>
      <c r="EI33" s="3">
        <v>46085</v>
      </c>
      <c r="EJ33" s="4">
        <f t="shared" si="131"/>
        <v>46450</v>
      </c>
      <c r="EK33" s="8">
        <f t="shared" ca="1" si="54"/>
        <v>305</v>
      </c>
      <c r="EL33" s="5" t="str">
        <f t="shared" ca="1" si="55"/>
        <v>VIGENTE</v>
      </c>
      <c r="EM33" s="3"/>
      <c r="EN33" s="4">
        <v>45737</v>
      </c>
      <c r="EO33" s="4">
        <f>DATE(YEAR(EN33)+2,MONTH(EN33),DAY(EN33)-1)</f>
        <v>46466</v>
      </c>
      <c r="EP33" s="8">
        <f t="shared" ca="1" si="56"/>
        <v>321</v>
      </c>
      <c r="EQ33" s="5" t="str">
        <f t="shared" ca="1" si="57"/>
        <v>VIGENTE</v>
      </c>
      <c r="ER33" s="3"/>
      <c r="ES33" s="39">
        <v>45677</v>
      </c>
      <c r="ET33" s="4">
        <f>DATE(YEAR(ES33)+2,MONTH(ES33),DAY(ES33)-1)</f>
        <v>46406</v>
      </c>
      <c r="EU33" s="8">
        <f t="shared" ca="1" si="58"/>
        <v>261</v>
      </c>
      <c r="EV33" s="5" t="str">
        <f t="shared" ca="1" si="59"/>
        <v>VIGENTE</v>
      </c>
      <c r="EW33" s="3"/>
      <c r="EX33" s="4">
        <v>46010</v>
      </c>
      <c r="EY33" s="4">
        <f t="shared" si="197"/>
        <v>46740</v>
      </c>
      <c r="EZ33" s="8">
        <f t="shared" ca="1" si="60"/>
        <v>595</v>
      </c>
      <c r="FA33" s="5" t="str">
        <f t="shared" ca="1" si="61"/>
        <v>VIGENTE</v>
      </c>
      <c r="FB33" s="3"/>
      <c r="FC33" s="4">
        <v>45988</v>
      </c>
      <c r="FD33" s="4">
        <f t="shared" si="198"/>
        <v>46718</v>
      </c>
      <c r="FE33" s="8">
        <f t="shared" ca="1" si="62"/>
        <v>573</v>
      </c>
      <c r="FF33" s="5" t="str">
        <f t="shared" ca="1" si="63"/>
        <v>VIGENTE</v>
      </c>
      <c r="FG33" s="3"/>
      <c r="FH33" s="4">
        <v>45969</v>
      </c>
      <c r="FI33" s="4">
        <f t="shared" si="199"/>
        <v>46699</v>
      </c>
      <c r="FJ33" s="8">
        <f t="shared" ca="1" si="64"/>
        <v>554</v>
      </c>
      <c r="FK33" s="5" t="str">
        <f t="shared" ca="1" si="65"/>
        <v>VIGENTE</v>
      </c>
      <c r="FL33" s="3"/>
      <c r="FM33" s="39">
        <v>45738</v>
      </c>
      <c r="FN33" s="4">
        <f>DATE(YEAR(FM33)+2,MONTH(FM33),DAY(FM33)-1)</f>
        <v>46467</v>
      </c>
      <c r="FO33" s="8">
        <f t="shared" ca="1" si="67"/>
        <v>322</v>
      </c>
      <c r="FP33" s="5" t="str">
        <f t="shared" ca="1" si="68"/>
        <v>VIGENTE</v>
      </c>
      <c r="FQ33" s="3"/>
      <c r="FR33" s="39">
        <v>45747</v>
      </c>
      <c r="FS33" s="4">
        <f t="shared" si="190"/>
        <v>46476</v>
      </c>
      <c r="FT33" s="8">
        <f t="shared" ca="1" si="69"/>
        <v>331</v>
      </c>
      <c r="FU33" s="5" t="str">
        <f t="shared" ca="1" si="70"/>
        <v>VIGENTE</v>
      </c>
      <c r="FV33" s="4"/>
      <c r="FW33" s="4">
        <v>45587</v>
      </c>
      <c r="FX33" s="4">
        <f>DATE(YEAR(FW33)+2,MONTH(FW33),DAY(FW33)-1)</f>
        <v>46316</v>
      </c>
      <c r="FY33" s="8">
        <f t="shared" ca="1" si="71"/>
        <v>171</v>
      </c>
      <c r="FZ33" s="5" t="str">
        <f t="shared" ca="1" si="72"/>
        <v>VIGENTE</v>
      </c>
      <c r="GA33" s="3"/>
      <c r="GB33" s="4">
        <v>45757</v>
      </c>
      <c r="GC33" s="4">
        <f>DATE(YEAR(GB33)+2,MONTH(GB33),DAY(GB33)-1)</f>
        <v>46486</v>
      </c>
      <c r="GD33" s="8">
        <f t="shared" ca="1" si="73"/>
        <v>341</v>
      </c>
      <c r="GE33" s="5" t="str">
        <f t="shared" ca="1" si="74"/>
        <v>VIGENTE</v>
      </c>
      <c r="GF33" s="3"/>
      <c r="GG33" s="4">
        <v>45672</v>
      </c>
      <c r="GH33" s="4">
        <f>DATE(YEAR(GG33)+2,MONTH(GG33),DAY(GG33)-1)</f>
        <v>46401</v>
      </c>
      <c r="GI33" s="8">
        <f t="shared" ca="1" si="75"/>
        <v>256</v>
      </c>
      <c r="GJ33" s="5" t="str">
        <f t="shared" ca="1" si="76"/>
        <v>VIGENTE</v>
      </c>
      <c r="GK33" s="3"/>
      <c r="GL33" s="4">
        <v>45848</v>
      </c>
      <c r="GM33" s="4">
        <f>DATE(YEAR(GL33)+2,MONTH(GL33),DAY(GL33))</f>
        <v>46578</v>
      </c>
      <c r="GN33" s="8">
        <f t="shared" ca="1" si="77"/>
        <v>433</v>
      </c>
      <c r="GO33" s="5" t="str">
        <f t="shared" ca="1" si="78"/>
        <v>VIGENTE</v>
      </c>
      <c r="GP33" s="4"/>
      <c r="GQ33" s="4">
        <v>45283</v>
      </c>
      <c r="GR33" s="4">
        <f t="shared" si="79"/>
        <v>47110</v>
      </c>
      <c r="GS33" s="8">
        <f t="shared" ca="1" si="176"/>
        <v>965</v>
      </c>
      <c r="GT33" s="5" t="str">
        <f t="shared" ca="1" si="81"/>
        <v>VIGENTE</v>
      </c>
      <c r="GU33" s="3"/>
      <c r="GV33" s="4">
        <v>45277</v>
      </c>
      <c r="GW33" s="4">
        <f t="shared" si="82"/>
        <v>47104</v>
      </c>
      <c r="GX33" s="8">
        <f t="shared" ca="1" si="83"/>
        <v>959</v>
      </c>
      <c r="GY33" s="5" t="str">
        <f t="shared" ca="1" si="84"/>
        <v>VIGENTE</v>
      </c>
      <c r="GZ33" s="3"/>
      <c r="HA33" s="4">
        <v>45268</v>
      </c>
      <c r="HB33" s="4">
        <f t="shared" si="85"/>
        <v>47095</v>
      </c>
      <c r="HC33" s="8">
        <f t="shared" ca="1" si="86"/>
        <v>950</v>
      </c>
      <c r="HD33" s="5" t="str">
        <f t="shared" ca="1" si="87"/>
        <v>VIGENTE</v>
      </c>
      <c r="HE33" s="6"/>
      <c r="HF33" s="4">
        <v>44862</v>
      </c>
      <c r="HG33" s="4">
        <f t="shared" si="200"/>
        <v>46688</v>
      </c>
      <c r="HH33" s="8">
        <f t="shared" ca="1" si="201"/>
        <v>543</v>
      </c>
      <c r="HI33" s="5" t="str">
        <f t="shared" ca="1" si="187"/>
        <v>VIGENTE</v>
      </c>
      <c r="HJ33" s="2"/>
      <c r="HK33" s="6"/>
      <c r="HL33" s="4"/>
      <c r="HM33" s="8"/>
      <c r="HN33" s="5" t="str">
        <f t="shared" si="202"/>
        <v>NO APLICA</v>
      </c>
      <c r="HO33" s="2"/>
      <c r="HP33" s="5"/>
      <c r="HQ33" s="4"/>
      <c r="HR33" s="5"/>
      <c r="HS33" s="5" t="str">
        <f t="shared" si="92"/>
        <v>NO APLICA</v>
      </c>
      <c r="HT33" s="3"/>
      <c r="HU33" s="4">
        <v>45260</v>
      </c>
      <c r="HV33" s="4">
        <f>DATE(YEAR(HU33)+5,MONTH(HU33),DAY(HU33))</f>
        <v>47087</v>
      </c>
      <c r="HW33" s="8">
        <f ca="1">HV33-TODAY()</f>
        <v>942</v>
      </c>
      <c r="HX33" s="5" t="str">
        <f t="shared" ca="1" si="93"/>
        <v>VIGENTE</v>
      </c>
      <c r="HY33" s="3"/>
      <c r="HZ33" s="4">
        <v>45234</v>
      </c>
      <c r="IA33" s="4">
        <f>DATE(YEAR(HZ33)+5,MONTH(HZ33),DAY(HZ33))</f>
        <v>47061</v>
      </c>
      <c r="IB33" s="8">
        <f ca="1">IA33-TODAY()</f>
        <v>916</v>
      </c>
      <c r="IC33" s="5" t="str">
        <f t="shared" ca="1" si="94"/>
        <v>VIGENTE</v>
      </c>
      <c r="ID33" s="3"/>
      <c r="IE33" s="4">
        <v>45425</v>
      </c>
      <c r="IF33" s="4">
        <f>DATE(YEAR(IE33)+5,MONTH(IE33),DAY(IE33))</f>
        <v>47251</v>
      </c>
      <c r="IG33" s="8">
        <f ca="1">IF33-TODAY()</f>
        <v>1106</v>
      </c>
      <c r="IH33" s="5" t="str">
        <f t="shared" ca="1" si="95"/>
        <v>VIGENTE</v>
      </c>
      <c r="II33" s="4"/>
      <c r="IJ33" s="4">
        <v>45238</v>
      </c>
      <c r="IK33" s="4">
        <f>DATE(YEAR(IJ33)+5,MONTH(IJ33),DAY(IJ33))</f>
        <v>47065</v>
      </c>
      <c r="IL33" s="8">
        <f ca="1">IK33-TODAY()</f>
        <v>920</v>
      </c>
      <c r="IM33" s="5" t="str">
        <f t="shared" ca="1" si="96"/>
        <v>VIGENTE</v>
      </c>
      <c r="IN33" s="3"/>
      <c r="IO33" s="4">
        <v>45259</v>
      </c>
      <c r="IP33" s="4">
        <f>DATE(YEAR(IO33)+5,MONTH(IO33),DAY(IO33))</f>
        <v>47086</v>
      </c>
      <c r="IQ33" s="8">
        <f ca="1">IP33-TODAY()</f>
        <v>941</v>
      </c>
      <c r="IR33" s="5" t="str">
        <f t="shared" ca="1" si="97"/>
        <v>VIGENTE</v>
      </c>
      <c r="IS33" s="3"/>
      <c r="IT33" s="4">
        <v>45435</v>
      </c>
      <c r="IU33" s="4">
        <f>DATE(YEAR(IT33)+5,MONTH(IT33),DAY(IT33))</f>
        <v>47261</v>
      </c>
      <c r="IV33" s="8">
        <f ca="1">IU33-TODAY()</f>
        <v>1116</v>
      </c>
      <c r="IW33" s="5" t="str">
        <f t="shared" ca="1" si="98"/>
        <v>VIGENTE</v>
      </c>
      <c r="IX33" s="3"/>
      <c r="IY33" s="4">
        <v>45224</v>
      </c>
      <c r="IZ33" s="4">
        <f>DATE(YEAR(IY33)+5,MONTH(IY33),DAY(IY33))</f>
        <v>47051</v>
      </c>
      <c r="JA33" s="8">
        <f ca="1">IZ33-TODAY()</f>
        <v>906</v>
      </c>
      <c r="JB33" s="5" t="str">
        <f t="shared" ca="1" si="99"/>
        <v>VIGENTE</v>
      </c>
      <c r="JC33" s="3" t="s">
        <v>780</v>
      </c>
      <c r="JD33" s="3"/>
      <c r="JE33" s="4"/>
      <c r="JF33" s="8"/>
      <c r="JG33" s="5"/>
      <c r="JH33" s="3" t="s">
        <v>780</v>
      </c>
      <c r="JI33" s="6"/>
      <c r="JJ33" s="6"/>
      <c r="JK33" s="6"/>
      <c r="JL33" s="5"/>
      <c r="JM33" s="6" t="s">
        <v>780</v>
      </c>
      <c r="JN33" s="6"/>
      <c r="JO33" s="6"/>
      <c r="JP33" s="6"/>
      <c r="JQ33" s="5"/>
      <c r="JR33" s="6" t="s">
        <v>780</v>
      </c>
      <c r="JS33" s="6"/>
      <c r="JT33" s="6"/>
      <c r="JU33" s="6"/>
      <c r="JV33" s="5"/>
      <c r="JW33" s="6" t="s">
        <v>780</v>
      </c>
      <c r="JX33" s="5"/>
      <c r="JY33" s="5"/>
      <c r="JZ33" s="5"/>
      <c r="KA33" s="5"/>
      <c r="KB33" s="5"/>
      <c r="KC33" s="5"/>
      <c r="KD33" s="4"/>
      <c r="KE33" s="8"/>
      <c r="KF33" s="5" t="str">
        <f t="shared" si="135"/>
        <v>NO APLICA</v>
      </c>
      <c r="KG33" s="5"/>
      <c r="KH33" s="5"/>
      <c r="KI33" s="4"/>
      <c r="KJ33" s="8"/>
      <c r="KK33" s="5" t="str">
        <f t="shared" si="136"/>
        <v>NO APLICA</v>
      </c>
      <c r="KL33" s="5"/>
      <c r="KM33" s="5"/>
      <c r="KN33" s="4"/>
      <c r="KO33" s="8"/>
      <c r="KP33" s="5" t="str">
        <f t="shared" si="100"/>
        <v>NO APLICA</v>
      </c>
      <c r="KQ33" s="5"/>
      <c r="KR33" s="2"/>
      <c r="KS33" s="4"/>
      <c r="KT33" s="8"/>
      <c r="KU33" s="5" t="str">
        <f t="shared" si="137"/>
        <v>NO APLICA</v>
      </c>
      <c r="KV33" s="2"/>
      <c r="KW33" s="6"/>
      <c r="KX33" s="4"/>
      <c r="KY33" s="8"/>
      <c r="KZ33" s="5" t="str">
        <f t="shared" si="151"/>
        <v>NO APLICA</v>
      </c>
      <c r="LA33" s="5"/>
      <c r="LB33" s="4">
        <v>44545</v>
      </c>
      <c r="LC33" s="4">
        <f>DATE(YEAR(LB33)+5,MONTH(LB33),DAY(LB33))</f>
        <v>46371</v>
      </c>
      <c r="LD33" s="8">
        <f ca="1">LC33-TODAY()</f>
        <v>226</v>
      </c>
      <c r="LE33" s="5" t="str">
        <f t="shared" ca="1" si="138"/>
        <v>VIGENTE</v>
      </c>
      <c r="LF33" s="4"/>
      <c r="LG33" s="4"/>
      <c r="LH33" s="4"/>
      <c r="LI33" s="8"/>
      <c r="LJ33" s="5" t="str">
        <f t="shared" si="101"/>
        <v>NO APLICA</v>
      </c>
      <c r="LK33" s="5"/>
      <c r="LL33" s="5"/>
      <c r="LM33" s="5"/>
      <c r="LN33" s="5"/>
      <c r="LO33" s="5" t="str">
        <f t="shared" si="152"/>
        <v>NO APLICA</v>
      </c>
      <c r="LP33" s="5"/>
      <c r="LQ33" s="6"/>
      <c r="LR33" s="4"/>
      <c r="LS33" s="8"/>
      <c r="LT33" s="5" t="str">
        <f t="shared" si="139"/>
        <v>NO APLICA</v>
      </c>
      <c r="LU33" s="6"/>
      <c r="LV33" s="6"/>
      <c r="LW33" s="4"/>
      <c r="LX33" s="8"/>
      <c r="LY33" s="5" t="str">
        <f t="shared" si="140"/>
        <v>NO APLICA</v>
      </c>
      <c r="LZ33" s="6"/>
      <c r="MA33" s="6"/>
      <c r="MB33" s="4"/>
      <c r="MC33" s="8"/>
      <c r="MD33" s="5" t="str">
        <f t="shared" si="141"/>
        <v>NO APLICA</v>
      </c>
      <c r="ME33" s="5"/>
      <c r="MF33" s="5"/>
      <c r="MG33" s="4"/>
      <c r="MH33" s="8"/>
      <c r="MI33" s="5" t="str">
        <f t="shared" si="102"/>
        <v>NO APLICA</v>
      </c>
      <c r="MJ33" s="5"/>
      <c r="MK33" s="5"/>
      <c r="ML33" s="4"/>
      <c r="MM33" s="8"/>
      <c r="MN33" s="5" t="str">
        <f t="shared" si="103"/>
        <v>NO APLICA</v>
      </c>
      <c r="MO33" s="5"/>
      <c r="MP33" s="5"/>
      <c r="MQ33" s="4"/>
      <c r="MR33" s="8"/>
      <c r="MS33" s="5" t="str">
        <f t="shared" si="104"/>
        <v>NO APLICA</v>
      </c>
      <c r="MT33" s="5"/>
      <c r="MU33" s="5"/>
      <c r="MV33" s="4"/>
      <c r="MW33" s="5"/>
      <c r="MX33" s="5" t="str">
        <f t="shared" si="105"/>
        <v>NO APLICA</v>
      </c>
      <c r="MY33" s="5"/>
      <c r="MZ33" s="6"/>
      <c r="NA33" s="4"/>
      <c r="NB33" s="8"/>
      <c r="NC33" s="5" t="str">
        <f t="shared" si="106"/>
        <v>NO APLICA</v>
      </c>
      <c r="ND33" s="5"/>
      <c r="NE33" s="6"/>
      <c r="NF33" s="4"/>
      <c r="NG33" s="8"/>
      <c r="NH33" s="5" t="str">
        <f t="shared" si="107"/>
        <v>NO APLICA</v>
      </c>
      <c r="NI33" s="5"/>
      <c r="NJ33" s="6"/>
      <c r="NK33" s="4"/>
      <c r="NL33" s="8"/>
      <c r="NM33" s="5" t="str">
        <f t="shared" si="108"/>
        <v>NO APLICA</v>
      </c>
      <c r="NN33" s="5"/>
      <c r="NO33" s="5"/>
      <c r="NP33" s="4"/>
      <c r="NQ33" s="5"/>
      <c r="NR33" s="5" t="str">
        <f t="shared" si="109"/>
        <v>NO APLICA</v>
      </c>
      <c r="NS33" s="5"/>
      <c r="NT33" s="5"/>
      <c r="NU33" s="5"/>
      <c r="NV33" s="5"/>
      <c r="NW33" s="5" t="str">
        <f t="shared" si="110"/>
        <v>NO APLICA</v>
      </c>
      <c r="NX33" s="6"/>
      <c r="NY33" s="6"/>
      <c r="NZ33" s="4"/>
      <c r="OA33" s="8"/>
      <c r="OB33" s="5" t="str">
        <f t="shared" si="111"/>
        <v>NO APLICA</v>
      </c>
      <c r="OC33" s="6"/>
      <c r="OD33" s="6"/>
      <c r="OE33" s="6"/>
      <c r="OF33" s="6"/>
      <c r="OG33" s="5" t="str">
        <f t="shared" si="112"/>
        <v>NO APLICA</v>
      </c>
      <c r="OH33" s="6"/>
      <c r="OI33" s="6"/>
      <c r="OJ33" s="4"/>
      <c r="OK33" s="8"/>
      <c r="OL33" s="5" t="str">
        <f t="shared" si="113"/>
        <v>NO APLICA</v>
      </c>
      <c r="OM33" s="6"/>
      <c r="ON33" s="6"/>
      <c r="OO33" s="6"/>
      <c r="OP33" s="6"/>
      <c r="OQ33" s="5" t="str">
        <f t="shared" si="114"/>
        <v>NO APLICA</v>
      </c>
      <c r="OR33" s="6"/>
      <c r="OS33" s="6"/>
      <c r="OT33" s="6"/>
      <c r="OU33" s="6"/>
      <c r="OV33" s="5" t="str">
        <f t="shared" si="115"/>
        <v>NO APLICA</v>
      </c>
      <c r="OW33" s="6"/>
      <c r="OX33" s="6"/>
      <c r="OY33" s="6"/>
      <c r="OZ33" s="6"/>
      <c r="PA33" s="5" t="str">
        <f t="shared" si="116"/>
        <v>NO APLICA</v>
      </c>
      <c r="PB33" s="6"/>
      <c r="PC33" s="6"/>
      <c r="PD33" s="6"/>
      <c r="PE33" s="6"/>
      <c r="PF33" s="5" t="str">
        <f t="shared" si="117"/>
        <v>NO APLICA</v>
      </c>
      <c r="PG33" s="6"/>
      <c r="PH33" s="6"/>
      <c r="PI33" s="6"/>
      <c r="PJ33" s="6"/>
      <c r="PK33" s="5" t="str">
        <f t="shared" si="118"/>
        <v>NO APLICA</v>
      </c>
      <c r="PL33" s="5"/>
      <c r="PM33" s="6"/>
      <c r="PN33" s="4"/>
      <c r="PO33" s="8"/>
      <c r="PP33" s="5" t="str">
        <f t="shared" si="119"/>
        <v>NO APLICA</v>
      </c>
      <c r="PQ33" s="6"/>
      <c r="PR33" s="6"/>
      <c r="PS33" s="6"/>
      <c r="PT33" s="6"/>
      <c r="PU33" s="5" t="str">
        <f t="shared" si="120"/>
        <v>NO APLICA</v>
      </c>
      <c r="PV33" s="5"/>
      <c r="PW33" s="6"/>
      <c r="PX33" s="6"/>
      <c r="PY33" s="6"/>
      <c r="PZ33" s="5" t="str">
        <f t="shared" si="121"/>
        <v>NO APLICA</v>
      </c>
    </row>
    <row r="34" spans="1:442" ht="15.6" hidden="1" thickTop="1" thickBot="1" x14ac:dyDescent="0.35">
      <c r="A34" s="26">
        <v>31</v>
      </c>
      <c r="B34" s="27">
        <v>1574</v>
      </c>
      <c r="C34" s="28" t="s">
        <v>167</v>
      </c>
      <c r="D34" s="29" t="s">
        <v>68</v>
      </c>
      <c r="E34" s="30" t="s">
        <v>153</v>
      </c>
      <c r="F34" s="5"/>
      <c r="G34" s="6"/>
      <c r="H34" s="4"/>
      <c r="I34" s="8"/>
      <c r="J34" s="5" t="str">
        <f t="shared" si="0"/>
        <v>NO APLICA</v>
      </c>
      <c r="K34" s="5"/>
      <c r="L34" s="6"/>
      <c r="M34" s="6"/>
      <c r="N34" s="8"/>
      <c r="O34" s="5" t="str">
        <f t="shared" si="1"/>
        <v>NO APLICA</v>
      </c>
      <c r="P34" s="6"/>
      <c r="Q34" s="6"/>
      <c r="R34" s="4"/>
      <c r="S34" s="8"/>
      <c r="T34" s="5" t="str">
        <f t="shared" si="122"/>
        <v>NO APLICA</v>
      </c>
      <c r="U34" s="5"/>
      <c r="V34" s="2" t="s">
        <v>168</v>
      </c>
      <c r="W34" s="4">
        <v>45500</v>
      </c>
      <c r="X34" s="4">
        <f t="shared" si="2"/>
        <v>47326</v>
      </c>
      <c r="Y34" s="8">
        <f t="shared" ca="1" si="3"/>
        <v>1181</v>
      </c>
      <c r="Z34" s="5" t="str">
        <f t="shared" ca="1" si="4"/>
        <v>VIGENTE</v>
      </c>
      <c r="AA34" s="5"/>
      <c r="AB34" s="2" t="s">
        <v>169</v>
      </c>
      <c r="AC34" s="4">
        <v>44988</v>
      </c>
      <c r="AD34" s="4">
        <f t="shared" si="191"/>
        <v>46815</v>
      </c>
      <c r="AE34" s="8">
        <f t="shared" ca="1" si="192"/>
        <v>670</v>
      </c>
      <c r="AF34" s="5" t="str">
        <f t="shared" ca="1" si="7"/>
        <v>VIGENTE</v>
      </c>
      <c r="AG34" s="3"/>
      <c r="AH34" s="4">
        <v>45594</v>
      </c>
      <c r="AI34" s="4">
        <f>DATE(YEAR(AH34)+2,MONTH(AH34),DAY(AH34)-1)</f>
        <v>46323</v>
      </c>
      <c r="AJ34" s="8">
        <f t="shared" ca="1" si="8"/>
        <v>178</v>
      </c>
      <c r="AK34" s="5" t="str">
        <f t="shared" ca="1" si="9"/>
        <v>VIGENTE</v>
      </c>
      <c r="AL34" s="3"/>
      <c r="AM34" s="4">
        <v>45959</v>
      </c>
      <c r="AN34" s="4">
        <f t="shared" si="193"/>
        <v>46689</v>
      </c>
      <c r="AO34" s="8">
        <f t="shared" ca="1" si="10"/>
        <v>544</v>
      </c>
      <c r="AP34" s="5" t="str">
        <f t="shared" ca="1" si="11"/>
        <v>VIGENTE</v>
      </c>
      <c r="AQ34" s="3"/>
      <c r="AR34" s="4">
        <v>45820</v>
      </c>
      <c r="AS34" s="4">
        <f>DATE(YEAR(AR34)+2,MONTH(AR34),DAY(AR34))</f>
        <v>46550</v>
      </c>
      <c r="AT34" s="8">
        <f t="shared" ca="1" si="12"/>
        <v>405</v>
      </c>
      <c r="AU34" s="5" t="str">
        <f t="shared" ca="1" si="13"/>
        <v>VIGENTE</v>
      </c>
      <c r="AV34" s="3"/>
      <c r="AW34" s="4">
        <v>45906</v>
      </c>
      <c r="AX34" s="4">
        <f t="shared" si="194"/>
        <v>46636</v>
      </c>
      <c r="AY34" s="8">
        <f t="shared" ca="1" si="15"/>
        <v>491</v>
      </c>
      <c r="AZ34" s="5" t="str">
        <f t="shared" ca="1" si="16"/>
        <v>VIGENTE</v>
      </c>
      <c r="BA34" s="3"/>
      <c r="BB34" s="4">
        <v>45855</v>
      </c>
      <c r="BC34" s="4">
        <f>DATE(YEAR(BB34)+2,MONTH(BB34),DAY(BB34))</f>
        <v>46585</v>
      </c>
      <c r="BD34" s="8">
        <f t="shared" ca="1" si="17"/>
        <v>440</v>
      </c>
      <c r="BE34" s="5" t="str">
        <f t="shared" ca="1" si="18"/>
        <v>VIGENTE</v>
      </c>
      <c r="BF34" s="3"/>
      <c r="BG34" s="4">
        <v>45987</v>
      </c>
      <c r="BH34" s="4">
        <f t="shared" si="195"/>
        <v>46717</v>
      </c>
      <c r="BI34" s="8">
        <f t="shared" ca="1" si="19"/>
        <v>572</v>
      </c>
      <c r="BJ34" s="5" t="str">
        <f t="shared" ca="1" si="20"/>
        <v>VIGENTE</v>
      </c>
      <c r="BK34" s="3"/>
      <c r="BL34" s="4">
        <v>46051</v>
      </c>
      <c r="BM34" s="4">
        <f t="shared" si="196"/>
        <v>46781</v>
      </c>
      <c r="BN34" s="8">
        <f t="shared" ca="1" si="21"/>
        <v>636</v>
      </c>
      <c r="BO34" s="5" t="str">
        <f t="shared" ca="1" si="22"/>
        <v>VIGENTE</v>
      </c>
      <c r="BP34" s="3"/>
      <c r="BQ34" s="39">
        <v>45841</v>
      </c>
      <c r="BR34" s="4">
        <f>DATE(YEAR(BQ34)+2,MONTH(BQ34),DAY(BQ34))</f>
        <v>46571</v>
      </c>
      <c r="BS34" s="8">
        <f t="shared" ca="1" si="23"/>
        <v>426</v>
      </c>
      <c r="BT34" s="5" t="str">
        <f t="shared" ca="1" si="24"/>
        <v>VIGENTE</v>
      </c>
      <c r="BU34" s="3"/>
      <c r="BV34" s="4">
        <v>45950</v>
      </c>
      <c r="BW34" s="4">
        <f>DATE(YEAR(BV34)+2,MONTH(BV34),DAY(BV34))</f>
        <v>46680</v>
      </c>
      <c r="BX34" s="8">
        <f t="shared" ca="1" si="25"/>
        <v>535</v>
      </c>
      <c r="BY34" s="5" t="str">
        <f t="shared" ca="1" si="26"/>
        <v>VIGENTE</v>
      </c>
      <c r="BZ34" s="3"/>
      <c r="CA34" s="4">
        <v>45944</v>
      </c>
      <c r="CB34" s="4">
        <f t="shared" si="203"/>
        <v>46674</v>
      </c>
      <c r="CC34" s="8">
        <f t="shared" ca="1" si="27"/>
        <v>529</v>
      </c>
      <c r="CD34" s="5" t="str">
        <f t="shared" ca="1" si="28"/>
        <v>VIGENTE</v>
      </c>
      <c r="CE34" s="6"/>
      <c r="CF34" s="4">
        <v>45247</v>
      </c>
      <c r="CG34" s="4">
        <f t="shared" si="29"/>
        <v>46708</v>
      </c>
      <c r="CH34" s="8">
        <f t="shared" ca="1" si="30"/>
        <v>563</v>
      </c>
      <c r="CI34" s="5" t="str">
        <f t="shared" ca="1" si="31"/>
        <v>VIGENTE</v>
      </c>
      <c r="CJ34" s="4"/>
      <c r="CK34" s="4">
        <v>45929</v>
      </c>
      <c r="CL34" s="4">
        <f>DATE(YEAR(CK34)+2,MONTH(CK34),DAY(CK34))</f>
        <v>46659</v>
      </c>
      <c r="CM34" s="8">
        <f t="shared" ca="1" si="32"/>
        <v>514</v>
      </c>
      <c r="CN34" s="5" t="str">
        <f t="shared" ca="1" si="33"/>
        <v>VIGENTE</v>
      </c>
      <c r="CO34" s="3"/>
      <c r="CP34" s="39">
        <v>45979</v>
      </c>
      <c r="CQ34" s="4">
        <f>DATE(YEAR(CP34)+2,MONTH(CP34),DAY(CP34))</f>
        <v>46709</v>
      </c>
      <c r="CR34" s="8">
        <f t="shared" ca="1" si="34"/>
        <v>564</v>
      </c>
      <c r="CS34" s="5" t="str">
        <f t="shared" ca="1" si="35"/>
        <v>VIGENTE</v>
      </c>
      <c r="CT34" s="3"/>
      <c r="CU34" s="4">
        <v>45631</v>
      </c>
      <c r="CV34" s="4">
        <f>DATE(YEAR(CU34)+2,MONTH(CU34),DAY(CU34)-1)</f>
        <v>46360</v>
      </c>
      <c r="CW34" s="8">
        <f t="shared" ca="1" si="36"/>
        <v>215</v>
      </c>
      <c r="CX34" s="5" t="str">
        <f t="shared" ca="1" si="37"/>
        <v>VIGENTE</v>
      </c>
      <c r="CY34" s="3"/>
      <c r="CZ34" s="4">
        <v>45665</v>
      </c>
      <c r="DA34" s="4">
        <f>DATE(YEAR(CZ34)+2,MONTH(CZ34),DAY(CZ34)-1)</f>
        <v>46394</v>
      </c>
      <c r="DB34" s="8">
        <f t="shared" ca="1" si="38"/>
        <v>249</v>
      </c>
      <c r="DC34" s="5" t="str">
        <f t="shared" ca="1" si="39"/>
        <v>VIGENTE</v>
      </c>
      <c r="DD34" s="3"/>
      <c r="DE34" s="39">
        <v>45689</v>
      </c>
      <c r="DF34" s="4">
        <f t="shared" si="188"/>
        <v>46418</v>
      </c>
      <c r="DG34" s="8">
        <f t="shared" ca="1" si="40"/>
        <v>273</v>
      </c>
      <c r="DH34" s="5" t="str">
        <f t="shared" ca="1" si="41"/>
        <v>VIGENTE</v>
      </c>
      <c r="DI34" s="3"/>
      <c r="DJ34" s="39">
        <v>45867</v>
      </c>
      <c r="DK34" s="4">
        <f>DATE(YEAR(DJ34)+2,MONTH(DJ34),DAY(DJ34))</f>
        <v>46597</v>
      </c>
      <c r="DL34" s="8">
        <f t="shared" ca="1" si="43"/>
        <v>452</v>
      </c>
      <c r="DM34" s="5" t="str">
        <f t="shared" ca="1" si="44"/>
        <v>VIGENTE</v>
      </c>
      <c r="DN34" s="3"/>
      <c r="DO34" s="4">
        <v>45982</v>
      </c>
      <c r="DP34" s="4">
        <f t="shared" si="204"/>
        <v>46712</v>
      </c>
      <c r="DQ34" s="8">
        <f t="shared" ca="1" si="46"/>
        <v>567</v>
      </c>
      <c r="DR34" s="5" t="str">
        <f t="shared" ca="1" si="47"/>
        <v>VIGENTE</v>
      </c>
      <c r="DS34" s="3"/>
      <c r="DT34" s="4">
        <v>45852</v>
      </c>
      <c r="DU34" s="4">
        <f>DATE(YEAR(DT34)+2,MONTH(DT34),DAY(DT34))</f>
        <v>46582</v>
      </c>
      <c r="DV34" s="8">
        <f t="shared" ca="1" si="48"/>
        <v>437</v>
      </c>
      <c r="DW34" s="5" t="str">
        <f t="shared" ca="1" si="49"/>
        <v>VIGENTE</v>
      </c>
      <c r="DX34" s="3"/>
      <c r="DY34" s="4">
        <v>45866</v>
      </c>
      <c r="DZ34" s="4">
        <f>DATE(YEAR(DY34)+2,MONTH(DY34),DAY(DY34))</f>
        <v>46596</v>
      </c>
      <c r="EA34" s="8">
        <f t="shared" ca="1" si="50"/>
        <v>451</v>
      </c>
      <c r="EB34" s="5" t="str">
        <f t="shared" ca="1" si="51"/>
        <v>VIGENTE</v>
      </c>
      <c r="EC34" s="3"/>
      <c r="ED34" s="39">
        <v>45938</v>
      </c>
      <c r="EE34" s="4">
        <f t="shared" ref="EE34:EE39" si="205">DATE(YEAR(ED34)+2,MONTH(ED34),DAY(ED34))</f>
        <v>46668</v>
      </c>
      <c r="EF34" s="8">
        <f t="shared" ca="1" si="52"/>
        <v>523</v>
      </c>
      <c r="EG34" s="5" t="str">
        <f t="shared" ca="1" si="53"/>
        <v>VIGENTE</v>
      </c>
      <c r="EH34" s="3"/>
      <c r="EI34" s="4">
        <v>45948</v>
      </c>
      <c r="EJ34" s="4">
        <f t="shared" si="131"/>
        <v>46313</v>
      </c>
      <c r="EK34" s="8">
        <f t="shared" ca="1" si="54"/>
        <v>168</v>
      </c>
      <c r="EL34" s="5" t="str">
        <f t="shared" ca="1" si="55"/>
        <v>VIGENTE</v>
      </c>
      <c r="EM34" s="3"/>
      <c r="EN34" s="4">
        <v>45840</v>
      </c>
      <c r="EO34" s="4">
        <f>DATE(YEAR(EN34)+2,MONTH(EN34),DAY(EN34))</f>
        <v>46570</v>
      </c>
      <c r="EP34" s="8">
        <f t="shared" ca="1" si="56"/>
        <v>425</v>
      </c>
      <c r="EQ34" s="5" t="str">
        <f t="shared" ca="1" si="57"/>
        <v>VIGENTE</v>
      </c>
      <c r="ER34" s="3"/>
      <c r="ES34" s="39">
        <v>45824</v>
      </c>
      <c r="ET34" s="4">
        <f>DATE(YEAR(ES34)+2,MONTH(ES34),DAY(ES34))</f>
        <v>46554</v>
      </c>
      <c r="EU34" s="8">
        <f t="shared" ca="1" si="58"/>
        <v>409</v>
      </c>
      <c r="EV34" s="5" t="str">
        <f t="shared" ca="1" si="59"/>
        <v>VIGENTE</v>
      </c>
      <c r="EW34" s="3"/>
      <c r="EX34" s="4">
        <v>45953</v>
      </c>
      <c r="EY34" s="4">
        <f t="shared" si="197"/>
        <v>46683</v>
      </c>
      <c r="EZ34" s="8">
        <f t="shared" ca="1" si="60"/>
        <v>538</v>
      </c>
      <c r="FA34" s="5" t="str">
        <f t="shared" ca="1" si="61"/>
        <v>VIGENTE</v>
      </c>
      <c r="FB34" s="3"/>
      <c r="FC34" s="4">
        <v>45931</v>
      </c>
      <c r="FD34" s="4">
        <f t="shared" si="198"/>
        <v>46661</v>
      </c>
      <c r="FE34" s="8">
        <f t="shared" ca="1" si="62"/>
        <v>516</v>
      </c>
      <c r="FF34" s="5" t="str">
        <f t="shared" ca="1" si="63"/>
        <v>VIGENTE</v>
      </c>
      <c r="FG34" s="3"/>
      <c r="FH34" s="4">
        <v>45932</v>
      </c>
      <c r="FI34" s="4">
        <f t="shared" si="199"/>
        <v>46662</v>
      </c>
      <c r="FJ34" s="8">
        <f t="shared" ca="1" si="64"/>
        <v>517</v>
      </c>
      <c r="FK34" s="5" t="str">
        <f t="shared" ca="1" si="65"/>
        <v>VIGENTE</v>
      </c>
      <c r="FL34" s="3"/>
      <c r="FM34" s="39">
        <v>45933</v>
      </c>
      <c r="FN34" s="4">
        <f>DATE(YEAR(FM34)+2,MONTH(FM34),DAY(FM34))</f>
        <v>46663</v>
      </c>
      <c r="FO34" s="8">
        <f t="shared" ca="1" si="67"/>
        <v>518</v>
      </c>
      <c r="FP34" s="5" t="str">
        <f t="shared" ca="1" si="68"/>
        <v>VIGENTE</v>
      </c>
      <c r="FQ34" s="3"/>
      <c r="FR34" s="39">
        <v>45957</v>
      </c>
      <c r="FS34" s="4">
        <f>DATE(YEAR(FR34)+2,MONTH(FR34),DAY(FR34))</f>
        <v>46687</v>
      </c>
      <c r="FT34" s="8">
        <f t="shared" ca="1" si="69"/>
        <v>542</v>
      </c>
      <c r="FU34" s="5" t="str">
        <f t="shared" ca="1" si="70"/>
        <v>VIGENTE</v>
      </c>
      <c r="FV34" s="4"/>
      <c r="FW34" s="4">
        <v>45536</v>
      </c>
      <c r="FX34" s="4">
        <f>DATE(YEAR(FW34)+2,MONTH(FW34),DAY(FW34)-1)</f>
        <v>46265</v>
      </c>
      <c r="FY34" s="8">
        <f t="shared" ca="1" si="71"/>
        <v>120</v>
      </c>
      <c r="FZ34" s="5" t="str">
        <f t="shared" ca="1" si="72"/>
        <v>VIGENTE</v>
      </c>
      <c r="GA34" s="3"/>
      <c r="GB34" s="4">
        <v>45925</v>
      </c>
      <c r="GC34" s="4">
        <f>DATE(YEAR(GB34)+2,MONTH(GB34),DAY(GB34))</f>
        <v>46655</v>
      </c>
      <c r="GD34" s="8">
        <f t="shared" ca="1" si="73"/>
        <v>510</v>
      </c>
      <c r="GE34" s="5" t="str">
        <f t="shared" ca="1" si="74"/>
        <v>VIGENTE</v>
      </c>
      <c r="GF34" s="3"/>
      <c r="GG34" s="4">
        <v>45960</v>
      </c>
      <c r="GH34" s="4">
        <f>DATE(YEAR(GG34)+2,MONTH(GG34),DAY(GG34))</f>
        <v>46690</v>
      </c>
      <c r="GI34" s="8">
        <f t="shared" ca="1" si="75"/>
        <v>545</v>
      </c>
      <c r="GJ34" s="5" t="str">
        <f t="shared" ca="1" si="76"/>
        <v>VIGENTE</v>
      </c>
      <c r="GK34" s="3"/>
      <c r="GL34" s="4">
        <v>45923</v>
      </c>
      <c r="GM34" s="4">
        <f>DATE(YEAR(GL34)+2,MONTH(GL34),DAY(GL34))</f>
        <v>46653</v>
      </c>
      <c r="GN34" s="8">
        <f t="shared" ca="1" si="77"/>
        <v>508</v>
      </c>
      <c r="GO34" s="5" t="str">
        <f t="shared" ca="1" si="78"/>
        <v>VIGENTE</v>
      </c>
      <c r="GP34" s="4"/>
      <c r="GQ34" s="4">
        <v>45048</v>
      </c>
      <c r="GR34" s="4">
        <f t="shared" si="79"/>
        <v>46875</v>
      </c>
      <c r="GS34" s="8">
        <f t="shared" ca="1" si="176"/>
        <v>730</v>
      </c>
      <c r="GT34" s="5" t="str">
        <f t="shared" ca="1" si="81"/>
        <v>VIGENTE</v>
      </c>
      <c r="GU34" s="3"/>
      <c r="GV34" s="4">
        <v>44984</v>
      </c>
      <c r="GW34" s="4">
        <f t="shared" si="82"/>
        <v>46810</v>
      </c>
      <c r="GX34" s="8">
        <f t="shared" ca="1" si="83"/>
        <v>665</v>
      </c>
      <c r="GY34" s="5" t="str">
        <f t="shared" ca="1" si="84"/>
        <v>VIGENTE</v>
      </c>
      <c r="GZ34" s="3"/>
      <c r="HA34" s="4">
        <v>45281</v>
      </c>
      <c r="HB34" s="4">
        <f t="shared" si="85"/>
        <v>47108</v>
      </c>
      <c r="HC34" s="8">
        <f t="shared" ca="1" si="86"/>
        <v>963</v>
      </c>
      <c r="HD34" s="5" t="str">
        <f t="shared" ca="1" si="87"/>
        <v>VIGENTE</v>
      </c>
      <c r="HE34" s="6"/>
      <c r="HF34" s="4">
        <v>45094</v>
      </c>
      <c r="HG34" s="4">
        <f t="shared" si="200"/>
        <v>46921</v>
      </c>
      <c r="HH34" s="8">
        <f t="shared" ca="1" si="201"/>
        <v>776</v>
      </c>
      <c r="HI34" s="5" t="str">
        <f t="shared" ca="1" si="187"/>
        <v>VIGENTE</v>
      </c>
      <c r="HJ34" s="2"/>
      <c r="HK34" s="4">
        <v>45368</v>
      </c>
      <c r="HL34" s="4">
        <f>DATE(YEAR(HK34)+5,MONTH(HK34),DAY(HK34))</f>
        <v>47194</v>
      </c>
      <c r="HM34" s="8">
        <f ca="1">HL34-TODAY()</f>
        <v>1049</v>
      </c>
      <c r="HN34" s="5" t="str">
        <f t="shared" ca="1" si="202"/>
        <v>VIGENTE</v>
      </c>
      <c r="HO34" s="2"/>
      <c r="HP34" s="2"/>
      <c r="HQ34" s="4"/>
      <c r="HR34" s="2"/>
      <c r="HS34" s="5" t="str">
        <f t="shared" si="92"/>
        <v>NO APLICA</v>
      </c>
      <c r="HT34" s="2"/>
      <c r="HU34" s="4">
        <v>45147</v>
      </c>
      <c r="HV34" s="4">
        <f>DATE(YEAR(HU34)+5,MONTH(HU34),DAY(HU34))</f>
        <v>46974</v>
      </c>
      <c r="HW34" s="8">
        <f ca="1">HV34-TODAY()</f>
        <v>829</v>
      </c>
      <c r="HX34" s="5" t="str">
        <f t="shared" ca="1" si="93"/>
        <v>VIGENTE</v>
      </c>
      <c r="HY34" s="3"/>
      <c r="HZ34" s="4">
        <v>45475</v>
      </c>
      <c r="IA34" s="4">
        <f>DATE(YEAR(HZ34)+5,MONTH(HZ34),DAY(HZ34))</f>
        <v>47301</v>
      </c>
      <c r="IB34" s="8">
        <f ca="1">IA34-TODAY()</f>
        <v>1156</v>
      </c>
      <c r="IC34" s="5" t="str">
        <f t="shared" ca="1" si="94"/>
        <v>VIGENTE</v>
      </c>
      <c r="ID34" s="3"/>
      <c r="IE34" s="4">
        <v>45483</v>
      </c>
      <c r="IF34" s="4">
        <f>DATE(YEAR(IE34)+5,MONTH(IE34),DAY(IE34))</f>
        <v>47309</v>
      </c>
      <c r="IG34" s="8">
        <f ca="1">IF34-TODAY()</f>
        <v>1164</v>
      </c>
      <c r="IH34" s="5" t="str">
        <f t="shared" ca="1" si="95"/>
        <v>VIGENTE</v>
      </c>
      <c r="II34" s="4"/>
      <c r="IJ34" s="4">
        <v>45452</v>
      </c>
      <c r="IK34" s="4">
        <f>DATE(YEAR(IJ34)+5,MONTH(IJ34),DAY(IJ34))</f>
        <v>47278</v>
      </c>
      <c r="IL34" s="8">
        <f ca="1">IK34-TODAY()</f>
        <v>1133</v>
      </c>
      <c r="IM34" s="5" t="str">
        <f t="shared" ca="1" si="96"/>
        <v>VIGENTE</v>
      </c>
      <c r="IN34" s="3"/>
      <c r="IO34" s="4">
        <v>45453</v>
      </c>
      <c r="IP34" s="4">
        <f>DATE(YEAR(IO34)+5,MONTH(IO34),DAY(IO34))</f>
        <v>47279</v>
      </c>
      <c r="IQ34" s="8">
        <f ca="1">IP34-TODAY()</f>
        <v>1134</v>
      </c>
      <c r="IR34" s="5" t="str">
        <f t="shared" ca="1" si="97"/>
        <v>VIGENTE</v>
      </c>
      <c r="IS34" s="3"/>
      <c r="IT34" s="4">
        <v>45484</v>
      </c>
      <c r="IU34" s="4">
        <f>DATE(YEAR(IT34)+5,MONTH(IT34),DAY(IT34))</f>
        <v>47310</v>
      </c>
      <c r="IV34" s="8">
        <f ca="1">IU34-TODAY()</f>
        <v>1165</v>
      </c>
      <c r="IW34" s="5" t="str">
        <f t="shared" ca="1" si="98"/>
        <v>VIGENTE</v>
      </c>
      <c r="IX34" s="3"/>
      <c r="IY34" s="4">
        <v>45477</v>
      </c>
      <c r="IZ34" s="4">
        <f>DATE(YEAR(IY34)+5,MONTH(IY34),DAY(IY34))</f>
        <v>47303</v>
      </c>
      <c r="JA34" s="8">
        <f ca="1">IZ34-TODAY()</f>
        <v>1158</v>
      </c>
      <c r="JB34" s="5" t="str">
        <f t="shared" ca="1" si="99"/>
        <v>VIGENTE</v>
      </c>
      <c r="JC34" s="3" t="s">
        <v>780</v>
      </c>
      <c r="JD34" s="3"/>
      <c r="JE34" s="4"/>
      <c r="JF34" s="8"/>
      <c r="JG34" s="5"/>
      <c r="JH34" s="3" t="s">
        <v>780</v>
      </c>
      <c r="JI34" s="6"/>
      <c r="JJ34" s="6"/>
      <c r="JK34" s="6"/>
      <c r="JL34" s="5"/>
      <c r="JM34" s="6" t="s">
        <v>780</v>
      </c>
      <c r="JN34" s="6"/>
      <c r="JO34" s="6"/>
      <c r="JP34" s="6"/>
      <c r="JQ34" s="5"/>
      <c r="JR34" s="6" t="s">
        <v>780</v>
      </c>
      <c r="JS34" s="6"/>
      <c r="JT34" s="6"/>
      <c r="JU34" s="6"/>
      <c r="JV34" s="5"/>
      <c r="JW34" s="6" t="s">
        <v>780</v>
      </c>
      <c r="JX34" s="5"/>
      <c r="JY34" s="5"/>
      <c r="JZ34" s="5"/>
      <c r="KA34" s="5"/>
      <c r="KB34" s="5"/>
      <c r="KC34" s="2"/>
      <c r="KD34" s="4"/>
      <c r="KE34" s="8"/>
      <c r="KF34" s="5" t="str">
        <f t="shared" si="135"/>
        <v>NO APLICA</v>
      </c>
      <c r="KG34" s="5"/>
      <c r="KH34" s="2"/>
      <c r="KI34" s="4"/>
      <c r="KJ34" s="8"/>
      <c r="KK34" s="5" t="str">
        <f t="shared" si="136"/>
        <v>NO APLICA</v>
      </c>
      <c r="KL34" s="5"/>
      <c r="KM34" s="2"/>
      <c r="KN34" s="4"/>
      <c r="KO34" s="8"/>
      <c r="KP34" s="5" t="str">
        <f t="shared" si="100"/>
        <v>NO APLICA</v>
      </c>
      <c r="KQ34" s="5"/>
      <c r="KR34" s="2"/>
      <c r="KS34" s="4"/>
      <c r="KT34" s="8"/>
      <c r="KU34" s="5" t="str">
        <f t="shared" si="137"/>
        <v>NO APLICA</v>
      </c>
      <c r="KV34" s="2"/>
      <c r="KW34" s="6"/>
      <c r="KX34" s="4"/>
      <c r="KY34" s="8"/>
      <c r="KZ34" s="5" t="str">
        <f t="shared" si="151"/>
        <v>NO APLICA</v>
      </c>
      <c r="LA34" s="5"/>
      <c r="LB34" s="4">
        <v>44613</v>
      </c>
      <c r="LC34" s="4">
        <f>DATE(YEAR(LB34)+5,MONTH(LB34),DAY(LB34))</f>
        <v>46439</v>
      </c>
      <c r="LD34" s="8">
        <f ca="1">LC34-TODAY()</f>
        <v>294</v>
      </c>
      <c r="LE34" s="5" t="str">
        <f t="shared" ca="1" si="138"/>
        <v>VIGENTE</v>
      </c>
      <c r="LF34" s="6"/>
      <c r="LG34" s="4"/>
      <c r="LH34" s="4"/>
      <c r="LI34" s="8"/>
      <c r="LJ34" s="5" t="str">
        <f t="shared" si="101"/>
        <v>NO APLICA</v>
      </c>
      <c r="LK34" s="5"/>
      <c r="LL34" s="5"/>
      <c r="LM34" s="4"/>
      <c r="LN34" s="8"/>
      <c r="LO34" s="5" t="str">
        <f t="shared" si="152"/>
        <v>NO APLICA</v>
      </c>
      <c r="LP34" s="2"/>
      <c r="LQ34" s="6"/>
      <c r="LR34" s="4"/>
      <c r="LS34" s="8"/>
      <c r="LT34" s="5" t="str">
        <f t="shared" si="139"/>
        <v>NO APLICA</v>
      </c>
      <c r="LU34" s="6"/>
      <c r="LV34" s="6"/>
      <c r="LW34" s="4"/>
      <c r="LX34" s="8"/>
      <c r="LY34" s="5" t="str">
        <f t="shared" si="140"/>
        <v>NO APLICA</v>
      </c>
      <c r="LZ34" s="6"/>
      <c r="MA34" s="6"/>
      <c r="MB34" s="4"/>
      <c r="MC34" s="8"/>
      <c r="MD34" s="5" t="str">
        <f t="shared" si="141"/>
        <v>NO APLICA</v>
      </c>
      <c r="ME34" s="2"/>
      <c r="MF34" s="2"/>
      <c r="MG34" s="4"/>
      <c r="MH34" s="8"/>
      <c r="MI34" s="5" t="str">
        <f t="shared" si="102"/>
        <v>NO APLICA</v>
      </c>
      <c r="MJ34" s="2"/>
      <c r="MK34" s="2"/>
      <c r="ML34" s="4"/>
      <c r="MM34" s="8"/>
      <c r="MN34" s="5" t="str">
        <f t="shared" si="103"/>
        <v>NO APLICA</v>
      </c>
      <c r="MO34" s="5"/>
      <c r="MP34" s="2"/>
      <c r="MQ34" s="4"/>
      <c r="MR34" s="8"/>
      <c r="MS34" s="5" t="str">
        <f t="shared" si="104"/>
        <v>NO APLICA</v>
      </c>
      <c r="MT34" s="5"/>
      <c r="MU34" s="2"/>
      <c r="MV34" s="4"/>
      <c r="MW34" s="2"/>
      <c r="MX34" s="5" t="str">
        <f t="shared" si="105"/>
        <v>NO APLICA</v>
      </c>
      <c r="MY34" s="2"/>
      <c r="MZ34" s="6"/>
      <c r="NA34" s="4"/>
      <c r="NB34" s="8"/>
      <c r="NC34" s="5" t="str">
        <f t="shared" si="106"/>
        <v>NO APLICA</v>
      </c>
      <c r="ND34" s="2"/>
      <c r="NE34" s="6"/>
      <c r="NF34" s="4"/>
      <c r="NG34" s="8"/>
      <c r="NH34" s="5" t="str">
        <f t="shared" si="107"/>
        <v>NO APLICA</v>
      </c>
      <c r="NI34" s="2"/>
      <c r="NJ34" s="6"/>
      <c r="NK34" s="4"/>
      <c r="NL34" s="8"/>
      <c r="NM34" s="5" t="str">
        <f t="shared" si="108"/>
        <v>NO APLICA</v>
      </c>
      <c r="NN34" s="2"/>
      <c r="NO34" s="2"/>
      <c r="NP34" s="4"/>
      <c r="NQ34" s="8"/>
      <c r="NR34" s="5" t="str">
        <f t="shared" si="109"/>
        <v>NO APLICA</v>
      </c>
      <c r="NS34" s="2"/>
      <c r="NT34" s="2"/>
      <c r="NU34" s="4"/>
      <c r="NV34" s="2"/>
      <c r="NW34" s="5" t="str">
        <f t="shared" si="110"/>
        <v>NO APLICA</v>
      </c>
      <c r="NX34" s="6"/>
      <c r="NY34" s="6"/>
      <c r="NZ34" s="4"/>
      <c r="OA34" s="8"/>
      <c r="OB34" s="5" t="str">
        <f t="shared" si="111"/>
        <v>NO APLICA</v>
      </c>
      <c r="OC34" s="6"/>
      <c r="OD34" s="6"/>
      <c r="OE34" s="6"/>
      <c r="OF34" s="6"/>
      <c r="OG34" s="5" t="str">
        <f t="shared" si="112"/>
        <v>NO APLICA</v>
      </c>
      <c r="OH34" s="2"/>
      <c r="OI34" s="2"/>
      <c r="OJ34" s="4"/>
      <c r="OK34" s="8"/>
      <c r="OL34" s="5" t="str">
        <f t="shared" si="113"/>
        <v>NO APLICA</v>
      </c>
      <c r="OM34" s="6"/>
      <c r="ON34" s="6"/>
      <c r="OO34" s="6"/>
      <c r="OP34" s="6"/>
      <c r="OQ34" s="5" t="str">
        <f t="shared" si="114"/>
        <v>NO APLICA</v>
      </c>
      <c r="OR34" s="6"/>
      <c r="OS34" s="6"/>
      <c r="OT34" s="6"/>
      <c r="OU34" s="6"/>
      <c r="OV34" s="5" t="str">
        <f t="shared" si="115"/>
        <v>NO APLICA</v>
      </c>
      <c r="OW34" s="6"/>
      <c r="OX34" s="6"/>
      <c r="OY34" s="6"/>
      <c r="OZ34" s="6"/>
      <c r="PA34" s="5" t="str">
        <f t="shared" si="116"/>
        <v>NO APLICA</v>
      </c>
      <c r="PB34" s="6"/>
      <c r="PC34" s="6"/>
      <c r="PD34" s="6"/>
      <c r="PE34" s="6"/>
      <c r="PF34" s="5" t="str">
        <f t="shared" si="117"/>
        <v>NO APLICA</v>
      </c>
      <c r="PG34" s="6"/>
      <c r="PH34" s="6"/>
      <c r="PI34" s="6"/>
      <c r="PJ34" s="6"/>
      <c r="PK34" s="5" t="str">
        <f t="shared" si="118"/>
        <v>NO APLICA</v>
      </c>
      <c r="PL34" s="5"/>
      <c r="PM34" s="6"/>
      <c r="PN34" s="4"/>
      <c r="PO34" s="8"/>
      <c r="PP34" s="5" t="str">
        <f t="shared" si="119"/>
        <v>NO APLICA</v>
      </c>
      <c r="PQ34" s="6"/>
      <c r="PR34" s="6"/>
      <c r="PS34" s="6"/>
      <c r="PT34" s="6"/>
      <c r="PU34" s="5" t="str">
        <f t="shared" si="120"/>
        <v>NO APLICA</v>
      </c>
      <c r="PV34" s="5"/>
      <c r="PW34" s="6"/>
      <c r="PX34" s="6"/>
      <c r="PY34" s="6"/>
      <c r="PZ34" s="5" t="str">
        <f t="shared" si="121"/>
        <v>NO APLICA</v>
      </c>
    </row>
    <row r="35" spans="1:442" ht="15.6" hidden="1" thickTop="1" thickBot="1" x14ac:dyDescent="0.35">
      <c r="A35" s="26">
        <v>32</v>
      </c>
      <c r="B35" s="31">
        <v>1709</v>
      </c>
      <c r="C35" s="28" t="s">
        <v>170</v>
      </c>
      <c r="D35" s="29" t="s">
        <v>64</v>
      </c>
      <c r="E35" s="30" t="s">
        <v>81</v>
      </c>
      <c r="F35" s="5"/>
      <c r="G35" s="6"/>
      <c r="H35" s="4"/>
      <c r="I35" s="8"/>
      <c r="J35" s="5" t="str">
        <f t="shared" si="0"/>
        <v>NO APLICA</v>
      </c>
      <c r="K35" s="5"/>
      <c r="L35" s="6"/>
      <c r="M35" s="6"/>
      <c r="N35" s="8"/>
      <c r="O35" s="5" t="str">
        <f t="shared" si="1"/>
        <v>NO APLICA</v>
      </c>
      <c r="P35" s="4"/>
      <c r="Q35" s="4">
        <v>45590</v>
      </c>
      <c r="R35" s="4">
        <f>DATE(YEAR(Q35)+2,MONTH(Q35),DAY(Q35)-1)</f>
        <v>46319</v>
      </c>
      <c r="S35" s="8">
        <f ca="1">R35-TODAY()</f>
        <v>174</v>
      </c>
      <c r="T35" s="5" t="str">
        <f t="shared" ca="1" si="122"/>
        <v>VIGENTE</v>
      </c>
      <c r="U35" s="5"/>
      <c r="V35" s="2" t="s">
        <v>171</v>
      </c>
      <c r="W35" s="4">
        <v>45216</v>
      </c>
      <c r="X35" s="4">
        <f t="shared" si="2"/>
        <v>47043</v>
      </c>
      <c r="Y35" s="8">
        <f t="shared" ca="1" si="3"/>
        <v>898</v>
      </c>
      <c r="Z35" s="5" t="str">
        <f t="shared" ca="1" si="4"/>
        <v>VIGENTE</v>
      </c>
      <c r="AA35" s="5"/>
      <c r="AB35" s="2" t="s">
        <v>172</v>
      </c>
      <c r="AC35" s="4">
        <v>45233</v>
      </c>
      <c r="AD35" s="4">
        <f t="shared" si="191"/>
        <v>47060</v>
      </c>
      <c r="AE35" s="8">
        <f t="shared" ca="1" si="192"/>
        <v>915</v>
      </c>
      <c r="AF35" s="5" t="str">
        <f t="shared" ca="1" si="7"/>
        <v>VIGENTE</v>
      </c>
      <c r="AG35" s="2"/>
      <c r="AH35" s="4">
        <v>45936</v>
      </c>
      <c r="AI35" s="4">
        <f>DATE(YEAR(AH35)+2,MONTH(AH35),DAY(AH35))</f>
        <v>46666</v>
      </c>
      <c r="AJ35" s="8">
        <f t="shared" ca="1" si="8"/>
        <v>521</v>
      </c>
      <c r="AK35" s="5" t="str">
        <f t="shared" ca="1" si="9"/>
        <v>VIGENTE</v>
      </c>
      <c r="AL35" s="2"/>
      <c r="AM35" s="4">
        <v>45937</v>
      </c>
      <c r="AN35" s="4">
        <f t="shared" si="193"/>
        <v>46667</v>
      </c>
      <c r="AO35" s="8">
        <f t="shared" ca="1" si="10"/>
        <v>522</v>
      </c>
      <c r="AP35" s="5" t="str">
        <f t="shared" ca="1" si="11"/>
        <v>VIGENTE</v>
      </c>
      <c r="AQ35" s="2"/>
      <c r="AR35" s="4">
        <v>45904</v>
      </c>
      <c r="AS35" s="4">
        <f>DATE(YEAR(AR35)+2,MONTH(AR35),DAY(AR35))</f>
        <v>46634</v>
      </c>
      <c r="AT35" s="8">
        <f t="shared" ca="1" si="12"/>
        <v>489</v>
      </c>
      <c r="AU35" s="5" t="str">
        <f t="shared" ca="1" si="13"/>
        <v>VIGENTE</v>
      </c>
      <c r="AV35" s="2"/>
      <c r="AW35" s="4">
        <v>45927</v>
      </c>
      <c r="AX35" s="4">
        <f t="shared" si="194"/>
        <v>46657</v>
      </c>
      <c r="AY35" s="8">
        <f t="shared" ca="1" si="15"/>
        <v>512</v>
      </c>
      <c r="AZ35" s="5" t="str">
        <f t="shared" ca="1" si="16"/>
        <v>VIGENTE</v>
      </c>
      <c r="BA35" s="3"/>
      <c r="BB35" s="4">
        <v>46041</v>
      </c>
      <c r="BC35" s="4">
        <f>DATE(YEAR(BB35)+2,MONTH(BB35),DAY(BB35))</f>
        <v>46771</v>
      </c>
      <c r="BD35" s="8">
        <f t="shared" ca="1" si="17"/>
        <v>626</v>
      </c>
      <c r="BE35" s="5" t="str">
        <f t="shared" ca="1" si="18"/>
        <v>VIGENTE</v>
      </c>
      <c r="BF35" s="2"/>
      <c r="BG35" s="4">
        <v>45997</v>
      </c>
      <c r="BH35" s="4">
        <f t="shared" si="195"/>
        <v>46727</v>
      </c>
      <c r="BI35" s="8">
        <f t="shared" ca="1" si="19"/>
        <v>582</v>
      </c>
      <c r="BJ35" s="5" t="str">
        <f t="shared" ca="1" si="20"/>
        <v>VIGENTE</v>
      </c>
      <c r="BK35" s="3"/>
      <c r="BL35" s="4">
        <v>46017</v>
      </c>
      <c r="BM35" s="4">
        <f t="shared" si="196"/>
        <v>46747</v>
      </c>
      <c r="BN35" s="8">
        <f t="shared" ca="1" si="21"/>
        <v>602</v>
      </c>
      <c r="BO35" s="5" t="str">
        <f t="shared" ca="1" si="22"/>
        <v>VIGENTE</v>
      </c>
      <c r="BP35" s="3"/>
      <c r="BQ35" s="39">
        <v>45988</v>
      </c>
      <c r="BR35" s="4">
        <f>DATE(YEAR(BQ35)+2,MONTH(BQ35),DAY(BQ35))</f>
        <v>46718</v>
      </c>
      <c r="BS35" s="8">
        <f t="shared" ca="1" si="23"/>
        <v>573</v>
      </c>
      <c r="BT35" s="5" t="str">
        <f t="shared" ca="1" si="24"/>
        <v>VIGENTE</v>
      </c>
      <c r="BU35" s="3"/>
      <c r="BV35" s="4">
        <v>46031</v>
      </c>
      <c r="BW35" s="4">
        <f>DATE(YEAR(BV35)+2,MONTH(BV35),DAY(BV35))</f>
        <v>46761</v>
      </c>
      <c r="BX35" s="8">
        <f t="shared" ca="1" si="25"/>
        <v>616</v>
      </c>
      <c r="BY35" s="5" t="str">
        <f t="shared" ca="1" si="26"/>
        <v>VIGENTE</v>
      </c>
      <c r="BZ35" s="2"/>
      <c r="CA35" s="4">
        <v>45986</v>
      </c>
      <c r="CB35" s="4">
        <f t="shared" si="203"/>
        <v>46716</v>
      </c>
      <c r="CC35" s="8">
        <f t="shared" ca="1" si="27"/>
        <v>571</v>
      </c>
      <c r="CD35" s="5" t="str">
        <f t="shared" ca="1" si="28"/>
        <v>VIGENTE</v>
      </c>
      <c r="CE35" s="6"/>
      <c r="CF35" s="4">
        <v>45455</v>
      </c>
      <c r="CG35" s="4">
        <f t="shared" si="29"/>
        <v>46916</v>
      </c>
      <c r="CH35" s="8">
        <f t="shared" ca="1" si="30"/>
        <v>771</v>
      </c>
      <c r="CI35" s="5" t="str">
        <f t="shared" ca="1" si="31"/>
        <v>VIGENTE</v>
      </c>
      <c r="CJ35" s="4"/>
      <c r="CK35" s="4">
        <v>46018</v>
      </c>
      <c r="CL35" s="4">
        <f>DATE(YEAR(CK35)+2,MONTH(CK35),DAY(CK35))</f>
        <v>46748</v>
      </c>
      <c r="CM35" s="8">
        <f t="shared" ca="1" si="32"/>
        <v>603</v>
      </c>
      <c r="CN35" s="5" t="str">
        <f t="shared" ca="1" si="33"/>
        <v>VIGENTE</v>
      </c>
      <c r="CO35" s="3"/>
      <c r="CP35" s="39">
        <v>45994</v>
      </c>
      <c r="CQ35" s="4">
        <f>DATE(YEAR(CP35)+2,MONTH(CP35),DAY(CP35))</f>
        <v>46724</v>
      </c>
      <c r="CR35" s="8">
        <f t="shared" ca="1" si="34"/>
        <v>579</v>
      </c>
      <c r="CS35" s="5" t="str">
        <f t="shared" ca="1" si="35"/>
        <v>VIGENTE</v>
      </c>
      <c r="CT35" s="2"/>
      <c r="CU35" s="4">
        <v>45905</v>
      </c>
      <c r="CV35" s="4">
        <f>DATE(YEAR(CU35)+2,MONTH(CU35),DAY(CU35))</f>
        <v>46635</v>
      </c>
      <c r="CW35" s="8">
        <f t="shared" ca="1" si="36"/>
        <v>490</v>
      </c>
      <c r="CX35" s="5" t="str">
        <f t="shared" ca="1" si="37"/>
        <v>VIGENTE</v>
      </c>
      <c r="CY35" s="3"/>
      <c r="CZ35" s="4">
        <v>46000</v>
      </c>
      <c r="DA35" s="4">
        <f t="shared" ref="DA35:DA40" si="206">DATE(YEAR(CZ35)+2,MONTH(CZ35),DAY(CZ35))</f>
        <v>46730</v>
      </c>
      <c r="DB35" s="8">
        <f t="shared" ca="1" si="38"/>
        <v>585</v>
      </c>
      <c r="DC35" s="5" t="str">
        <f t="shared" ca="1" si="39"/>
        <v>VIGENTE</v>
      </c>
      <c r="DD35" s="3"/>
      <c r="DE35" s="39">
        <v>45996</v>
      </c>
      <c r="DF35" s="4">
        <f>DATE(YEAR(DE35)+2,MONTH(DE35),DAY(DE35))</f>
        <v>46726</v>
      </c>
      <c r="DG35" s="8">
        <f t="shared" ca="1" si="40"/>
        <v>581</v>
      </c>
      <c r="DH35" s="5" t="str">
        <f t="shared" ca="1" si="41"/>
        <v>VIGENTE</v>
      </c>
      <c r="DI35" s="3"/>
      <c r="DJ35" s="39">
        <v>45975</v>
      </c>
      <c r="DK35" s="4">
        <f>DATE(YEAR(DJ35)+2,MONTH(DJ35),DAY(DJ35))</f>
        <v>46705</v>
      </c>
      <c r="DL35" s="8">
        <f t="shared" ca="1" si="43"/>
        <v>560</v>
      </c>
      <c r="DM35" s="5" t="str">
        <f t="shared" ca="1" si="44"/>
        <v>VIGENTE</v>
      </c>
      <c r="DN35" s="3"/>
      <c r="DO35" s="4">
        <v>46008</v>
      </c>
      <c r="DP35" s="4">
        <f t="shared" si="204"/>
        <v>46738</v>
      </c>
      <c r="DQ35" s="8">
        <f t="shared" ca="1" si="46"/>
        <v>593</v>
      </c>
      <c r="DR35" s="5" t="str">
        <f t="shared" ca="1" si="47"/>
        <v>VIGENTE</v>
      </c>
      <c r="DS35" s="3"/>
      <c r="DT35" s="3">
        <v>46009</v>
      </c>
      <c r="DU35" s="4">
        <f>DATE(YEAR(DT35)+2,MONTH(DT35),DAY(DT35))</f>
        <v>46739</v>
      </c>
      <c r="DV35" s="8">
        <f t="shared" ca="1" si="48"/>
        <v>594</v>
      </c>
      <c r="DW35" s="5" t="str">
        <f t="shared" ca="1" si="49"/>
        <v>VIGENTE</v>
      </c>
      <c r="DX35" s="4"/>
      <c r="DY35" s="4">
        <v>46032</v>
      </c>
      <c r="DZ35" s="4">
        <f>DATE(YEAR(DY35)+2,MONTH(DY35),DAY(DY35))</f>
        <v>46762</v>
      </c>
      <c r="EA35" s="8">
        <f t="shared" ca="1" si="50"/>
        <v>617</v>
      </c>
      <c r="EB35" s="5" t="str">
        <f t="shared" ca="1" si="51"/>
        <v>VIGENTE</v>
      </c>
      <c r="EC35" s="4"/>
      <c r="ED35" s="39">
        <v>45985</v>
      </c>
      <c r="EE35" s="4">
        <f t="shared" si="205"/>
        <v>46715</v>
      </c>
      <c r="EF35" s="8">
        <f t="shared" ca="1" si="52"/>
        <v>570</v>
      </c>
      <c r="EG35" s="5" t="str">
        <f t="shared" ca="1" si="53"/>
        <v>VIGENTE</v>
      </c>
      <c r="EH35" s="3"/>
      <c r="EI35" s="3">
        <v>46015</v>
      </c>
      <c r="EJ35" s="4">
        <f t="shared" si="131"/>
        <v>46380</v>
      </c>
      <c r="EK35" s="8">
        <f t="shared" ca="1" si="54"/>
        <v>235</v>
      </c>
      <c r="EL35" s="5" t="str">
        <f t="shared" ca="1" si="55"/>
        <v>VIGENTE</v>
      </c>
      <c r="EM35" s="3"/>
      <c r="EN35" s="4">
        <v>45995</v>
      </c>
      <c r="EO35" s="4">
        <f>DATE(YEAR(EN35)+2,MONTH(EN35),DAY(EN35))</f>
        <v>46725</v>
      </c>
      <c r="EP35" s="8">
        <f t="shared" ca="1" si="56"/>
        <v>580</v>
      </c>
      <c r="EQ35" s="5" t="str">
        <f t="shared" ca="1" si="57"/>
        <v>VIGENTE</v>
      </c>
      <c r="ER35" s="2"/>
      <c r="ES35" s="39">
        <v>45999</v>
      </c>
      <c r="ET35" s="4">
        <f>DATE(YEAR(ES35)+2,MONTH(ES35),DAY(ES35))</f>
        <v>46729</v>
      </c>
      <c r="EU35" s="8">
        <f t="shared" ca="1" si="58"/>
        <v>584</v>
      </c>
      <c r="EV35" s="5" t="str">
        <f t="shared" ca="1" si="59"/>
        <v>VIGENTE</v>
      </c>
      <c r="EW35" s="3"/>
      <c r="EX35" s="4">
        <v>46037</v>
      </c>
      <c r="EY35" s="4">
        <f t="shared" si="197"/>
        <v>46767</v>
      </c>
      <c r="EZ35" s="8">
        <f t="shared" ca="1" si="60"/>
        <v>622</v>
      </c>
      <c r="FA35" s="5" t="str">
        <f t="shared" ca="1" si="61"/>
        <v>VIGENTE</v>
      </c>
      <c r="FB35" s="4"/>
      <c r="FC35" s="4">
        <v>46010</v>
      </c>
      <c r="FD35" s="4">
        <f t="shared" si="198"/>
        <v>46740</v>
      </c>
      <c r="FE35" s="8">
        <f t="shared" ca="1" si="62"/>
        <v>595</v>
      </c>
      <c r="FF35" s="5" t="str">
        <f t="shared" ca="1" si="63"/>
        <v>VIGENTE</v>
      </c>
      <c r="FG35" s="3"/>
      <c r="FH35" s="4">
        <v>45962</v>
      </c>
      <c r="FI35" s="4">
        <f t="shared" si="199"/>
        <v>46692</v>
      </c>
      <c r="FJ35" s="8">
        <f t="shared" ca="1" si="64"/>
        <v>547</v>
      </c>
      <c r="FK35" s="5" t="str">
        <f t="shared" ca="1" si="65"/>
        <v>VIGENTE</v>
      </c>
      <c r="FL35" s="4"/>
      <c r="FM35" s="39">
        <v>46039</v>
      </c>
      <c r="FN35" s="4">
        <f>DATE(YEAR(FM35)+2,MONTH(FM35),DAY(FM35))</f>
        <v>46769</v>
      </c>
      <c r="FO35" s="8">
        <f t="shared" ca="1" si="67"/>
        <v>624</v>
      </c>
      <c r="FP35" s="5" t="str">
        <f t="shared" ca="1" si="68"/>
        <v>VIGENTE</v>
      </c>
      <c r="FQ35" s="3"/>
      <c r="FR35" s="39">
        <v>46034</v>
      </c>
      <c r="FS35" s="4">
        <f>DATE(YEAR(FR35)+2,MONTH(FR35),DAY(FR35))</f>
        <v>46764</v>
      </c>
      <c r="FT35" s="8">
        <f t="shared" ca="1" si="69"/>
        <v>619</v>
      </c>
      <c r="FU35" s="5" t="str">
        <f t="shared" ca="1" si="70"/>
        <v>VIGENTE</v>
      </c>
      <c r="FV35" s="4"/>
      <c r="FW35" s="4">
        <v>46004</v>
      </c>
      <c r="FX35" s="4">
        <f>DATE(YEAR(FW35)+2,MONTH(FW35),DAY(FW35))</f>
        <v>46734</v>
      </c>
      <c r="FY35" s="8">
        <f t="shared" ca="1" si="71"/>
        <v>589</v>
      </c>
      <c r="FZ35" s="5" t="str">
        <f t="shared" ca="1" si="72"/>
        <v>VIGENTE</v>
      </c>
      <c r="GA35" s="3"/>
      <c r="GB35" s="4">
        <v>45925</v>
      </c>
      <c r="GC35" s="4">
        <f>DATE(YEAR(GB35)+2,MONTH(GB35),DAY(GB35))</f>
        <v>46655</v>
      </c>
      <c r="GD35" s="8">
        <f t="shared" ca="1" si="73"/>
        <v>510</v>
      </c>
      <c r="GE35" s="5" t="str">
        <f t="shared" ca="1" si="74"/>
        <v>VIGENTE</v>
      </c>
      <c r="GF35" s="3"/>
      <c r="GG35" s="4">
        <v>45960</v>
      </c>
      <c r="GH35" s="4">
        <f>DATE(YEAR(GG35)+2,MONTH(GG35),DAY(GG35))</f>
        <v>46690</v>
      </c>
      <c r="GI35" s="8">
        <f t="shared" ca="1" si="75"/>
        <v>545</v>
      </c>
      <c r="GJ35" s="5" t="str">
        <f t="shared" ca="1" si="76"/>
        <v>VIGENTE</v>
      </c>
      <c r="GK35" s="3"/>
      <c r="GL35" s="4">
        <v>46071</v>
      </c>
      <c r="GM35" s="4">
        <f>DATE(YEAR(GL35)+2,MONTH(GL35),DAY(GL35))</f>
        <v>46801</v>
      </c>
      <c r="GN35" s="8">
        <f t="shared" ca="1" si="77"/>
        <v>656</v>
      </c>
      <c r="GO35" s="5" t="str">
        <f t="shared" ca="1" si="78"/>
        <v>VIGENTE</v>
      </c>
      <c r="GP35" s="4"/>
      <c r="GQ35" s="4">
        <v>45299</v>
      </c>
      <c r="GR35" s="4">
        <f t="shared" si="79"/>
        <v>47126</v>
      </c>
      <c r="GS35" s="8">
        <f t="shared" ca="1" si="176"/>
        <v>981</v>
      </c>
      <c r="GT35" s="5" t="str">
        <f t="shared" ca="1" si="81"/>
        <v>VIGENTE</v>
      </c>
      <c r="GU35" s="3"/>
      <c r="GV35" s="4">
        <v>45329</v>
      </c>
      <c r="GW35" s="4">
        <f t="shared" si="82"/>
        <v>47156</v>
      </c>
      <c r="GX35" s="8">
        <f t="shared" ca="1" si="83"/>
        <v>1011</v>
      </c>
      <c r="GY35" s="5" t="str">
        <f t="shared" ca="1" si="84"/>
        <v>VIGENTE</v>
      </c>
      <c r="GZ35" s="2"/>
      <c r="HA35" s="4">
        <v>45343</v>
      </c>
      <c r="HB35" s="4">
        <f t="shared" si="85"/>
        <v>47170</v>
      </c>
      <c r="HC35" s="8">
        <f t="shared" ca="1" si="86"/>
        <v>1025</v>
      </c>
      <c r="HD35" s="5" t="str">
        <f t="shared" ca="1" si="87"/>
        <v>VIGENTE</v>
      </c>
      <c r="HE35" s="6"/>
      <c r="HF35" s="4">
        <v>45317</v>
      </c>
      <c r="HG35" s="4">
        <f t="shared" si="200"/>
        <v>47144</v>
      </c>
      <c r="HH35" s="8">
        <f t="shared" ca="1" si="201"/>
        <v>999</v>
      </c>
      <c r="HI35" s="5" t="str">
        <f t="shared" ca="1" si="187"/>
        <v>VIGENTE</v>
      </c>
      <c r="HJ35" s="2"/>
      <c r="HK35" s="6"/>
      <c r="HL35" s="4"/>
      <c r="HM35" s="8"/>
      <c r="HN35" s="5" t="str">
        <f t="shared" si="202"/>
        <v>NO APLICA</v>
      </c>
      <c r="HO35" s="2"/>
      <c r="HP35" s="2"/>
      <c r="HQ35" s="4"/>
      <c r="HR35" s="2"/>
      <c r="HS35" s="5" t="str">
        <f t="shared" si="92"/>
        <v>NO APLICA</v>
      </c>
      <c r="HT35" s="2"/>
      <c r="HU35" s="6"/>
      <c r="HV35" s="4"/>
      <c r="HW35" s="8"/>
      <c r="HX35" s="5" t="str">
        <f t="shared" si="93"/>
        <v>NO APLICA</v>
      </c>
      <c r="HY35" s="2"/>
      <c r="HZ35" s="6"/>
      <c r="IA35" s="4"/>
      <c r="IB35" s="8"/>
      <c r="IC35" s="5" t="str">
        <f t="shared" si="94"/>
        <v>NO APLICA</v>
      </c>
      <c r="ID35" s="2"/>
      <c r="IE35" s="6"/>
      <c r="IF35" s="4"/>
      <c r="IG35" s="8"/>
      <c r="IH35" s="5" t="str">
        <f t="shared" si="95"/>
        <v>NO APLICA</v>
      </c>
      <c r="II35" s="6"/>
      <c r="IJ35" s="6"/>
      <c r="IK35" s="4"/>
      <c r="IL35" s="8"/>
      <c r="IM35" s="5" t="str">
        <f t="shared" si="96"/>
        <v>NO APLICA</v>
      </c>
      <c r="IN35" s="2"/>
      <c r="IO35" s="6"/>
      <c r="IP35" s="4"/>
      <c r="IQ35" s="8"/>
      <c r="IR35" s="5" t="str">
        <f t="shared" si="97"/>
        <v>NO APLICA</v>
      </c>
      <c r="IS35" s="2"/>
      <c r="IT35" s="6"/>
      <c r="IU35" s="4"/>
      <c r="IV35" s="8"/>
      <c r="IW35" s="5" t="str">
        <f t="shared" si="98"/>
        <v>NO APLICA</v>
      </c>
      <c r="IX35" s="2"/>
      <c r="IY35" s="6"/>
      <c r="IZ35" s="4"/>
      <c r="JA35" s="8"/>
      <c r="JB35" s="5" t="str">
        <f t="shared" si="99"/>
        <v>NO APLICA</v>
      </c>
      <c r="JC35" s="3" t="s">
        <v>780</v>
      </c>
      <c r="JD35" s="3"/>
      <c r="JE35" s="4"/>
      <c r="JF35" s="8"/>
      <c r="JG35" s="5"/>
      <c r="JH35" s="3" t="s">
        <v>780</v>
      </c>
      <c r="JI35" s="6"/>
      <c r="JJ35" s="6"/>
      <c r="JK35" s="6"/>
      <c r="JL35" s="5"/>
      <c r="JM35" s="6" t="s">
        <v>780</v>
      </c>
      <c r="JN35" s="6"/>
      <c r="JO35" s="6"/>
      <c r="JP35" s="6"/>
      <c r="JQ35" s="5"/>
      <c r="JR35" s="6" t="s">
        <v>780</v>
      </c>
      <c r="JS35" s="6"/>
      <c r="JT35" s="6"/>
      <c r="JU35" s="6"/>
      <c r="JV35" s="5"/>
      <c r="JW35" s="6" t="s">
        <v>780</v>
      </c>
      <c r="JX35" s="5"/>
      <c r="JY35" s="5"/>
      <c r="JZ35" s="5"/>
      <c r="KA35" s="5"/>
      <c r="KB35" s="5"/>
      <c r="KC35" s="2"/>
      <c r="KD35" s="4"/>
      <c r="KE35" s="8"/>
      <c r="KF35" s="5" t="str">
        <f t="shared" si="135"/>
        <v>NO APLICA</v>
      </c>
      <c r="KG35" s="5"/>
      <c r="KH35" s="2"/>
      <c r="KI35" s="4"/>
      <c r="KJ35" s="8"/>
      <c r="KK35" s="5" t="str">
        <f t="shared" si="136"/>
        <v>NO APLICA</v>
      </c>
      <c r="KL35" s="5"/>
      <c r="KM35" s="2"/>
      <c r="KN35" s="4"/>
      <c r="KO35" s="8"/>
      <c r="KP35" s="5" t="str">
        <f t="shared" si="100"/>
        <v>NO APLICA</v>
      </c>
      <c r="KQ35" s="5"/>
      <c r="KR35" s="2"/>
      <c r="KS35" s="4"/>
      <c r="KT35" s="8"/>
      <c r="KU35" s="5" t="str">
        <f t="shared" si="137"/>
        <v>NO APLICA</v>
      </c>
      <c r="KV35" s="2"/>
      <c r="KW35" s="6"/>
      <c r="KX35" s="4"/>
      <c r="KY35" s="8"/>
      <c r="KZ35" s="5" t="str">
        <f t="shared" si="151"/>
        <v>NO APLICA</v>
      </c>
      <c r="LA35" s="5"/>
      <c r="LB35" s="6"/>
      <c r="LC35" s="4"/>
      <c r="LD35" s="8"/>
      <c r="LE35" s="5" t="str">
        <f t="shared" si="138"/>
        <v>NO APLICA</v>
      </c>
      <c r="LF35" s="6"/>
      <c r="LG35" s="6"/>
      <c r="LH35" s="4"/>
      <c r="LI35" s="8"/>
      <c r="LJ35" s="5" t="str">
        <f t="shared" si="101"/>
        <v>NO APLICA</v>
      </c>
      <c r="LK35" s="5"/>
      <c r="LL35" s="5"/>
      <c r="LM35" s="5"/>
      <c r="LN35" s="5"/>
      <c r="LO35" s="5" t="str">
        <f t="shared" si="152"/>
        <v>NO APLICA</v>
      </c>
      <c r="LP35" s="2"/>
      <c r="LQ35" s="6"/>
      <c r="LR35" s="4"/>
      <c r="LS35" s="8"/>
      <c r="LT35" s="5" t="str">
        <f t="shared" si="139"/>
        <v>NO APLICA</v>
      </c>
      <c r="LU35" s="6"/>
      <c r="LV35" s="6"/>
      <c r="LW35" s="4"/>
      <c r="LX35" s="8"/>
      <c r="LY35" s="5" t="str">
        <f t="shared" si="140"/>
        <v>NO APLICA</v>
      </c>
      <c r="LZ35" s="6"/>
      <c r="MA35" s="6"/>
      <c r="MB35" s="4"/>
      <c r="MC35" s="8"/>
      <c r="MD35" s="5" t="str">
        <f t="shared" si="141"/>
        <v>NO APLICA</v>
      </c>
      <c r="ME35" s="2"/>
      <c r="MF35" s="2"/>
      <c r="MG35" s="4"/>
      <c r="MH35" s="8"/>
      <c r="MI35" s="5" t="str">
        <f t="shared" si="102"/>
        <v>NO APLICA</v>
      </c>
      <c r="MJ35" s="2"/>
      <c r="MK35" s="2"/>
      <c r="ML35" s="4"/>
      <c r="MM35" s="8"/>
      <c r="MN35" s="5" t="str">
        <f t="shared" si="103"/>
        <v>NO APLICA</v>
      </c>
      <c r="MO35" s="5"/>
      <c r="MP35" s="2"/>
      <c r="MQ35" s="4"/>
      <c r="MR35" s="8"/>
      <c r="MS35" s="5" t="str">
        <f t="shared" si="104"/>
        <v>NO APLICA</v>
      </c>
      <c r="MT35" s="5"/>
      <c r="MU35" s="2"/>
      <c r="MV35" s="2"/>
      <c r="MW35" s="2"/>
      <c r="MX35" s="5" t="str">
        <f t="shared" si="105"/>
        <v>NO APLICA</v>
      </c>
      <c r="MY35" s="2"/>
      <c r="MZ35" s="6"/>
      <c r="NA35" s="4"/>
      <c r="NB35" s="8"/>
      <c r="NC35" s="5" t="str">
        <f t="shared" si="106"/>
        <v>NO APLICA</v>
      </c>
      <c r="ND35" s="2"/>
      <c r="NE35" s="6"/>
      <c r="NF35" s="4"/>
      <c r="NG35" s="8"/>
      <c r="NH35" s="5" t="str">
        <f t="shared" si="107"/>
        <v>NO APLICA</v>
      </c>
      <c r="NI35" s="2"/>
      <c r="NJ35" s="6"/>
      <c r="NK35" s="4"/>
      <c r="NL35" s="8"/>
      <c r="NM35" s="5" t="str">
        <f t="shared" si="108"/>
        <v>NO APLICA</v>
      </c>
      <c r="NN35" s="2"/>
      <c r="NO35" s="2"/>
      <c r="NP35" s="4"/>
      <c r="NQ35" s="8"/>
      <c r="NR35" s="5" t="str">
        <f t="shared" si="109"/>
        <v>NO APLICA</v>
      </c>
      <c r="NS35" s="2"/>
      <c r="NT35" s="2"/>
      <c r="NU35" s="4"/>
      <c r="NV35" s="2"/>
      <c r="NW35" s="5" t="str">
        <f t="shared" si="110"/>
        <v>NO APLICA</v>
      </c>
      <c r="NX35" s="4"/>
      <c r="NY35" s="4"/>
      <c r="NZ35" s="4"/>
      <c r="OA35" s="8"/>
      <c r="OB35" s="5" t="str">
        <f t="shared" si="111"/>
        <v>NO APLICA</v>
      </c>
      <c r="OC35" s="6"/>
      <c r="OD35" s="6"/>
      <c r="OE35" s="6"/>
      <c r="OF35" s="6"/>
      <c r="OG35" s="5" t="str">
        <f t="shared" si="112"/>
        <v>NO APLICA</v>
      </c>
      <c r="OH35" s="6"/>
      <c r="OI35" s="6"/>
      <c r="OJ35" s="4"/>
      <c r="OK35" s="8"/>
      <c r="OL35" s="5" t="str">
        <f t="shared" si="113"/>
        <v>NO APLICA</v>
      </c>
      <c r="OM35" s="6"/>
      <c r="ON35" s="6"/>
      <c r="OO35" s="6"/>
      <c r="OP35" s="6"/>
      <c r="OQ35" s="5" t="str">
        <f t="shared" si="114"/>
        <v>NO APLICA</v>
      </c>
      <c r="OR35" s="6"/>
      <c r="OS35" s="6"/>
      <c r="OT35" s="6"/>
      <c r="OU35" s="6"/>
      <c r="OV35" s="5" t="str">
        <f t="shared" si="115"/>
        <v>NO APLICA</v>
      </c>
      <c r="OW35" s="6"/>
      <c r="OX35" s="6"/>
      <c r="OY35" s="6"/>
      <c r="OZ35" s="6"/>
      <c r="PA35" s="5" t="str">
        <f t="shared" si="116"/>
        <v>NO APLICA</v>
      </c>
      <c r="PB35" s="6"/>
      <c r="PC35" s="6"/>
      <c r="PD35" s="6"/>
      <c r="PE35" s="6"/>
      <c r="PF35" s="5" t="str">
        <f t="shared" si="117"/>
        <v>NO APLICA</v>
      </c>
      <c r="PG35" s="6"/>
      <c r="PH35" s="6"/>
      <c r="PI35" s="6"/>
      <c r="PJ35" s="6"/>
      <c r="PK35" s="5" t="str">
        <f t="shared" si="118"/>
        <v>NO APLICA</v>
      </c>
      <c r="PL35" s="5"/>
      <c r="PM35" s="6"/>
      <c r="PN35" s="4"/>
      <c r="PO35" s="8"/>
      <c r="PP35" s="5" t="str">
        <f t="shared" si="119"/>
        <v>NO APLICA</v>
      </c>
      <c r="PQ35" s="6"/>
      <c r="PR35" s="6"/>
      <c r="PS35" s="6"/>
      <c r="PT35" s="6"/>
      <c r="PU35" s="5" t="str">
        <f t="shared" si="120"/>
        <v>NO APLICA</v>
      </c>
      <c r="PV35" s="5"/>
      <c r="PW35" s="4">
        <v>46126</v>
      </c>
      <c r="PX35" s="4">
        <f>DATE(YEAR(PW35)+1,MONTH(PW35),DAY(PW35))</f>
        <v>46491</v>
      </c>
      <c r="PY35" s="8">
        <f ca="1">PX35-TODAY()</f>
        <v>346</v>
      </c>
      <c r="PZ35" s="5" t="str">
        <f t="shared" ca="1" si="121"/>
        <v>VIGENTE</v>
      </c>
    </row>
    <row r="36" spans="1:442" ht="15.6" hidden="1" thickTop="1" thickBot="1" x14ac:dyDescent="0.35">
      <c r="A36" s="26">
        <v>33</v>
      </c>
      <c r="B36" s="31">
        <v>1671</v>
      </c>
      <c r="C36" s="28" t="s">
        <v>173</v>
      </c>
      <c r="D36" s="29" t="s">
        <v>113</v>
      </c>
      <c r="E36" s="30" t="s">
        <v>174</v>
      </c>
      <c r="F36" s="5"/>
      <c r="G36" s="6"/>
      <c r="H36" s="4"/>
      <c r="I36" s="8"/>
      <c r="J36" s="5" t="str">
        <f t="shared" si="0"/>
        <v>NO APLICA</v>
      </c>
      <c r="K36" s="5"/>
      <c r="L36" s="6"/>
      <c r="M36" s="6"/>
      <c r="N36" s="8"/>
      <c r="O36" s="5" t="str">
        <f t="shared" si="1"/>
        <v>NO APLICA</v>
      </c>
      <c r="P36" s="6"/>
      <c r="Q36" s="6"/>
      <c r="R36" s="4"/>
      <c r="S36" s="8"/>
      <c r="T36" s="5" t="str">
        <f t="shared" si="122"/>
        <v>NO APLICA</v>
      </c>
      <c r="U36" s="5"/>
      <c r="V36" s="2" t="s">
        <v>175</v>
      </c>
      <c r="W36" s="4">
        <v>45041</v>
      </c>
      <c r="X36" s="4">
        <f t="shared" si="2"/>
        <v>46868</v>
      </c>
      <c r="Y36" s="8">
        <f t="shared" ca="1" si="3"/>
        <v>723</v>
      </c>
      <c r="Z36" s="5" t="str">
        <f t="shared" ca="1" si="4"/>
        <v>VIGENTE</v>
      </c>
      <c r="AA36" s="5"/>
      <c r="AB36" s="2"/>
      <c r="AC36" s="6"/>
      <c r="AD36" s="4"/>
      <c r="AE36" s="8"/>
      <c r="AF36" s="5" t="str">
        <f t="shared" si="7"/>
        <v>NO APLICA</v>
      </c>
      <c r="AG36" s="3"/>
      <c r="AH36" s="4">
        <v>45902</v>
      </c>
      <c r="AI36" s="4">
        <f>DATE(YEAR(AH36)+2,MONTH(AH36),DAY(AH36))</f>
        <v>46632</v>
      </c>
      <c r="AJ36" s="8">
        <f t="shared" ca="1" si="8"/>
        <v>487</v>
      </c>
      <c r="AK36" s="5" t="str">
        <f t="shared" ca="1" si="9"/>
        <v>VIGENTE</v>
      </c>
      <c r="AL36" s="3"/>
      <c r="AM36" s="4">
        <v>45838</v>
      </c>
      <c r="AN36" s="4">
        <f t="shared" si="193"/>
        <v>46568</v>
      </c>
      <c r="AO36" s="8">
        <f t="shared" ca="1" si="10"/>
        <v>423</v>
      </c>
      <c r="AP36" s="5" t="str">
        <f t="shared" ca="1" si="11"/>
        <v>VIGENTE</v>
      </c>
      <c r="AQ36" s="2"/>
      <c r="AR36" s="4">
        <v>45904</v>
      </c>
      <c r="AS36" s="4">
        <f>DATE(YEAR(AR36)+2,MONTH(AR36),DAY(AR36))</f>
        <v>46634</v>
      </c>
      <c r="AT36" s="8">
        <f t="shared" ca="1" si="12"/>
        <v>489</v>
      </c>
      <c r="AU36" s="5" t="str">
        <f t="shared" ca="1" si="13"/>
        <v>VIGENTE</v>
      </c>
      <c r="AV36" s="2"/>
      <c r="AW36" s="4">
        <v>45927</v>
      </c>
      <c r="AX36" s="4">
        <f t="shared" si="194"/>
        <v>46657</v>
      </c>
      <c r="AY36" s="8">
        <f t="shared" ca="1" si="15"/>
        <v>512</v>
      </c>
      <c r="AZ36" s="5" t="str">
        <f t="shared" ca="1" si="16"/>
        <v>VIGENTE</v>
      </c>
      <c r="BA36" s="3"/>
      <c r="BB36" s="4">
        <v>45943</v>
      </c>
      <c r="BC36" s="4">
        <f>DATE(YEAR(BB36)+2,MONTH(BB36),DAY(BB36))</f>
        <v>46673</v>
      </c>
      <c r="BD36" s="8">
        <f t="shared" ca="1" si="17"/>
        <v>528</v>
      </c>
      <c r="BE36" s="5" t="str">
        <f t="shared" ca="1" si="18"/>
        <v>VIGENTE</v>
      </c>
      <c r="BF36" s="3"/>
      <c r="BG36" s="4">
        <v>45968</v>
      </c>
      <c r="BH36" s="4">
        <f t="shared" si="195"/>
        <v>46698</v>
      </c>
      <c r="BI36" s="8">
        <f t="shared" ca="1" si="19"/>
        <v>553</v>
      </c>
      <c r="BJ36" s="5" t="str">
        <f t="shared" ca="1" si="20"/>
        <v>VIGENTE</v>
      </c>
      <c r="BK36" s="3"/>
      <c r="BL36" s="4">
        <v>45976</v>
      </c>
      <c r="BM36" s="4">
        <f t="shared" si="196"/>
        <v>46706</v>
      </c>
      <c r="BN36" s="8">
        <f t="shared" ca="1" si="21"/>
        <v>561</v>
      </c>
      <c r="BO36" s="5" t="str">
        <f t="shared" ca="1" si="22"/>
        <v>VIGENTE</v>
      </c>
      <c r="BP36" s="3"/>
      <c r="BQ36" s="39">
        <v>45988</v>
      </c>
      <c r="BR36" s="4">
        <f>DATE(YEAR(BQ36)+2,MONTH(BQ36),DAY(BQ36))</f>
        <v>46718</v>
      </c>
      <c r="BS36" s="8">
        <f t="shared" ca="1" si="23"/>
        <v>573</v>
      </c>
      <c r="BT36" s="5" t="str">
        <f t="shared" ca="1" si="24"/>
        <v>VIGENTE</v>
      </c>
      <c r="BU36" s="3"/>
      <c r="BV36" s="4">
        <v>45853</v>
      </c>
      <c r="BW36" s="4">
        <f>DATE(YEAR(BV36)+2,MONTH(BV36),DAY(BV36))</f>
        <v>46583</v>
      </c>
      <c r="BX36" s="8">
        <f t="shared" ca="1" si="25"/>
        <v>438</v>
      </c>
      <c r="BY36" s="5" t="str">
        <f t="shared" ca="1" si="26"/>
        <v>VIGENTE</v>
      </c>
      <c r="BZ36" s="3"/>
      <c r="CA36" s="4">
        <v>45954</v>
      </c>
      <c r="CB36" s="4">
        <f t="shared" si="203"/>
        <v>46684</v>
      </c>
      <c r="CC36" s="8">
        <f t="shared" ca="1" si="27"/>
        <v>539</v>
      </c>
      <c r="CD36" s="5" t="str">
        <f t="shared" ca="1" si="28"/>
        <v>VIGENTE</v>
      </c>
      <c r="CE36" s="6"/>
      <c r="CF36" s="4">
        <v>45828</v>
      </c>
      <c r="CG36" s="4">
        <f t="shared" si="29"/>
        <v>47289</v>
      </c>
      <c r="CH36" s="8">
        <f t="shared" ca="1" si="30"/>
        <v>1144</v>
      </c>
      <c r="CI36" s="5" t="str">
        <f t="shared" ca="1" si="31"/>
        <v>VIGENTE</v>
      </c>
      <c r="CJ36" s="6"/>
      <c r="CK36" s="4">
        <v>45929</v>
      </c>
      <c r="CL36" s="4">
        <f>DATE(YEAR(CK36)+2,MONTH(CK36),DAY(CK36))</f>
        <v>46659</v>
      </c>
      <c r="CM36" s="8">
        <f t="shared" ca="1" si="32"/>
        <v>514</v>
      </c>
      <c r="CN36" s="5" t="str">
        <f t="shared" ca="1" si="33"/>
        <v>VIGENTE</v>
      </c>
      <c r="CO36" s="3"/>
      <c r="CP36" s="39">
        <v>45882</v>
      </c>
      <c r="CQ36" s="4">
        <f>DATE(YEAR(CP36)+2,MONTH(CP36),DAY(CP36))</f>
        <v>46612</v>
      </c>
      <c r="CR36" s="8">
        <f t="shared" ca="1" si="34"/>
        <v>467</v>
      </c>
      <c r="CS36" s="5" t="str">
        <f t="shared" ca="1" si="35"/>
        <v>VIGENTE</v>
      </c>
      <c r="CT36" s="2"/>
      <c r="CU36" s="4">
        <v>45905</v>
      </c>
      <c r="CV36" s="4">
        <f>DATE(YEAR(CU36)+2,MONTH(CU36),DAY(CU36))</f>
        <v>46635</v>
      </c>
      <c r="CW36" s="8">
        <f t="shared" ca="1" si="36"/>
        <v>490</v>
      </c>
      <c r="CX36" s="5" t="str">
        <f t="shared" ca="1" si="37"/>
        <v>VIGENTE</v>
      </c>
      <c r="CY36" s="3"/>
      <c r="CZ36" s="4">
        <v>45924</v>
      </c>
      <c r="DA36" s="4">
        <f t="shared" si="206"/>
        <v>46654</v>
      </c>
      <c r="DB36" s="8">
        <f t="shared" ca="1" si="38"/>
        <v>509</v>
      </c>
      <c r="DC36" s="5" t="str">
        <f t="shared" ca="1" si="39"/>
        <v>VIGENTE</v>
      </c>
      <c r="DD36" s="3"/>
      <c r="DE36" s="39">
        <v>45996</v>
      </c>
      <c r="DF36" s="4">
        <f>DATE(YEAR(DE36)+2,MONTH(DE36),DAY(DE36))</f>
        <v>46726</v>
      </c>
      <c r="DG36" s="8">
        <f t="shared" ca="1" si="40"/>
        <v>581</v>
      </c>
      <c r="DH36" s="5" t="str">
        <f t="shared" ca="1" si="41"/>
        <v>VIGENTE</v>
      </c>
      <c r="DI36" s="2"/>
      <c r="DJ36" s="39">
        <v>45975</v>
      </c>
      <c r="DK36" s="4">
        <f>DATE(YEAR(DJ36)+2,MONTH(DJ36),DAY(DJ36))</f>
        <v>46705</v>
      </c>
      <c r="DL36" s="8">
        <f t="shared" ca="1" si="43"/>
        <v>560</v>
      </c>
      <c r="DM36" s="5" t="str">
        <f t="shared" ca="1" si="44"/>
        <v>VIGENTE</v>
      </c>
      <c r="DN36" s="3"/>
      <c r="DO36" s="4">
        <v>46008</v>
      </c>
      <c r="DP36" s="4">
        <f t="shared" si="204"/>
        <v>46738</v>
      </c>
      <c r="DQ36" s="8">
        <f t="shared" ca="1" si="46"/>
        <v>593</v>
      </c>
      <c r="DR36" s="5" t="str">
        <f t="shared" ca="1" si="47"/>
        <v>VIGENTE</v>
      </c>
      <c r="DS36" s="3"/>
      <c r="DT36" s="4">
        <v>45852</v>
      </c>
      <c r="DU36" s="4">
        <f>DATE(YEAR(DT36)+2,MONTH(DT36),DAY(DT36))</f>
        <v>46582</v>
      </c>
      <c r="DV36" s="8">
        <f t="shared" ca="1" si="48"/>
        <v>437</v>
      </c>
      <c r="DW36" s="5" t="str">
        <f t="shared" ca="1" si="49"/>
        <v>VIGENTE</v>
      </c>
      <c r="DX36" s="3"/>
      <c r="DY36" s="4">
        <v>45915</v>
      </c>
      <c r="DZ36" s="4">
        <f>DATE(YEAR(DY36)+2,MONTH(DY36),DAY(DY36))</f>
        <v>46645</v>
      </c>
      <c r="EA36" s="8">
        <f t="shared" ca="1" si="50"/>
        <v>500</v>
      </c>
      <c r="EB36" s="5" t="str">
        <f t="shared" ca="1" si="51"/>
        <v>VIGENTE</v>
      </c>
      <c r="EC36" s="3"/>
      <c r="ED36" s="39">
        <v>45883</v>
      </c>
      <c r="EE36" s="4">
        <f t="shared" si="205"/>
        <v>46613</v>
      </c>
      <c r="EF36" s="8">
        <f t="shared" ca="1" si="52"/>
        <v>468</v>
      </c>
      <c r="EG36" s="5" t="str">
        <f t="shared" ca="1" si="53"/>
        <v>VIGENTE</v>
      </c>
      <c r="EH36" s="3"/>
      <c r="EI36" s="3">
        <v>45911</v>
      </c>
      <c r="EJ36" s="4">
        <f t="shared" si="131"/>
        <v>46276</v>
      </c>
      <c r="EK36" s="8">
        <f t="shared" ca="1" si="54"/>
        <v>131</v>
      </c>
      <c r="EL36" s="5" t="str">
        <f t="shared" ca="1" si="55"/>
        <v>VIGENTE</v>
      </c>
      <c r="EM36" s="3"/>
      <c r="EN36" s="4">
        <v>45940</v>
      </c>
      <c r="EO36" s="4">
        <f>DATE(YEAR(EN36)+2,MONTH(EN36),DAY(EN36))</f>
        <v>46670</v>
      </c>
      <c r="EP36" s="8">
        <f t="shared" ca="1" si="56"/>
        <v>525</v>
      </c>
      <c r="EQ36" s="5" t="str">
        <f t="shared" ca="1" si="57"/>
        <v>VIGENTE</v>
      </c>
      <c r="ER36" s="2"/>
      <c r="ES36" s="39">
        <v>45999</v>
      </c>
      <c r="ET36" s="4">
        <f>DATE(YEAR(ES36)+2,MONTH(ES36),DAY(ES36))</f>
        <v>46729</v>
      </c>
      <c r="EU36" s="8">
        <f t="shared" ca="1" si="58"/>
        <v>584</v>
      </c>
      <c r="EV36" s="5" t="str">
        <f t="shared" ca="1" si="59"/>
        <v>VIGENTE</v>
      </c>
      <c r="EW36" s="3"/>
      <c r="EX36" s="4">
        <v>45917</v>
      </c>
      <c r="EY36" s="4">
        <f t="shared" si="197"/>
        <v>46647</v>
      </c>
      <c r="EZ36" s="8">
        <f t="shared" ca="1" si="60"/>
        <v>502</v>
      </c>
      <c r="FA36" s="5" t="str">
        <f t="shared" ca="1" si="61"/>
        <v>VIGENTE</v>
      </c>
      <c r="FB36" s="2"/>
      <c r="FC36" s="4">
        <v>45931</v>
      </c>
      <c r="FD36" s="4">
        <f t="shared" si="198"/>
        <v>46661</v>
      </c>
      <c r="FE36" s="8">
        <f t="shared" ca="1" si="62"/>
        <v>516</v>
      </c>
      <c r="FF36" s="5" t="str">
        <f t="shared" ca="1" si="63"/>
        <v>VIGENTE</v>
      </c>
      <c r="FG36" s="3"/>
      <c r="FH36" s="4">
        <v>45832</v>
      </c>
      <c r="FI36" s="4">
        <f t="shared" si="199"/>
        <v>46562</v>
      </c>
      <c r="FJ36" s="8">
        <f t="shared" ca="1" si="64"/>
        <v>417</v>
      </c>
      <c r="FK36" s="5" t="str">
        <f t="shared" ca="1" si="65"/>
        <v>VIGENTE</v>
      </c>
      <c r="FL36" s="3"/>
      <c r="FM36" s="39">
        <v>45933</v>
      </c>
      <c r="FN36" s="4">
        <f>DATE(YEAR(FM36)+2,MONTH(FM36),DAY(FM36))</f>
        <v>46663</v>
      </c>
      <c r="FO36" s="8">
        <f t="shared" ca="1" si="67"/>
        <v>518</v>
      </c>
      <c r="FP36" s="5" t="str">
        <f t="shared" ca="1" si="68"/>
        <v>VIGENTE</v>
      </c>
      <c r="FQ36" s="3"/>
      <c r="FR36" s="39">
        <v>46034</v>
      </c>
      <c r="FS36" s="4">
        <f>DATE(YEAR(FR36)+2,MONTH(FR36),DAY(FR36))</f>
        <v>46764</v>
      </c>
      <c r="FT36" s="8">
        <f t="shared" ca="1" si="69"/>
        <v>619</v>
      </c>
      <c r="FU36" s="5" t="str">
        <f t="shared" ca="1" si="70"/>
        <v>VIGENTE</v>
      </c>
      <c r="FV36" s="3"/>
      <c r="FW36" s="4">
        <v>45941</v>
      </c>
      <c r="FX36" s="4">
        <f>DATE(YEAR(FW36)+2,MONTH(FW36),DAY(FW36))</f>
        <v>46671</v>
      </c>
      <c r="FY36" s="8">
        <f t="shared" ca="1" si="71"/>
        <v>526</v>
      </c>
      <c r="FZ36" s="5" t="str">
        <f t="shared" ca="1" si="72"/>
        <v>VIGENTE</v>
      </c>
      <c r="GA36" s="3"/>
      <c r="GB36" s="4">
        <v>45833</v>
      </c>
      <c r="GC36" s="4">
        <f>DATE(YEAR(GB36)+2,MONTH(GB36),DAY(GB36))</f>
        <v>46563</v>
      </c>
      <c r="GD36" s="8">
        <f t="shared" ca="1" si="73"/>
        <v>418</v>
      </c>
      <c r="GE36" s="5" t="str">
        <f t="shared" ca="1" si="74"/>
        <v>VIGENTE</v>
      </c>
      <c r="GF36" s="3"/>
      <c r="GG36" s="4">
        <v>45960</v>
      </c>
      <c r="GH36" s="4">
        <f>DATE(YEAR(GG36)+2,MONTH(GG36),DAY(GG36))</f>
        <v>46690</v>
      </c>
      <c r="GI36" s="8">
        <f t="shared" ca="1" si="75"/>
        <v>545</v>
      </c>
      <c r="GJ36" s="5" t="str">
        <f t="shared" ca="1" si="76"/>
        <v>VIGENTE</v>
      </c>
      <c r="GK36" s="3"/>
      <c r="GL36" s="4">
        <v>45945</v>
      </c>
      <c r="GM36" s="4">
        <f>DATE(YEAR(GL36)+2,MONTH(GL36),DAY(GL36))</f>
        <v>46675</v>
      </c>
      <c r="GN36" s="8">
        <f t="shared" ca="1" si="77"/>
        <v>530</v>
      </c>
      <c r="GO36" s="5" t="str">
        <f t="shared" ca="1" si="78"/>
        <v>VIGENTE</v>
      </c>
      <c r="GP36" s="4"/>
      <c r="GQ36" s="4">
        <v>45224</v>
      </c>
      <c r="GR36" s="4">
        <f t="shared" si="79"/>
        <v>47051</v>
      </c>
      <c r="GS36" s="8">
        <f t="shared" ca="1" si="176"/>
        <v>906</v>
      </c>
      <c r="GT36" s="5" t="str">
        <f t="shared" ca="1" si="81"/>
        <v>VIGENTE</v>
      </c>
      <c r="GU36" s="3"/>
      <c r="GV36" s="4">
        <v>45252</v>
      </c>
      <c r="GW36" s="4">
        <f t="shared" si="82"/>
        <v>47079</v>
      </c>
      <c r="GX36" s="8">
        <f t="shared" ca="1" si="83"/>
        <v>934</v>
      </c>
      <c r="GY36" s="5" t="str">
        <f t="shared" ca="1" si="84"/>
        <v>VIGENTE</v>
      </c>
      <c r="GZ36" s="2"/>
      <c r="HA36" s="4">
        <v>45330</v>
      </c>
      <c r="HB36" s="4">
        <f t="shared" si="85"/>
        <v>47157</v>
      </c>
      <c r="HC36" s="8">
        <f t="shared" ca="1" si="86"/>
        <v>1012</v>
      </c>
      <c r="HD36" s="5" t="str">
        <f t="shared" ca="1" si="87"/>
        <v>VIGENTE</v>
      </c>
      <c r="HE36" s="6"/>
      <c r="HF36" s="6"/>
      <c r="HG36" s="4"/>
      <c r="HH36" s="8"/>
      <c r="HI36" s="5" t="str">
        <f t="shared" si="187"/>
        <v>NO APLICA</v>
      </c>
      <c r="HJ36" s="2"/>
      <c r="HK36" s="6"/>
      <c r="HL36" s="4"/>
      <c r="HM36" s="8"/>
      <c r="HN36" s="5" t="str">
        <f t="shared" si="202"/>
        <v>NO APLICA</v>
      </c>
      <c r="HO36" s="2"/>
      <c r="HP36" s="2"/>
      <c r="HQ36" s="4"/>
      <c r="HR36" s="2"/>
      <c r="HS36" s="5" t="str">
        <f t="shared" si="92"/>
        <v>NO APLICA</v>
      </c>
      <c r="HT36" s="2"/>
      <c r="HU36" s="6"/>
      <c r="HV36" s="4"/>
      <c r="HW36" s="8"/>
      <c r="HX36" s="5" t="str">
        <f t="shared" si="93"/>
        <v>NO APLICA</v>
      </c>
      <c r="HY36" s="2"/>
      <c r="HZ36" s="6"/>
      <c r="IA36" s="4"/>
      <c r="IB36" s="8"/>
      <c r="IC36" s="5" t="str">
        <f t="shared" si="94"/>
        <v>NO APLICA</v>
      </c>
      <c r="ID36" s="2"/>
      <c r="IE36" s="6"/>
      <c r="IF36" s="4"/>
      <c r="IG36" s="8"/>
      <c r="IH36" s="5" t="str">
        <f t="shared" si="95"/>
        <v>NO APLICA</v>
      </c>
      <c r="II36" s="6"/>
      <c r="IJ36" s="6"/>
      <c r="IK36" s="4"/>
      <c r="IL36" s="8"/>
      <c r="IM36" s="5" t="str">
        <f t="shared" si="96"/>
        <v>NO APLICA</v>
      </c>
      <c r="IN36" s="2"/>
      <c r="IO36" s="6"/>
      <c r="IP36" s="4"/>
      <c r="IQ36" s="8"/>
      <c r="IR36" s="5" t="str">
        <f t="shared" si="97"/>
        <v>NO APLICA</v>
      </c>
      <c r="IS36" s="2"/>
      <c r="IT36" s="6"/>
      <c r="IU36" s="4"/>
      <c r="IV36" s="8"/>
      <c r="IW36" s="5" t="str">
        <f t="shared" si="98"/>
        <v>NO APLICA</v>
      </c>
      <c r="IX36" s="2"/>
      <c r="IY36" s="6"/>
      <c r="IZ36" s="4"/>
      <c r="JA36" s="8"/>
      <c r="JB36" s="5" t="str">
        <f t="shared" si="99"/>
        <v>NO APLICA</v>
      </c>
      <c r="JC36" s="3" t="s">
        <v>780</v>
      </c>
      <c r="JD36" s="3"/>
      <c r="JE36" s="4"/>
      <c r="JF36" s="8"/>
      <c r="JG36" s="5"/>
      <c r="JH36" s="3" t="s">
        <v>780</v>
      </c>
      <c r="JI36" s="6"/>
      <c r="JJ36" s="6"/>
      <c r="JK36" s="6"/>
      <c r="JL36" s="5"/>
      <c r="JM36" s="6" t="s">
        <v>780</v>
      </c>
      <c r="JN36" s="6"/>
      <c r="JO36" s="6"/>
      <c r="JP36" s="6"/>
      <c r="JQ36" s="5"/>
      <c r="JR36" s="6" t="s">
        <v>780</v>
      </c>
      <c r="JS36" s="6"/>
      <c r="JT36" s="6"/>
      <c r="JU36" s="6"/>
      <c r="JV36" s="5"/>
      <c r="JW36" s="6" t="s">
        <v>780</v>
      </c>
      <c r="JX36" s="3"/>
      <c r="JY36" s="4"/>
      <c r="JZ36" s="8"/>
      <c r="KA36" s="5"/>
      <c r="KB36" s="5"/>
      <c r="KC36" s="2"/>
      <c r="KD36" s="4"/>
      <c r="KE36" s="8"/>
      <c r="KF36" s="5" t="str">
        <f t="shared" si="135"/>
        <v>NO APLICA</v>
      </c>
      <c r="KG36" s="5"/>
      <c r="KH36" s="2"/>
      <c r="KI36" s="4"/>
      <c r="KJ36" s="8"/>
      <c r="KK36" s="5" t="str">
        <f t="shared" si="136"/>
        <v>NO APLICA</v>
      </c>
      <c r="KL36" s="5"/>
      <c r="KM36" s="2"/>
      <c r="KN36" s="4"/>
      <c r="KO36" s="8"/>
      <c r="KP36" s="5" t="str">
        <f t="shared" si="100"/>
        <v>NO APLICA</v>
      </c>
      <c r="KQ36" s="5"/>
      <c r="KR36" s="2"/>
      <c r="KS36" s="4"/>
      <c r="KT36" s="8"/>
      <c r="KU36" s="5" t="str">
        <f t="shared" si="137"/>
        <v>NO APLICA</v>
      </c>
      <c r="KV36" s="2"/>
      <c r="KW36" s="6"/>
      <c r="KX36" s="4"/>
      <c r="KY36" s="8"/>
      <c r="KZ36" s="5" t="str">
        <f t="shared" si="151"/>
        <v>NO APLICA</v>
      </c>
      <c r="LA36" s="5"/>
      <c r="LB36" s="6"/>
      <c r="LC36" s="4"/>
      <c r="LD36" s="8"/>
      <c r="LE36" s="5" t="str">
        <f t="shared" si="138"/>
        <v>NO APLICA</v>
      </c>
      <c r="LF36" s="6"/>
      <c r="LG36" s="6"/>
      <c r="LH36" s="4"/>
      <c r="LI36" s="8"/>
      <c r="LJ36" s="5" t="str">
        <f t="shared" si="101"/>
        <v>NO APLICA</v>
      </c>
      <c r="LK36" s="5"/>
      <c r="LL36" s="5"/>
      <c r="LM36" s="5"/>
      <c r="LN36" s="5"/>
      <c r="LO36" s="5" t="str">
        <f t="shared" si="152"/>
        <v>NO APLICA</v>
      </c>
      <c r="LP36" s="2"/>
      <c r="LQ36" s="6"/>
      <c r="LR36" s="4"/>
      <c r="LS36" s="8"/>
      <c r="LT36" s="5" t="str">
        <f t="shared" si="139"/>
        <v>NO APLICA</v>
      </c>
      <c r="LU36" s="6"/>
      <c r="LV36" s="6"/>
      <c r="LW36" s="4"/>
      <c r="LX36" s="8"/>
      <c r="LY36" s="5" t="str">
        <f t="shared" si="140"/>
        <v>NO APLICA</v>
      </c>
      <c r="LZ36" s="6"/>
      <c r="MA36" s="6"/>
      <c r="MB36" s="4"/>
      <c r="MC36" s="8"/>
      <c r="MD36" s="5" t="str">
        <f t="shared" si="141"/>
        <v>NO APLICA</v>
      </c>
      <c r="ME36" s="2"/>
      <c r="MF36" s="2"/>
      <c r="MG36" s="4"/>
      <c r="MH36" s="8"/>
      <c r="MI36" s="5" t="str">
        <f t="shared" si="102"/>
        <v>NO APLICA</v>
      </c>
      <c r="MJ36" s="2"/>
      <c r="MK36" s="2"/>
      <c r="ML36" s="4"/>
      <c r="MM36" s="8"/>
      <c r="MN36" s="5" t="str">
        <f t="shared" si="103"/>
        <v>NO APLICA</v>
      </c>
      <c r="MO36" s="5"/>
      <c r="MP36" s="2"/>
      <c r="MQ36" s="4"/>
      <c r="MR36" s="8"/>
      <c r="MS36" s="5" t="str">
        <f t="shared" si="104"/>
        <v>NO APLICA</v>
      </c>
      <c r="MT36" s="5"/>
      <c r="MU36" s="2"/>
      <c r="MV36" s="4"/>
      <c r="MW36" s="2"/>
      <c r="MX36" s="5" t="str">
        <f t="shared" si="105"/>
        <v>NO APLICA</v>
      </c>
      <c r="MY36" s="2"/>
      <c r="MZ36" s="6"/>
      <c r="NA36" s="4"/>
      <c r="NB36" s="8"/>
      <c r="NC36" s="5" t="str">
        <f t="shared" si="106"/>
        <v>NO APLICA</v>
      </c>
      <c r="ND36" s="2"/>
      <c r="NE36" s="6"/>
      <c r="NF36" s="4"/>
      <c r="NG36" s="8"/>
      <c r="NH36" s="5" t="str">
        <f t="shared" si="107"/>
        <v>NO APLICA</v>
      </c>
      <c r="NI36" s="2"/>
      <c r="NJ36" s="6"/>
      <c r="NK36" s="4"/>
      <c r="NL36" s="8"/>
      <c r="NM36" s="5" t="str">
        <f t="shared" si="108"/>
        <v>NO APLICA</v>
      </c>
      <c r="NN36" s="2"/>
      <c r="NO36" s="2"/>
      <c r="NP36" s="4"/>
      <c r="NQ36" s="2"/>
      <c r="NR36" s="5" t="str">
        <f t="shared" si="109"/>
        <v>NO APLICA</v>
      </c>
      <c r="NS36" s="2"/>
      <c r="NT36" s="2"/>
      <c r="NU36" s="4"/>
      <c r="NV36" s="2"/>
      <c r="NW36" s="5" t="str">
        <f t="shared" si="110"/>
        <v>NO APLICA</v>
      </c>
      <c r="NX36" s="6"/>
      <c r="NY36" s="6"/>
      <c r="NZ36" s="4"/>
      <c r="OA36" s="8"/>
      <c r="OB36" s="5" t="str">
        <f t="shared" si="111"/>
        <v>NO APLICA</v>
      </c>
      <c r="OC36" s="6"/>
      <c r="OD36" s="6"/>
      <c r="OE36" s="6"/>
      <c r="OF36" s="6"/>
      <c r="OG36" s="5" t="str">
        <f t="shared" si="112"/>
        <v>NO APLICA</v>
      </c>
      <c r="OH36" s="6"/>
      <c r="OI36" s="6"/>
      <c r="OJ36" s="4"/>
      <c r="OK36" s="8"/>
      <c r="OL36" s="5" t="str">
        <f t="shared" si="113"/>
        <v>NO APLICA</v>
      </c>
      <c r="OM36" s="6"/>
      <c r="ON36" s="6"/>
      <c r="OO36" s="6"/>
      <c r="OP36" s="6"/>
      <c r="OQ36" s="5" t="str">
        <f t="shared" si="114"/>
        <v>NO APLICA</v>
      </c>
      <c r="OR36" s="6"/>
      <c r="OS36" s="6"/>
      <c r="OT36" s="6"/>
      <c r="OU36" s="6"/>
      <c r="OV36" s="5" t="str">
        <f t="shared" si="115"/>
        <v>NO APLICA</v>
      </c>
      <c r="OW36" s="6"/>
      <c r="OX36" s="6"/>
      <c r="OY36" s="6"/>
      <c r="OZ36" s="6"/>
      <c r="PA36" s="5" t="str">
        <f t="shared" si="116"/>
        <v>NO APLICA</v>
      </c>
      <c r="PB36" s="6"/>
      <c r="PC36" s="6"/>
      <c r="PD36" s="6"/>
      <c r="PE36" s="6"/>
      <c r="PF36" s="5" t="str">
        <f t="shared" si="117"/>
        <v>NO APLICA</v>
      </c>
      <c r="PG36" s="6"/>
      <c r="PH36" s="6"/>
      <c r="PI36" s="6"/>
      <c r="PJ36" s="6"/>
      <c r="PK36" s="5" t="str">
        <f t="shared" si="118"/>
        <v>NO APLICA</v>
      </c>
      <c r="PL36" s="5"/>
      <c r="PM36" s="6"/>
      <c r="PN36" s="4"/>
      <c r="PO36" s="8"/>
      <c r="PP36" s="5" t="str">
        <f t="shared" si="119"/>
        <v>NO APLICA</v>
      </c>
      <c r="PQ36" s="6"/>
      <c r="PR36" s="6"/>
      <c r="PS36" s="6"/>
      <c r="PT36" s="6"/>
      <c r="PU36" s="5" t="str">
        <f t="shared" si="120"/>
        <v>NO APLICA</v>
      </c>
      <c r="PV36" s="5"/>
      <c r="PW36" s="6"/>
      <c r="PX36" s="6"/>
      <c r="PY36" s="6"/>
      <c r="PZ36" s="5" t="str">
        <f t="shared" si="121"/>
        <v>NO APLICA</v>
      </c>
    </row>
    <row r="37" spans="1:442" ht="15.6" hidden="1" thickTop="1" thickBot="1" x14ac:dyDescent="0.35">
      <c r="A37" s="26">
        <v>34</v>
      </c>
      <c r="B37" s="27">
        <v>1387</v>
      </c>
      <c r="C37" s="28" t="s">
        <v>176</v>
      </c>
      <c r="D37" s="29" t="s">
        <v>64</v>
      </c>
      <c r="E37" s="30" t="s">
        <v>81</v>
      </c>
      <c r="F37" s="5"/>
      <c r="G37" s="6"/>
      <c r="H37" s="4"/>
      <c r="I37" s="8"/>
      <c r="J37" s="5" t="str">
        <f t="shared" si="0"/>
        <v>NO APLICA</v>
      </c>
      <c r="K37" s="2"/>
      <c r="L37" s="6"/>
      <c r="M37" s="6"/>
      <c r="N37" s="8"/>
      <c r="O37" s="5" t="str">
        <f t="shared" si="1"/>
        <v>NO APLICA</v>
      </c>
      <c r="P37" s="4"/>
      <c r="Q37" s="4">
        <v>45590</v>
      </c>
      <c r="R37" s="4">
        <f>DATE(YEAR(Q37)+2,MONTH(Q37),DAY(Q37)-1)</f>
        <v>46319</v>
      </c>
      <c r="S37" s="8">
        <f ca="1">R37-TODAY()</f>
        <v>174</v>
      </c>
      <c r="T37" s="5" t="str">
        <f t="shared" ca="1" si="122"/>
        <v>VIGENTE</v>
      </c>
      <c r="U37" s="5"/>
      <c r="V37" s="2" t="s">
        <v>177</v>
      </c>
      <c r="W37" s="4">
        <v>45426</v>
      </c>
      <c r="X37" s="4">
        <f t="shared" si="2"/>
        <v>47252</v>
      </c>
      <c r="Y37" s="8">
        <f t="shared" ca="1" si="3"/>
        <v>1107</v>
      </c>
      <c r="Z37" s="5" t="str">
        <f t="shared" ca="1" si="4"/>
        <v>VIGENTE</v>
      </c>
      <c r="AA37" s="5"/>
      <c r="AB37" s="2" t="s">
        <v>178</v>
      </c>
      <c r="AC37" s="4">
        <v>45192</v>
      </c>
      <c r="AD37" s="4">
        <f t="shared" ref="AD37:AD43" si="207">DATE(YEAR(AC37)+5,MONTH(AC37),DAY(AC37))</f>
        <v>47019</v>
      </c>
      <c r="AE37" s="8">
        <f t="shared" ref="AE37:AE43" ca="1" si="208">AD37-TODAY()</f>
        <v>874</v>
      </c>
      <c r="AF37" s="5" t="str">
        <f t="shared" ca="1" si="7"/>
        <v>VIGENTE</v>
      </c>
      <c r="AG37" s="3"/>
      <c r="AH37" s="4">
        <v>45780</v>
      </c>
      <c r="AI37" s="4">
        <f>DATE(YEAR(AH37)+2,MONTH(AH37),DAY(AH37))</f>
        <v>46510</v>
      </c>
      <c r="AJ37" s="8">
        <f t="shared" ca="1" si="8"/>
        <v>365</v>
      </c>
      <c r="AK37" s="5" t="str">
        <f t="shared" ca="1" si="9"/>
        <v>VIGENTE</v>
      </c>
      <c r="AL37" s="3"/>
      <c r="AM37" s="4">
        <v>45838</v>
      </c>
      <c r="AN37" s="4">
        <f t="shared" si="193"/>
        <v>46568</v>
      </c>
      <c r="AO37" s="8">
        <f t="shared" ca="1" si="10"/>
        <v>423</v>
      </c>
      <c r="AP37" s="5" t="str">
        <f t="shared" ca="1" si="11"/>
        <v>VIGENTE</v>
      </c>
      <c r="AQ37" s="3"/>
      <c r="AR37" s="4">
        <v>45775</v>
      </c>
      <c r="AS37" s="4">
        <f>DATE(YEAR(AR37)+2,MONTH(AR37),DAY(AR37))</f>
        <v>46505</v>
      </c>
      <c r="AT37" s="8">
        <f t="shared" ca="1" si="12"/>
        <v>360</v>
      </c>
      <c r="AU37" s="5" t="str">
        <f t="shared" ca="1" si="13"/>
        <v>VIGENTE</v>
      </c>
      <c r="AV37" s="3"/>
      <c r="AW37" s="4">
        <v>45765</v>
      </c>
      <c r="AX37" s="4">
        <f t="shared" si="194"/>
        <v>46495</v>
      </c>
      <c r="AY37" s="8">
        <f t="shared" ca="1" si="15"/>
        <v>350</v>
      </c>
      <c r="AZ37" s="5" t="str">
        <f t="shared" ca="1" si="16"/>
        <v>VIGENTE</v>
      </c>
      <c r="BA37" s="3"/>
      <c r="BB37" s="4">
        <v>45742</v>
      </c>
      <c r="BC37" s="4">
        <f>DATE(YEAR(BB37)+2,MONTH(BB37),DAY(BB37)-1)</f>
        <v>46471</v>
      </c>
      <c r="BD37" s="8">
        <f t="shared" ca="1" si="17"/>
        <v>326</v>
      </c>
      <c r="BE37" s="5" t="str">
        <f t="shared" ca="1" si="18"/>
        <v>VIGENTE</v>
      </c>
      <c r="BF37" s="3"/>
      <c r="BG37" s="4">
        <v>45826</v>
      </c>
      <c r="BH37" s="4">
        <f t="shared" si="195"/>
        <v>46556</v>
      </c>
      <c r="BI37" s="8">
        <f t="shared" ca="1" si="19"/>
        <v>411</v>
      </c>
      <c r="BJ37" s="5" t="str">
        <f t="shared" ca="1" si="20"/>
        <v>VIGENTE</v>
      </c>
      <c r="BK37" s="3"/>
      <c r="BL37" s="4">
        <v>45797</v>
      </c>
      <c r="BM37" s="4">
        <f t="shared" si="196"/>
        <v>46527</v>
      </c>
      <c r="BN37" s="8">
        <f t="shared" ca="1" si="21"/>
        <v>382</v>
      </c>
      <c r="BO37" s="5" t="str">
        <f t="shared" ca="1" si="22"/>
        <v>VIGENTE</v>
      </c>
      <c r="BP37" s="3"/>
      <c r="BQ37" s="39">
        <v>45772</v>
      </c>
      <c r="BR37" s="4">
        <f>DATE(YEAR(BQ37)+2,MONTH(BQ37),DAY(BQ37))</f>
        <v>46502</v>
      </c>
      <c r="BS37" s="8">
        <f t="shared" ca="1" si="23"/>
        <v>357</v>
      </c>
      <c r="BT37" s="5" t="str">
        <f t="shared" ca="1" si="24"/>
        <v>VIGENTE</v>
      </c>
      <c r="BU37" s="3"/>
      <c r="BV37" s="4">
        <v>45853</v>
      </c>
      <c r="BW37" s="4">
        <f>DATE(YEAR(BV37)+2,MONTH(BV37),DAY(BV37))</f>
        <v>46583</v>
      </c>
      <c r="BX37" s="8">
        <f t="shared" ca="1" si="25"/>
        <v>438</v>
      </c>
      <c r="BY37" s="5" t="str">
        <f t="shared" ca="1" si="26"/>
        <v>VIGENTE</v>
      </c>
      <c r="BZ37" s="3"/>
      <c r="CA37" s="4">
        <v>45818</v>
      </c>
      <c r="CB37" s="4">
        <f t="shared" si="203"/>
        <v>46548</v>
      </c>
      <c r="CC37" s="8">
        <f t="shared" ca="1" si="27"/>
        <v>403</v>
      </c>
      <c r="CD37" s="5" t="str">
        <f t="shared" ca="1" si="28"/>
        <v>VIGENTE</v>
      </c>
      <c r="CE37" s="6"/>
      <c r="CF37" s="4">
        <v>45616</v>
      </c>
      <c r="CG37" s="4">
        <f t="shared" si="29"/>
        <v>47077</v>
      </c>
      <c r="CH37" s="8">
        <f t="shared" ca="1" si="30"/>
        <v>932</v>
      </c>
      <c r="CI37" s="5" t="str">
        <f t="shared" ca="1" si="31"/>
        <v>VIGENTE</v>
      </c>
      <c r="CJ37" s="4"/>
      <c r="CK37" s="4">
        <v>45801</v>
      </c>
      <c r="CL37" s="4">
        <f>DATE(YEAR(CK37)+2,MONTH(CK37),DAY(CK37)-1)</f>
        <v>46530</v>
      </c>
      <c r="CM37" s="8">
        <f t="shared" ca="1" si="32"/>
        <v>385</v>
      </c>
      <c r="CN37" s="5" t="str">
        <f t="shared" ca="1" si="33"/>
        <v>VIGENTE</v>
      </c>
      <c r="CO37" s="3"/>
      <c r="CP37" s="39">
        <v>45769</v>
      </c>
      <c r="CQ37" s="4">
        <f>DATE(YEAR(CP37)+2,MONTH(CP37),DAY(CP37))</f>
        <v>46499</v>
      </c>
      <c r="CR37" s="8">
        <f t="shared" ca="1" si="34"/>
        <v>354</v>
      </c>
      <c r="CS37" s="5" t="str">
        <f t="shared" ca="1" si="35"/>
        <v>VIGENTE</v>
      </c>
      <c r="CT37" s="3"/>
      <c r="CU37" s="4">
        <v>45727</v>
      </c>
      <c r="CV37" s="4">
        <f>DATE(YEAR(CU37)+2,MONTH(CU37),DAY(CU37)-1)</f>
        <v>46456</v>
      </c>
      <c r="CW37" s="8">
        <f t="shared" ca="1" si="36"/>
        <v>311</v>
      </c>
      <c r="CX37" s="5" t="str">
        <f t="shared" ca="1" si="37"/>
        <v>VIGENTE</v>
      </c>
      <c r="CY37" s="3"/>
      <c r="CZ37" s="4">
        <v>45835</v>
      </c>
      <c r="DA37" s="4">
        <f t="shared" si="206"/>
        <v>46565</v>
      </c>
      <c r="DB37" s="8">
        <f t="shared" ca="1" si="38"/>
        <v>420</v>
      </c>
      <c r="DC37" s="5" t="str">
        <f t="shared" ca="1" si="39"/>
        <v>VIGENTE</v>
      </c>
      <c r="DD37" s="3"/>
      <c r="DE37" s="39">
        <v>45761</v>
      </c>
      <c r="DF37" s="4">
        <f>DATE(YEAR(DE37)+2,MONTH(DE37),DAY(DE37))</f>
        <v>46491</v>
      </c>
      <c r="DG37" s="8">
        <f t="shared" ca="1" si="40"/>
        <v>346</v>
      </c>
      <c r="DH37" s="5" t="str">
        <f t="shared" ca="1" si="41"/>
        <v>VIGENTE</v>
      </c>
      <c r="DI37" s="2"/>
      <c r="DJ37" s="39">
        <v>45734</v>
      </c>
      <c r="DK37" s="4">
        <f>DATE(YEAR(DJ37)+2,MONTH(DJ37),DAY(DJ37)-1)</f>
        <v>46463</v>
      </c>
      <c r="DL37" s="8">
        <f t="shared" ca="1" si="43"/>
        <v>318</v>
      </c>
      <c r="DM37" s="5" t="str">
        <f t="shared" ca="1" si="44"/>
        <v>VIGENTE</v>
      </c>
      <c r="DN37" s="4"/>
      <c r="DO37" s="4">
        <v>45873</v>
      </c>
      <c r="DP37" s="4">
        <f t="shared" si="204"/>
        <v>46603</v>
      </c>
      <c r="DQ37" s="8">
        <f t="shared" ca="1" si="46"/>
        <v>458</v>
      </c>
      <c r="DR37" s="5" t="str">
        <f t="shared" ca="1" si="47"/>
        <v>VIGENTE</v>
      </c>
      <c r="DS37" s="3"/>
      <c r="DT37" s="4">
        <v>45770</v>
      </c>
      <c r="DU37" s="4">
        <f>DATE(YEAR(DT37)+2,MONTH(DT37),DAY(DT37))</f>
        <v>46500</v>
      </c>
      <c r="DV37" s="8">
        <f t="shared" ca="1" si="48"/>
        <v>355</v>
      </c>
      <c r="DW37" s="5" t="str">
        <f t="shared" ca="1" si="49"/>
        <v>VIGENTE</v>
      </c>
      <c r="DX37" s="3"/>
      <c r="DY37" s="4">
        <v>45804</v>
      </c>
      <c r="DZ37" s="4">
        <f>DATE(YEAR(DY37)+2,MONTH(DY37),DAY(DY37))</f>
        <v>46534</v>
      </c>
      <c r="EA37" s="8">
        <f t="shared" ca="1" si="50"/>
        <v>389</v>
      </c>
      <c r="EB37" s="5" t="str">
        <f t="shared" ca="1" si="51"/>
        <v>VIGENTE</v>
      </c>
      <c r="EC37" s="3"/>
      <c r="ED37" s="39">
        <v>45787</v>
      </c>
      <c r="EE37" s="4">
        <f t="shared" si="205"/>
        <v>46517</v>
      </c>
      <c r="EF37" s="8">
        <f t="shared" ca="1" si="52"/>
        <v>372</v>
      </c>
      <c r="EG37" s="5" t="str">
        <f t="shared" ca="1" si="53"/>
        <v>VIGENTE</v>
      </c>
      <c r="EH37" s="3"/>
      <c r="EI37" s="4">
        <v>46123</v>
      </c>
      <c r="EJ37" s="4">
        <f t="shared" si="131"/>
        <v>46488</v>
      </c>
      <c r="EK37" s="8">
        <f t="shared" ca="1" si="54"/>
        <v>343</v>
      </c>
      <c r="EL37" s="5" t="str">
        <f t="shared" ca="1" si="55"/>
        <v>VIGENTE</v>
      </c>
      <c r="EM37" s="3"/>
      <c r="EN37" s="4">
        <v>45754</v>
      </c>
      <c r="EO37" s="4">
        <f>DATE(YEAR(EN37)+2,MONTH(EN37),DAY(EN37)-1)</f>
        <v>46483</v>
      </c>
      <c r="EP37" s="8">
        <f t="shared" ca="1" si="56"/>
        <v>338</v>
      </c>
      <c r="EQ37" s="5" t="str">
        <f t="shared" ca="1" si="57"/>
        <v>VIGENTE</v>
      </c>
      <c r="ER37" s="3"/>
      <c r="ES37" s="39">
        <v>45824</v>
      </c>
      <c r="ET37" s="4">
        <f>DATE(YEAR(ES37)+2,MONTH(ES37),DAY(ES37))</f>
        <v>46554</v>
      </c>
      <c r="EU37" s="8">
        <f t="shared" ca="1" si="58"/>
        <v>409</v>
      </c>
      <c r="EV37" s="5" t="str">
        <f t="shared" ca="1" si="59"/>
        <v>VIGENTE</v>
      </c>
      <c r="EW37" s="3"/>
      <c r="EX37" s="4">
        <v>45794</v>
      </c>
      <c r="EY37" s="4">
        <f t="shared" si="197"/>
        <v>46524</v>
      </c>
      <c r="EZ37" s="8">
        <f t="shared" ca="1" si="60"/>
        <v>379</v>
      </c>
      <c r="FA37" s="5" t="str">
        <f t="shared" ca="1" si="61"/>
        <v>VIGENTE</v>
      </c>
      <c r="FB37" s="3"/>
      <c r="FC37" s="4">
        <v>45783</v>
      </c>
      <c r="FD37" s="4">
        <f t="shared" si="198"/>
        <v>46513</v>
      </c>
      <c r="FE37" s="8">
        <f t="shared" ca="1" si="62"/>
        <v>368</v>
      </c>
      <c r="FF37" s="5" t="str">
        <f t="shared" ca="1" si="63"/>
        <v>VIGENTE</v>
      </c>
      <c r="FG37" s="3"/>
      <c r="FH37" s="4">
        <v>45756</v>
      </c>
      <c r="FI37" s="4">
        <f t="shared" si="199"/>
        <v>46486</v>
      </c>
      <c r="FJ37" s="8">
        <f t="shared" ca="1" si="64"/>
        <v>341</v>
      </c>
      <c r="FK37" s="5" t="str">
        <f t="shared" ca="1" si="65"/>
        <v>VIGENTE</v>
      </c>
      <c r="FL37" s="3"/>
      <c r="FM37" s="39">
        <v>45850</v>
      </c>
      <c r="FN37" s="4">
        <f>DATE(YEAR(FM37)+2,MONTH(FM37),DAY(FM37))</f>
        <v>46580</v>
      </c>
      <c r="FO37" s="8">
        <f t="shared" ca="1" si="67"/>
        <v>435</v>
      </c>
      <c r="FP37" s="5" t="str">
        <f t="shared" ca="1" si="68"/>
        <v>VIGENTE</v>
      </c>
      <c r="FQ37" s="3"/>
      <c r="FR37" s="39">
        <v>45782</v>
      </c>
      <c r="FS37" s="4">
        <f>DATE(YEAR(FR37)+2,MONTH(FR37),DAY(FR37))</f>
        <v>46512</v>
      </c>
      <c r="FT37" s="8">
        <f t="shared" ca="1" si="69"/>
        <v>367</v>
      </c>
      <c r="FU37" s="5" t="str">
        <f t="shared" ca="1" si="70"/>
        <v>VIGENTE</v>
      </c>
      <c r="FV37" s="3"/>
      <c r="FW37" s="4">
        <v>45758</v>
      </c>
      <c r="FX37" s="4">
        <f>DATE(YEAR(FW37)+2,MONTH(FW37),DAY(FW37)-1)</f>
        <v>46487</v>
      </c>
      <c r="FY37" s="8">
        <f t="shared" ca="1" si="71"/>
        <v>342</v>
      </c>
      <c r="FZ37" s="5" t="str">
        <f t="shared" ca="1" si="72"/>
        <v>VIGENTE</v>
      </c>
      <c r="GA37" s="3"/>
      <c r="GB37" s="4">
        <v>45874</v>
      </c>
      <c r="GC37" s="4">
        <f>DATE(YEAR(GB37)+2,MONTH(GB37),DAY(GB37))</f>
        <v>46604</v>
      </c>
      <c r="GD37" s="8">
        <f t="shared" ca="1" si="73"/>
        <v>459</v>
      </c>
      <c r="GE37" s="5" t="str">
        <f t="shared" ca="1" si="74"/>
        <v>VIGENTE</v>
      </c>
      <c r="GF37" s="3"/>
      <c r="GG37" s="4">
        <v>45849</v>
      </c>
      <c r="GH37" s="4">
        <f>DATE(YEAR(GG37)+2,MONTH(GG37),DAY(GG37))</f>
        <v>46579</v>
      </c>
      <c r="GI37" s="8">
        <f t="shared" ca="1" si="75"/>
        <v>434</v>
      </c>
      <c r="GJ37" s="5" t="str">
        <f t="shared" ca="1" si="76"/>
        <v>VIGENTE</v>
      </c>
      <c r="GK37" s="3"/>
      <c r="GL37" s="4">
        <v>45848</v>
      </c>
      <c r="GM37" s="4">
        <f>DATE(YEAR(GL37)+2,MONTH(GL37),DAY(GL37))</f>
        <v>46578</v>
      </c>
      <c r="GN37" s="8">
        <f t="shared" ca="1" si="77"/>
        <v>433</v>
      </c>
      <c r="GO37" s="5" t="str">
        <f t="shared" ca="1" si="78"/>
        <v>VIGENTE</v>
      </c>
      <c r="GP37" s="4"/>
      <c r="GQ37" s="4">
        <v>45181</v>
      </c>
      <c r="GR37" s="4">
        <f t="shared" si="79"/>
        <v>47008</v>
      </c>
      <c r="GS37" s="8">
        <f t="shared" ca="1" si="176"/>
        <v>863</v>
      </c>
      <c r="GT37" s="5" t="str">
        <f t="shared" ca="1" si="81"/>
        <v>VIGENTE</v>
      </c>
      <c r="GU37" s="3"/>
      <c r="GV37" s="4">
        <v>45203</v>
      </c>
      <c r="GW37" s="4">
        <f t="shared" si="82"/>
        <v>47030</v>
      </c>
      <c r="GX37" s="8">
        <f t="shared" ca="1" si="83"/>
        <v>885</v>
      </c>
      <c r="GY37" s="5" t="str">
        <f t="shared" ca="1" si="84"/>
        <v>VIGENTE</v>
      </c>
      <c r="GZ37" s="2"/>
      <c r="HA37" s="4">
        <v>45187</v>
      </c>
      <c r="HB37" s="4">
        <f t="shared" si="85"/>
        <v>47014</v>
      </c>
      <c r="HC37" s="8">
        <f t="shared" ca="1" si="86"/>
        <v>869</v>
      </c>
      <c r="HD37" s="5" t="str">
        <f t="shared" ca="1" si="87"/>
        <v>VIGENTE</v>
      </c>
      <c r="HE37" s="6"/>
      <c r="HF37" s="4">
        <v>45196</v>
      </c>
      <c r="HG37" s="4">
        <f t="shared" ref="HG37:HG43" si="209">DATE(YEAR(HF37)+5,MONTH(HF37),DAY(HF37))</f>
        <v>47023</v>
      </c>
      <c r="HH37" s="8">
        <f t="shared" ref="HH37:HH43" ca="1" si="210">HG37-TODAY()</f>
        <v>878</v>
      </c>
      <c r="HI37" s="5" t="str">
        <f t="shared" ca="1" si="187"/>
        <v>VIGENTE</v>
      </c>
      <c r="HJ37" s="2"/>
      <c r="HK37" s="6"/>
      <c r="HL37" s="4"/>
      <c r="HM37" s="8"/>
      <c r="HN37" s="5" t="str">
        <f t="shared" si="202"/>
        <v>NO APLICA</v>
      </c>
      <c r="HO37" s="2"/>
      <c r="HP37" s="2"/>
      <c r="HQ37" s="4"/>
      <c r="HR37" s="2"/>
      <c r="HS37" s="5" t="str">
        <f t="shared" si="92"/>
        <v>NO APLICA</v>
      </c>
      <c r="HT37" s="2"/>
      <c r="HU37" s="6"/>
      <c r="HV37" s="4"/>
      <c r="HW37" s="8"/>
      <c r="HX37" s="5" t="str">
        <f t="shared" si="93"/>
        <v>NO APLICA</v>
      </c>
      <c r="HY37" s="2"/>
      <c r="HZ37" s="6"/>
      <c r="IA37" s="4"/>
      <c r="IB37" s="8"/>
      <c r="IC37" s="5" t="str">
        <f t="shared" si="94"/>
        <v>NO APLICA</v>
      </c>
      <c r="ID37" s="2"/>
      <c r="IE37" s="6"/>
      <c r="IF37" s="4"/>
      <c r="IG37" s="8"/>
      <c r="IH37" s="5" t="str">
        <f t="shared" si="95"/>
        <v>NO APLICA</v>
      </c>
      <c r="II37" s="6"/>
      <c r="IJ37" s="6"/>
      <c r="IK37" s="4"/>
      <c r="IL37" s="8"/>
      <c r="IM37" s="5" t="str">
        <f t="shared" si="96"/>
        <v>NO APLICA</v>
      </c>
      <c r="IN37" s="2"/>
      <c r="IO37" s="6"/>
      <c r="IP37" s="4"/>
      <c r="IQ37" s="8"/>
      <c r="IR37" s="5" t="str">
        <f t="shared" si="97"/>
        <v>NO APLICA</v>
      </c>
      <c r="IS37" s="2"/>
      <c r="IT37" s="6"/>
      <c r="IU37" s="4"/>
      <c r="IV37" s="8"/>
      <c r="IW37" s="5" t="str">
        <f t="shared" si="98"/>
        <v>NO APLICA</v>
      </c>
      <c r="IX37" s="2"/>
      <c r="IY37" s="6"/>
      <c r="IZ37" s="4"/>
      <c r="JA37" s="8"/>
      <c r="JB37" s="5" t="str">
        <f t="shared" si="99"/>
        <v>NO APLICA</v>
      </c>
      <c r="JC37" s="3" t="s">
        <v>780</v>
      </c>
      <c r="JD37" s="3"/>
      <c r="JE37" s="4"/>
      <c r="JF37" s="8"/>
      <c r="JG37" s="5"/>
      <c r="JH37" s="3" t="s">
        <v>780</v>
      </c>
      <c r="JI37" s="6"/>
      <c r="JJ37" s="6"/>
      <c r="JK37" s="6"/>
      <c r="JL37" s="5"/>
      <c r="JM37" s="6" t="s">
        <v>780</v>
      </c>
      <c r="JN37" s="6"/>
      <c r="JO37" s="6"/>
      <c r="JP37" s="6"/>
      <c r="JQ37" s="5"/>
      <c r="JR37" s="6" t="s">
        <v>780</v>
      </c>
      <c r="JS37" s="6"/>
      <c r="JT37" s="6"/>
      <c r="JU37" s="6"/>
      <c r="JV37" s="5"/>
      <c r="JW37" s="6" t="s">
        <v>780</v>
      </c>
      <c r="JX37" s="5"/>
      <c r="JY37" s="5"/>
      <c r="JZ37" s="5"/>
      <c r="KA37" s="5"/>
      <c r="KB37" s="5"/>
      <c r="KC37" s="2"/>
      <c r="KD37" s="4"/>
      <c r="KE37" s="8"/>
      <c r="KF37" s="5" t="str">
        <f t="shared" si="135"/>
        <v>NO APLICA</v>
      </c>
      <c r="KG37" s="5"/>
      <c r="KH37" s="2"/>
      <c r="KI37" s="4"/>
      <c r="KJ37" s="8"/>
      <c r="KK37" s="5" t="str">
        <f t="shared" si="136"/>
        <v>NO APLICA</v>
      </c>
      <c r="KL37" s="5"/>
      <c r="KM37" s="2"/>
      <c r="KN37" s="4"/>
      <c r="KO37" s="8"/>
      <c r="KP37" s="5" t="str">
        <f t="shared" si="100"/>
        <v>NO APLICA</v>
      </c>
      <c r="KQ37" s="5"/>
      <c r="KR37" s="2"/>
      <c r="KS37" s="4"/>
      <c r="KT37" s="8"/>
      <c r="KU37" s="5" t="str">
        <f t="shared" si="137"/>
        <v>NO APLICA</v>
      </c>
      <c r="KV37" s="3"/>
      <c r="KW37" s="4">
        <v>44656</v>
      </c>
      <c r="KX37" s="4">
        <f>DATE(YEAR(KW37)+5,MONTH(KW37),DAY(KW37))</f>
        <v>46482</v>
      </c>
      <c r="KY37" s="8">
        <f ca="1">KX37-TODAY()</f>
        <v>337</v>
      </c>
      <c r="KZ37" s="5" t="str">
        <f t="shared" ca="1" si="151"/>
        <v>VIGENTE</v>
      </c>
      <c r="LA37" s="5"/>
      <c r="LB37" s="4">
        <v>44613</v>
      </c>
      <c r="LC37" s="4">
        <f>DATE(YEAR(LB37)+5,MONTH(LB37),DAY(LB37))</f>
        <v>46439</v>
      </c>
      <c r="LD37" s="8">
        <f ca="1">LC37-TODAY()</f>
        <v>294</v>
      </c>
      <c r="LE37" s="5" t="str">
        <f t="shared" ca="1" si="138"/>
        <v>VIGENTE</v>
      </c>
      <c r="LF37" s="6"/>
      <c r="LG37" s="6"/>
      <c r="LH37" s="4"/>
      <c r="LI37" s="8"/>
      <c r="LJ37" s="5" t="str">
        <f t="shared" si="101"/>
        <v>NO APLICA</v>
      </c>
      <c r="LK37" s="5"/>
      <c r="LL37" s="5"/>
      <c r="LM37" s="4"/>
      <c r="LN37" s="8"/>
      <c r="LO37" s="5" t="str">
        <f t="shared" si="152"/>
        <v>NO APLICA</v>
      </c>
      <c r="LP37" s="2"/>
      <c r="LQ37" s="6"/>
      <c r="LR37" s="4"/>
      <c r="LS37" s="8"/>
      <c r="LT37" s="5" t="str">
        <f t="shared" si="139"/>
        <v>NO APLICA</v>
      </c>
      <c r="LU37" s="6"/>
      <c r="LV37" s="6"/>
      <c r="LW37" s="4"/>
      <c r="LX37" s="8"/>
      <c r="LY37" s="5" t="str">
        <f t="shared" si="140"/>
        <v>NO APLICA</v>
      </c>
      <c r="LZ37" s="6"/>
      <c r="MA37" s="6"/>
      <c r="MB37" s="4"/>
      <c r="MC37" s="8"/>
      <c r="MD37" s="5" t="str">
        <f t="shared" si="141"/>
        <v>NO APLICA</v>
      </c>
      <c r="ME37" s="3"/>
      <c r="MF37" s="3">
        <v>44998</v>
      </c>
      <c r="MG37" s="4">
        <f>DATE(YEAR(MF37)+5,MONTH(MF37),DAY(MF37))</f>
        <v>46825</v>
      </c>
      <c r="MH37" s="8">
        <f ca="1">MG37-TODAY()</f>
        <v>680</v>
      </c>
      <c r="MI37" s="5" t="str">
        <f t="shared" ca="1" si="102"/>
        <v>VIGENTE</v>
      </c>
      <c r="MJ37" s="2"/>
      <c r="MK37" s="2"/>
      <c r="ML37" s="4"/>
      <c r="MM37" s="8"/>
      <c r="MN37" s="5" t="str">
        <f t="shared" si="103"/>
        <v>NO APLICA</v>
      </c>
      <c r="MO37" s="5"/>
      <c r="MP37" s="2"/>
      <c r="MQ37" s="4"/>
      <c r="MR37" s="8"/>
      <c r="MS37" s="5" t="str">
        <f t="shared" si="104"/>
        <v>NO APLICA</v>
      </c>
      <c r="MT37" s="5"/>
      <c r="MU37" s="2"/>
      <c r="MV37" s="4"/>
      <c r="MW37" s="2"/>
      <c r="MX37" s="5" t="str">
        <f t="shared" si="105"/>
        <v>NO APLICA</v>
      </c>
      <c r="MY37" s="2"/>
      <c r="MZ37" s="6"/>
      <c r="NA37" s="4"/>
      <c r="NB37" s="8"/>
      <c r="NC37" s="5" t="str">
        <f t="shared" si="106"/>
        <v>NO APLICA</v>
      </c>
      <c r="ND37" s="2"/>
      <c r="NE37" s="6"/>
      <c r="NF37" s="4"/>
      <c r="NG37" s="8"/>
      <c r="NH37" s="5" t="str">
        <f t="shared" si="107"/>
        <v>NO APLICA</v>
      </c>
      <c r="NI37" s="2"/>
      <c r="NJ37" s="6"/>
      <c r="NK37" s="4"/>
      <c r="NL37" s="8"/>
      <c r="NM37" s="5" t="str">
        <f t="shared" si="108"/>
        <v>NO APLICA</v>
      </c>
      <c r="NN37" s="2"/>
      <c r="NO37" s="2"/>
      <c r="NP37" s="4"/>
      <c r="NQ37" s="8"/>
      <c r="NR37" s="5" t="str">
        <f t="shared" si="109"/>
        <v>NO APLICA</v>
      </c>
      <c r="NS37" s="2"/>
      <c r="NT37" s="2"/>
      <c r="NU37" s="4"/>
      <c r="NV37" s="2"/>
      <c r="NW37" s="5" t="str">
        <f t="shared" si="110"/>
        <v>NO APLICA</v>
      </c>
      <c r="NX37" s="6"/>
      <c r="NY37" s="6"/>
      <c r="NZ37" s="4"/>
      <c r="OA37" s="8"/>
      <c r="OB37" s="5" t="str">
        <f t="shared" si="111"/>
        <v>NO APLICA</v>
      </c>
      <c r="OC37" s="6"/>
      <c r="OD37" s="6"/>
      <c r="OE37" s="6"/>
      <c r="OF37" s="6"/>
      <c r="OG37" s="5" t="str">
        <f t="shared" si="112"/>
        <v>NO APLICA</v>
      </c>
      <c r="OH37" s="2"/>
      <c r="OI37" s="2"/>
      <c r="OJ37" s="4"/>
      <c r="OK37" s="8"/>
      <c r="OL37" s="5" t="str">
        <f t="shared" si="113"/>
        <v>NO APLICA</v>
      </c>
      <c r="OM37" s="6"/>
      <c r="ON37" s="6"/>
      <c r="OO37" s="6"/>
      <c r="OP37" s="6"/>
      <c r="OQ37" s="5" t="str">
        <f t="shared" si="114"/>
        <v>NO APLICA</v>
      </c>
      <c r="OR37" s="6"/>
      <c r="OS37" s="6"/>
      <c r="OT37" s="6"/>
      <c r="OU37" s="6"/>
      <c r="OV37" s="5" t="str">
        <f t="shared" si="115"/>
        <v>NO APLICA</v>
      </c>
      <c r="OW37" s="6"/>
      <c r="OX37" s="6"/>
      <c r="OY37" s="6"/>
      <c r="OZ37" s="6"/>
      <c r="PA37" s="5" t="str">
        <f t="shared" si="116"/>
        <v>NO APLICA</v>
      </c>
      <c r="PB37" s="6"/>
      <c r="PC37" s="6"/>
      <c r="PD37" s="6"/>
      <c r="PE37" s="6"/>
      <c r="PF37" s="5" t="str">
        <f t="shared" si="117"/>
        <v>NO APLICA</v>
      </c>
      <c r="PG37" s="6"/>
      <c r="PH37" s="6"/>
      <c r="PI37" s="6"/>
      <c r="PJ37" s="6"/>
      <c r="PK37" s="5" t="str">
        <f t="shared" si="118"/>
        <v>NO APLICA</v>
      </c>
      <c r="PL37" s="5"/>
      <c r="PM37" s="6"/>
      <c r="PN37" s="4"/>
      <c r="PO37" s="8"/>
      <c r="PP37" s="5" t="str">
        <f t="shared" si="119"/>
        <v>NO APLICA</v>
      </c>
      <c r="PQ37" s="6"/>
      <c r="PR37" s="6"/>
      <c r="PS37" s="6"/>
      <c r="PT37" s="6"/>
      <c r="PU37" s="5" t="str">
        <f t="shared" si="120"/>
        <v>NO APLICA</v>
      </c>
      <c r="PV37" s="5"/>
      <c r="PW37" s="6"/>
      <c r="PX37" s="6"/>
      <c r="PY37" s="6"/>
      <c r="PZ37" s="5" t="str">
        <f t="shared" si="121"/>
        <v>NO APLICA</v>
      </c>
    </row>
    <row r="38" spans="1:442" ht="15.6" hidden="1" thickTop="1" thickBot="1" x14ac:dyDescent="0.35">
      <c r="A38" s="26">
        <v>35</v>
      </c>
      <c r="B38" s="27">
        <v>1602</v>
      </c>
      <c r="C38" s="28" t="s">
        <v>179</v>
      </c>
      <c r="D38" s="29" t="s">
        <v>64</v>
      </c>
      <c r="E38" s="30" t="s">
        <v>161</v>
      </c>
      <c r="F38" s="5"/>
      <c r="G38" s="6"/>
      <c r="H38" s="4"/>
      <c r="I38" s="8"/>
      <c r="J38" s="5" t="str">
        <f t="shared" si="0"/>
        <v>NO APLICA</v>
      </c>
      <c r="K38" s="3"/>
      <c r="L38" s="4">
        <v>46090</v>
      </c>
      <c r="M38" s="4">
        <f>DATE(YEAR(L38),MONTH(L38)+6,DAY(L38))</f>
        <v>46274</v>
      </c>
      <c r="N38" s="8">
        <f ca="1">M38-TODAY()</f>
        <v>129</v>
      </c>
      <c r="O38" s="5" t="str">
        <f t="shared" ca="1" si="1"/>
        <v>VIGENTE</v>
      </c>
      <c r="P38" s="4"/>
      <c r="Q38" s="4">
        <v>45590</v>
      </c>
      <c r="R38" s="4">
        <f>DATE(YEAR(Q38)+2,MONTH(Q38),DAY(Q38)-1)</f>
        <v>46319</v>
      </c>
      <c r="S38" s="8">
        <f ca="1">R38-TODAY()</f>
        <v>174</v>
      </c>
      <c r="T38" s="5" t="str">
        <f t="shared" ca="1" si="122"/>
        <v>VIGENTE</v>
      </c>
      <c r="U38" s="5"/>
      <c r="V38" s="2" t="s">
        <v>180</v>
      </c>
      <c r="W38" s="4">
        <v>44701</v>
      </c>
      <c r="X38" s="4">
        <f t="shared" si="2"/>
        <v>46527</v>
      </c>
      <c r="Y38" s="8">
        <f t="shared" ca="1" si="3"/>
        <v>382</v>
      </c>
      <c r="Z38" s="5" t="str">
        <f t="shared" ca="1" si="4"/>
        <v>VIGENTE</v>
      </c>
      <c r="AA38" s="5"/>
      <c r="AB38" s="2" t="s">
        <v>181</v>
      </c>
      <c r="AC38" s="4">
        <v>45190</v>
      </c>
      <c r="AD38" s="4">
        <f t="shared" si="207"/>
        <v>47017</v>
      </c>
      <c r="AE38" s="8">
        <f t="shared" ca="1" si="208"/>
        <v>872</v>
      </c>
      <c r="AF38" s="5" t="str">
        <f t="shared" ca="1" si="7"/>
        <v>VIGENTE</v>
      </c>
      <c r="AG38" s="3"/>
      <c r="AH38" s="4">
        <v>45936</v>
      </c>
      <c r="AI38" s="4">
        <f>DATE(YEAR(AH38)+2,MONTH(AH38),DAY(AH38))</f>
        <v>46666</v>
      </c>
      <c r="AJ38" s="8">
        <f t="shared" ca="1" si="8"/>
        <v>521</v>
      </c>
      <c r="AK38" s="5" t="str">
        <f t="shared" ca="1" si="9"/>
        <v>VIGENTE</v>
      </c>
      <c r="AL38" s="3"/>
      <c r="AM38" s="4">
        <v>45937</v>
      </c>
      <c r="AN38" s="4">
        <f t="shared" si="193"/>
        <v>46667</v>
      </c>
      <c r="AO38" s="8">
        <f t="shared" ca="1" si="10"/>
        <v>522</v>
      </c>
      <c r="AP38" s="5" t="str">
        <f t="shared" ca="1" si="11"/>
        <v>VIGENTE</v>
      </c>
      <c r="AQ38" s="3"/>
      <c r="AR38" s="4">
        <v>45904</v>
      </c>
      <c r="AS38" s="4">
        <f>DATE(YEAR(AR38)+2,MONTH(AR38),DAY(AR38))</f>
        <v>46634</v>
      </c>
      <c r="AT38" s="8">
        <f t="shared" ca="1" si="12"/>
        <v>489</v>
      </c>
      <c r="AU38" s="5" t="str">
        <f t="shared" ca="1" si="13"/>
        <v>VIGENTE</v>
      </c>
      <c r="AV38" s="3"/>
      <c r="AW38" s="4">
        <v>45972</v>
      </c>
      <c r="AX38" s="4">
        <f t="shared" si="194"/>
        <v>46702</v>
      </c>
      <c r="AY38" s="8">
        <f t="shared" ca="1" si="15"/>
        <v>557</v>
      </c>
      <c r="AZ38" s="5" t="str">
        <f t="shared" ca="1" si="16"/>
        <v>VIGENTE</v>
      </c>
      <c r="BA38" s="3"/>
      <c r="BB38" s="4">
        <v>46041</v>
      </c>
      <c r="BC38" s="4">
        <f>DATE(YEAR(BB38)+2,MONTH(BB38),DAY(BB38))</f>
        <v>46771</v>
      </c>
      <c r="BD38" s="8">
        <f t="shared" ca="1" si="17"/>
        <v>626</v>
      </c>
      <c r="BE38" s="5" t="str">
        <f t="shared" ca="1" si="18"/>
        <v>VIGENTE</v>
      </c>
      <c r="BF38" s="3"/>
      <c r="BG38" s="4">
        <v>46027</v>
      </c>
      <c r="BH38" s="4">
        <f t="shared" si="195"/>
        <v>46757</v>
      </c>
      <c r="BI38" s="8">
        <f t="shared" ca="1" si="19"/>
        <v>612</v>
      </c>
      <c r="BJ38" s="5" t="str">
        <f t="shared" ca="1" si="20"/>
        <v>VIGENTE</v>
      </c>
      <c r="BK38" s="3"/>
      <c r="BL38" s="4">
        <v>46051</v>
      </c>
      <c r="BM38" s="4">
        <f t="shared" si="196"/>
        <v>46781</v>
      </c>
      <c r="BN38" s="8">
        <f t="shared" ca="1" si="21"/>
        <v>636</v>
      </c>
      <c r="BO38" s="5" t="str">
        <f t="shared" ca="1" si="22"/>
        <v>VIGENTE</v>
      </c>
      <c r="BP38" s="3"/>
      <c r="BQ38" s="39">
        <v>45470</v>
      </c>
      <c r="BR38" s="4">
        <f>DATE(YEAR(BQ38)+2,MONTH(BQ38),DAY(BQ38)-1)</f>
        <v>46199</v>
      </c>
      <c r="BS38" s="8">
        <f t="shared" ca="1" si="23"/>
        <v>54</v>
      </c>
      <c r="BT38" s="5" t="str">
        <f t="shared" ca="1" si="24"/>
        <v>POR VENCER</v>
      </c>
      <c r="BU38" s="3"/>
      <c r="BV38" s="4">
        <v>46135</v>
      </c>
      <c r="BW38" s="4">
        <f t="shared" ref="BW38:BW43" si="211">DATE(YEAR(BV38)+2,MONTH(BV38),DAY(BV38)-1)</f>
        <v>46865</v>
      </c>
      <c r="BX38" s="8">
        <f t="shared" ca="1" si="25"/>
        <v>720</v>
      </c>
      <c r="BY38" s="5" t="str">
        <f t="shared" ca="1" si="26"/>
        <v>VIGENTE</v>
      </c>
      <c r="BZ38" s="3"/>
      <c r="CA38" s="4">
        <v>45944</v>
      </c>
      <c r="CB38" s="4">
        <f t="shared" si="203"/>
        <v>46674</v>
      </c>
      <c r="CC38" s="8">
        <f t="shared" ca="1" si="27"/>
        <v>529</v>
      </c>
      <c r="CD38" s="5" t="str">
        <f t="shared" ca="1" si="28"/>
        <v>VIGENTE</v>
      </c>
      <c r="CE38" s="6"/>
      <c r="CF38" s="4">
        <v>45393</v>
      </c>
      <c r="CG38" s="4">
        <f t="shared" si="29"/>
        <v>46854</v>
      </c>
      <c r="CH38" s="8">
        <f t="shared" ca="1" si="30"/>
        <v>709</v>
      </c>
      <c r="CI38" s="5" t="str">
        <f t="shared" ca="1" si="31"/>
        <v>VIGENTE</v>
      </c>
      <c r="CJ38" s="4"/>
      <c r="CK38" s="4">
        <v>46134</v>
      </c>
      <c r="CL38" s="4">
        <f>DATE(YEAR(CK38)+2,MONTH(CK38),DAY(CK38)-1)</f>
        <v>46864</v>
      </c>
      <c r="CM38" s="8">
        <f t="shared" ca="1" si="32"/>
        <v>719</v>
      </c>
      <c r="CN38" s="5" t="str">
        <f t="shared" ca="1" si="33"/>
        <v>VIGENTE</v>
      </c>
      <c r="CO38" s="3"/>
      <c r="CP38" s="39">
        <v>45481</v>
      </c>
      <c r="CQ38" s="4">
        <f t="shared" ref="CQ38:CQ44" si="212">DATE(YEAR(CP38)+2,MONTH(CP38),DAY(CP38)-1)</f>
        <v>46210</v>
      </c>
      <c r="CR38" s="8">
        <f t="shared" ca="1" si="34"/>
        <v>65</v>
      </c>
      <c r="CS38" s="5" t="str">
        <f t="shared" ca="1" si="35"/>
        <v>POR VENCER</v>
      </c>
      <c r="CT38" s="3"/>
      <c r="CU38" s="4">
        <v>45905</v>
      </c>
      <c r="CV38" s="4">
        <f>DATE(YEAR(CU38)+2,MONTH(CU38),DAY(CU38))</f>
        <v>46635</v>
      </c>
      <c r="CW38" s="8">
        <f t="shared" ca="1" si="36"/>
        <v>490</v>
      </c>
      <c r="CX38" s="5" t="str">
        <f t="shared" ca="1" si="37"/>
        <v>VIGENTE</v>
      </c>
      <c r="CY38" s="3"/>
      <c r="CZ38" s="4">
        <v>46000</v>
      </c>
      <c r="DA38" s="4">
        <f t="shared" si="206"/>
        <v>46730</v>
      </c>
      <c r="DB38" s="8">
        <f t="shared" ca="1" si="38"/>
        <v>585</v>
      </c>
      <c r="DC38" s="5" t="str">
        <f t="shared" ca="1" si="39"/>
        <v>VIGENTE</v>
      </c>
      <c r="DD38" s="3"/>
      <c r="DE38" s="39">
        <v>46123</v>
      </c>
      <c r="DF38" s="4">
        <f>DATE(YEAR(DE38)+2,MONTH(DE38),DAY(DE38)-1)</f>
        <v>46853</v>
      </c>
      <c r="DG38" s="8">
        <f t="shared" ca="1" si="40"/>
        <v>708</v>
      </c>
      <c r="DH38" s="5" t="str">
        <f t="shared" ca="1" si="41"/>
        <v>VIGENTE</v>
      </c>
      <c r="DI38" s="3"/>
      <c r="DJ38" s="39">
        <v>45975</v>
      </c>
      <c r="DK38" s="4">
        <f>DATE(YEAR(DJ38)+2,MONTH(DJ38),DAY(DJ38))</f>
        <v>46705</v>
      </c>
      <c r="DL38" s="8">
        <f t="shared" ca="1" si="43"/>
        <v>560</v>
      </c>
      <c r="DM38" s="5" t="str">
        <f t="shared" ca="1" si="44"/>
        <v>VIGENTE</v>
      </c>
      <c r="DN38" s="3"/>
      <c r="DO38" s="4">
        <v>45982</v>
      </c>
      <c r="DP38" s="4">
        <f t="shared" si="204"/>
        <v>46712</v>
      </c>
      <c r="DQ38" s="8">
        <f t="shared" ca="1" si="46"/>
        <v>567</v>
      </c>
      <c r="DR38" s="5" t="str">
        <f t="shared" ca="1" si="47"/>
        <v>VIGENTE</v>
      </c>
      <c r="DS38" s="3"/>
      <c r="DT38" s="4">
        <v>46053</v>
      </c>
      <c r="DU38" s="4">
        <f>DATE(YEAR(DT38)+2,MONTH(DT38),DAY(DT38))</f>
        <v>46783</v>
      </c>
      <c r="DV38" s="8">
        <f t="shared" ca="1" si="48"/>
        <v>638</v>
      </c>
      <c r="DW38" s="5" t="str">
        <f t="shared" ca="1" si="49"/>
        <v>VIGENTE</v>
      </c>
      <c r="DX38" s="3"/>
      <c r="DY38" s="4">
        <v>46099</v>
      </c>
      <c r="DZ38" s="4">
        <f>DATE(YEAR(DY38)+2,MONTH(DY38),DAY(DY38))</f>
        <v>46830</v>
      </c>
      <c r="EA38" s="8">
        <f t="shared" ca="1" si="50"/>
        <v>685</v>
      </c>
      <c r="EB38" s="5" t="str">
        <f t="shared" ca="1" si="51"/>
        <v>VIGENTE</v>
      </c>
      <c r="EC38" s="3"/>
      <c r="ED38" s="39">
        <v>46104</v>
      </c>
      <c r="EE38" s="4">
        <f t="shared" si="205"/>
        <v>46835</v>
      </c>
      <c r="EF38" s="8">
        <f t="shared" ca="1" si="52"/>
        <v>690</v>
      </c>
      <c r="EG38" s="5" t="str">
        <f t="shared" ca="1" si="53"/>
        <v>VIGENTE</v>
      </c>
      <c r="EH38" s="3"/>
      <c r="EI38" s="3">
        <v>46060</v>
      </c>
      <c r="EJ38" s="4">
        <f t="shared" si="131"/>
        <v>46425</v>
      </c>
      <c r="EK38" s="8">
        <f t="shared" ca="1" si="54"/>
        <v>280</v>
      </c>
      <c r="EL38" s="5" t="str">
        <f t="shared" ca="1" si="55"/>
        <v>VIGENTE</v>
      </c>
      <c r="EM38" s="3"/>
      <c r="EN38" s="4">
        <v>46100</v>
      </c>
      <c r="EO38" s="4">
        <f>DATE(YEAR(EN38)+2,MONTH(EN38),DAY(EN38))</f>
        <v>46831</v>
      </c>
      <c r="EP38" s="8">
        <f t="shared" ca="1" si="56"/>
        <v>686</v>
      </c>
      <c r="EQ38" s="5" t="str">
        <f t="shared" ca="1" si="57"/>
        <v>VIGENTE</v>
      </c>
      <c r="ER38" s="3"/>
      <c r="ES38" s="39">
        <v>46094</v>
      </c>
      <c r="ET38" s="4">
        <f>DATE(YEAR(ES38)+2,MONTH(ES38),DAY(ES38))</f>
        <v>46825</v>
      </c>
      <c r="EU38" s="8">
        <f t="shared" ca="1" si="58"/>
        <v>680</v>
      </c>
      <c r="EV38" s="5" t="str">
        <f t="shared" ca="1" si="59"/>
        <v>VIGENTE</v>
      </c>
      <c r="EW38" s="3"/>
      <c r="EX38" s="4">
        <v>45917</v>
      </c>
      <c r="EY38" s="4">
        <f t="shared" si="197"/>
        <v>46647</v>
      </c>
      <c r="EZ38" s="8">
        <f t="shared" ca="1" si="60"/>
        <v>502</v>
      </c>
      <c r="FA38" s="5" t="str">
        <f t="shared" ca="1" si="61"/>
        <v>VIGENTE</v>
      </c>
      <c r="FB38" s="3"/>
      <c r="FC38" s="4">
        <v>45931</v>
      </c>
      <c r="FD38" s="4">
        <f t="shared" si="198"/>
        <v>46661</v>
      </c>
      <c r="FE38" s="8">
        <f t="shared" ca="1" si="62"/>
        <v>516</v>
      </c>
      <c r="FF38" s="5" t="str">
        <f t="shared" ca="1" si="63"/>
        <v>VIGENTE</v>
      </c>
      <c r="FG38" s="3"/>
      <c r="FH38" s="4">
        <v>45919</v>
      </c>
      <c r="FI38" s="4">
        <f t="shared" si="199"/>
        <v>46649</v>
      </c>
      <c r="FJ38" s="8">
        <f t="shared" ca="1" si="64"/>
        <v>504</v>
      </c>
      <c r="FK38" s="5" t="str">
        <f t="shared" ca="1" si="65"/>
        <v>VIGENTE</v>
      </c>
      <c r="FL38" s="3"/>
      <c r="FM38" s="39">
        <v>46129</v>
      </c>
      <c r="FN38" s="4">
        <f>DATE(YEAR(FM38)+2,MONTH(FM38),DAY(FM38)-1)</f>
        <v>46859</v>
      </c>
      <c r="FO38" s="8">
        <f t="shared" ca="1" si="67"/>
        <v>714</v>
      </c>
      <c r="FP38" s="5" t="str">
        <f t="shared" ca="1" si="68"/>
        <v>VIGENTE</v>
      </c>
      <c r="FQ38" s="3"/>
      <c r="FR38" s="39">
        <v>46122</v>
      </c>
      <c r="FS38" s="4">
        <f>DATE(YEAR(FR38)+2,MONTH(FR38),DAY(FR38)-1)</f>
        <v>46852</v>
      </c>
      <c r="FT38" s="8">
        <f t="shared" ca="1" si="69"/>
        <v>707</v>
      </c>
      <c r="FU38" s="5" t="str">
        <f t="shared" ca="1" si="70"/>
        <v>VIGENTE</v>
      </c>
      <c r="FV38" s="4"/>
      <c r="FW38" s="4">
        <v>45587</v>
      </c>
      <c r="FX38" s="4">
        <f>DATE(YEAR(FW38)+2,MONTH(FW38),DAY(FW38)-1)</f>
        <v>46316</v>
      </c>
      <c r="FY38" s="8">
        <f t="shared" ca="1" si="71"/>
        <v>171</v>
      </c>
      <c r="FZ38" s="5" t="str">
        <f t="shared" ca="1" si="72"/>
        <v>VIGENTE</v>
      </c>
      <c r="GA38" s="3"/>
      <c r="GB38" s="4">
        <v>45595</v>
      </c>
      <c r="GC38" s="4">
        <f>DATE(YEAR(GB38)+2,MONTH(GB38),DAY(GB38)-1)</f>
        <v>46324</v>
      </c>
      <c r="GD38" s="8">
        <f t="shared" ca="1" si="73"/>
        <v>179</v>
      </c>
      <c r="GE38" s="5" t="str">
        <f t="shared" ca="1" si="74"/>
        <v>VIGENTE</v>
      </c>
      <c r="GF38" s="3"/>
      <c r="GG38" s="4">
        <v>45472</v>
      </c>
      <c r="GH38" s="4">
        <f>DATE(YEAR(GG38)+2,MONTH(GG38),DAY(GG38)-1)</f>
        <v>46201</v>
      </c>
      <c r="GI38" s="8">
        <f t="shared" ca="1" si="75"/>
        <v>56</v>
      </c>
      <c r="GJ38" s="5" t="str">
        <f t="shared" ca="1" si="76"/>
        <v>POR VENCER</v>
      </c>
      <c r="GK38" s="3"/>
      <c r="GL38" s="4">
        <v>45687</v>
      </c>
      <c r="GM38" s="4">
        <f>DATE(YEAR(GL38)+2,MONTH(GL38),DAY(GL38)-1)</f>
        <v>46416</v>
      </c>
      <c r="GN38" s="8">
        <f t="shared" ca="1" si="77"/>
        <v>271</v>
      </c>
      <c r="GO38" s="5" t="str">
        <f t="shared" ca="1" si="78"/>
        <v>VIGENTE</v>
      </c>
      <c r="GP38" s="4"/>
      <c r="GQ38" s="4">
        <v>45459</v>
      </c>
      <c r="GR38" s="4">
        <f t="shared" si="79"/>
        <v>47285</v>
      </c>
      <c r="GS38" s="8">
        <f t="shared" ca="1" si="176"/>
        <v>1140</v>
      </c>
      <c r="GT38" s="5" t="str">
        <f t="shared" ca="1" si="81"/>
        <v>VIGENTE</v>
      </c>
      <c r="GU38" s="3"/>
      <c r="GV38" s="4">
        <v>45478</v>
      </c>
      <c r="GW38" s="4">
        <f t="shared" si="82"/>
        <v>47304</v>
      </c>
      <c r="GX38" s="8">
        <f t="shared" ca="1" si="83"/>
        <v>1159</v>
      </c>
      <c r="GY38" s="5" t="str">
        <f t="shared" ca="1" si="84"/>
        <v>VIGENTE</v>
      </c>
      <c r="GZ38" s="3"/>
      <c r="HA38" s="4">
        <v>45454</v>
      </c>
      <c r="HB38" s="4">
        <f t="shared" si="85"/>
        <v>47280</v>
      </c>
      <c r="HC38" s="8">
        <f t="shared" ca="1" si="86"/>
        <v>1135</v>
      </c>
      <c r="HD38" s="5" t="str">
        <f t="shared" ca="1" si="87"/>
        <v>VIGENTE</v>
      </c>
      <c r="HE38" s="6"/>
      <c r="HF38" s="4">
        <v>45496</v>
      </c>
      <c r="HG38" s="4">
        <f t="shared" si="209"/>
        <v>47322</v>
      </c>
      <c r="HH38" s="8">
        <f t="shared" ca="1" si="210"/>
        <v>1177</v>
      </c>
      <c r="HI38" s="5" t="str">
        <f t="shared" ca="1" si="187"/>
        <v>VIGENTE</v>
      </c>
      <c r="HJ38" s="2"/>
      <c r="HK38" s="6"/>
      <c r="HL38" s="4"/>
      <c r="HM38" s="8"/>
      <c r="HN38" s="5" t="str">
        <f t="shared" si="202"/>
        <v>NO APLICA</v>
      </c>
      <c r="HO38" s="2"/>
      <c r="HP38" s="2"/>
      <c r="HQ38" s="4"/>
      <c r="HR38" s="2"/>
      <c r="HS38" s="5" t="str">
        <f t="shared" si="92"/>
        <v>NO APLICA</v>
      </c>
      <c r="HT38" s="2"/>
      <c r="HU38" s="6"/>
      <c r="HV38" s="4"/>
      <c r="HW38" s="8"/>
      <c r="HX38" s="5" t="str">
        <f t="shared" si="93"/>
        <v>NO APLICA</v>
      </c>
      <c r="HY38" s="2"/>
      <c r="HZ38" s="6"/>
      <c r="IA38" s="4"/>
      <c r="IB38" s="8"/>
      <c r="IC38" s="5" t="str">
        <f t="shared" si="94"/>
        <v>NO APLICA</v>
      </c>
      <c r="ID38" s="2"/>
      <c r="IE38" s="6"/>
      <c r="IF38" s="4"/>
      <c r="IG38" s="8"/>
      <c r="IH38" s="5" t="str">
        <f t="shared" si="95"/>
        <v>NO APLICA</v>
      </c>
      <c r="II38" s="6"/>
      <c r="IJ38" s="6"/>
      <c r="IK38" s="4"/>
      <c r="IL38" s="8"/>
      <c r="IM38" s="5" t="str">
        <f t="shared" si="96"/>
        <v>NO APLICA</v>
      </c>
      <c r="IN38" s="2"/>
      <c r="IO38" s="6"/>
      <c r="IP38" s="4"/>
      <c r="IQ38" s="8"/>
      <c r="IR38" s="5" t="str">
        <f t="shared" si="97"/>
        <v>NO APLICA</v>
      </c>
      <c r="IS38" s="2"/>
      <c r="IT38" s="6"/>
      <c r="IU38" s="4"/>
      <c r="IV38" s="8"/>
      <c r="IW38" s="5" t="str">
        <f t="shared" si="98"/>
        <v>NO APLICA</v>
      </c>
      <c r="IX38" s="2"/>
      <c r="IY38" s="6"/>
      <c r="IZ38" s="4"/>
      <c r="JA38" s="8"/>
      <c r="JB38" s="5" t="str">
        <f t="shared" si="99"/>
        <v>NO APLICA</v>
      </c>
      <c r="JC38" s="3" t="s">
        <v>780</v>
      </c>
      <c r="JD38" s="3"/>
      <c r="JE38" s="4"/>
      <c r="JF38" s="8"/>
      <c r="JG38" s="5"/>
      <c r="JH38" s="3" t="s">
        <v>780</v>
      </c>
      <c r="JI38" s="6"/>
      <c r="JJ38" s="6"/>
      <c r="JK38" s="6"/>
      <c r="JL38" s="5"/>
      <c r="JM38" s="6" t="s">
        <v>780</v>
      </c>
      <c r="JN38" s="6"/>
      <c r="JO38" s="6"/>
      <c r="JP38" s="6"/>
      <c r="JQ38" s="5"/>
      <c r="JR38" s="6" t="s">
        <v>780</v>
      </c>
      <c r="JS38" s="6"/>
      <c r="JT38" s="6"/>
      <c r="JU38" s="6"/>
      <c r="JV38" s="5"/>
      <c r="JW38" s="6" t="s">
        <v>780</v>
      </c>
      <c r="JX38" s="5"/>
      <c r="JY38" s="5"/>
      <c r="JZ38" s="5"/>
      <c r="KA38" s="5"/>
      <c r="KB38" s="5"/>
      <c r="KC38" s="2"/>
      <c r="KD38" s="4"/>
      <c r="KE38" s="8"/>
      <c r="KF38" s="5" t="str">
        <f t="shared" si="135"/>
        <v>NO APLICA</v>
      </c>
      <c r="KG38" s="5"/>
      <c r="KH38" s="2"/>
      <c r="KI38" s="4"/>
      <c r="KJ38" s="8"/>
      <c r="KK38" s="5" t="str">
        <f t="shared" si="136"/>
        <v>NO APLICA</v>
      </c>
      <c r="KL38" s="5"/>
      <c r="KM38" s="2"/>
      <c r="KN38" s="4"/>
      <c r="KO38" s="8"/>
      <c r="KP38" s="5" t="str">
        <f t="shared" si="100"/>
        <v>NO APLICA</v>
      </c>
      <c r="KQ38" s="5"/>
      <c r="KR38" s="2"/>
      <c r="KS38" s="4"/>
      <c r="KT38" s="8"/>
      <c r="KU38" s="5" t="str">
        <f t="shared" si="137"/>
        <v>NO APLICA</v>
      </c>
      <c r="KV38" s="2"/>
      <c r="KW38" s="6"/>
      <c r="KX38" s="4"/>
      <c r="KY38" s="8"/>
      <c r="KZ38" s="5" t="str">
        <f t="shared" si="151"/>
        <v>NO APLICA</v>
      </c>
      <c r="LA38" s="5"/>
      <c r="LB38" s="6"/>
      <c r="LC38" s="4"/>
      <c r="LD38" s="8"/>
      <c r="LE38" s="5" t="str">
        <f t="shared" si="138"/>
        <v>NO APLICA</v>
      </c>
      <c r="LF38" s="6"/>
      <c r="LG38" s="4"/>
      <c r="LH38" s="4"/>
      <c r="LI38" s="8"/>
      <c r="LJ38" s="5" t="str">
        <f t="shared" si="101"/>
        <v>NO APLICA</v>
      </c>
      <c r="LK38" s="5"/>
      <c r="LL38" s="5"/>
      <c r="LM38" s="5"/>
      <c r="LN38" s="5"/>
      <c r="LO38" s="5" t="str">
        <f t="shared" si="152"/>
        <v>NO APLICA</v>
      </c>
      <c r="LP38" s="2"/>
      <c r="LQ38" s="6"/>
      <c r="LR38" s="4"/>
      <c r="LS38" s="8"/>
      <c r="LT38" s="5" t="str">
        <f t="shared" si="139"/>
        <v>NO APLICA</v>
      </c>
      <c r="LU38" s="6"/>
      <c r="LV38" s="6"/>
      <c r="LW38" s="4"/>
      <c r="LX38" s="8"/>
      <c r="LY38" s="5" t="str">
        <f t="shared" si="140"/>
        <v>NO APLICA</v>
      </c>
      <c r="LZ38" s="6"/>
      <c r="MA38" s="6"/>
      <c r="MB38" s="4"/>
      <c r="MC38" s="8"/>
      <c r="MD38" s="5" t="str">
        <f t="shared" si="141"/>
        <v>NO APLICA</v>
      </c>
      <c r="ME38" s="2"/>
      <c r="MF38" s="2"/>
      <c r="MG38" s="4"/>
      <c r="MH38" s="8"/>
      <c r="MI38" s="5" t="str">
        <f t="shared" si="102"/>
        <v>NO APLICA</v>
      </c>
      <c r="MJ38" s="2"/>
      <c r="MK38" s="2"/>
      <c r="ML38" s="4"/>
      <c r="MM38" s="8"/>
      <c r="MN38" s="5" t="str">
        <f t="shared" si="103"/>
        <v>NO APLICA</v>
      </c>
      <c r="MO38" s="5"/>
      <c r="MP38" s="2"/>
      <c r="MQ38" s="4"/>
      <c r="MR38" s="8"/>
      <c r="MS38" s="5" t="str">
        <f t="shared" si="104"/>
        <v>NO APLICA</v>
      </c>
      <c r="MT38" s="5"/>
      <c r="MU38" s="2"/>
      <c r="MV38" s="4"/>
      <c r="MW38" s="2"/>
      <c r="MX38" s="5" t="str">
        <f t="shared" si="105"/>
        <v>NO APLICA</v>
      </c>
      <c r="MY38" s="2"/>
      <c r="MZ38" s="6"/>
      <c r="NA38" s="4"/>
      <c r="NB38" s="8"/>
      <c r="NC38" s="5" t="str">
        <f t="shared" si="106"/>
        <v>NO APLICA</v>
      </c>
      <c r="ND38" s="2"/>
      <c r="NE38" s="6"/>
      <c r="NF38" s="4"/>
      <c r="NG38" s="8"/>
      <c r="NH38" s="5" t="str">
        <f t="shared" si="107"/>
        <v>NO APLICA</v>
      </c>
      <c r="NI38" s="2"/>
      <c r="NJ38" s="6"/>
      <c r="NK38" s="4"/>
      <c r="NL38" s="8"/>
      <c r="NM38" s="5" t="str">
        <f t="shared" si="108"/>
        <v>NO APLICA</v>
      </c>
      <c r="NN38" s="2"/>
      <c r="NO38" s="2"/>
      <c r="NP38" s="4"/>
      <c r="NQ38" s="2"/>
      <c r="NR38" s="5" t="str">
        <f t="shared" si="109"/>
        <v>NO APLICA</v>
      </c>
      <c r="NS38" s="2"/>
      <c r="NT38" s="2"/>
      <c r="NU38" s="4"/>
      <c r="NV38" s="2"/>
      <c r="NW38" s="5" t="str">
        <f t="shared" si="110"/>
        <v>NO APLICA</v>
      </c>
      <c r="NX38" s="6"/>
      <c r="NY38" s="6"/>
      <c r="NZ38" s="4"/>
      <c r="OA38" s="8"/>
      <c r="OB38" s="5" t="str">
        <f t="shared" si="111"/>
        <v>NO APLICA</v>
      </c>
      <c r="OC38" s="6"/>
      <c r="OD38" s="6"/>
      <c r="OE38" s="6"/>
      <c r="OF38" s="6"/>
      <c r="OG38" s="5" t="str">
        <f t="shared" si="112"/>
        <v>NO APLICA</v>
      </c>
      <c r="OH38" s="6"/>
      <c r="OI38" s="6"/>
      <c r="OJ38" s="4"/>
      <c r="OK38" s="8"/>
      <c r="OL38" s="5" t="str">
        <f t="shared" si="113"/>
        <v>NO APLICA</v>
      </c>
      <c r="OM38" s="6"/>
      <c r="ON38" s="6"/>
      <c r="OO38" s="6"/>
      <c r="OP38" s="6"/>
      <c r="OQ38" s="5" t="str">
        <f t="shared" si="114"/>
        <v>NO APLICA</v>
      </c>
      <c r="OR38" s="6"/>
      <c r="OS38" s="6"/>
      <c r="OT38" s="6"/>
      <c r="OU38" s="6"/>
      <c r="OV38" s="5" t="str">
        <f t="shared" si="115"/>
        <v>NO APLICA</v>
      </c>
      <c r="OW38" s="6"/>
      <c r="OX38" s="6"/>
      <c r="OY38" s="6"/>
      <c r="OZ38" s="6"/>
      <c r="PA38" s="5" t="str">
        <f t="shared" si="116"/>
        <v>NO APLICA</v>
      </c>
      <c r="PB38" s="6"/>
      <c r="PC38" s="6"/>
      <c r="PD38" s="6"/>
      <c r="PE38" s="6"/>
      <c r="PF38" s="5" t="str">
        <f t="shared" si="117"/>
        <v>NO APLICA</v>
      </c>
      <c r="PG38" s="6"/>
      <c r="PH38" s="6"/>
      <c r="PI38" s="6"/>
      <c r="PJ38" s="6"/>
      <c r="PK38" s="5" t="str">
        <f t="shared" si="118"/>
        <v>NO APLICA</v>
      </c>
      <c r="PL38" s="5"/>
      <c r="PM38" s="6"/>
      <c r="PN38" s="4"/>
      <c r="PO38" s="8"/>
      <c r="PP38" s="5" t="str">
        <f t="shared" si="119"/>
        <v>NO APLICA</v>
      </c>
      <c r="PQ38" s="6"/>
      <c r="PR38" s="6"/>
      <c r="PS38" s="6"/>
      <c r="PT38" s="6"/>
      <c r="PU38" s="5" t="str">
        <f t="shared" si="120"/>
        <v>NO APLICA</v>
      </c>
      <c r="PV38" s="5"/>
      <c r="PW38" s="4">
        <v>46126</v>
      </c>
      <c r="PX38" s="4">
        <f>DATE(YEAR(PW38)+1,MONTH(PW38),DAY(PW38))</f>
        <v>46491</v>
      </c>
      <c r="PY38" s="8">
        <f ca="1">PX38-TODAY()</f>
        <v>346</v>
      </c>
      <c r="PZ38" s="5" t="str">
        <f t="shared" ca="1" si="121"/>
        <v>VIGENTE</v>
      </c>
    </row>
    <row r="39" spans="1:442" ht="15.6" hidden="1" thickTop="1" thickBot="1" x14ac:dyDescent="0.35">
      <c r="A39" s="26">
        <v>36</v>
      </c>
      <c r="B39" s="27">
        <v>1611</v>
      </c>
      <c r="C39" s="28" t="s">
        <v>182</v>
      </c>
      <c r="D39" s="29" t="s">
        <v>64</v>
      </c>
      <c r="E39" s="30" t="s">
        <v>81</v>
      </c>
      <c r="F39" s="5"/>
      <c r="G39" s="6"/>
      <c r="H39" s="4"/>
      <c r="I39" s="8"/>
      <c r="J39" s="5" t="str">
        <f t="shared" si="0"/>
        <v>NO APLICA</v>
      </c>
      <c r="K39" s="2"/>
      <c r="L39" s="6"/>
      <c r="M39" s="6"/>
      <c r="N39" s="8"/>
      <c r="O39" s="5" t="str">
        <f t="shared" si="1"/>
        <v>NO APLICA</v>
      </c>
      <c r="P39" s="4"/>
      <c r="Q39" s="4">
        <v>45590</v>
      </c>
      <c r="R39" s="4">
        <f>DATE(YEAR(Q39)+2,MONTH(Q39),DAY(Q39)-1)</f>
        <v>46319</v>
      </c>
      <c r="S39" s="8">
        <f ca="1">R39-TODAY()</f>
        <v>174</v>
      </c>
      <c r="T39" s="5" t="str">
        <f t="shared" ca="1" si="122"/>
        <v>VIGENTE</v>
      </c>
      <c r="U39" s="5"/>
      <c r="V39" s="2" t="s">
        <v>183</v>
      </c>
      <c r="W39" s="4">
        <v>44944</v>
      </c>
      <c r="X39" s="4">
        <f t="shared" si="2"/>
        <v>46770</v>
      </c>
      <c r="Y39" s="8">
        <f t="shared" ca="1" si="3"/>
        <v>625</v>
      </c>
      <c r="Z39" s="5" t="str">
        <f t="shared" ca="1" si="4"/>
        <v>VIGENTE</v>
      </c>
      <c r="AA39" s="5"/>
      <c r="AB39" s="2" t="s">
        <v>184</v>
      </c>
      <c r="AC39" s="4">
        <v>45192</v>
      </c>
      <c r="AD39" s="4">
        <f t="shared" si="207"/>
        <v>47019</v>
      </c>
      <c r="AE39" s="8">
        <f t="shared" ca="1" si="208"/>
        <v>874</v>
      </c>
      <c r="AF39" s="5" t="str">
        <f t="shared" ca="1" si="7"/>
        <v>VIGENTE</v>
      </c>
      <c r="AG39" s="3"/>
      <c r="AH39" s="4">
        <v>45680</v>
      </c>
      <c r="AI39" s="4">
        <f>DATE(YEAR(AH39)+2,MONTH(AH39),DAY(AH39)-1)</f>
        <v>46409</v>
      </c>
      <c r="AJ39" s="8">
        <f t="shared" ca="1" si="8"/>
        <v>264</v>
      </c>
      <c r="AK39" s="5" t="str">
        <f t="shared" ca="1" si="9"/>
        <v>VIGENTE</v>
      </c>
      <c r="AL39" s="3"/>
      <c r="AM39" s="4">
        <v>45710</v>
      </c>
      <c r="AN39" s="4">
        <f>DATE(YEAR(AM39)+2,MONTH(AM39),DAY(AM39)-1)</f>
        <v>46439</v>
      </c>
      <c r="AO39" s="8">
        <f t="shared" ca="1" si="10"/>
        <v>294</v>
      </c>
      <c r="AP39" s="5" t="str">
        <f t="shared" ca="1" si="11"/>
        <v>VIGENTE</v>
      </c>
      <c r="AQ39" s="3"/>
      <c r="AR39" s="4">
        <v>45703</v>
      </c>
      <c r="AS39" s="4">
        <f>DATE(YEAR(AR39)+2,MONTH(AR39),DAY(AR39)-1)</f>
        <v>46432</v>
      </c>
      <c r="AT39" s="8">
        <f t="shared" ca="1" si="12"/>
        <v>287</v>
      </c>
      <c r="AU39" s="5" t="str">
        <f t="shared" ca="1" si="13"/>
        <v>VIGENTE</v>
      </c>
      <c r="AV39" s="3"/>
      <c r="AW39" s="4">
        <v>45702</v>
      </c>
      <c r="AX39" s="4">
        <f>DATE(YEAR(AW39)+2,MONTH(AW39),DAY(AW39)-1)</f>
        <v>46431</v>
      </c>
      <c r="AY39" s="8">
        <f t="shared" ca="1" si="15"/>
        <v>286</v>
      </c>
      <c r="AZ39" s="5" t="str">
        <f t="shared" ca="1" si="16"/>
        <v>VIGENTE</v>
      </c>
      <c r="BA39" s="3"/>
      <c r="BB39" s="4">
        <v>45717</v>
      </c>
      <c r="BC39" s="4">
        <f>DATE(YEAR(BB39)+2,MONTH(BB39),DAY(BB39)-1)</f>
        <v>46446</v>
      </c>
      <c r="BD39" s="8">
        <f t="shared" ca="1" si="17"/>
        <v>301</v>
      </c>
      <c r="BE39" s="5" t="str">
        <f t="shared" ca="1" si="18"/>
        <v>VIGENTE</v>
      </c>
      <c r="BF39" s="3"/>
      <c r="BG39" s="4">
        <v>45698</v>
      </c>
      <c r="BH39" s="4">
        <f>DATE(YEAR(BG39)+2,MONTH(BG39),DAY(BG39)-1)</f>
        <v>46427</v>
      </c>
      <c r="BI39" s="8">
        <f t="shared" ca="1" si="19"/>
        <v>282</v>
      </c>
      <c r="BJ39" s="5" t="str">
        <f t="shared" ca="1" si="20"/>
        <v>VIGENTE</v>
      </c>
      <c r="BK39" s="3"/>
      <c r="BL39" s="4">
        <v>45699</v>
      </c>
      <c r="BM39" s="4">
        <f>DATE(YEAR(BL39)+2,MONTH(BL39),DAY(BL39)-1)</f>
        <v>46428</v>
      </c>
      <c r="BN39" s="8">
        <f t="shared" ca="1" si="21"/>
        <v>283</v>
      </c>
      <c r="BO39" s="5" t="str">
        <f t="shared" ca="1" si="22"/>
        <v>VIGENTE</v>
      </c>
      <c r="BP39" s="3"/>
      <c r="BQ39" s="39">
        <v>45701</v>
      </c>
      <c r="BR39" s="4">
        <f>DATE(YEAR(BQ39)+2,MONTH(BQ39),DAY(BQ39)-1)</f>
        <v>46430</v>
      </c>
      <c r="BS39" s="8">
        <f t="shared" ca="1" si="23"/>
        <v>285</v>
      </c>
      <c r="BT39" s="5" t="str">
        <f t="shared" ca="1" si="24"/>
        <v>VIGENTE</v>
      </c>
      <c r="BU39" s="3"/>
      <c r="BV39" s="4">
        <v>45695</v>
      </c>
      <c r="BW39" s="4">
        <f t="shared" si="211"/>
        <v>46424</v>
      </c>
      <c r="BX39" s="8">
        <f t="shared" ca="1" si="25"/>
        <v>279</v>
      </c>
      <c r="BY39" s="5" t="str">
        <f t="shared" ca="1" si="26"/>
        <v>VIGENTE</v>
      </c>
      <c r="BZ39" s="3"/>
      <c r="CA39" s="4">
        <v>45730</v>
      </c>
      <c r="CB39" s="4">
        <f>DATE(YEAR(CA39)+2,MONTH(CA39),DAY(CA39)-1)</f>
        <v>46459</v>
      </c>
      <c r="CC39" s="8">
        <f t="shared" ca="1" si="27"/>
        <v>314</v>
      </c>
      <c r="CD39" s="5" t="str">
        <f t="shared" ca="1" si="28"/>
        <v>VIGENTE</v>
      </c>
      <c r="CE39" s="6"/>
      <c r="CF39" s="4">
        <v>45832</v>
      </c>
      <c r="CG39" s="4">
        <f t="shared" si="29"/>
        <v>47293</v>
      </c>
      <c r="CH39" s="8">
        <f t="shared" ca="1" si="30"/>
        <v>1148</v>
      </c>
      <c r="CI39" s="5" t="str">
        <f t="shared" ca="1" si="31"/>
        <v>VIGENTE</v>
      </c>
      <c r="CJ39" s="4"/>
      <c r="CK39" s="4">
        <v>45723</v>
      </c>
      <c r="CL39" s="4">
        <f>DATE(YEAR(CK39)+2,MONTH(CK39),DAY(CK39)-1)</f>
        <v>46452</v>
      </c>
      <c r="CM39" s="8">
        <f t="shared" ca="1" si="32"/>
        <v>307</v>
      </c>
      <c r="CN39" s="5" t="str">
        <f t="shared" ca="1" si="33"/>
        <v>VIGENTE</v>
      </c>
      <c r="CO39" s="3"/>
      <c r="CP39" s="39">
        <v>45726</v>
      </c>
      <c r="CQ39" s="4">
        <f t="shared" si="212"/>
        <v>46455</v>
      </c>
      <c r="CR39" s="8">
        <f t="shared" ca="1" si="34"/>
        <v>310</v>
      </c>
      <c r="CS39" s="5" t="str">
        <f t="shared" ca="1" si="35"/>
        <v>VIGENTE</v>
      </c>
      <c r="CT39" s="3"/>
      <c r="CU39" s="4">
        <v>45727</v>
      </c>
      <c r="CV39" s="4">
        <f>DATE(YEAR(CU39)+2,MONTH(CU39),DAY(CU39)-1)</f>
        <v>46456</v>
      </c>
      <c r="CW39" s="8">
        <f t="shared" ca="1" si="36"/>
        <v>311</v>
      </c>
      <c r="CX39" s="5" t="str">
        <f t="shared" ca="1" si="37"/>
        <v>VIGENTE</v>
      </c>
      <c r="CY39" s="3"/>
      <c r="CZ39" s="4">
        <v>45785</v>
      </c>
      <c r="DA39" s="4">
        <f t="shared" si="206"/>
        <v>46515</v>
      </c>
      <c r="DB39" s="8">
        <f t="shared" ca="1" si="38"/>
        <v>370</v>
      </c>
      <c r="DC39" s="5" t="str">
        <f t="shared" ca="1" si="39"/>
        <v>VIGENTE</v>
      </c>
      <c r="DD39" s="3"/>
      <c r="DE39" s="39">
        <v>45761</v>
      </c>
      <c r="DF39" s="4">
        <f>DATE(YEAR(DE39)+2,MONTH(DE39),DAY(DE39))</f>
        <v>46491</v>
      </c>
      <c r="DG39" s="8">
        <f t="shared" ca="1" si="40"/>
        <v>346</v>
      </c>
      <c r="DH39" s="5" t="str">
        <f t="shared" ca="1" si="41"/>
        <v>VIGENTE</v>
      </c>
      <c r="DI39" s="2"/>
      <c r="DJ39" s="39">
        <v>45734</v>
      </c>
      <c r="DK39" s="4">
        <f>DATE(YEAR(DJ39)+2,MONTH(DJ39),DAY(DJ39)-1)</f>
        <v>46463</v>
      </c>
      <c r="DL39" s="8">
        <f t="shared" ca="1" si="43"/>
        <v>318</v>
      </c>
      <c r="DM39" s="5" t="str">
        <f t="shared" ca="1" si="44"/>
        <v>VIGENTE</v>
      </c>
      <c r="DN39" s="3"/>
      <c r="DO39" s="4">
        <v>45731</v>
      </c>
      <c r="DP39" s="4">
        <f>DATE(YEAR(DO39)+2,MONTH(DO39),DAY(DO39)-1)</f>
        <v>46460</v>
      </c>
      <c r="DQ39" s="8">
        <f t="shared" ca="1" si="46"/>
        <v>315</v>
      </c>
      <c r="DR39" s="5" t="str">
        <f t="shared" ca="1" si="47"/>
        <v>VIGENTE</v>
      </c>
      <c r="DS39" s="3"/>
      <c r="DT39" s="4">
        <v>45685</v>
      </c>
      <c r="DU39" s="4">
        <f>DATE(YEAR(DT39)+2,MONTH(DT39),DAY(DT39)-1)</f>
        <v>46414</v>
      </c>
      <c r="DV39" s="8">
        <f t="shared" ca="1" si="48"/>
        <v>269</v>
      </c>
      <c r="DW39" s="5" t="str">
        <f t="shared" ca="1" si="49"/>
        <v>VIGENTE</v>
      </c>
      <c r="DX39" s="3"/>
      <c r="DY39" s="4">
        <v>45663</v>
      </c>
      <c r="DZ39" s="4">
        <f>DATE(YEAR(DY39)+2,MONTH(DY39),DAY(DY39)-1)</f>
        <v>46392</v>
      </c>
      <c r="EA39" s="8">
        <f t="shared" ca="1" si="50"/>
        <v>247</v>
      </c>
      <c r="EB39" s="5" t="str">
        <f t="shared" ca="1" si="51"/>
        <v>VIGENTE</v>
      </c>
      <c r="EC39" s="3"/>
      <c r="ED39" s="39">
        <v>45768</v>
      </c>
      <c r="EE39" s="4">
        <f t="shared" si="205"/>
        <v>46498</v>
      </c>
      <c r="EF39" s="8">
        <f t="shared" ca="1" si="52"/>
        <v>353</v>
      </c>
      <c r="EG39" s="5" t="str">
        <f t="shared" ca="1" si="53"/>
        <v>VIGENTE</v>
      </c>
      <c r="EH39" s="3"/>
      <c r="EI39" s="3">
        <v>46060</v>
      </c>
      <c r="EJ39" s="4">
        <f t="shared" si="131"/>
        <v>46425</v>
      </c>
      <c r="EK39" s="8">
        <f t="shared" ca="1" si="54"/>
        <v>280</v>
      </c>
      <c r="EL39" s="5" t="str">
        <f t="shared" ca="1" si="55"/>
        <v>VIGENTE</v>
      </c>
      <c r="EM39" s="3"/>
      <c r="EN39" s="4">
        <v>45660</v>
      </c>
      <c r="EO39" s="4">
        <f>DATE(YEAR(EN39)+2,MONTH(EN39),DAY(EN39)-1)</f>
        <v>46389</v>
      </c>
      <c r="EP39" s="8">
        <f t="shared" ca="1" si="56"/>
        <v>244</v>
      </c>
      <c r="EQ39" s="5" t="str">
        <f t="shared" ca="1" si="57"/>
        <v>VIGENTE</v>
      </c>
      <c r="ER39" s="3"/>
      <c r="ES39" s="39">
        <v>45677</v>
      </c>
      <c r="ET39" s="4">
        <f>DATE(YEAR(ES39)+2,MONTH(ES39),DAY(ES39)-1)</f>
        <v>46406</v>
      </c>
      <c r="EU39" s="8">
        <f t="shared" ca="1" si="58"/>
        <v>261</v>
      </c>
      <c r="EV39" s="5" t="str">
        <f t="shared" ca="1" si="59"/>
        <v>VIGENTE</v>
      </c>
      <c r="EW39" s="3"/>
      <c r="EX39" s="4">
        <v>45694</v>
      </c>
      <c r="EY39" s="4">
        <f>DATE(YEAR(EX39)+2,MONTH(EX39),DAY(EX39)-1)</f>
        <v>46423</v>
      </c>
      <c r="EZ39" s="8">
        <f t="shared" ca="1" si="60"/>
        <v>278</v>
      </c>
      <c r="FA39" s="5" t="str">
        <f t="shared" ca="1" si="61"/>
        <v>VIGENTE</v>
      </c>
      <c r="FB39" s="3"/>
      <c r="FC39" s="4">
        <v>45611</v>
      </c>
      <c r="FD39" s="4">
        <f>DATE(YEAR(FC39)+2,MONTH(FC39),DAY(FC39)-1)</f>
        <v>46340</v>
      </c>
      <c r="FE39" s="8">
        <f t="shared" ca="1" si="62"/>
        <v>195</v>
      </c>
      <c r="FF39" s="5" t="str">
        <f t="shared" ca="1" si="63"/>
        <v>VIGENTE</v>
      </c>
      <c r="FG39" s="3"/>
      <c r="FH39" s="4">
        <v>45668</v>
      </c>
      <c r="FI39" s="4">
        <f>DATE(YEAR(FH39)+2,MONTH(FH39),DAY(FH39)-1)</f>
        <v>46397</v>
      </c>
      <c r="FJ39" s="8">
        <f t="shared" ca="1" si="64"/>
        <v>252</v>
      </c>
      <c r="FK39" s="5" t="str">
        <f t="shared" ca="1" si="65"/>
        <v>VIGENTE</v>
      </c>
      <c r="FL39" s="3"/>
      <c r="FM39" s="39">
        <v>45771</v>
      </c>
      <c r="FN39" s="4">
        <f>DATE(YEAR(FM39)+2,MONTH(FM39),DAY(FM39))</f>
        <v>46501</v>
      </c>
      <c r="FO39" s="8">
        <f t="shared" ca="1" si="67"/>
        <v>356</v>
      </c>
      <c r="FP39" s="5" t="str">
        <f t="shared" ca="1" si="68"/>
        <v>VIGENTE</v>
      </c>
      <c r="FQ39" s="3"/>
      <c r="FR39" s="39">
        <v>45664</v>
      </c>
      <c r="FS39" s="4">
        <f>DATE(YEAR(FR39)+2,MONTH(FR39),DAY(FR39)-1)</f>
        <v>46393</v>
      </c>
      <c r="FT39" s="8">
        <f t="shared" ca="1" si="69"/>
        <v>248</v>
      </c>
      <c r="FU39" s="5" t="str">
        <f t="shared" ca="1" si="70"/>
        <v>VIGENTE</v>
      </c>
      <c r="FV39" s="3"/>
      <c r="FW39" s="4">
        <v>45700</v>
      </c>
      <c r="FX39" s="4">
        <f>DATE(YEAR(FW39)+2,MONTH(FW39),DAY(FW39)-1)</f>
        <v>46429</v>
      </c>
      <c r="FY39" s="8">
        <f t="shared" ca="1" si="71"/>
        <v>284</v>
      </c>
      <c r="FZ39" s="5" t="str">
        <f t="shared" ca="1" si="72"/>
        <v>VIGENTE</v>
      </c>
      <c r="GA39" s="3"/>
      <c r="GB39" s="4">
        <v>45757</v>
      </c>
      <c r="GC39" s="4">
        <f>DATE(YEAR(GB39)+2,MONTH(GB39),DAY(GB39)-1)</f>
        <v>46486</v>
      </c>
      <c r="GD39" s="8">
        <f t="shared" ca="1" si="73"/>
        <v>341</v>
      </c>
      <c r="GE39" s="5" t="str">
        <f t="shared" ca="1" si="74"/>
        <v>VIGENTE</v>
      </c>
      <c r="GF39" s="3"/>
      <c r="GG39" s="4">
        <v>45752</v>
      </c>
      <c r="GH39" s="4">
        <f>DATE(YEAR(GG39)+2,MONTH(GG39),DAY(GG39)-1)</f>
        <v>46481</v>
      </c>
      <c r="GI39" s="8">
        <f t="shared" ca="1" si="75"/>
        <v>336</v>
      </c>
      <c r="GJ39" s="5" t="str">
        <f t="shared" ca="1" si="76"/>
        <v>VIGENTE</v>
      </c>
      <c r="GK39" s="3"/>
      <c r="GL39" s="4">
        <v>45687</v>
      </c>
      <c r="GM39" s="4">
        <f>DATE(YEAR(GL39)+2,MONTH(GL39),DAY(GL39)-1)</f>
        <v>46416</v>
      </c>
      <c r="GN39" s="8">
        <f t="shared" ca="1" si="77"/>
        <v>271</v>
      </c>
      <c r="GO39" s="5" t="str">
        <f t="shared" ca="1" si="78"/>
        <v>VIGENTE</v>
      </c>
      <c r="GP39" s="4"/>
      <c r="GQ39" s="4">
        <v>45048</v>
      </c>
      <c r="GR39" s="4">
        <f t="shared" si="79"/>
        <v>46875</v>
      </c>
      <c r="GS39" s="8">
        <f t="shared" ca="1" si="176"/>
        <v>730</v>
      </c>
      <c r="GT39" s="5" t="str">
        <f t="shared" ca="1" si="81"/>
        <v>VIGENTE</v>
      </c>
      <c r="GU39" s="3"/>
      <c r="GV39" s="4">
        <v>45006</v>
      </c>
      <c r="GW39" s="4">
        <f t="shared" si="82"/>
        <v>46833</v>
      </c>
      <c r="GX39" s="8">
        <f t="shared" ca="1" si="83"/>
        <v>688</v>
      </c>
      <c r="GY39" s="5" t="str">
        <f t="shared" ca="1" si="84"/>
        <v>VIGENTE</v>
      </c>
      <c r="GZ39" s="2"/>
      <c r="HA39" s="4">
        <v>45073</v>
      </c>
      <c r="HB39" s="4">
        <f t="shared" si="85"/>
        <v>46900</v>
      </c>
      <c r="HC39" s="8">
        <f t="shared" ca="1" si="86"/>
        <v>755</v>
      </c>
      <c r="HD39" s="5" t="str">
        <f t="shared" ca="1" si="87"/>
        <v>VIGENTE</v>
      </c>
      <c r="HE39" s="6"/>
      <c r="HF39" s="4">
        <v>45020</v>
      </c>
      <c r="HG39" s="4">
        <f t="shared" si="209"/>
        <v>46847</v>
      </c>
      <c r="HH39" s="8">
        <f t="shared" ca="1" si="210"/>
        <v>702</v>
      </c>
      <c r="HI39" s="5" t="str">
        <f t="shared" ca="1" si="187"/>
        <v>VIGENTE</v>
      </c>
      <c r="HJ39" s="2"/>
      <c r="HK39" s="6"/>
      <c r="HL39" s="4"/>
      <c r="HM39" s="8"/>
      <c r="HN39" s="5" t="str">
        <f t="shared" si="202"/>
        <v>NO APLICA</v>
      </c>
      <c r="HO39" s="2"/>
      <c r="HP39" s="2"/>
      <c r="HQ39" s="4"/>
      <c r="HR39" s="2"/>
      <c r="HS39" s="5" t="str">
        <f t="shared" si="92"/>
        <v>NO APLICA</v>
      </c>
      <c r="HT39" s="2"/>
      <c r="HU39" s="4">
        <v>45089</v>
      </c>
      <c r="HV39" s="4">
        <f>DATE(YEAR(HU39)+5,MONTH(HU39),DAY(HU39))</f>
        <v>46916</v>
      </c>
      <c r="HW39" s="8">
        <f ca="1">HV39-TODAY()</f>
        <v>771</v>
      </c>
      <c r="HX39" s="5" t="str">
        <f t="shared" ca="1" si="93"/>
        <v>VIGENTE</v>
      </c>
      <c r="HY39" s="2"/>
      <c r="HZ39" s="4">
        <v>44981</v>
      </c>
      <c r="IA39" s="4">
        <f>DATE(YEAR(HZ39)+5,MONTH(HZ39),DAY(HZ39))</f>
        <v>46807</v>
      </c>
      <c r="IB39" s="8">
        <f ca="1">IA39-TODAY()</f>
        <v>662</v>
      </c>
      <c r="IC39" s="5" t="str">
        <f t="shared" ca="1" si="94"/>
        <v>VIGENTE</v>
      </c>
      <c r="ID39" s="2"/>
      <c r="IE39" s="4">
        <v>45049</v>
      </c>
      <c r="IF39" s="4">
        <f>DATE(YEAR(IE39)+5,MONTH(IE39),DAY(IE39))</f>
        <v>46876</v>
      </c>
      <c r="IG39" s="8">
        <f ca="1">IF39-TODAY()</f>
        <v>731</v>
      </c>
      <c r="IH39" s="5" t="str">
        <f t="shared" ca="1" si="95"/>
        <v>VIGENTE</v>
      </c>
      <c r="II39" s="6"/>
      <c r="IJ39" s="4">
        <v>45058</v>
      </c>
      <c r="IK39" s="4">
        <f>DATE(YEAR(IJ39)+5,MONTH(IJ39),DAY(IJ39))</f>
        <v>46885</v>
      </c>
      <c r="IL39" s="8">
        <f ca="1">IK39-TODAY()</f>
        <v>740</v>
      </c>
      <c r="IM39" s="5" t="str">
        <f t="shared" ca="1" si="96"/>
        <v>VIGENTE</v>
      </c>
      <c r="IN39" s="2"/>
      <c r="IO39" s="4">
        <v>45064</v>
      </c>
      <c r="IP39" s="4">
        <f>DATE(YEAR(IO39)+5,MONTH(IO39),DAY(IO39))</f>
        <v>46891</v>
      </c>
      <c r="IQ39" s="8">
        <f ca="1">IP39-TODAY()</f>
        <v>746</v>
      </c>
      <c r="IR39" s="5" t="str">
        <f t="shared" ca="1" si="97"/>
        <v>VIGENTE</v>
      </c>
      <c r="IS39" s="2"/>
      <c r="IT39" s="4">
        <v>45062</v>
      </c>
      <c r="IU39" s="4">
        <f>DATE(YEAR(IT39)+5,MONTH(IT39),DAY(IT39))</f>
        <v>46889</v>
      </c>
      <c r="IV39" s="8">
        <f ca="1">IU39-TODAY()</f>
        <v>744</v>
      </c>
      <c r="IW39" s="5" t="str">
        <f t="shared" ca="1" si="98"/>
        <v>VIGENTE</v>
      </c>
      <c r="IX39" s="2"/>
      <c r="IY39" s="4">
        <v>44996</v>
      </c>
      <c r="IZ39" s="4">
        <f>DATE(YEAR(IY39)+5,MONTH(IY39),DAY(IY39))</f>
        <v>46823</v>
      </c>
      <c r="JA39" s="8">
        <f ca="1">IZ39-TODAY()</f>
        <v>678</v>
      </c>
      <c r="JB39" s="5" t="str">
        <f t="shared" ca="1" si="99"/>
        <v>VIGENTE</v>
      </c>
      <c r="JC39" s="3" t="s">
        <v>780</v>
      </c>
      <c r="JD39" s="3"/>
      <c r="JE39" s="4"/>
      <c r="JF39" s="8"/>
      <c r="JG39" s="5"/>
      <c r="JH39" s="3" t="s">
        <v>780</v>
      </c>
      <c r="JI39" s="6"/>
      <c r="JJ39" s="6"/>
      <c r="JK39" s="6"/>
      <c r="JL39" s="5"/>
      <c r="JM39" s="6" t="s">
        <v>780</v>
      </c>
      <c r="JN39" s="6"/>
      <c r="JO39" s="6"/>
      <c r="JP39" s="6"/>
      <c r="JQ39" s="5"/>
      <c r="JR39" s="6" t="s">
        <v>780</v>
      </c>
      <c r="JS39" s="6"/>
      <c r="JT39" s="6"/>
      <c r="JU39" s="6"/>
      <c r="JV39" s="5"/>
      <c r="JW39" s="6" t="s">
        <v>780</v>
      </c>
      <c r="JX39" s="5"/>
      <c r="JY39" s="5"/>
      <c r="JZ39" s="5"/>
      <c r="KA39" s="5"/>
      <c r="KB39" s="5"/>
      <c r="KC39" s="2"/>
      <c r="KD39" s="4"/>
      <c r="KE39" s="8"/>
      <c r="KF39" s="5" t="str">
        <f t="shared" si="135"/>
        <v>NO APLICA</v>
      </c>
      <c r="KG39" s="5"/>
      <c r="KH39" s="3">
        <v>45328</v>
      </c>
      <c r="KI39" s="4">
        <f>DATE(YEAR(KH39)+5,MONTH(KH39),DAY(KH39)-1)</f>
        <v>47154</v>
      </c>
      <c r="KJ39" s="8">
        <f ca="1">KI39-TODAY()</f>
        <v>1009</v>
      </c>
      <c r="KK39" s="5" t="str">
        <f t="shared" ca="1" si="136"/>
        <v>VIGENTE</v>
      </c>
      <c r="KL39" s="5"/>
      <c r="KM39" s="2"/>
      <c r="KN39" s="4"/>
      <c r="KO39" s="8"/>
      <c r="KP39" s="5" t="str">
        <f t="shared" si="100"/>
        <v>NO APLICA</v>
      </c>
      <c r="KQ39" s="5"/>
      <c r="KR39" s="2"/>
      <c r="KS39" s="4"/>
      <c r="KT39" s="8"/>
      <c r="KU39" s="5" t="str">
        <f t="shared" si="137"/>
        <v>NO APLICA</v>
      </c>
      <c r="KV39" s="2"/>
      <c r="KW39" s="6"/>
      <c r="KX39" s="4"/>
      <c r="KY39" s="8"/>
      <c r="KZ39" s="5" t="str">
        <f t="shared" si="151"/>
        <v>NO APLICA</v>
      </c>
      <c r="LA39" s="5"/>
      <c r="LB39" s="6"/>
      <c r="LC39" s="4"/>
      <c r="LD39" s="8"/>
      <c r="LE39" s="5" t="str">
        <f t="shared" si="138"/>
        <v>NO APLICA</v>
      </c>
      <c r="LF39" s="6"/>
      <c r="LG39" s="6"/>
      <c r="LH39" s="4"/>
      <c r="LI39" s="8"/>
      <c r="LJ39" s="5" t="str">
        <f t="shared" si="101"/>
        <v>NO APLICA</v>
      </c>
      <c r="LK39" s="5"/>
      <c r="LL39" s="5"/>
      <c r="LM39" s="4"/>
      <c r="LN39" s="8"/>
      <c r="LO39" s="5" t="str">
        <f t="shared" si="152"/>
        <v>NO APLICA</v>
      </c>
      <c r="LP39" s="2"/>
      <c r="LQ39" s="6"/>
      <c r="LR39" s="4"/>
      <c r="LS39" s="8"/>
      <c r="LT39" s="5" t="str">
        <f t="shared" si="139"/>
        <v>NO APLICA</v>
      </c>
      <c r="LU39" s="6"/>
      <c r="LV39" s="6"/>
      <c r="LW39" s="4"/>
      <c r="LX39" s="8"/>
      <c r="LY39" s="5" t="str">
        <f t="shared" si="140"/>
        <v>NO APLICA</v>
      </c>
      <c r="LZ39" s="6"/>
      <c r="MA39" s="6"/>
      <c r="MB39" s="4"/>
      <c r="MC39" s="8"/>
      <c r="MD39" s="5" t="str">
        <f t="shared" si="141"/>
        <v>NO APLICA</v>
      </c>
      <c r="ME39" s="2"/>
      <c r="MF39" s="2"/>
      <c r="MG39" s="4"/>
      <c r="MH39" s="8"/>
      <c r="MI39" s="5" t="str">
        <f t="shared" si="102"/>
        <v>NO APLICA</v>
      </c>
      <c r="MJ39" s="2"/>
      <c r="MK39" s="2"/>
      <c r="ML39" s="4"/>
      <c r="MM39" s="8"/>
      <c r="MN39" s="5" t="str">
        <f t="shared" si="103"/>
        <v>NO APLICA</v>
      </c>
      <c r="MO39" s="5"/>
      <c r="MP39" s="2"/>
      <c r="MQ39" s="4"/>
      <c r="MR39" s="8"/>
      <c r="MS39" s="5" t="str">
        <f t="shared" si="104"/>
        <v>NO APLICA</v>
      </c>
      <c r="MT39" s="5"/>
      <c r="MU39" s="2"/>
      <c r="MV39" s="4"/>
      <c r="MW39" s="2"/>
      <c r="MX39" s="5" t="str">
        <f t="shared" si="105"/>
        <v>NO APLICA</v>
      </c>
      <c r="MY39" s="2"/>
      <c r="MZ39" s="6"/>
      <c r="NA39" s="4"/>
      <c r="NB39" s="8"/>
      <c r="NC39" s="5" t="str">
        <f t="shared" si="106"/>
        <v>NO APLICA</v>
      </c>
      <c r="ND39" s="2"/>
      <c r="NE39" s="6"/>
      <c r="NF39" s="4"/>
      <c r="NG39" s="8"/>
      <c r="NH39" s="5" t="str">
        <f t="shared" si="107"/>
        <v>NO APLICA</v>
      </c>
      <c r="NI39" s="2"/>
      <c r="NJ39" s="6"/>
      <c r="NK39" s="4"/>
      <c r="NL39" s="8"/>
      <c r="NM39" s="5" t="str">
        <f t="shared" si="108"/>
        <v>NO APLICA</v>
      </c>
      <c r="NN39" s="2"/>
      <c r="NO39" s="2"/>
      <c r="NP39" s="4"/>
      <c r="NQ39" s="8"/>
      <c r="NR39" s="5" t="str">
        <f t="shared" si="109"/>
        <v>NO APLICA</v>
      </c>
      <c r="NS39" s="2"/>
      <c r="NT39" s="2"/>
      <c r="NU39" s="4"/>
      <c r="NV39" s="2"/>
      <c r="NW39" s="5" t="str">
        <f t="shared" si="110"/>
        <v>NO APLICA</v>
      </c>
      <c r="NX39" s="6"/>
      <c r="NY39" s="6"/>
      <c r="NZ39" s="4"/>
      <c r="OA39" s="8"/>
      <c r="OB39" s="5" t="str">
        <f t="shared" si="111"/>
        <v>NO APLICA</v>
      </c>
      <c r="OC39" s="6"/>
      <c r="OD39" s="6"/>
      <c r="OE39" s="6"/>
      <c r="OF39" s="6"/>
      <c r="OG39" s="5" t="str">
        <f t="shared" si="112"/>
        <v>NO APLICA</v>
      </c>
      <c r="OH39" s="6"/>
      <c r="OI39" s="6"/>
      <c r="OJ39" s="4"/>
      <c r="OK39" s="8"/>
      <c r="OL39" s="5" t="str">
        <f t="shared" si="113"/>
        <v>NO APLICA</v>
      </c>
      <c r="OM39" s="6"/>
      <c r="ON39" s="6"/>
      <c r="OO39" s="6"/>
      <c r="OP39" s="6"/>
      <c r="OQ39" s="5" t="str">
        <f t="shared" si="114"/>
        <v>NO APLICA</v>
      </c>
      <c r="OR39" s="6"/>
      <c r="OS39" s="6"/>
      <c r="OT39" s="6"/>
      <c r="OU39" s="6"/>
      <c r="OV39" s="5" t="str">
        <f t="shared" si="115"/>
        <v>NO APLICA</v>
      </c>
      <c r="OW39" s="6"/>
      <c r="OX39" s="6"/>
      <c r="OY39" s="6"/>
      <c r="OZ39" s="6"/>
      <c r="PA39" s="5" t="str">
        <f t="shared" si="116"/>
        <v>NO APLICA</v>
      </c>
      <c r="PB39" s="6"/>
      <c r="PC39" s="6"/>
      <c r="PD39" s="6"/>
      <c r="PE39" s="6"/>
      <c r="PF39" s="5" t="str">
        <f t="shared" si="117"/>
        <v>NO APLICA</v>
      </c>
      <c r="PG39" s="6"/>
      <c r="PH39" s="6"/>
      <c r="PI39" s="6"/>
      <c r="PJ39" s="6"/>
      <c r="PK39" s="5" t="str">
        <f t="shared" si="118"/>
        <v>NO APLICA</v>
      </c>
      <c r="PL39" s="5"/>
      <c r="PM39" s="6"/>
      <c r="PN39" s="4"/>
      <c r="PO39" s="8"/>
      <c r="PP39" s="5" t="str">
        <f t="shared" si="119"/>
        <v>NO APLICA</v>
      </c>
      <c r="PQ39" s="6"/>
      <c r="PR39" s="6"/>
      <c r="PS39" s="6"/>
      <c r="PT39" s="6"/>
      <c r="PU39" s="5" t="str">
        <f t="shared" si="120"/>
        <v>NO APLICA</v>
      </c>
      <c r="PV39" s="5"/>
      <c r="PW39" s="6"/>
      <c r="PX39" s="6"/>
      <c r="PY39" s="6"/>
      <c r="PZ39" s="5" t="str">
        <f t="shared" si="121"/>
        <v>NO APLICA</v>
      </c>
    </row>
    <row r="40" spans="1:442" ht="15.6" hidden="1" thickTop="1" thickBot="1" x14ac:dyDescent="0.35">
      <c r="A40" s="26">
        <v>37</v>
      </c>
      <c r="B40" s="27">
        <v>837</v>
      </c>
      <c r="C40" s="28" t="s">
        <v>754</v>
      </c>
      <c r="D40" s="29" t="s">
        <v>68</v>
      </c>
      <c r="E40" s="30" t="s">
        <v>185</v>
      </c>
      <c r="F40" s="5"/>
      <c r="G40" s="6"/>
      <c r="H40" s="4"/>
      <c r="I40" s="8"/>
      <c r="J40" s="5" t="str">
        <f t="shared" si="0"/>
        <v>NO APLICA</v>
      </c>
      <c r="K40" s="5"/>
      <c r="L40" s="6"/>
      <c r="M40" s="6"/>
      <c r="N40" s="8"/>
      <c r="O40" s="5" t="str">
        <f t="shared" si="1"/>
        <v>NO APLICA</v>
      </c>
      <c r="P40" s="6"/>
      <c r="Q40" s="6"/>
      <c r="R40" s="4"/>
      <c r="S40" s="8"/>
      <c r="T40" s="5" t="str">
        <f t="shared" si="122"/>
        <v>NO APLICA</v>
      </c>
      <c r="U40" s="5"/>
      <c r="V40" s="2" t="s">
        <v>186</v>
      </c>
      <c r="W40" s="4">
        <v>44801</v>
      </c>
      <c r="X40" s="4">
        <f t="shared" si="2"/>
        <v>46627</v>
      </c>
      <c r="Y40" s="8">
        <f t="shared" ca="1" si="3"/>
        <v>482</v>
      </c>
      <c r="Z40" s="5" t="str">
        <f t="shared" ca="1" si="4"/>
        <v>VIGENTE</v>
      </c>
      <c r="AA40" s="5"/>
      <c r="AB40" s="2" t="s">
        <v>187</v>
      </c>
      <c r="AC40" s="4">
        <v>44824</v>
      </c>
      <c r="AD40" s="4">
        <f t="shared" si="207"/>
        <v>46650</v>
      </c>
      <c r="AE40" s="8">
        <f t="shared" ca="1" si="208"/>
        <v>505</v>
      </c>
      <c r="AF40" s="5" t="str">
        <f t="shared" ca="1" si="7"/>
        <v>VIGENTE</v>
      </c>
      <c r="AG40" s="3"/>
      <c r="AH40" s="4">
        <v>45902</v>
      </c>
      <c r="AI40" s="4">
        <f>DATE(YEAR(AH40)+2,MONTH(AH40),DAY(AH40))</f>
        <v>46632</v>
      </c>
      <c r="AJ40" s="8">
        <f t="shared" ca="1" si="8"/>
        <v>487</v>
      </c>
      <c r="AK40" s="5" t="str">
        <f t="shared" ca="1" si="9"/>
        <v>VIGENTE</v>
      </c>
      <c r="AL40" s="3"/>
      <c r="AM40" s="4">
        <v>45959</v>
      </c>
      <c r="AN40" s="4">
        <f t="shared" ref="AN40:AN45" si="213">DATE(YEAR(AM40)+2,MONTH(AM40),DAY(AM40))</f>
        <v>46689</v>
      </c>
      <c r="AO40" s="8">
        <f t="shared" ca="1" si="10"/>
        <v>544</v>
      </c>
      <c r="AP40" s="5" t="str">
        <f t="shared" ca="1" si="11"/>
        <v>VIGENTE</v>
      </c>
      <c r="AQ40" s="3"/>
      <c r="AR40" s="4">
        <v>45967</v>
      </c>
      <c r="AS40" s="4">
        <f>DATE(YEAR(AR40)+2,MONTH(AR40),DAY(AR40))</f>
        <v>46697</v>
      </c>
      <c r="AT40" s="8">
        <f t="shared" ca="1" si="12"/>
        <v>552</v>
      </c>
      <c r="AU40" s="5" t="str">
        <f t="shared" ca="1" si="13"/>
        <v>VIGENTE</v>
      </c>
      <c r="AV40" s="3"/>
      <c r="AW40" s="4">
        <v>45972</v>
      </c>
      <c r="AX40" s="4">
        <f>DATE(YEAR(AW40)+2,MONTH(AW40),DAY(AW40))</f>
        <v>46702</v>
      </c>
      <c r="AY40" s="8">
        <f t="shared" ca="1" si="15"/>
        <v>557</v>
      </c>
      <c r="AZ40" s="5" t="str">
        <f t="shared" ca="1" si="16"/>
        <v>VIGENTE</v>
      </c>
      <c r="BA40" s="3"/>
      <c r="BB40" s="4">
        <v>46071</v>
      </c>
      <c r="BC40" s="4">
        <f>DATE(YEAR(BB40)+2,MONTH(BB40),DAY(BB40))</f>
        <v>46801</v>
      </c>
      <c r="BD40" s="8">
        <f t="shared" ca="1" si="17"/>
        <v>656</v>
      </c>
      <c r="BE40" s="5" t="str">
        <f t="shared" ca="1" si="18"/>
        <v>VIGENTE</v>
      </c>
      <c r="BF40" s="3"/>
      <c r="BG40" s="4">
        <v>45987</v>
      </c>
      <c r="BH40" s="4">
        <f>DATE(YEAR(BG40)+2,MONTH(BG40),DAY(BG40))</f>
        <v>46717</v>
      </c>
      <c r="BI40" s="8">
        <f t="shared" ca="1" si="19"/>
        <v>572</v>
      </c>
      <c r="BJ40" s="5" t="str">
        <f t="shared" ca="1" si="20"/>
        <v>VIGENTE</v>
      </c>
      <c r="BK40" s="3"/>
      <c r="BL40" s="4">
        <v>46133</v>
      </c>
      <c r="BM40" s="4">
        <f>DATE(YEAR(BL40)+2,MONTH(BL40),DAY(BL40))</f>
        <v>46864</v>
      </c>
      <c r="BN40" s="8">
        <f t="shared" ca="1" si="21"/>
        <v>719</v>
      </c>
      <c r="BO40" s="5" t="str">
        <f t="shared" ca="1" si="22"/>
        <v>VIGENTE</v>
      </c>
      <c r="BP40" s="3"/>
      <c r="BQ40" s="39">
        <v>46120</v>
      </c>
      <c r="BR40" s="4">
        <f>DATE(YEAR(BQ40)+2,MONTH(BQ40),DAY(BQ40)-1)</f>
        <v>46850</v>
      </c>
      <c r="BS40" s="8">
        <f t="shared" ca="1" si="23"/>
        <v>705</v>
      </c>
      <c r="BT40" s="5" t="str">
        <f t="shared" ca="1" si="24"/>
        <v>VIGENTE</v>
      </c>
      <c r="BU40" s="3"/>
      <c r="BV40" s="4">
        <v>46116</v>
      </c>
      <c r="BW40" s="4">
        <f t="shared" si="211"/>
        <v>46846</v>
      </c>
      <c r="BX40" s="8">
        <f t="shared" ca="1" si="25"/>
        <v>701</v>
      </c>
      <c r="BY40" s="5" t="str">
        <f t="shared" ca="1" si="26"/>
        <v>VIGENTE</v>
      </c>
      <c r="BZ40" s="3"/>
      <c r="CA40" s="4">
        <v>45944</v>
      </c>
      <c r="CB40" s="4">
        <f>DATE(YEAR(CA40)+2,MONTH(CA40),DAY(CA40))</f>
        <v>46674</v>
      </c>
      <c r="CC40" s="8">
        <f t="shared" ca="1" si="27"/>
        <v>529</v>
      </c>
      <c r="CD40" s="5" t="str">
        <f t="shared" ca="1" si="28"/>
        <v>VIGENTE</v>
      </c>
      <c r="CE40" s="6"/>
      <c r="CF40" s="4">
        <v>45227</v>
      </c>
      <c r="CG40" s="4">
        <f t="shared" si="29"/>
        <v>46688</v>
      </c>
      <c r="CH40" s="8">
        <f t="shared" ca="1" si="30"/>
        <v>543</v>
      </c>
      <c r="CI40" s="5" t="str">
        <f t="shared" ca="1" si="31"/>
        <v>VIGENTE</v>
      </c>
      <c r="CJ40" s="4"/>
      <c r="CK40" s="4">
        <v>45601</v>
      </c>
      <c r="CL40" s="4">
        <f>DATE(YEAR(CK40)+2,MONTH(CK40),DAY(CK40)-1)</f>
        <v>46330</v>
      </c>
      <c r="CM40" s="8">
        <f t="shared" ca="1" si="32"/>
        <v>185</v>
      </c>
      <c r="CN40" s="5" t="str">
        <f t="shared" ca="1" si="33"/>
        <v>VIGENTE</v>
      </c>
      <c r="CO40" s="3"/>
      <c r="CP40" s="39">
        <v>45618</v>
      </c>
      <c r="CQ40" s="4">
        <f t="shared" si="212"/>
        <v>46347</v>
      </c>
      <c r="CR40" s="8">
        <f t="shared" ca="1" si="34"/>
        <v>202</v>
      </c>
      <c r="CS40" s="5" t="str">
        <f t="shared" ca="1" si="35"/>
        <v>VIGENTE</v>
      </c>
      <c r="CT40" s="3"/>
      <c r="CU40" s="4">
        <v>45727</v>
      </c>
      <c r="CV40" s="4">
        <f>DATE(YEAR(CU40)+2,MONTH(CU40),DAY(CU40)-1)</f>
        <v>46456</v>
      </c>
      <c r="CW40" s="8">
        <f t="shared" ca="1" si="36"/>
        <v>311</v>
      </c>
      <c r="CX40" s="5" t="str">
        <f t="shared" ca="1" si="37"/>
        <v>VIGENTE</v>
      </c>
      <c r="CY40" s="3"/>
      <c r="CZ40" s="4">
        <v>46098</v>
      </c>
      <c r="DA40" s="4">
        <f t="shared" si="206"/>
        <v>46829</v>
      </c>
      <c r="DB40" s="8">
        <f t="shared" ca="1" si="38"/>
        <v>684</v>
      </c>
      <c r="DC40" s="5" t="str">
        <f t="shared" ca="1" si="39"/>
        <v>VIGENTE</v>
      </c>
      <c r="DD40" s="3"/>
      <c r="DE40" s="39">
        <v>46123</v>
      </c>
      <c r="DF40" s="4">
        <f>DATE(YEAR(DE40)+2,MONTH(DE40),DAY(DE40)-1)</f>
        <v>46853</v>
      </c>
      <c r="DG40" s="8">
        <f t="shared" ca="1" si="40"/>
        <v>708</v>
      </c>
      <c r="DH40" s="5" t="str">
        <f t="shared" ca="1" si="41"/>
        <v>VIGENTE</v>
      </c>
      <c r="DI40" s="3"/>
      <c r="DJ40" s="39">
        <v>45696</v>
      </c>
      <c r="DK40" s="4">
        <f>DATE(YEAR(DJ40)+2,MONTH(DJ40),DAY(DJ40)-1)</f>
        <v>46425</v>
      </c>
      <c r="DL40" s="8">
        <f t="shared" ca="1" si="43"/>
        <v>280</v>
      </c>
      <c r="DM40" s="5" t="str">
        <f t="shared" ca="1" si="44"/>
        <v>VIGENTE</v>
      </c>
      <c r="DN40" s="3"/>
      <c r="DO40" s="4">
        <v>45731</v>
      </c>
      <c r="DP40" s="4">
        <f>DATE(YEAR(DO40)+2,MONTH(DO40),DAY(DO40)-1)</f>
        <v>46460</v>
      </c>
      <c r="DQ40" s="8">
        <f t="shared" ca="1" si="46"/>
        <v>315</v>
      </c>
      <c r="DR40" s="5" t="str">
        <f t="shared" ca="1" si="47"/>
        <v>VIGENTE</v>
      </c>
      <c r="DS40" s="3"/>
      <c r="DT40" s="4">
        <v>46072</v>
      </c>
      <c r="DU40" s="4">
        <f>DATE(YEAR(DT40)+2,MONTH(DT40),DAY(DT40))</f>
        <v>46802</v>
      </c>
      <c r="DV40" s="8">
        <f t="shared" ca="1" si="48"/>
        <v>657</v>
      </c>
      <c r="DW40" s="5" t="str">
        <f t="shared" ca="1" si="49"/>
        <v>VIGENTE</v>
      </c>
      <c r="DX40" s="3"/>
      <c r="DY40" s="4">
        <v>45582</v>
      </c>
      <c r="DZ40" s="4">
        <f>DATE(YEAR(DY40)+2,MONTH(DY40),DAY(DY40)-1)</f>
        <v>46311</v>
      </c>
      <c r="EA40" s="8">
        <f t="shared" ca="1" si="50"/>
        <v>166</v>
      </c>
      <c r="EB40" s="5" t="str">
        <f t="shared" ca="1" si="51"/>
        <v>VIGENTE</v>
      </c>
      <c r="EC40" s="3"/>
      <c r="ED40" s="39">
        <v>45674</v>
      </c>
      <c r="EE40" s="4">
        <f>DATE(YEAR(ED40)+2,MONTH(ED40),DAY(ED40)-1)</f>
        <v>46403</v>
      </c>
      <c r="EF40" s="8">
        <f t="shared" ca="1" si="52"/>
        <v>258</v>
      </c>
      <c r="EG40" s="5" t="str">
        <f t="shared" ca="1" si="53"/>
        <v>VIGENTE</v>
      </c>
      <c r="EH40" s="3"/>
      <c r="EI40" s="3">
        <v>46085</v>
      </c>
      <c r="EJ40" s="4">
        <f t="shared" si="131"/>
        <v>46450</v>
      </c>
      <c r="EK40" s="8">
        <f t="shared" ca="1" si="54"/>
        <v>305</v>
      </c>
      <c r="EL40" s="5" t="str">
        <f t="shared" ca="1" si="55"/>
        <v>VIGENTE</v>
      </c>
      <c r="EM40" s="3"/>
      <c r="EN40" s="4">
        <v>46135</v>
      </c>
      <c r="EO40" s="4">
        <f>DATE(YEAR(EN40)+2,MONTH(EN40),DAY(EN40)-1)</f>
        <v>46865</v>
      </c>
      <c r="EP40" s="8">
        <f t="shared" ca="1" si="56"/>
        <v>720</v>
      </c>
      <c r="EQ40" s="5" t="str">
        <f t="shared" ca="1" si="57"/>
        <v>VIGENTE</v>
      </c>
      <c r="ER40" s="3"/>
      <c r="ES40" s="39">
        <v>46094</v>
      </c>
      <c r="ET40" s="4">
        <f>DATE(YEAR(ES40)+2,MONTH(ES40),DAY(ES40))</f>
        <v>46825</v>
      </c>
      <c r="EU40" s="8">
        <f t="shared" ca="1" si="58"/>
        <v>680</v>
      </c>
      <c r="EV40" s="5" t="str">
        <f t="shared" ca="1" si="59"/>
        <v>VIGENTE</v>
      </c>
      <c r="EW40" s="3"/>
      <c r="EX40" s="4">
        <v>45953</v>
      </c>
      <c r="EY40" s="4">
        <f t="shared" ref="EY40:EY48" si="214">DATE(YEAR(EX40)+2,MONTH(EX40),DAY(EX40))</f>
        <v>46683</v>
      </c>
      <c r="EZ40" s="8">
        <f t="shared" ca="1" si="60"/>
        <v>538</v>
      </c>
      <c r="FA40" s="5" t="str">
        <f t="shared" ca="1" si="61"/>
        <v>VIGENTE</v>
      </c>
      <c r="FB40" s="3"/>
      <c r="FC40" s="4">
        <v>45931</v>
      </c>
      <c r="FD40" s="4">
        <f t="shared" ref="FD40:FD49" si="215">DATE(YEAR(FC40)+2,MONTH(FC40),DAY(FC40))</f>
        <v>46661</v>
      </c>
      <c r="FE40" s="8">
        <f t="shared" ca="1" si="62"/>
        <v>516</v>
      </c>
      <c r="FF40" s="5" t="str">
        <f t="shared" ca="1" si="63"/>
        <v>VIGENTE</v>
      </c>
      <c r="FG40" s="3"/>
      <c r="FH40" s="4">
        <v>45932</v>
      </c>
      <c r="FI40" s="4">
        <f t="shared" ref="FI40:FI48" si="216">DATE(YEAR(FH40)+2,MONTH(FH40),DAY(FH40))</f>
        <v>46662</v>
      </c>
      <c r="FJ40" s="8">
        <f t="shared" ca="1" si="64"/>
        <v>517</v>
      </c>
      <c r="FK40" s="5" t="str">
        <f t="shared" ca="1" si="65"/>
        <v>VIGENTE</v>
      </c>
      <c r="FL40" s="3"/>
      <c r="FM40" s="39">
        <v>45670</v>
      </c>
      <c r="FN40" s="4">
        <f>DATE(YEAR(FM40)+2,MONTH(FM40),DAY(FM40)-1)</f>
        <v>46399</v>
      </c>
      <c r="FO40" s="8">
        <f t="shared" ca="1" si="67"/>
        <v>254</v>
      </c>
      <c r="FP40" s="5" t="str">
        <f t="shared" ca="1" si="68"/>
        <v>VIGENTE</v>
      </c>
      <c r="FQ40" s="3"/>
      <c r="FR40" s="39">
        <v>46132</v>
      </c>
      <c r="FS40" s="4">
        <f>DATE(YEAR(FR40)+2,MONTH(FR40),DAY(FR40)-1)</f>
        <v>46862</v>
      </c>
      <c r="FT40" s="8">
        <f t="shared" ca="1" si="69"/>
        <v>717</v>
      </c>
      <c r="FU40" s="5" t="str">
        <f t="shared" ca="1" si="70"/>
        <v>VIGENTE</v>
      </c>
      <c r="FV40" s="3"/>
      <c r="FW40" s="4">
        <v>45961</v>
      </c>
      <c r="FX40" s="4">
        <f>DATE(YEAR(FW40)+2,MONTH(FW40),DAY(FW40))</f>
        <v>46691</v>
      </c>
      <c r="FY40" s="8">
        <f t="shared" ca="1" si="71"/>
        <v>546</v>
      </c>
      <c r="FZ40" s="5" t="str">
        <f t="shared" ca="1" si="72"/>
        <v>VIGENTE</v>
      </c>
      <c r="GA40" s="3"/>
      <c r="GB40" s="4">
        <v>46030</v>
      </c>
      <c r="GC40" s="4">
        <f>DATE(YEAR(GB40)+2,MONTH(GB40),DAY(GB40))</f>
        <v>46760</v>
      </c>
      <c r="GD40" s="8">
        <f t="shared" ca="1" si="73"/>
        <v>615</v>
      </c>
      <c r="GE40" s="5" t="str">
        <f t="shared" ca="1" si="74"/>
        <v>VIGENTE</v>
      </c>
      <c r="GF40" s="3"/>
      <c r="GG40" s="4">
        <v>45472</v>
      </c>
      <c r="GH40" s="4">
        <f>DATE(YEAR(GG40)+2,MONTH(GG40),DAY(GG40)-1)</f>
        <v>46201</v>
      </c>
      <c r="GI40" s="8">
        <f t="shared" ca="1" si="75"/>
        <v>56</v>
      </c>
      <c r="GJ40" s="5" t="str">
        <f t="shared" ca="1" si="76"/>
        <v>POR VENCER</v>
      </c>
      <c r="GK40" s="3"/>
      <c r="GL40" s="4">
        <v>45945</v>
      </c>
      <c r="GM40" s="4">
        <f t="shared" ref="GM40:GM48" si="217">DATE(YEAR(GL40)+2,MONTH(GL40),DAY(GL40))</f>
        <v>46675</v>
      </c>
      <c r="GN40" s="8">
        <f t="shared" ca="1" si="77"/>
        <v>530</v>
      </c>
      <c r="GO40" s="5" t="str">
        <f t="shared" ca="1" si="78"/>
        <v>VIGENTE</v>
      </c>
      <c r="GP40" s="4"/>
      <c r="GQ40" s="4">
        <v>45265</v>
      </c>
      <c r="GR40" s="4">
        <f t="shared" si="79"/>
        <v>47092</v>
      </c>
      <c r="GS40" s="8">
        <f t="shared" ca="1" si="176"/>
        <v>947</v>
      </c>
      <c r="GT40" s="5" t="str">
        <f t="shared" ca="1" si="81"/>
        <v>VIGENTE</v>
      </c>
      <c r="GU40" s="3"/>
      <c r="GV40" s="4">
        <v>45464</v>
      </c>
      <c r="GW40" s="4">
        <f t="shared" si="82"/>
        <v>47290</v>
      </c>
      <c r="GX40" s="8">
        <f t="shared" ca="1" si="83"/>
        <v>1145</v>
      </c>
      <c r="GY40" s="5" t="str">
        <f t="shared" ca="1" si="84"/>
        <v>VIGENTE</v>
      </c>
      <c r="GZ40" s="2"/>
      <c r="HA40" s="4">
        <v>45008</v>
      </c>
      <c r="HB40" s="4">
        <f t="shared" si="85"/>
        <v>46835</v>
      </c>
      <c r="HC40" s="8">
        <f t="shared" ca="1" si="86"/>
        <v>690</v>
      </c>
      <c r="HD40" s="5" t="str">
        <f t="shared" ca="1" si="87"/>
        <v>VIGENTE</v>
      </c>
      <c r="HE40" s="6"/>
      <c r="HF40" s="4">
        <v>45150</v>
      </c>
      <c r="HG40" s="4">
        <f t="shared" si="209"/>
        <v>46977</v>
      </c>
      <c r="HH40" s="8">
        <f t="shared" ca="1" si="210"/>
        <v>832</v>
      </c>
      <c r="HI40" s="5" t="str">
        <f t="shared" ca="1" si="187"/>
        <v>VIGENTE</v>
      </c>
      <c r="HJ40" s="3"/>
      <c r="HK40" s="4">
        <v>45370</v>
      </c>
      <c r="HL40" s="4">
        <f>DATE(YEAR(HK40)+5,MONTH(HK40),DAY(HK40))</f>
        <v>47196</v>
      </c>
      <c r="HM40" s="8">
        <f ca="1">HL40-TODAY()</f>
        <v>1051</v>
      </c>
      <c r="HN40" s="5" t="str">
        <f t="shared" ca="1" si="202"/>
        <v>VIGENTE</v>
      </c>
      <c r="HO40" s="2"/>
      <c r="HP40" s="3">
        <v>45374</v>
      </c>
      <c r="HQ40" s="4">
        <f>DATE(YEAR(HP40)+5,MONTH(HP40),DAY(HP40))</f>
        <v>47200</v>
      </c>
      <c r="HR40" s="8">
        <f ca="1">HQ40-TODAY()</f>
        <v>1055</v>
      </c>
      <c r="HS40" s="5" t="str">
        <f t="shared" ca="1" si="92"/>
        <v>VIGENTE</v>
      </c>
      <c r="HT40" s="2"/>
      <c r="HU40" s="4">
        <v>45128</v>
      </c>
      <c r="HV40" s="4">
        <f>DATE(YEAR(HU40)+5,MONTH(HU40),DAY(HU40))</f>
        <v>46955</v>
      </c>
      <c r="HW40" s="8">
        <f ca="1">HV40-TODAY()</f>
        <v>810</v>
      </c>
      <c r="HX40" s="5" t="str">
        <f t="shared" ca="1" si="93"/>
        <v>VIGENTE</v>
      </c>
      <c r="HY40" s="3"/>
      <c r="HZ40" s="4">
        <v>45475</v>
      </c>
      <c r="IA40" s="4">
        <f>DATE(YEAR(HZ40)+5,MONTH(HZ40),DAY(HZ40))</f>
        <v>47301</v>
      </c>
      <c r="IB40" s="8">
        <f ca="1">IA40-TODAY()</f>
        <v>1156</v>
      </c>
      <c r="IC40" s="5" t="str">
        <f t="shared" ca="1" si="94"/>
        <v>VIGENTE</v>
      </c>
      <c r="ID40" s="3"/>
      <c r="IE40" s="4">
        <v>45425</v>
      </c>
      <c r="IF40" s="4">
        <f>DATE(YEAR(IE40)+5,MONTH(IE40),DAY(IE40))</f>
        <v>47251</v>
      </c>
      <c r="IG40" s="8">
        <f ca="1">IF40-TODAY()</f>
        <v>1106</v>
      </c>
      <c r="IH40" s="5" t="str">
        <f t="shared" ca="1" si="95"/>
        <v>VIGENTE</v>
      </c>
      <c r="II40" s="4"/>
      <c r="IJ40" s="4">
        <v>45476</v>
      </c>
      <c r="IK40" s="4">
        <f>DATE(YEAR(IJ40)+5,MONTH(IJ40),DAY(IJ40))</f>
        <v>47302</v>
      </c>
      <c r="IL40" s="8">
        <f ca="1">IK40-TODAY()</f>
        <v>1157</v>
      </c>
      <c r="IM40" s="5" t="str">
        <f t="shared" ca="1" si="96"/>
        <v>VIGENTE</v>
      </c>
      <c r="IN40" s="3"/>
      <c r="IO40" s="4">
        <v>45490</v>
      </c>
      <c r="IP40" s="4">
        <f>DATE(YEAR(IO40)+5,MONTH(IO40),DAY(IO40))</f>
        <v>47316</v>
      </c>
      <c r="IQ40" s="8">
        <f ca="1">IP40-TODAY()</f>
        <v>1171</v>
      </c>
      <c r="IR40" s="5" t="str">
        <f t="shared" ca="1" si="97"/>
        <v>VIGENTE</v>
      </c>
      <c r="IS40" s="3"/>
      <c r="IT40" s="4">
        <v>45435</v>
      </c>
      <c r="IU40" s="4">
        <f>DATE(YEAR(IT40)+5,MONTH(IT40),DAY(IT40))</f>
        <v>47261</v>
      </c>
      <c r="IV40" s="8">
        <f ca="1">IU40-TODAY()</f>
        <v>1116</v>
      </c>
      <c r="IW40" s="5" t="str">
        <f t="shared" ca="1" si="98"/>
        <v>VIGENTE</v>
      </c>
      <c r="IX40" s="3"/>
      <c r="IY40" s="4">
        <v>45491</v>
      </c>
      <c r="IZ40" s="4">
        <f>DATE(YEAR(IY40)+5,MONTH(IY40),DAY(IY40))</f>
        <v>47317</v>
      </c>
      <c r="JA40" s="8">
        <f ca="1">IZ40-TODAY()</f>
        <v>1172</v>
      </c>
      <c r="JB40" s="5" t="str">
        <f t="shared" ca="1" si="99"/>
        <v>VIGENTE</v>
      </c>
      <c r="JC40" s="3" t="s">
        <v>780</v>
      </c>
      <c r="JD40" s="3"/>
      <c r="JE40" s="4"/>
      <c r="JF40" s="8"/>
      <c r="JG40" s="5"/>
      <c r="JH40" s="3" t="s">
        <v>780</v>
      </c>
      <c r="JI40" s="6"/>
      <c r="JJ40" s="6"/>
      <c r="JK40" s="6"/>
      <c r="JL40" s="5"/>
      <c r="JM40" s="6" t="s">
        <v>780</v>
      </c>
      <c r="JN40" s="6"/>
      <c r="JO40" s="6"/>
      <c r="JP40" s="6"/>
      <c r="JQ40" s="5"/>
      <c r="JR40" s="6" t="s">
        <v>780</v>
      </c>
      <c r="JS40" s="6"/>
      <c r="JT40" s="6"/>
      <c r="JU40" s="6"/>
      <c r="JV40" s="5"/>
      <c r="JW40" s="6" t="s">
        <v>780</v>
      </c>
      <c r="JX40" s="3"/>
      <c r="JY40" s="4"/>
      <c r="JZ40" s="8"/>
      <c r="KA40" s="5"/>
      <c r="KB40" s="5"/>
      <c r="KC40" s="2"/>
      <c r="KD40" s="4"/>
      <c r="KE40" s="8"/>
      <c r="KF40" s="5" t="str">
        <f t="shared" si="135"/>
        <v>NO APLICA</v>
      </c>
      <c r="KG40" s="5"/>
      <c r="KH40" s="2"/>
      <c r="KI40" s="4"/>
      <c r="KJ40" s="8"/>
      <c r="KK40" s="5" t="str">
        <f t="shared" si="136"/>
        <v>NO APLICA</v>
      </c>
      <c r="KL40" s="5"/>
      <c r="KM40" s="2"/>
      <c r="KN40" s="4"/>
      <c r="KO40" s="8"/>
      <c r="KP40" s="5" t="str">
        <f t="shared" si="100"/>
        <v>NO APLICA</v>
      </c>
      <c r="KQ40" s="5"/>
      <c r="KR40" s="2"/>
      <c r="KS40" s="4"/>
      <c r="KT40" s="8"/>
      <c r="KU40" s="5" t="str">
        <f t="shared" si="137"/>
        <v>NO APLICA</v>
      </c>
      <c r="KV40" s="3"/>
      <c r="KW40" s="4">
        <v>44649</v>
      </c>
      <c r="KX40" s="4">
        <f>DATE(YEAR(KW40)+5,MONTH(KW40),DAY(KW40))</f>
        <v>46475</v>
      </c>
      <c r="KY40" s="8">
        <f ca="1">KX40-TODAY()</f>
        <v>330</v>
      </c>
      <c r="KZ40" s="5" t="str">
        <f t="shared" ca="1" si="151"/>
        <v>VIGENTE</v>
      </c>
      <c r="LA40" s="5"/>
      <c r="LB40" s="4">
        <v>44608</v>
      </c>
      <c r="LC40" s="4">
        <f>DATE(YEAR(LB40)+5,MONTH(LB40),DAY(LB40))</f>
        <v>46434</v>
      </c>
      <c r="LD40" s="8">
        <f ca="1">LC40-TODAY()</f>
        <v>289</v>
      </c>
      <c r="LE40" s="5" t="str">
        <f t="shared" ca="1" si="138"/>
        <v>VIGENTE</v>
      </c>
      <c r="LF40" s="4"/>
      <c r="LG40" s="4"/>
      <c r="LH40" s="4"/>
      <c r="LI40" s="8"/>
      <c r="LJ40" s="5" t="str">
        <f t="shared" si="101"/>
        <v>NO APLICA</v>
      </c>
      <c r="LK40" s="5"/>
      <c r="LL40" s="5"/>
      <c r="LM40" s="5"/>
      <c r="LN40" s="5"/>
      <c r="LO40" s="5" t="str">
        <f t="shared" si="152"/>
        <v>NO APLICA</v>
      </c>
      <c r="LP40" s="2"/>
      <c r="LQ40" s="6"/>
      <c r="LR40" s="4"/>
      <c r="LS40" s="8"/>
      <c r="LT40" s="5" t="str">
        <f t="shared" si="139"/>
        <v>NO APLICA</v>
      </c>
      <c r="LU40" s="6"/>
      <c r="LV40" s="6"/>
      <c r="LW40" s="4"/>
      <c r="LX40" s="8"/>
      <c r="LY40" s="5" t="str">
        <f t="shared" si="140"/>
        <v>NO APLICA</v>
      </c>
      <c r="LZ40" s="6"/>
      <c r="MA40" s="6"/>
      <c r="MB40" s="4"/>
      <c r="MC40" s="8"/>
      <c r="MD40" s="5" t="str">
        <f t="shared" si="141"/>
        <v>NO APLICA</v>
      </c>
      <c r="ME40" s="2"/>
      <c r="MF40" s="2"/>
      <c r="MG40" s="4"/>
      <c r="MH40" s="8"/>
      <c r="MI40" s="5" t="str">
        <f t="shared" si="102"/>
        <v>NO APLICA</v>
      </c>
      <c r="MJ40" s="2"/>
      <c r="MK40" s="2"/>
      <c r="ML40" s="4"/>
      <c r="MM40" s="8"/>
      <c r="MN40" s="5" t="str">
        <f t="shared" si="103"/>
        <v>NO APLICA</v>
      </c>
      <c r="MO40" s="5"/>
      <c r="MP40" s="2"/>
      <c r="MQ40" s="4"/>
      <c r="MR40" s="8"/>
      <c r="MS40" s="5" t="str">
        <f t="shared" si="104"/>
        <v>NO APLICA</v>
      </c>
      <c r="MT40" s="5"/>
      <c r="MU40" s="2"/>
      <c r="MV40" s="4"/>
      <c r="MW40" s="2"/>
      <c r="MX40" s="5" t="str">
        <f t="shared" si="105"/>
        <v>NO APLICA</v>
      </c>
      <c r="MY40" s="2"/>
      <c r="MZ40" s="6"/>
      <c r="NA40" s="4"/>
      <c r="NB40" s="8"/>
      <c r="NC40" s="5" t="str">
        <f t="shared" si="106"/>
        <v>NO APLICA</v>
      </c>
      <c r="ND40" s="2"/>
      <c r="NE40" s="6"/>
      <c r="NF40" s="4"/>
      <c r="NG40" s="8"/>
      <c r="NH40" s="5" t="str">
        <f t="shared" si="107"/>
        <v>NO APLICA</v>
      </c>
      <c r="NI40" s="2"/>
      <c r="NJ40" s="6"/>
      <c r="NK40" s="4"/>
      <c r="NL40" s="8"/>
      <c r="NM40" s="5" t="str">
        <f t="shared" si="108"/>
        <v>NO APLICA</v>
      </c>
      <c r="NN40" s="2"/>
      <c r="NO40" s="2"/>
      <c r="NP40" s="4"/>
      <c r="NQ40" s="2"/>
      <c r="NR40" s="5" t="str">
        <f t="shared" si="109"/>
        <v>NO APLICA</v>
      </c>
      <c r="NS40" s="2"/>
      <c r="NT40" s="2"/>
      <c r="NU40" s="2"/>
      <c r="NV40" s="2"/>
      <c r="NW40" s="5" t="str">
        <f t="shared" si="110"/>
        <v>NO APLICA</v>
      </c>
      <c r="NX40" s="6"/>
      <c r="NY40" s="6"/>
      <c r="NZ40" s="4"/>
      <c r="OA40" s="8"/>
      <c r="OB40" s="5" t="str">
        <f t="shared" si="111"/>
        <v>NO APLICA</v>
      </c>
      <c r="OC40" s="6"/>
      <c r="OD40" s="6"/>
      <c r="OE40" s="6"/>
      <c r="OF40" s="6"/>
      <c r="OG40" s="5" t="str">
        <f t="shared" si="112"/>
        <v>NO APLICA</v>
      </c>
      <c r="OH40" s="6"/>
      <c r="OI40" s="6"/>
      <c r="OJ40" s="4"/>
      <c r="OK40" s="8"/>
      <c r="OL40" s="5" t="str">
        <f t="shared" si="113"/>
        <v>NO APLICA</v>
      </c>
      <c r="OM40" s="6"/>
      <c r="ON40" s="6"/>
      <c r="OO40" s="6"/>
      <c r="OP40" s="6"/>
      <c r="OQ40" s="5" t="str">
        <f t="shared" si="114"/>
        <v>NO APLICA</v>
      </c>
      <c r="OR40" s="6"/>
      <c r="OS40" s="6"/>
      <c r="OT40" s="6"/>
      <c r="OU40" s="6"/>
      <c r="OV40" s="5" t="str">
        <f t="shared" si="115"/>
        <v>NO APLICA</v>
      </c>
      <c r="OW40" s="6"/>
      <c r="OX40" s="6"/>
      <c r="OY40" s="6"/>
      <c r="OZ40" s="6"/>
      <c r="PA40" s="5" t="str">
        <f t="shared" si="116"/>
        <v>NO APLICA</v>
      </c>
      <c r="PB40" s="6"/>
      <c r="PC40" s="6"/>
      <c r="PD40" s="6"/>
      <c r="PE40" s="6"/>
      <c r="PF40" s="5" t="str">
        <f t="shared" si="117"/>
        <v>NO APLICA</v>
      </c>
      <c r="PG40" s="6"/>
      <c r="PH40" s="6"/>
      <c r="PI40" s="6"/>
      <c r="PJ40" s="6"/>
      <c r="PK40" s="5" t="str">
        <f t="shared" si="118"/>
        <v>NO APLICA</v>
      </c>
      <c r="PL40" s="5"/>
      <c r="PM40" s="6"/>
      <c r="PN40" s="4"/>
      <c r="PO40" s="8"/>
      <c r="PP40" s="5" t="str">
        <f t="shared" si="119"/>
        <v>NO APLICA</v>
      </c>
      <c r="PQ40" s="6"/>
      <c r="PR40" s="6"/>
      <c r="PS40" s="6"/>
      <c r="PT40" s="6"/>
      <c r="PU40" s="5" t="str">
        <f t="shared" si="120"/>
        <v>NO APLICA</v>
      </c>
      <c r="PV40" s="5"/>
      <c r="PW40" s="6"/>
      <c r="PX40" s="6"/>
      <c r="PY40" s="6"/>
      <c r="PZ40" s="5" t="str">
        <f t="shared" si="121"/>
        <v>NO APLICA</v>
      </c>
    </row>
    <row r="41" spans="1:442" ht="15.6" hidden="1" thickTop="1" thickBot="1" x14ac:dyDescent="0.35">
      <c r="A41" s="26">
        <v>38</v>
      </c>
      <c r="B41" s="27">
        <v>295</v>
      </c>
      <c r="C41" s="28" t="s">
        <v>188</v>
      </c>
      <c r="D41" s="29" t="s">
        <v>68</v>
      </c>
      <c r="E41" s="30" t="s">
        <v>189</v>
      </c>
      <c r="F41" s="5"/>
      <c r="G41" s="6"/>
      <c r="H41" s="4"/>
      <c r="I41" s="8"/>
      <c r="J41" s="5" t="str">
        <f t="shared" si="0"/>
        <v>NO APLICA</v>
      </c>
      <c r="K41" s="5"/>
      <c r="L41" s="6"/>
      <c r="M41" s="6"/>
      <c r="N41" s="8"/>
      <c r="O41" s="5" t="str">
        <f t="shared" si="1"/>
        <v>NO APLICA</v>
      </c>
      <c r="P41" s="6"/>
      <c r="Q41" s="6"/>
      <c r="R41" s="4"/>
      <c r="S41" s="8"/>
      <c r="T41" s="5" t="str">
        <f t="shared" si="122"/>
        <v>NO APLICA</v>
      </c>
      <c r="U41" s="5"/>
      <c r="V41" s="2" t="s">
        <v>190</v>
      </c>
      <c r="W41" s="4">
        <v>45216</v>
      </c>
      <c r="X41" s="4">
        <f t="shared" si="2"/>
        <v>47043</v>
      </c>
      <c r="Y41" s="8">
        <f t="shared" ca="1" si="3"/>
        <v>898</v>
      </c>
      <c r="Z41" s="5" t="str">
        <f t="shared" ca="1" si="4"/>
        <v>VIGENTE</v>
      </c>
      <c r="AA41" s="5"/>
      <c r="AB41" s="2" t="s">
        <v>191</v>
      </c>
      <c r="AC41" s="4">
        <v>44824</v>
      </c>
      <c r="AD41" s="4">
        <f t="shared" si="207"/>
        <v>46650</v>
      </c>
      <c r="AE41" s="8">
        <f t="shared" ca="1" si="208"/>
        <v>505</v>
      </c>
      <c r="AF41" s="5" t="str">
        <f t="shared" ca="1" si="7"/>
        <v>VIGENTE</v>
      </c>
      <c r="AG41" s="3"/>
      <c r="AH41" s="4">
        <v>45594</v>
      </c>
      <c r="AI41" s="4">
        <f>DATE(YEAR(AH41)+2,MONTH(AH41),DAY(AH41)-1)</f>
        <v>46323</v>
      </c>
      <c r="AJ41" s="8">
        <f t="shared" ca="1" si="8"/>
        <v>178</v>
      </c>
      <c r="AK41" s="5" t="str">
        <f t="shared" ca="1" si="9"/>
        <v>VIGENTE</v>
      </c>
      <c r="AL41" s="3"/>
      <c r="AM41" s="4">
        <v>45959</v>
      </c>
      <c r="AN41" s="4">
        <f t="shared" si="213"/>
        <v>46689</v>
      </c>
      <c r="AO41" s="8">
        <f t="shared" ca="1" si="10"/>
        <v>544</v>
      </c>
      <c r="AP41" s="5" t="str">
        <f t="shared" ca="1" si="11"/>
        <v>VIGENTE</v>
      </c>
      <c r="AQ41" s="3"/>
      <c r="AR41" s="4">
        <v>45904</v>
      </c>
      <c r="AS41" s="4">
        <f>DATE(YEAR(AR41)+2,MONTH(AR41),DAY(AR41))</f>
        <v>46634</v>
      </c>
      <c r="AT41" s="8">
        <f t="shared" ca="1" si="12"/>
        <v>489</v>
      </c>
      <c r="AU41" s="5" t="str">
        <f t="shared" ca="1" si="13"/>
        <v>VIGENTE</v>
      </c>
      <c r="AV41" s="3"/>
      <c r="AW41" s="4">
        <v>45990</v>
      </c>
      <c r="AX41" s="4">
        <f>DATE(YEAR(AW41)+2,MONTH(AW41),DAY(AW41))</f>
        <v>46720</v>
      </c>
      <c r="AY41" s="8">
        <f t="shared" ca="1" si="15"/>
        <v>575</v>
      </c>
      <c r="AZ41" s="5" t="str">
        <f t="shared" ca="1" si="16"/>
        <v>VIGENTE</v>
      </c>
      <c r="BA41" s="3"/>
      <c r="BB41" s="4">
        <v>46071</v>
      </c>
      <c r="BC41" s="4">
        <f>DATE(YEAR(BB41)+2,MONTH(BB41),DAY(BB41))</f>
        <v>46801</v>
      </c>
      <c r="BD41" s="8">
        <f t="shared" ca="1" si="17"/>
        <v>656</v>
      </c>
      <c r="BE41" s="5" t="str">
        <f t="shared" ca="1" si="18"/>
        <v>VIGENTE</v>
      </c>
      <c r="BF41" s="3"/>
      <c r="BG41" s="4">
        <v>46067</v>
      </c>
      <c r="BH41" s="4">
        <f>DATE(YEAR(BG41)+2,MONTH(BG41),DAY(BG41))</f>
        <v>46797</v>
      </c>
      <c r="BI41" s="8">
        <f t="shared" ca="1" si="19"/>
        <v>652</v>
      </c>
      <c r="BJ41" s="5" t="str">
        <f t="shared" ca="1" si="20"/>
        <v>VIGENTE</v>
      </c>
      <c r="BK41" s="3"/>
      <c r="BL41" s="4">
        <v>46051</v>
      </c>
      <c r="BM41" s="4">
        <f>DATE(YEAR(BL41)+2,MONTH(BL41),DAY(BL41))</f>
        <v>46781</v>
      </c>
      <c r="BN41" s="8">
        <f t="shared" ca="1" si="21"/>
        <v>636</v>
      </c>
      <c r="BO41" s="5" t="str">
        <f t="shared" ca="1" si="22"/>
        <v>VIGENTE</v>
      </c>
      <c r="BP41" s="3"/>
      <c r="BQ41" s="39">
        <v>46069</v>
      </c>
      <c r="BR41" s="4">
        <f>DATE(YEAR(BQ41)+2,MONTH(BQ41),DAY(BQ41))</f>
        <v>46799</v>
      </c>
      <c r="BS41" s="8">
        <f t="shared" ca="1" si="23"/>
        <v>654</v>
      </c>
      <c r="BT41" s="5" t="str">
        <f t="shared" ca="1" si="24"/>
        <v>VIGENTE</v>
      </c>
      <c r="BU41" s="3"/>
      <c r="BV41" s="4">
        <v>46116</v>
      </c>
      <c r="BW41" s="4">
        <f t="shared" si="211"/>
        <v>46846</v>
      </c>
      <c r="BX41" s="8">
        <f t="shared" ca="1" si="25"/>
        <v>701</v>
      </c>
      <c r="BY41" s="5" t="str">
        <f t="shared" ca="1" si="26"/>
        <v>VIGENTE</v>
      </c>
      <c r="BZ41" s="3"/>
      <c r="CA41" s="4">
        <v>45986</v>
      </c>
      <c r="CB41" s="4">
        <f>DATE(YEAR(CA41)+2,MONTH(CA41),DAY(CA41))</f>
        <v>46716</v>
      </c>
      <c r="CC41" s="8">
        <f t="shared" ca="1" si="27"/>
        <v>571</v>
      </c>
      <c r="CD41" s="5" t="str">
        <f t="shared" ca="1" si="28"/>
        <v>VIGENTE</v>
      </c>
      <c r="CE41" s="6"/>
      <c r="CF41" s="4">
        <v>45301</v>
      </c>
      <c r="CG41" s="4">
        <f t="shared" si="29"/>
        <v>46762</v>
      </c>
      <c r="CH41" s="8">
        <f t="shared" ca="1" si="30"/>
        <v>617</v>
      </c>
      <c r="CI41" s="5" t="str">
        <f t="shared" ca="1" si="31"/>
        <v>VIGENTE</v>
      </c>
      <c r="CJ41" s="4"/>
      <c r="CK41" s="4">
        <v>45895</v>
      </c>
      <c r="CL41" s="4">
        <f>DATE(YEAR(CK41)+2,MONTH(CK41),DAY(CK41))</f>
        <v>46625</v>
      </c>
      <c r="CM41" s="8">
        <f t="shared" ca="1" si="32"/>
        <v>480</v>
      </c>
      <c r="CN41" s="5" t="str">
        <f t="shared" ca="1" si="33"/>
        <v>VIGENTE</v>
      </c>
      <c r="CO41" s="3"/>
      <c r="CP41" s="39">
        <v>45517</v>
      </c>
      <c r="CQ41" s="4">
        <f t="shared" si="212"/>
        <v>46246</v>
      </c>
      <c r="CR41" s="8">
        <f t="shared" ca="1" si="34"/>
        <v>101</v>
      </c>
      <c r="CS41" s="5" t="str">
        <f t="shared" ca="1" si="35"/>
        <v>VIGENTE</v>
      </c>
      <c r="CT41" s="3"/>
      <c r="CU41" s="4">
        <v>45639</v>
      </c>
      <c r="CV41" s="4">
        <f>DATE(YEAR(CU41)+2,MONTH(CU41),DAY(CU41)-1)</f>
        <v>46368</v>
      </c>
      <c r="CW41" s="8">
        <f t="shared" ca="1" si="36"/>
        <v>223</v>
      </c>
      <c r="CX41" s="5" t="str">
        <f t="shared" ca="1" si="37"/>
        <v>VIGENTE</v>
      </c>
      <c r="CY41" s="3"/>
      <c r="CZ41" s="4">
        <v>45661</v>
      </c>
      <c r="DA41" s="4">
        <f>DATE(YEAR(CZ41)+2,MONTH(CZ41),DAY(CZ41)-1)</f>
        <v>46390</v>
      </c>
      <c r="DB41" s="8">
        <f t="shared" ca="1" si="38"/>
        <v>245</v>
      </c>
      <c r="DC41" s="5" t="str">
        <f t="shared" ca="1" si="39"/>
        <v>VIGENTE</v>
      </c>
      <c r="DD41" s="3"/>
      <c r="DE41" s="39">
        <v>45689</v>
      </c>
      <c r="DF41" s="4">
        <f>DATE(YEAR(DE41)+2,MONTH(DE41),DAY(DE41)-1)</f>
        <v>46418</v>
      </c>
      <c r="DG41" s="8">
        <f t="shared" ca="1" si="40"/>
        <v>273</v>
      </c>
      <c r="DH41" s="5" t="str">
        <f t="shared" ca="1" si="41"/>
        <v>VIGENTE</v>
      </c>
      <c r="DI41" s="3"/>
      <c r="DJ41" s="39">
        <v>45955</v>
      </c>
      <c r="DK41" s="4">
        <f>DATE(YEAR(DJ41)+2,MONTH(DJ41),DAY(DJ41))</f>
        <v>46685</v>
      </c>
      <c r="DL41" s="8">
        <f t="shared" ca="1" si="43"/>
        <v>540</v>
      </c>
      <c r="DM41" s="5" t="str">
        <f t="shared" ca="1" si="44"/>
        <v>VIGENTE</v>
      </c>
      <c r="DN41" s="3"/>
      <c r="DO41" s="4">
        <v>46088</v>
      </c>
      <c r="DP41" s="4">
        <f t="shared" ref="DP41:DP47" si="218">DATE(YEAR(DO41)+2,MONTH(DO41),DAY(DO41))</f>
        <v>46819</v>
      </c>
      <c r="DQ41" s="8">
        <f t="shared" ca="1" si="46"/>
        <v>674</v>
      </c>
      <c r="DR41" s="5" t="str">
        <f t="shared" ca="1" si="47"/>
        <v>VIGENTE</v>
      </c>
      <c r="DS41" s="3"/>
      <c r="DT41" s="4">
        <v>46072</v>
      </c>
      <c r="DU41" s="4">
        <f>DATE(YEAR(DT41)+2,MONTH(DT41),DAY(DT41))</f>
        <v>46802</v>
      </c>
      <c r="DV41" s="8">
        <f t="shared" ca="1" si="48"/>
        <v>657</v>
      </c>
      <c r="DW41" s="5" t="str">
        <f t="shared" ca="1" si="49"/>
        <v>VIGENTE</v>
      </c>
      <c r="DX41" s="3"/>
      <c r="DY41" s="4">
        <v>46032</v>
      </c>
      <c r="DZ41" s="4">
        <f>DATE(YEAR(DY41)+2,MONTH(DY41),DAY(DY41))</f>
        <v>46762</v>
      </c>
      <c r="EA41" s="8">
        <f t="shared" ca="1" si="50"/>
        <v>617</v>
      </c>
      <c r="EB41" s="5" t="str">
        <f t="shared" ca="1" si="51"/>
        <v>VIGENTE</v>
      </c>
      <c r="EC41" s="3"/>
      <c r="ED41" s="39">
        <v>45913</v>
      </c>
      <c r="EE41" s="4">
        <f>DATE(YEAR(ED41)+2,MONTH(ED41),DAY(ED41))</f>
        <v>46643</v>
      </c>
      <c r="EF41" s="8">
        <f t="shared" ca="1" si="52"/>
        <v>498</v>
      </c>
      <c r="EG41" s="5" t="str">
        <f t="shared" ca="1" si="53"/>
        <v>VIGENTE</v>
      </c>
      <c r="EH41" s="3"/>
      <c r="EI41" s="4">
        <v>45948</v>
      </c>
      <c r="EJ41" s="4">
        <f t="shared" si="131"/>
        <v>46313</v>
      </c>
      <c r="EK41" s="8">
        <f t="shared" ca="1" si="54"/>
        <v>168</v>
      </c>
      <c r="EL41" s="5" t="str">
        <f t="shared" ca="1" si="55"/>
        <v>VIGENTE</v>
      </c>
      <c r="EM41" s="3"/>
      <c r="EN41" s="4">
        <v>45940</v>
      </c>
      <c r="EO41" s="4">
        <f>DATE(YEAR(EN41)+2,MONTH(EN41),DAY(EN41))</f>
        <v>46670</v>
      </c>
      <c r="EP41" s="8">
        <f t="shared" ca="1" si="56"/>
        <v>525</v>
      </c>
      <c r="EQ41" s="5" t="str">
        <f t="shared" ca="1" si="57"/>
        <v>VIGENTE</v>
      </c>
      <c r="ER41" s="3"/>
      <c r="ES41" s="39">
        <v>46042</v>
      </c>
      <c r="ET41" s="4">
        <f>DATE(YEAR(ES41)+2,MONTH(ES41),DAY(ES41))</f>
        <v>46772</v>
      </c>
      <c r="EU41" s="8">
        <f t="shared" ca="1" si="58"/>
        <v>627</v>
      </c>
      <c r="EV41" s="5" t="str">
        <f t="shared" ca="1" si="59"/>
        <v>VIGENTE</v>
      </c>
      <c r="EW41" s="3"/>
      <c r="EX41" s="4">
        <v>46070</v>
      </c>
      <c r="EY41" s="4">
        <f t="shared" si="214"/>
        <v>46800</v>
      </c>
      <c r="EZ41" s="8">
        <f t="shared" ca="1" si="60"/>
        <v>655</v>
      </c>
      <c r="FA41" s="5" t="str">
        <f t="shared" ca="1" si="61"/>
        <v>VIGENTE</v>
      </c>
      <c r="FB41" s="3"/>
      <c r="FC41" s="4">
        <v>45951</v>
      </c>
      <c r="FD41" s="4">
        <f t="shared" si="215"/>
        <v>46681</v>
      </c>
      <c r="FE41" s="8">
        <f t="shared" ca="1" si="62"/>
        <v>536</v>
      </c>
      <c r="FF41" s="5" t="str">
        <f t="shared" ca="1" si="63"/>
        <v>VIGENTE</v>
      </c>
      <c r="FG41" s="3"/>
      <c r="FH41" s="4">
        <v>45969</v>
      </c>
      <c r="FI41" s="4">
        <f t="shared" si="216"/>
        <v>46699</v>
      </c>
      <c r="FJ41" s="8">
        <f t="shared" ca="1" si="64"/>
        <v>554</v>
      </c>
      <c r="FK41" s="5" t="str">
        <f t="shared" ca="1" si="65"/>
        <v>VIGENTE</v>
      </c>
      <c r="FL41" s="3"/>
      <c r="FM41" s="39">
        <v>45920</v>
      </c>
      <c r="FN41" s="4">
        <f>DATE(YEAR(FM41)+2,MONTH(FM41),DAY(FM41))</f>
        <v>46650</v>
      </c>
      <c r="FO41" s="8">
        <f t="shared" ca="1" si="67"/>
        <v>505</v>
      </c>
      <c r="FP41" s="5" t="str">
        <f t="shared" ca="1" si="68"/>
        <v>VIGENTE</v>
      </c>
      <c r="FQ41" s="3"/>
      <c r="FR41" s="39">
        <v>46034</v>
      </c>
      <c r="FS41" s="4">
        <f>DATE(YEAR(FR41)+2,MONTH(FR41),DAY(FR41))</f>
        <v>46764</v>
      </c>
      <c r="FT41" s="8">
        <f t="shared" ca="1" si="69"/>
        <v>619</v>
      </c>
      <c r="FU41" s="5" t="str">
        <f t="shared" ca="1" si="70"/>
        <v>VIGENTE</v>
      </c>
      <c r="FV41" s="3"/>
      <c r="FW41" s="4">
        <v>45574</v>
      </c>
      <c r="FX41" s="4">
        <f>DATE(YEAR(FW41)+2,MONTH(FW41),DAY(FW41)-1)</f>
        <v>46303</v>
      </c>
      <c r="FY41" s="8">
        <f t="shared" ca="1" si="71"/>
        <v>158</v>
      </c>
      <c r="FZ41" s="5" t="str">
        <f t="shared" ca="1" si="72"/>
        <v>VIGENTE</v>
      </c>
      <c r="GA41" s="3"/>
      <c r="GB41" s="4">
        <v>46030</v>
      </c>
      <c r="GC41" s="4">
        <f>DATE(YEAR(GB41)+2,MONTH(GB41),DAY(GB41))</f>
        <v>46760</v>
      </c>
      <c r="GD41" s="8">
        <f t="shared" ca="1" si="73"/>
        <v>615</v>
      </c>
      <c r="GE41" s="5" t="str">
        <f t="shared" ca="1" si="74"/>
        <v>VIGENTE</v>
      </c>
      <c r="GF41" s="3"/>
      <c r="GG41" s="4">
        <v>45960</v>
      </c>
      <c r="GH41" s="4">
        <f>DATE(YEAR(GG41)+2,MONTH(GG41),DAY(GG41))</f>
        <v>46690</v>
      </c>
      <c r="GI41" s="8">
        <f t="shared" ca="1" si="75"/>
        <v>545</v>
      </c>
      <c r="GJ41" s="5" t="str">
        <f t="shared" ca="1" si="76"/>
        <v>VIGENTE</v>
      </c>
      <c r="GK41" s="3"/>
      <c r="GL41" s="4">
        <v>45945</v>
      </c>
      <c r="GM41" s="4">
        <f t="shared" si="217"/>
        <v>46675</v>
      </c>
      <c r="GN41" s="8">
        <f t="shared" ca="1" si="77"/>
        <v>530</v>
      </c>
      <c r="GO41" s="5" t="str">
        <f t="shared" ca="1" si="78"/>
        <v>VIGENTE</v>
      </c>
      <c r="GP41" s="4"/>
      <c r="GQ41" s="4">
        <v>45224</v>
      </c>
      <c r="GR41" s="4">
        <f t="shared" si="79"/>
        <v>47051</v>
      </c>
      <c r="GS41" s="8">
        <f t="shared" ca="1" si="176"/>
        <v>906</v>
      </c>
      <c r="GT41" s="5" t="str">
        <f t="shared" ca="1" si="81"/>
        <v>VIGENTE</v>
      </c>
      <c r="GU41" s="3"/>
      <c r="GV41" s="4">
        <v>45254</v>
      </c>
      <c r="GW41" s="4">
        <f t="shared" si="82"/>
        <v>47081</v>
      </c>
      <c r="GX41" s="8">
        <f t="shared" ca="1" si="83"/>
        <v>936</v>
      </c>
      <c r="GY41" s="5" t="str">
        <f t="shared" ca="1" si="84"/>
        <v>VIGENTE</v>
      </c>
      <c r="GZ41" s="3"/>
      <c r="HA41" s="4">
        <v>45251</v>
      </c>
      <c r="HB41" s="4">
        <f t="shared" si="85"/>
        <v>47078</v>
      </c>
      <c r="HC41" s="8">
        <f t="shared" ca="1" si="86"/>
        <v>933</v>
      </c>
      <c r="HD41" s="5" t="str">
        <f t="shared" ca="1" si="87"/>
        <v>VIGENTE</v>
      </c>
      <c r="HE41" s="6"/>
      <c r="HF41" s="4">
        <v>44876</v>
      </c>
      <c r="HG41" s="4">
        <f t="shared" si="209"/>
        <v>46702</v>
      </c>
      <c r="HH41" s="8">
        <f t="shared" ca="1" si="210"/>
        <v>557</v>
      </c>
      <c r="HI41" s="5" t="str">
        <f t="shared" ca="1" si="187"/>
        <v>VIGENTE</v>
      </c>
      <c r="HJ41" s="3"/>
      <c r="HK41" s="4">
        <v>45414</v>
      </c>
      <c r="HL41" s="4">
        <f>DATE(YEAR(HK41)+5,MONTH(HK41),DAY(HK41))</f>
        <v>47240</v>
      </c>
      <c r="HM41" s="8">
        <f ca="1">HL41-TODAY()</f>
        <v>1095</v>
      </c>
      <c r="HN41" s="5" t="str">
        <f t="shared" ca="1" si="202"/>
        <v>VIGENTE</v>
      </c>
      <c r="HO41" s="2"/>
      <c r="HP41" s="5"/>
      <c r="HQ41" s="5"/>
      <c r="HR41" s="5"/>
      <c r="HS41" s="5" t="str">
        <f t="shared" si="92"/>
        <v>NO APLICA</v>
      </c>
      <c r="HT41" s="3"/>
      <c r="HU41" s="4">
        <v>45420</v>
      </c>
      <c r="HV41" s="4">
        <f>DATE(YEAR(HU41)+5,MONTH(HU41),DAY(HU41))</f>
        <v>47246</v>
      </c>
      <c r="HW41" s="8">
        <f ca="1">HV41-TODAY()</f>
        <v>1101</v>
      </c>
      <c r="HX41" s="5" t="str">
        <f t="shared" ca="1" si="93"/>
        <v>VIGENTE</v>
      </c>
      <c r="HY41" s="3"/>
      <c r="HZ41" s="4">
        <v>45234</v>
      </c>
      <c r="IA41" s="4">
        <f>DATE(YEAR(HZ41)+5,MONTH(HZ41),DAY(HZ41))</f>
        <v>47061</v>
      </c>
      <c r="IB41" s="8">
        <f ca="1">IA41-TODAY()</f>
        <v>916</v>
      </c>
      <c r="IC41" s="5" t="str">
        <f t="shared" ca="1" si="94"/>
        <v>VIGENTE</v>
      </c>
      <c r="ID41" s="3"/>
      <c r="IE41" s="4">
        <v>45470</v>
      </c>
      <c r="IF41" s="4">
        <f>DATE(YEAR(IE41)+5,MONTH(IE41),DAY(IE41))</f>
        <v>47296</v>
      </c>
      <c r="IG41" s="8">
        <f ca="1">IF41-TODAY()</f>
        <v>1151</v>
      </c>
      <c r="IH41" s="5" t="str">
        <f t="shared" ca="1" si="95"/>
        <v>VIGENTE</v>
      </c>
      <c r="II41" s="4"/>
      <c r="IJ41" s="4">
        <v>45429</v>
      </c>
      <c r="IK41" s="4">
        <f>DATE(YEAR(IJ41)+5,MONTH(IJ41),DAY(IJ41))</f>
        <v>47255</v>
      </c>
      <c r="IL41" s="8">
        <f ca="1">IK41-TODAY()</f>
        <v>1110</v>
      </c>
      <c r="IM41" s="5" t="str">
        <f t="shared" ca="1" si="96"/>
        <v>VIGENTE</v>
      </c>
      <c r="IN41" s="3"/>
      <c r="IO41" s="4">
        <v>45433</v>
      </c>
      <c r="IP41" s="4">
        <f>DATE(YEAR(IO41)+5,MONTH(IO41),DAY(IO41))</f>
        <v>47259</v>
      </c>
      <c r="IQ41" s="8">
        <f ca="1">IP41-TODAY()</f>
        <v>1114</v>
      </c>
      <c r="IR41" s="5" t="str">
        <f t="shared" ca="1" si="97"/>
        <v>VIGENTE</v>
      </c>
      <c r="IS41" s="3"/>
      <c r="IT41" s="4">
        <v>45423</v>
      </c>
      <c r="IU41" s="4">
        <f>DATE(YEAR(IT41)+5,MONTH(IT41),DAY(IT41))</f>
        <v>47249</v>
      </c>
      <c r="IV41" s="8">
        <f ca="1">IU41-TODAY()</f>
        <v>1104</v>
      </c>
      <c r="IW41" s="5" t="str">
        <f t="shared" ca="1" si="98"/>
        <v>VIGENTE</v>
      </c>
      <c r="IX41" s="3"/>
      <c r="IY41" s="4">
        <v>45206</v>
      </c>
      <c r="IZ41" s="4">
        <f>DATE(YEAR(IY41)+5,MONTH(IY41),DAY(IY41))</f>
        <v>47033</v>
      </c>
      <c r="JA41" s="8">
        <f ca="1">IZ41-TODAY()</f>
        <v>888</v>
      </c>
      <c r="JB41" s="5" t="str">
        <f t="shared" ca="1" si="99"/>
        <v>VIGENTE</v>
      </c>
      <c r="JC41" s="3" t="s">
        <v>780</v>
      </c>
      <c r="JD41" s="3"/>
      <c r="JE41" s="4"/>
      <c r="JF41" s="8"/>
      <c r="JG41" s="5"/>
      <c r="JH41" s="3" t="s">
        <v>780</v>
      </c>
      <c r="JI41" s="6"/>
      <c r="JJ41" s="6"/>
      <c r="JK41" s="6"/>
      <c r="JL41" s="5"/>
      <c r="JM41" s="6" t="s">
        <v>780</v>
      </c>
      <c r="JN41" s="6"/>
      <c r="JO41" s="6"/>
      <c r="JP41" s="6"/>
      <c r="JQ41" s="5"/>
      <c r="JR41" s="6" t="s">
        <v>780</v>
      </c>
      <c r="JS41" s="6"/>
      <c r="JT41" s="6"/>
      <c r="JU41" s="6"/>
      <c r="JV41" s="5"/>
      <c r="JW41" s="6" t="s">
        <v>780</v>
      </c>
      <c r="JX41" s="5"/>
      <c r="JY41" s="5"/>
      <c r="JZ41" s="5"/>
      <c r="KA41" s="5"/>
      <c r="KB41" s="5"/>
      <c r="KC41" s="5"/>
      <c r="KD41" s="4"/>
      <c r="KE41" s="8"/>
      <c r="KF41" s="5" t="str">
        <f t="shared" si="135"/>
        <v>NO APLICA</v>
      </c>
      <c r="KG41" s="5"/>
      <c r="KH41" s="5"/>
      <c r="KI41" s="4"/>
      <c r="KJ41" s="8"/>
      <c r="KK41" s="5" t="str">
        <f t="shared" si="136"/>
        <v>NO APLICA</v>
      </c>
      <c r="KL41" s="5"/>
      <c r="KM41" s="5"/>
      <c r="KN41" s="4"/>
      <c r="KO41" s="8"/>
      <c r="KP41" s="5" t="str">
        <f t="shared" si="100"/>
        <v>NO APLICA</v>
      </c>
      <c r="KQ41" s="5"/>
      <c r="KR41" s="2"/>
      <c r="KS41" s="4"/>
      <c r="KT41" s="8"/>
      <c r="KU41" s="5" t="str">
        <f t="shared" si="137"/>
        <v>NO APLICA</v>
      </c>
      <c r="KV41" s="4"/>
      <c r="KW41" s="4">
        <v>44649</v>
      </c>
      <c r="KX41" s="4">
        <f>DATE(YEAR(KW41)+5,MONTH(KW41),DAY(KW41))</f>
        <v>46475</v>
      </c>
      <c r="KY41" s="8">
        <f ca="1">KX41-TODAY()</f>
        <v>330</v>
      </c>
      <c r="KZ41" s="5" t="str">
        <f t="shared" ca="1" si="151"/>
        <v>VIGENTE</v>
      </c>
      <c r="LA41" s="5"/>
      <c r="LB41" s="6"/>
      <c r="LC41" s="4"/>
      <c r="LD41" s="8"/>
      <c r="LE41" s="5" t="str">
        <f t="shared" si="138"/>
        <v>NO APLICA</v>
      </c>
      <c r="LF41" s="4"/>
      <c r="LG41" s="4"/>
      <c r="LH41" s="4"/>
      <c r="LI41" s="8"/>
      <c r="LJ41" s="5" t="str">
        <f t="shared" si="101"/>
        <v>NO APLICA</v>
      </c>
      <c r="LK41" s="5"/>
      <c r="LL41" s="5"/>
      <c r="LM41" s="5"/>
      <c r="LN41" s="5"/>
      <c r="LO41" s="5" t="str">
        <f t="shared" si="152"/>
        <v>NO APLICA</v>
      </c>
      <c r="LP41" s="5"/>
      <c r="LQ41" s="6"/>
      <c r="LR41" s="4"/>
      <c r="LS41" s="8"/>
      <c r="LT41" s="5" t="str">
        <f t="shared" si="139"/>
        <v>NO APLICA</v>
      </c>
      <c r="LU41" s="4"/>
      <c r="LV41" s="4">
        <v>44986</v>
      </c>
      <c r="LW41" s="4">
        <f>DATE(YEAR(LV41)+5,MONTH(LV41),DAY(LV41))</f>
        <v>46813</v>
      </c>
      <c r="LX41" s="8">
        <f ca="1">LW41-TODAY()</f>
        <v>668</v>
      </c>
      <c r="LY41" s="5" t="str">
        <f t="shared" ca="1" si="140"/>
        <v>VIGENTE</v>
      </c>
      <c r="LZ41" s="4"/>
      <c r="MA41" s="4">
        <v>44988</v>
      </c>
      <c r="MB41" s="4">
        <f>DATE(YEAR(MA41)+5,MONTH(MA41),DAY(MA41))</f>
        <v>46815</v>
      </c>
      <c r="MC41" s="8">
        <f ca="1">MB41-TODAY()</f>
        <v>670</v>
      </c>
      <c r="MD41" s="5" t="str">
        <f t="shared" ca="1" si="141"/>
        <v>VIGENTE</v>
      </c>
      <c r="ME41" s="5"/>
      <c r="MF41" s="5"/>
      <c r="MG41" s="4"/>
      <c r="MH41" s="8"/>
      <c r="MI41" s="5" t="str">
        <f t="shared" si="102"/>
        <v>NO APLICA</v>
      </c>
      <c r="MJ41" s="5"/>
      <c r="MK41" s="5"/>
      <c r="ML41" s="4"/>
      <c r="MM41" s="8"/>
      <c r="MN41" s="5" t="str">
        <f t="shared" si="103"/>
        <v>NO APLICA</v>
      </c>
      <c r="MO41" s="5"/>
      <c r="MP41" s="5"/>
      <c r="MQ41" s="4"/>
      <c r="MR41" s="8"/>
      <c r="MS41" s="5" t="str">
        <f t="shared" si="104"/>
        <v>NO APLICA</v>
      </c>
      <c r="MT41" s="5"/>
      <c r="MU41" s="5"/>
      <c r="MV41" s="4"/>
      <c r="MW41" s="5"/>
      <c r="MX41" s="5" t="str">
        <f t="shared" si="105"/>
        <v>NO APLICA</v>
      </c>
      <c r="MY41" s="5"/>
      <c r="MZ41" s="6"/>
      <c r="NA41" s="4"/>
      <c r="NB41" s="8"/>
      <c r="NC41" s="5" t="str">
        <f t="shared" si="106"/>
        <v>NO APLICA</v>
      </c>
      <c r="ND41" s="5"/>
      <c r="NE41" s="6"/>
      <c r="NF41" s="4"/>
      <c r="NG41" s="8"/>
      <c r="NH41" s="5" t="str">
        <f t="shared" si="107"/>
        <v>NO APLICA</v>
      </c>
      <c r="NI41" s="5"/>
      <c r="NJ41" s="6"/>
      <c r="NK41" s="4"/>
      <c r="NL41" s="8"/>
      <c r="NM41" s="5" t="str">
        <f t="shared" si="108"/>
        <v>NO APLICA</v>
      </c>
      <c r="NN41" s="5"/>
      <c r="NO41" s="5"/>
      <c r="NP41" s="5"/>
      <c r="NQ41" s="5"/>
      <c r="NR41" s="5" t="str">
        <f t="shared" si="109"/>
        <v>NO APLICA</v>
      </c>
      <c r="NS41" s="5"/>
      <c r="NT41" s="5"/>
      <c r="NU41" s="5"/>
      <c r="NV41" s="5"/>
      <c r="NW41" s="5" t="str">
        <f t="shared" si="110"/>
        <v>NO APLICA</v>
      </c>
      <c r="NX41" s="6"/>
      <c r="NY41" s="6"/>
      <c r="NZ41" s="6"/>
      <c r="OA41" s="6"/>
      <c r="OB41" s="5" t="str">
        <f t="shared" si="111"/>
        <v>NO APLICA</v>
      </c>
      <c r="OC41" s="6"/>
      <c r="OD41" s="6"/>
      <c r="OE41" s="6"/>
      <c r="OF41" s="6"/>
      <c r="OG41" s="5" t="str">
        <f t="shared" si="112"/>
        <v>NO APLICA</v>
      </c>
      <c r="OH41" s="6"/>
      <c r="OI41" s="6"/>
      <c r="OJ41" s="4"/>
      <c r="OK41" s="8"/>
      <c r="OL41" s="5" t="str">
        <f t="shared" si="113"/>
        <v>NO APLICA</v>
      </c>
      <c r="OM41" s="6"/>
      <c r="ON41" s="6"/>
      <c r="OO41" s="6"/>
      <c r="OP41" s="6"/>
      <c r="OQ41" s="5" t="str">
        <f t="shared" si="114"/>
        <v>NO APLICA</v>
      </c>
      <c r="OR41" s="6"/>
      <c r="OS41" s="6"/>
      <c r="OT41" s="6"/>
      <c r="OU41" s="6"/>
      <c r="OV41" s="5" t="str">
        <f t="shared" si="115"/>
        <v>NO APLICA</v>
      </c>
      <c r="OW41" s="6"/>
      <c r="OX41" s="6"/>
      <c r="OY41" s="6"/>
      <c r="OZ41" s="6"/>
      <c r="PA41" s="5" t="str">
        <f t="shared" si="116"/>
        <v>NO APLICA</v>
      </c>
      <c r="PB41" s="6"/>
      <c r="PC41" s="6"/>
      <c r="PD41" s="6"/>
      <c r="PE41" s="6"/>
      <c r="PF41" s="5" t="str">
        <f t="shared" si="117"/>
        <v>NO APLICA</v>
      </c>
      <c r="PG41" s="6"/>
      <c r="PH41" s="6"/>
      <c r="PI41" s="6"/>
      <c r="PJ41" s="6"/>
      <c r="PK41" s="5" t="str">
        <f t="shared" si="118"/>
        <v>NO APLICA</v>
      </c>
      <c r="PL41" s="5"/>
      <c r="PM41" s="6"/>
      <c r="PN41" s="4"/>
      <c r="PO41" s="8"/>
      <c r="PP41" s="5" t="str">
        <f t="shared" si="119"/>
        <v>NO APLICA</v>
      </c>
      <c r="PQ41" s="6"/>
      <c r="PR41" s="6"/>
      <c r="PS41" s="6"/>
      <c r="PT41" s="6"/>
      <c r="PU41" s="5" t="str">
        <f t="shared" si="120"/>
        <v>NO APLICA</v>
      </c>
      <c r="PV41" s="5"/>
      <c r="PW41" s="6"/>
      <c r="PX41" s="6"/>
      <c r="PY41" s="6"/>
      <c r="PZ41" s="5" t="str">
        <f t="shared" si="121"/>
        <v>NO APLICA</v>
      </c>
    </row>
    <row r="42" spans="1:442" ht="15.6" hidden="1" thickTop="1" thickBot="1" x14ac:dyDescent="0.35">
      <c r="A42" s="26">
        <v>39</v>
      </c>
      <c r="B42" s="27">
        <v>1130</v>
      </c>
      <c r="C42" s="28" t="s">
        <v>755</v>
      </c>
      <c r="D42" s="29" t="s">
        <v>68</v>
      </c>
      <c r="E42" s="30" t="s">
        <v>192</v>
      </c>
      <c r="F42" s="5"/>
      <c r="G42" s="6"/>
      <c r="H42" s="4"/>
      <c r="I42" s="8"/>
      <c r="J42" s="5" t="str">
        <f t="shared" si="0"/>
        <v>NO APLICA</v>
      </c>
      <c r="K42" s="5"/>
      <c r="L42" s="6"/>
      <c r="M42" s="6"/>
      <c r="N42" s="8"/>
      <c r="O42" s="5" t="str">
        <f t="shared" si="1"/>
        <v>NO APLICA</v>
      </c>
      <c r="P42" s="6"/>
      <c r="Q42" s="6"/>
      <c r="R42" s="4"/>
      <c r="S42" s="8"/>
      <c r="T42" s="5" t="str">
        <f t="shared" si="122"/>
        <v>NO APLICA</v>
      </c>
      <c r="U42" s="5"/>
      <c r="V42" s="2" t="s">
        <v>193</v>
      </c>
      <c r="W42" s="4">
        <v>45309</v>
      </c>
      <c r="X42" s="4">
        <f t="shared" si="2"/>
        <v>47136</v>
      </c>
      <c r="Y42" s="8">
        <f t="shared" ca="1" si="3"/>
        <v>991</v>
      </c>
      <c r="Z42" s="5" t="str">
        <f t="shared" ca="1" si="4"/>
        <v>VIGENTE</v>
      </c>
      <c r="AA42" s="5"/>
      <c r="AB42" s="2" t="s">
        <v>194</v>
      </c>
      <c r="AC42" s="4">
        <v>44824</v>
      </c>
      <c r="AD42" s="4">
        <f t="shared" si="207"/>
        <v>46650</v>
      </c>
      <c r="AE42" s="8">
        <f t="shared" ca="1" si="208"/>
        <v>505</v>
      </c>
      <c r="AF42" s="5" t="str">
        <f t="shared" ca="1" si="7"/>
        <v>VIGENTE</v>
      </c>
      <c r="AG42" s="3"/>
      <c r="AH42" s="3">
        <v>45594</v>
      </c>
      <c r="AI42" s="4">
        <f>DATE(YEAR(AH42)+2,MONTH(AH42),DAY(AH42)-1)</f>
        <v>46323</v>
      </c>
      <c r="AJ42" s="8">
        <f t="shared" ca="1" si="8"/>
        <v>178</v>
      </c>
      <c r="AK42" s="5" t="str">
        <f t="shared" ca="1" si="9"/>
        <v>VIGENTE</v>
      </c>
      <c r="AL42" s="3"/>
      <c r="AM42" s="4">
        <v>45959</v>
      </c>
      <c r="AN42" s="4">
        <f t="shared" si="213"/>
        <v>46689</v>
      </c>
      <c r="AO42" s="8">
        <f t="shared" ca="1" si="10"/>
        <v>544</v>
      </c>
      <c r="AP42" s="5" t="str">
        <f t="shared" ca="1" si="11"/>
        <v>VIGENTE</v>
      </c>
      <c r="AQ42" s="3"/>
      <c r="AR42" s="4">
        <v>45971</v>
      </c>
      <c r="AS42" s="4">
        <f>DATE(YEAR(AR42)+2,MONTH(AR42),DAY(AR42))</f>
        <v>46701</v>
      </c>
      <c r="AT42" s="8">
        <f t="shared" ca="1" si="12"/>
        <v>556</v>
      </c>
      <c r="AU42" s="5" t="str">
        <f t="shared" ca="1" si="13"/>
        <v>VIGENTE</v>
      </c>
      <c r="AV42" s="3"/>
      <c r="AW42" s="4">
        <v>45952</v>
      </c>
      <c r="AX42" s="4">
        <f>DATE(YEAR(AW42)+2,MONTH(AW42),DAY(AW42))</f>
        <v>46682</v>
      </c>
      <c r="AY42" s="8">
        <f t="shared" ca="1" si="15"/>
        <v>537</v>
      </c>
      <c r="AZ42" s="5" t="str">
        <f t="shared" ca="1" si="16"/>
        <v>VIGENTE</v>
      </c>
      <c r="BA42" s="3"/>
      <c r="BB42" s="4">
        <v>45717</v>
      </c>
      <c r="BC42" s="4">
        <f>DATE(YEAR(BB42)+2,MONTH(BB42),DAY(BB42)-1)</f>
        <v>46446</v>
      </c>
      <c r="BD42" s="8">
        <f t="shared" ca="1" si="17"/>
        <v>301</v>
      </c>
      <c r="BE42" s="5" t="str">
        <f t="shared" ca="1" si="18"/>
        <v>VIGENTE</v>
      </c>
      <c r="BF42" s="3"/>
      <c r="BG42" s="4">
        <v>45968</v>
      </c>
      <c r="BH42" s="4">
        <f>DATE(YEAR(BG42)+2,MONTH(BG42),DAY(BG42))</f>
        <v>46698</v>
      </c>
      <c r="BI42" s="8">
        <f t="shared" ca="1" si="19"/>
        <v>553</v>
      </c>
      <c r="BJ42" s="5" t="str">
        <f t="shared" ca="1" si="20"/>
        <v>VIGENTE</v>
      </c>
      <c r="BK42" s="3"/>
      <c r="BL42" s="4">
        <v>46056</v>
      </c>
      <c r="BM42" s="4">
        <f>DATE(YEAR(BL42)+2,MONTH(BL42),DAY(BL42))</f>
        <v>46786</v>
      </c>
      <c r="BN42" s="8">
        <f t="shared" ca="1" si="21"/>
        <v>641</v>
      </c>
      <c r="BO42" s="5" t="str">
        <f t="shared" ca="1" si="22"/>
        <v>VIGENTE</v>
      </c>
      <c r="BP42" s="3"/>
      <c r="BQ42" s="39">
        <v>46069</v>
      </c>
      <c r="BR42" s="4">
        <f>DATE(YEAR(BQ42)+2,MONTH(BQ42),DAY(BQ42))</f>
        <v>46799</v>
      </c>
      <c r="BS42" s="8">
        <f t="shared" ca="1" si="23"/>
        <v>654</v>
      </c>
      <c r="BT42" s="5" t="str">
        <f t="shared" ca="1" si="24"/>
        <v>VIGENTE</v>
      </c>
      <c r="BU42" s="4"/>
      <c r="BV42" s="4">
        <v>45736</v>
      </c>
      <c r="BW42" s="4">
        <f t="shared" si="211"/>
        <v>46465</v>
      </c>
      <c r="BX42" s="8">
        <f t="shared" ca="1" si="25"/>
        <v>320</v>
      </c>
      <c r="BY42" s="5" t="str">
        <f t="shared" ca="1" si="26"/>
        <v>VIGENTE</v>
      </c>
      <c r="BZ42" s="3"/>
      <c r="CA42" s="4">
        <v>45944</v>
      </c>
      <c r="CB42" s="4">
        <f>DATE(YEAR(CA42)+2,MONTH(CA42),DAY(CA42))</f>
        <v>46674</v>
      </c>
      <c r="CC42" s="8">
        <f t="shared" ca="1" si="27"/>
        <v>529</v>
      </c>
      <c r="CD42" s="5" t="str">
        <f t="shared" ca="1" si="28"/>
        <v>VIGENTE</v>
      </c>
      <c r="CE42" s="6"/>
      <c r="CF42" s="4">
        <v>45262</v>
      </c>
      <c r="CG42" s="4">
        <f t="shared" si="29"/>
        <v>46723</v>
      </c>
      <c r="CH42" s="8">
        <f t="shared" ca="1" si="30"/>
        <v>578</v>
      </c>
      <c r="CI42" s="5" t="str">
        <f t="shared" ca="1" si="31"/>
        <v>VIGENTE</v>
      </c>
      <c r="CJ42" s="4"/>
      <c r="CK42" s="4">
        <v>45723</v>
      </c>
      <c r="CL42" s="4">
        <f>DATE(YEAR(CK42)+2,MONTH(CK42),DAY(CK42)-1)</f>
        <v>46452</v>
      </c>
      <c r="CM42" s="8">
        <f t="shared" ca="1" si="32"/>
        <v>307</v>
      </c>
      <c r="CN42" s="5" t="str">
        <f t="shared" ca="1" si="33"/>
        <v>VIGENTE</v>
      </c>
      <c r="CO42" s="4"/>
      <c r="CP42" s="39">
        <v>45684</v>
      </c>
      <c r="CQ42" s="4">
        <f t="shared" si="212"/>
        <v>46413</v>
      </c>
      <c r="CR42" s="8">
        <f t="shared" ca="1" si="34"/>
        <v>268</v>
      </c>
      <c r="CS42" s="5" t="str">
        <f t="shared" ca="1" si="35"/>
        <v>VIGENTE</v>
      </c>
      <c r="CT42" s="3"/>
      <c r="CU42" s="4">
        <v>45631</v>
      </c>
      <c r="CV42" s="4">
        <f>DATE(YEAR(CU42)+2,MONTH(CU42),DAY(CU42)-1)</f>
        <v>46360</v>
      </c>
      <c r="CW42" s="8">
        <f t="shared" ca="1" si="36"/>
        <v>215</v>
      </c>
      <c r="CX42" s="5" t="str">
        <f t="shared" ca="1" si="37"/>
        <v>VIGENTE</v>
      </c>
      <c r="CY42" s="3"/>
      <c r="CZ42" s="4">
        <v>45665</v>
      </c>
      <c r="DA42" s="4">
        <f>DATE(YEAR(CZ42)+2,MONTH(CZ42),DAY(CZ42)-1)</f>
        <v>46394</v>
      </c>
      <c r="DB42" s="8">
        <f t="shared" ca="1" si="38"/>
        <v>249</v>
      </c>
      <c r="DC42" s="5" t="str">
        <f t="shared" ca="1" si="39"/>
        <v>VIGENTE</v>
      </c>
      <c r="DD42" s="3"/>
      <c r="DE42" s="39">
        <v>45689</v>
      </c>
      <c r="DF42" s="4">
        <f>DATE(YEAR(DE42)+2,MONTH(DE42),DAY(DE42)-1)</f>
        <v>46418</v>
      </c>
      <c r="DG42" s="8">
        <f t="shared" ca="1" si="40"/>
        <v>273</v>
      </c>
      <c r="DH42" s="5" t="str">
        <f t="shared" ca="1" si="41"/>
        <v>VIGENTE</v>
      </c>
      <c r="DI42" s="4"/>
      <c r="DJ42" s="39">
        <v>45696</v>
      </c>
      <c r="DK42" s="4">
        <f>DATE(YEAR(DJ42)+2,MONTH(DJ42),DAY(DJ42)-1)</f>
        <v>46425</v>
      </c>
      <c r="DL42" s="8">
        <f t="shared" ca="1" si="43"/>
        <v>280</v>
      </c>
      <c r="DM42" s="5" t="str">
        <f t="shared" ca="1" si="44"/>
        <v>VIGENTE</v>
      </c>
      <c r="DN42" s="3"/>
      <c r="DO42" s="4">
        <v>45982</v>
      </c>
      <c r="DP42" s="4">
        <f t="shared" si="218"/>
        <v>46712</v>
      </c>
      <c r="DQ42" s="8">
        <f t="shared" ca="1" si="46"/>
        <v>567</v>
      </c>
      <c r="DR42" s="5" t="str">
        <f t="shared" ca="1" si="47"/>
        <v>VIGENTE</v>
      </c>
      <c r="DS42" s="3"/>
      <c r="DT42" s="4">
        <v>45743</v>
      </c>
      <c r="DU42" s="4">
        <f>DATE(YEAR(DT42)+2,MONTH(DT42),DAY(DT42)-1)</f>
        <v>46472</v>
      </c>
      <c r="DV42" s="8">
        <f t="shared" ca="1" si="48"/>
        <v>327</v>
      </c>
      <c r="DW42" s="5" t="str">
        <f t="shared" ca="1" si="49"/>
        <v>VIGENTE</v>
      </c>
      <c r="DX42" s="4"/>
      <c r="DY42" s="4">
        <v>45682</v>
      </c>
      <c r="DZ42" s="4">
        <f>DATE(YEAR(DY42)+2,MONTH(DY42),DAY(DY42)-1)</f>
        <v>46411</v>
      </c>
      <c r="EA42" s="8">
        <f t="shared" ca="1" si="50"/>
        <v>266</v>
      </c>
      <c r="EB42" s="5" t="str">
        <f t="shared" ca="1" si="51"/>
        <v>VIGENTE</v>
      </c>
      <c r="EC42" s="4"/>
      <c r="ED42" s="39">
        <v>45674</v>
      </c>
      <c r="EE42" s="4">
        <f>DATE(YEAR(ED42)+2,MONTH(ED42),DAY(ED42)-1)</f>
        <v>46403</v>
      </c>
      <c r="EF42" s="8">
        <f t="shared" ca="1" si="52"/>
        <v>258</v>
      </c>
      <c r="EG42" s="5" t="str">
        <f t="shared" ca="1" si="53"/>
        <v>VIGENTE</v>
      </c>
      <c r="EH42" s="3"/>
      <c r="EI42" s="3">
        <v>46085</v>
      </c>
      <c r="EJ42" s="4">
        <f t="shared" si="131"/>
        <v>46450</v>
      </c>
      <c r="EK42" s="8">
        <f t="shared" ca="1" si="54"/>
        <v>305</v>
      </c>
      <c r="EL42" s="5" t="str">
        <f t="shared" ca="1" si="55"/>
        <v>VIGENTE</v>
      </c>
      <c r="EM42" s="3"/>
      <c r="EN42" s="4">
        <v>45737</v>
      </c>
      <c r="EO42" s="4">
        <f>DATE(YEAR(EN42)+2,MONTH(EN42),DAY(EN42)-1)</f>
        <v>46466</v>
      </c>
      <c r="EP42" s="8">
        <f t="shared" ca="1" si="56"/>
        <v>321</v>
      </c>
      <c r="EQ42" s="5" t="str">
        <f t="shared" ca="1" si="57"/>
        <v>VIGENTE</v>
      </c>
      <c r="ER42" s="4"/>
      <c r="ES42" s="39">
        <v>45735</v>
      </c>
      <c r="ET42" s="4">
        <f>DATE(YEAR(ES42)+2,MONTH(ES42),DAY(ES42)-1)</f>
        <v>46464</v>
      </c>
      <c r="EU42" s="8">
        <f t="shared" ca="1" si="58"/>
        <v>319</v>
      </c>
      <c r="EV42" s="5" t="str">
        <f t="shared" ca="1" si="59"/>
        <v>VIGENTE</v>
      </c>
      <c r="EW42" s="3"/>
      <c r="EX42" s="4">
        <v>45973</v>
      </c>
      <c r="EY42" s="4">
        <f t="shared" si="214"/>
        <v>46703</v>
      </c>
      <c r="EZ42" s="8">
        <f t="shared" ca="1" si="60"/>
        <v>558</v>
      </c>
      <c r="FA42" s="5" t="str">
        <f t="shared" ca="1" si="61"/>
        <v>VIGENTE</v>
      </c>
      <c r="FB42" s="3"/>
      <c r="FC42" s="4">
        <v>45951</v>
      </c>
      <c r="FD42" s="4">
        <f t="shared" si="215"/>
        <v>46681</v>
      </c>
      <c r="FE42" s="8">
        <f t="shared" ca="1" si="62"/>
        <v>536</v>
      </c>
      <c r="FF42" s="5" t="str">
        <f t="shared" ca="1" si="63"/>
        <v>VIGENTE</v>
      </c>
      <c r="FG42" s="3"/>
      <c r="FH42" s="4">
        <v>45932</v>
      </c>
      <c r="FI42" s="4">
        <f t="shared" si="216"/>
        <v>46662</v>
      </c>
      <c r="FJ42" s="8">
        <f t="shared" ca="1" si="64"/>
        <v>517</v>
      </c>
      <c r="FK42" s="5" t="str">
        <f t="shared" ca="1" si="65"/>
        <v>VIGENTE</v>
      </c>
      <c r="FL42" s="4"/>
      <c r="FM42" s="39">
        <v>45738</v>
      </c>
      <c r="FN42" s="4">
        <f>DATE(YEAR(FM42)+2,MONTH(FM42),DAY(FM42)-1)</f>
        <v>46467</v>
      </c>
      <c r="FO42" s="8">
        <f t="shared" ca="1" si="67"/>
        <v>322</v>
      </c>
      <c r="FP42" s="5" t="str">
        <f t="shared" ca="1" si="68"/>
        <v>VIGENTE</v>
      </c>
      <c r="FQ42" s="4"/>
      <c r="FR42" s="39">
        <v>45724</v>
      </c>
      <c r="FS42" s="4">
        <f>DATE(YEAR(FR42)+2,MONTH(FR42),DAY(FR42)-1)</f>
        <v>46453</v>
      </c>
      <c r="FT42" s="8">
        <f t="shared" ca="1" si="69"/>
        <v>308</v>
      </c>
      <c r="FU42" s="5" t="str">
        <f t="shared" ca="1" si="70"/>
        <v>VIGENTE</v>
      </c>
      <c r="FV42" s="3"/>
      <c r="FW42" s="4">
        <v>45536</v>
      </c>
      <c r="FX42" s="4">
        <f>DATE(YEAR(FW42)+2,MONTH(FW42),DAY(FW42)-1)</f>
        <v>46265</v>
      </c>
      <c r="FY42" s="8">
        <f t="shared" ca="1" si="71"/>
        <v>120</v>
      </c>
      <c r="FZ42" s="5" t="str">
        <f t="shared" ca="1" si="72"/>
        <v>VIGENTE</v>
      </c>
      <c r="GA42" s="4"/>
      <c r="GB42" s="4">
        <v>45667</v>
      </c>
      <c r="GC42" s="4">
        <f>DATE(YEAR(GB42)+2,MONTH(GB42),DAY(GB42)-1)</f>
        <v>46396</v>
      </c>
      <c r="GD42" s="8">
        <f t="shared" ca="1" si="73"/>
        <v>251</v>
      </c>
      <c r="GE42" s="5" t="str">
        <f t="shared" ca="1" si="74"/>
        <v>VIGENTE</v>
      </c>
      <c r="GF42" s="4"/>
      <c r="GG42" s="4">
        <v>45672</v>
      </c>
      <c r="GH42" s="4">
        <f>DATE(YEAR(GG42)+2,MONTH(GG42),DAY(GG42)-1)</f>
        <v>46401</v>
      </c>
      <c r="GI42" s="8">
        <f t="shared" ca="1" si="75"/>
        <v>256</v>
      </c>
      <c r="GJ42" s="5" t="str">
        <f t="shared" ca="1" si="76"/>
        <v>VIGENTE</v>
      </c>
      <c r="GK42" s="3"/>
      <c r="GL42" s="4">
        <v>45945</v>
      </c>
      <c r="GM42" s="4">
        <f t="shared" si="217"/>
        <v>46675</v>
      </c>
      <c r="GN42" s="8">
        <f t="shared" ca="1" si="77"/>
        <v>530</v>
      </c>
      <c r="GO42" s="5" t="str">
        <f t="shared" ca="1" si="78"/>
        <v>VIGENTE</v>
      </c>
      <c r="GP42" s="4"/>
      <c r="GQ42" s="4">
        <v>45244</v>
      </c>
      <c r="GR42" s="4">
        <f t="shared" si="79"/>
        <v>47071</v>
      </c>
      <c r="GS42" s="8">
        <f t="shared" ca="1" si="176"/>
        <v>926</v>
      </c>
      <c r="GT42" s="5" t="str">
        <f t="shared" ca="1" si="81"/>
        <v>VIGENTE</v>
      </c>
      <c r="GU42" s="3"/>
      <c r="GV42" s="4">
        <v>45245</v>
      </c>
      <c r="GW42" s="4">
        <f t="shared" si="82"/>
        <v>47072</v>
      </c>
      <c r="GX42" s="8">
        <f t="shared" ca="1" si="83"/>
        <v>927</v>
      </c>
      <c r="GY42" s="5" t="str">
        <f t="shared" ca="1" si="84"/>
        <v>VIGENTE</v>
      </c>
      <c r="GZ42" s="3"/>
      <c r="HA42" s="4">
        <v>45251</v>
      </c>
      <c r="HB42" s="4">
        <f t="shared" si="85"/>
        <v>47078</v>
      </c>
      <c r="HC42" s="8">
        <f t="shared" ca="1" si="86"/>
        <v>933</v>
      </c>
      <c r="HD42" s="5" t="str">
        <f t="shared" ca="1" si="87"/>
        <v>VIGENTE</v>
      </c>
      <c r="HE42" s="6"/>
      <c r="HF42" s="4">
        <v>44862</v>
      </c>
      <c r="HG42" s="4">
        <f t="shared" si="209"/>
        <v>46688</v>
      </c>
      <c r="HH42" s="8">
        <f t="shared" ca="1" si="210"/>
        <v>543</v>
      </c>
      <c r="HI42" s="5" t="str">
        <f t="shared" ca="1" si="187"/>
        <v>VIGENTE</v>
      </c>
      <c r="HJ42" s="3"/>
      <c r="HK42" s="4">
        <v>45331</v>
      </c>
      <c r="HL42" s="4">
        <f>DATE(YEAR(HK42)+5,MONTH(HK42),DAY(HK42))</f>
        <v>47158</v>
      </c>
      <c r="HM42" s="8">
        <f ca="1">HL42-TODAY()</f>
        <v>1013</v>
      </c>
      <c r="HN42" s="5" t="str">
        <f t="shared" ca="1" si="202"/>
        <v>VIGENTE</v>
      </c>
      <c r="HO42" s="2"/>
      <c r="HP42" s="3">
        <v>45374</v>
      </c>
      <c r="HQ42" s="4">
        <f>DATE(YEAR(HP42)+5,MONTH(HP42),DAY(HP42))</f>
        <v>47200</v>
      </c>
      <c r="HR42" s="8">
        <f ca="1">HQ42-TODAY()</f>
        <v>1055</v>
      </c>
      <c r="HS42" s="5" t="str">
        <f t="shared" ca="1" si="92"/>
        <v>VIGENTE</v>
      </c>
      <c r="HT42" s="3"/>
      <c r="HU42" s="4">
        <v>45243</v>
      </c>
      <c r="HV42" s="4">
        <f>DATE(YEAR(HU42)+5,MONTH(HU42),DAY(HU42))</f>
        <v>47070</v>
      </c>
      <c r="HW42" s="8">
        <f ca="1">HV42-TODAY()</f>
        <v>925</v>
      </c>
      <c r="HX42" s="5" t="str">
        <f t="shared" ca="1" si="93"/>
        <v>VIGENTE</v>
      </c>
      <c r="HY42" s="3"/>
      <c r="HZ42" s="4">
        <v>45475</v>
      </c>
      <c r="IA42" s="4">
        <f>DATE(YEAR(HZ42)+5,MONTH(HZ42),DAY(HZ42))</f>
        <v>47301</v>
      </c>
      <c r="IB42" s="8">
        <f ca="1">IA42-TODAY()</f>
        <v>1156</v>
      </c>
      <c r="IC42" s="5" t="str">
        <f t="shared" ca="1" si="94"/>
        <v>VIGENTE</v>
      </c>
      <c r="ID42" s="3"/>
      <c r="IE42" s="4">
        <v>45444</v>
      </c>
      <c r="IF42" s="4">
        <f>DATE(YEAR(IE42)+5,MONTH(IE42),DAY(IE42))</f>
        <v>47270</v>
      </c>
      <c r="IG42" s="8">
        <f ca="1">IF42-TODAY()</f>
        <v>1125</v>
      </c>
      <c r="IH42" s="5" t="str">
        <f t="shared" ca="1" si="95"/>
        <v>VIGENTE</v>
      </c>
      <c r="II42" s="4"/>
      <c r="IJ42" s="4">
        <v>45449</v>
      </c>
      <c r="IK42" s="4">
        <f>DATE(YEAR(IJ42)+5,MONTH(IJ42),DAY(IJ42))</f>
        <v>47275</v>
      </c>
      <c r="IL42" s="8">
        <f ca="1">IK42-TODAY()</f>
        <v>1130</v>
      </c>
      <c r="IM42" s="5" t="str">
        <f t="shared" ca="1" si="96"/>
        <v>VIGENTE</v>
      </c>
      <c r="IN42" s="3"/>
      <c r="IO42" s="4">
        <v>45433</v>
      </c>
      <c r="IP42" s="4">
        <f>DATE(YEAR(IO42)+5,MONTH(IO42),DAY(IO42))</f>
        <v>47259</v>
      </c>
      <c r="IQ42" s="8">
        <f ca="1">IP42-TODAY()</f>
        <v>1114</v>
      </c>
      <c r="IR42" s="5" t="str">
        <f t="shared" ca="1" si="97"/>
        <v>VIGENTE</v>
      </c>
      <c r="IS42" s="3"/>
      <c r="IT42" s="4">
        <v>45423</v>
      </c>
      <c r="IU42" s="4">
        <f>DATE(YEAR(IT42)+5,MONTH(IT42),DAY(IT42))</f>
        <v>47249</v>
      </c>
      <c r="IV42" s="8">
        <f ca="1">IU42-TODAY()</f>
        <v>1104</v>
      </c>
      <c r="IW42" s="5" t="str">
        <f t="shared" ca="1" si="98"/>
        <v>VIGENTE</v>
      </c>
      <c r="IX42" s="3"/>
      <c r="IY42" s="4">
        <v>45419</v>
      </c>
      <c r="IZ42" s="4">
        <f>DATE(YEAR(IY42)+5,MONTH(IY42),DAY(IY42))</f>
        <v>47245</v>
      </c>
      <c r="JA42" s="8">
        <f ca="1">IZ42-TODAY()</f>
        <v>1100</v>
      </c>
      <c r="JB42" s="5" t="str">
        <f t="shared" ca="1" si="99"/>
        <v>VIGENTE</v>
      </c>
      <c r="JC42" s="3" t="s">
        <v>780</v>
      </c>
      <c r="JD42" s="3"/>
      <c r="JE42" s="4"/>
      <c r="JF42" s="8"/>
      <c r="JG42" s="5"/>
      <c r="JH42" s="3" t="s">
        <v>780</v>
      </c>
      <c r="JI42" s="6"/>
      <c r="JJ42" s="6"/>
      <c r="JK42" s="6"/>
      <c r="JL42" s="5"/>
      <c r="JM42" s="6" t="s">
        <v>780</v>
      </c>
      <c r="JN42" s="6"/>
      <c r="JO42" s="6"/>
      <c r="JP42" s="6"/>
      <c r="JQ42" s="5"/>
      <c r="JR42" s="6" t="s">
        <v>780</v>
      </c>
      <c r="JS42" s="6"/>
      <c r="JT42" s="6"/>
      <c r="JU42" s="6"/>
      <c r="JV42" s="5"/>
      <c r="JW42" s="6" t="s">
        <v>780</v>
      </c>
      <c r="JX42" s="5"/>
      <c r="JY42" s="5"/>
      <c r="JZ42" s="5"/>
      <c r="KA42" s="5"/>
      <c r="KB42" s="5"/>
      <c r="KC42" s="2"/>
      <c r="KD42" s="4"/>
      <c r="KE42" s="8"/>
      <c r="KF42" s="5" t="str">
        <f t="shared" si="135"/>
        <v>NO APLICA</v>
      </c>
      <c r="KG42" s="5"/>
      <c r="KH42" s="2"/>
      <c r="KI42" s="4"/>
      <c r="KJ42" s="8"/>
      <c r="KK42" s="5" t="str">
        <f t="shared" si="136"/>
        <v>NO APLICA</v>
      </c>
      <c r="KL42" s="5"/>
      <c r="KM42" s="2"/>
      <c r="KN42" s="4"/>
      <c r="KO42" s="8"/>
      <c r="KP42" s="5" t="str">
        <f t="shared" si="100"/>
        <v>NO APLICA</v>
      </c>
      <c r="KQ42" s="5"/>
      <c r="KR42" s="2"/>
      <c r="KS42" s="4"/>
      <c r="KT42" s="8"/>
      <c r="KU42" s="5" t="str">
        <f t="shared" si="137"/>
        <v>NO APLICA</v>
      </c>
      <c r="KV42" s="2"/>
      <c r="KW42" s="6"/>
      <c r="KX42" s="4"/>
      <c r="KY42" s="8"/>
      <c r="KZ42" s="5" t="str">
        <f t="shared" si="151"/>
        <v>NO APLICA</v>
      </c>
      <c r="LA42" s="5"/>
      <c r="LB42" s="4">
        <v>44603</v>
      </c>
      <c r="LC42" s="4">
        <f>DATE(YEAR(LB42)+5,MONTH(LB42),DAY(LB42))</f>
        <v>46429</v>
      </c>
      <c r="LD42" s="8">
        <f ca="1">LC42-TODAY()</f>
        <v>284</v>
      </c>
      <c r="LE42" s="5" t="str">
        <f t="shared" ca="1" si="138"/>
        <v>VIGENTE</v>
      </c>
      <c r="LF42" s="6"/>
      <c r="LG42" s="4"/>
      <c r="LH42" s="4"/>
      <c r="LI42" s="8"/>
      <c r="LJ42" s="5" t="str">
        <f t="shared" si="101"/>
        <v>NO APLICA</v>
      </c>
      <c r="LK42" s="5"/>
      <c r="LL42" s="5"/>
      <c r="LM42" s="5"/>
      <c r="LN42" s="5"/>
      <c r="LO42" s="5" t="str">
        <f t="shared" si="152"/>
        <v>NO APLICA</v>
      </c>
      <c r="LP42" s="2"/>
      <c r="LQ42" s="6"/>
      <c r="LR42" s="4"/>
      <c r="LS42" s="8"/>
      <c r="LT42" s="5" t="str">
        <f t="shared" si="139"/>
        <v>NO APLICA</v>
      </c>
      <c r="LU42" s="6"/>
      <c r="LV42" s="6"/>
      <c r="LW42" s="4"/>
      <c r="LX42" s="8"/>
      <c r="LY42" s="5" t="str">
        <f t="shared" si="140"/>
        <v>NO APLICA</v>
      </c>
      <c r="LZ42" s="6"/>
      <c r="MA42" s="6"/>
      <c r="MB42" s="4"/>
      <c r="MC42" s="8"/>
      <c r="MD42" s="5" t="str">
        <f t="shared" si="141"/>
        <v>NO APLICA</v>
      </c>
      <c r="ME42" s="2"/>
      <c r="MF42" s="2"/>
      <c r="MG42" s="4"/>
      <c r="MH42" s="8"/>
      <c r="MI42" s="5" t="str">
        <f t="shared" si="102"/>
        <v>NO APLICA</v>
      </c>
      <c r="MJ42" s="2"/>
      <c r="MK42" s="2"/>
      <c r="ML42" s="4"/>
      <c r="MM42" s="8"/>
      <c r="MN42" s="5" t="str">
        <f t="shared" si="103"/>
        <v>NO APLICA</v>
      </c>
      <c r="MO42" s="5"/>
      <c r="MP42" s="2"/>
      <c r="MQ42" s="4"/>
      <c r="MR42" s="8"/>
      <c r="MS42" s="5" t="str">
        <f t="shared" si="104"/>
        <v>NO APLICA</v>
      </c>
      <c r="MT42" s="5"/>
      <c r="MU42" s="2"/>
      <c r="MV42" s="4"/>
      <c r="MW42" s="2"/>
      <c r="MX42" s="5" t="str">
        <f t="shared" si="105"/>
        <v>NO APLICA</v>
      </c>
      <c r="MY42" s="2"/>
      <c r="MZ42" s="6"/>
      <c r="NA42" s="4"/>
      <c r="NB42" s="8"/>
      <c r="NC42" s="5" t="str">
        <f t="shared" si="106"/>
        <v>NO APLICA</v>
      </c>
      <c r="ND42" s="2"/>
      <c r="NE42" s="6"/>
      <c r="NF42" s="4"/>
      <c r="NG42" s="8"/>
      <c r="NH42" s="5" t="str">
        <f t="shared" si="107"/>
        <v>NO APLICA</v>
      </c>
      <c r="NI42" s="2"/>
      <c r="NJ42" s="6"/>
      <c r="NK42" s="4"/>
      <c r="NL42" s="8"/>
      <c r="NM42" s="5" t="str">
        <f t="shared" si="108"/>
        <v>NO APLICA</v>
      </c>
      <c r="NN42" s="2"/>
      <c r="NO42" s="2"/>
      <c r="NP42" s="4"/>
      <c r="NQ42" s="2"/>
      <c r="NR42" s="5" t="str">
        <f t="shared" si="109"/>
        <v>NO APLICA</v>
      </c>
      <c r="NS42" s="2"/>
      <c r="NT42" s="2"/>
      <c r="NU42" s="4"/>
      <c r="NV42" s="2"/>
      <c r="NW42" s="5" t="str">
        <f t="shared" si="110"/>
        <v>NO APLICA</v>
      </c>
      <c r="NX42" s="6"/>
      <c r="NY42" s="6"/>
      <c r="NZ42" s="4"/>
      <c r="OA42" s="8"/>
      <c r="OB42" s="5" t="str">
        <f t="shared" si="111"/>
        <v>NO APLICA</v>
      </c>
      <c r="OC42" s="6"/>
      <c r="OD42" s="6"/>
      <c r="OE42" s="6"/>
      <c r="OF42" s="6"/>
      <c r="OG42" s="5" t="str">
        <f t="shared" si="112"/>
        <v>NO APLICA</v>
      </c>
      <c r="OH42" s="6"/>
      <c r="OI42" s="6"/>
      <c r="OJ42" s="4"/>
      <c r="OK42" s="8"/>
      <c r="OL42" s="5" t="str">
        <f t="shared" si="113"/>
        <v>NO APLICA</v>
      </c>
      <c r="OM42" s="6"/>
      <c r="ON42" s="6"/>
      <c r="OO42" s="6"/>
      <c r="OP42" s="6"/>
      <c r="OQ42" s="5" t="str">
        <f t="shared" si="114"/>
        <v>NO APLICA</v>
      </c>
      <c r="OR42" s="6"/>
      <c r="OS42" s="6"/>
      <c r="OT42" s="6"/>
      <c r="OU42" s="6"/>
      <c r="OV42" s="5" t="str">
        <f t="shared" si="115"/>
        <v>NO APLICA</v>
      </c>
      <c r="OW42" s="6"/>
      <c r="OX42" s="6"/>
      <c r="OY42" s="6"/>
      <c r="OZ42" s="6"/>
      <c r="PA42" s="5" t="str">
        <f t="shared" si="116"/>
        <v>NO APLICA</v>
      </c>
      <c r="PB42" s="6"/>
      <c r="PC42" s="6"/>
      <c r="PD42" s="6"/>
      <c r="PE42" s="6"/>
      <c r="PF42" s="5" t="str">
        <f t="shared" si="117"/>
        <v>NO APLICA</v>
      </c>
      <c r="PG42" s="6"/>
      <c r="PH42" s="6"/>
      <c r="PI42" s="6"/>
      <c r="PJ42" s="6"/>
      <c r="PK42" s="5" t="str">
        <f t="shared" si="118"/>
        <v>NO APLICA</v>
      </c>
      <c r="PL42" s="5"/>
      <c r="PM42" s="6"/>
      <c r="PN42" s="4"/>
      <c r="PO42" s="8"/>
      <c r="PP42" s="5" t="str">
        <f t="shared" si="119"/>
        <v>NO APLICA</v>
      </c>
      <c r="PQ42" s="6"/>
      <c r="PR42" s="6"/>
      <c r="PS42" s="6"/>
      <c r="PT42" s="6"/>
      <c r="PU42" s="5" t="str">
        <f t="shared" si="120"/>
        <v>NO APLICA</v>
      </c>
      <c r="PV42" s="5"/>
      <c r="PW42" s="6"/>
      <c r="PX42" s="6"/>
      <c r="PY42" s="6"/>
      <c r="PZ42" s="5" t="str">
        <f t="shared" si="121"/>
        <v>NO APLICA</v>
      </c>
    </row>
    <row r="43" spans="1:442" ht="15.6" hidden="1" thickTop="1" thickBot="1" x14ac:dyDescent="0.35">
      <c r="A43" s="26">
        <v>40</v>
      </c>
      <c r="B43" s="27">
        <v>937</v>
      </c>
      <c r="C43" s="28" t="s">
        <v>195</v>
      </c>
      <c r="D43" s="29" t="s">
        <v>68</v>
      </c>
      <c r="E43" s="30" t="s">
        <v>69</v>
      </c>
      <c r="F43" s="5"/>
      <c r="G43" s="6"/>
      <c r="H43" s="4"/>
      <c r="I43" s="8"/>
      <c r="J43" s="5" t="str">
        <f t="shared" si="0"/>
        <v>NO APLICA</v>
      </c>
      <c r="K43" s="5"/>
      <c r="L43" s="6"/>
      <c r="M43" s="6"/>
      <c r="N43" s="8"/>
      <c r="O43" s="5" t="str">
        <f t="shared" si="1"/>
        <v>NO APLICA</v>
      </c>
      <c r="P43" s="6"/>
      <c r="Q43" s="6"/>
      <c r="R43" s="4"/>
      <c r="S43" s="8"/>
      <c r="T43" s="5" t="str">
        <f t="shared" si="122"/>
        <v>NO APLICA</v>
      </c>
      <c r="U43" s="5"/>
      <c r="V43" s="2" t="s">
        <v>196</v>
      </c>
      <c r="W43" s="4">
        <v>44801</v>
      </c>
      <c r="X43" s="4">
        <f t="shared" si="2"/>
        <v>46627</v>
      </c>
      <c r="Y43" s="8">
        <f t="shared" ca="1" si="3"/>
        <v>482</v>
      </c>
      <c r="Z43" s="5" t="str">
        <f t="shared" ca="1" si="4"/>
        <v>VIGENTE</v>
      </c>
      <c r="AA43" s="5"/>
      <c r="AB43" s="22" t="s">
        <v>197</v>
      </c>
      <c r="AC43" s="4">
        <v>44391</v>
      </c>
      <c r="AD43" s="4">
        <f t="shared" si="207"/>
        <v>46217</v>
      </c>
      <c r="AE43" s="8">
        <f t="shared" ca="1" si="208"/>
        <v>72</v>
      </c>
      <c r="AF43" s="5" t="str">
        <f t="shared" ca="1" si="7"/>
        <v>POR VENCER</v>
      </c>
      <c r="AG43" s="3"/>
      <c r="AH43" s="4">
        <v>45617</v>
      </c>
      <c r="AI43" s="4">
        <f>DATE(YEAR(AH43)+2,MONTH(AH43),DAY(AH43)-1)</f>
        <v>46346</v>
      </c>
      <c r="AJ43" s="8">
        <f t="shared" ca="1" si="8"/>
        <v>201</v>
      </c>
      <c r="AK43" s="5" t="str">
        <f ca="1">IF(AJ43&gt;=91,"VIGENTE",IF(AJ43&gt;=1,"POR VENCER",Z61SI(AJ43&lt;=-1,"VENCIDA",IF(AH43=0,"NO APLICA"))))</f>
        <v>VIGENTE</v>
      </c>
      <c r="AL43" s="3"/>
      <c r="AM43" s="4">
        <v>45926</v>
      </c>
      <c r="AN43" s="4">
        <f t="shared" si="213"/>
        <v>46656</v>
      </c>
      <c r="AO43" s="8">
        <f t="shared" ca="1" si="10"/>
        <v>511</v>
      </c>
      <c r="AP43" s="5" t="str">
        <f t="shared" ca="1" si="11"/>
        <v>VIGENTE</v>
      </c>
      <c r="AQ43" s="3"/>
      <c r="AR43" s="4">
        <v>45703</v>
      </c>
      <c r="AS43" s="4">
        <f>DATE(YEAR(AR43)+2,MONTH(AR43),DAY(AR43)-1)</f>
        <v>46432</v>
      </c>
      <c r="AT43" s="8">
        <f t="shared" ca="1" si="12"/>
        <v>287</v>
      </c>
      <c r="AU43" s="5" t="str">
        <f t="shared" ca="1" si="13"/>
        <v>VIGENTE</v>
      </c>
      <c r="AV43" s="4"/>
      <c r="AW43" s="4">
        <v>45745</v>
      </c>
      <c r="AX43" s="4">
        <f>DATE(YEAR(AW43)+2,MONTH(AW43),DAY(AW43)-1)</f>
        <v>46474</v>
      </c>
      <c r="AY43" s="8">
        <f t="shared" ca="1" si="15"/>
        <v>329</v>
      </c>
      <c r="AZ43" s="5" t="str">
        <f t="shared" ca="1" si="16"/>
        <v>VIGENTE</v>
      </c>
      <c r="BA43" s="3"/>
      <c r="BB43" s="4">
        <v>45717</v>
      </c>
      <c r="BC43" s="4">
        <f>DATE(YEAR(BB43)+2,MONTH(BB43),DAY(BB43)-1)</f>
        <v>46446</v>
      </c>
      <c r="BD43" s="8">
        <f t="shared" ca="1" si="17"/>
        <v>301</v>
      </c>
      <c r="BE43" s="5" t="str">
        <f t="shared" ca="1" si="18"/>
        <v>VIGENTE</v>
      </c>
      <c r="BF43" s="3"/>
      <c r="BG43" s="4">
        <v>45698</v>
      </c>
      <c r="BH43" s="4">
        <f>DATE(YEAR(BG43)+2,MONTH(BG43),DAY(BG43)-1)</f>
        <v>46427</v>
      </c>
      <c r="BI43" s="8">
        <f t="shared" ca="1" si="19"/>
        <v>282</v>
      </c>
      <c r="BJ43" s="5" t="str">
        <f t="shared" ca="1" si="20"/>
        <v>VIGENTE</v>
      </c>
      <c r="BK43" s="3"/>
      <c r="BL43" s="4">
        <v>46035</v>
      </c>
      <c r="BM43" s="4">
        <f>DATE(YEAR(BL43)+2,MONTH(BL43),DAY(BL43))</f>
        <v>46765</v>
      </c>
      <c r="BN43" s="8">
        <f t="shared" ca="1" si="21"/>
        <v>620</v>
      </c>
      <c r="BO43" s="5" t="str">
        <f t="shared" ca="1" si="22"/>
        <v>VIGENTE</v>
      </c>
      <c r="BP43" s="3"/>
      <c r="BQ43" s="39">
        <v>46120</v>
      </c>
      <c r="BR43" s="4">
        <f>DATE(YEAR(BQ43)+2,MONTH(BQ43),DAY(BQ43)-1)</f>
        <v>46850</v>
      </c>
      <c r="BS43" s="8">
        <f t="shared" ca="1" si="23"/>
        <v>705</v>
      </c>
      <c r="BT43" s="5" t="str">
        <f t="shared" ca="1" si="24"/>
        <v>VIGENTE</v>
      </c>
      <c r="BU43" s="4"/>
      <c r="BV43" s="4">
        <v>45736</v>
      </c>
      <c r="BW43" s="4">
        <f t="shared" si="211"/>
        <v>46465</v>
      </c>
      <c r="BX43" s="8">
        <f t="shared" ca="1" si="25"/>
        <v>320</v>
      </c>
      <c r="BY43" s="5" t="str">
        <f t="shared" ca="1" si="26"/>
        <v>VIGENTE</v>
      </c>
      <c r="BZ43" s="3"/>
      <c r="CA43" s="4">
        <v>45954</v>
      </c>
      <c r="CB43" s="4">
        <f>DATE(YEAR(CA43)+2,MONTH(CA43),DAY(CA43))</f>
        <v>46684</v>
      </c>
      <c r="CC43" s="8">
        <f t="shared" ca="1" si="27"/>
        <v>539</v>
      </c>
      <c r="CD43" s="5" t="str">
        <f t="shared" ca="1" si="28"/>
        <v>VIGENTE</v>
      </c>
      <c r="CE43" s="6"/>
      <c r="CF43" s="4">
        <v>45241</v>
      </c>
      <c r="CG43" s="4">
        <f t="shared" si="29"/>
        <v>46702</v>
      </c>
      <c r="CH43" s="8">
        <f t="shared" ca="1" si="30"/>
        <v>557</v>
      </c>
      <c r="CI43" s="5" t="str">
        <f t="shared" ca="1" si="31"/>
        <v>VIGENTE</v>
      </c>
      <c r="CJ43" s="4"/>
      <c r="CK43" s="4">
        <v>45757</v>
      </c>
      <c r="CL43" s="4">
        <f>DATE(YEAR(CK43)+2,MONTH(CK43),DAY(CK43)-1)</f>
        <v>46486</v>
      </c>
      <c r="CM43" s="8">
        <f t="shared" ca="1" si="32"/>
        <v>341</v>
      </c>
      <c r="CN43" s="5" t="str">
        <f t="shared" ca="1" si="33"/>
        <v>VIGENTE</v>
      </c>
      <c r="CO43" s="4"/>
      <c r="CP43" s="39">
        <v>45726</v>
      </c>
      <c r="CQ43" s="4">
        <f t="shared" si="212"/>
        <v>46455</v>
      </c>
      <c r="CR43" s="8">
        <f t="shared" ca="1" si="34"/>
        <v>310</v>
      </c>
      <c r="CS43" s="5" t="str">
        <f t="shared" ca="1" si="35"/>
        <v>VIGENTE</v>
      </c>
      <c r="CT43" s="3"/>
      <c r="CU43" s="4">
        <v>45645</v>
      </c>
      <c r="CV43" s="4">
        <f>DATE(YEAR(CU43)+2,MONTH(CU43),DAY(CU43)-1)</f>
        <v>46374</v>
      </c>
      <c r="CW43" s="8">
        <f t="shared" ca="1" si="36"/>
        <v>229</v>
      </c>
      <c r="CX43" s="5" t="str">
        <f t="shared" ca="1" si="37"/>
        <v>VIGENTE</v>
      </c>
      <c r="CY43" s="3"/>
      <c r="CZ43" s="4">
        <v>45665</v>
      </c>
      <c r="DA43" s="4">
        <f>DATE(YEAR(CZ43)+2,MONTH(CZ43),DAY(CZ43)-1)</f>
        <v>46394</v>
      </c>
      <c r="DB43" s="8">
        <f t="shared" ca="1" si="38"/>
        <v>249</v>
      </c>
      <c r="DC43" s="5" t="str">
        <f t="shared" ca="1" si="39"/>
        <v>VIGENTE</v>
      </c>
      <c r="DD43" s="3"/>
      <c r="DE43" s="39">
        <v>45689</v>
      </c>
      <c r="DF43" s="4">
        <f>DATE(YEAR(DE43)+2,MONTH(DE43),DAY(DE43)-1)</f>
        <v>46418</v>
      </c>
      <c r="DG43" s="8">
        <f t="shared" ca="1" si="40"/>
        <v>273</v>
      </c>
      <c r="DH43" s="5" t="str">
        <f t="shared" ca="1" si="41"/>
        <v>VIGENTE</v>
      </c>
      <c r="DI43" s="4"/>
      <c r="DJ43" s="39">
        <v>45696</v>
      </c>
      <c r="DK43" s="4">
        <f>DATE(YEAR(DJ43)+2,MONTH(DJ43),DAY(DJ43)-1)</f>
        <v>46425</v>
      </c>
      <c r="DL43" s="8">
        <f t="shared" ca="1" si="43"/>
        <v>280</v>
      </c>
      <c r="DM43" s="5" t="str">
        <f t="shared" ca="1" si="44"/>
        <v>VIGENTE</v>
      </c>
      <c r="DN43" s="3"/>
      <c r="DO43" s="4">
        <v>46007</v>
      </c>
      <c r="DP43" s="4">
        <f t="shared" si="218"/>
        <v>46737</v>
      </c>
      <c r="DQ43" s="8">
        <f t="shared" ca="1" si="46"/>
        <v>592</v>
      </c>
      <c r="DR43" s="5" t="str">
        <f t="shared" ca="1" si="47"/>
        <v>VIGENTE</v>
      </c>
      <c r="DS43" s="3"/>
      <c r="DT43" s="4">
        <v>45728</v>
      </c>
      <c r="DU43" s="4">
        <f>DATE(YEAR(DT43)+2,MONTH(DT43),DAY(DT43)-1)</f>
        <v>46457</v>
      </c>
      <c r="DV43" s="8">
        <f t="shared" ca="1" si="48"/>
        <v>312</v>
      </c>
      <c r="DW43" s="5" t="str">
        <f t="shared" ca="1" si="49"/>
        <v>VIGENTE</v>
      </c>
      <c r="DX43" s="3"/>
      <c r="DY43" s="4">
        <v>45709</v>
      </c>
      <c r="DZ43" s="4">
        <f>DATE(YEAR(DY43)+2,MONTH(DY43),DAY(DY43)-1)</f>
        <v>46438</v>
      </c>
      <c r="EA43" s="8">
        <f t="shared" ca="1" si="50"/>
        <v>293</v>
      </c>
      <c r="EB43" s="5" t="str">
        <f t="shared" ca="1" si="51"/>
        <v>VIGENTE</v>
      </c>
      <c r="EC43" s="3"/>
      <c r="ED43" s="39">
        <v>45674</v>
      </c>
      <c r="EE43" s="4">
        <f>DATE(YEAR(ED43)+2,MONTH(ED43),DAY(ED43)-1)</f>
        <v>46403</v>
      </c>
      <c r="EF43" s="8">
        <f t="shared" ca="1" si="52"/>
        <v>258</v>
      </c>
      <c r="EG43" s="5" t="str">
        <f t="shared" ca="1" si="53"/>
        <v>VIGENTE</v>
      </c>
      <c r="EH43" s="3"/>
      <c r="EI43" s="3">
        <v>46085</v>
      </c>
      <c r="EJ43" s="4">
        <f t="shared" si="131"/>
        <v>46450</v>
      </c>
      <c r="EK43" s="8">
        <f t="shared" ca="1" si="54"/>
        <v>305</v>
      </c>
      <c r="EL43" s="5" t="str">
        <f t="shared" ca="1" si="55"/>
        <v>VIGENTE</v>
      </c>
      <c r="EM43" s="3"/>
      <c r="EN43" s="4">
        <v>46135</v>
      </c>
      <c r="EO43" s="4">
        <f>DATE(YEAR(EN43)+2,MONTH(EN43),DAY(EN43)-1)</f>
        <v>46865</v>
      </c>
      <c r="EP43" s="8">
        <f t="shared" ca="1" si="56"/>
        <v>720</v>
      </c>
      <c r="EQ43" s="5" t="str">
        <f t="shared" ca="1" si="57"/>
        <v>VIGENTE</v>
      </c>
      <c r="ER43" s="4"/>
      <c r="ES43" s="39">
        <v>45755</v>
      </c>
      <c r="ET43" s="4">
        <f>DATE(YEAR(ES43)+2,MONTH(ES43),DAY(ES43)-1)</f>
        <v>46484</v>
      </c>
      <c r="EU43" s="8">
        <f t="shared" ca="1" si="58"/>
        <v>339</v>
      </c>
      <c r="EV43" s="5" t="str">
        <f t="shared" ca="1" si="59"/>
        <v>VIGENTE</v>
      </c>
      <c r="EW43" s="3"/>
      <c r="EX43" s="4">
        <v>45953</v>
      </c>
      <c r="EY43" s="4">
        <f t="shared" si="214"/>
        <v>46683</v>
      </c>
      <c r="EZ43" s="8">
        <f t="shared" ca="1" si="60"/>
        <v>538</v>
      </c>
      <c r="FA43" s="5" t="str">
        <f t="shared" ca="1" si="61"/>
        <v>VIGENTE</v>
      </c>
      <c r="FB43" s="3"/>
      <c r="FC43" s="4">
        <v>45951</v>
      </c>
      <c r="FD43" s="4">
        <f t="shared" si="215"/>
        <v>46681</v>
      </c>
      <c r="FE43" s="8">
        <f t="shared" ca="1" si="62"/>
        <v>536</v>
      </c>
      <c r="FF43" s="5" t="str">
        <f t="shared" ca="1" si="63"/>
        <v>VIGENTE</v>
      </c>
      <c r="FG43" s="3"/>
      <c r="FH43" s="4">
        <v>45919</v>
      </c>
      <c r="FI43" s="4">
        <f t="shared" si="216"/>
        <v>46649</v>
      </c>
      <c r="FJ43" s="8">
        <f t="shared" ca="1" si="64"/>
        <v>504</v>
      </c>
      <c r="FK43" s="5" t="str">
        <f t="shared" ca="1" si="65"/>
        <v>VIGENTE</v>
      </c>
      <c r="FL43" s="3"/>
      <c r="FM43" s="39">
        <v>45670</v>
      </c>
      <c r="FN43" s="4">
        <f>DATE(YEAR(FM43)+2,MONTH(FM43),DAY(FM43)-1)</f>
        <v>46399</v>
      </c>
      <c r="FO43" s="8">
        <f t="shared" ca="1" si="67"/>
        <v>254</v>
      </c>
      <c r="FP43" s="5" t="str">
        <f t="shared" ca="1" si="68"/>
        <v>VIGENTE</v>
      </c>
      <c r="FQ43" s="3"/>
      <c r="FR43" s="39">
        <v>46122</v>
      </c>
      <c r="FS43" s="4">
        <f>DATE(YEAR(FR43)+2,MONTH(FR43),DAY(FR43)-1)</f>
        <v>46852</v>
      </c>
      <c r="FT43" s="8">
        <f t="shared" ca="1" si="69"/>
        <v>707</v>
      </c>
      <c r="FU43" s="5" t="str">
        <f t="shared" ca="1" si="70"/>
        <v>VIGENTE</v>
      </c>
      <c r="FV43" s="3"/>
      <c r="FW43" s="4">
        <v>45581</v>
      </c>
      <c r="FX43" s="4">
        <f>DATE(YEAR(FW43)+2,MONTH(FW43),DAY(FW43)-1)</f>
        <v>46310</v>
      </c>
      <c r="FY43" s="8">
        <f t="shared" ca="1" si="71"/>
        <v>165</v>
      </c>
      <c r="FZ43" s="5" t="str">
        <f t="shared" ca="1" si="72"/>
        <v>VIGENTE</v>
      </c>
      <c r="GA43" s="4"/>
      <c r="GB43" s="4">
        <v>45741</v>
      </c>
      <c r="GC43" s="4">
        <f>DATE(YEAR(GB43)+2,MONTH(GB43),DAY(GB43)-1)</f>
        <v>46470</v>
      </c>
      <c r="GD43" s="8">
        <f t="shared" ca="1" si="73"/>
        <v>325</v>
      </c>
      <c r="GE43" s="5" t="str">
        <f t="shared" ca="1" si="74"/>
        <v>VIGENTE</v>
      </c>
      <c r="GF43" s="3"/>
      <c r="GG43" s="4">
        <v>46092</v>
      </c>
      <c r="GH43" s="4">
        <f>DATE(YEAR(GG43)+2,MONTH(GG43),DAY(GG43))</f>
        <v>46823</v>
      </c>
      <c r="GI43" s="8">
        <f t="shared" ca="1" si="75"/>
        <v>678</v>
      </c>
      <c r="GJ43" s="5" t="str">
        <f t="shared" ca="1" si="76"/>
        <v>VIGENTE</v>
      </c>
      <c r="GK43" s="3"/>
      <c r="GL43" s="4">
        <v>45923</v>
      </c>
      <c r="GM43" s="4">
        <f t="shared" si="217"/>
        <v>46653</v>
      </c>
      <c r="GN43" s="8">
        <f t="shared" ca="1" si="77"/>
        <v>508</v>
      </c>
      <c r="GO43" s="5" t="str">
        <f t="shared" ca="1" si="78"/>
        <v>VIGENTE</v>
      </c>
      <c r="GP43" s="4"/>
      <c r="GQ43" s="4">
        <v>45017</v>
      </c>
      <c r="GR43" s="4">
        <f t="shared" si="79"/>
        <v>46844</v>
      </c>
      <c r="GS43" s="8">
        <f t="shared" ca="1" si="176"/>
        <v>699</v>
      </c>
      <c r="GT43" s="5" t="str">
        <f t="shared" ca="1" si="81"/>
        <v>VIGENTE</v>
      </c>
      <c r="GU43" s="3"/>
      <c r="GV43" s="4">
        <v>45252</v>
      </c>
      <c r="GW43" s="4">
        <f t="shared" si="82"/>
        <v>47079</v>
      </c>
      <c r="GX43" s="8">
        <f t="shared" ca="1" si="83"/>
        <v>934</v>
      </c>
      <c r="GY43" s="5" t="str">
        <f t="shared" ca="1" si="84"/>
        <v>VIGENTE</v>
      </c>
      <c r="GZ43" s="3"/>
      <c r="HA43" s="4">
        <v>44980</v>
      </c>
      <c r="HB43" s="4">
        <f t="shared" si="85"/>
        <v>46806</v>
      </c>
      <c r="HC43" s="8">
        <f t="shared" ca="1" si="86"/>
        <v>661</v>
      </c>
      <c r="HD43" s="5" t="str">
        <f t="shared" ca="1" si="87"/>
        <v>VIGENTE</v>
      </c>
      <c r="HE43" s="6"/>
      <c r="HF43" s="4">
        <v>44956</v>
      </c>
      <c r="HG43" s="4">
        <f t="shared" si="209"/>
        <v>46782</v>
      </c>
      <c r="HH43" s="8">
        <f t="shared" ca="1" si="210"/>
        <v>637</v>
      </c>
      <c r="HI43" s="5" t="str">
        <f t="shared" ca="1" si="187"/>
        <v>VIGENTE</v>
      </c>
      <c r="HJ43" s="3"/>
      <c r="HK43" s="4">
        <v>45414</v>
      </c>
      <c r="HL43" s="4">
        <f>DATE(YEAR(HK43)+5,MONTH(HK43),DAY(HK43))</f>
        <v>47240</v>
      </c>
      <c r="HM43" s="8">
        <f ca="1">HL43-TODAY()</f>
        <v>1095</v>
      </c>
      <c r="HN43" s="5" t="str">
        <f t="shared" ca="1" si="202"/>
        <v>VIGENTE</v>
      </c>
      <c r="HO43" s="2"/>
      <c r="HP43" s="2"/>
      <c r="HQ43" s="4"/>
      <c r="HR43" s="2"/>
      <c r="HS43" s="5" t="str">
        <f t="shared" si="92"/>
        <v>NO APLICA</v>
      </c>
      <c r="HT43" s="3"/>
      <c r="HU43" s="4">
        <v>45469</v>
      </c>
      <c r="HV43" s="4">
        <f>DATE(YEAR(HU43)+5,MONTH(HU43),DAY(HU43))</f>
        <v>47295</v>
      </c>
      <c r="HW43" s="8">
        <f ca="1">HV43-TODAY()</f>
        <v>1150</v>
      </c>
      <c r="HX43" s="5" t="str">
        <f t="shared" ca="1" si="93"/>
        <v>VIGENTE</v>
      </c>
      <c r="HY43" s="3"/>
      <c r="HZ43" s="4">
        <v>45205</v>
      </c>
      <c r="IA43" s="4">
        <f>DATE(YEAR(HZ43)+5,MONTH(HZ43),DAY(HZ43))</f>
        <v>47032</v>
      </c>
      <c r="IB43" s="8">
        <f ca="1">IA43-TODAY()</f>
        <v>887</v>
      </c>
      <c r="IC43" s="5" t="str">
        <f t="shared" ca="1" si="94"/>
        <v>VIGENTE</v>
      </c>
      <c r="ID43" s="3"/>
      <c r="IE43" s="4">
        <v>45444</v>
      </c>
      <c r="IF43" s="4">
        <f>DATE(YEAR(IE43)+5,MONTH(IE43),DAY(IE43))</f>
        <v>47270</v>
      </c>
      <c r="IG43" s="8">
        <f ca="1">IF43-TODAY()</f>
        <v>1125</v>
      </c>
      <c r="IH43" s="5" t="str">
        <f t="shared" ca="1" si="95"/>
        <v>VIGENTE</v>
      </c>
      <c r="II43" s="4"/>
      <c r="IJ43" s="4">
        <v>45262</v>
      </c>
      <c r="IK43" s="4">
        <f>DATE(YEAR(IJ43)+5,MONTH(IJ43),DAY(IJ43))</f>
        <v>47089</v>
      </c>
      <c r="IL43" s="8">
        <f ca="1">IK43-TODAY()</f>
        <v>944</v>
      </c>
      <c r="IM43" s="5" t="str">
        <f t="shared" ca="1" si="96"/>
        <v>VIGENTE</v>
      </c>
      <c r="IN43" s="3"/>
      <c r="IO43" s="4">
        <v>45259</v>
      </c>
      <c r="IP43" s="4">
        <f>DATE(YEAR(IO43)+5,MONTH(IO43),DAY(IO43))</f>
        <v>47086</v>
      </c>
      <c r="IQ43" s="8">
        <f ca="1">IP43-TODAY()</f>
        <v>941</v>
      </c>
      <c r="IR43" s="5" t="str">
        <f t="shared" ca="1" si="97"/>
        <v>VIGENTE</v>
      </c>
      <c r="IS43" s="3"/>
      <c r="IT43" s="4">
        <v>45435</v>
      </c>
      <c r="IU43" s="4">
        <f>DATE(YEAR(IT43)+5,MONTH(IT43),DAY(IT43))</f>
        <v>47261</v>
      </c>
      <c r="IV43" s="8">
        <f ca="1">IU43-TODAY()</f>
        <v>1116</v>
      </c>
      <c r="IW43" s="5" t="str">
        <f t="shared" ca="1" si="98"/>
        <v>VIGENTE</v>
      </c>
      <c r="IX43" s="3"/>
      <c r="IY43" s="4">
        <v>45206</v>
      </c>
      <c r="IZ43" s="4">
        <f>DATE(YEAR(IY43)+5,MONTH(IY43),DAY(IY43))</f>
        <v>47033</v>
      </c>
      <c r="JA43" s="8">
        <f ca="1">IZ43-TODAY()</f>
        <v>888</v>
      </c>
      <c r="JB43" s="5" t="str">
        <f t="shared" ca="1" si="99"/>
        <v>VIGENTE</v>
      </c>
      <c r="JC43" s="3" t="s">
        <v>780</v>
      </c>
      <c r="JD43" s="3"/>
      <c r="JE43" s="4"/>
      <c r="JF43" s="8"/>
      <c r="JG43" s="5"/>
      <c r="JH43" s="3" t="s">
        <v>780</v>
      </c>
      <c r="JI43" s="6"/>
      <c r="JJ43" s="6"/>
      <c r="JK43" s="6"/>
      <c r="JL43" s="5"/>
      <c r="JM43" s="6" t="s">
        <v>780</v>
      </c>
      <c r="JN43" s="6"/>
      <c r="JO43" s="6"/>
      <c r="JP43" s="6"/>
      <c r="JQ43" s="5"/>
      <c r="JR43" s="6" t="s">
        <v>780</v>
      </c>
      <c r="JS43" s="6"/>
      <c r="JT43" s="6"/>
      <c r="JU43" s="6"/>
      <c r="JV43" s="5"/>
      <c r="JW43" s="6" t="s">
        <v>780</v>
      </c>
      <c r="JX43" s="5"/>
      <c r="JY43" s="5"/>
      <c r="JZ43" s="5"/>
      <c r="KA43" s="5"/>
      <c r="KB43" s="5"/>
      <c r="KC43" s="2"/>
      <c r="KD43" s="4"/>
      <c r="KE43" s="8"/>
      <c r="KF43" s="5" t="str">
        <f t="shared" si="135"/>
        <v>NO APLICA</v>
      </c>
      <c r="KG43" s="5"/>
      <c r="KH43" s="2"/>
      <c r="KI43" s="4"/>
      <c r="KJ43" s="8"/>
      <c r="KK43" s="5" t="str">
        <f t="shared" si="136"/>
        <v>NO APLICA</v>
      </c>
      <c r="KL43" s="5"/>
      <c r="KM43" s="3">
        <v>45364</v>
      </c>
      <c r="KN43" s="4">
        <f>DATE(YEAR(KM43)+5,MONTH(KM43),DAY(KM43))</f>
        <v>47190</v>
      </c>
      <c r="KO43" s="8">
        <f ca="1">KN43-TODAY()</f>
        <v>1045</v>
      </c>
      <c r="KP43" s="5" t="str">
        <f t="shared" ca="1" si="100"/>
        <v>VIGENTE</v>
      </c>
      <c r="KQ43" s="5"/>
      <c r="KR43" s="3"/>
      <c r="KS43" s="4"/>
      <c r="KT43" s="8"/>
      <c r="KU43" s="5" t="str">
        <f t="shared" si="137"/>
        <v>NO APLICA</v>
      </c>
      <c r="KV43" s="4"/>
      <c r="KW43" s="4">
        <v>44658</v>
      </c>
      <c r="KX43" s="4">
        <f>DATE(YEAR(KW43)+5,MONTH(KW43),DAY(KW43))</f>
        <v>46484</v>
      </c>
      <c r="KY43" s="8">
        <f ca="1">KX43-TODAY()</f>
        <v>339</v>
      </c>
      <c r="KZ43" s="5" t="str">
        <f t="shared" ca="1" si="151"/>
        <v>VIGENTE</v>
      </c>
      <c r="LA43" s="5"/>
      <c r="LB43" s="4">
        <v>44545</v>
      </c>
      <c r="LC43" s="4">
        <f>DATE(YEAR(LB43)+5,MONTH(LB43),DAY(LB43))</f>
        <v>46371</v>
      </c>
      <c r="LD43" s="8">
        <f ca="1">LC43-TODAY()</f>
        <v>226</v>
      </c>
      <c r="LE43" s="5" t="str">
        <f t="shared" ca="1" si="138"/>
        <v>VIGENTE</v>
      </c>
      <c r="LF43" s="4"/>
      <c r="LG43" s="4"/>
      <c r="LH43" s="4"/>
      <c r="LI43" s="8"/>
      <c r="LJ43" s="5" t="str">
        <f t="shared" si="101"/>
        <v>NO APLICA</v>
      </c>
      <c r="LK43" s="5"/>
      <c r="LL43" s="21"/>
      <c r="LM43" s="4"/>
      <c r="LN43" s="8"/>
      <c r="LO43" s="5" t="str">
        <f t="shared" si="152"/>
        <v>NO APLICA</v>
      </c>
      <c r="LP43" s="3"/>
      <c r="LQ43" s="4">
        <v>44376</v>
      </c>
      <c r="LR43" s="4">
        <f>DATE(YEAR(LQ43)+5,MONTH(LQ43),DAY(LQ43))</f>
        <v>46202</v>
      </c>
      <c r="LS43" s="8">
        <f ca="1">LR43-TODAY()</f>
        <v>57</v>
      </c>
      <c r="LT43" s="5" t="str">
        <f t="shared" ca="1" si="139"/>
        <v>POR VENCER</v>
      </c>
      <c r="LU43" s="4"/>
      <c r="LV43" s="4">
        <v>44986</v>
      </c>
      <c r="LW43" s="4">
        <f>DATE(YEAR(LV43)+5,MONTH(LV43),DAY(LV43))</f>
        <v>46813</v>
      </c>
      <c r="LX43" s="8">
        <f ca="1">LW43-TODAY()</f>
        <v>668</v>
      </c>
      <c r="LY43" s="5" t="str">
        <f t="shared" ca="1" si="140"/>
        <v>VIGENTE</v>
      </c>
      <c r="LZ43" s="4"/>
      <c r="MA43" s="4">
        <v>44988</v>
      </c>
      <c r="MB43" s="4">
        <f>DATE(YEAR(MA43)+5,MONTH(MA43),DAY(MA43))</f>
        <v>46815</v>
      </c>
      <c r="MC43" s="8">
        <f ca="1">MB43-TODAY()</f>
        <v>670</v>
      </c>
      <c r="MD43" s="5" t="str">
        <f t="shared" ca="1" si="141"/>
        <v>VIGENTE</v>
      </c>
      <c r="ME43" s="4"/>
      <c r="MF43" s="4">
        <v>45010</v>
      </c>
      <c r="MG43" s="4">
        <f>DATE(YEAR(MF43)+5,MONTH(MF43),DAY(MF43))</f>
        <v>46837</v>
      </c>
      <c r="MH43" s="8">
        <f ca="1">MG43-TODAY()</f>
        <v>692</v>
      </c>
      <c r="MI43" s="5" t="str">
        <f t="shared" ca="1" si="102"/>
        <v>VIGENTE</v>
      </c>
      <c r="MJ43" s="2"/>
      <c r="MK43" s="2"/>
      <c r="ML43" s="4"/>
      <c r="MM43" s="8"/>
      <c r="MN43" s="5" t="str">
        <f t="shared" si="103"/>
        <v>NO APLICA</v>
      </c>
      <c r="MO43" s="5"/>
      <c r="MP43" s="2"/>
      <c r="MQ43" s="4"/>
      <c r="MR43" s="8"/>
      <c r="MS43" s="5" t="str">
        <f t="shared" si="104"/>
        <v>NO APLICA</v>
      </c>
      <c r="MT43" s="5"/>
      <c r="MU43" s="2"/>
      <c r="MV43" s="4"/>
      <c r="MW43" s="2"/>
      <c r="MX43" s="5" t="str">
        <f t="shared" si="105"/>
        <v>NO APLICA</v>
      </c>
      <c r="MY43" s="2"/>
      <c r="MZ43" s="6"/>
      <c r="NA43" s="4"/>
      <c r="NB43" s="8"/>
      <c r="NC43" s="5" t="str">
        <f t="shared" si="106"/>
        <v>NO APLICA</v>
      </c>
      <c r="ND43" s="2"/>
      <c r="NE43" s="6"/>
      <c r="NF43" s="4"/>
      <c r="NG43" s="8"/>
      <c r="NH43" s="5" t="str">
        <f t="shared" si="107"/>
        <v>NO APLICA</v>
      </c>
      <c r="NI43" s="2"/>
      <c r="NJ43" s="6"/>
      <c r="NK43" s="4"/>
      <c r="NL43" s="8"/>
      <c r="NM43" s="5" t="str">
        <f t="shared" si="108"/>
        <v>NO APLICA</v>
      </c>
      <c r="NN43" s="2"/>
      <c r="NO43" s="2"/>
      <c r="NP43" s="4"/>
      <c r="NQ43" s="8"/>
      <c r="NR43" s="5" t="str">
        <f t="shared" si="109"/>
        <v>NO APLICA</v>
      </c>
      <c r="NS43" s="2"/>
      <c r="NT43" s="2"/>
      <c r="NU43" s="2"/>
      <c r="NV43" s="2"/>
      <c r="NW43" s="5" t="str">
        <f t="shared" si="110"/>
        <v>NO APLICA</v>
      </c>
      <c r="NX43" s="6"/>
      <c r="NY43" s="6"/>
      <c r="NZ43" s="4"/>
      <c r="OA43" s="8"/>
      <c r="OB43" s="5" t="str">
        <f t="shared" si="111"/>
        <v>NO APLICA</v>
      </c>
      <c r="OC43" s="6"/>
      <c r="OD43" s="6"/>
      <c r="OE43" s="6"/>
      <c r="OF43" s="6"/>
      <c r="OG43" s="5" t="str">
        <f t="shared" si="112"/>
        <v>NO APLICA</v>
      </c>
      <c r="OH43" s="2"/>
      <c r="OI43" s="2"/>
      <c r="OJ43" s="4"/>
      <c r="OK43" s="8"/>
      <c r="OL43" s="5" t="str">
        <f t="shared" si="113"/>
        <v>NO APLICA</v>
      </c>
      <c r="OM43" s="6"/>
      <c r="ON43" s="6"/>
      <c r="OO43" s="6"/>
      <c r="OP43" s="6"/>
      <c r="OQ43" s="5" t="str">
        <f t="shared" si="114"/>
        <v>NO APLICA</v>
      </c>
      <c r="OR43" s="6"/>
      <c r="OS43" s="6"/>
      <c r="OT43" s="6"/>
      <c r="OU43" s="6"/>
      <c r="OV43" s="5" t="str">
        <f t="shared" si="115"/>
        <v>NO APLICA</v>
      </c>
      <c r="OW43" s="6"/>
      <c r="OX43" s="6"/>
      <c r="OY43" s="6"/>
      <c r="OZ43" s="6"/>
      <c r="PA43" s="5" t="str">
        <f t="shared" si="116"/>
        <v>NO APLICA</v>
      </c>
      <c r="PB43" s="6"/>
      <c r="PC43" s="6"/>
      <c r="PD43" s="6"/>
      <c r="PE43" s="6"/>
      <c r="PF43" s="5" t="str">
        <f t="shared" si="117"/>
        <v>NO APLICA</v>
      </c>
      <c r="PG43" s="6"/>
      <c r="PH43" s="6"/>
      <c r="PI43" s="6"/>
      <c r="PJ43" s="6"/>
      <c r="PK43" s="5" t="str">
        <f t="shared" si="118"/>
        <v>NO APLICA</v>
      </c>
      <c r="PL43" s="5"/>
      <c r="PM43" s="6"/>
      <c r="PN43" s="4"/>
      <c r="PO43" s="8"/>
      <c r="PP43" s="5" t="str">
        <f t="shared" si="119"/>
        <v>NO APLICA</v>
      </c>
      <c r="PQ43" s="6"/>
      <c r="PR43" s="6"/>
      <c r="PS43" s="6"/>
      <c r="PT43" s="6"/>
      <c r="PU43" s="5" t="str">
        <f t="shared" si="120"/>
        <v>NO APLICA</v>
      </c>
      <c r="PV43" s="5"/>
      <c r="PW43" s="6"/>
      <c r="PX43" s="6"/>
      <c r="PY43" s="6"/>
      <c r="PZ43" s="5" t="str">
        <f t="shared" si="121"/>
        <v>NO APLICA</v>
      </c>
    </row>
    <row r="44" spans="1:442" ht="15.6" hidden="1" thickTop="1" thickBot="1" x14ac:dyDescent="0.35">
      <c r="A44" s="26">
        <v>41</v>
      </c>
      <c r="B44" s="27">
        <v>376</v>
      </c>
      <c r="C44" s="28" t="s">
        <v>198</v>
      </c>
      <c r="D44" s="29" t="s">
        <v>113</v>
      </c>
      <c r="E44" s="30" t="s">
        <v>126</v>
      </c>
      <c r="F44" s="3"/>
      <c r="G44" s="4">
        <v>46058</v>
      </c>
      <c r="H44" s="4">
        <f>DATE(YEAR(G44)+2,MONTH(G44),DAY(G44))</f>
        <v>46788</v>
      </c>
      <c r="I44" s="8">
        <f ca="1">H44-TODAY()</f>
        <v>643</v>
      </c>
      <c r="J44" s="5" t="str">
        <f t="shared" ca="1" si="0"/>
        <v>VIGENTE</v>
      </c>
      <c r="K44" s="5"/>
      <c r="L44" s="6"/>
      <c r="M44" s="6"/>
      <c r="N44" s="8"/>
      <c r="O44" s="5" t="str">
        <f t="shared" si="1"/>
        <v>NO APLICA</v>
      </c>
      <c r="P44" s="6"/>
      <c r="Q44" s="6"/>
      <c r="R44" s="4"/>
      <c r="S44" s="8"/>
      <c r="T44" s="5" t="str">
        <f t="shared" si="122"/>
        <v>NO APLICA</v>
      </c>
      <c r="U44" s="5"/>
      <c r="V44" s="2" t="s">
        <v>199</v>
      </c>
      <c r="W44" s="4">
        <v>44790</v>
      </c>
      <c r="X44" s="4">
        <f t="shared" si="2"/>
        <v>46616</v>
      </c>
      <c r="Y44" s="8">
        <f t="shared" ca="1" si="3"/>
        <v>471</v>
      </c>
      <c r="Z44" s="5" t="str">
        <f t="shared" ca="1" si="4"/>
        <v>VIGENTE</v>
      </c>
      <c r="AA44" s="5"/>
      <c r="AB44" s="2"/>
      <c r="AC44" s="6"/>
      <c r="AD44" s="4"/>
      <c r="AE44" s="8"/>
      <c r="AF44" s="5" t="str">
        <f t="shared" si="7"/>
        <v>NO APLICA</v>
      </c>
      <c r="AG44" s="3"/>
      <c r="AH44" s="4">
        <v>45902</v>
      </c>
      <c r="AI44" s="4">
        <f>DATE(YEAR(AH44)+2,MONTH(AH44),DAY(AH44))</f>
        <v>46632</v>
      </c>
      <c r="AJ44" s="8">
        <f t="shared" ca="1" si="8"/>
        <v>487</v>
      </c>
      <c r="AK44" s="5" t="str">
        <f t="shared" ref="AK44:AK107" ca="1" si="219">IF(AJ44&gt;=91,"VIGENTE",IF(AJ44&gt;=1,"POR VENCER",IF(AJ44&lt;=-1,"VENCIDA",IF(AH44=0,"NO APLICA"))))</f>
        <v>VIGENTE</v>
      </c>
      <c r="AL44" s="3"/>
      <c r="AM44" s="4">
        <v>45903</v>
      </c>
      <c r="AN44" s="4">
        <f t="shared" si="213"/>
        <v>46633</v>
      </c>
      <c r="AO44" s="8">
        <f t="shared" ca="1" si="10"/>
        <v>488</v>
      </c>
      <c r="AP44" s="5" t="str">
        <f t="shared" ca="1" si="11"/>
        <v>VIGENTE</v>
      </c>
      <c r="AQ44" s="3"/>
      <c r="AR44" s="4">
        <v>45904</v>
      </c>
      <c r="AS44" s="4">
        <f t="shared" ref="AS44:AS51" si="220">DATE(YEAR(AR44)+2,MONTH(AR44),DAY(AR44))</f>
        <v>46634</v>
      </c>
      <c r="AT44" s="8">
        <f t="shared" ca="1" si="12"/>
        <v>489</v>
      </c>
      <c r="AU44" s="5" t="str">
        <f t="shared" ca="1" si="13"/>
        <v>VIGENTE</v>
      </c>
      <c r="AV44" s="3"/>
      <c r="AW44" s="4">
        <v>45990</v>
      </c>
      <c r="AX44" s="4">
        <f t="shared" ref="AX44:AX51" si="221">DATE(YEAR(AW44)+2,MONTH(AW44),DAY(AW44))</f>
        <v>46720</v>
      </c>
      <c r="AY44" s="8">
        <f t="shared" ca="1" si="15"/>
        <v>575</v>
      </c>
      <c r="AZ44" s="5" t="str">
        <f t="shared" ca="1" si="16"/>
        <v>VIGENTE</v>
      </c>
      <c r="BA44" s="3"/>
      <c r="BB44" s="4">
        <v>46041</v>
      </c>
      <c r="BC44" s="4">
        <f>DATE(YEAR(BB44)+2,MONTH(BB44),DAY(BB44))</f>
        <v>46771</v>
      </c>
      <c r="BD44" s="8">
        <f t="shared" ca="1" si="17"/>
        <v>626</v>
      </c>
      <c r="BE44" s="5" t="str">
        <f t="shared" ca="1" si="18"/>
        <v>VIGENTE</v>
      </c>
      <c r="BF44" s="3"/>
      <c r="BG44" s="4">
        <v>46067</v>
      </c>
      <c r="BH44" s="4">
        <f t="shared" ref="BH44:BH49" si="222">DATE(YEAR(BG44)+2,MONTH(BG44),DAY(BG44))</f>
        <v>46797</v>
      </c>
      <c r="BI44" s="8">
        <f t="shared" ca="1" si="19"/>
        <v>652</v>
      </c>
      <c r="BJ44" s="5" t="str">
        <f t="shared" ca="1" si="20"/>
        <v>VIGENTE</v>
      </c>
      <c r="BK44" s="3"/>
      <c r="BL44" s="4">
        <v>46017</v>
      </c>
      <c r="BM44" s="4">
        <f>DATE(YEAR(BL44)+2,MONTH(BL44),DAY(BL44))</f>
        <v>46747</v>
      </c>
      <c r="BN44" s="8">
        <f t="shared" ca="1" si="21"/>
        <v>602</v>
      </c>
      <c r="BO44" s="5" t="str">
        <f t="shared" ca="1" si="22"/>
        <v>VIGENTE</v>
      </c>
      <c r="BP44" s="3"/>
      <c r="BQ44" s="39">
        <v>46050</v>
      </c>
      <c r="BR44" s="4">
        <f>DATE(YEAR(BQ44)+2,MONTH(BQ44),DAY(BQ44))</f>
        <v>46780</v>
      </c>
      <c r="BS44" s="8">
        <f t="shared" ca="1" si="23"/>
        <v>635</v>
      </c>
      <c r="BT44" s="5" t="str">
        <f t="shared" ca="1" si="24"/>
        <v>VIGENTE</v>
      </c>
      <c r="BU44" s="3"/>
      <c r="BV44" s="4">
        <v>45950</v>
      </c>
      <c r="BW44" s="4">
        <f>DATE(YEAR(BV44)+2,MONTH(BV44),DAY(BV44))</f>
        <v>46680</v>
      </c>
      <c r="BX44" s="8">
        <f t="shared" ca="1" si="25"/>
        <v>535</v>
      </c>
      <c r="BY44" s="5" t="str">
        <f t="shared" ca="1" si="26"/>
        <v>VIGENTE</v>
      </c>
      <c r="BZ44" s="3"/>
      <c r="CA44" s="4">
        <v>45911</v>
      </c>
      <c r="CB44" s="4">
        <f>DATE(YEAR(CA44)+2,MONTH(CA44),DAY(CA44))</f>
        <v>46641</v>
      </c>
      <c r="CC44" s="8">
        <f t="shared" ca="1" si="27"/>
        <v>496</v>
      </c>
      <c r="CD44" s="5" t="str">
        <f t="shared" ca="1" si="28"/>
        <v>VIGENTE</v>
      </c>
      <c r="CE44" s="6"/>
      <c r="CF44" s="4">
        <v>45616</v>
      </c>
      <c r="CG44" s="4">
        <f t="shared" si="29"/>
        <v>47077</v>
      </c>
      <c r="CH44" s="8">
        <f t="shared" ca="1" si="30"/>
        <v>932</v>
      </c>
      <c r="CI44" s="5" t="str">
        <f t="shared" ca="1" si="31"/>
        <v>VIGENTE</v>
      </c>
      <c r="CJ44" s="4"/>
      <c r="CK44" s="4">
        <v>45504</v>
      </c>
      <c r="CL44" s="4">
        <f>DATE(YEAR(CK44)+2,MONTH(CK44),DAY(CK44)-1)</f>
        <v>46233</v>
      </c>
      <c r="CM44" s="8">
        <f t="shared" ca="1" si="32"/>
        <v>88</v>
      </c>
      <c r="CN44" s="5" t="str">
        <f t="shared" ca="1" si="33"/>
        <v>POR VENCER</v>
      </c>
      <c r="CO44" s="3"/>
      <c r="CP44" s="39">
        <v>45517</v>
      </c>
      <c r="CQ44" s="4">
        <f t="shared" si="212"/>
        <v>46246</v>
      </c>
      <c r="CR44" s="8">
        <f t="shared" ca="1" si="34"/>
        <v>101</v>
      </c>
      <c r="CS44" s="5" t="str">
        <f t="shared" ca="1" si="35"/>
        <v>VIGENTE</v>
      </c>
      <c r="CT44" s="3"/>
      <c r="CU44" s="4">
        <v>45905</v>
      </c>
      <c r="CV44" s="4">
        <f>DATE(YEAR(CU44)+2,MONTH(CU44),DAY(CU44))</f>
        <v>46635</v>
      </c>
      <c r="CW44" s="8">
        <f t="shared" ca="1" si="36"/>
        <v>490</v>
      </c>
      <c r="CX44" s="5" t="str">
        <f t="shared" ca="1" si="37"/>
        <v>VIGENTE</v>
      </c>
      <c r="CY44" s="3"/>
      <c r="CZ44" s="4">
        <v>45924</v>
      </c>
      <c r="DA44" s="4">
        <f>DATE(YEAR(CZ44)+2,MONTH(CZ44),DAY(CZ44))</f>
        <v>46654</v>
      </c>
      <c r="DB44" s="8">
        <f t="shared" ca="1" si="38"/>
        <v>509</v>
      </c>
      <c r="DC44" s="5" t="str">
        <f t="shared" ca="1" si="39"/>
        <v>VIGENTE</v>
      </c>
      <c r="DD44" s="3"/>
      <c r="DE44" s="39">
        <v>45535</v>
      </c>
      <c r="DF44" s="4">
        <f>DATE(YEAR(DE44)+2,MONTH(DE44),DAY(DE44)-1)</f>
        <v>46264</v>
      </c>
      <c r="DG44" s="8">
        <f t="shared" ca="1" si="40"/>
        <v>119</v>
      </c>
      <c r="DH44" s="5" t="str">
        <f t="shared" ca="1" si="41"/>
        <v>VIGENTE</v>
      </c>
      <c r="DI44" s="3"/>
      <c r="DJ44" s="39">
        <v>45899</v>
      </c>
      <c r="DK44" s="4">
        <f>DATE(YEAR(DJ44)+2,MONTH(DJ44),DAY(DJ44))</f>
        <v>46629</v>
      </c>
      <c r="DL44" s="8">
        <f t="shared" ca="1" si="43"/>
        <v>484</v>
      </c>
      <c r="DM44" s="5" t="str">
        <f t="shared" ca="1" si="44"/>
        <v>VIGENTE</v>
      </c>
      <c r="DN44" s="3"/>
      <c r="DO44" s="4">
        <v>45982</v>
      </c>
      <c r="DP44" s="4">
        <f t="shared" si="218"/>
        <v>46712</v>
      </c>
      <c r="DQ44" s="8">
        <f t="shared" ca="1" si="46"/>
        <v>567</v>
      </c>
      <c r="DR44" s="5" t="str">
        <f t="shared" ca="1" si="47"/>
        <v>VIGENTE</v>
      </c>
      <c r="DS44" s="3"/>
      <c r="DT44" s="4">
        <v>46018</v>
      </c>
      <c r="DU44" s="4">
        <f>DATE(YEAR(DT44)+2,MONTH(DT44),DAY(DT44))</f>
        <v>46748</v>
      </c>
      <c r="DV44" s="8">
        <f t="shared" ca="1" si="48"/>
        <v>603</v>
      </c>
      <c r="DW44" s="5" t="str">
        <f t="shared" ca="1" si="49"/>
        <v>VIGENTE</v>
      </c>
      <c r="DX44" s="3"/>
      <c r="DY44" s="4">
        <v>45663</v>
      </c>
      <c r="DZ44" s="4">
        <f>DATE(YEAR(DY44)+2,MONTH(DY44),DAY(DY44)-1)</f>
        <v>46392</v>
      </c>
      <c r="EA44" s="8">
        <f t="shared" ca="1" si="50"/>
        <v>247</v>
      </c>
      <c r="EB44" s="5" t="str">
        <f t="shared" ca="1" si="51"/>
        <v>VIGENTE</v>
      </c>
      <c r="EC44" s="3"/>
      <c r="ED44" s="39">
        <v>45674</v>
      </c>
      <c r="EE44" s="4">
        <f>DATE(YEAR(ED44)+2,MONTH(ED44),DAY(ED44)-1)</f>
        <v>46403</v>
      </c>
      <c r="EF44" s="8">
        <f t="shared" ca="1" si="52"/>
        <v>258</v>
      </c>
      <c r="EG44" s="5" t="str">
        <f t="shared" ca="1" si="53"/>
        <v>VIGENTE</v>
      </c>
      <c r="EH44" s="3"/>
      <c r="EI44" s="3">
        <v>46107</v>
      </c>
      <c r="EJ44" s="4">
        <f t="shared" si="131"/>
        <v>46472</v>
      </c>
      <c r="EK44" s="8">
        <f t="shared" ca="1" si="54"/>
        <v>327</v>
      </c>
      <c r="EL44" s="5" t="str">
        <f t="shared" ca="1" si="55"/>
        <v>VIGENTE</v>
      </c>
      <c r="EM44" s="3"/>
      <c r="EN44" s="4">
        <v>45671</v>
      </c>
      <c r="EO44" s="4">
        <f>DATE(YEAR(EN44)+2,MONTH(EN44),DAY(EN44)-1)</f>
        <v>46400</v>
      </c>
      <c r="EP44" s="8">
        <f t="shared" ca="1" si="56"/>
        <v>255</v>
      </c>
      <c r="EQ44" s="5" t="str">
        <f t="shared" ca="1" si="57"/>
        <v>VIGENTE</v>
      </c>
      <c r="ER44" s="3"/>
      <c r="ES44" s="39">
        <v>45993</v>
      </c>
      <c r="ET44" s="4">
        <f>DATE(YEAR(ES44)+2,MONTH(ES44),DAY(ES44))</f>
        <v>46723</v>
      </c>
      <c r="EU44" s="8">
        <f t="shared" ca="1" si="58"/>
        <v>578</v>
      </c>
      <c r="EV44" s="5" t="str">
        <f t="shared" ca="1" si="59"/>
        <v>VIGENTE</v>
      </c>
      <c r="EW44" s="3"/>
      <c r="EX44" s="4">
        <v>45917</v>
      </c>
      <c r="EY44" s="4">
        <f t="shared" si="214"/>
        <v>46647</v>
      </c>
      <c r="EZ44" s="8">
        <f t="shared" ca="1" si="60"/>
        <v>502</v>
      </c>
      <c r="FA44" s="5" t="str">
        <f t="shared" ca="1" si="61"/>
        <v>VIGENTE</v>
      </c>
      <c r="FB44" s="3"/>
      <c r="FC44" s="4">
        <v>45988</v>
      </c>
      <c r="FD44" s="4">
        <f t="shared" si="215"/>
        <v>46718</v>
      </c>
      <c r="FE44" s="8">
        <f t="shared" ca="1" si="62"/>
        <v>573</v>
      </c>
      <c r="FF44" s="5" t="str">
        <f t="shared" ca="1" si="63"/>
        <v>VIGENTE</v>
      </c>
      <c r="FG44" s="3"/>
      <c r="FH44" s="4">
        <v>45932</v>
      </c>
      <c r="FI44" s="4">
        <f t="shared" si="216"/>
        <v>46662</v>
      </c>
      <c r="FJ44" s="8">
        <f t="shared" ca="1" si="64"/>
        <v>517</v>
      </c>
      <c r="FK44" s="5" t="str">
        <f t="shared" ca="1" si="65"/>
        <v>VIGENTE</v>
      </c>
      <c r="FL44" s="3"/>
      <c r="FM44" s="39">
        <v>45738</v>
      </c>
      <c r="FN44" s="4">
        <f>DATE(YEAR(FM44)+2,MONTH(FM44),DAY(FM44)-1)</f>
        <v>46467</v>
      </c>
      <c r="FO44" s="8">
        <f t="shared" ca="1" si="67"/>
        <v>322</v>
      </c>
      <c r="FP44" s="5" t="str">
        <f t="shared" ca="1" si="68"/>
        <v>VIGENTE</v>
      </c>
      <c r="FQ44" s="3"/>
      <c r="FR44" s="39">
        <v>45664</v>
      </c>
      <c r="FS44" s="4">
        <f>DATE(YEAR(FR44)+2,MONTH(FR44),DAY(FR44)-1)</f>
        <v>46393</v>
      </c>
      <c r="FT44" s="8">
        <f t="shared" ca="1" si="69"/>
        <v>248</v>
      </c>
      <c r="FU44" s="5" t="str">
        <f t="shared" ca="1" si="70"/>
        <v>VIGENTE</v>
      </c>
      <c r="FV44" s="3"/>
      <c r="FW44" s="4">
        <v>46014</v>
      </c>
      <c r="FX44" s="4">
        <f>DATE(YEAR(FW44)+2,MONTH(FW44),DAY(FW44))</f>
        <v>46744</v>
      </c>
      <c r="FY44" s="8">
        <f t="shared" ca="1" si="71"/>
        <v>599</v>
      </c>
      <c r="FZ44" s="5" t="str">
        <f t="shared" ca="1" si="72"/>
        <v>VIGENTE</v>
      </c>
      <c r="GA44" s="3"/>
      <c r="GB44" s="4">
        <v>45833</v>
      </c>
      <c r="GC44" s="4">
        <f>DATE(YEAR(GB44)+2,MONTH(GB44),DAY(GB44))</f>
        <v>46563</v>
      </c>
      <c r="GD44" s="8">
        <f t="shared" ca="1" si="73"/>
        <v>418</v>
      </c>
      <c r="GE44" s="5" t="str">
        <f t="shared" ca="1" si="74"/>
        <v>VIGENTE</v>
      </c>
      <c r="GF44" s="3"/>
      <c r="GG44" s="4">
        <v>45672</v>
      </c>
      <c r="GH44" s="4">
        <f>DATE(YEAR(GG44)+2,MONTH(GG44),DAY(GG44)-1)</f>
        <v>46401</v>
      </c>
      <c r="GI44" s="8">
        <f t="shared" ca="1" si="75"/>
        <v>256</v>
      </c>
      <c r="GJ44" s="5" t="str">
        <f t="shared" ca="1" si="76"/>
        <v>VIGENTE</v>
      </c>
      <c r="GK44" s="3"/>
      <c r="GL44" s="4">
        <v>45945</v>
      </c>
      <c r="GM44" s="4">
        <f t="shared" si="217"/>
        <v>46675</v>
      </c>
      <c r="GN44" s="8">
        <f t="shared" ca="1" si="77"/>
        <v>530</v>
      </c>
      <c r="GO44" s="5" t="str">
        <f t="shared" ca="1" si="78"/>
        <v>VIGENTE</v>
      </c>
      <c r="GP44" s="4"/>
      <c r="GQ44" s="4">
        <v>45013</v>
      </c>
      <c r="GR44" s="4">
        <f t="shared" si="79"/>
        <v>46840</v>
      </c>
      <c r="GS44" s="8">
        <f t="shared" ca="1" si="176"/>
        <v>695</v>
      </c>
      <c r="GT44" s="5" t="str">
        <f t="shared" ca="1" si="81"/>
        <v>VIGENTE</v>
      </c>
      <c r="GU44" s="3"/>
      <c r="GV44" s="4">
        <v>45006</v>
      </c>
      <c r="GW44" s="4">
        <f t="shared" si="82"/>
        <v>46833</v>
      </c>
      <c r="GX44" s="8">
        <f t="shared" ca="1" si="83"/>
        <v>688</v>
      </c>
      <c r="GY44" s="5" t="str">
        <f t="shared" ca="1" si="84"/>
        <v>VIGENTE</v>
      </c>
      <c r="GZ44" s="2"/>
      <c r="HA44" s="4">
        <v>44919</v>
      </c>
      <c r="HB44" s="4">
        <f t="shared" si="85"/>
        <v>46745</v>
      </c>
      <c r="HC44" s="8">
        <f t="shared" ca="1" si="86"/>
        <v>600</v>
      </c>
      <c r="HD44" s="5" t="str">
        <f t="shared" ca="1" si="87"/>
        <v>VIGENTE</v>
      </c>
      <c r="HE44" s="6"/>
      <c r="HF44" s="6"/>
      <c r="HG44" s="4"/>
      <c r="HH44" s="8"/>
      <c r="HI44" s="5" t="str">
        <f t="shared" si="187"/>
        <v>NO APLICA</v>
      </c>
      <c r="HJ44" s="2"/>
      <c r="HK44" s="6"/>
      <c r="HL44" s="4"/>
      <c r="HM44" s="8"/>
      <c r="HN44" s="5" t="str">
        <f t="shared" si="202"/>
        <v>NO APLICA</v>
      </c>
      <c r="HO44" s="2"/>
      <c r="HP44" s="5"/>
      <c r="HQ44" s="4"/>
      <c r="HR44" s="5"/>
      <c r="HS44" s="5" t="str">
        <f t="shared" si="92"/>
        <v>NO APLICA</v>
      </c>
      <c r="HT44" s="2"/>
      <c r="HU44" s="6"/>
      <c r="HV44" s="4"/>
      <c r="HW44" s="8"/>
      <c r="HX44" s="5" t="str">
        <f t="shared" si="93"/>
        <v>NO APLICA</v>
      </c>
      <c r="HY44" s="2"/>
      <c r="HZ44" s="6"/>
      <c r="IA44" s="4"/>
      <c r="IB44" s="8"/>
      <c r="IC44" s="5" t="str">
        <f t="shared" si="94"/>
        <v>NO APLICA</v>
      </c>
      <c r="ID44" s="2"/>
      <c r="IE44" s="6"/>
      <c r="IF44" s="4"/>
      <c r="IG44" s="8"/>
      <c r="IH44" s="5" t="str">
        <f t="shared" si="95"/>
        <v>NO APLICA</v>
      </c>
      <c r="II44" s="6"/>
      <c r="IJ44" s="6"/>
      <c r="IK44" s="4"/>
      <c r="IL44" s="8"/>
      <c r="IM44" s="5" t="str">
        <f t="shared" si="96"/>
        <v>NO APLICA</v>
      </c>
      <c r="IN44" s="2"/>
      <c r="IO44" s="6"/>
      <c r="IP44" s="4"/>
      <c r="IQ44" s="8"/>
      <c r="IR44" s="5" t="str">
        <f t="shared" si="97"/>
        <v>NO APLICA</v>
      </c>
      <c r="IS44" s="2"/>
      <c r="IT44" s="6"/>
      <c r="IU44" s="4"/>
      <c r="IV44" s="8"/>
      <c r="IW44" s="5" t="str">
        <f t="shared" si="98"/>
        <v>NO APLICA</v>
      </c>
      <c r="IX44" s="2"/>
      <c r="IY44" s="6"/>
      <c r="IZ44" s="4"/>
      <c r="JA44" s="8"/>
      <c r="JB44" s="5" t="str">
        <f t="shared" si="99"/>
        <v>NO APLICA</v>
      </c>
      <c r="JC44" s="3" t="s">
        <v>780</v>
      </c>
      <c r="JD44" s="3"/>
      <c r="JE44" s="4"/>
      <c r="JF44" s="8"/>
      <c r="JG44" s="5"/>
      <c r="JH44" s="3" t="s">
        <v>780</v>
      </c>
      <c r="JI44" s="6"/>
      <c r="JJ44" s="6"/>
      <c r="JK44" s="6"/>
      <c r="JL44" s="5"/>
      <c r="JM44" s="6" t="s">
        <v>780</v>
      </c>
      <c r="JN44" s="6"/>
      <c r="JO44" s="6"/>
      <c r="JP44" s="6"/>
      <c r="JQ44" s="5"/>
      <c r="JR44" s="6" t="s">
        <v>780</v>
      </c>
      <c r="JS44" s="6"/>
      <c r="JT44" s="6"/>
      <c r="JU44" s="6"/>
      <c r="JV44" s="5"/>
      <c r="JW44" s="6" t="s">
        <v>780</v>
      </c>
      <c r="JX44" s="5"/>
      <c r="JY44" s="5"/>
      <c r="JZ44" s="5"/>
      <c r="KA44" s="5"/>
      <c r="KB44" s="5"/>
      <c r="KC44" s="5"/>
      <c r="KD44" s="4"/>
      <c r="KE44" s="8"/>
      <c r="KF44" s="5" t="str">
        <f t="shared" si="135"/>
        <v>NO APLICA</v>
      </c>
      <c r="KG44" s="5"/>
      <c r="KH44" s="5"/>
      <c r="KI44" s="4"/>
      <c r="KJ44" s="8"/>
      <c r="KK44" s="5" t="str">
        <f t="shared" si="136"/>
        <v>NO APLICA</v>
      </c>
      <c r="KL44" s="5"/>
      <c r="KM44" s="5"/>
      <c r="KN44" s="4"/>
      <c r="KO44" s="8"/>
      <c r="KP44" s="5" t="str">
        <f t="shared" si="100"/>
        <v>NO APLICA</v>
      </c>
      <c r="KQ44" s="5"/>
      <c r="KR44" s="2"/>
      <c r="KS44" s="4"/>
      <c r="KT44" s="8"/>
      <c r="KU44" s="5" t="str">
        <f t="shared" si="137"/>
        <v>NO APLICA</v>
      </c>
      <c r="KV44" s="2"/>
      <c r="KW44" s="6"/>
      <c r="KX44" s="4"/>
      <c r="KY44" s="8"/>
      <c r="KZ44" s="5" t="str">
        <f t="shared" si="151"/>
        <v>NO APLICA</v>
      </c>
      <c r="LA44" s="5"/>
      <c r="LB44" s="6"/>
      <c r="LC44" s="4"/>
      <c r="LD44" s="8"/>
      <c r="LE44" s="5" t="str">
        <f t="shared" si="138"/>
        <v>NO APLICA</v>
      </c>
      <c r="LF44" s="6"/>
      <c r="LG44" s="6"/>
      <c r="LH44" s="4"/>
      <c r="LI44" s="8"/>
      <c r="LJ44" s="5" t="str">
        <f t="shared" si="101"/>
        <v>NO APLICA</v>
      </c>
      <c r="LK44" s="5"/>
      <c r="LL44" s="5"/>
      <c r="LM44" s="4"/>
      <c r="LN44" s="8"/>
      <c r="LO44" s="5" t="str">
        <f t="shared" si="152"/>
        <v>NO APLICA</v>
      </c>
      <c r="LP44" s="5"/>
      <c r="LQ44" s="6"/>
      <c r="LR44" s="4"/>
      <c r="LS44" s="8"/>
      <c r="LT44" s="5" t="str">
        <f t="shared" si="139"/>
        <v>NO APLICA</v>
      </c>
      <c r="LU44" s="6"/>
      <c r="LV44" s="6"/>
      <c r="LW44" s="4"/>
      <c r="LX44" s="8"/>
      <c r="LY44" s="5" t="str">
        <f t="shared" si="140"/>
        <v>NO APLICA</v>
      </c>
      <c r="LZ44" s="6"/>
      <c r="MA44" s="6"/>
      <c r="MB44" s="4"/>
      <c r="MC44" s="8"/>
      <c r="MD44" s="5" t="str">
        <f t="shared" si="141"/>
        <v>NO APLICA</v>
      </c>
      <c r="ME44" s="5"/>
      <c r="MF44" s="5"/>
      <c r="MG44" s="4"/>
      <c r="MH44" s="8"/>
      <c r="MI44" s="5" t="str">
        <f t="shared" si="102"/>
        <v>NO APLICA</v>
      </c>
      <c r="MJ44" s="5"/>
      <c r="MK44" s="5"/>
      <c r="ML44" s="4"/>
      <c r="MM44" s="8"/>
      <c r="MN44" s="5" t="str">
        <f t="shared" si="103"/>
        <v>NO APLICA</v>
      </c>
      <c r="MO44" s="5"/>
      <c r="MP44" s="5"/>
      <c r="MQ44" s="4"/>
      <c r="MR44" s="8"/>
      <c r="MS44" s="5" t="str">
        <f t="shared" si="104"/>
        <v>NO APLICA</v>
      </c>
      <c r="MT44" s="5"/>
      <c r="MU44" s="5"/>
      <c r="MV44" s="4"/>
      <c r="MW44" s="5"/>
      <c r="MX44" s="5" t="str">
        <f t="shared" si="105"/>
        <v>NO APLICA</v>
      </c>
      <c r="MY44" s="5"/>
      <c r="MZ44" s="6"/>
      <c r="NA44" s="4"/>
      <c r="NB44" s="8"/>
      <c r="NC44" s="5" t="str">
        <f t="shared" si="106"/>
        <v>NO APLICA</v>
      </c>
      <c r="ND44" s="5"/>
      <c r="NE44" s="6"/>
      <c r="NF44" s="4"/>
      <c r="NG44" s="8"/>
      <c r="NH44" s="5" t="str">
        <f t="shared" si="107"/>
        <v>NO APLICA</v>
      </c>
      <c r="NI44" s="5"/>
      <c r="NJ44" s="6"/>
      <c r="NK44" s="4"/>
      <c r="NL44" s="8"/>
      <c r="NM44" s="5" t="str">
        <f t="shared" si="108"/>
        <v>NO APLICA</v>
      </c>
      <c r="NN44" s="5"/>
      <c r="NO44" s="5"/>
      <c r="NP44" s="4"/>
      <c r="NQ44" s="8"/>
      <c r="NR44" s="5" t="str">
        <f t="shared" si="109"/>
        <v>NO APLICA</v>
      </c>
      <c r="NS44" s="5"/>
      <c r="NT44" s="5"/>
      <c r="NU44" s="5"/>
      <c r="NV44" s="5"/>
      <c r="NW44" s="5" t="str">
        <f t="shared" si="110"/>
        <v>NO APLICA</v>
      </c>
      <c r="NX44" s="6"/>
      <c r="NY44" s="6"/>
      <c r="NZ44" s="4"/>
      <c r="OA44" s="8"/>
      <c r="OB44" s="5" t="str">
        <f t="shared" si="111"/>
        <v>NO APLICA</v>
      </c>
      <c r="OC44" s="6"/>
      <c r="OD44" s="6"/>
      <c r="OE44" s="6"/>
      <c r="OF44" s="6"/>
      <c r="OG44" s="5" t="str">
        <f t="shared" si="112"/>
        <v>NO APLICA</v>
      </c>
      <c r="OH44" s="6"/>
      <c r="OI44" s="6"/>
      <c r="OJ44" s="4"/>
      <c r="OK44" s="8"/>
      <c r="OL44" s="5" t="str">
        <f t="shared" si="113"/>
        <v>NO APLICA</v>
      </c>
      <c r="OM44" s="6"/>
      <c r="ON44" s="6"/>
      <c r="OO44" s="6"/>
      <c r="OP44" s="6"/>
      <c r="OQ44" s="5" t="str">
        <f t="shared" si="114"/>
        <v>NO APLICA</v>
      </c>
      <c r="OR44" s="6"/>
      <c r="OS44" s="6"/>
      <c r="OT44" s="6"/>
      <c r="OU44" s="6"/>
      <c r="OV44" s="5" t="str">
        <f t="shared" si="115"/>
        <v>NO APLICA</v>
      </c>
      <c r="OW44" s="6"/>
      <c r="OX44" s="6"/>
      <c r="OY44" s="6"/>
      <c r="OZ44" s="6"/>
      <c r="PA44" s="5" t="str">
        <f t="shared" si="116"/>
        <v>NO APLICA</v>
      </c>
      <c r="PB44" s="6"/>
      <c r="PC44" s="6"/>
      <c r="PD44" s="6"/>
      <c r="PE44" s="6"/>
      <c r="PF44" s="5" t="str">
        <f t="shared" si="117"/>
        <v>NO APLICA</v>
      </c>
      <c r="PG44" s="6"/>
      <c r="PH44" s="6"/>
      <c r="PI44" s="6"/>
      <c r="PJ44" s="6"/>
      <c r="PK44" s="5" t="str">
        <f t="shared" si="118"/>
        <v>NO APLICA</v>
      </c>
      <c r="PL44" s="5"/>
      <c r="PM44" s="6"/>
      <c r="PN44" s="4"/>
      <c r="PO44" s="8"/>
      <c r="PP44" s="5" t="str">
        <f t="shared" si="119"/>
        <v>NO APLICA</v>
      </c>
      <c r="PQ44" s="6"/>
      <c r="PR44" s="6"/>
      <c r="PS44" s="6"/>
      <c r="PT44" s="6"/>
      <c r="PU44" s="5" t="str">
        <f t="shared" si="120"/>
        <v>NO APLICA</v>
      </c>
      <c r="PV44" s="5"/>
      <c r="PW44" s="6"/>
      <c r="PX44" s="6"/>
      <c r="PY44" s="6"/>
      <c r="PZ44" s="5" t="str">
        <f t="shared" si="121"/>
        <v>NO APLICA</v>
      </c>
    </row>
    <row r="45" spans="1:442" ht="15.6" hidden="1" thickTop="1" thickBot="1" x14ac:dyDescent="0.35">
      <c r="A45" s="26">
        <v>42</v>
      </c>
      <c r="B45" s="31">
        <v>1723</v>
      </c>
      <c r="C45" s="28" t="s">
        <v>200</v>
      </c>
      <c r="D45" s="29" t="s">
        <v>68</v>
      </c>
      <c r="E45" s="30" t="s">
        <v>73</v>
      </c>
      <c r="F45" s="6"/>
      <c r="G45" s="6"/>
      <c r="H45" s="6"/>
      <c r="I45" s="6"/>
      <c r="J45" s="5" t="str">
        <f t="shared" si="0"/>
        <v>NO APLICA</v>
      </c>
      <c r="K45" s="6"/>
      <c r="L45" s="6"/>
      <c r="M45" s="6"/>
      <c r="N45" s="6"/>
      <c r="O45" s="5" t="str">
        <f t="shared" si="1"/>
        <v>NO APLICA</v>
      </c>
      <c r="P45" s="6"/>
      <c r="Q45" s="6"/>
      <c r="R45" s="6"/>
      <c r="S45" s="6"/>
      <c r="T45" s="5" t="str">
        <f t="shared" si="122"/>
        <v>NO APLICA</v>
      </c>
      <c r="U45" s="5"/>
      <c r="V45" s="6" t="s">
        <v>201</v>
      </c>
      <c r="W45" s="4">
        <v>45309</v>
      </c>
      <c r="X45" s="4">
        <f t="shared" si="2"/>
        <v>47136</v>
      </c>
      <c r="Y45" s="8">
        <f t="shared" ca="1" si="3"/>
        <v>991</v>
      </c>
      <c r="Z45" s="5" t="str">
        <f t="shared" ca="1" si="4"/>
        <v>VIGENTE</v>
      </c>
      <c r="AA45" s="5"/>
      <c r="AB45" s="6" t="s">
        <v>202</v>
      </c>
      <c r="AC45" s="4">
        <v>45577</v>
      </c>
      <c r="AD45" s="4">
        <f>DATE(YEAR(AC45)+5,MONTH(AC45),DAY(AC45))</f>
        <v>47403</v>
      </c>
      <c r="AE45" s="8">
        <f ca="1">AD45-TODAY()</f>
        <v>1258</v>
      </c>
      <c r="AF45" s="5" t="str">
        <f t="shared" ca="1" si="7"/>
        <v>VIGENTE</v>
      </c>
      <c r="AG45" s="4"/>
      <c r="AH45" s="4">
        <v>46006</v>
      </c>
      <c r="AI45" s="4">
        <f>DATE(YEAR(AH45)+2,MONTH(AH45),DAY(AH45))</f>
        <v>46736</v>
      </c>
      <c r="AJ45" s="8">
        <f t="shared" ca="1" si="8"/>
        <v>591</v>
      </c>
      <c r="AK45" s="5" t="str">
        <f t="shared" ca="1" si="219"/>
        <v>VIGENTE</v>
      </c>
      <c r="AL45" s="6"/>
      <c r="AM45" s="4">
        <v>45937</v>
      </c>
      <c r="AN45" s="4">
        <f t="shared" si="213"/>
        <v>46667</v>
      </c>
      <c r="AO45" s="8">
        <f t="shared" ca="1" si="10"/>
        <v>522</v>
      </c>
      <c r="AP45" s="5" t="str">
        <f t="shared" ca="1" si="11"/>
        <v>VIGENTE</v>
      </c>
      <c r="AQ45" s="4"/>
      <c r="AR45" s="4">
        <v>46083</v>
      </c>
      <c r="AS45" s="4">
        <f t="shared" si="220"/>
        <v>46814</v>
      </c>
      <c r="AT45" s="8">
        <f t="shared" ca="1" si="12"/>
        <v>669</v>
      </c>
      <c r="AU45" s="5" t="str">
        <f t="shared" ca="1" si="13"/>
        <v>VIGENTE</v>
      </c>
      <c r="AV45" s="4"/>
      <c r="AW45" s="4">
        <v>45972</v>
      </c>
      <c r="AX45" s="4">
        <f t="shared" si="221"/>
        <v>46702</v>
      </c>
      <c r="AY45" s="8">
        <f t="shared" ca="1" si="15"/>
        <v>557</v>
      </c>
      <c r="AZ45" s="5" t="str">
        <f t="shared" ca="1" si="16"/>
        <v>VIGENTE</v>
      </c>
      <c r="BA45" s="4"/>
      <c r="BB45" s="4">
        <v>46071</v>
      </c>
      <c r="BC45" s="4">
        <f>DATE(YEAR(BB45)+2,MONTH(BB45),DAY(BB45))</f>
        <v>46801</v>
      </c>
      <c r="BD45" s="8">
        <f t="shared" ca="1" si="17"/>
        <v>656</v>
      </c>
      <c r="BE45" s="5" t="str">
        <f t="shared" ca="1" si="18"/>
        <v>VIGENTE</v>
      </c>
      <c r="BF45" s="6"/>
      <c r="BG45" s="4">
        <v>45997</v>
      </c>
      <c r="BH45" s="4">
        <f t="shared" si="222"/>
        <v>46727</v>
      </c>
      <c r="BI45" s="8">
        <f t="shared" ca="1" si="19"/>
        <v>582</v>
      </c>
      <c r="BJ45" s="5" t="str">
        <f t="shared" ca="1" si="20"/>
        <v>VIGENTE</v>
      </c>
      <c r="BK45" s="4"/>
      <c r="BL45" s="4">
        <v>45519</v>
      </c>
      <c r="BM45" s="4">
        <f>DATE(YEAR(BL45)+2,MONTH(BL45),DAY(BL45)-1)</f>
        <v>46248</v>
      </c>
      <c r="BN45" s="8">
        <f t="shared" ca="1" si="21"/>
        <v>103</v>
      </c>
      <c r="BO45" s="5" t="str">
        <f t="shared" ca="1" si="22"/>
        <v>VIGENTE</v>
      </c>
      <c r="BP45" s="4"/>
      <c r="BQ45" s="39">
        <v>46069</v>
      </c>
      <c r="BR45" s="4">
        <f>DATE(YEAR(BQ45)+2,MONTH(BQ45),DAY(BQ45))</f>
        <v>46799</v>
      </c>
      <c r="BS45" s="8">
        <f t="shared" ca="1" si="23"/>
        <v>654</v>
      </c>
      <c r="BT45" s="5" t="str">
        <f t="shared" ca="1" si="24"/>
        <v>VIGENTE</v>
      </c>
      <c r="BU45" s="4"/>
      <c r="BV45" s="4">
        <v>46074</v>
      </c>
      <c r="BW45" s="4">
        <f>DATE(YEAR(BV45)+2,MONTH(BV45),DAY(BV45))</f>
        <v>46804</v>
      </c>
      <c r="BX45" s="8">
        <f t="shared" ca="1" si="25"/>
        <v>659</v>
      </c>
      <c r="BY45" s="5" t="str">
        <f t="shared" ca="1" si="26"/>
        <v>VIGENTE</v>
      </c>
      <c r="BZ45" s="6"/>
      <c r="CA45" s="4">
        <v>46119</v>
      </c>
      <c r="CB45" s="4">
        <f>DATE(YEAR(CA45)+2,MONTH(CA45),DAY(CA45)-1)</f>
        <v>46849</v>
      </c>
      <c r="CC45" s="8">
        <f t="shared" ca="1" si="27"/>
        <v>704</v>
      </c>
      <c r="CD45" s="5" t="str">
        <f t="shared" ca="1" si="28"/>
        <v>VIGENTE</v>
      </c>
      <c r="CE45" s="6"/>
      <c r="CF45" s="4">
        <v>45346</v>
      </c>
      <c r="CG45" s="4">
        <f t="shared" si="29"/>
        <v>46807</v>
      </c>
      <c r="CH45" s="8">
        <f t="shared" ca="1" si="30"/>
        <v>662</v>
      </c>
      <c r="CI45" s="5" t="str">
        <f t="shared" ca="1" si="31"/>
        <v>VIGENTE</v>
      </c>
      <c r="CJ45" s="4"/>
      <c r="CK45" s="4">
        <v>46018</v>
      </c>
      <c r="CL45" s="4">
        <f>DATE(YEAR(CK45)+2,MONTH(CK45),DAY(CK45))</f>
        <v>46748</v>
      </c>
      <c r="CM45" s="8">
        <f t="shared" ca="1" si="32"/>
        <v>603</v>
      </c>
      <c r="CN45" s="5" t="str">
        <f t="shared" ca="1" si="33"/>
        <v>VIGENTE</v>
      </c>
      <c r="CO45" s="4"/>
      <c r="CP45" s="4">
        <v>46101</v>
      </c>
      <c r="CQ45" s="4">
        <f>DATE(YEAR(CP45)+2,MONTH(CP45),DAY(CP45))</f>
        <v>46832</v>
      </c>
      <c r="CR45" s="8">
        <f t="shared" ca="1" si="34"/>
        <v>687</v>
      </c>
      <c r="CS45" s="5" t="str">
        <f t="shared" ca="1" si="35"/>
        <v>VIGENTE</v>
      </c>
      <c r="CT45" s="4"/>
      <c r="CU45" s="4">
        <v>46043</v>
      </c>
      <c r="CV45" s="4">
        <f>DATE(YEAR(CU45)+2,MONTH(CU45),DAY(CU45))</f>
        <v>46773</v>
      </c>
      <c r="CW45" s="8">
        <f t="shared" ca="1" si="36"/>
        <v>628</v>
      </c>
      <c r="CX45" s="5" t="str">
        <f t="shared" ca="1" si="37"/>
        <v>VIGENTE</v>
      </c>
      <c r="CY45" s="4"/>
      <c r="CZ45" s="4">
        <v>46028</v>
      </c>
      <c r="DA45" s="4">
        <f>DATE(YEAR(CZ45)+2,MONTH(CZ45),DAY(CZ45))</f>
        <v>46758</v>
      </c>
      <c r="DB45" s="8">
        <f t="shared" ca="1" si="38"/>
        <v>613</v>
      </c>
      <c r="DC45" s="5" t="str">
        <f t="shared" ca="1" si="39"/>
        <v>VIGENTE</v>
      </c>
      <c r="DD45" s="4"/>
      <c r="DE45" s="39">
        <v>46045</v>
      </c>
      <c r="DF45" s="4">
        <f>DATE(YEAR(DE45)+2,MONTH(DE45),DAY(DE45))</f>
        <v>46775</v>
      </c>
      <c r="DG45" s="8">
        <f t="shared" ca="1" si="40"/>
        <v>630</v>
      </c>
      <c r="DH45" s="5" t="str">
        <f t="shared" ca="1" si="41"/>
        <v>VIGENTE</v>
      </c>
      <c r="DI45" s="4"/>
      <c r="DJ45" s="39">
        <v>46029</v>
      </c>
      <c r="DK45" s="4">
        <f>DATE(YEAR(DJ45)+2,MONTH(DJ45),DAY(DJ45))</f>
        <v>46759</v>
      </c>
      <c r="DL45" s="8">
        <f t="shared" ca="1" si="43"/>
        <v>614</v>
      </c>
      <c r="DM45" s="5" t="str">
        <f t="shared" ca="1" si="44"/>
        <v>VIGENTE</v>
      </c>
      <c r="DN45" s="4"/>
      <c r="DO45" s="4">
        <v>46046</v>
      </c>
      <c r="DP45" s="4">
        <f t="shared" si="218"/>
        <v>46776</v>
      </c>
      <c r="DQ45" s="8">
        <f t="shared" ca="1" si="46"/>
        <v>631</v>
      </c>
      <c r="DR45" s="5" t="str">
        <f t="shared" ca="1" si="47"/>
        <v>VIGENTE</v>
      </c>
      <c r="DS45" s="6"/>
      <c r="DT45" s="4">
        <v>46072</v>
      </c>
      <c r="DU45" s="4">
        <f>DATE(YEAR(DT45)+2,MONTH(DT45),DAY(DT45))</f>
        <v>46802</v>
      </c>
      <c r="DV45" s="8">
        <f t="shared" ca="1" si="48"/>
        <v>657</v>
      </c>
      <c r="DW45" s="5" t="str">
        <f t="shared" ca="1" si="49"/>
        <v>VIGENTE</v>
      </c>
      <c r="DX45" s="4"/>
      <c r="DY45" s="4">
        <v>45510</v>
      </c>
      <c r="DZ45" s="4">
        <f>DATE(YEAR(DY45)+2,MONTH(DY45),DAY(DY45)-1)</f>
        <v>46239</v>
      </c>
      <c r="EA45" s="8">
        <f t="shared" ca="1" si="50"/>
        <v>94</v>
      </c>
      <c r="EB45" s="5" t="str">
        <f t="shared" ca="1" si="51"/>
        <v>VIGENTE</v>
      </c>
      <c r="EC45" s="4"/>
      <c r="ED45" s="4">
        <v>46112</v>
      </c>
      <c r="EE45" s="4">
        <f>DATE(YEAR(ED45)+2,MONTH(ED45),DAY(ED45)-1)</f>
        <v>46842</v>
      </c>
      <c r="EF45" s="8">
        <f t="shared" ca="1" si="52"/>
        <v>697</v>
      </c>
      <c r="EG45" s="5" t="str">
        <f t="shared" ca="1" si="53"/>
        <v>VIGENTE</v>
      </c>
      <c r="EH45" s="4"/>
      <c r="EI45" s="4">
        <v>46115</v>
      </c>
      <c r="EJ45" s="4">
        <f t="shared" si="131"/>
        <v>46480</v>
      </c>
      <c r="EK45" s="8">
        <f t="shared" ca="1" si="54"/>
        <v>335</v>
      </c>
      <c r="EL45" s="5" t="str">
        <f t="shared" ca="1" si="55"/>
        <v>VIGENTE</v>
      </c>
      <c r="EM45" s="4"/>
      <c r="EN45" s="4">
        <v>46135</v>
      </c>
      <c r="EO45" s="4">
        <f>DATE(YEAR(EN45)+2,MONTH(EN45),DAY(EN45)-1)</f>
        <v>46865</v>
      </c>
      <c r="EP45" s="8">
        <f t="shared" ca="1" si="56"/>
        <v>720</v>
      </c>
      <c r="EQ45" s="5" t="str">
        <f t="shared" ca="1" si="57"/>
        <v>VIGENTE</v>
      </c>
      <c r="ER45" s="6"/>
      <c r="ES45" s="39">
        <v>45999</v>
      </c>
      <c r="ET45" s="4">
        <f>DATE(YEAR(ES45)+2,MONTH(ES45),DAY(ES45))</f>
        <v>46729</v>
      </c>
      <c r="EU45" s="8">
        <f t="shared" ca="1" si="58"/>
        <v>584</v>
      </c>
      <c r="EV45" s="5" t="str">
        <f t="shared" ca="1" si="59"/>
        <v>VIGENTE</v>
      </c>
      <c r="EW45" s="3"/>
      <c r="EX45" s="4">
        <v>46037</v>
      </c>
      <c r="EY45" s="4">
        <f t="shared" si="214"/>
        <v>46767</v>
      </c>
      <c r="EZ45" s="8">
        <f t="shared" ca="1" si="60"/>
        <v>622</v>
      </c>
      <c r="FA45" s="5" t="str">
        <f t="shared" ca="1" si="61"/>
        <v>VIGENTE</v>
      </c>
      <c r="FB45" s="4"/>
      <c r="FC45" s="4">
        <v>46017</v>
      </c>
      <c r="FD45" s="4">
        <f t="shared" si="215"/>
        <v>46747</v>
      </c>
      <c r="FE45" s="8">
        <f t="shared" ca="1" si="62"/>
        <v>602</v>
      </c>
      <c r="FF45" s="5" t="str">
        <f t="shared" ca="1" si="63"/>
        <v>VIGENTE</v>
      </c>
      <c r="FG45" s="6"/>
      <c r="FH45" s="4">
        <v>46009</v>
      </c>
      <c r="FI45" s="4">
        <f t="shared" si="216"/>
        <v>46739</v>
      </c>
      <c r="FJ45" s="8">
        <f t="shared" ca="1" si="64"/>
        <v>594</v>
      </c>
      <c r="FK45" s="5" t="str">
        <f t="shared" ca="1" si="65"/>
        <v>VIGENTE</v>
      </c>
      <c r="FL45" s="4"/>
      <c r="FM45" s="39">
        <v>46039</v>
      </c>
      <c r="FN45" s="4">
        <f>DATE(YEAR(FM45)+2,MONTH(FM45),DAY(FM45))</f>
        <v>46769</v>
      </c>
      <c r="FO45" s="8">
        <f t="shared" ca="1" si="67"/>
        <v>624</v>
      </c>
      <c r="FP45" s="5" t="str">
        <f t="shared" ca="1" si="68"/>
        <v>VIGENTE</v>
      </c>
      <c r="FQ45" s="4"/>
      <c r="FR45" s="39">
        <v>46034</v>
      </c>
      <c r="FS45" s="4">
        <f>DATE(YEAR(FR45)+2,MONTH(FR45),DAY(FR45))</f>
        <v>46764</v>
      </c>
      <c r="FT45" s="8">
        <f t="shared" ca="1" si="69"/>
        <v>619</v>
      </c>
      <c r="FU45" s="5" t="str">
        <f t="shared" ca="1" si="70"/>
        <v>VIGENTE</v>
      </c>
      <c r="FV45" s="4"/>
      <c r="FW45" s="4">
        <v>45581</v>
      </c>
      <c r="FX45" s="4">
        <f>DATE(YEAR(FW45)+2,MONTH(FW45),DAY(FW45)-1)</f>
        <v>46310</v>
      </c>
      <c r="FY45" s="8">
        <f t="shared" ca="1" si="71"/>
        <v>165</v>
      </c>
      <c r="FZ45" s="5" t="str">
        <f t="shared" ca="1" si="72"/>
        <v>VIGENTE</v>
      </c>
      <c r="GA45" s="4"/>
      <c r="GB45" s="4">
        <v>46030</v>
      </c>
      <c r="GC45" s="4">
        <f>DATE(YEAR(GB45)+2,MONTH(GB45),DAY(GB45))</f>
        <v>46760</v>
      </c>
      <c r="GD45" s="8">
        <f t="shared" ca="1" si="73"/>
        <v>615</v>
      </c>
      <c r="GE45" s="5" t="str">
        <f t="shared" ca="1" si="74"/>
        <v>VIGENTE</v>
      </c>
      <c r="GF45" s="4"/>
      <c r="GG45" s="4">
        <v>46092</v>
      </c>
      <c r="GH45" s="4">
        <f>DATE(YEAR(GG45)+2,MONTH(GG45),DAY(GG45))</f>
        <v>46823</v>
      </c>
      <c r="GI45" s="8">
        <f t="shared" ca="1" si="75"/>
        <v>678</v>
      </c>
      <c r="GJ45" s="5" t="str">
        <f t="shared" ca="1" si="76"/>
        <v>VIGENTE</v>
      </c>
      <c r="GK45" s="3"/>
      <c r="GL45" s="4">
        <v>46044</v>
      </c>
      <c r="GM45" s="4">
        <f t="shared" si="217"/>
        <v>46774</v>
      </c>
      <c r="GN45" s="8">
        <f t="shared" ca="1" si="77"/>
        <v>629</v>
      </c>
      <c r="GO45" s="5" t="str">
        <f t="shared" ca="1" si="78"/>
        <v>VIGENTE</v>
      </c>
      <c r="GP45" s="4"/>
      <c r="GQ45" s="4">
        <v>45367</v>
      </c>
      <c r="GR45" s="4">
        <f t="shared" si="79"/>
        <v>47193</v>
      </c>
      <c r="GS45" s="8">
        <f t="shared" ca="1" si="176"/>
        <v>1048</v>
      </c>
      <c r="GT45" s="5" t="str">
        <f t="shared" ca="1" si="81"/>
        <v>VIGENTE</v>
      </c>
      <c r="GU45" s="4"/>
      <c r="GV45" s="4">
        <v>45464</v>
      </c>
      <c r="GW45" s="4">
        <f t="shared" si="82"/>
        <v>47290</v>
      </c>
      <c r="GX45" s="8">
        <f t="shared" ca="1" si="83"/>
        <v>1145</v>
      </c>
      <c r="GY45" s="5" t="str">
        <f t="shared" ca="1" si="84"/>
        <v>VIGENTE</v>
      </c>
      <c r="GZ45" s="6"/>
      <c r="HA45" s="4">
        <v>45479</v>
      </c>
      <c r="HB45" s="4">
        <f t="shared" si="85"/>
        <v>47305</v>
      </c>
      <c r="HC45" s="8">
        <f t="shared" ca="1" si="86"/>
        <v>1160</v>
      </c>
      <c r="HD45" s="5" t="str">
        <f t="shared" ca="1" si="87"/>
        <v>VIGENTE</v>
      </c>
      <c r="HE45" s="6"/>
      <c r="HF45" s="6"/>
      <c r="HG45" s="4"/>
      <c r="HH45" s="8"/>
      <c r="HI45" s="5" t="str">
        <f>IF(HH45&gt;=61,"VIGENTE",IF(HH45&gt;=1,"POR VENCER",IF(HH45&lt;=-1,"PROGRAMAR",IF(HF45=0,"NO APLICA"))))</f>
        <v>NO APLICA</v>
      </c>
      <c r="HJ45" s="6"/>
      <c r="HK45" s="6"/>
      <c r="HL45" s="4"/>
      <c r="HM45" s="8"/>
      <c r="HN45" s="5" t="str">
        <f t="shared" si="202"/>
        <v>NO APLICA</v>
      </c>
      <c r="HO45" s="2"/>
      <c r="HP45" s="2"/>
      <c r="HQ45" s="4"/>
      <c r="HR45" s="2"/>
      <c r="HS45" s="5" t="str">
        <f t="shared" si="92"/>
        <v>NO APLICA</v>
      </c>
      <c r="HT45" s="6"/>
      <c r="HU45" s="6"/>
      <c r="HV45" s="4"/>
      <c r="HW45" s="8"/>
      <c r="HX45" s="5" t="str">
        <f t="shared" si="93"/>
        <v>NO APLICA</v>
      </c>
      <c r="HY45" s="6"/>
      <c r="HZ45" s="6"/>
      <c r="IA45" s="4"/>
      <c r="IB45" s="8"/>
      <c r="IC45" s="5" t="str">
        <f t="shared" si="94"/>
        <v>NO APLICA</v>
      </c>
      <c r="ID45" s="6"/>
      <c r="IE45" s="6"/>
      <c r="IF45" s="4"/>
      <c r="IG45" s="8"/>
      <c r="IH45" s="5" t="str">
        <f t="shared" si="95"/>
        <v>NO APLICA</v>
      </c>
      <c r="II45" s="6"/>
      <c r="IJ45" s="6"/>
      <c r="IK45" s="4"/>
      <c r="IL45" s="6"/>
      <c r="IM45" s="5" t="str">
        <f t="shared" si="96"/>
        <v>NO APLICA</v>
      </c>
      <c r="IN45" s="6"/>
      <c r="IO45" s="4"/>
      <c r="IP45" s="4"/>
      <c r="IQ45" s="8"/>
      <c r="IR45" s="5" t="str">
        <f t="shared" si="97"/>
        <v>NO APLICA</v>
      </c>
      <c r="IS45" s="6"/>
      <c r="IT45" s="6"/>
      <c r="IU45" s="4"/>
      <c r="IV45" s="8"/>
      <c r="IW45" s="5" t="str">
        <f t="shared" si="98"/>
        <v>NO APLICA</v>
      </c>
      <c r="IX45" s="6"/>
      <c r="IY45" s="6"/>
      <c r="IZ45" s="4"/>
      <c r="JA45" s="8"/>
      <c r="JB45" s="5" t="str">
        <f t="shared" si="99"/>
        <v>NO APLICA</v>
      </c>
      <c r="JC45" s="3" t="s">
        <v>780</v>
      </c>
      <c r="JD45" s="3"/>
      <c r="JE45" s="4"/>
      <c r="JF45" s="8"/>
      <c r="JG45" s="5"/>
      <c r="JH45" s="3" t="s">
        <v>780</v>
      </c>
      <c r="JI45" s="6"/>
      <c r="JJ45" s="6"/>
      <c r="JK45" s="6"/>
      <c r="JL45" s="5"/>
      <c r="JM45" s="6" t="s">
        <v>780</v>
      </c>
      <c r="JN45" s="6"/>
      <c r="JO45" s="6"/>
      <c r="JP45" s="6"/>
      <c r="JQ45" s="5"/>
      <c r="JR45" s="6" t="s">
        <v>780</v>
      </c>
      <c r="JS45" s="6"/>
      <c r="JT45" s="6"/>
      <c r="JU45" s="6"/>
      <c r="JV45" s="5"/>
      <c r="JW45" s="6" t="s">
        <v>780</v>
      </c>
      <c r="JX45" s="5"/>
      <c r="JY45" s="5"/>
      <c r="JZ45" s="5"/>
      <c r="KA45" s="5"/>
      <c r="KB45" s="5"/>
      <c r="KC45" s="2"/>
      <c r="KD45" s="4"/>
      <c r="KE45" s="8"/>
      <c r="KF45" s="5" t="str">
        <f t="shared" si="135"/>
        <v>NO APLICA</v>
      </c>
      <c r="KG45" s="5"/>
      <c r="KH45" s="3">
        <v>45328</v>
      </c>
      <c r="KI45" s="4">
        <f>DATE(YEAR(KH45)+5,MONTH(KH45),DAY(KH45)-1)</f>
        <v>47154</v>
      </c>
      <c r="KJ45" s="8">
        <f ca="1">KI45-TODAY()</f>
        <v>1009</v>
      </c>
      <c r="KK45" s="5" t="str">
        <f t="shared" ca="1" si="136"/>
        <v>VIGENTE</v>
      </c>
      <c r="KL45" s="5"/>
      <c r="KM45" s="2"/>
      <c r="KN45" s="4"/>
      <c r="KO45" s="8"/>
      <c r="KP45" s="5" t="str">
        <f t="shared" si="100"/>
        <v>NO APLICA</v>
      </c>
      <c r="KQ45" s="5"/>
      <c r="KR45" s="3">
        <v>45346</v>
      </c>
      <c r="KS45" s="4">
        <f>DATE(YEAR(KR45)+5,MONTH(KR45),DAY(KR45))</f>
        <v>47173</v>
      </c>
      <c r="KT45" s="8">
        <f ca="1">KS45-TODAY()</f>
        <v>1028</v>
      </c>
      <c r="KU45" s="5" t="str">
        <f t="shared" ca="1" si="137"/>
        <v>VIGENTE</v>
      </c>
      <c r="KV45" s="6"/>
      <c r="KW45" s="6"/>
      <c r="KX45" s="4"/>
      <c r="KY45" s="6"/>
      <c r="KZ45" s="5" t="str">
        <f t="shared" si="151"/>
        <v>NO APLICA</v>
      </c>
      <c r="LA45" s="5"/>
      <c r="LB45" s="6"/>
      <c r="LC45" s="4"/>
      <c r="LD45" s="6"/>
      <c r="LE45" s="5" t="str">
        <f t="shared" si="138"/>
        <v>NO APLICA</v>
      </c>
      <c r="LF45" s="6"/>
      <c r="LG45" s="4"/>
      <c r="LH45" s="4"/>
      <c r="LI45" s="8"/>
      <c r="LJ45" s="5" t="str">
        <f t="shared" si="101"/>
        <v>NO APLICA</v>
      </c>
      <c r="LK45" s="5"/>
      <c r="LL45" s="5"/>
      <c r="LM45" s="4"/>
      <c r="LN45" s="8"/>
      <c r="LO45" s="5" t="str">
        <f t="shared" si="152"/>
        <v>NO APLICA</v>
      </c>
      <c r="LP45" s="6"/>
      <c r="LQ45" s="6"/>
      <c r="LR45" s="4"/>
      <c r="LS45" s="8"/>
      <c r="LT45" s="5" t="str">
        <f t="shared" si="139"/>
        <v>NO APLICA</v>
      </c>
      <c r="LU45" s="6"/>
      <c r="LV45" s="6"/>
      <c r="LW45" s="4"/>
      <c r="LX45" s="6"/>
      <c r="LY45" s="5" t="str">
        <f t="shared" si="140"/>
        <v>NO APLICA</v>
      </c>
      <c r="LZ45" s="6"/>
      <c r="MA45" s="6"/>
      <c r="MB45" s="4"/>
      <c r="MC45" s="6"/>
      <c r="MD45" s="5" t="str">
        <f t="shared" si="141"/>
        <v>NO APLICA</v>
      </c>
      <c r="ME45" s="6"/>
      <c r="MF45" s="6"/>
      <c r="MG45" s="4"/>
      <c r="MH45" s="6"/>
      <c r="MI45" s="5" t="str">
        <f t="shared" si="102"/>
        <v>NO APLICA</v>
      </c>
      <c r="MJ45" s="6"/>
      <c r="MK45" s="6"/>
      <c r="ML45" s="4"/>
      <c r="MM45" s="6"/>
      <c r="MN45" s="5" t="str">
        <f t="shared" si="103"/>
        <v>NO APLICA</v>
      </c>
      <c r="MO45" s="5"/>
      <c r="MP45" s="6"/>
      <c r="MQ45" s="4"/>
      <c r="MR45" s="6"/>
      <c r="MS45" s="5" t="str">
        <f t="shared" si="104"/>
        <v>NO APLICA</v>
      </c>
      <c r="MT45" s="5"/>
      <c r="MU45" s="6"/>
      <c r="MV45" s="6"/>
      <c r="MW45" s="6"/>
      <c r="MX45" s="5" t="str">
        <f t="shared" si="105"/>
        <v>NO APLICA</v>
      </c>
      <c r="MY45" s="6"/>
      <c r="MZ45" s="6"/>
      <c r="NA45" s="4"/>
      <c r="NB45" s="6"/>
      <c r="NC45" s="5" t="str">
        <f t="shared" si="106"/>
        <v>NO APLICA</v>
      </c>
      <c r="ND45" s="6"/>
      <c r="NE45" s="6"/>
      <c r="NF45" s="4"/>
      <c r="NG45" s="6"/>
      <c r="NH45" s="5" t="str">
        <f t="shared" si="107"/>
        <v>NO APLICA</v>
      </c>
      <c r="NI45" s="6"/>
      <c r="NJ45" s="6"/>
      <c r="NK45" s="4"/>
      <c r="NL45" s="6"/>
      <c r="NM45" s="5" t="str">
        <f t="shared" si="108"/>
        <v>NO APLICA</v>
      </c>
      <c r="NN45" s="6"/>
      <c r="NO45" s="6"/>
      <c r="NP45" s="4"/>
      <c r="NQ45" s="6"/>
      <c r="NR45" s="5" t="str">
        <f t="shared" si="109"/>
        <v>NO APLICA</v>
      </c>
      <c r="NS45" s="6"/>
      <c r="NT45" s="6"/>
      <c r="NU45" s="4"/>
      <c r="NV45" s="6"/>
      <c r="NW45" s="5" t="str">
        <f t="shared" si="110"/>
        <v>NO APLICA</v>
      </c>
      <c r="NX45" s="6"/>
      <c r="NY45" s="6"/>
      <c r="NZ45" s="4"/>
      <c r="OA45" s="8"/>
      <c r="OB45" s="5" t="str">
        <f t="shared" si="111"/>
        <v>NO APLICA</v>
      </c>
      <c r="OC45" s="6"/>
      <c r="OD45" s="6"/>
      <c r="OE45" s="6"/>
      <c r="OF45" s="6"/>
      <c r="OG45" s="5" t="str">
        <f t="shared" si="112"/>
        <v>NO APLICA</v>
      </c>
      <c r="OH45" s="6"/>
      <c r="OI45" s="6"/>
      <c r="OJ45" s="6"/>
      <c r="OK45" s="6"/>
      <c r="OL45" s="5" t="str">
        <f t="shared" si="113"/>
        <v>NO APLICA</v>
      </c>
      <c r="OM45" s="6"/>
      <c r="ON45" s="6"/>
      <c r="OO45" s="6"/>
      <c r="OP45" s="6"/>
      <c r="OQ45" s="5" t="str">
        <f t="shared" si="114"/>
        <v>NO APLICA</v>
      </c>
      <c r="OR45" s="6"/>
      <c r="OS45" s="6"/>
      <c r="OT45" s="6"/>
      <c r="OU45" s="6"/>
      <c r="OV45" s="5" t="str">
        <f t="shared" si="115"/>
        <v>NO APLICA</v>
      </c>
      <c r="OW45" s="6"/>
      <c r="OX45" s="6"/>
      <c r="OY45" s="6"/>
      <c r="OZ45" s="6"/>
      <c r="PA45" s="5" t="str">
        <f t="shared" si="116"/>
        <v>NO APLICA</v>
      </c>
      <c r="PB45" s="6"/>
      <c r="PC45" s="6"/>
      <c r="PD45" s="6"/>
      <c r="PE45" s="6"/>
      <c r="PF45" s="5" t="str">
        <f t="shared" si="117"/>
        <v>NO APLICA</v>
      </c>
      <c r="PG45" s="6"/>
      <c r="PH45" s="6"/>
      <c r="PI45" s="6"/>
      <c r="PJ45" s="6"/>
      <c r="PK45" s="5" t="str">
        <f t="shared" si="118"/>
        <v>NO APLICA</v>
      </c>
      <c r="PL45" s="5"/>
      <c r="PM45" s="6"/>
      <c r="PN45" s="6"/>
      <c r="PO45" s="6"/>
      <c r="PP45" s="5" t="str">
        <f t="shared" si="119"/>
        <v>NO APLICA</v>
      </c>
      <c r="PQ45" s="6"/>
      <c r="PR45" s="6"/>
      <c r="PS45" s="6"/>
      <c r="PT45" s="6"/>
      <c r="PU45" s="5" t="str">
        <f t="shared" si="120"/>
        <v>NO APLICA</v>
      </c>
      <c r="PV45" s="5"/>
      <c r="PW45" s="6"/>
      <c r="PX45" s="6"/>
      <c r="PY45" s="6"/>
      <c r="PZ45" s="5" t="str">
        <f t="shared" si="121"/>
        <v>NO APLICA</v>
      </c>
    </row>
    <row r="46" spans="1:442" ht="15.6" hidden="1" thickTop="1" thickBot="1" x14ac:dyDescent="0.35">
      <c r="A46" s="26">
        <v>43</v>
      </c>
      <c r="B46" s="27">
        <v>869</v>
      </c>
      <c r="C46" s="28" t="s">
        <v>203</v>
      </c>
      <c r="D46" s="29" t="s">
        <v>68</v>
      </c>
      <c r="E46" s="30" t="s">
        <v>77</v>
      </c>
      <c r="F46" s="5"/>
      <c r="G46" s="6"/>
      <c r="H46" s="4"/>
      <c r="I46" s="8"/>
      <c r="J46" s="5" t="str">
        <f t="shared" si="0"/>
        <v>NO APLICA</v>
      </c>
      <c r="K46" s="5"/>
      <c r="L46" s="6"/>
      <c r="M46" s="6"/>
      <c r="N46" s="8"/>
      <c r="O46" s="5" t="str">
        <f t="shared" si="1"/>
        <v>NO APLICA</v>
      </c>
      <c r="P46" s="6"/>
      <c r="Q46" s="6"/>
      <c r="R46" s="4"/>
      <c r="S46" s="8"/>
      <c r="T46" s="5" t="str">
        <f t="shared" si="122"/>
        <v>NO APLICA</v>
      </c>
      <c r="U46" s="5"/>
      <c r="V46" s="2" t="s">
        <v>204</v>
      </c>
      <c r="W46" s="4">
        <v>44790</v>
      </c>
      <c r="X46" s="4">
        <f t="shared" si="2"/>
        <v>46616</v>
      </c>
      <c r="Y46" s="8">
        <f t="shared" ca="1" si="3"/>
        <v>471</v>
      </c>
      <c r="Z46" s="5" t="str">
        <f t="shared" ca="1" si="4"/>
        <v>VIGENTE</v>
      </c>
      <c r="AA46" s="5"/>
      <c r="AB46" s="2" t="s">
        <v>205</v>
      </c>
      <c r="AC46" s="4">
        <v>44826</v>
      </c>
      <c r="AD46" s="4">
        <f>DATE(YEAR(AC46)+5,MONTH(AC46),DAY(AC46))</f>
        <v>46652</v>
      </c>
      <c r="AE46" s="8">
        <f ca="1">AD46-TODAY()</f>
        <v>507</v>
      </c>
      <c r="AF46" s="5" t="str">
        <f t="shared" ca="1" si="7"/>
        <v>VIGENTE</v>
      </c>
      <c r="AG46" s="3"/>
      <c r="AH46" s="3">
        <v>45609</v>
      </c>
      <c r="AI46" s="4">
        <f>DATE(YEAR(AH46)+2,MONTH(AH46),DAY(AH46)-1)</f>
        <v>46338</v>
      </c>
      <c r="AJ46" s="8">
        <f t="shared" ca="1" si="8"/>
        <v>193</v>
      </c>
      <c r="AK46" s="5" t="str">
        <f t="shared" ca="1" si="219"/>
        <v>VIGENTE</v>
      </c>
      <c r="AL46" s="3"/>
      <c r="AM46" s="4">
        <v>45710</v>
      </c>
      <c r="AN46" s="4">
        <f>DATE(YEAR(AM46)+2,MONTH(AM46),DAY(AM46)-1)</f>
        <v>46439</v>
      </c>
      <c r="AO46" s="8">
        <f t="shared" ca="1" si="10"/>
        <v>294</v>
      </c>
      <c r="AP46" s="5" t="str">
        <f t="shared" ca="1" si="11"/>
        <v>VIGENTE</v>
      </c>
      <c r="AQ46" s="3"/>
      <c r="AR46" s="4">
        <v>45845</v>
      </c>
      <c r="AS46" s="4">
        <f t="shared" si="220"/>
        <v>46575</v>
      </c>
      <c r="AT46" s="8">
        <f t="shared" ca="1" si="12"/>
        <v>430</v>
      </c>
      <c r="AU46" s="5" t="str">
        <f t="shared" ca="1" si="13"/>
        <v>VIGENTE</v>
      </c>
      <c r="AV46" s="3"/>
      <c r="AW46" s="4">
        <v>45972</v>
      </c>
      <c r="AX46" s="4">
        <f t="shared" si="221"/>
        <v>46702</v>
      </c>
      <c r="AY46" s="8">
        <f t="shared" ca="1" si="15"/>
        <v>557</v>
      </c>
      <c r="AZ46" s="5" t="str">
        <f t="shared" ca="1" si="16"/>
        <v>VIGENTE</v>
      </c>
      <c r="BA46" s="3"/>
      <c r="BB46" s="4">
        <v>46071</v>
      </c>
      <c r="BC46" s="4">
        <f>DATE(YEAR(BB46)+2,MONTH(BB46),DAY(BB46))</f>
        <v>46801</v>
      </c>
      <c r="BD46" s="8">
        <f t="shared" ca="1" si="17"/>
        <v>656</v>
      </c>
      <c r="BE46" s="5" t="str">
        <f t="shared" ca="1" si="18"/>
        <v>VIGENTE</v>
      </c>
      <c r="BF46" s="3"/>
      <c r="BG46" s="4">
        <v>46027</v>
      </c>
      <c r="BH46" s="4">
        <f t="shared" si="222"/>
        <v>46757</v>
      </c>
      <c r="BI46" s="8">
        <f t="shared" ca="1" si="19"/>
        <v>612</v>
      </c>
      <c r="BJ46" s="5" t="str">
        <f t="shared" ca="1" si="20"/>
        <v>VIGENTE</v>
      </c>
      <c r="BK46" s="3"/>
      <c r="BL46" s="4">
        <v>46051</v>
      </c>
      <c r="BM46" s="4">
        <f t="shared" ref="BM46:BM52" si="223">DATE(YEAR(BL46)+2,MONTH(BL46),DAY(BL46))</f>
        <v>46781</v>
      </c>
      <c r="BN46" s="8">
        <f t="shared" ca="1" si="21"/>
        <v>636</v>
      </c>
      <c r="BO46" s="5" t="str">
        <f t="shared" ca="1" si="22"/>
        <v>VIGENTE</v>
      </c>
      <c r="BP46" s="3"/>
      <c r="BQ46" s="39">
        <v>46069</v>
      </c>
      <c r="BR46" s="4">
        <f>DATE(YEAR(BQ46)+2,MONTH(BQ46),DAY(BQ46))</f>
        <v>46799</v>
      </c>
      <c r="BS46" s="8">
        <f t="shared" ca="1" si="23"/>
        <v>654</v>
      </c>
      <c r="BT46" s="5" t="str">
        <f t="shared" ca="1" si="24"/>
        <v>VIGENTE</v>
      </c>
      <c r="BU46" s="3"/>
      <c r="BV46" s="4">
        <v>46031</v>
      </c>
      <c r="BW46" s="4">
        <f>DATE(YEAR(BV46)+2,MONTH(BV46),DAY(BV46))</f>
        <v>46761</v>
      </c>
      <c r="BX46" s="8">
        <f t="shared" ca="1" si="25"/>
        <v>616</v>
      </c>
      <c r="BY46" s="5" t="str">
        <f t="shared" ca="1" si="26"/>
        <v>VIGENTE</v>
      </c>
      <c r="BZ46" s="3"/>
      <c r="CA46" s="4">
        <v>45954</v>
      </c>
      <c r="CB46" s="4">
        <f>DATE(YEAR(CA46)+2,MONTH(CA46),DAY(CA46))</f>
        <v>46684</v>
      </c>
      <c r="CC46" s="8">
        <f t="shared" ca="1" si="27"/>
        <v>539</v>
      </c>
      <c r="CD46" s="5" t="str">
        <f t="shared" ca="1" si="28"/>
        <v>VIGENTE</v>
      </c>
      <c r="CE46" s="6"/>
      <c r="CF46" s="4">
        <v>45227</v>
      </c>
      <c r="CG46" s="4">
        <f t="shared" si="29"/>
        <v>46688</v>
      </c>
      <c r="CH46" s="8">
        <f t="shared" ca="1" si="30"/>
        <v>543</v>
      </c>
      <c r="CI46" s="5" t="str">
        <f t="shared" ca="1" si="31"/>
        <v>VIGENTE</v>
      </c>
      <c r="CJ46" s="4"/>
      <c r="CK46" s="4">
        <v>46134</v>
      </c>
      <c r="CL46" s="4">
        <f>DATE(YEAR(CK46)+2,MONTH(CK46),DAY(CK46)-1)</f>
        <v>46864</v>
      </c>
      <c r="CM46" s="8">
        <f t="shared" ca="1" si="32"/>
        <v>719</v>
      </c>
      <c r="CN46" s="5" t="str">
        <f t="shared" ca="1" si="33"/>
        <v>VIGENTE</v>
      </c>
      <c r="CO46" s="3"/>
      <c r="CP46" s="39">
        <v>45513</v>
      </c>
      <c r="CQ46" s="4">
        <f>DATE(YEAR(CP46)+2,MONTH(CP46),DAY(CP46)-1)</f>
        <v>46242</v>
      </c>
      <c r="CR46" s="8">
        <f t="shared" ca="1" si="34"/>
        <v>97</v>
      </c>
      <c r="CS46" s="5" t="str">
        <f t="shared" ca="1" si="35"/>
        <v>VIGENTE</v>
      </c>
      <c r="CT46" s="3"/>
      <c r="CU46" s="4">
        <v>45639</v>
      </c>
      <c r="CV46" s="4">
        <f>DATE(YEAR(CU46)+2,MONTH(CU46),DAY(CU46)-1)</f>
        <v>46368</v>
      </c>
      <c r="CW46" s="8">
        <f t="shared" ca="1" si="36"/>
        <v>223</v>
      </c>
      <c r="CX46" s="5" t="str">
        <f t="shared" ca="1" si="37"/>
        <v>VIGENTE</v>
      </c>
      <c r="CY46" s="3"/>
      <c r="CZ46" s="4">
        <v>45646</v>
      </c>
      <c r="DA46" s="4">
        <f>DATE(YEAR(CZ46)+2,MONTH(CZ46),DAY(CZ46)-1)</f>
        <v>46375</v>
      </c>
      <c r="DB46" s="8">
        <f t="shared" ca="1" si="38"/>
        <v>230</v>
      </c>
      <c r="DC46" s="5" t="str">
        <f t="shared" ca="1" si="39"/>
        <v>VIGENTE</v>
      </c>
      <c r="DD46" s="3"/>
      <c r="DE46" s="39">
        <v>45689</v>
      </c>
      <c r="DF46" s="4">
        <f>DATE(YEAR(DE46)+2,MONTH(DE46),DAY(DE46)-1)</f>
        <v>46418</v>
      </c>
      <c r="DG46" s="8">
        <f t="shared" ca="1" si="40"/>
        <v>273</v>
      </c>
      <c r="DH46" s="5" t="str">
        <f t="shared" ca="1" si="41"/>
        <v>VIGENTE</v>
      </c>
      <c r="DI46" s="3"/>
      <c r="DJ46" s="39">
        <v>45696</v>
      </c>
      <c r="DK46" s="4">
        <f>DATE(YEAR(DJ46)+2,MONTH(DJ46),DAY(DJ46)-1)</f>
        <v>46425</v>
      </c>
      <c r="DL46" s="8">
        <f t="shared" ca="1" si="43"/>
        <v>280</v>
      </c>
      <c r="DM46" s="5" t="str">
        <f t="shared" ca="1" si="44"/>
        <v>VIGENTE</v>
      </c>
      <c r="DN46" s="3"/>
      <c r="DO46" s="4">
        <v>45982</v>
      </c>
      <c r="DP46" s="4">
        <f t="shared" si="218"/>
        <v>46712</v>
      </c>
      <c r="DQ46" s="8">
        <f t="shared" ca="1" si="46"/>
        <v>567</v>
      </c>
      <c r="DR46" s="5" t="str">
        <f t="shared" ca="1" si="47"/>
        <v>VIGENTE</v>
      </c>
      <c r="DS46" s="3"/>
      <c r="DT46" s="4">
        <v>46053</v>
      </c>
      <c r="DU46" s="4">
        <f>DATE(YEAR(DT46)+2,MONTH(DT46),DAY(DT46))</f>
        <v>46783</v>
      </c>
      <c r="DV46" s="8">
        <f t="shared" ca="1" si="48"/>
        <v>638</v>
      </c>
      <c r="DW46" s="5" t="str">
        <f t="shared" ca="1" si="49"/>
        <v>VIGENTE</v>
      </c>
      <c r="DX46" s="3"/>
      <c r="DY46" s="4">
        <v>45663</v>
      </c>
      <c r="DZ46" s="4">
        <f>DATE(YEAR(DY46)+2,MONTH(DY46),DAY(DY46)-1)</f>
        <v>46392</v>
      </c>
      <c r="EA46" s="8">
        <f t="shared" ca="1" si="50"/>
        <v>247</v>
      </c>
      <c r="EB46" s="5" t="str">
        <f t="shared" ca="1" si="51"/>
        <v>VIGENTE</v>
      </c>
      <c r="EC46" s="3"/>
      <c r="ED46" s="39">
        <v>45674</v>
      </c>
      <c r="EE46" s="4">
        <f>DATE(YEAR(ED46)+2,MONTH(ED46),DAY(ED46)-1)</f>
        <v>46403</v>
      </c>
      <c r="EF46" s="8">
        <f t="shared" ca="1" si="52"/>
        <v>258</v>
      </c>
      <c r="EG46" s="5" t="str">
        <f t="shared" ca="1" si="53"/>
        <v>VIGENTE</v>
      </c>
      <c r="EH46" s="3"/>
      <c r="EI46" s="4">
        <v>46123</v>
      </c>
      <c r="EJ46" s="4">
        <f t="shared" si="131"/>
        <v>46488</v>
      </c>
      <c r="EK46" s="8">
        <f t="shared" ca="1" si="54"/>
        <v>343</v>
      </c>
      <c r="EL46" s="5" t="str">
        <f t="shared" ca="1" si="55"/>
        <v>VIGENTE</v>
      </c>
      <c r="EM46" s="3"/>
      <c r="EN46" s="4">
        <v>46135</v>
      </c>
      <c r="EO46" s="4">
        <f>DATE(YEAR(EN46)+2,MONTH(EN46),DAY(EN46)-1)</f>
        <v>46865</v>
      </c>
      <c r="EP46" s="8">
        <f t="shared" ca="1" si="56"/>
        <v>720</v>
      </c>
      <c r="EQ46" s="5" t="str">
        <f t="shared" ca="1" si="57"/>
        <v>VIGENTE</v>
      </c>
      <c r="ER46" s="3"/>
      <c r="ES46" s="39">
        <v>46042</v>
      </c>
      <c r="ET46" s="4">
        <f>DATE(YEAR(ES46)+2,MONTH(ES46),DAY(ES46))</f>
        <v>46772</v>
      </c>
      <c r="EU46" s="8">
        <f t="shared" ca="1" si="58"/>
        <v>627</v>
      </c>
      <c r="EV46" s="5" t="str">
        <f t="shared" ca="1" si="59"/>
        <v>VIGENTE</v>
      </c>
      <c r="EW46" s="3"/>
      <c r="EX46" s="4">
        <v>45964</v>
      </c>
      <c r="EY46" s="4">
        <f t="shared" si="214"/>
        <v>46694</v>
      </c>
      <c r="EZ46" s="8">
        <f t="shared" ca="1" si="60"/>
        <v>549</v>
      </c>
      <c r="FA46" s="5" t="str">
        <f t="shared" ca="1" si="61"/>
        <v>VIGENTE</v>
      </c>
      <c r="FB46" s="3"/>
      <c r="FC46" s="4">
        <v>45988</v>
      </c>
      <c r="FD46" s="4">
        <f t="shared" si="215"/>
        <v>46718</v>
      </c>
      <c r="FE46" s="8">
        <f t="shared" ca="1" si="62"/>
        <v>573</v>
      </c>
      <c r="FF46" s="5" t="str">
        <f t="shared" ca="1" si="63"/>
        <v>VIGENTE</v>
      </c>
      <c r="FG46" s="3"/>
      <c r="FH46" s="4">
        <v>45932</v>
      </c>
      <c r="FI46" s="4">
        <f t="shared" si="216"/>
        <v>46662</v>
      </c>
      <c r="FJ46" s="8">
        <f t="shared" ca="1" si="64"/>
        <v>517</v>
      </c>
      <c r="FK46" s="5" t="str">
        <f t="shared" ca="1" si="65"/>
        <v>VIGENTE</v>
      </c>
      <c r="FL46" s="3"/>
      <c r="FM46" s="39">
        <v>45670</v>
      </c>
      <c r="FN46" s="4">
        <f>DATE(YEAR(FM46)+2,MONTH(FM46),DAY(FM46)-1)</f>
        <v>46399</v>
      </c>
      <c r="FO46" s="8">
        <f t="shared" ca="1" si="67"/>
        <v>254</v>
      </c>
      <c r="FP46" s="5" t="str">
        <f t="shared" ca="1" si="68"/>
        <v>VIGENTE</v>
      </c>
      <c r="FQ46" s="3"/>
      <c r="FR46" s="39">
        <v>45664</v>
      </c>
      <c r="FS46" s="4">
        <f>DATE(YEAR(FR46)+2,MONTH(FR46),DAY(FR46)-1)</f>
        <v>46393</v>
      </c>
      <c r="FT46" s="8">
        <f t="shared" ca="1" si="69"/>
        <v>248</v>
      </c>
      <c r="FU46" s="5" t="str">
        <f t="shared" ca="1" si="70"/>
        <v>VIGENTE</v>
      </c>
      <c r="FV46" s="4"/>
      <c r="FW46" s="4">
        <v>45574</v>
      </c>
      <c r="FX46" s="4">
        <f>DATE(YEAR(FW46)+2,MONTH(FW46),DAY(FW46)-1)</f>
        <v>46303</v>
      </c>
      <c r="FY46" s="8">
        <f t="shared" ca="1" si="71"/>
        <v>158</v>
      </c>
      <c r="FZ46" s="5" t="str">
        <f t="shared" ca="1" si="72"/>
        <v>VIGENTE</v>
      </c>
      <c r="GA46" s="3"/>
      <c r="GB46" s="4">
        <v>46030</v>
      </c>
      <c r="GC46" s="4">
        <f>DATE(YEAR(GB46)+2,MONTH(GB46),DAY(GB46))</f>
        <v>46760</v>
      </c>
      <c r="GD46" s="8">
        <f t="shared" ca="1" si="73"/>
        <v>615</v>
      </c>
      <c r="GE46" s="5" t="str">
        <f t="shared" ca="1" si="74"/>
        <v>VIGENTE</v>
      </c>
      <c r="GF46" s="3"/>
      <c r="GG46" s="4">
        <v>45672</v>
      </c>
      <c r="GH46" s="4">
        <f>DATE(YEAR(GG46)+2,MONTH(GG46),DAY(GG46)-1)</f>
        <v>46401</v>
      </c>
      <c r="GI46" s="8">
        <f t="shared" ca="1" si="75"/>
        <v>256</v>
      </c>
      <c r="GJ46" s="5" t="str">
        <f t="shared" ca="1" si="76"/>
        <v>VIGENTE</v>
      </c>
      <c r="GK46" s="3"/>
      <c r="GL46" s="4">
        <v>45923</v>
      </c>
      <c r="GM46" s="4">
        <f t="shared" si="217"/>
        <v>46653</v>
      </c>
      <c r="GN46" s="8">
        <f t="shared" ca="1" si="77"/>
        <v>508</v>
      </c>
      <c r="GO46" s="5" t="str">
        <f t="shared" ca="1" si="78"/>
        <v>VIGENTE</v>
      </c>
      <c r="GP46" s="4"/>
      <c r="GQ46" s="4">
        <v>45265</v>
      </c>
      <c r="GR46" s="4">
        <f t="shared" si="79"/>
        <v>47092</v>
      </c>
      <c r="GS46" s="8">
        <f t="shared" ca="1" si="176"/>
        <v>947</v>
      </c>
      <c r="GT46" s="5" t="str">
        <f t="shared" ca="1" si="81"/>
        <v>VIGENTE</v>
      </c>
      <c r="GU46" s="3"/>
      <c r="GV46" s="4">
        <v>45200</v>
      </c>
      <c r="GW46" s="4">
        <f t="shared" si="82"/>
        <v>47027</v>
      </c>
      <c r="GX46" s="8">
        <f t="shared" ca="1" si="83"/>
        <v>882</v>
      </c>
      <c r="GY46" s="5" t="str">
        <f t="shared" ca="1" si="84"/>
        <v>VIGENTE</v>
      </c>
      <c r="GZ46" s="3"/>
      <c r="HA46" s="4">
        <v>45268</v>
      </c>
      <c r="HB46" s="4">
        <f t="shared" si="85"/>
        <v>47095</v>
      </c>
      <c r="HC46" s="8">
        <f t="shared" ca="1" si="86"/>
        <v>950</v>
      </c>
      <c r="HD46" s="5" t="str">
        <f t="shared" ca="1" si="87"/>
        <v>VIGENTE</v>
      </c>
      <c r="HE46" s="6"/>
      <c r="HF46" s="4">
        <v>44865</v>
      </c>
      <c r="HG46" s="4">
        <f>DATE(YEAR(HF46)+5,MONTH(HF46),DAY(HF46))</f>
        <v>46691</v>
      </c>
      <c r="HH46" s="8">
        <f ca="1">HG46-TODAY()</f>
        <v>546</v>
      </c>
      <c r="HI46" s="5" t="str">
        <f t="shared" ref="HI46:HI72" ca="1" si="224">IF(HH46&gt;=61,"VIGENTE",IF(HH46&gt;=1,"POR VENCER",IF(HH46&lt;=-1,"VENCIDA",IF(HF46=0,"NO APLICA"))))</f>
        <v>VIGENTE</v>
      </c>
      <c r="HJ46" s="2"/>
      <c r="HK46" s="4">
        <v>45331</v>
      </c>
      <c r="HL46" s="4">
        <f>DATE(YEAR(HK46)+5,MONTH(HK46),DAY(HK46))</f>
        <v>47158</v>
      </c>
      <c r="HM46" s="8">
        <f ca="1">HL46-TODAY()</f>
        <v>1013</v>
      </c>
      <c r="HN46" s="5" t="str">
        <f t="shared" ca="1" si="202"/>
        <v>VIGENTE</v>
      </c>
      <c r="HO46" s="2"/>
      <c r="HP46" s="3">
        <v>45374</v>
      </c>
      <c r="HQ46" s="4">
        <f>DATE(YEAR(HP46)+5,MONTH(HP46),DAY(HP46))</f>
        <v>47200</v>
      </c>
      <c r="HR46" s="8">
        <f ca="1">HQ46-TODAY()</f>
        <v>1055</v>
      </c>
      <c r="HS46" s="5" t="str">
        <f t="shared" ca="1" si="92"/>
        <v>VIGENTE</v>
      </c>
      <c r="HT46" s="3"/>
      <c r="HU46" s="4">
        <v>45440</v>
      </c>
      <c r="HV46" s="4">
        <f>DATE(YEAR(HU46)+5,MONTH(HU46),DAY(HU46))</f>
        <v>47266</v>
      </c>
      <c r="HW46" s="8">
        <f ca="1">HV46-TODAY()</f>
        <v>1121</v>
      </c>
      <c r="HX46" s="5" t="str">
        <f t="shared" ca="1" si="93"/>
        <v>VIGENTE</v>
      </c>
      <c r="HY46" s="3"/>
      <c r="HZ46" s="4">
        <v>45205</v>
      </c>
      <c r="IA46" s="4">
        <f>DATE(YEAR(HZ46)+5,MONTH(HZ46),DAY(HZ46))</f>
        <v>47032</v>
      </c>
      <c r="IB46" s="8">
        <f ca="1">IA46-TODAY()</f>
        <v>887</v>
      </c>
      <c r="IC46" s="5" t="str">
        <f t="shared" ca="1" si="94"/>
        <v>VIGENTE</v>
      </c>
      <c r="ID46" s="3"/>
      <c r="IE46" s="4">
        <v>45173</v>
      </c>
      <c r="IF46" s="4">
        <f>DATE(YEAR(IE46)+5,MONTH(IE46),DAY(IE46))</f>
        <v>47000</v>
      </c>
      <c r="IG46" s="8">
        <f ca="1">IF46-TODAY()</f>
        <v>855</v>
      </c>
      <c r="IH46" s="5" t="str">
        <f t="shared" ca="1" si="95"/>
        <v>VIGENTE</v>
      </c>
      <c r="II46" s="4"/>
      <c r="IJ46" s="4">
        <v>45449</v>
      </c>
      <c r="IK46" s="4">
        <f>DATE(YEAR(IJ46)+5,MONTH(IJ46),DAY(IJ46))</f>
        <v>47275</v>
      </c>
      <c r="IL46" s="8">
        <f ca="1">IK46-TODAY()</f>
        <v>1130</v>
      </c>
      <c r="IM46" s="5" t="str">
        <f t="shared" ca="1" si="96"/>
        <v>VIGENTE</v>
      </c>
      <c r="IN46" s="3"/>
      <c r="IO46" s="4">
        <v>45433</v>
      </c>
      <c r="IP46" s="4">
        <f>DATE(YEAR(IO46)+5,MONTH(IO46),DAY(IO46))</f>
        <v>47259</v>
      </c>
      <c r="IQ46" s="8">
        <f ca="1">IP46-TODAY()</f>
        <v>1114</v>
      </c>
      <c r="IR46" s="5" t="str">
        <f t="shared" ca="1" si="97"/>
        <v>VIGENTE</v>
      </c>
      <c r="IS46" s="3"/>
      <c r="IT46" s="4">
        <v>45171</v>
      </c>
      <c r="IU46" s="4">
        <f>DATE(YEAR(IT46)+5,MONTH(IT46),DAY(IT46))</f>
        <v>46998</v>
      </c>
      <c r="IV46" s="8">
        <f ca="1">IU46-TODAY()</f>
        <v>853</v>
      </c>
      <c r="IW46" s="5" t="str">
        <f t="shared" ca="1" si="98"/>
        <v>VIGENTE</v>
      </c>
      <c r="IX46" s="3"/>
      <c r="IY46" s="4">
        <v>45206</v>
      </c>
      <c r="IZ46" s="4">
        <f>DATE(YEAR(IY46)+5,MONTH(IY46),DAY(IY46))</f>
        <v>47033</v>
      </c>
      <c r="JA46" s="8">
        <f ca="1">IZ46-TODAY()</f>
        <v>888</v>
      </c>
      <c r="JB46" s="5" t="str">
        <f t="shared" ca="1" si="99"/>
        <v>VIGENTE</v>
      </c>
      <c r="JC46" s="3" t="s">
        <v>780</v>
      </c>
      <c r="JD46" s="3"/>
      <c r="JE46" s="4"/>
      <c r="JF46" s="8"/>
      <c r="JG46" s="5"/>
      <c r="JH46" s="3" t="s">
        <v>780</v>
      </c>
      <c r="JI46" s="4"/>
      <c r="JJ46" s="4"/>
      <c r="JK46" s="8"/>
      <c r="JL46" s="5"/>
      <c r="JM46" s="6" t="s">
        <v>780</v>
      </c>
      <c r="JN46" s="4"/>
      <c r="JO46" s="4"/>
      <c r="JP46" s="8"/>
      <c r="JQ46" s="5"/>
      <c r="JR46" s="6" t="s">
        <v>780</v>
      </c>
      <c r="JS46" s="4"/>
      <c r="JT46" s="4"/>
      <c r="JU46" s="8"/>
      <c r="JV46" s="5"/>
      <c r="JW46" s="6" t="s">
        <v>780</v>
      </c>
      <c r="JX46" s="5"/>
      <c r="JY46" s="5"/>
      <c r="JZ46" s="5"/>
      <c r="KA46" s="5"/>
      <c r="KB46" s="5"/>
      <c r="KC46" s="2"/>
      <c r="KD46" s="4"/>
      <c r="KE46" s="8"/>
      <c r="KF46" s="5" t="str">
        <f t="shared" si="135"/>
        <v>NO APLICA</v>
      </c>
      <c r="KG46" s="5"/>
      <c r="KH46" s="2"/>
      <c r="KI46" s="4"/>
      <c r="KJ46" s="8"/>
      <c r="KK46" s="5" t="str">
        <f t="shared" si="136"/>
        <v>NO APLICA</v>
      </c>
      <c r="KL46" s="5"/>
      <c r="KM46" s="2"/>
      <c r="KN46" s="4"/>
      <c r="KO46" s="8"/>
      <c r="KP46" s="5" t="str">
        <f t="shared" si="100"/>
        <v>NO APLICA</v>
      </c>
      <c r="KQ46" s="5"/>
      <c r="KR46" s="2"/>
      <c r="KS46" s="4"/>
      <c r="KT46" s="8"/>
      <c r="KU46" s="5" t="str">
        <f t="shared" si="137"/>
        <v>NO APLICA</v>
      </c>
      <c r="KV46" s="3"/>
      <c r="KW46" s="4">
        <v>44651</v>
      </c>
      <c r="KX46" s="4">
        <f>DATE(YEAR(KW46)+5,MONTH(KW46),DAY(KW46))</f>
        <v>46477</v>
      </c>
      <c r="KY46" s="8">
        <f ca="1">KX46-TODAY()</f>
        <v>332</v>
      </c>
      <c r="KZ46" s="5" t="str">
        <f t="shared" ca="1" si="151"/>
        <v>VIGENTE</v>
      </c>
      <c r="LA46" s="5"/>
      <c r="LB46" s="6"/>
      <c r="LC46" s="4"/>
      <c r="LD46" s="8"/>
      <c r="LE46" s="5" t="str">
        <f t="shared" si="138"/>
        <v>NO APLICA</v>
      </c>
      <c r="LF46" s="4"/>
      <c r="LG46" s="4"/>
      <c r="LH46" s="4"/>
      <c r="LI46" s="8"/>
      <c r="LJ46" s="5" t="str">
        <f t="shared" si="101"/>
        <v>NO APLICA</v>
      </c>
      <c r="LK46" s="5"/>
      <c r="LL46" s="3"/>
      <c r="LM46" s="4"/>
      <c r="LN46" s="8"/>
      <c r="LO46" s="5" t="str">
        <f t="shared" si="152"/>
        <v>NO APLICA</v>
      </c>
      <c r="LP46" s="2"/>
      <c r="LQ46" s="6"/>
      <c r="LR46" s="4"/>
      <c r="LS46" s="8"/>
      <c r="LT46" s="5" t="str">
        <f t="shared" si="139"/>
        <v>NO APLICA</v>
      </c>
      <c r="LU46" s="6"/>
      <c r="LV46" s="6"/>
      <c r="LW46" s="4"/>
      <c r="LX46" s="8"/>
      <c r="LY46" s="5" t="str">
        <f t="shared" si="140"/>
        <v>NO APLICA</v>
      </c>
      <c r="LZ46" s="6"/>
      <c r="MA46" s="6"/>
      <c r="MB46" s="4"/>
      <c r="MC46" s="8"/>
      <c r="MD46" s="5" t="str">
        <f t="shared" si="141"/>
        <v>NO APLICA</v>
      </c>
      <c r="ME46" s="2"/>
      <c r="MF46" s="2"/>
      <c r="MG46" s="4"/>
      <c r="MH46" s="8"/>
      <c r="MI46" s="5" t="str">
        <f t="shared" si="102"/>
        <v>NO APLICA</v>
      </c>
      <c r="MJ46" s="2"/>
      <c r="MK46" s="2"/>
      <c r="ML46" s="4"/>
      <c r="MM46" s="8"/>
      <c r="MN46" s="5" t="str">
        <f t="shared" si="103"/>
        <v>NO APLICA</v>
      </c>
      <c r="MO46" s="5"/>
      <c r="MP46" s="2"/>
      <c r="MQ46" s="4"/>
      <c r="MR46" s="8"/>
      <c r="MS46" s="5" t="str">
        <f t="shared" si="104"/>
        <v>NO APLICA</v>
      </c>
      <c r="MT46" s="5"/>
      <c r="MU46" s="2"/>
      <c r="MV46" s="4"/>
      <c r="MW46" s="2"/>
      <c r="MX46" s="5" t="str">
        <f t="shared" si="105"/>
        <v>NO APLICA</v>
      </c>
      <c r="MY46" s="2"/>
      <c r="MZ46" s="6"/>
      <c r="NA46" s="4"/>
      <c r="NB46" s="8"/>
      <c r="NC46" s="5" t="str">
        <f t="shared" si="106"/>
        <v>NO APLICA</v>
      </c>
      <c r="ND46" s="2"/>
      <c r="NE46" s="6"/>
      <c r="NF46" s="4"/>
      <c r="NG46" s="8"/>
      <c r="NH46" s="5" t="str">
        <f t="shared" si="107"/>
        <v>NO APLICA</v>
      </c>
      <c r="NI46" s="2"/>
      <c r="NJ46" s="6"/>
      <c r="NK46" s="4"/>
      <c r="NL46" s="8"/>
      <c r="NM46" s="5" t="str">
        <f t="shared" si="108"/>
        <v>NO APLICA</v>
      </c>
      <c r="NN46" s="2"/>
      <c r="NO46" s="2"/>
      <c r="NP46" s="4"/>
      <c r="NQ46" s="8"/>
      <c r="NR46" s="5" t="str">
        <f t="shared" si="109"/>
        <v>NO APLICA</v>
      </c>
      <c r="NS46" s="2"/>
      <c r="NT46" s="2"/>
      <c r="NU46" s="2"/>
      <c r="NV46" s="2"/>
      <c r="NW46" s="5" t="str">
        <f t="shared" si="110"/>
        <v>NO APLICA</v>
      </c>
      <c r="NX46" s="6"/>
      <c r="NY46" s="6"/>
      <c r="NZ46" s="4"/>
      <c r="OA46" s="8"/>
      <c r="OB46" s="5" t="str">
        <f t="shared" si="111"/>
        <v>NO APLICA</v>
      </c>
      <c r="OC46" s="6"/>
      <c r="OD46" s="6"/>
      <c r="OE46" s="6"/>
      <c r="OF46" s="6"/>
      <c r="OG46" s="5" t="str">
        <f t="shared" si="112"/>
        <v>NO APLICA</v>
      </c>
      <c r="OH46" s="2"/>
      <c r="OI46" s="2"/>
      <c r="OJ46" s="4"/>
      <c r="OK46" s="8"/>
      <c r="OL46" s="5" t="str">
        <f t="shared" si="113"/>
        <v>NO APLICA</v>
      </c>
      <c r="OM46" s="6"/>
      <c r="ON46" s="6"/>
      <c r="OO46" s="6"/>
      <c r="OP46" s="6"/>
      <c r="OQ46" s="5" t="str">
        <f t="shared" si="114"/>
        <v>NO APLICA</v>
      </c>
      <c r="OR46" s="6"/>
      <c r="OS46" s="6"/>
      <c r="OT46" s="6"/>
      <c r="OU46" s="6"/>
      <c r="OV46" s="5" t="str">
        <f t="shared" si="115"/>
        <v>NO APLICA</v>
      </c>
      <c r="OW46" s="6"/>
      <c r="OX46" s="6"/>
      <c r="OY46" s="6"/>
      <c r="OZ46" s="6"/>
      <c r="PA46" s="5" t="str">
        <f t="shared" si="116"/>
        <v>NO APLICA</v>
      </c>
      <c r="PB46" s="6"/>
      <c r="PC46" s="6"/>
      <c r="PD46" s="6"/>
      <c r="PE46" s="6"/>
      <c r="PF46" s="5" t="str">
        <f t="shared" si="117"/>
        <v>NO APLICA</v>
      </c>
      <c r="PG46" s="6"/>
      <c r="PH46" s="6"/>
      <c r="PI46" s="6"/>
      <c r="PJ46" s="6"/>
      <c r="PK46" s="5" t="str">
        <f t="shared" si="118"/>
        <v>NO APLICA</v>
      </c>
      <c r="PL46" s="5"/>
      <c r="PM46" s="6"/>
      <c r="PN46" s="4"/>
      <c r="PO46" s="8"/>
      <c r="PP46" s="5" t="str">
        <f t="shared" si="119"/>
        <v>NO APLICA</v>
      </c>
      <c r="PQ46" s="6"/>
      <c r="PR46" s="6"/>
      <c r="PS46" s="6"/>
      <c r="PT46" s="6"/>
      <c r="PU46" s="5" t="str">
        <f t="shared" si="120"/>
        <v>NO APLICA</v>
      </c>
      <c r="PV46" s="5"/>
      <c r="PW46" s="6"/>
      <c r="PX46" s="6"/>
      <c r="PY46" s="6"/>
      <c r="PZ46" s="5" t="str">
        <f t="shared" si="121"/>
        <v>NO APLICA</v>
      </c>
    </row>
    <row r="47" spans="1:442" ht="15.6" hidden="1" thickTop="1" thickBot="1" x14ac:dyDescent="0.35">
      <c r="A47" s="26">
        <v>44</v>
      </c>
      <c r="B47" s="31">
        <v>1647</v>
      </c>
      <c r="C47" s="28" t="s">
        <v>206</v>
      </c>
      <c r="D47" s="29" t="s">
        <v>113</v>
      </c>
      <c r="E47" s="30" t="s">
        <v>148</v>
      </c>
      <c r="F47" s="3"/>
      <c r="G47" s="4">
        <v>46060</v>
      </c>
      <c r="H47" s="4">
        <f>DATE(YEAR(G47)+2,MONTH(G47),DAY(G47))</f>
        <v>46790</v>
      </c>
      <c r="I47" s="8">
        <f ca="1">H47-TODAY()</f>
        <v>645</v>
      </c>
      <c r="J47" s="5" t="str">
        <f t="shared" ca="1" si="0"/>
        <v>VIGENTE</v>
      </c>
      <c r="K47" s="2"/>
      <c r="L47" s="2"/>
      <c r="M47" s="2"/>
      <c r="N47" s="2"/>
      <c r="O47" s="5" t="str">
        <f t="shared" si="1"/>
        <v>NO APLICA</v>
      </c>
      <c r="P47" s="6"/>
      <c r="Q47" s="6"/>
      <c r="R47" s="4"/>
      <c r="S47" s="8"/>
      <c r="T47" s="5" t="str">
        <f t="shared" si="122"/>
        <v>NO APLICA</v>
      </c>
      <c r="U47" s="5"/>
      <c r="V47" s="2" t="s">
        <v>207</v>
      </c>
      <c r="W47" s="4">
        <v>44944</v>
      </c>
      <c r="X47" s="4">
        <f t="shared" si="2"/>
        <v>46770</v>
      </c>
      <c r="Y47" s="8">
        <f t="shared" ca="1" si="3"/>
        <v>625</v>
      </c>
      <c r="Z47" s="5" t="str">
        <f t="shared" ca="1" si="4"/>
        <v>VIGENTE</v>
      </c>
      <c r="AA47" s="5"/>
      <c r="AB47" s="2"/>
      <c r="AC47" s="6"/>
      <c r="AD47" s="4"/>
      <c r="AE47" s="8"/>
      <c r="AF47" s="5" t="str">
        <f t="shared" si="7"/>
        <v>NO APLICA</v>
      </c>
      <c r="AG47" s="2"/>
      <c r="AH47" s="4">
        <v>45892</v>
      </c>
      <c r="AI47" s="4">
        <f>DATE(YEAR(AH47)+2,MONTH(AH47),DAY(AH47))</f>
        <v>46622</v>
      </c>
      <c r="AJ47" s="8">
        <f t="shared" ca="1" si="8"/>
        <v>477</v>
      </c>
      <c r="AK47" s="5" t="str">
        <f t="shared" ca="1" si="219"/>
        <v>VIGENTE</v>
      </c>
      <c r="AL47" s="3"/>
      <c r="AM47" s="4">
        <v>45838</v>
      </c>
      <c r="AN47" s="4">
        <f>DATE(YEAR(AM47)+2,MONTH(AM47),DAY(AM47))</f>
        <v>46568</v>
      </c>
      <c r="AO47" s="8">
        <f t="shared" ca="1" si="10"/>
        <v>423</v>
      </c>
      <c r="AP47" s="5" t="str">
        <f t="shared" ca="1" si="11"/>
        <v>VIGENTE</v>
      </c>
      <c r="AQ47" s="3"/>
      <c r="AR47" s="4">
        <v>45904</v>
      </c>
      <c r="AS47" s="4">
        <f t="shared" si="220"/>
        <v>46634</v>
      </c>
      <c r="AT47" s="8">
        <f t="shared" ca="1" si="12"/>
        <v>489</v>
      </c>
      <c r="AU47" s="5" t="str">
        <f t="shared" ca="1" si="13"/>
        <v>VIGENTE</v>
      </c>
      <c r="AV47" s="2"/>
      <c r="AW47" s="4">
        <v>45990</v>
      </c>
      <c r="AX47" s="4">
        <f t="shared" si="221"/>
        <v>46720</v>
      </c>
      <c r="AY47" s="8">
        <f t="shared" ca="1" si="15"/>
        <v>575</v>
      </c>
      <c r="AZ47" s="5" t="str">
        <f t="shared" ca="1" si="16"/>
        <v>VIGENTE</v>
      </c>
      <c r="BA47" s="3"/>
      <c r="BB47" s="4">
        <v>45943</v>
      </c>
      <c r="BC47" s="4">
        <f>DATE(YEAR(BB47)+2,MONTH(BB47),DAY(BB47))</f>
        <v>46673</v>
      </c>
      <c r="BD47" s="8">
        <f t="shared" ca="1" si="17"/>
        <v>528</v>
      </c>
      <c r="BE47" s="5" t="str">
        <f t="shared" ca="1" si="18"/>
        <v>VIGENTE</v>
      </c>
      <c r="BF47" s="2"/>
      <c r="BG47" s="4">
        <v>45997</v>
      </c>
      <c r="BH47" s="4">
        <f t="shared" si="222"/>
        <v>46727</v>
      </c>
      <c r="BI47" s="8">
        <f t="shared" ca="1" si="19"/>
        <v>582</v>
      </c>
      <c r="BJ47" s="5" t="str">
        <f t="shared" ca="1" si="20"/>
        <v>VIGENTE</v>
      </c>
      <c r="BK47" s="3"/>
      <c r="BL47" s="4">
        <v>45797</v>
      </c>
      <c r="BM47" s="4">
        <f t="shared" si="223"/>
        <v>46527</v>
      </c>
      <c r="BN47" s="8">
        <f t="shared" ca="1" si="21"/>
        <v>382</v>
      </c>
      <c r="BO47" s="5" t="str">
        <f t="shared" ca="1" si="22"/>
        <v>VIGENTE</v>
      </c>
      <c r="BP47" s="3"/>
      <c r="BQ47" s="39">
        <v>45701</v>
      </c>
      <c r="BR47" s="4">
        <f>DATE(YEAR(BQ47)+2,MONTH(BQ47),DAY(BQ47)-1)</f>
        <v>46430</v>
      </c>
      <c r="BS47" s="8">
        <f t="shared" ca="1" si="23"/>
        <v>285</v>
      </c>
      <c r="BT47" s="5" t="str">
        <f t="shared" ca="1" si="24"/>
        <v>VIGENTE</v>
      </c>
      <c r="BU47" s="3"/>
      <c r="BV47" s="4">
        <v>45871</v>
      </c>
      <c r="BW47" s="4">
        <f>DATE(YEAR(BV47)+2,MONTH(BV47),DAY(BV47))</f>
        <v>46601</v>
      </c>
      <c r="BX47" s="8">
        <f t="shared" ca="1" si="25"/>
        <v>456</v>
      </c>
      <c r="BY47" s="5" t="str">
        <f t="shared" ca="1" si="26"/>
        <v>VIGENTE</v>
      </c>
      <c r="BZ47" s="3"/>
      <c r="CA47" s="4">
        <v>45954</v>
      </c>
      <c r="CB47" s="4">
        <f>DATE(YEAR(CA47)+2,MONTH(CA47),DAY(CA47))</f>
        <v>46684</v>
      </c>
      <c r="CC47" s="8">
        <f t="shared" ca="1" si="27"/>
        <v>539</v>
      </c>
      <c r="CD47" s="5" t="str">
        <f t="shared" ca="1" si="28"/>
        <v>VIGENTE</v>
      </c>
      <c r="CE47" s="6"/>
      <c r="CF47" s="4">
        <v>45828</v>
      </c>
      <c r="CG47" s="4">
        <f t="shared" si="29"/>
        <v>47289</v>
      </c>
      <c r="CH47" s="8">
        <f t="shared" ca="1" si="30"/>
        <v>1144</v>
      </c>
      <c r="CI47" s="5" t="str">
        <f t="shared" ca="1" si="31"/>
        <v>VIGENTE</v>
      </c>
      <c r="CJ47" s="6"/>
      <c r="CK47" s="4">
        <v>45929</v>
      </c>
      <c r="CL47" s="4">
        <f>DATE(YEAR(CK47)+2,MONTH(CK47),DAY(CK47))</f>
        <v>46659</v>
      </c>
      <c r="CM47" s="8">
        <f t="shared" ca="1" si="32"/>
        <v>514</v>
      </c>
      <c r="CN47" s="5" t="str">
        <f t="shared" ca="1" si="33"/>
        <v>VIGENTE</v>
      </c>
      <c r="CO47" s="3"/>
      <c r="CP47" s="39">
        <v>45888</v>
      </c>
      <c r="CQ47" s="4">
        <f>DATE(YEAR(CP47)+2,MONTH(CP47),DAY(CP47))</f>
        <v>46618</v>
      </c>
      <c r="CR47" s="8">
        <f t="shared" ca="1" si="34"/>
        <v>473</v>
      </c>
      <c r="CS47" s="5" t="str">
        <f t="shared" ca="1" si="35"/>
        <v>VIGENTE</v>
      </c>
      <c r="CT47" s="3"/>
      <c r="CU47" s="4">
        <v>45965</v>
      </c>
      <c r="CV47" s="4">
        <f>DATE(YEAR(CU47)+2,MONTH(CU47),DAY(CU47))</f>
        <v>46695</v>
      </c>
      <c r="CW47" s="8">
        <f t="shared" ca="1" si="36"/>
        <v>550</v>
      </c>
      <c r="CX47" s="5" t="str">
        <f t="shared" ca="1" si="37"/>
        <v>VIGENTE</v>
      </c>
      <c r="CY47" s="3"/>
      <c r="CZ47" s="4">
        <v>45924</v>
      </c>
      <c r="DA47" s="4">
        <f>DATE(YEAR(CZ47)+2,MONTH(CZ47),DAY(CZ47))</f>
        <v>46654</v>
      </c>
      <c r="DB47" s="8">
        <f t="shared" ca="1" si="38"/>
        <v>509</v>
      </c>
      <c r="DC47" s="5" t="str">
        <f t="shared" ca="1" si="39"/>
        <v>VIGENTE</v>
      </c>
      <c r="DD47" s="3"/>
      <c r="DE47" s="39">
        <v>45896</v>
      </c>
      <c r="DF47" s="4">
        <f>DATE(YEAR(DE47)+2,MONTH(DE47),DAY(DE47))</f>
        <v>46626</v>
      </c>
      <c r="DG47" s="8">
        <f t="shared" ca="1" si="40"/>
        <v>481</v>
      </c>
      <c r="DH47" s="5" t="str">
        <f t="shared" ca="1" si="41"/>
        <v>VIGENTE</v>
      </c>
      <c r="DI47" s="3"/>
      <c r="DJ47" s="39">
        <v>45834</v>
      </c>
      <c r="DK47" s="4">
        <f t="shared" ref="DK47:DK54" si="225">DATE(YEAR(DJ47)+2,MONTH(DJ47),DAY(DJ47))</f>
        <v>46564</v>
      </c>
      <c r="DL47" s="8">
        <f t="shared" ca="1" si="43"/>
        <v>419</v>
      </c>
      <c r="DM47" s="5" t="str">
        <f t="shared" ca="1" si="44"/>
        <v>VIGENTE</v>
      </c>
      <c r="DN47" s="4"/>
      <c r="DO47" s="4">
        <v>45873</v>
      </c>
      <c r="DP47" s="4">
        <f t="shared" si="218"/>
        <v>46603</v>
      </c>
      <c r="DQ47" s="8">
        <f t="shared" ca="1" si="46"/>
        <v>458</v>
      </c>
      <c r="DR47" s="5" t="str">
        <f t="shared" ca="1" si="47"/>
        <v>VIGENTE</v>
      </c>
      <c r="DS47" s="3"/>
      <c r="DT47" s="4">
        <v>45852</v>
      </c>
      <c r="DU47" s="4">
        <f>DATE(YEAR(DT47)+2,MONTH(DT47),DAY(DT47))</f>
        <v>46582</v>
      </c>
      <c r="DV47" s="8">
        <f t="shared" ca="1" si="48"/>
        <v>437</v>
      </c>
      <c r="DW47" s="5" t="str">
        <f t="shared" ca="1" si="49"/>
        <v>VIGENTE</v>
      </c>
      <c r="DX47" s="3"/>
      <c r="DY47" s="4">
        <v>45934</v>
      </c>
      <c r="DZ47" s="4">
        <f>DATE(YEAR(DY47)+2,MONTH(DY47),DAY(DY47))</f>
        <v>46664</v>
      </c>
      <c r="EA47" s="8">
        <f t="shared" ca="1" si="50"/>
        <v>519</v>
      </c>
      <c r="EB47" s="5" t="str">
        <f t="shared" ca="1" si="51"/>
        <v>VIGENTE</v>
      </c>
      <c r="EC47" s="3"/>
      <c r="ED47" s="39">
        <v>45913</v>
      </c>
      <c r="EE47" s="4">
        <f>DATE(YEAR(ED47)+2,MONTH(ED47),DAY(ED47))</f>
        <v>46643</v>
      </c>
      <c r="EF47" s="8">
        <f t="shared" ca="1" si="52"/>
        <v>498</v>
      </c>
      <c r="EG47" s="5" t="str">
        <f t="shared" ca="1" si="53"/>
        <v>VIGENTE</v>
      </c>
      <c r="EH47" s="3"/>
      <c r="EI47" s="3">
        <v>45911</v>
      </c>
      <c r="EJ47" s="4">
        <f t="shared" si="131"/>
        <v>46276</v>
      </c>
      <c r="EK47" s="8">
        <f t="shared" ca="1" si="54"/>
        <v>131</v>
      </c>
      <c r="EL47" s="5" t="str">
        <f t="shared" ca="1" si="55"/>
        <v>VIGENTE</v>
      </c>
      <c r="EM47" s="3"/>
      <c r="EN47" s="4">
        <v>45966</v>
      </c>
      <c r="EO47" s="4">
        <f>DATE(YEAR(EN47)+2,MONTH(EN47),DAY(EN47))</f>
        <v>46696</v>
      </c>
      <c r="EP47" s="8">
        <f t="shared" ca="1" si="56"/>
        <v>551</v>
      </c>
      <c r="EQ47" s="5" t="str">
        <f t="shared" ca="1" si="57"/>
        <v>VIGENTE</v>
      </c>
      <c r="ER47" s="2"/>
      <c r="ES47" s="39">
        <v>45922</v>
      </c>
      <c r="ET47" s="4">
        <f>DATE(YEAR(ES47)+2,MONTH(ES47),DAY(ES47))</f>
        <v>46652</v>
      </c>
      <c r="EU47" s="8">
        <f t="shared" ca="1" si="58"/>
        <v>507</v>
      </c>
      <c r="EV47" s="5" t="str">
        <f t="shared" ca="1" si="59"/>
        <v>VIGENTE</v>
      </c>
      <c r="EW47" s="3"/>
      <c r="EX47" s="4">
        <v>45917</v>
      </c>
      <c r="EY47" s="4">
        <f t="shared" si="214"/>
        <v>46647</v>
      </c>
      <c r="EZ47" s="8">
        <f t="shared" ca="1" si="60"/>
        <v>502</v>
      </c>
      <c r="FA47" s="5" t="str">
        <f t="shared" ca="1" si="61"/>
        <v>VIGENTE</v>
      </c>
      <c r="FB47" s="2"/>
      <c r="FC47" s="4">
        <v>45931</v>
      </c>
      <c r="FD47" s="4">
        <f t="shared" si="215"/>
        <v>46661</v>
      </c>
      <c r="FE47" s="8">
        <f t="shared" ca="1" si="62"/>
        <v>516</v>
      </c>
      <c r="FF47" s="5" t="str">
        <f t="shared" ca="1" si="63"/>
        <v>VIGENTE</v>
      </c>
      <c r="FG47" s="2"/>
      <c r="FH47" s="4">
        <v>45932</v>
      </c>
      <c r="FI47" s="4">
        <f t="shared" si="216"/>
        <v>46662</v>
      </c>
      <c r="FJ47" s="8">
        <f t="shared" ca="1" si="64"/>
        <v>517</v>
      </c>
      <c r="FK47" s="5" t="str">
        <f t="shared" ca="1" si="65"/>
        <v>VIGENTE</v>
      </c>
      <c r="FL47" s="3"/>
      <c r="FM47" s="39">
        <v>45933</v>
      </c>
      <c r="FN47" s="4">
        <f>DATE(YEAR(FM47)+2,MONTH(FM47),DAY(FM47))</f>
        <v>46663</v>
      </c>
      <c r="FO47" s="8">
        <f t="shared" ca="1" si="67"/>
        <v>518</v>
      </c>
      <c r="FP47" s="5" t="str">
        <f t="shared" ca="1" si="68"/>
        <v>VIGENTE</v>
      </c>
      <c r="FQ47" s="3"/>
      <c r="FR47" s="39">
        <v>46013</v>
      </c>
      <c r="FS47" s="4">
        <f>DATE(YEAR(FR47)+2,MONTH(FR47),DAY(FR47))</f>
        <v>46743</v>
      </c>
      <c r="FT47" s="8">
        <f t="shared" ca="1" si="69"/>
        <v>598</v>
      </c>
      <c r="FU47" s="5" t="str">
        <f t="shared" ca="1" si="70"/>
        <v>VIGENTE</v>
      </c>
      <c r="FV47" s="3"/>
      <c r="FW47" s="4">
        <v>45961</v>
      </c>
      <c r="FX47" s="4">
        <f>DATE(YEAR(FW47)+2,MONTH(FW47),DAY(FW47))</f>
        <v>46691</v>
      </c>
      <c r="FY47" s="8">
        <f t="shared" ca="1" si="71"/>
        <v>546</v>
      </c>
      <c r="FZ47" s="5" t="str">
        <f t="shared" ca="1" si="72"/>
        <v>VIGENTE</v>
      </c>
      <c r="GA47" s="3"/>
      <c r="GB47" s="4">
        <v>45925</v>
      </c>
      <c r="GC47" s="4">
        <f>DATE(YEAR(GB47)+2,MONTH(GB47),DAY(GB47))</f>
        <v>46655</v>
      </c>
      <c r="GD47" s="8">
        <f t="shared" ca="1" si="73"/>
        <v>510</v>
      </c>
      <c r="GE47" s="5" t="str">
        <f t="shared" ca="1" si="74"/>
        <v>VIGENTE</v>
      </c>
      <c r="GF47" s="3"/>
      <c r="GG47" s="4">
        <v>45985</v>
      </c>
      <c r="GH47" s="4">
        <f>DATE(YEAR(GG47)+2,MONTH(GG47),DAY(GG47))</f>
        <v>46715</v>
      </c>
      <c r="GI47" s="8">
        <f t="shared" ca="1" si="75"/>
        <v>570</v>
      </c>
      <c r="GJ47" s="5" t="str">
        <f t="shared" ca="1" si="76"/>
        <v>VIGENTE</v>
      </c>
      <c r="GK47" s="3"/>
      <c r="GL47" s="4">
        <v>45958</v>
      </c>
      <c r="GM47" s="4">
        <f t="shared" si="217"/>
        <v>46688</v>
      </c>
      <c r="GN47" s="8">
        <f t="shared" ca="1" si="77"/>
        <v>543</v>
      </c>
      <c r="GO47" s="5" t="str">
        <f t="shared" ca="1" si="78"/>
        <v>VIGENTE</v>
      </c>
      <c r="GP47" s="4"/>
      <c r="GQ47" s="4">
        <v>45181</v>
      </c>
      <c r="GR47" s="4">
        <f t="shared" si="79"/>
        <v>47008</v>
      </c>
      <c r="GS47" s="8">
        <f t="shared" ca="1" si="176"/>
        <v>863</v>
      </c>
      <c r="GT47" s="5" t="str">
        <f t="shared" ca="1" si="81"/>
        <v>VIGENTE</v>
      </c>
      <c r="GU47" s="3"/>
      <c r="GV47" s="4">
        <v>45329</v>
      </c>
      <c r="GW47" s="4">
        <f t="shared" si="82"/>
        <v>47156</v>
      </c>
      <c r="GX47" s="8">
        <f t="shared" ca="1" si="83"/>
        <v>1011</v>
      </c>
      <c r="GY47" s="5" t="str">
        <f t="shared" ca="1" si="84"/>
        <v>VIGENTE</v>
      </c>
      <c r="GZ47" s="2"/>
      <c r="HA47" s="4">
        <v>45258</v>
      </c>
      <c r="HB47" s="4">
        <f t="shared" si="85"/>
        <v>47085</v>
      </c>
      <c r="HC47" s="8">
        <f t="shared" ca="1" si="86"/>
        <v>940</v>
      </c>
      <c r="HD47" s="5" t="str">
        <f t="shared" ca="1" si="87"/>
        <v>VIGENTE</v>
      </c>
      <c r="HE47" s="6"/>
      <c r="HF47" s="6"/>
      <c r="HG47" s="4"/>
      <c r="HH47" s="8"/>
      <c r="HI47" s="5" t="str">
        <f t="shared" si="224"/>
        <v>NO APLICA</v>
      </c>
      <c r="HJ47" s="2"/>
      <c r="HK47" s="6"/>
      <c r="HL47" s="4"/>
      <c r="HM47" s="8"/>
      <c r="HN47" s="5" t="str">
        <f t="shared" si="202"/>
        <v>NO APLICA</v>
      </c>
      <c r="HO47" s="2"/>
      <c r="HP47" s="2"/>
      <c r="HQ47" s="4"/>
      <c r="HR47" s="2"/>
      <c r="HS47" s="5" t="str">
        <f t="shared" si="92"/>
        <v>NO APLICA</v>
      </c>
      <c r="HT47" s="2"/>
      <c r="HU47" s="6"/>
      <c r="HV47" s="4"/>
      <c r="HW47" s="8"/>
      <c r="HX47" s="5" t="str">
        <f t="shared" si="93"/>
        <v>NO APLICA</v>
      </c>
      <c r="HY47" s="2"/>
      <c r="HZ47" s="6"/>
      <c r="IA47" s="4"/>
      <c r="IB47" s="8"/>
      <c r="IC47" s="5" t="str">
        <f t="shared" si="94"/>
        <v>NO APLICA</v>
      </c>
      <c r="ID47" s="2"/>
      <c r="IE47" s="6"/>
      <c r="IF47" s="4"/>
      <c r="IG47" s="8"/>
      <c r="IH47" s="5" t="str">
        <f t="shared" si="95"/>
        <v>NO APLICA</v>
      </c>
      <c r="II47" s="6"/>
      <c r="IJ47" s="6"/>
      <c r="IK47" s="4"/>
      <c r="IL47" s="8"/>
      <c r="IM47" s="5" t="str">
        <f t="shared" si="96"/>
        <v>NO APLICA</v>
      </c>
      <c r="IN47" s="2"/>
      <c r="IO47" s="6"/>
      <c r="IP47" s="4"/>
      <c r="IQ47" s="8"/>
      <c r="IR47" s="5" t="str">
        <f t="shared" si="97"/>
        <v>NO APLICA</v>
      </c>
      <c r="IS47" s="2"/>
      <c r="IT47" s="6"/>
      <c r="IU47" s="4"/>
      <c r="IV47" s="8"/>
      <c r="IW47" s="5" t="str">
        <f t="shared" si="98"/>
        <v>NO APLICA</v>
      </c>
      <c r="IX47" s="2"/>
      <c r="IY47" s="6"/>
      <c r="IZ47" s="4"/>
      <c r="JA47" s="8"/>
      <c r="JB47" s="5" t="str">
        <f t="shared" si="99"/>
        <v>NO APLICA</v>
      </c>
      <c r="JC47" s="3" t="s">
        <v>780</v>
      </c>
      <c r="JD47" s="3"/>
      <c r="JE47" s="4"/>
      <c r="JF47" s="8"/>
      <c r="JG47" s="5"/>
      <c r="JH47" s="3" t="s">
        <v>780</v>
      </c>
      <c r="JI47" s="6"/>
      <c r="JJ47" s="6"/>
      <c r="JK47" s="6"/>
      <c r="JL47" s="5"/>
      <c r="JM47" s="6" t="s">
        <v>780</v>
      </c>
      <c r="JN47" s="6"/>
      <c r="JO47" s="6"/>
      <c r="JP47" s="6"/>
      <c r="JQ47" s="5"/>
      <c r="JR47" s="6" t="s">
        <v>780</v>
      </c>
      <c r="JS47" s="6"/>
      <c r="JT47" s="6"/>
      <c r="JU47" s="6"/>
      <c r="JV47" s="5"/>
      <c r="JW47" s="6" t="s">
        <v>780</v>
      </c>
      <c r="JX47" s="5"/>
      <c r="JY47" s="5"/>
      <c r="JZ47" s="5"/>
      <c r="KA47" s="5"/>
      <c r="KB47" s="5"/>
      <c r="KC47" s="2"/>
      <c r="KD47" s="4"/>
      <c r="KE47" s="8"/>
      <c r="KF47" s="5" t="str">
        <f t="shared" si="135"/>
        <v>NO APLICA</v>
      </c>
      <c r="KG47" s="5"/>
      <c r="KH47" s="2"/>
      <c r="KI47" s="4"/>
      <c r="KJ47" s="8"/>
      <c r="KK47" s="5" t="str">
        <f t="shared" si="136"/>
        <v>NO APLICA</v>
      </c>
      <c r="KL47" s="5"/>
      <c r="KM47" s="2"/>
      <c r="KN47" s="4"/>
      <c r="KO47" s="8"/>
      <c r="KP47" s="5" t="str">
        <f t="shared" si="100"/>
        <v>NO APLICA</v>
      </c>
      <c r="KQ47" s="5"/>
      <c r="KR47" s="2"/>
      <c r="KS47" s="4"/>
      <c r="KT47" s="8"/>
      <c r="KU47" s="5" t="str">
        <f t="shared" si="137"/>
        <v>NO APLICA</v>
      </c>
      <c r="KV47" s="2"/>
      <c r="KW47" s="6"/>
      <c r="KX47" s="4"/>
      <c r="KY47" s="8"/>
      <c r="KZ47" s="5" t="str">
        <f t="shared" si="151"/>
        <v>NO APLICA</v>
      </c>
      <c r="LA47" s="5"/>
      <c r="LB47" s="6"/>
      <c r="LC47" s="4"/>
      <c r="LD47" s="8"/>
      <c r="LE47" s="5" t="str">
        <f t="shared" si="138"/>
        <v>NO APLICA</v>
      </c>
      <c r="LF47" s="6"/>
      <c r="LG47" s="6"/>
      <c r="LH47" s="4"/>
      <c r="LI47" s="8"/>
      <c r="LJ47" s="5" t="str">
        <f t="shared" si="101"/>
        <v>NO APLICA</v>
      </c>
      <c r="LK47" s="5"/>
      <c r="LL47" s="5"/>
      <c r="LM47" s="4"/>
      <c r="LN47" s="8"/>
      <c r="LO47" s="5" t="str">
        <f t="shared" si="152"/>
        <v>NO APLICA</v>
      </c>
      <c r="LP47" s="2"/>
      <c r="LQ47" s="6"/>
      <c r="LR47" s="4"/>
      <c r="LS47" s="8"/>
      <c r="LT47" s="5" t="str">
        <f t="shared" si="139"/>
        <v>NO APLICA</v>
      </c>
      <c r="LU47" s="6"/>
      <c r="LV47" s="6"/>
      <c r="LW47" s="4"/>
      <c r="LX47" s="8"/>
      <c r="LY47" s="5" t="str">
        <f t="shared" si="140"/>
        <v>NO APLICA</v>
      </c>
      <c r="LZ47" s="6"/>
      <c r="MA47" s="6"/>
      <c r="MB47" s="4"/>
      <c r="MC47" s="8"/>
      <c r="MD47" s="5" t="str">
        <f t="shared" si="141"/>
        <v>NO APLICA</v>
      </c>
      <c r="ME47" s="2"/>
      <c r="MF47" s="2"/>
      <c r="MG47" s="4"/>
      <c r="MH47" s="8"/>
      <c r="MI47" s="5" t="str">
        <f t="shared" si="102"/>
        <v>NO APLICA</v>
      </c>
      <c r="MJ47" s="2"/>
      <c r="MK47" s="2"/>
      <c r="ML47" s="4"/>
      <c r="MM47" s="8"/>
      <c r="MN47" s="5" t="str">
        <f t="shared" si="103"/>
        <v>NO APLICA</v>
      </c>
      <c r="MO47" s="5"/>
      <c r="MP47" s="2"/>
      <c r="MQ47" s="4"/>
      <c r="MR47" s="8"/>
      <c r="MS47" s="5" t="str">
        <f t="shared" si="104"/>
        <v>NO APLICA</v>
      </c>
      <c r="MT47" s="5"/>
      <c r="MU47" s="2"/>
      <c r="MV47" s="4"/>
      <c r="MW47" s="2"/>
      <c r="MX47" s="5" t="str">
        <f t="shared" si="105"/>
        <v>NO APLICA</v>
      </c>
      <c r="MY47" s="2"/>
      <c r="MZ47" s="6"/>
      <c r="NA47" s="4"/>
      <c r="NB47" s="8"/>
      <c r="NC47" s="5" t="str">
        <f t="shared" si="106"/>
        <v>NO APLICA</v>
      </c>
      <c r="ND47" s="2"/>
      <c r="NE47" s="6"/>
      <c r="NF47" s="4"/>
      <c r="NG47" s="8"/>
      <c r="NH47" s="5" t="str">
        <f t="shared" si="107"/>
        <v>NO APLICA</v>
      </c>
      <c r="NI47" s="2"/>
      <c r="NJ47" s="6"/>
      <c r="NK47" s="4"/>
      <c r="NL47" s="8"/>
      <c r="NM47" s="5" t="str">
        <f t="shared" si="108"/>
        <v>NO APLICA</v>
      </c>
      <c r="NN47" s="2"/>
      <c r="NO47" s="2"/>
      <c r="NP47" s="4"/>
      <c r="NQ47" s="8"/>
      <c r="NR47" s="5" t="str">
        <f t="shared" si="109"/>
        <v>NO APLICA</v>
      </c>
      <c r="NS47" s="2"/>
      <c r="NT47" s="2"/>
      <c r="NU47" s="4"/>
      <c r="NV47" s="2"/>
      <c r="NW47" s="5" t="str">
        <f t="shared" si="110"/>
        <v>NO APLICA</v>
      </c>
      <c r="NX47" s="6"/>
      <c r="NY47" s="6"/>
      <c r="NZ47" s="4"/>
      <c r="OA47" s="8"/>
      <c r="OB47" s="5" t="str">
        <f t="shared" si="111"/>
        <v>NO APLICA</v>
      </c>
      <c r="OC47" s="6"/>
      <c r="OD47" s="6"/>
      <c r="OE47" s="6"/>
      <c r="OF47" s="6"/>
      <c r="OG47" s="5" t="str">
        <f t="shared" si="112"/>
        <v>NO APLICA</v>
      </c>
      <c r="OH47" s="6"/>
      <c r="OI47" s="6"/>
      <c r="OJ47" s="4"/>
      <c r="OK47" s="8"/>
      <c r="OL47" s="5" t="str">
        <f t="shared" si="113"/>
        <v>NO APLICA</v>
      </c>
      <c r="OM47" s="6"/>
      <c r="ON47" s="6"/>
      <c r="OO47" s="6"/>
      <c r="OP47" s="6"/>
      <c r="OQ47" s="5" t="str">
        <f t="shared" si="114"/>
        <v>NO APLICA</v>
      </c>
      <c r="OR47" s="6"/>
      <c r="OS47" s="6"/>
      <c r="OT47" s="6"/>
      <c r="OU47" s="6"/>
      <c r="OV47" s="5" t="str">
        <f t="shared" si="115"/>
        <v>NO APLICA</v>
      </c>
      <c r="OW47" s="6"/>
      <c r="OX47" s="6"/>
      <c r="OY47" s="6"/>
      <c r="OZ47" s="6"/>
      <c r="PA47" s="5" t="str">
        <f t="shared" si="116"/>
        <v>NO APLICA</v>
      </c>
      <c r="PB47" s="6"/>
      <c r="PC47" s="6"/>
      <c r="PD47" s="6"/>
      <c r="PE47" s="6"/>
      <c r="PF47" s="5" t="str">
        <f t="shared" si="117"/>
        <v>NO APLICA</v>
      </c>
      <c r="PG47" s="6"/>
      <c r="PH47" s="6"/>
      <c r="PI47" s="6"/>
      <c r="PJ47" s="6"/>
      <c r="PK47" s="5" t="str">
        <f t="shared" si="118"/>
        <v>NO APLICA</v>
      </c>
      <c r="PL47" s="5"/>
      <c r="PM47" s="6"/>
      <c r="PN47" s="4"/>
      <c r="PO47" s="8"/>
      <c r="PP47" s="5" t="str">
        <f t="shared" si="119"/>
        <v>NO APLICA</v>
      </c>
      <c r="PQ47" s="6"/>
      <c r="PR47" s="6"/>
      <c r="PS47" s="6"/>
      <c r="PT47" s="6"/>
      <c r="PU47" s="5" t="str">
        <f t="shared" si="120"/>
        <v>NO APLICA</v>
      </c>
      <c r="PV47" s="5"/>
      <c r="PW47" s="6"/>
      <c r="PX47" s="6"/>
      <c r="PY47" s="6"/>
      <c r="PZ47" s="5" t="str">
        <f t="shared" si="121"/>
        <v>NO APLICA</v>
      </c>
    </row>
    <row r="48" spans="1:442" ht="15.6" hidden="1" thickTop="1" thickBot="1" x14ac:dyDescent="0.35">
      <c r="A48" s="26">
        <v>45</v>
      </c>
      <c r="B48" s="27">
        <v>1069</v>
      </c>
      <c r="C48" s="28" t="s">
        <v>208</v>
      </c>
      <c r="D48" s="29" t="s">
        <v>68</v>
      </c>
      <c r="E48" s="30" t="s">
        <v>129</v>
      </c>
      <c r="F48" s="5"/>
      <c r="G48" s="6"/>
      <c r="H48" s="4"/>
      <c r="I48" s="8"/>
      <c r="J48" s="5" t="str">
        <f t="shared" si="0"/>
        <v>NO APLICA</v>
      </c>
      <c r="K48" s="5"/>
      <c r="L48" s="6"/>
      <c r="M48" s="6"/>
      <c r="N48" s="8"/>
      <c r="O48" s="5" t="str">
        <f t="shared" si="1"/>
        <v>NO APLICA</v>
      </c>
      <c r="P48" s="6"/>
      <c r="Q48" s="6"/>
      <c r="R48" s="4"/>
      <c r="S48" s="8"/>
      <c r="T48" s="5" t="str">
        <f t="shared" si="122"/>
        <v>NO APLICA</v>
      </c>
      <c r="U48" s="5"/>
      <c r="V48" s="2" t="s">
        <v>209</v>
      </c>
      <c r="W48" s="4">
        <v>45337</v>
      </c>
      <c r="X48" s="4">
        <f t="shared" si="2"/>
        <v>47164</v>
      </c>
      <c r="Y48" s="8">
        <f t="shared" ca="1" si="3"/>
        <v>1019</v>
      </c>
      <c r="Z48" s="5" t="str">
        <f t="shared" ca="1" si="4"/>
        <v>VIGENTE</v>
      </c>
      <c r="AA48" s="5"/>
      <c r="AB48" s="2" t="s">
        <v>210</v>
      </c>
      <c r="AC48" s="4">
        <v>44824</v>
      </c>
      <c r="AD48" s="4">
        <f>DATE(YEAR(AC48)+5,MONTH(AC48),DAY(AC48))</f>
        <v>46650</v>
      </c>
      <c r="AE48" s="8">
        <f ca="1">AD48-TODAY()</f>
        <v>505</v>
      </c>
      <c r="AF48" s="5" t="str">
        <f t="shared" ca="1" si="7"/>
        <v>VIGENTE</v>
      </c>
      <c r="AG48" s="3"/>
      <c r="AH48" s="4">
        <v>45589</v>
      </c>
      <c r="AI48" s="4">
        <f>DATE(YEAR(AH48)+2,MONTH(AH48),DAY(AH48)-1)</f>
        <v>46318</v>
      </c>
      <c r="AJ48" s="8">
        <f t="shared" ca="1" si="8"/>
        <v>173</v>
      </c>
      <c r="AK48" s="5" t="str">
        <f t="shared" ca="1" si="219"/>
        <v>VIGENTE</v>
      </c>
      <c r="AL48" s="3"/>
      <c r="AM48" s="4">
        <v>45903</v>
      </c>
      <c r="AN48" s="4">
        <f>DATE(YEAR(AM48)+2,MONTH(AM48),DAY(AM48))</f>
        <v>46633</v>
      </c>
      <c r="AO48" s="8">
        <f t="shared" ca="1" si="10"/>
        <v>488</v>
      </c>
      <c r="AP48" s="5" t="str">
        <f t="shared" ca="1" si="11"/>
        <v>VIGENTE</v>
      </c>
      <c r="AQ48" s="3"/>
      <c r="AR48" s="4">
        <v>45989</v>
      </c>
      <c r="AS48" s="4">
        <f t="shared" si="220"/>
        <v>46719</v>
      </c>
      <c r="AT48" s="8">
        <f t="shared" ca="1" si="12"/>
        <v>574</v>
      </c>
      <c r="AU48" s="5" t="str">
        <f t="shared" ca="1" si="13"/>
        <v>VIGENTE</v>
      </c>
      <c r="AV48" s="3"/>
      <c r="AW48" s="4">
        <v>45972</v>
      </c>
      <c r="AX48" s="4">
        <f t="shared" si="221"/>
        <v>46702</v>
      </c>
      <c r="AY48" s="8">
        <f t="shared" ca="1" si="15"/>
        <v>557</v>
      </c>
      <c r="AZ48" s="5" t="str">
        <f t="shared" ca="1" si="16"/>
        <v>VIGENTE</v>
      </c>
      <c r="BA48" s="3"/>
      <c r="BB48" s="4">
        <v>45717</v>
      </c>
      <c r="BC48" s="4">
        <f>DATE(YEAR(BB48)+2,MONTH(BB48),DAY(BB48)-1)</f>
        <v>46446</v>
      </c>
      <c r="BD48" s="8">
        <f t="shared" ca="1" si="17"/>
        <v>301</v>
      </c>
      <c r="BE48" s="5" t="str">
        <f t="shared" ca="1" si="18"/>
        <v>VIGENTE</v>
      </c>
      <c r="BF48" s="3"/>
      <c r="BG48" s="4">
        <v>45968</v>
      </c>
      <c r="BH48" s="4">
        <f t="shared" si="222"/>
        <v>46698</v>
      </c>
      <c r="BI48" s="8">
        <f t="shared" ca="1" si="19"/>
        <v>553</v>
      </c>
      <c r="BJ48" s="5" t="str">
        <f t="shared" ca="1" si="20"/>
        <v>VIGENTE</v>
      </c>
      <c r="BK48" s="3"/>
      <c r="BL48" s="4">
        <v>46035</v>
      </c>
      <c r="BM48" s="4">
        <f t="shared" si="223"/>
        <v>46765</v>
      </c>
      <c r="BN48" s="8">
        <f t="shared" ca="1" si="21"/>
        <v>620</v>
      </c>
      <c r="BO48" s="5" t="str">
        <f t="shared" ca="1" si="22"/>
        <v>VIGENTE</v>
      </c>
      <c r="BP48" s="3"/>
      <c r="BQ48" s="39">
        <v>46050</v>
      </c>
      <c r="BR48" s="4">
        <f>DATE(YEAR(BQ48)+2,MONTH(BQ48),DAY(BQ48))</f>
        <v>46780</v>
      </c>
      <c r="BS48" s="8">
        <f t="shared" ca="1" si="23"/>
        <v>635</v>
      </c>
      <c r="BT48" s="5" t="str">
        <f t="shared" ca="1" si="24"/>
        <v>VIGENTE</v>
      </c>
      <c r="BU48" s="3"/>
      <c r="BV48" s="4">
        <v>45736</v>
      </c>
      <c r="BW48" s="4">
        <f>DATE(YEAR(BV48)+2,MONTH(BV48),DAY(BV48)-1)</f>
        <v>46465</v>
      </c>
      <c r="BX48" s="8">
        <f t="shared" ca="1" si="25"/>
        <v>320</v>
      </c>
      <c r="BY48" s="5" t="str">
        <f t="shared" ca="1" si="26"/>
        <v>VIGENTE</v>
      </c>
      <c r="BZ48" s="3"/>
      <c r="CA48" s="4">
        <v>45944</v>
      </c>
      <c r="CB48" s="4">
        <f>DATE(YEAR(CA48)+2,MONTH(CA48),DAY(CA48))</f>
        <v>46674</v>
      </c>
      <c r="CC48" s="8">
        <f t="shared" ca="1" si="27"/>
        <v>529</v>
      </c>
      <c r="CD48" s="5" t="str">
        <f t="shared" ca="1" si="28"/>
        <v>VIGENTE</v>
      </c>
      <c r="CE48" s="6"/>
      <c r="CF48" s="4">
        <v>45282</v>
      </c>
      <c r="CG48" s="4">
        <f t="shared" si="29"/>
        <v>46743</v>
      </c>
      <c r="CH48" s="8">
        <f t="shared" ca="1" si="30"/>
        <v>598</v>
      </c>
      <c r="CI48" s="5" t="str">
        <f t="shared" ca="1" si="31"/>
        <v>VIGENTE</v>
      </c>
      <c r="CJ48" s="4"/>
      <c r="CK48" s="4">
        <v>45723</v>
      </c>
      <c r="CL48" s="4">
        <f t="shared" ref="CL48:CL53" si="226">DATE(YEAR(CK48)+2,MONTH(CK48),DAY(CK48)-1)</f>
        <v>46452</v>
      </c>
      <c r="CM48" s="8">
        <f t="shared" ca="1" si="32"/>
        <v>307</v>
      </c>
      <c r="CN48" s="5" t="str">
        <f t="shared" ca="1" si="33"/>
        <v>VIGENTE</v>
      </c>
      <c r="CO48" s="3"/>
      <c r="CP48" s="39">
        <v>45517</v>
      </c>
      <c r="CQ48" s="4">
        <f>DATE(YEAR(CP48)+2,MONTH(CP48),DAY(CP48)-1)</f>
        <v>46246</v>
      </c>
      <c r="CR48" s="8">
        <f t="shared" ca="1" si="34"/>
        <v>101</v>
      </c>
      <c r="CS48" s="5" t="str">
        <f t="shared" ca="1" si="35"/>
        <v>VIGENTE</v>
      </c>
      <c r="CT48" s="3"/>
      <c r="CU48" s="4">
        <v>45639</v>
      </c>
      <c r="CV48" s="4">
        <f>DATE(YEAR(CU48)+2,MONTH(CU48),DAY(CU48)-1)</f>
        <v>46368</v>
      </c>
      <c r="CW48" s="8">
        <f t="shared" ca="1" si="36"/>
        <v>223</v>
      </c>
      <c r="CX48" s="5" t="str">
        <f t="shared" ca="1" si="37"/>
        <v>VIGENTE</v>
      </c>
      <c r="CY48" s="3"/>
      <c r="CZ48" s="4">
        <v>46000</v>
      </c>
      <c r="DA48" s="4">
        <f>DATE(YEAR(CZ48)+2,MONTH(CZ48),DAY(CZ48))</f>
        <v>46730</v>
      </c>
      <c r="DB48" s="8">
        <f t="shared" ca="1" si="38"/>
        <v>585</v>
      </c>
      <c r="DC48" s="5" t="str">
        <f t="shared" ca="1" si="39"/>
        <v>VIGENTE</v>
      </c>
      <c r="DD48" s="3"/>
      <c r="DE48" s="39">
        <v>45761</v>
      </c>
      <c r="DF48" s="4">
        <f>DATE(YEAR(DE48)+2,MONTH(DE48),DAY(DE48))</f>
        <v>46491</v>
      </c>
      <c r="DG48" s="8">
        <f t="shared" ca="1" si="40"/>
        <v>346</v>
      </c>
      <c r="DH48" s="5" t="str">
        <f t="shared" ca="1" si="41"/>
        <v>VIGENTE</v>
      </c>
      <c r="DI48" s="3"/>
      <c r="DJ48" s="39">
        <v>45955</v>
      </c>
      <c r="DK48" s="4">
        <f t="shared" si="225"/>
        <v>46685</v>
      </c>
      <c r="DL48" s="8">
        <f t="shared" ca="1" si="43"/>
        <v>540</v>
      </c>
      <c r="DM48" s="5" t="str">
        <f t="shared" ca="1" si="44"/>
        <v>VIGENTE</v>
      </c>
      <c r="DN48" s="3"/>
      <c r="DO48" s="4">
        <v>45731</v>
      </c>
      <c r="DP48" s="4">
        <f>DATE(YEAR(DO48)+2,MONTH(DO48),DAY(DO48)-1)</f>
        <v>46460</v>
      </c>
      <c r="DQ48" s="8">
        <f t="shared" ca="1" si="46"/>
        <v>315</v>
      </c>
      <c r="DR48" s="5" t="str">
        <f t="shared" ca="1" si="47"/>
        <v>VIGENTE</v>
      </c>
      <c r="DS48" s="3"/>
      <c r="DT48" s="4">
        <v>45685</v>
      </c>
      <c r="DU48" s="4">
        <f>DATE(YEAR(DT48)+2,MONTH(DT48),DAY(DT48)-1)</f>
        <v>46414</v>
      </c>
      <c r="DV48" s="8">
        <f t="shared" ca="1" si="48"/>
        <v>269</v>
      </c>
      <c r="DW48" s="5" t="str">
        <f t="shared" ca="1" si="49"/>
        <v>VIGENTE</v>
      </c>
      <c r="DX48" s="3"/>
      <c r="DY48" s="4">
        <v>45751</v>
      </c>
      <c r="DZ48" s="4">
        <f>DATE(YEAR(DY48)+2,MONTH(DY48),DAY(DY48)-1)</f>
        <v>46480</v>
      </c>
      <c r="EA48" s="8">
        <f t="shared" ca="1" si="50"/>
        <v>335</v>
      </c>
      <c r="EB48" s="5" t="str">
        <f t="shared" ca="1" si="51"/>
        <v>VIGENTE</v>
      </c>
      <c r="EC48" s="3"/>
      <c r="ED48" s="39">
        <v>45768</v>
      </c>
      <c r="EE48" s="4">
        <f>DATE(YEAR(ED48)+2,MONTH(ED48),DAY(ED48))</f>
        <v>46498</v>
      </c>
      <c r="EF48" s="8">
        <f t="shared" ca="1" si="52"/>
        <v>353</v>
      </c>
      <c r="EG48" s="5" t="str">
        <f t="shared" ca="1" si="53"/>
        <v>VIGENTE</v>
      </c>
      <c r="EH48" s="3"/>
      <c r="EI48" s="4">
        <v>45948</v>
      </c>
      <c r="EJ48" s="4">
        <f t="shared" si="131"/>
        <v>46313</v>
      </c>
      <c r="EK48" s="8">
        <f t="shared" ca="1" si="54"/>
        <v>168</v>
      </c>
      <c r="EL48" s="5" t="str">
        <f t="shared" ca="1" si="55"/>
        <v>VIGENTE</v>
      </c>
      <c r="EM48" s="3"/>
      <c r="EN48" s="4">
        <v>45737</v>
      </c>
      <c r="EO48" s="4">
        <f>DATE(YEAR(EN48)+2,MONTH(EN48),DAY(EN48)-1)</f>
        <v>46466</v>
      </c>
      <c r="EP48" s="8">
        <f t="shared" ca="1" si="56"/>
        <v>321</v>
      </c>
      <c r="EQ48" s="5" t="str">
        <f t="shared" ca="1" si="57"/>
        <v>VIGENTE</v>
      </c>
      <c r="ER48" s="3"/>
      <c r="ES48" s="39">
        <v>45755</v>
      </c>
      <c r="ET48" s="4">
        <f>DATE(YEAR(ES48)+2,MONTH(ES48),DAY(ES48)-1)</f>
        <v>46484</v>
      </c>
      <c r="EU48" s="8">
        <f t="shared" ca="1" si="58"/>
        <v>339</v>
      </c>
      <c r="EV48" s="5" t="str">
        <f t="shared" ca="1" si="59"/>
        <v>VIGENTE</v>
      </c>
      <c r="EW48" s="3"/>
      <c r="EX48" s="4">
        <v>45953</v>
      </c>
      <c r="EY48" s="4">
        <f t="shared" si="214"/>
        <v>46683</v>
      </c>
      <c r="EZ48" s="8">
        <f t="shared" ca="1" si="60"/>
        <v>538</v>
      </c>
      <c r="FA48" s="5" t="str">
        <f t="shared" ca="1" si="61"/>
        <v>VIGENTE</v>
      </c>
      <c r="FB48" s="3"/>
      <c r="FC48" s="4">
        <v>45922</v>
      </c>
      <c r="FD48" s="4">
        <f t="shared" si="215"/>
        <v>46652</v>
      </c>
      <c r="FE48" s="8">
        <f t="shared" ca="1" si="62"/>
        <v>507</v>
      </c>
      <c r="FF48" s="5" t="str">
        <f t="shared" ca="1" si="63"/>
        <v>VIGENTE</v>
      </c>
      <c r="FG48" s="3"/>
      <c r="FH48" s="4">
        <v>45969</v>
      </c>
      <c r="FI48" s="4">
        <f t="shared" si="216"/>
        <v>46699</v>
      </c>
      <c r="FJ48" s="8">
        <f t="shared" ca="1" si="64"/>
        <v>554</v>
      </c>
      <c r="FK48" s="5" t="str">
        <f t="shared" ca="1" si="65"/>
        <v>VIGENTE</v>
      </c>
      <c r="FL48" s="3"/>
      <c r="FM48" s="39">
        <v>45738</v>
      </c>
      <c r="FN48" s="4">
        <f>DATE(YEAR(FM48)+2,MONTH(FM48),DAY(FM48)-1)</f>
        <v>46467</v>
      </c>
      <c r="FO48" s="8">
        <f t="shared" ca="1" si="67"/>
        <v>322</v>
      </c>
      <c r="FP48" s="5" t="str">
        <f t="shared" ca="1" si="68"/>
        <v>VIGENTE</v>
      </c>
      <c r="FQ48" s="3"/>
      <c r="FR48" s="39">
        <v>45724</v>
      </c>
      <c r="FS48" s="4">
        <f>DATE(YEAR(FR48)+2,MONTH(FR48),DAY(FR48)-1)</f>
        <v>46453</v>
      </c>
      <c r="FT48" s="8">
        <f t="shared" ca="1" si="69"/>
        <v>308</v>
      </c>
      <c r="FU48" s="5" t="str">
        <f t="shared" ca="1" si="70"/>
        <v>VIGENTE</v>
      </c>
      <c r="FV48" s="3"/>
      <c r="FW48" s="4">
        <v>45574</v>
      </c>
      <c r="FX48" s="4">
        <f>DATE(YEAR(FW48)+2,MONTH(FW48),DAY(FW48)-1)</f>
        <v>46303</v>
      </c>
      <c r="FY48" s="8">
        <f t="shared" ca="1" si="71"/>
        <v>158</v>
      </c>
      <c r="FZ48" s="5" t="str">
        <f t="shared" ca="1" si="72"/>
        <v>VIGENTE</v>
      </c>
      <c r="GA48" s="3"/>
      <c r="GB48" s="4">
        <v>45741</v>
      </c>
      <c r="GC48" s="4">
        <f>DATE(YEAR(GB48)+2,MONTH(GB48),DAY(GB48)-1)</f>
        <v>46470</v>
      </c>
      <c r="GD48" s="8">
        <f t="shared" ca="1" si="73"/>
        <v>325</v>
      </c>
      <c r="GE48" s="5" t="str">
        <f t="shared" ca="1" si="74"/>
        <v>VIGENTE</v>
      </c>
      <c r="GF48" s="3"/>
      <c r="GG48" s="4">
        <v>45752</v>
      </c>
      <c r="GH48" s="4">
        <f>DATE(YEAR(GG48)+2,MONTH(GG48),DAY(GG48)-1)</f>
        <v>46481</v>
      </c>
      <c r="GI48" s="8">
        <f t="shared" ca="1" si="75"/>
        <v>336</v>
      </c>
      <c r="GJ48" s="5" t="str">
        <f t="shared" ca="1" si="76"/>
        <v>VIGENTE</v>
      </c>
      <c r="GK48" s="3"/>
      <c r="GL48" s="4">
        <v>45923</v>
      </c>
      <c r="GM48" s="4">
        <f t="shared" si="217"/>
        <v>46653</v>
      </c>
      <c r="GN48" s="8">
        <f t="shared" ca="1" si="77"/>
        <v>508</v>
      </c>
      <c r="GO48" s="5" t="str">
        <f t="shared" ca="1" si="78"/>
        <v>VIGENTE</v>
      </c>
      <c r="GP48" s="4"/>
      <c r="GQ48" s="4">
        <v>45224</v>
      </c>
      <c r="GR48" s="4">
        <f t="shared" si="79"/>
        <v>47051</v>
      </c>
      <c r="GS48" s="8">
        <f t="shared" ca="1" si="176"/>
        <v>906</v>
      </c>
      <c r="GT48" s="5" t="str">
        <f t="shared" ca="1" si="81"/>
        <v>VIGENTE</v>
      </c>
      <c r="GU48" s="3"/>
      <c r="GV48" s="4">
        <v>45277</v>
      </c>
      <c r="GW48" s="4">
        <f t="shared" si="82"/>
        <v>47104</v>
      </c>
      <c r="GX48" s="8">
        <f t="shared" ca="1" si="83"/>
        <v>959</v>
      </c>
      <c r="GY48" s="5" t="str">
        <f t="shared" ca="1" si="84"/>
        <v>VIGENTE</v>
      </c>
      <c r="GZ48" s="3"/>
      <c r="HA48" s="4">
        <v>45268</v>
      </c>
      <c r="HB48" s="4">
        <f t="shared" si="85"/>
        <v>47095</v>
      </c>
      <c r="HC48" s="8">
        <f t="shared" ca="1" si="86"/>
        <v>950</v>
      </c>
      <c r="HD48" s="5" t="str">
        <f t="shared" ca="1" si="87"/>
        <v>VIGENTE</v>
      </c>
      <c r="HE48" s="6"/>
      <c r="HF48" s="4">
        <v>44921</v>
      </c>
      <c r="HG48" s="4">
        <f>DATE(YEAR(HF48)+5,MONTH(HF48),DAY(HF48))</f>
        <v>46747</v>
      </c>
      <c r="HH48" s="8">
        <f ca="1">HG48-TODAY()</f>
        <v>602</v>
      </c>
      <c r="HI48" s="5" t="str">
        <f t="shared" ca="1" si="224"/>
        <v>VIGENTE</v>
      </c>
      <c r="HJ48" s="2"/>
      <c r="HK48" s="6"/>
      <c r="HL48" s="4"/>
      <c r="HM48" s="8"/>
      <c r="HN48" s="5" t="str">
        <f t="shared" si="202"/>
        <v>NO APLICA</v>
      </c>
      <c r="HO48" s="2"/>
      <c r="HP48" s="2"/>
      <c r="HQ48" s="4"/>
      <c r="HR48" s="2"/>
      <c r="HS48" s="5" t="str">
        <f t="shared" si="92"/>
        <v>NO APLICA</v>
      </c>
      <c r="HT48" s="3"/>
      <c r="HU48" s="4">
        <v>45260</v>
      </c>
      <c r="HV48" s="4">
        <f>DATE(YEAR(HU48)+5,MONTH(HU48),DAY(HU48))</f>
        <v>47087</v>
      </c>
      <c r="HW48" s="8">
        <f ca="1">HV48-TODAY()</f>
        <v>942</v>
      </c>
      <c r="HX48" s="5" t="str">
        <f t="shared" ca="1" si="93"/>
        <v>VIGENTE</v>
      </c>
      <c r="HY48" s="3"/>
      <c r="HZ48" s="4">
        <v>45475</v>
      </c>
      <c r="IA48" s="4">
        <f>DATE(YEAR(HZ48)+5,MONTH(HZ48),DAY(HZ48))</f>
        <v>47301</v>
      </c>
      <c r="IB48" s="8">
        <f ca="1">IA48-TODAY()</f>
        <v>1156</v>
      </c>
      <c r="IC48" s="5" t="str">
        <f t="shared" ca="1" si="94"/>
        <v>VIGENTE</v>
      </c>
      <c r="ID48" s="3"/>
      <c r="IE48" s="4">
        <v>45230</v>
      </c>
      <c r="IF48" s="4">
        <f>DATE(YEAR(IE48)+5,MONTH(IE48),DAY(IE48))</f>
        <v>47057</v>
      </c>
      <c r="IG48" s="8">
        <f ca="1">IF48-TODAY()</f>
        <v>912</v>
      </c>
      <c r="IH48" s="5" t="str">
        <f t="shared" ca="1" si="95"/>
        <v>VIGENTE</v>
      </c>
      <c r="II48" s="4"/>
      <c r="IJ48" s="4">
        <v>45225</v>
      </c>
      <c r="IK48" s="4">
        <f>DATE(YEAR(IJ48)+5,MONTH(IJ48),DAY(IJ48))</f>
        <v>47052</v>
      </c>
      <c r="IL48" s="8">
        <f ca="1">IK48-TODAY()</f>
        <v>907</v>
      </c>
      <c r="IM48" s="5" t="str">
        <f t="shared" ca="1" si="96"/>
        <v>VIGENTE</v>
      </c>
      <c r="IN48" s="3"/>
      <c r="IO48" s="4">
        <v>45259</v>
      </c>
      <c r="IP48" s="4">
        <f>DATE(YEAR(IO48)+5,MONTH(IO48),DAY(IO48))</f>
        <v>47086</v>
      </c>
      <c r="IQ48" s="8">
        <f ca="1">IP48-TODAY()</f>
        <v>941</v>
      </c>
      <c r="IR48" s="5" t="str">
        <f t="shared" ca="1" si="97"/>
        <v>VIGENTE</v>
      </c>
      <c r="IS48" s="3"/>
      <c r="IT48" s="4">
        <v>45240</v>
      </c>
      <c r="IU48" s="4">
        <f>DATE(YEAR(IT48)+5,MONTH(IT48),DAY(IT48))</f>
        <v>47067</v>
      </c>
      <c r="IV48" s="8">
        <f ca="1">IU48-TODAY()</f>
        <v>922</v>
      </c>
      <c r="IW48" s="5" t="str">
        <f t="shared" ca="1" si="98"/>
        <v>VIGENTE</v>
      </c>
      <c r="IX48" s="3"/>
      <c r="IY48" s="4">
        <v>45446</v>
      </c>
      <c r="IZ48" s="4">
        <f>DATE(YEAR(IY48)+5,MONTH(IY48),DAY(IY48))</f>
        <v>47272</v>
      </c>
      <c r="JA48" s="8">
        <f ca="1">IZ48-TODAY()</f>
        <v>1127</v>
      </c>
      <c r="JB48" s="5" t="str">
        <f t="shared" ca="1" si="99"/>
        <v>VIGENTE</v>
      </c>
      <c r="JC48" s="3" t="s">
        <v>780</v>
      </c>
      <c r="JD48" s="3"/>
      <c r="JE48" s="4"/>
      <c r="JF48" s="8"/>
      <c r="JG48" s="5"/>
      <c r="JH48" s="3" t="s">
        <v>780</v>
      </c>
      <c r="JI48" s="6"/>
      <c r="JJ48" s="6"/>
      <c r="JK48" s="6"/>
      <c r="JL48" s="5"/>
      <c r="JM48" s="6" t="s">
        <v>780</v>
      </c>
      <c r="JN48" s="6"/>
      <c r="JO48" s="6"/>
      <c r="JP48" s="6"/>
      <c r="JQ48" s="5"/>
      <c r="JR48" s="6" t="s">
        <v>780</v>
      </c>
      <c r="JS48" s="6"/>
      <c r="JT48" s="6"/>
      <c r="JU48" s="6"/>
      <c r="JV48" s="5"/>
      <c r="JW48" s="6" t="s">
        <v>780</v>
      </c>
      <c r="JX48" s="5"/>
      <c r="JY48" s="5"/>
      <c r="JZ48" s="5"/>
      <c r="KA48" s="5"/>
      <c r="KB48" s="5"/>
      <c r="KC48" s="2"/>
      <c r="KD48" s="4"/>
      <c r="KE48" s="8"/>
      <c r="KF48" s="5" t="str">
        <f t="shared" si="135"/>
        <v>NO APLICA</v>
      </c>
      <c r="KG48" s="5"/>
      <c r="KH48" s="3">
        <v>45328</v>
      </c>
      <c r="KI48" s="4">
        <f>DATE(YEAR(KH48)+5,MONTH(KH48),DAY(KH48)-1)</f>
        <v>47154</v>
      </c>
      <c r="KJ48" s="8">
        <f ca="1">KI48-TODAY()</f>
        <v>1009</v>
      </c>
      <c r="KK48" s="5" t="str">
        <f t="shared" ca="1" si="136"/>
        <v>VIGENTE</v>
      </c>
      <c r="KL48" s="5"/>
      <c r="KM48" s="2"/>
      <c r="KN48" s="4"/>
      <c r="KO48" s="8"/>
      <c r="KP48" s="5" t="str">
        <f t="shared" si="100"/>
        <v>NO APLICA</v>
      </c>
      <c r="KQ48" s="5"/>
      <c r="KR48" s="2"/>
      <c r="KS48" s="4"/>
      <c r="KT48" s="8"/>
      <c r="KU48" s="5" t="str">
        <f t="shared" si="137"/>
        <v>NO APLICA</v>
      </c>
      <c r="KV48" s="3"/>
      <c r="KW48" s="4">
        <v>44651</v>
      </c>
      <c r="KX48" s="4">
        <f>DATE(YEAR(KW48)+5,MONTH(KW48),DAY(KW48))</f>
        <v>46477</v>
      </c>
      <c r="KY48" s="8">
        <f ca="1">KX48-TODAY()</f>
        <v>332</v>
      </c>
      <c r="KZ48" s="5" t="str">
        <f t="shared" ca="1" si="151"/>
        <v>VIGENTE</v>
      </c>
      <c r="LA48" s="5"/>
      <c r="LB48" s="4">
        <v>44608</v>
      </c>
      <c r="LC48" s="4">
        <f>DATE(YEAR(LB48)+5,MONTH(LB48),DAY(LB48))</f>
        <v>46434</v>
      </c>
      <c r="LD48" s="8">
        <f ca="1">LC48-TODAY()</f>
        <v>289</v>
      </c>
      <c r="LE48" s="5" t="str">
        <f t="shared" ca="1" si="138"/>
        <v>VIGENTE</v>
      </c>
      <c r="LF48" s="6"/>
      <c r="LG48" s="6"/>
      <c r="LH48" s="4"/>
      <c r="LI48" s="8"/>
      <c r="LJ48" s="5" t="str">
        <f t="shared" si="101"/>
        <v>NO APLICA</v>
      </c>
      <c r="LK48" s="5"/>
      <c r="LL48" s="5"/>
      <c r="LM48" s="5"/>
      <c r="LN48" s="5"/>
      <c r="LO48" s="5" t="str">
        <f t="shared" si="152"/>
        <v>NO APLICA</v>
      </c>
      <c r="LP48" s="2"/>
      <c r="LQ48" s="6"/>
      <c r="LR48" s="4"/>
      <c r="LS48" s="8"/>
      <c r="LT48" s="5" t="str">
        <f t="shared" si="139"/>
        <v>NO APLICA</v>
      </c>
      <c r="LU48" s="6"/>
      <c r="LV48" s="6"/>
      <c r="LW48" s="4"/>
      <c r="LX48" s="8"/>
      <c r="LY48" s="5" t="str">
        <f t="shared" si="140"/>
        <v>NO APLICA</v>
      </c>
      <c r="LZ48" s="6"/>
      <c r="MA48" s="6"/>
      <c r="MB48" s="4"/>
      <c r="MC48" s="8"/>
      <c r="MD48" s="5" t="str">
        <f t="shared" si="141"/>
        <v>NO APLICA</v>
      </c>
      <c r="ME48" s="2"/>
      <c r="MF48" s="2"/>
      <c r="MG48" s="4"/>
      <c r="MH48" s="8"/>
      <c r="MI48" s="5" t="str">
        <f t="shared" si="102"/>
        <v>NO APLICA</v>
      </c>
      <c r="MJ48" s="2"/>
      <c r="MK48" s="2"/>
      <c r="ML48" s="4"/>
      <c r="MM48" s="8"/>
      <c r="MN48" s="5" t="str">
        <f t="shared" si="103"/>
        <v>NO APLICA</v>
      </c>
      <c r="MO48" s="5"/>
      <c r="MP48" s="2"/>
      <c r="MQ48" s="4"/>
      <c r="MR48" s="8"/>
      <c r="MS48" s="5" t="str">
        <f t="shared" si="104"/>
        <v>NO APLICA</v>
      </c>
      <c r="MT48" s="5"/>
      <c r="MU48" s="2"/>
      <c r="MV48" s="4"/>
      <c r="MW48" s="2"/>
      <c r="MX48" s="5" t="str">
        <f t="shared" si="105"/>
        <v>NO APLICA</v>
      </c>
      <c r="MY48" s="2"/>
      <c r="MZ48" s="6"/>
      <c r="NA48" s="4"/>
      <c r="NB48" s="8"/>
      <c r="NC48" s="5" t="str">
        <f t="shared" si="106"/>
        <v>NO APLICA</v>
      </c>
      <c r="ND48" s="2"/>
      <c r="NE48" s="6"/>
      <c r="NF48" s="4"/>
      <c r="NG48" s="8"/>
      <c r="NH48" s="5" t="str">
        <f t="shared" si="107"/>
        <v>NO APLICA</v>
      </c>
      <c r="NI48" s="2"/>
      <c r="NJ48" s="6"/>
      <c r="NK48" s="4"/>
      <c r="NL48" s="8"/>
      <c r="NM48" s="5" t="str">
        <f t="shared" si="108"/>
        <v>NO APLICA</v>
      </c>
      <c r="NN48" s="2"/>
      <c r="NO48" s="2"/>
      <c r="NP48" s="4"/>
      <c r="NQ48" s="2"/>
      <c r="NR48" s="5" t="str">
        <f t="shared" si="109"/>
        <v>NO APLICA</v>
      </c>
      <c r="NS48" s="4"/>
      <c r="NT48" s="4">
        <v>45103</v>
      </c>
      <c r="NU48" s="4">
        <f>DATE(YEAR(NT48)+5,MONTH(NT48),DAY(NT48))</f>
        <v>46930</v>
      </c>
      <c r="NV48" s="8">
        <f ca="1">NU48-TODAY()</f>
        <v>785</v>
      </c>
      <c r="NW48" s="5" t="str">
        <f t="shared" ca="1" si="110"/>
        <v>VIGENTE</v>
      </c>
      <c r="NX48" s="6"/>
      <c r="NY48" s="6"/>
      <c r="NZ48" s="4"/>
      <c r="OA48" s="8"/>
      <c r="OB48" s="5" t="str">
        <f t="shared" si="111"/>
        <v>NO APLICA</v>
      </c>
      <c r="OC48" s="6"/>
      <c r="OD48" s="6"/>
      <c r="OE48" s="6"/>
      <c r="OF48" s="6"/>
      <c r="OG48" s="5" t="str">
        <f t="shared" si="112"/>
        <v>NO APLICA</v>
      </c>
      <c r="OH48" s="6"/>
      <c r="OI48" s="6"/>
      <c r="OJ48" s="4"/>
      <c r="OK48" s="8"/>
      <c r="OL48" s="5" t="str">
        <f t="shared" si="113"/>
        <v>NO APLICA</v>
      </c>
      <c r="OM48" s="6"/>
      <c r="ON48" s="6"/>
      <c r="OO48" s="6"/>
      <c r="OP48" s="6"/>
      <c r="OQ48" s="5" t="str">
        <f t="shared" si="114"/>
        <v>NO APLICA</v>
      </c>
      <c r="OR48" s="6"/>
      <c r="OS48" s="6"/>
      <c r="OT48" s="6"/>
      <c r="OU48" s="6"/>
      <c r="OV48" s="5" t="str">
        <f t="shared" si="115"/>
        <v>NO APLICA</v>
      </c>
      <c r="OW48" s="6"/>
      <c r="OX48" s="6"/>
      <c r="OY48" s="6"/>
      <c r="OZ48" s="6"/>
      <c r="PA48" s="5" t="str">
        <f t="shared" si="116"/>
        <v>NO APLICA</v>
      </c>
      <c r="PB48" s="6"/>
      <c r="PC48" s="6"/>
      <c r="PD48" s="6"/>
      <c r="PE48" s="6"/>
      <c r="PF48" s="5" t="str">
        <f t="shared" si="117"/>
        <v>NO APLICA</v>
      </c>
      <c r="PG48" s="6"/>
      <c r="PH48" s="6"/>
      <c r="PI48" s="6"/>
      <c r="PJ48" s="6"/>
      <c r="PK48" s="5" t="str">
        <f t="shared" si="118"/>
        <v>NO APLICA</v>
      </c>
      <c r="PL48" s="5"/>
      <c r="PM48" s="6"/>
      <c r="PN48" s="4"/>
      <c r="PO48" s="8"/>
      <c r="PP48" s="5" t="str">
        <f t="shared" si="119"/>
        <v>NO APLICA</v>
      </c>
      <c r="PQ48" s="6"/>
      <c r="PR48" s="6"/>
      <c r="PS48" s="6"/>
      <c r="PT48" s="6"/>
      <c r="PU48" s="5" t="str">
        <f t="shared" si="120"/>
        <v>NO APLICA</v>
      </c>
      <c r="PV48" s="5"/>
      <c r="PW48" s="6"/>
      <c r="PX48" s="6"/>
      <c r="PY48" s="6"/>
      <c r="PZ48" s="5" t="str">
        <f t="shared" si="121"/>
        <v>NO APLICA</v>
      </c>
    </row>
    <row r="49" spans="1:442" ht="15.6" hidden="1" thickTop="1" thickBot="1" x14ac:dyDescent="0.35">
      <c r="A49" s="26">
        <v>46</v>
      </c>
      <c r="B49" s="31">
        <v>828</v>
      </c>
      <c r="C49" s="28" t="s">
        <v>211</v>
      </c>
      <c r="D49" s="29" t="s">
        <v>68</v>
      </c>
      <c r="E49" s="30" t="s">
        <v>153</v>
      </c>
      <c r="F49" s="6"/>
      <c r="G49" s="6"/>
      <c r="H49" s="6"/>
      <c r="I49" s="6"/>
      <c r="J49" s="5" t="str">
        <f t="shared" si="0"/>
        <v>NO APLICA</v>
      </c>
      <c r="K49" s="6"/>
      <c r="L49" s="6"/>
      <c r="M49" s="6"/>
      <c r="N49" s="6"/>
      <c r="O49" s="5" t="str">
        <f t="shared" si="1"/>
        <v>NO APLICA</v>
      </c>
      <c r="P49" s="6"/>
      <c r="Q49" s="6"/>
      <c r="R49" s="6"/>
      <c r="S49" s="6"/>
      <c r="T49" s="5" t="str">
        <f t="shared" si="122"/>
        <v>NO APLICA</v>
      </c>
      <c r="U49" s="5"/>
      <c r="V49" s="6" t="s">
        <v>212</v>
      </c>
      <c r="W49" s="4">
        <v>45401</v>
      </c>
      <c r="X49" s="4">
        <f t="shared" si="2"/>
        <v>47227</v>
      </c>
      <c r="Y49" s="8">
        <f t="shared" ca="1" si="3"/>
        <v>1082</v>
      </c>
      <c r="Z49" s="5" t="str">
        <f t="shared" ca="1" si="4"/>
        <v>VIGENTE</v>
      </c>
      <c r="AA49" s="5"/>
      <c r="AB49" s="6" t="s">
        <v>213</v>
      </c>
      <c r="AC49" s="4">
        <v>45577</v>
      </c>
      <c r="AD49" s="4">
        <f>DATE(YEAR(AC49)+5,MONTH(AC49),DAY(AC49))</f>
        <v>47403</v>
      </c>
      <c r="AE49" s="8">
        <f ca="1">AD49-TODAY()</f>
        <v>1258</v>
      </c>
      <c r="AF49" s="5" t="str">
        <f t="shared" ca="1" si="7"/>
        <v>VIGENTE</v>
      </c>
      <c r="AG49" s="4"/>
      <c r="AH49" s="4">
        <v>46085</v>
      </c>
      <c r="AI49" s="4">
        <f>DATE(YEAR(AH49)+2,MONTH(AH49),DAY(AH49))</f>
        <v>46816</v>
      </c>
      <c r="AJ49" s="8">
        <f t="shared" ca="1" si="8"/>
        <v>671</v>
      </c>
      <c r="AK49" s="5" t="str">
        <f t="shared" ca="1" si="219"/>
        <v>VIGENTE</v>
      </c>
      <c r="AL49" s="4"/>
      <c r="AM49" s="4">
        <v>46084</v>
      </c>
      <c r="AN49" s="4">
        <f>DATE(YEAR(AM49)+2,MONTH(AM49),DAY(AM49))</f>
        <v>46815</v>
      </c>
      <c r="AO49" s="8">
        <f t="shared" ca="1" si="10"/>
        <v>670</v>
      </c>
      <c r="AP49" s="5" t="str">
        <f t="shared" ca="1" si="11"/>
        <v>VIGENTE</v>
      </c>
      <c r="AQ49" s="6"/>
      <c r="AR49" s="4">
        <v>46048</v>
      </c>
      <c r="AS49" s="4">
        <f t="shared" si="220"/>
        <v>46778</v>
      </c>
      <c r="AT49" s="8">
        <f t="shared" ca="1" si="12"/>
        <v>633</v>
      </c>
      <c r="AU49" s="5" t="str">
        <f t="shared" ca="1" si="13"/>
        <v>VIGENTE</v>
      </c>
      <c r="AV49" s="6"/>
      <c r="AW49" s="4">
        <v>46070</v>
      </c>
      <c r="AX49" s="4">
        <f t="shared" si="221"/>
        <v>46800</v>
      </c>
      <c r="AY49" s="8">
        <f t="shared" ca="1" si="15"/>
        <v>655</v>
      </c>
      <c r="AZ49" s="5" t="str">
        <f t="shared" ca="1" si="16"/>
        <v>VIGENTE</v>
      </c>
      <c r="BA49" s="4"/>
      <c r="BB49" s="4">
        <v>46118</v>
      </c>
      <c r="BC49" s="4">
        <f>DATE(YEAR(BB49)+2,MONTH(BB49),DAY(BB49)-1)</f>
        <v>46848</v>
      </c>
      <c r="BD49" s="8">
        <f t="shared" ca="1" si="17"/>
        <v>703</v>
      </c>
      <c r="BE49" s="5" t="str">
        <f t="shared" ca="1" si="18"/>
        <v>VIGENTE</v>
      </c>
      <c r="BF49" s="6"/>
      <c r="BG49" s="4">
        <v>46067</v>
      </c>
      <c r="BH49" s="4">
        <f t="shared" si="222"/>
        <v>46797</v>
      </c>
      <c r="BI49" s="8">
        <f t="shared" ca="1" si="19"/>
        <v>652</v>
      </c>
      <c r="BJ49" s="5" t="str">
        <f t="shared" ca="1" si="20"/>
        <v>VIGENTE</v>
      </c>
      <c r="BK49" s="4"/>
      <c r="BL49" s="4">
        <v>46051</v>
      </c>
      <c r="BM49" s="4">
        <f t="shared" si="223"/>
        <v>46781</v>
      </c>
      <c r="BN49" s="8">
        <f t="shared" ca="1" si="21"/>
        <v>636</v>
      </c>
      <c r="BO49" s="5" t="str">
        <f t="shared" ca="1" si="22"/>
        <v>VIGENTE</v>
      </c>
      <c r="BP49" s="4"/>
      <c r="BQ49" s="39">
        <v>46069</v>
      </c>
      <c r="BR49" s="4">
        <f>DATE(YEAR(BQ49)+2,MONTH(BQ49),DAY(BQ49))</f>
        <v>46799</v>
      </c>
      <c r="BS49" s="8">
        <f t="shared" ca="1" si="23"/>
        <v>654</v>
      </c>
      <c r="BT49" s="5" t="str">
        <f t="shared" ca="1" si="24"/>
        <v>VIGENTE</v>
      </c>
      <c r="BU49" s="6"/>
      <c r="BV49" s="4">
        <v>46116</v>
      </c>
      <c r="BW49" s="4">
        <f>DATE(YEAR(BV49)+2,MONTH(BV49),DAY(BV49)-1)</f>
        <v>46846</v>
      </c>
      <c r="BX49" s="8">
        <f t="shared" ca="1" si="25"/>
        <v>701</v>
      </c>
      <c r="BY49" s="5" t="str">
        <f t="shared" ca="1" si="26"/>
        <v>VIGENTE</v>
      </c>
      <c r="BZ49" s="6"/>
      <c r="CA49" s="4">
        <v>46119</v>
      </c>
      <c r="CB49" s="4">
        <f>DATE(YEAR(CA49)+2,MONTH(CA49),DAY(CA49)-1)</f>
        <v>46849</v>
      </c>
      <c r="CC49" s="8">
        <f t="shared" ca="1" si="27"/>
        <v>704</v>
      </c>
      <c r="CD49" s="5" t="str">
        <f t="shared" ca="1" si="28"/>
        <v>VIGENTE</v>
      </c>
      <c r="CE49" s="6"/>
      <c r="CF49" s="4">
        <v>45533</v>
      </c>
      <c r="CG49" s="4">
        <f t="shared" si="29"/>
        <v>46994</v>
      </c>
      <c r="CH49" s="8">
        <f t="shared" ca="1" si="30"/>
        <v>849</v>
      </c>
      <c r="CI49" s="5" t="str">
        <f t="shared" ca="1" si="31"/>
        <v>VIGENTE</v>
      </c>
      <c r="CJ49" s="6"/>
      <c r="CK49" s="4">
        <v>45504</v>
      </c>
      <c r="CL49" s="4">
        <f t="shared" si="226"/>
        <v>46233</v>
      </c>
      <c r="CM49" s="8">
        <f t="shared" ca="1" si="32"/>
        <v>88</v>
      </c>
      <c r="CN49" s="5" t="str">
        <f t="shared" ca="1" si="33"/>
        <v>POR VENCER</v>
      </c>
      <c r="CO49" s="4"/>
      <c r="CP49" s="4">
        <v>46101</v>
      </c>
      <c r="CQ49" s="4">
        <f>DATE(YEAR(CP49)+2,MONTH(CP49),DAY(CP49))</f>
        <v>46832</v>
      </c>
      <c r="CR49" s="8">
        <f t="shared" ca="1" si="34"/>
        <v>687</v>
      </c>
      <c r="CS49" s="5" t="str">
        <f t="shared" ca="1" si="35"/>
        <v>VIGENTE</v>
      </c>
      <c r="CT49" s="4"/>
      <c r="CU49" s="4">
        <v>46043</v>
      </c>
      <c r="CV49" s="4">
        <f>DATE(YEAR(CU49)+2,MONTH(CU49),DAY(CU49))</f>
        <v>46773</v>
      </c>
      <c r="CW49" s="8">
        <f t="shared" ca="1" si="36"/>
        <v>628</v>
      </c>
      <c r="CX49" s="5" t="str">
        <f t="shared" ca="1" si="37"/>
        <v>VIGENTE</v>
      </c>
      <c r="CY49" s="4"/>
      <c r="CZ49" s="4">
        <v>46028</v>
      </c>
      <c r="DA49" s="4">
        <f>DATE(YEAR(CZ49)+2,MONTH(CZ49),DAY(CZ49))</f>
        <v>46758</v>
      </c>
      <c r="DB49" s="8">
        <f t="shared" ca="1" si="38"/>
        <v>613</v>
      </c>
      <c r="DC49" s="5" t="str">
        <f t="shared" ca="1" si="39"/>
        <v>VIGENTE</v>
      </c>
      <c r="DD49" s="4"/>
      <c r="DE49" s="4">
        <v>46066</v>
      </c>
      <c r="DF49" s="4">
        <f>DATE(YEAR(DE49)+2,MONTH(DE49),DAY(DE49))</f>
        <v>46796</v>
      </c>
      <c r="DG49" s="8">
        <f t="shared" ca="1" si="40"/>
        <v>651</v>
      </c>
      <c r="DH49" s="5" t="str">
        <f t="shared" ca="1" si="41"/>
        <v>VIGENTE</v>
      </c>
      <c r="DI49" s="6"/>
      <c r="DJ49" s="39">
        <v>46073</v>
      </c>
      <c r="DK49" s="4">
        <f t="shared" si="225"/>
        <v>46803</v>
      </c>
      <c r="DL49" s="8">
        <f t="shared" ca="1" si="43"/>
        <v>658</v>
      </c>
      <c r="DM49" s="5" t="str">
        <f t="shared" ca="1" si="44"/>
        <v>VIGENTE</v>
      </c>
      <c r="DN49" s="4"/>
      <c r="DO49" s="4">
        <v>45520</v>
      </c>
      <c r="DP49" s="4">
        <f>DATE(YEAR(DO49)+2,MONTH(DO49),DAY(DO49)-1)</f>
        <v>46249</v>
      </c>
      <c r="DQ49" s="8">
        <f t="shared" ca="1" si="46"/>
        <v>104</v>
      </c>
      <c r="DR49" s="5" t="str">
        <f t="shared" ca="1" si="47"/>
        <v>VIGENTE</v>
      </c>
      <c r="DS49" s="6"/>
      <c r="DT49" s="4">
        <v>46053</v>
      </c>
      <c r="DU49" s="4">
        <f>DATE(YEAR(DT49)+2,MONTH(DT49),DAY(DT49))</f>
        <v>46783</v>
      </c>
      <c r="DV49" s="8">
        <f t="shared" ca="1" si="48"/>
        <v>638</v>
      </c>
      <c r="DW49" s="5" t="str">
        <f t="shared" ca="1" si="49"/>
        <v>VIGENTE</v>
      </c>
      <c r="DX49" s="4"/>
      <c r="DY49" s="4">
        <v>46099</v>
      </c>
      <c r="DZ49" s="4">
        <f>DATE(YEAR(DY49)+2,MONTH(DY49),DAY(DY49))</f>
        <v>46830</v>
      </c>
      <c r="EA49" s="8">
        <f t="shared" ca="1" si="50"/>
        <v>685</v>
      </c>
      <c r="EB49" s="5" t="str">
        <f t="shared" ca="1" si="51"/>
        <v>VIGENTE</v>
      </c>
      <c r="EC49" s="4"/>
      <c r="ED49" s="4">
        <v>46112</v>
      </c>
      <c r="EE49" s="4">
        <f>DATE(YEAR(ED49)+2,MONTH(ED49),DAY(ED49)-1)</f>
        <v>46842</v>
      </c>
      <c r="EF49" s="8">
        <f t="shared" ca="1" si="52"/>
        <v>697</v>
      </c>
      <c r="EG49" s="5" t="str">
        <f t="shared" ca="1" si="53"/>
        <v>VIGENTE</v>
      </c>
      <c r="EH49" s="4"/>
      <c r="EI49" s="4">
        <v>46123</v>
      </c>
      <c r="EJ49" s="4">
        <f t="shared" si="131"/>
        <v>46488</v>
      </c>
      <c r="EK49" s="8">
        <f t="shared" ca="1" si="54"/>
        <v>343</v>
      </c>
      <c r="EL49" s="5" t="str">
        <f t="shared" ca="1" si="55"/>
        <v>VIGENTE</v>
      </c>
      <c r="EM49" s="4"/>
      <c r="EN49" s="4">
        <v>46135</v>
      </c>
      <c r="EO49" s="4">
        <f>DATE(YEAR(EN49)+2,MONTH(EN49),DAY(EN49)-1)</f>
        <v>46865</v>
      </c>
      <c r="EP49" s="8">
        <f t="shared" ca="1" si="56"/>
        <v>720</v>
      </c>
      <c r="EQ49" s="5" t="str">
        <f t="shared" ca="1" si="57"/>
        <v>VIGENTE</v>
      </c>
      <c r="ER49" s="6"/>
      <c r="ES49" s="39">
        <v>46130</v>
      </c>
      <c r="ET49" s="4">
        <f>DATE(YEAR(ES49)+2,MONTH(ES49),DAY(ES49)-1)</f>
        <v>46860</v>
      </c>
      <c r="EU49" s="8">
        <f t="shared" ca="1" si="58"/>
        <v>715</v>
      </c>
      <c r="EV49" s="5" t="str">
        <f t="shared" ca="1" si="59"/>
        <v>VIGENTE</v>
      </c>
      <c r="EW49" s="6"/>
      <c r="EX49" s="4">
        <v>45502</v>
      </c>
      <c r="EY49" s="4">
        <f>DATE(YEAR(EX49)+2,MONTH(EX49),DAY(EX49)-1)</f>
        <v>46231</v>
      </c>
      <c r="EZ49" s="8">
        <f t="shared" ca="1" si="60"/>
        <v>86</v>
      </c>
      <c r="FA49" s="5" t="str">
        <f t="shared" ca="1" si="61"/>
        <v>POR VENCER</v>
      </c>
      <c r="FB49" s="6"/>
      <c r="FC49" s="4">
        <v>46091</v>
      </c>
      <c r="FD49" s="4">
        <f t="shared" si="215"/>
        <v>46822</v>
      </c>
      <c r="FE49" s="8">
        <f t="shared" ca="1" si="62"/>
        <v>677</v>
      </c>
      <c r="FF49" s="5" t="str">
        <f t="shared" ca="1" si="63"/>
        <v>VIGENTE</v>
      </c>
      <c r="FG49" s="6"/>
      <c r="FH49" s="4">
        <v>45542</v>
      </c>
      <c r="FI49" s="4">
        <f>DATE(YEAR(FH49)+2,MONTH(FH49),DAY(FH49)-1)</f>
        <v>46271</v>
      </c>
      <c r="FJ49" s="8">
        <f t="shared" ca="1" si="64"/>
        <v>126</v>
      </c>
      <c r="FK49" s="5" t="str">
        <f t="shared" ca="1" si="65"/>
        <v>VIGENTE</v>
      </c>
      <c r="FL49" s="4"/>
      <c r="FM49" s="39">
        <v>46039</v>
      </c>
      <c r="FN49" s="4">
        <f>DATE(YEAR(FM49)+2,MONTH(FM49),DAY(FM49))</f>
        <v>46769</v>
      </c>
      <c r="FO49" s="8">
        <f t="shared" ca="1" si="67"/>
        <v>624</v>
      </c>
      <c r="FP49" s="5" t="str">
        <f t="shared" ca="1" si="68"/>
        <v>VIGENTE</v>
      </c>
      <c r="FQ49" s="4"/>
      <c r="FR49" s="39">
        <v>46132</v>
      </c>
      <c r="FS49" s="4">
        <f>DATE(YEAR(FR49)+2,MONTH(FR49),DAY(FR49)-1)</f>
        <v>46862</v>
      </c>
      <c r="FT49" s="8">
        <f t="shared" ca="1" si="69"/>
        <v>717</v>
      </c>
      <c r="FU49" s="5" t="str">
        <f t="shared" ca="1" si="70"/>
        <v>VIGENTE</v>
      </c>
      <c r="FV49" s="4"/>
      <c r="FW49" s="4">
        <v>45541</v>
      </c>
      <c r="FX49" s="4">
        <f>DATE(YEAR(FW49)+2,MONTH(FW49),DAY(FW49)-1)</f>
        <v>46270</v>
      </c>
      <c r="FY49" s="8">
        <f t="shared" ca="1" si="71"/>
        <v>125</v>
      </c>
      <c r="FZ49" s="5" t="str">
        <f t="shared" ca="1" si="72"/>
        <v>VIGENTE</v>
      </c>
      <c r="GA49" s="4"/>
      <c r="GB49" s="4">
        <v>46030</v>
      </c>
      <c r="GC49" s="4">
        <f>DATE(YEAR(GB49)+2,MONTH(GB49),DAY(GB49))</f>
        <v>46760</v>
      </c>
      <c r="GD49" s="8">
        <f t="shared" ca="1" si="73"/>
        <v>615</v>
      </c>
      <c r="GE49" s="5" t="str">
        <f t="shared" ca="1" si="74"/>
        <v>VIGENTE</v>
      </c>
      <c r="GF49" s="4"/>
      <c r="GG49" s="4">
        <v>46092</v>
      </c>
      <c r="GH49" s="4">
        <f>DATE(YEAR(GG49)+2,MONTH(GG49),DAY(GG49))</f>
        <v>46823</v>
      </c>
      <c r="GI49" s="8">
        <f t="shared" ca="1" si="75"/>
        <v>678</v>
      </c>
      <c r="GJ49" s="5" t="str">
        <f t="shared" ca="1" si="76"/>
        <v>VIGENTE</v>
      </c>
      <c r="GK49" s="4"/>
      <c r="GL49" s="4">
        <v>45499</v>
      </c>
      <c r="GM49" s="4">
        <f>DATE(YEAR(GL49)+2,MONTH(GL49),DAY(GL49)-1)</f>
        <v>46228</v>
      </c>
      <c r="GN49" s="8">
        <f t="shared" ca="1" si="77"/>
        <v>83</v>
      </c>
      <c r="GO49" s="5" t="str">
        <f t="shared" ca="1" si="78"/>
        <v>VIGENTE</v>
      </c>
      <c r="GP49" s="4"/>
      <c r="GQ49" s="4">
        <v>45468</v>
      </c>
      <c r="GR49" s="4">
        <f t="shared" si="79"/>
        <v>47294</v>
      </c>
      <c r="GS49" s="8">
        <f t="shared" ca="1" si="176"/>
        <v>1149</v>
      </c>
      <c r="GT49" s="5" t="str">
        <f t="shared" ca="1" si="81"/>
        <v>VIGENTE</v>
      </c>
      <c r="GU49" s="4"/>
      <c r="GV49" s="4">
        <v>45464</v>
      </c>
      <c r="GW49" s="4">
        <f t="shared" si="82"/>
        <v>47290</v>
      </c>
      <c r="GX49" s="8">
        <f t="shared" ca="1" si="83"/>
        <v>1145</v>
      </c>
      <c r="GY49" s="5" t="str">
        <f t="shared" ca="1" si="84"/>
        <v>VIGENTE</v>
      </c>
      <c r="GZ49" s="6"/>
      <c r="HA49" s="4">
        <v>45479</v>
      </c>
      <c r="HB49" s="4">
        <f t="shared" si="85"/>
        <v>47305</v>
      </c>
      <c r="HC49" s="8">
        <f t="shared" ca="1" si="86"/>
        <v>1160</v>
      </c>
      <c r="HD49" s="5" t="str">
        <f t="shared" ca="1" si="87"/>
        <v>VIGENTE</v>
      </c>
      <c r="HE49" s="6"/>
      <c r="HF49" s="4">
        <v>45401</v>
      </c>
      <c r="HG49" s="4">
        <f>DATE(YEAR(HF49)+5,MONTH(HF49),DAY(HF49))</f>
        <v>47227</v>
      </c>
      <c r="HH49" s="8">
        <f ca="1">HG49-TODAY()</f>
        <v>1082</v>
      </c>
      <c r="HI49" s="5" t="str">
        <f t="shared" ca="1" si="224"/>
        <v>VIGENTE</v>
      </c>
      <c r="HJ49" s="6"/>
      <c r="HK49" s="6"/>
      <c r="HL49" s="4"/>
      <c r="HM49" s="8"/>
      <c r="HN49" s="5" t="str">
        <f>IF(HM49&gt;=61,"VIGENTE",IF(HM49&gt;=1,"POR VENCER",IF(HM49&lt;=-1,"PROGRAMAR",IF(HK49=0,"NO APLICA"))))</f>
        <v>NO APLICA</v>
      </c>
      <c r="HO49" s="6"/>
      <c r="HP49" s="6"/>
      <c r="HQ49" s="4"/>
      <c r="HR49" s="6"/>
      <c r="HS49" s="5" t="str">
        <f t="shared" si="92"/>
        <v>NO APLICA</v>
      </c>
      <c r="HT49" s="6"/>
      <c r="HU49" s="6"/>
      <c r="HV49" s="4"/>
      <c r="HW49" s="8"/>
      <c r="HX49" s="5" t="str">
        <f t="shared" si="93"/>
        <v>NO APLICA</v>
      </c>
      <c r="HY49" s="6"/>
      <c r="HZ49" s="6"/>
      <c r="IA49" s="4"/>
      <c r="IB49" s="8"/>
      <c r="IC49" s="5" t="str">
        <f t="shared" si="94"/>
        <v>NO APLICA</v>
      </c>
      <c r="ID49" s="6"/>
      <c r="IE49" s="6"/>
      <c r="IF49" s="4"/>
      <c r="IG49" s="8"/>
      <c r="IH49" s="5" t="str">
        <f t="shared" si="95"/>
        <v>NO APLICA</v>
      </c>
      <c r="II49" s="6"/>
      <c r="IJ49" s="6"/>
      <c r="IK49" s="4"/>
      <c r="IL49" s="6"/>
      <c r="IM49" s="5" t="str">
        <f t="shared" si="96"/>
        <v>NO APLICA</v>
      </c>
      <c r="IN49" s="6"/>
      <c r="IO49" s="4">
        <v>45490</v>
      </c>
      <c r="IP49" s="4">
        <f>DATE(YEAR(IO49)+5,MONTH(IO49),DAY(IO49))</f>
        <v>47316</v>
      </c>
      <c r="IQ49" s="8">
        <f ca="1">IP49-TODAY()</f>
        <v>1171</v>
      </c>
      <c r="IR49" s="5" t="str">
        <f t="shared" ca="1" si="97"/>
        <v>VIGENTE</v>
      </c>
      <c r="IS49" s="6"/>
      <c r="IT49" s="4">
        <v>45402</v>
      </c>
      <c r="IU49" s="4">
        <f>DATE(YEAR(IT49)+5,MONTH(IT49),DAY(IT49))</f>
        <v>47228</v>
      </c>
      <c r="IV49" s="8">
        <f ca="1">IU49-TODAY()</f>
        <v>1083</v>
      </c>
      <c r="IW49" s="5" t="str">
        <f t="shared" ca="1" si="98"/>
        <v>VIGENTE</v>
      </c>
      <c r="IX49" s="6"/>
      <c r="IY49" s="4">
        <v>45491</v>
      </c>
      <c r="IZ49" s="4">
        <f>DATE(YEAR(IY49)+5,MONTH(IY49),DAY(IY49))</f>
        <v>47317</v>
      </c>
      <c r="JA49" s="8">
        <f ca="1">IZ49-TODAY()</f>
        <v>1172</v>
      </c>
      <c r="JB49" s="5" t="str">
        <f t="shared" ca="1" si="99"/>
        <v>VIGENTE</v>
      </c>
      <c r="JC49" s="3" t="s">
        <v>780</v>
      </c>
      <c r="JD49" s="6"/>
      <c r="JE49" s="6"/>
      <c r="JF49" s="6"/>
      <c r="JG49" s="5"/>
      <c r="JH49" s="3" t="s">
        <v>780</v>
      </c>
      <c r="JI49" s="6"/>
      <c r="JJ49" s="6"/>
      <c r="JK49" s="6"/>
      <c r="JL49" s="5"/>
      <c r="JM49" s="6" t="s">
        <v>780</v>
      </c>
      <c r="JN49" s="6"/>
      <c r="JO49" s="6"/>
      <c r="JP49" s="6"/>
      <c r="JQ49" s="5"/>
      <c r="JR49" s="6" t="s">
        <v>780</v>
      </c>
      <c r="JS49" s="6"/>
      <c r="JT49" s="6"/>
      <c r="JU49" s="6"/>
      <c r="JV49" s="5"/>
      <c r="JW49" s="6" t="s">
        <v>780</v>
      </c>
      <c r="JX49" s="5"/>
      <c r="JY49" s="5"/>
      <c r="JZ49" s="5"/>
      <c r="KA49" s="5"/>
      <c r="KB49" s="5"/>
      <c r="KC49" s="6"/>
      <c r="KD49" s="4"/>
      <c r="KE49" s="6"/>
      <c r="KF49" s="5" t="str">
        <f t="shared" si="135"/>
        <v>NO APLICA</v>
      </c>
      <c r="KG49" s="5"/>
      <c r="KH49" s="6"/>
      <c r="KI49" s="4"/>
      <c r="KJ49" s="6"/>
      <c r="KK49" s="5" t="str">
        <f t="shared" si="136"/>
        <v>NO APLICA</v>
      </c>
      <c r="KL49" s="5"/>
      <c r="KM49" s="6"/>
      <c r="KN49" s="4"/>
      <c r="KO49" s="6"/>
      <c r="KP49" s="5" t="str">
        <f t="shared" si="100"/>
        <v>NO APLICA</v>
      </c>
      <c r="KQ49" s="5"/>
      <c r="KR49" s="6"/>
      <c r="KS49" s="4"/>
      <c r="KT49" s="6"/>
      <c r="KU49" s="5" t="str">
        <f t="shared" si="137"/>
        <v>NO APLICA</v>
      </c>
      <c r="KV49" s="6"/>
      <c r="KW49" s="6"/>
      <c r="KX49" s="4"/>
      <c r="KY49" s="6"/>
      <c r="KZ49" s="5" t="str">
        <f t="shared" si="151"/>
        <v>NO APLICA</v>
      </c>
      <c r="LA49" s="5"/>
      <c r="LB49" s="6"/>
      <c r="LC49" s="4"/>
      <c r="LD49" s="6"/>
      <c r="LE49" s="5" t="str">
        <f t="shared" si="138"/>
        <v>NO APLICA</v>
      </c>
      <c r="LF49" s="6"/>
      <c r="LG49" s="4"/>
      <c r="LH49" s="4"/>
      <c r="LI49" s="8"/>
      <c r="LJ49" s="5" t="str">
        <f t="shared" si="101"/>
        <v>NO APLICA</v>
      </c>
      <c r="LK49" s="5"/>
      <c r="LL49" s="5"/>
      <c r="LM49" s="4"/>
      <c r="LN49" s="8"/>
      <c r="LO49" s="5" t="str">
        <f t="shared" si="152"/>
        <v>NO APLICA</v>
      </c>
      <c r="LP49" s="6"/>
      <c r="LQ49" s="6"/>
      <c r="LR49" s="4"/>
      <c r="LS49" s="8"/>
      <c r="LT49" s="5" t="str">
        <f t="shared" si="139"/>
        <v>NO APLICA</v>
      </c>
      <c r="LU49" s="6"/>
      <c r="LV49" s="6"/>
      <c r="LW49" s="4"/>
      <c r="LX49" s="6"/>
      <c r="LY49" s="5" t="str">
        <f t="shared" si="140"/>
        <v>NO APLICA</v>
      </c>
      <c r="LZ49" s="6"/>
      <c r="MA49" s="6"/>
      <c r="MB49" s="4"/>
      <c r="MC49" s="6"/>
      <c r="MD49" s="5" t="str">
        <f t="shared" si="141"/>
        <v>NO APLICA</v>
      </c>
      <c r="ME49" s="6"/>
      <c r="MF49" s="6"/>
      <c r="MG49" s="4"/>
      <c r="MH49" s="6"/>
      <c r="MI49" s="5" t="str">
        <f t="shared" si="102"/>
        <v>NO APLICA</v>
      </c>
      <c r="MJ49" s="6"/>
      <c r="MK49" s="6"/>
      <c r="ML49" s="4"/>
      <c r="MM49" s="6"/>
      <c r="MN49" s="5" t="str">
        <f t="shared" si="103"/>
        <v>NO APLICA</v>
      </c>
      <c r="MO49" s="5"/>
      <c r="MP49" s="6"/>
      <c r="MQ49" s="4"/>
      <c r="MR49" s="6"/>
      <c r="MS49" s="5" t="str">
        <f t="shared" si="104"/>
        <v>NO APLICA</v>
      </c>
      <c r="MT49" s="5"/>
      <c r="MU49" s="6"/>
      <c r="MV49" s="6"/>
      <c r="MW49" s="6"/>
      <c r="MX49" s="5" t="str">
        <f t="shared" si="105"/>
        <v>NO APLICA</v>
      </c>
      <c r="MY49" s="6"/>
      <c r="MZ49" s="6"/>
      <c r="NA49" s="4"/>
      <c r="NB49" s="6"/>
      <c r="NC49" s="5" t="str">
        <f t="shared" si="106"/>
        <v>NO APLICA</v>
      </c>
      <c r="ND49" s="6"/>
      <c r="NE49" s="6"/>
      <c r="NF49" s="4"/>
      <c r="NG49" s="6"/>
      <c r="NH49" s="5" t="str">
        <f t="shared" si="107"/>
        <v>NO APLICA</v>
      </c>
      <c r="NI49" s="6"/>
      <c r="NJ49" s="6"/>
      <c r="NK49" s="4"/>
      <c r="NL49" s="6"/>
      <c r="NM49" s="5" t="str">
        <f t="shared" si="108"/>
        <v>NO APLICA</v>
      </c>
      <c r="NN49" s="6"/>
      <c r="NO49" s="6"/>
      <c r="NP49" s="4"/>
      <c r="NQ49" s="6"/>
      <c r="NR49" s="5" t="str">
        <f t="shared" si="109"/>
        <v>NO APLICA</v>
      </c>
      <c r="NS49" s="6"/>
      <c r="NT49" s="6"/>
      <c r="NU49" s="4"/>
      <c r="NV49" s="6"/>
      <c r="NW49" s="5" t="str">
        <f t="shared" si="110"/>
        <v>NO APLICA</v>
      </c>
      <c r="NX49" s="6"/>
      <c r="NY49" s="6"/>
      <c r="NZ49" s="4"/>
      <c r="OA49" s="8"/>
      <c r="OB49" s="5" t="str">
        <f t="shared" si="111"/>
        <v>NO APLICA</v>
      </c>
      <c r="OC49" s="6"/>
      <c r="OD49" s="6"/>
      <c r="OE49" s="6"/>
      <c r="OF49" s="6"/>
      <c r="OG49" s="5" t="str">
        <f t="shared" si="112"/>
        <v>NO APLICA</v>
      </c>
      <c r="OH49" s="6"/>
      <c r="OI49" s="6"/>
      <c r="OJ49" s="6"/>
      <c r="OK49" s="6"/>
      <c r="OL49" s="5" t="str">
        <f t="shared" si="113"/>
        <v>NO APLICA</v>
      </c>
      <c r="OM49" s="6"/>
      <c r="ON49" s="6"/>
      <c r="OO49" s="4"/>
      <c r="OP49" s="8"/>
      <c r="OQ49" s="5" t="str">
        <f t="shared" si="114"/>
        <v>NO APLICA</v>
      </c>
      <c r="OR49" s="6"/>
      <c r="OS49" s="6"/>
      <c r="OT49" s="6"/>
      <c r="OU49" s="6"/>
      <c r="OV49" s="5" t="str">
        <f t="shared" si="115"/>
        <v>NO APLICA</v>
      </c>
      <c r="OW49" s="6"/>
      <c r="OX49" s="6"/>
      <c r="OY49" s="6"/>
      <c r="OZ49" s="6"/>
      <c r="PA49" s="5" t="str">
        <f t="shared" si="116"/>
        <v>NO APLICA</v>
      </c>
      <c r="PB49" s="6"/>
      <c r="PC49" s="6"/>
      <c r="PD49" s="6"/>
      <c r="PE49" s="6"/>
      <c r="PF49" s="5" t="str">
        <f t="shared" si="117"/>
        <v>NO APLICA</v>
      </c>
      <c r="PG49" s="6"/>
      <c r="PH49" s="6"/>
      <c r="PI49" s="6"/>
      <c r="PJ49" s="6"/>
      <c r="PK49" s="5" t="str">
        <f t="shared" si="118"/>
        <v>NO APLICA</v>
      </c>
      <c r="PL49" s="5"/>
      <c r="PM49" s="6"/>
      <c r="PN49" s="6"/>
      <c r="PO49" s="6"/>
      <c r="PP49" s="5" t="str">
        <f t="shared" si="119"/>
        <v>NO APLICA</v>
      </c>
      <c r="PQ49" s="6"/>
      <c r="PR49" s="6"/>
      <c r="PS49" s="6"/>
      <c r="PT49" s="6"/>
      <c r="PU49" s="5" t="str">
        <f t="shared" si="120"/>
        <v>NO APLICA</v>
      </c>
      <c r="PV49" s="5"/>
      <c r="PW49" s="6"/>
      <c r="PX49" s="6"/>
      <c r="PY49" s="6"/>
      <c r="PZ49" s="5" t="str">
        <f t="shared" si="121"/>
        <v>NO APLICA</v>
      </c>
    </row>
    <row r="50" spans="1:442" ht="15.6" hidden="1" thickTop="1" thickBot="1" x14ac:dyDescent="0.35">
      <c r="A50" s="26">
        <v>47</v>
      </c>
      <c r="B50" s="27">
        <v>613</v>
      </c>
      <c r="C50" s="28" t="s">
        <v>214</v>
      </c>
      <c r="D50" s="29" t="s">
        <v>68</v>
      </c>
      <c r="E50" s="30" t="s">
        <v>185</v>
      </c>
      <c r="F50" s="5"/>
      <c r="G50" s="6"/>
      <c r="H50" s="4"/>
      <c r="I50" s="8"/>
      <c r="J50" s="5" t="str">
        <f t="shared" si="0"/>
        <v>NO APLICA</v>
      </c>
      <c r="K50" s="5"/>
      <c r="L50" s="6"/>
      <c r="M50" s="6"/>
      <c r="N50" s="8"/>
      <c r="O50" s="5" t="str">
        <f t="shared" si="1"/>
        <v>NO APLICA</v>
      </c>
      <c r="P50" s="6"/>
      <c r="Q50" s="6"/>
      <c r="R50" s="4"/>
      <c r="S50" s="8"/>
      <c r="T50" s="5" t="str">
        <f t="shared" si="122"/>
        <v>NO APLICA</v>
      </c>
      <c r="U50" s="5"/>
      <c r="V50" s="2" t="s">
        <v>215</v>
      </c>
      <c r="W50" s="4">
        <v>44801</v>
      </c>
      <c r="X50" s="4">
        <f t="shared" si="2"/>
        <v>46627</v>
      </c>
      <c r="Y50" s="8">
        <f t="shared" ca="1" si="3"/>
        <v>482</v>
      </c>
      <c r="Z50" s="5" t="str">
        <f t="shared" ca="1" si="4"/>
        <v>VIGENTE</v>
      </c>
      <c r="AA50" s="5"/>
      <c r="AB50" s="2" t="s">
        <v>216</v>
      </c>
      <c r="AC50" s="4">
        <v>44826</v>
      </c>
      <c r="AD50" s="4">
        <f>DATE(YEAR(AC50)+5,MONTH(AC50),DAY(AC50))</f>
        <v>46652</v>
      </c>
      <c r="AE50" s="8">
        <f ca="1">AD50-TODAY()</f>
        <v>507</v>
      </c>
      <c r="AF50" s="5" t="str">
        <f t="shared" ca="1" si="7"/>
        <v>VIGENTE</v>
      </c>
      <c r="AG50" s="3"/>
      <c r="AH50" s="3">
        <v>45628</v>
      </c>
      <c r="AI50" s="4">
        <f>DATE(YEAR(AH50)+2,MONTH(AH50),DAY(AH50)-1)</f>
        <v>46357</v>
      </c>
      <c r="AJ50" s="8">
        <f t="shared" ca="1" si="8"/>
        <v>212</v>
      </c>
      <c r="AK50" s="5" t="str">
        <f t="shared" ca="1" si="219"/>
        <v>VIGENTE</v>
      </c>
      <c r="AL50" s="3"/>
      <c r="AM50" s="4">
        <v>45748</v>
      </c>
      <c r="AN50" s="4">
        <f>DATE(YEAR(AM50)+2,MONTH(AM50),DAY(AM50)-1)</f>
        <v>46477</v>
      </c>
      <c r="AO50" s="8">
        <f t="shared" ca="1" si="10"/>
        <v>332</v>
      </c>
      <c r="AP50" s="5" t="str">
        <f t="shared" ca="1" si="11"/>
        <v>VIGENTE</v>
      </c>
      <c r="AQ50" s="3"/>
      <c r="AR50" s="4">
        <v>45996</v>
      </c>
      <c r="AS50" s="4">
        <f t="shared" si="220"/>
        <v>46726</v>
      </c>
      <c r="AT50" s="8">
        <f t="shared" ca="1" si="12"/>
        <v>581</v>
      </c>
      <c r="AU50" s="5" t="str">
        <f t="shared" ca="1" si="13"/>
        <v>VIGENTE</v>
      </c>
      <c r="AV50" s="3"/>
      <c r="AW50" s="4">
        <v>45952</v>
      </c>
      <c r="AX50" s="4">
        <f t="shared" si="221"/>
        <v>46682</v>
      </c>
      <c r="AY50" s="8">
        <f t="shared" ca="1" si="15"/>
        <v>537</v>
      </c>
      <c r="AZ50" s="5" t="str">
        <f t="shared" ca="1" si="16"/>
        <v>VIGENTE</v>
      </c>
      <c r="BA50" s="3"/>
      <c r="BB50" s="4">
        <v>45717</v>
      </c>
      <c r="BC50" s="4">
        <f>DATE(YEAR(BB50)+2,MONTH(BB50),DAY(BB50)-1)</f>
        <v>46446</v>
      </c>
      <c r="BD50" s="8">
        <f t="shared" ca="1" si="17"/>
        <v>301</v>
      </c>
      <c r="BE50" s="5" t="str">
        <f t="shared" ca="1" si="18"/>
        <v>VIGENTE</v>
      </c>
      <c r="BF50" s="3"/>
      <c r="BG50" s="4">
        <v>45698</v>
      </c>
      <c r="BH50" s="4">
        <f>DATE(YEAR(BG50)+2,MONTH(BG50),DAY(BG50)-1)</f>
        <v>46427</v>
      </c>
      <c r="BI50" s="8">
        <f t="shared" ca="1" si="19"/>
        <v>282</v>
      </c>
      <c r="BJ50" s="5" t="str">
        <f t="shared" ca="1" si="20"/>
        <v>VIGENTE</v>
      </c>
      <c r="BK50" s="3"/>
      <c r="BL50" s="4">
        <v>46133</v>
      </c>
      <c r="BM50" s="4">
        <f t="shared" si="223"/>
        <v>46864</v>
      </c>
      <c r="BN50" s="8">
        <f t="shared" ca="1" si="21"/>
        <v>719</v>
      </c>
      <c r="BO50" s="5" t="str">
        <f t="shared" ca="1" si="22"/>
        <v>VIGENTE</v>
      </c>
      <c r="BP50" s="3"/>
      <c r="BQ50" s="39">
        <v>46120</v>
      </c>
      <c r="BR50" s="4">
        <f>DATE(YEAR(BQ50)+2,MONTH(BQ50),DAY(BQ50)-1)</f>
        <v>46850</v>
      </c>
      <c r="BS50" s="8">
        <f t="shared" ca="1" si="23"/>
        <v>705</v>
      </c>
      <c r="BT50" s="5" t="str">
        <f t="shared" ca="1" si="24"/>
        <v>VIGENTE</v>
      </c>
      <c r="BU50" s="3"/>
      <c r="BV50" s="4">
        <v>45736</v>
      </c>
      <c r="BW50" s="4">
        <f>DATE(YEAR(BV50)+2,MONTH(BV50),DAY(BV50)-1)</f>
        <v>46465</v>
      </c>
      <c r="BX50" s="8">
        <f t="shared" ca="1" si="25"/>
        <v>320</v>
      </c>
      <c r="BY50" s="5" t="str">
        <f t="shared" ca="1" si="26"/>
        <v>VIGENTE</v>
      </c>
      <c r="BZ50" s="3"/>
      <c r="CA50" s="4">
        <v>45629</v>
      </c>
      <c r="CB50" s="4">
        <f>DATE(YEAR(CA50)+2,MONTH(CA50),DAY(CA50)-1)</f>
        <v>46358</v>
      </c>
      <c r="CC50" s="8">
        <f t="shared" ca="1" si="27"/>
        <v>213</v>
      </c>
      <c r="CD50" s="5" t="str">
        <f t="shared" ca="1" si="28"/>
        <v>VIGENTE</v>
      </c>
      <c r="CE50" s="6"/>
      <c r="CF50" s="4">
        <v>45247</v>
      </c>
      <c r="CG50" s="4">
        <f t="shared" si="29"/>
        <v>46708</v>
      </c>
      <c r="CH50" s="8">
        <f t="shared" ca="1" si="30"/>
        <v>563</v>
      </c>
      <c r="CI50" s="5" t="str">
        <f t="shared" ca="1" si="31"/>
        <v>VIGENTE</v>
      </c>
      <c r="CJ50" s="4"/>
      <c r="CK50" s="4">
        <v>45688</v>
      </c>
      <c r="CL50" s="4">
        <f t="shared" si="226"/>
        <v>46417</v>
      </c>
      <c r="CM50" s="8">
        <f t="shared" ca="1" si="32"/>
        <v>272</v>
      </c>
      <c r="CN50" s="5" t="str">
        <f t="shared" ca="1" si="33"/>
        <v>VIGENTE</v>
      </c>
      <c r="CO50" s="3"/>
      <c r="CP50" s="39">
        <v>45726</v>
      </c>
      <c r="CQ50" s="4">
        <f>DATE(YEAR(CP50)+2,MONTH(CP50),DAY(CP50)-1)</f>
        <v>46455</v>
      </c>
      <c r="CR50" s="8">
        <f t="shared" ca="1" si="34"/>
        <v>310</v>
      </c>
      <c r="CS50" s="5" t="str">
        <f t="shared" ca="1" si="35"/>
        <v>VIGENTE</v>
      </c>
      <c r="CT50" s="3"/>
      <c r="CU50" s="4">
        <v>45939</v>
      </c>
      <c r="CV50" s="4">
        <f>DATE(YEAR(CU50)+2,MONTH(CU50),DAY(CU50))</f>
        <v>46669</v>
      </c>
      <c r="CW50" s="8">
        <f t="shared" ca="1" si="36"/>
        <v>524</v>
      </c>
      <c r="CX50" s="5" t="str">
        <f t="shared" ca="1" si="37"/>
        <v>VIGENTE</v>
      </c>
      <c r="CY50" s="3"/>
      <c r="CZ50" s="4">
        <v>46028</v>
      </c>
      <c r="DA50" s="4">
        <f>DATE(YEAR(CZ50)+2,MONTH(CZ50),DAY(CZ50))</f>
        <v>46758</v>
      </c>
      <c r="DB50" s="8">
        <f t="shared" ca="1" si="38"/>
        <v>613</v>
      </c>
      <c r="DC50" s="5" t="str">
        <f t="shared" ca="1" si="39"/>
        <v>VIGENTE</v>
      </c>
      <c r="DD50" s="3"/>
      <c r="DE50" s="39">
        <v>46123</v>
      </c>
      <c r="DF50" s="4">
        <f t="shared" ref="DF50:DF61" si="227">DATE(YEAR(DE50)+2,MONTH(DE50),DAY(DE50)-1)</f>
        <v>46853</v>
      </c>
      <c r="DG50" s="8">
        <f t="shared" ca="1" si="40"/>
        <v>708</v>
      </c>
      <c r="DH50" s="5" t="str">
        <f t="shared" ca="1" si="41"/>
        <v>VIGENTE</v>
      </c>
      <c r="DI50" s="3"/>
      <c r="DJ50" s="39">
        <v>45955</v>
      </c>
      <c r="DK50" s="4">
        <f t="shared" si="225"/>
        <v>46685</v>
      </c>
      <c r="DL50" s="8">
        <f t="shared" ca="1" si="43"/>
        <v>540</v>
      </c>
      <c r="DM50" s="5" t="str">
        <f t="shared" ca="1" si="44"/>
        <v>VIGENTE</v>
      </c>
      <c r="DN50" s="3"/>
      <c r="DO50" s="4">
        <v>45982</v>
      </c>
      <c r="DP50" s="4">
        <f>DATE(YEAR(DO50)+2,MONTH(DO50),DAY(DO50))</f>
        <v>46712</v>
      </c>
      <c r="DQ50" s="8">
        <f t="shared" ca="1" si="46"/>
        <v>567</v>
      </c>
      <c r="DR50" s="5" t="str">
        <f t="shared" ca="1" si="47"/>
        <v>VIGENTE</v>
      </c>
      <c r="DS50" s="3"/>
      <c r="DT50" s="4">
        <v>45685</v>
      </c>
      <c r="DU50" s="4">
        <f>DATE(YEAR(DT50)+2,MONTH(DT50),DAY(DT50)-1)</f>
        <v>46414</v>
      </c>
      <c r="DV50" s="8">
        <f t="shared" ca="1" si="48"/>
        <v>269</v>
      </c>
      <c r="DW50" s="5" t="str">
        <f t="shared" ca="1" si="49"/>
        <v>VIGENTE</v>
      </c>
      <c r="DX50" s="3"/>
      <c r="DY50" s="4">
        <v>45663</v>
      </c>
      <c r="DZ50" s="4">
        <f>DATE(YEAR(DY50)+2,MONTH(DY50),DAY(DY50)-1)</f>
        <v>46392</v>
      </c>
      <c r="EA50" s="8">
        <f t="shared" ca="1" si="50"/>
        <v>247</v>
      </c>
      <c r="EB50" s="5" t="str">
        <f t="shared" ca="1" si="51"/>
        <v>VIGENTE</v>
      </c>
      <c r="EC50" s="3"/>
      <c r="ED50" s="39">
        <v>45674</v>
      </c>
      <c r="EE50" s="4">
        <f>DATE(YEAR(ED50)+2,MONTH(ED50),DAY(ED50)-1)</f>
        <v>46403</v>
      </c>
      <c r="EF50" s="8">
        <f t="shared" ca="1" si="52"/>
        <v>258</v>
      </c>
      <c r="EG50" s="5" t="str">
        <f t="shared" ca="1" si="53"/>
        <v>VIGENTE</v>
      </c>
      <c r="EH50" s="3"/>
      <c r="EI50" s="4">
        <v>46115</v>
      </c>
      <c r="EJ50" s="4">
        <f t="shared" si="131"/>
        <v>46480</v>
      </c>
      <c r="EK50" s="8">
        <f t="shared" ca="1" si="54"/>
        <v>335</v>
      </c>
      <c r="EL50" s="5" t="str">
        <f t="shared" ca="1" si="55"/>
        <v>VIGENTE</v>
      </c>
      <c r="EM50" s="3"/>
      <c r="EN50" s="4">
        <v>46100</v>
      </c>
      <c r="EO50" s="4">
        <f>DATE(YEAR(EN50)+2,MONTH(EN50),DAY(EN50))</f>
        <v>46831</v>
      </c>
      <c r="EP50" s="8">
        <f t="shared" ca="1" si="56"/>
        <v>686</v>
      </c>
      <c r="EQ50" s="5" t="str">
        <f t="shared" ca="1" si="57"/>
        <v>VIGENTE</v>
      </c>
      <c r="ER50" s="3"/>
      <c r="ES50" s="39">
        <v>45677</v>
      </c>
      <c r="ET50" s="4">
        <f>DATE(YEAR(ES50)+2,MONTH(ES50),DAY(ES50)-1)</f>
        <v>46406</v>
      </c>
      <c r="EU50" s="8">
        <f t="shared" ca="1" si="58"/>
        <v>261</v>
      </c>
      <c r="EV50" s="5" t="str">
        <f t="shared" ca="1" si="59"/>
        <v>VIGENTE</v>
      </c>
      <c r="EW50" s="3"/>
      <c r="EX50" s="4">
        <v>45630</v>
      </c>
      <c r="EY50" s="4">
        <f>DATE(YEAR(EX50)+2,MONTH(EX50),DAY(EX50)-1)</f>
        <v>46359</v>
      </c>
      <c r="EZ50" s="8">
        <f t="shared" ca="1" si="60"/>
        <v>214</v>
      </c>
      <c r="FA50" s="5" t="str">
        <f t="shared" ca="1" si="61"/>
        <v>VIGENTE</v>
      </c>
      <c r="FB50" s="3"/>
      <c r="FC50" s="4">
        <v>45632</v>
      </c>
      <c r="FD50" s="4">
        <f>DATE(YEAR(FC50)+2,MONTH(FC50),DAY(FC50)-1)</f>
        <v>46361</v>
      </c>
      <c r="FE50" s="8">
        <f t="shared" ca="1" si="62"/>
        <v>216</v>
      </c>
      <c r="FF50" s="5" t="str">
        <f t="shared" ca="1" si="63"/>
        <v>VIGENTE</v>
      </c>
      <c r="FG50" s="2"/>
      <c r="FH50" s="4">
        <v>45756</v>
      </c>
      <c r="FI50" s="4">
        <f>DATE(YEAR(FH50)+2,MONTH(FH50),DAY(FH50))</f>
        <v>46486</v>
      </c>
      <c r="FJ50" s="8">
        <f t="shared" ca="1" si="64"/>
        <v>341</v>
      </c>
      <c r="FK50" s="5" t="str">
        <f t="shared" ca="1" si="65"/>
        <v>VIGENTE</v>
      </c>
      <c r="FL50" s="3"/>
      <c r="FM50" s="39">
        <v>45576</v>
      </c>
      <c r="FN50" s="4">
        <f>DATE(YEAR(FM50)+2,MONTH(FM50),DAY(FM50)-1)</f>
        <v>46305</v>
      </c>
      <c r="FO50" s="8">
        <f t="shared" ca="1" si="67"/>
        <v>160</v>
      </c>
      <c r="FP50" s="5" t="str">
        <f t="shared" ca="1" si="68"/>
        <v>VIGENTE</v>
      </c>
      <c r="FQ50" s="3"/>
      <c r="FR50" s="39">
        <v>46080</v>
      </c>
      <c r="FS50" s="4">
        <f>DATE(YEAR(FR50)+2,MONTH(FR50),DAY(FR50))</f>
        <v>46810</v>
      </c>
      <c r="FT50" s="8">
        <f t="shared" ca="1" si="69"/>
        <v>665</v>
      </c>
      <c r="FU50" s="5" t="str">
        <f t="shared" ca="1" si="70"/>
        <v>VIGENTE</v>
      </c>
      <c r="FV50" s="3"/>
      <c r="FW50" s="4">
        <v>45700</v>
      </c>
      <c r="FX50" s="4">
        <f>DATE(YEAR(FW50)+2,MONTH(FW50),DAY(FW50)-1)</f>
        <v>46429</v>
      </c>
      <c r="FY50" s="8">
        <f t="shared" ca="1" si="71"/>
        <v>284</v>
      </c>
      <c r="FZ50" s="5" t="str">
        <f t="shared" ca="1" si="72"/>
        <v>VIGENTE</v>
      </c>
      <c r="GA50" s="3"/>
      <c r="GB50" s="4">
        <v>45560</v>
      </c>
      <c r="GC50" s="4">
        <f>DATE(YEAR(GB50)+2,MONTH(GB50),DAY(GB50)-1)</f>
        <v>46289</v>
      </c>
      <c r="GD50" s="8">
        <f t="shared" ca="1" si="73"/>
        <v>144</v>
      </c>
      <c r="GE50" s="5" t="str">
        <f t="shared" ca="1" si="74"/>
        <v>VIGENTE</v>
      </c>
      <c r="GF50" s="3"/>
      <c r="GG50" s="4">
        <v>46079</v>
      </c>
      <c r="GH50" s="4">
        <f>DATE(YEAR(GG50)+2,MONTH(GG50),DAY(GG50))</f>
        <v>46809</v>
      </c>
      <c r="GI50" s="8">
        <f t="shared" ca="1" si="75"/>
        <v>664</v>
      </c>
      <c r="GJ50" s="5" t="str">
        <f t="shared" ca="1" si="76"/>
        <v>VIGENTE</v>
      </c>
      <c r="GK50" s="3"/>
      <c r="GL50" s="4">
        <v>45633</v>
      </c>
      <c r="GM50" s="4">
        <f>DATE(YEAR(GL50)+2,MONTH(GL50),DAY(GL50)-1)</f>
        <v>46362</v>
      </c>
      <c r="GN50" s="8">
        <f t="shared" ca="1" si="77"/>
        <v>217</v>
      </c>
      <c r="GO50" s="5" t="str">
        <f t="shared" ca="1" si="78"/>
        <v>VIGENTE</v>
      </c>
      <c r="GP50" s="4"/>
      <c r="GQ50" s="4">
        <v>45013</v>
      </c>
      <c r="GR50" s="4">
        <f t="shared" si="79"/>
        <v>46840</v>
      </c>
      <c r="GS50" s="8">
        <f t="shared" ca="1" si="176"/>
        <v>695</v>
      </c>
      <c r="GT50" s="5" t="str">
        <f t="shared" ca="1" si="81"/>
        <v>VIGENTE</v>
      </c>
      <c r="GU50" s="3"/>
      <c r="GV50" s="4">
        <v>45464</v>
      </c>
      <c r="GW50" s="4">
        <f t="shared" si="82"/>
        <v>47290</v>
      </c>
      <c r="GX50" s="8">
        <f t="shared" ca="1" si="83"/>
        <v>1145</v>
      </c>
      <c r="GY50" s="5" t="str">
        <f t="shared" ca="1" si="84"/>
        <v>VIGENTE</v>
      </c>
      <c r="GZ50" s="2"/>
      <c r="HA50" s="4">
        <v>45016</v>
      </c>
      <c r="HB50" s="4">
        <f t="shared" si="85"/>
        <v>46843</v>
      </c>
      <c r="HC50" s="8">
        <f t="shared" ca="1" si="86"/>
        <v>698</v>
      </c>
      <c r="HD50" s="5" t="str">
        <f t="shared" ca="1" si="87"/>
        <v>VIGENTE</v>
      </c>
      <c r="HE50" s="6"/>
      <c r="HF50" s="4">
        <v>44956</v>
      </c>
      <c r="HG50" s="4">
        <f>DATE(YEAR(HF50)+5,MONTH(HF50),DAY(HF50))</f>
        <v>46782</v>
      </c>
      <c r="HH50" s="8">
        <f ca="1">HG50-TODAY()</f>
        <v>637</v>
      </c>
      <c r="HI50" s="5" t="str">
        <f t="shared" ca="1" si="224"/>
        <v>VIGENTE</v>
      </c>
      <c r="HJ50" s="2"/>
      <c r="HK50" s="6"/>
      <c r="HL50" s="4"/>
      <c r="HM50" s="8"/>
      <c r="HN50" s="5" t="str">
        <f t="shared" ref="HN50:HN79" si="228">IF(HM50&gt;=61,"VIGENTE",IF(HM50&gt;=1,"POR VENCER",IF(HM50&lt;=-1,"VENCIDA",IF(HK50=0,"NO APLICA"))))</f>
        <v>NO APLICA</v>
      </c>
      <c r="HO50" s="2"/>
      <c r="HP50" s="5"/>
      <c r="HQ50" s="4"/>
      <c r="HR50" s="5"/>
      <c r="HS50" s="5" t="str">
        <f t="shared" si="92"/>
        <v>NO APLICA</v>
      </c>
      <c r="HT50" s="2"/>
      <c r="HU50" s="4">
        <v>45089</v>
      </c>
      <c r="HV50" s="4">
        <f>DATE(YEAR(HU50)+5,MONTH(HU50),DAY(HU50))</f>
        <v>46916</v>
      </c>
      <c r="HW50" s="8">
        <f ca="1">HV50-TODAY()</f>
        <v>771</v>
      </c>
      <c r="HX50" s="5" t="str">
        <f t="shared" ca="1" si="93"/>
        <v>VIGENTE</v>
      </c>
      <c r="HY50" s="3"/>
      <c r="HZ50" s="4">
        <v>45428</v>
      </c>
      <c r="IA50" s="4">
        <f>DATE(YEAR(HZ50)+5,MONTH(HZ50),DAY(HZ50))</f>
        <v>47254</v>
      </c>
      <c r="IB50" s="8">
        <f ca="1">IA50-TODAY()</f>
        <v>1109</v>
      </c>
      <c r="IC50" s="5" t="str">
        <f t="shared" ca="1" si="94"/>
        <v>VIGENTE</v>
      </c>
      <c r="ID50" s="3"/>
      <c r="IE50" s="4">
        <v>45425</v>
      </c>
      <c r="IF50" s="4">
        <f>DATE(YEAR(IE50)+5,MONTH(IE50),DAY(IE50))</f>
        <v>47251</v>
      </c>
      <c r="IG50" s="8">
        <f ca="1">IF50-TODAY()</f>
        <v>1106</v>
      </c>
      <c r="IH50" s="5" t="str">
        <f t="shared" ca="1" si="95"/>
        <v>VIGENTE</v>
      </c>
      <c r="II50" s="4"/>
      <c r="IJ50" s="4">
        <v>45449</v>
      </c>
      <c r="IK50" s="4">
        <f>DATE(YEAR(IJ50)+5,MONTH(IJ50),DAY(IJ50))</f>
        <v>47275</v>
      </c>
      <c r="IL50" s="8">
        <f ca="1">IK50-TODAY()</f>
        <v>1130</v>
      </c>
      <c r="IM50" s="5" t="str">
        <f t="shared" ca="1" si="96"/>
        <v>VIGENTE</v>
      </c>
      <c r="IN50" s="3"/>
      <c r="IO50" s="4">
        <v>45433</v>
      </c>
      <c r="IP50" s="4">
        <f>DATE(YEAR(IO50)+5,MONTH(IO50),DAY(IO50))</f>
        <v>47259</v>
      </c>
      <c r="IQ50" s="8">
        <f ca="1">IP50-TODAY()</f>
        <v>1114</v>
      </c>
      <c r="IR50" s="5" t="str">
        <f t="shared" ca="1" si="97"/>
        <v>VIGENTE</v>
      </c>
      <c r="IS50" s="3"/>
      <c r="IT50" s="4">
        <v>45423</v>
      </c>
      <c r="IU50" s="4">
        <f>DATE(YEAR(IT50)+5,MONTH(IT50),DAY(IT50))</f>
        <v>47249</v>
      </c>
      <c r="IV50" s="8">
        <f ca="1">IU50-TODAY()</f>
        <v>1104</v>
      </c>
      <c r="IW50" s="5" t="str">
        <f t="shared" ca="1" si="98"/>
        <v>VIGENTE</v>
      </c>
      <c r="IX50" s="3"/>
      <c r="IY50" s="4">
        <v>45461</v>
      </c>
      <c r="IZ50" s="4">
        <f>DATE(YEAR(IY50)+5,MONTH(IY50),DAY(IY50))</f>
        <v>47287</v>
      </c>
      <c r="JA50" s="8">
        <f ca="1">IZ50-TODAY()</f>
        <v>1142</v>
      </c>
      <c r="JB50" s="5" t="str">
        <f t="shared" ca="1" si="99"/>
        <v>VIGENTE</v>
      </c>
      <c r="JC50" s="3" t="s">
        <v>780</v>
      </c>
      <c r="JD50" s="3"/>
      <c r="JE50" s="4"/>
      <c r="JF50" s="8"/>
      <c r="JG50" s="5"/>
      <c r="JH50" s="3" t="s">
        <v>780</v>
      </c>
      <c r="JI50" s="6"/>
      <c r="JJ50" s="6"/>
      <c r="JK50" s="6"/>
      <c r="JL50" s="5"/>
      <c r="JM50" s="6" t="s">
        <v>780</v>
      </c>
      <c r="JN50" s="6"/>
      <c r="JO50" s="6"/>
      <c r="JP50" s="6"/>
      <c r="JQ50" s="5"/>
      <c r="JR50" s="6" t="s">
        <v>780</v>
      </c>
      <c r="JS50" s="6"/>
      <c r="JT50" s="6"/>
      <c r="JU50" s="6"/>
      <c r="JV50" s="5"/>
      <c r="JW50" s="6" t="s">
        <v>780</v>
      </c>
      <c r="JX50" s="3"/>
      <c r="JY50" s="4"/>
      <c r="JZ50" s="8"/>
      <c r="KA50" s="5"/>
      <c r="KB50" s="5"/>
      <c r="KC50" s="5"/>
      <c r="KD50" s="4"/>
      <c r="KE50" s="8"/>
      <c r="KF50" s="5" t="str">
        <f t="shared" si="135"/>
        <v>NO APLICA</v>
      </c>
      <c r="KG50" s="5"/>
      <c r="KH50" s="5"/>
      <c r="KI50" s="4"/>
      <c r="KJ50" s="8"/>
      <c r="KK50" s="5" t="str">
        <f t="shared" si="136"/>
        <v>NO APLICA</v>
      </c>
      <c r="KL50" s="5"/>
      <c r="KM50" s="5"/>
      <c r="KN50" s="4"/>
      <c r="KO50" s="8"/>
      <c r="KP50" s="5" t="str">
        <f t="shared" si="100"/>
        <v>NO APLICA</v>
      </c>
      <c r="KQ50" s="5"/>
      <c r="KR50" s="2"/>
      <c r="KS50" s="4"/>
      <c r="KT50" s="8"/>
      <c r="KU50" s="5" t="str">
        <f t="shared" si="137"/>
        <v>NO APLICA</v>
      </c>
      <c r="KV50" s="3"/>
      <c r="KW50" s="4">
        <v>44653</v>
      </c>
      <c r="KX50" s="4">
        <f>DATE(YEAR(KW50)+5,MONTH(KW50),DAY(KW50))</f>
        <v>46479</v>
      </c>
      <c r="KY50" s="8">
        <f ca="1">KX50-TODAY()</f>
        <v>334</v>
      </c>
      <c r="KZ50" s="5" t="str">
        <f t="shared" ca="1" si="151"/>
        <v>VIGENTE</v>
      </c>
      <c r="LA50" s="5"/>
      <c r="LB50" s="6"/>
      <c r="LC50" s="4"/>
      <c r="LD50" s="8"/>
      <c r="LE50" s="5" t="str">
        <f t="shared" si="138"/>
        <v>NO APLICA</v>
      </c>
      <c r="LF50" s="4"/>
      <c r="LG50" s="4"/>
      <c r="LH50" s="4"/>
      <c r="LI50" s="8"/>
      <c r="LJ50" s="5" t="str">
        <f t="shared" si="101"/>
        <v>NO APLICA</v>
      </c>
      <c r="LK50" s="5"/>
      <c r="LL50" s="5"/>
      <c r="LM50" s="4"/>
      <c r="LN50" s="8"/>
      <c r="LO50" s="5" t="str">
        <f t="shared" si="152"/>
        <v>NO APLICA</v>
      </c>
      <c r="LP50" s="5"/>
      <c r="LQ50" s="6"/>
      <c r="LR50" s="4"/>
      <c r="LS50" s="8"/>
      <c r="LT50" s="5" t="str">
        <f t="shared" si="139"/>
        <v>NO APLICA</v>
      </c>
      <c r="LU50" s="6"/>
      <c r="LV50" s="6"/>
      <c r="LW50" s="4"/>
      <c r="LX50" s="8"/>
      <c r="LY50" s="5" t="str">
        <f t="shared" si="140"/>
        <v>NO APLICA</v>
      </c>
      <c r="LZ50" s="6"/>
      <c r="MA50" s="6"/>
      <c r="MB50" s="4"/>
      <c r="MC50" s="8"/>
      <c r="MD50" s="5" t="str">
        <f t="shared" si="141"/>
        <v>NO APLICA</v>
      </c>
      <c r="ME50" s="5"/>
      <c r="MF50" s="5"/>
      <c r="MG50" s="4"/>
      <c r="MH50" s="8"/>
      <c r="MI50" s="5" t="str">
        <f t="shared" si="102"/>
        <v>NO APLICA</v>
      </c>
      <c r="MJ50" s="5"/>
      <c r="MK50" s="5"/>
      <c r="ML50" s="4"/>
      <c r="MM50" s="8"/>
      <c r="MN50" s="5" t="str">
        <f t="shared" si="103"/>
        <v>NO APLICA</v>
      </c>
      <c r="MO50" s="5"/>
      <c r="MP50" s="5"/>
      <c r="MQ50" s="4"/>
      <c r="MR50" s="8"/>
      <c r="MS50" s="5" t="str">
        <f t="shared" si="104"/>
        <v>NO APLICA</v>
      </c>
      <c r="MT50" s="5"/>
      <c r="MU50" s="5"/>
      <c r="MV50" s="4"/>
      <c r="MW50" s="5"/>
      <c r="MX50" s="5" t="str">
        <f t="shared" si="105"/>
        <v>NO APLICA</v>
      </c>
      <c r="MY50" s="5"/>
      <c r="MZ50" s="6"/>
      <c r="NA50" s="4"/>
      <c r="NB50" s="8"/>
      <c r="NC50" s="5" t="str">
        <f t="shared" si="106"/>
        <v>NO APLICA</v>
      </c>
      <c r="ND50" s="5"/>
      <c r="NE50" s="6"/>
      <c r="NF50" s="4"/>
      <c r="NG50" s="8"/>
      <c r="NH50" s="5" t="str">
        <f t="shared" si="107"/>
        <v>NO APLICA</v>
      </c>
      <c r="NI50" s="5"/>
      <c r="NJ50" s="6"/>
      <c r="NK50" s="4"/>
      <c r="NL50" s="8"/>
      <c r="NM50" s="5" t="str">
        <f t="shared" si="108"/>
        <v>NO APLICA</v>
      </c>
      <c r="NN50" s="5"/>
      <c r="NO50" s="5"/>
      <c r="NP50" s="4"/>
      <c r="NQ50" s="8"/>
      <c r="NR50" s="5" t="str">
        <f t="shared" si="109"/>
        <v>NO APLICA</v>
      </c>
      <c r="NS50" s="5"/>
      <c r="NT50" s="5"/>
      <c r="NU50" s="5"/>
      <c r="NV50" s="5"/>
      <c r="NW50" s="5" t="str">
        <f t="shared" si="110"/>
        <v>NO APLICA</v>
      </c>
      <c r="NX50" s="6"/>
      <c r="NY50" s="6"/>
      <c r="NZ50" s="4"/>
      <c r="OA50" s="8"/>
      <c r="OB50" s="5" t="str">
        <f t="shared" si="111"/>
        <v>NO APLICA</v>
      </c>
      <c r="OC50" s="6"/>
      <c r="OD50" s="6"/>
      <c r="OE50" s="6"/>
      <c r="OF50" s="6"/>
      <c r="OG50" s="5" t="str">
        <f t="shared" si="112"/>
        <v>NO APLICA</v>
      </c>
      <c r="OH50" s="5"/>
      <c r="OI50" s="5"/>
      <c r="OJ50" s="4"/>
      <c r="OK50" s="8"/>
      <c r="OL50" s="5" t="str">
        <f t="shared" si="113"/>
        <v>NO APLICA</v>
      </c>
      <c r="OM50" s="6"/>
      <c r="ON50" s="6"/>
      <c r="OO50" s="6"/>
      <c r="OP50" s="6"/>
      <c r="OQ50" s="5" t="str">
        <f t="shared" si="114"/>
        <v>NO APLICA</v>
      </c>
      <c r="OR50" s="6"/>
      <c r="OS50" s="6"/>
      <c r="OT50" s="6"/>
      <c r="OU50" s="6"/>
      <c r="OV50" s="5" t="str">
        <f t="shared" si="115"/>
        <v>NO APLICA</v>
      </c>
      <c r="OW50" s="6"/>
      <c r="OX50" s="6"/>
      <c r="OY50" s="6"/>
      <c r="OZ50" s="6"/>
      <c r="PA50" s="5" t="str">
        <f t="shared" si="116"/>
        <v>NO APLICA</v>
      </c>
      <c r="PB50" s="6"/>
      <c r="PC50" s="6"/>
      <c r="PD50" s="6"/>
      <c r="PE50" s="6"/>
      <c r="PF50" s="5" t="str">
        <f t="shared" si="117"/>
        <v>NO APLICA</v>
      </c>
      <c r="PG50" s="6"/>
      <c r="PH50" s="6"/>
      <c r="PI50" s="6"/>
      <c r="PJ50" s="6"/>
      <c r="PK50" s="5" t="str">
        <f t="shared" si="118"/>
        <v>NO APLICA</v>
      </c>
      <c r="PL50" s="5"/>
      <c r="PM50" s="6"/>
      <c r="PN50" s="4"/>
      <c r="PO50" s="8"/>
      <c r="PP50" s="5" t="str">
        <f t="shared" si="119"/>
        <v>NO APLICA</v>
      </c>
      <c r="PQ50" s="6"/>
      <c r="PR50" s="6"/>
      <c r="PS50" s="6"/>
      <c r="PT50" s="6"/>
      <c r="PU50" s="5" t="str">
        <f t="shared" si="120"/>
        <v>NO APLICA</v>
      </c>
      <c r="PV50" s="5"/>
      <c r="PW50" s="6"/>
      <c r="PX50" s="6"/>
      <c r="PY50" s="6"/>
      <c r="PZ50" s="5" t="str">
        <f t="shared" si="121"/>
        <v>NO APLICA</v>
      </c>
    </row>
    <row r="51" spans="1:442" ht="15.6" hidden="1" thickTop="1" thickBot="1" x14ac:dyDescent="0.35">
      <c r="A51" s="26">
        <v>48</v>
      </c>
      <c r="B51" s="27">
        <v>1555</v>
      </c>
      <c r="C51" s="28" t="s">
        <v>217</v>
      </c>
      <c r="D51" s="29" t="s">
        <v>64</v>
      </c>
      <c r="E51" s="30" t="s">
        <v>133</v>
      </c>
      <c r="F51" s="5"/>
      <c r="G51" s="6"/>
      <c r="H51" s="4"/>
      <c r="I51" s="8"/>
      <c r="J51" s="5" t="str">
        <f t="shared" si="0"/>
        <v>NO APLICA</v>
      </c>
      <c r="K51" s="2"/>
      <c r="L51" s="6"/>
      <c r="M51" s="6"/>
      <c r="N51" s="8"/>
      <c r="O51" s="5" t="str">
        <f t="shared" si="1"/>
        <v>NO APLICA</v>
      </c>
      <c r="P51" s="4"/>
      <c r="Q51" s="4">
        <v>45604</v>
      </c>
      <c r="R51" s="4">
        <f>DATE(YEAR(Q51)+2,MONTH(Q51),DAY(Q51)-1)</f>
        <v>46333</v>
      </c>
      <c r="S51" s="8">
        <f ca="1">R51-TODAY()</f>
        <v>188</v>
      </c>
      <c r="T51" s="5" t="str">
        <f t="shared" ca="1" si="122"/>
        <v>VIGENTE</v>
      </c>
      <c r="U51" s="5"/>
      <c r="V51" s="2" t="s">
        <v>218</v>
      </c>
      <c r="W51" s="4">
        <v>45693</v>
      </c>
      <c r="X51" s="4">
        <f t="shared" si="2"/>
        <v>47519</v>
      </c>
      <c r="Y51" s="8">
        <f t="shared" ca="1" si="3"/>
        <v>1374</v>
      </c>
      <c r="Z51" s="5" t="str">
        <f t="shared" ca="1" si="4"/>
        <v>VIGENTE</v>
      </c>
      <c r="AA51" s="5"/>
      <c r="AB51" s="2" t="s">
        <v>219</v>
      </c>
      <c r="AC51" s="4">
        <v>45192</v>
      </c>
      <c r="AD51" s="4">
        <f>DATE(YEAR(AC51)+5,MONTH(AC51),DAY(AC51))</f>
        <v>47019</v>
      </c>
      <c r="AE51" s="8">
        <f ca="1">AD51-TODAY()</f>
        <v>874</v>
      </c>
      <c r="AF51" s="5" t="str">
        <f t="shared" ca="1" si="7"/>
        <v>VIGENTE</v>
      </c>
      <c r="AG51" s="3"/>
      <c r="AH51" s="4">
        <v>45902</v>
      </c>
      <c r="AI51" s="4">
        <f>DATE(YEAR(AH51)+2,MONTH(AH51),DAY(AH51))</f>
        <v>46632</v>
      </c>
      <c r="AJ51" s="8">
        <f t="shared" ca="1" si="8"/>
        <v>487</v>
      </c>
      <c r="AK51" s="5" t="str">
        <f t="shared" ca="1" si="219"/>
        <v>VIGENTE</v>
      </c>
      <c r="AL51" s="3"/>
      <c r="AM51" s="4">
        <v>45937</v>
      </c>
      <c r="AN51" s="4">
        <f>DATE(YEAR(AM51)+2,MONTH(AM51),DAY(AM51))</f>
        <v>46667</v>
      </c>
      <c r="AO51" s="8">
        <f t="shared" ca="1" si="10"/>
        <v>522</v>
      </c>
      <c r="AP51" s="5" t="str">
        <f t="shared" ca="1" si="11"/>
        <v>VIGENTE</v>
      </c>
      <c r="AQ51" s="3"/>
      <c r="AR51" s="4">
        <v>45904</v>
      </c>
      <c r="AS51" s="4">
        <f t="shared" si="220"/>
        <v>46634</v>
      </c>
      <c r="AT51" s="8">
        <f t="shared" ca="1" si="12"/>
        <v>489</v>
      </c>
      <c r="AU51" s="5" t="str">
        <f t="shared" ca="1" si="13"/>
        <v>VIGENTE</v>
      </c>
      <c r="AV51" s="3"/>
      <c r="AW51" s="4">
        <v>45927</v>
      </c>
      <c r="AX51" s="4">
        <f t="shared" si="221"/>
        <v>46657</v>
      </c>
      <c r="AY51" s="8">
        <f t="shared" ca="1" si="15"/>
        <v>512</v>
      </c>
      <c r="AZ51" s="5" t="str">
        <f t="shared" ca="1" si="16"/>
        <v>VIGENTE</v>
      </c>
      <c r="BA51" s="3"/>
      <c r="BB51" s="4">
        <v>46041</v>
      </c>
      <c r="BC51" s="4">
        <f>DATE(YEAR(BB51)+2,MONTH(BB51),DAY(BB51))</f>
        <v>46771</v>
      </c>
      <c r="BD51" s="8">
        <f t="shared" ca="1" si="17"/>
        <v>626</v>
      </c>
      <c r="BE51" s="5" t="str">
        <f t="shared" ca="1" si="18"/>
        <v>VIGENTE</v>
      </c>
      <c r="BF51" s="3"/>
      <c r="BG51" s="4">
        <v>46027</v>
      </c>
      <c r="BH51" s="4">
        <f>DATE(YEAR(BG51)+2,MONTH(BG51),DAY(BG51))</f>
        <v>46757</v>
      </c>
      <c r="BI51" s="8">
        <f t="shared" ca="1" si="19"/>
        <v>612</v>
      </c>
      <c r="BJ51" s="5" t="str">
        <f t="shared" ca="1" si="20"/>
        <v>VIGENTE</v>
      </c>
      <c r="BK51" s="3"/>
      <c r="BL51" s="4">
        <v>46035</v>
      </c>
      <c r="BM51" s="4">
        <f t="shared" si="223"/>
        <v>46765</v>
      </c>
      <c r="BN51" s="8">
        <f t="shared" ca="1" si="21"/>
        <v>620</v>
      </c>
      <c r="BO51" s="5" t="str">
        <f t="shared" ca="1" si="22"/>
        <v>VIGENTE</v>
      </c>
      <c r="BP51" s="3"/>
      <c r="BQ51" s="39">
        <v>46050</v>
      </c>
      <c r="BR51" s="4">
        <f>DATE(YEAR(BQ51)+2,MONTH(BQ51),DAY(BQ51))</f>
        <v>46780</v>
      </c>
      <c r="BS51" s="8">
        <f t="shared" ca="1" si="23"/>
        <v>635</v>
      </c>
      <c r="BT51" s="5" t="str">
        <f t="shared" ca="1" si="24"/>
        <v>VIGENTE</v>
      </c>
      <c r="BU51" s="3"/>
      <c r="BV51" s="4">
        <v>45950</v>
      </c>
      <c r="BW51" s="4">
        <f>DATE(YEAR(BV51)+2,MONTH(BV51),DAY(BV51))</f>
        <v>46680</v>
      </c>
      <c r="BX51" s="8">
        <f t="shared" ca="1" si="25"/>
        <v>535</v>
      </c>
      <c r="BY51" s="5" t="str">
        <f t="shared" ca="1" si="26"/>
        <v>VIGENTE</v>
      </c>
      <c r="BZ51" s="3"/>
      <c r="CA51" s="4">
        <v>45944</v>
      </c>
      <c r="CB51" s="4">
        <f>DATE(YEAR(CA51)+2,MONTH(CA51),DAY(CA51))</f>
        <v>46674</v>
      </c>
      <c r="CC51" s="8">
        <f t="shared" ca="1" si="27"/>
        <v>529</v>
      </c>
      <c r="CD51" s="5" t="str">
        <f t="shared" ca="1" si="28"/>
        <v>VIGENTE</v>
      </c>
      <c r="CE51" s="6"/>
      <c r="CF51" s="4">
        <v>45616</v>
      </c>
      <c r="CG51" s="4">
        <f t="shared" si="29"/>
        <v>47077</v>
      </c>
      <c r="CH51" s="8">
        <f t="shared" ca="1" si="30"/>
        <v>932</v>
      </c>
      <c r="CI51" s="5" t="str">
        <f t="shared" ca="1" si="31"/>
        <v>VIGENTE</v>
      </c>
      <c r="CJ51" s="4"/>
      <c r="CK51" s="4">
        <v>45504</v>
      </c>
      <c r="CL51" s="4">
        <f t="shared" si="226"/>
        <v>46233</v>
      </c>
      <c r="CM51" s="8">
        <f t="shared" ca="1" si="32"/>
        <v>88</v>
      </c>
      <c r="CN51" s="5" t="str">
        <f t="shared" ca="1" si="33"/>
        <v>POR VENCER</v>
      </c>
      <c r="CO51" s="3"/>
      <c r="CP51" s="39">
        <v>45517</v>
      </c>
      <c r="CQ51" s="4">
        <f>DATE(YEAR(CP51)+2,MONTH(CP51),DAY(CP51)-1)</f>
        <v>46246</v>
      </c>
      <c r="CR51" s="8">
        <f t="shared" ca="1" si="34"/>
        <v>101</v>
      </c>
      <c r="CS51" s="5" t="str">
        <f t="shared" ca="1" si="35"/>
        <v>VIGENTE</v>
      </c>
      <c r="CT51" s="3"/>
      <c r="CU51" s="4">
        <v>45905</v>
      </c>
      <c r="CV51" s="4">
        <f>DATE(YEAR(CU51)+2,MONTH(CU51),DAY(CU51))</f>
        <v>46635</v>
      </c>
      <c r="CW51" s="8">
        <f t="shared" ca="1" si="36"/>
        <v>490</v>
      </c>
      <c r="CX51" s="5" t="str">
        <f t="shared" ca="1" si="37"/>
        <v>VIGENTE</v>
      </c>
      <c r="CY51" s="3"/>
      <c r="CZ51" s="4">
        <v>46000</v>
      </c>
      <c r="DA51" s="4">
        <f>DATE(YEAR(CZ51)+2,MONTH(CZ51),DAY(CZ51))</f>
        <v>46730</v>
      </c>
      <c r="DB51" s="8">
        <f t="shared" ca="1" si="38"/>
        <v>585</v>
      </c>
      <c r="DC51" s="5" t="str">
        <f t="shared" ca="1" si="39"/>
        <v>VIGENTE</v>
      </c>
      <c r="DD51" s="3"/>
      <c r="DE51" s="39">
        <v>45689</v>
      </c>
      <c r="DF51" s="4">
        <f t="shared" si="227"/>
        <v>46418</v>
      </c>
      <c r="DG51" s="8">
        <f t="shared" ca="1" si="40"/>
        <v>273</v>
      </c>
      <c r="DH51" s="5" t="str">
        <f t="shared" ca="1" si="41"/>
        <v>VIGENTE</v>
      </c>
      <c r="DI51" s="3"/>
      <c r="DJ51" s="39">
        <v>45975</v>
      </c>
      <c r="DK51" s="4">
        <f t="shared" si="225"/>
        <v>46705</v>
      </c>
      <c r="DL51" s="8">
        <f t="shared" ca="1" si="43"/>
        <v>560</v>
      </c>
      <c r="DM51" s="5" t="str">
        <f t="shared" ca="1" si="44"/>
        <v>VIGENTE</v>
      </c>
      <c r="DN51" s="3"/>
      <c r="DO51" s="4">
        <v>45982</v>
      </c>
      <c r="DP51" s="4">
        <f>DATE(YEAR(DO51)+2,MONTH(DO51),DAY(DO51))</f>
        <v>46712</v>
      </c>
      <c r="DQ51" s="8">
        <f t="shared" ca="1" si="46"/>
        <v>567</v>
      </c>
      <c r="DR51" s="5" t="str">
        <f t="shared" ca="1" si="47"/>
        <v>VIGENTE</v>
      </c>
      <c r="DS51" s="3"/>
      <c r="DT51" s="4">
        <v>46053</v>
      </c>
      <c r="DU51" s="4">
        <f>DATE(YEAR(DT51)+2,MONTH(DT51),DAY(DT51))</f>
        <v>46783</v>
      </c>
      <c r="DV51" s="8">
        <f t="shared" ca="1" si="48"/>
        <v>638</v>
      </c>
      <c r="DW51" s="5" t="str">
        <f t="shared" ca="1" si="49"/>
        <v>VIGENTE</v>
      </c>
      <c r="DX51" s="3"/>
      <c r="DY51" s="4">
        <v>45663</v>
      </c>
      <c r="DZ51" s="4">
        <f>DATE(YEAR(DY51)+2,MONTH(DY51),DAY(DY51)-1)</f>
        <v>46392</v>
      </c>
      <c r="EA51" s="8">
        <f t="shared" ca="1" si="50"/>
        <v>247</v>
      </c>
      <c r="EB51" s="5" t="str">
        <f t="shared" ca="1" si="51"/>
        <v>VIGENTE</v>
      </c>
      <c r="EC51" s="3"/>
      <c r="ED51" s="39">
        <v>45674</v>
      </c>
      <c r="EE51" s="4">
        <f>DATE(YEAR(ED51)+2,MONTH(ED51),DAY(ED51)-1)</f>
        <v>46403</v>
      </c>
      <c r="EF51" s="8">
        <f t="shared" ca="1" si="52"/>
        <v>258</v>
      </c>
      <c r="EG51" s="5" t="str">
        <f t="shared" ca="1" si="53"/>
        <v>VIGENTE</v>
      </c>
      <c r="EH51" s="3"/>
      <c r="EI51" s="3">
        <v>46107</v>
      </c>
      <c r="EJ51" s="4">
        <f t="shared" si="131"/>
        <v>46472</v>
      </c>
      <c r="EK51" s="8">
        <f t="shared" ca="1" si="54"/>
        <v>327</v>
      </c>
      <c r="EL51" s="5" t="str">
        <f t="shared" ca="1" si="55"/>
        <v>VIGENTE</v>
      </c>
      <c r="EM51" s="3"/>
      <c r="EN51" s="4">
        <v>45660</v>
      </c>
      <c r="EO51" s="4">
        <f>DATE(YEAR(EN51)+2,MONTH(EN51),DAY(EN51)-1)</f>
        <v>46389</v>
      </c>
      <c r="EP51" s="8">
        <f t="shared" ca="1" si="56"/>
        <v>244</v>
      </c>
      <c r="EQ51" s="5" t="str">
        <f t="shared" ca="1" si="57"/>
        <v>VIGENTE</v>
      </c>
      <c r="ER51" s="3"/>
      <c r="ES51" s="39">
        <v>45999</v>
      </c>
      <c r="ET51" s="4">
        <f>DATE(YEAR(ES51)+2,MONTH(ES51),DAY(ES51))</f>
        <v>46729</v>
      </c>
      <c r="EU51" s="8">
        <f t="shared" ca="1" si="58"/>
        <v>584</v>
      </c>
      <c r="EV51" s="5" t="str">
        <f t="shared" ca="1" si="59"/>
        <v>VIGENTE</v>
      </c>
      <c r="EW51" s="3"/>
      <c r="EX51" s="4">
        <v>45917</v>
      </c>
      <c r="EY51" s="4">
        <f>DATE(YEAR(EX51)+2,MONTH(EX51),DAY(EX51))</f>
        <v>46647</v>
      </c>
      <c r="EZ51" s="8">
        <f t="shared" ca="1" si="60"/>
        <v>502</v>
      </c>
      <c r="FA51" s="5" t="str">
        <f t="shared" ca="1" si="61"/>
        <v>VIGENTE</v>
      </c>
      <c r="FB51" s="3"/>
      <c r="FC51" s="4">
        <v>45931</v>
      </c>
      <c r="FD51" s="4">
        <f>DATE(YEAR(FC51)+2,MONTH(FC51),DAY(FC51))</f>
        <v>46661</v>
      </c>
      <c r="FE51" s="8">
        <f t="shared" ca="1" si="62"/>
        <v>516</v>
      </c>
      <c r="FF51" s="5" t="str">
        <f t="shared" ca="1" si="63"/>
        <v>VIGENTE</v>
      </c>
      <c r="FG51" s="3"/>
      <c r="FH51" s="4">
        <v>45919</v>
      </c>
      <c r="FI51" s="4">
        <f>DATE(YEAR(FH51)+2,MONTH(FH51),DAY(FH51))</f>
        <v>46649</v>
      </c>
      <c r="FJ51" s="8">
        <f t="shared" ca="1" si="64"/>
        <v>504</v>
      </c>
      <c r="FK51" s="5" t="str">
        <f t="shared" ca="1" si="65"/>
        <v>VIGENTE</v>
      </c>
      <c r="FL51" s="3"/>
      <c r="FM51" s="39">
        <v>45670</v>
      </c>
      <c r="FN51" s="4">
        <f>DATE(YEAR(FM51)+2,MONTH(FM51),DAY(FM51)-1)</f>
        <v>46399</v>
      </c>
      <c r="FO51" s="8">
        <f t="shared" ca="1" si="67"/>
        <v>254</v>
      </c>
      <c r="FP51" s="5" t="str">
        <f t="shared" ca="1" si="68"/>
        <v>VIGENTE</v>
      </c>
      <c r="FQ51" s="3"/>
      <c r="FR51" s="39">
        <v>45664</v>
      </c>
      <c r="FS51" s="4">
        <f>DATE(YEAR(FR51)+2,MONTH(FR51),DAY(FR51)-1)</f>
        <v>46393</v>
      </c>
      <c r="FT51" s="8">
        <f t="shared" ca="1" si="69"/>
        <v>248</v>
      </c>
      <c r="FU51" s="5" t="str">
        <f t="shared" ca="1" si="70"/>
        <v>VIGENTE</v>
      </c>
      <c r="FV51" s="3"/>
      <c r="FW51" s="4">
        <v>45961</v>
      </c>
      <c r="FX51" s="4">
        <f>DATE(YEAR(FW51)+2,MONTH(FW51),DAY(FW51))</f>
        <v>46691</v>
      </c>
      <c r="FY51" s="8">
        <f t="shared" ca="1" si="71"/>
        <v>546</v>
      </c>
      <c r="FZ51" s="5" t="str">
        <f t="shared" ca="1" si="72"/>
        <v>VIGENTE</v>
      </c>
      <c r="GA51" s="3"/>
      <c r="GB51" s="4">
        <v>45667</v>
      </c>
      <c r="GC51" s="4">
        <f>DATE(YEAR(GB51)+2,MONTH(GB51),DAY(GB51)-1)</f>
        <v>46396</v>
      </c>
      <c r="GD51" s="8">
        <f t="shared" ca="1" si="73"/>
        <v>251</v>
      </c>
      <c r="GE51" s="5" t="str">
        <f t="shared" ca="1" si="74"/>
        <v>VIGENTE</v>
      </c>
      <c r="GF51" s="3"/>
      <c r="GG51" s="4">
        <v>45672</v>
      </c>
      <c r="GH51" s="4">
        <f>DATE(YEAR(GG51)+2,MONTH(GG51),DAY(GG51)-1)</f>
        <v>46401</v>
      </c>
      <c r="GI51" s="8">
        <f t="shared" ca="1" si="75"/>
        <v>256</v>
      </c>
      <c r="GJ51" s="5" t="str">
        <f t="shared" ca="1" si="76"/>
        <v>VIGENTE</v>
      </c>
      <c r="GK51" s="3"/>
      <c r="GL51" s="4">
        <v>45945</v>
      </c>
      <c r="GM51" s="4">
        <f>DATE(YEAR(GL51)+2,MONTH(GL51),DAY(GL51))</f>
        <v>46675</v>
      </c>
      <c r="GN51" s="8">
        <f t="shared" ca="1" si="77"/>
        <v>530</v>
      </c>
      <c r="GO51" s="5" t="str">
        <f t="shared" ca="1" si="78"/>
        <v>VIGENTE</v>
      </c>
      <c r="GP51" s="4"/>
      <c r="GQ51" s="4">
        <v>45017</v>
      </c>
      <c r="GR51" s="4">
        <f t="shared" si="79"/>
        <v>46844</v>
      </c>
      <c r="GS51" s="8">
        <f t="shared" ca="1" si="176"/>
        <v>699</v>
      </c>
      <c r="GT51" s="5" t="str">
        <f t="shared" ca="1" si="81"/>
        <v>VIGENTE</v>
      </c>
      <c r="GU51" s="3"/>
      <c r="GV51" s="4">
        <v>45067</v>
      </c>
      <c r="GW51" s="4">
        <f t="shared" si="82"/>
        <v>46894</v>
      </c>
      <c r="GX51" s="8">
        <f t="shared" ca="1" si="83"/>
        <v>749</v>
      </c>
      <c r="GY51" s="5" t="str">
        <f t="shared" ca="1" si="84"/>
        <v>VIGENTE</v>
      </c>
      <c r="GZ51" s="3"/>
      <c r="HA51" s="4">
        <v>45294</v>
      </c>
      <c r="HB51" s="4">
        <f t="shared" si="85"/>
        <v>47121</v>
      </c>
      <c r="HC51" s="8">
        <f t="shared" ca="1" si="86"/>
        <v>976</v>
      </c>
      <c r="HD51" s="5" t="str">
        <f t="shared" ca="1" si="87"/>
        <v>VIGENTE</v>
      </c>
      <c r="HE51" s="6"/>
      <c r="HF51" s="4">
        <v>45020</v>
      </c>
      <c r="HG51" s="4">
        <f>DATE(YEAR(HF51)+5,MONTH(HF51),DAY(HF51))</f>
        <v>46847</v>
      </c>
      <c r="HH51" s="8">
        <f ca="1">HG51-TODAY()</f>
        <v>702</v>
      </c>
      <c r="HI51" s="5" t="str">
        <f t="shared" ca="1" si="224"/>
        <v>VIGENTE</v>
      </c>
      <c r="HJ51" s="3"/>
      <c r="HK51" s="4">
        <v>45414</v>
      </c>
      <c r="HL51" s="4">
        <f>DATE(YEAR(HK51)+5,MONTH(HK51),DAY(HK51))</f>
        <v>47240</v>
      </c>
      <c r="HM51" s="8">
        <f ca="1">HL51-TODAY()</f>
        <v>1095</v>
      </c>
      <c r="HN51" s="5" t="str">
        <f t="shared" ca="1" si="228"/>
        <v>VIGENTE</v>
      </c>
      <c r="HO51" s="2"/>
      <c r="HP51" s="2"/>
      <c r="HQ51" s="4"/>
      <c r="HR51" s="2"/>
      <c r="HS51" s="5" t="str">
        <f t="shared" si="92"/>
        <v>NO APLICA</v>
      </c>
      <c r="HT51" s="2"/>
      <c r="HU51" s="6"/>
      <c r="HV51" s="4"/>
      <c r="HW51" s="8"/>
      <c r="HX51" s="5" t="str">
        <f t="shared" si="93"/>
        <v>NO APLICA</v>
      </c>
      <c r="HY51" s="2"/>
      <c r="HZ51" s="6"/>
      <c r="IA51" s="4"/>
      <c r="IB51" s="8"/>
      <c r="IC51" s="5" t="str">
        <f t="shared" si="94"/>
        <v>NO APLICA</v>
      </c>
      <c r="ID51" s="2"/>
      <c r="IE51" s="6"/>
      <c r="IF51" s="4"/>
      <c r="IG51" s="8"/>
      <c r="IH51" s="5" t="str">
        <f t="shared" si="95"/>
        <v>NO APLICA</v>
      </c>
      <c r="II51" s="6"/>
      <c r="IJ51" s="6"/>
      <c r="IK51" s="4"/>
      <c r="IL51" s="8"/>
      <c r="IM51" s="5" t="str">
        <f t="shared" si="96"/>
        <v>NO APLICA</v>
      </c>
      <c r="IN51" s="2"/>
      <c r="IO51" s="6"/>
      <c r="IP51" s="4"/>
      <c r="IQ51" s="8"/>
      <c r="IR51" s="5" t="str">
        <f t="shared" si="97"/>
        <v>NO APLICA</v>
      </c>
      <c r="IS51" s="2"/>
      <c r="IT51" s="6"/>
      <c r="IU51" s="4"/>
      <c r="IV51" s="8"/>
      <c r="IW51" s="5" t="str">
        <f t="shared" si="98"/>
        <v>NO APLICA</v>
      </c>
      <c r="IX51" s="2"/>
      <c r="IY51" s="6"/>
      <c r="IZ51" s="4"/>
      <c r="JA51" s="8"/>
      <c r="JB51" s="5" t="str">
        <f t="shared" si="99"/>
        <v>NO APLICA</v>
      </c>
      <c r="JC51" s="3" t="s">
        <v>780</v>
      </c>
      <c r="JD51" s="3"/>
      <c r="JE51" s="4"/>
      <c r="JF51" s="8"/>
      <c r="JG51" s="5"/>
      <c r="JH51" s="3" t="s">
        <v>780</v>
      </c>
      <c r="JI51" s="6"/>
      <c r="JJ51" s="6"/>
      <c r="JK51" s="6"/>
      <c r="JL51" s="5"/>
      <c r="JM51" s="6" t="s">
        <v>780</v>
      </c>
      <c r="JN51" s="6"/>
      <c r="JO51" s="6"/>
      <c r="JP51" s="6"/>
      <c r="JQ51" s="5"/>
      <c r="JR51" s="6" t="s">
        <v>780</v>
      </c>
      <c r="JS51" s="6"/>
      <c r="JT51" s="6"/>
      <c r="JU51" s="6"/>
      <c r="JV51" s="5"/>
      <c r="JW51" s="6" t="s">
        <v>780</v>
      </c>
      <c r="JX51" s="5"/>
      <c r="JY51" s="5"/>
      <c r="JZ51" s="5"/>
      <c r="KA51" s="5"/>
      <c r="KB51" s="5"/>
      <c r="KC51" s="2"/>
      <c r="KD51" s="4"/>
      <c r="KE51" s="8"/>
      <c r="KF51" s="5" t="str">
        <f t="shared" si="135"/>
        <v>NO APLICA</v>
      </c>
      <c r="KG51" s="5"/>
      <c r="KH51" s="2"/>
      <c r="KI51" s="4"/>
      <c r="KJ51" s="8"/>
      <c r="KK51" s="5" t="str">
        <f t="shared" si="136"/>
        <v>NO APLICA</v>
      </c>
      <c r="KL51" s="5"/>
      <c r="KM51" s="2"/>
      <c r="KN51" s="4"/>
      <c r="KO51" s="8"/>
      <c r="KP51" s="5" t="str">
        <f t="shared" si="100"/>
        <v>NO APLICA</v>
      </c>
      <c r="KQ51" s="5"/>
      <c r="KR51" s="2"/>
      <c r="KS51" s="4"/>
      <c r="KT51" s="8"/>
      <c r="KU51" s="5" t="str">
        <f t="shared" si="137"/>
        <v>NO APLICA</v>
      </c>
      <c r="KV51" s="3"/>
      <c r="KW51" s="4">
        <v>44649</v>
      </c>
      <c r="KX51" s="4">
        <f>DATE(YEAR(KW51)+5,MONTH(KW51),DAY(KW51))</f>
        <v>46475</v>
      </c>
      <c r="KY51" s="8">
        <f ca="1">KX51-TODAY()</f>
        <v>330</v>
      </c>
      <c r="KZ51" s="5" t="str">
        <f t="shared" ca="1" si="151"/>
        <v>VIGENTE</v>
      </c>
      <c r="LA51" s="5"/>
      <c r="LB51" s="4">
        <v>44603</v>
      </c>
      <c r="LC51" s="4">
        <f>DATE(YEAR(LB51)+5,MONTH(LB51),DAY(LB51))</f>
        <v>46429</v>
      </c>
      <c r="LD51" s="8">
        <f ca="1">LC51-TODAY()</f>
        <v>284</v>
      </c>
      <c r="LE51" s="5" t="str">
        <f t="shared" ca="1" si="138"/>
        <v>VIGENTE</v>
      </c>
      <c r="LF51" s="6"/>
      <c r="LG51" s="6"/>
      <c r="LH51" s="4"/>
      <c r="LI51" s="8"/>
      <c r="LJ51" s="5" t="str">
        <f t="shared" si="101"/>
        <v>NO APLICA</v>
      </c>
      <c r="LK51" s="5"/>
      <c r="LL51" s="5"/>
      <c r="LM51" s="4"/>
      <c r="LN51" s="8"/>
      <c r="LO51" s="5" t="str">
        <f t="shared" si="152"/>
        <v>NO APLICA</v>
      </c>
      <c r="LP51" s="2"/>
      <c r="LQ51" s="6"/>
      <c r="LR51" s="4"/>
      <c r="LS51" s="8"/>
      <c r="LT51" s="5" t="str">
        <f t="shared" si="139"/>
        <v>NO APLICA</v>
      </c>
      <c r="LU51" s="6"/>
      <c r="LV51" s="6"/>
      <c r="LW51" s="4"/>
      <c r="LX51" s="8"/>
      <c r="LY51" s="5" t="str">
        <f t="shared" si="140"/>
        <v>NO APLICA</v>
      </c>
      <c r="LZ51" s="6"/>
      <c r="MA51" s="6"/>
      <c r="MB51" s="4"/>
      <c r="MC51" s="8"/>
      <c r="MD51" s="5" t="str">
        <f t="shared" si="141"/>
        <v>NO APLICA</v>
      </c>
      <c r="ME51" s="2"/>
      <c r="MF51" s="2"/>
      <c r="MG51" s="4"/>
      <c r="MH51" s="8"/>
      <c r="MI51" s="5" t="str">
        <f t="shared" si="102"/>
        <v>NO APLICA</v>
      </c>
      <c r="MJ51" s="2"/>
      <c r="MK51" s="2"/>
      <c r="ML51" s="4"/>
      <c r="MM51" s="8"/>
      <c r="MN51" s="5" t="str">
        <f t="shared" si="103"/>
        <v>NO APLICA</v>
      </c>
      <c r="MO51" s="5"/>
      <c r="MP51" s="2"/>
      <c r="MQ51" s="4"/>
      <c r="MR51" s="8"/>
      <c r="MS51" s="5" t="str">
        <f t="shared" si="104"/>
        <v>NO APLICA</v>
      </c>
      <c r="MT51" s="5"/>
      <c r="MU51" s="2"/>
      <c r="MV51" s="4"/>
      <c r="MW51" s="2"/>
      <c r="MX51" s="5" t="str">
        <f t="shared" si="105"/>
        <v>NO APLICA</v>
      </c>
      <c r="MY51" s="2"/>
      <c r="MZ51" s="6"/>
      <c r="NA51" s="4"/>
      <c r="NB51" s="8"/>
      <c r="NC51" s="5" t="str">
        <f t="shared" si="106"/>
        <v>NO APLICA</v>
      </c>
      <c r="ND51" s="2"/>
      <c r="NE51" s="6"/>
      <c r="NF51" s="4"/>
      <c r="NG51" s="8"/>
      <c r="NH51" s="5" t="str">
        <f t="shared" si="107"/>
        <v>NO APLICA</v>
      </c>
      <c r="NI51" s="2"/>
      <c r="NJ51" s="6"/>
      <c r="NK51" s="4"/>
      <c r="NL51" s="8"/>
      <c r="NM51" s="5" t="str">
        <f t="shared" si="108"/>
        <v>NO APLICA</v>
      </c>
      <c r="NN51" s="2"/>
      <c r="NO51" s="2"/>
      <c r="NP51" s="4"/>
      <c r="NQ51" s="8"/>
      <c r="NR51" s="5" t="str">
        <f t="shared" si="109"/>
        <v>NO APLICA</v>
      </c>
      <c r="NS51" s="2"/>
      <c r="NT51" s="2"/>
      <c r="NU51" s="4"/>
      <c r="NV51" s="2"/>
      <c r="NW51" s="5" t="str">
        <f t="shared" si="110"/>
        <v>NO APLICA</v>
      </c>
      <c r="NX51" s="6"/>
      <c r="NY51" s="4"/>
      <c r="NZ51" s="4"/>
      <c r="OA51" s="8"/>
      <c r="OB51" s="5" t="str">
        <f t="shared" si="111"/>
        <v>NO APLICA</v>
      </c>
      <c r="OC51" s="4"/>
      <c r="OD51" s="4">
        <v>44762</v>
      </c>
      <c r="OE51" s="4">
        <f>DATE(YEAR(OD51)+5,MONTH(OD51),DAY(OD51))</f>
        <v>46588</v>
      </c>
      <c r="OF51" s="8">
        <f ca="1">OE51-TODAY()</f>
        <v>443</v>
      </c>
      <c r="OG51" s="5" t="str">
        <f t="shared" ca="1" si="112"/>
        <v>VIGENTE</v>
      </c>
      <c r="OH51" s="2"/>
      <c r="OI51" s="2"/>
      <c r="OJ51" s="4"/>
      <c r="OK51" s="8"/>
      <c r="OL51" s="5" t="str">
        <f t="shared" si="113"/>
        <v>NO APLICA</v>
      </c>
      <c r="OM51" s="6"/>
      <c r="ON51" s="6"/>
      <c r="OO51" s="6"/>
      <c r="OP51" s="6"/>
      <c r="OQ51" s="5" t="str">
        <f t="shared" si="114"/>
        <v>NO APLICA</v>
      </c>
      <c r="OR51" s="6"/>
      <c r="OS51" s="6"/>
      <c r="OT51" s="6"/>
      <c r="OU51" s="6"/>
      <c r="OV51" s="5" t="str">
        <f t="shared" si="115"/>
        <v>NO APLICA</v>
      </c>
      <c r="OW51" s="6"/>
      <c r="OX51" s="6"/>
      <c r="OY51" s="6"/>
      <c r="OZ51" s="6"/>
      <c r="PA51" s="5" t="str">
        <f t="shared" si="116"/>
        <v>NO APLICA</v>
      </c>
      <c r="PB51" s="6"/>
      <c r="PC51" s="6"/>
      <c r="PD51" s="6"/>
      <c r="PE51" s="6"/>
      <c r="PF51" s="5" t="str">
        <f t="shared" si="117"/>
        <v>NO APLICA</v>
      </c>
      <c r="PG51" s="6"/>
      <c r="PH51" s="6"/>
      <c r="PI51" s="6"/>
      <c r="PJ51" s="6"/>
      <c r="PK51" s="5" t="str">
        <f t="shared" si="118"/>
        <v>NO APLICA</v>
      </c>
      <c r="PL51" s="5"/>
      <c r="PM51" s="6"/>
      <c r="PN51" s="4"/>
      <c r="PO51" s="8"/>
      <c r="PP51" s="5" t="str">
        <f t="shared" si="119"/>
        <v>NO APLICA</v>
      </c>
      <c r="PQ51" s="6"/>
      <c r="PR51" s="6"/>
      <c r="PS51" s="6"/>
      <c r="PT51" s="6"/>
      <c r="PU51" s="5" t="str">
        <f t="shared" si="120"/>
        <v>NO APLICA</v>
      </c>
      <c r="PV51" s="5"/>
      <c r="PW51" s="6"/>
      <c r="PX51" s="6"/>
      <c r="PY51" s="6"/>
      <c r="PZ51" s="5" t="str">
        <f t="shared" si="121"/>
        <v>NO APLICA</v>
      </c>
    </row>
    <row r="52" spans="1:442" ht="15.6" hidden="1" thickTop="1" thickBot="1" x14ac:dyDescent="0.35">
      <c r="A52" s="26">
        <v>49</v>
      </c>
      <c r="B52" s="31">
        <v>1654</v>
      </c>
      <c r="C52" s="28" t="s">
        <v>220</v>
      </c>
      <c r="D52" s="29" t="s">
        <v>113</v>
      </c>
      <c r="E52" s="30" t="s">
        <v>148</v>
      </c>
      <c r="F52" s="3"/>
      <c r="G52" s="4">
        <v>46119</v>
      </c>
      <c r="H52" s="4">
        <f>DATE(YEAR(G52)+2,MONTH(G52),DAY(G52))</f>
        <v>46850</v>
      </c>
      <c r="I52" s="8">
        <f ca="1">H52-TODAY()</f>
        <v>705</v>
      </c>
      <c r="J52" s="5" t="str">
        <f t="shared" ca="1" si="0"/>
        <v>VIGENTE</v>
      </c>
      <c r="K52" s="2"/>
      <c r="L52" s="6"/>
      <c r="M52" s="6"/>
      <c r="N52" s="8"/>
      <c r="O52" s="5" t="str">
        <f t="shared" si="1"/>
        <v>NO APLICA</v>
      </c>
      <c r="P52" s="6"/>
      <c r="Q52" s="6"/>
      <c r="R52" s="4"/>
      <c r="S52" s="8"/>
      <c r="T52" s="5" t="str">
        <f t="shared" si="122"/>
        <v>NO APLICA</v>
      </c>
      <c r="U52" s="5"/>
      <c r="V52" s="2" t="s">
        <v>221</v>
      </c>
      <c r="W52" s="4">
        <v>44944</v>
      </c>
      <c r="X52" s="4">
        <f t="shared" si="2"/>
        <v>46770</v>
      </c>
      <c r="Y52" s="8">
        <f t="shared" ca="1" si="3"/>
        <v>625</v>
      </c>
      <c r="Z52" s="5" t="str">
        <f t="shared" ca="1" si="4"/>
        <v>VIGENTE</v>
      </c>
      <c r="AA52" s="5"/>
      <c r="AB52" s="2"/>
      <c r="AC52" s="6"/>
      <c r="AD52" s="4"/>
      <c r="AE52" s="8"/>
      <c r="AF52" s="5" t="str">
        <f t="shared" si="7"/>
        <v>NO APLICA</v>
      </c>
      <c r="AG52" s="3"/>
      <c r="AH52" s="4">
        <v>45589</v>
      </c>
      <c r="AI52" s="4">
        <f>DATE(YEAR(AH52)+2,MONTH(AH52),DAY(AH52)-1)</f>
        <v>46318</v>
      </c>
      <c r="AJ52" s="8">
        <f t="shared" ca="1" si="8"/>
        <v>173</v>
      </c>
      <c r="AK52" s="5" t="str">
        <f t="shared" ca="1" si="219"/>
        <v>VIGENTE</v>
      </c>
      <c r="AL52" s="3"/>
      <c r="AM52" s="4">
        <v>45748</v>
      </c>
      <c r="AN52" s="4">
        <f>DATE(YEAR(AM52)+2,MONTH(AM52),DAY(AM52)-1)</f>
        <v>46477</v>
      </c>
      <c r="AO52" s="8">
        <f t="shared" ca="1" si="10"/>
        <v>332</v>
      </c>
      <c r="AP52" s="5" t="str">
        <f t="shared" ca="1" si="11"/>
        <v>VIGENTE</v>
      </c>
      <c r="AQ52" s="3"/>
      <c r="AR52" s="4">
        <v>45591</v>
      </c>
      <c r="AS52" s="4">
        <f>DATE(YEAR(AR52)+2,MONTH(AR52),DAY(AR52)-1)</f>
        <v>46320</v>
      </c>
      <c r="AT52" s="8">
        <f t="shared" ca="1" si="12"/>
        <v>175</v>
      </c>
      <c r="AU52" s="5" t="str">
        <f t="shared" ca="1" si="13"/>
        <v>VIGENTE</v>
      </c>
      <c r="AV52" s="3"/>
      <c r="AW52" s="4">
        <v>45702</v>
      </c>
      <c r="AX52" s="4">
        <f>DATE(YEAR(AW52)+2,MONTH(AW52),DAY(AW52)-1)</f>
        <v>46431</v>
      </c>
      <c r="AY52" s="8">
        <f t="shared" ca="1" si="15"/>
        <v>286</v>
      </c>
      <c r="AZ52" s="5" t="str">
        <f t="shared" ca="1" si="16"/>
        <v>VIGENTE</v>
      </c>
      <c r="BA52" s="3"/>
      <c r="BB52" s="4">
        <v>45622</v>
      </c>
      <c r="BC52" s="4">
        <f>DATE(YEAR(BB52)+2,MONTH(BB52),DAY(BB52)-1)</f>
        <v>46351</v>
      </c>
      <c r="BD52" s="8">
        <f t="shared" ca="1" si="17"/>
        <v>206</v>
      </c>
      <c r="BE52" s="5" t="str">
        <f t="shared" ca="1" si="18"/>
        <v>VIGENTE</v>
      </c>
      <c r="BF52" s="3"/>
      <c r="BG52" s="4">
        <v>45826</v>
      </c>
      <c r="BH52" s="4">
        <f>DATE(YEAR(BG52)+2,MONTH(BG52),DAY(BG52))</f>
        <v>46556</v>
      </c>
      <c r="BI52" s="8">
        <f t="shared" ca="1" si="19"/>
        <v>411</v>
      </c>
      <c r="BJ52" s="5" t="str">
        <f t="shared" ca="1" si="20"/>
        <v>VIGENTE</v>
      </c>
      <c r="BK52" s="3"/>
      <c r="BL52" s="4">
        <v>45819</v>
      </c>
      <c r="BM52" s="4">
        <f t="shared" si="223"/>
        <v>46549</v>
      </c>
      <c r="BN52" s="8">
        <f t="shared" ca="1" si="21"/>
        <v>404</v>
      </c>
      <c r="BO52" s="5" t="str">
        <f t="shared" ca="1" si="22"/>
        <v>VIGENTE</v>
      </c>
      <c r="BP52" s="3"/>
      <c r="BQ52" s="39">
        <v>45604</v>
      </c>
      <c r="BR52" s="4">
        <f>DATE(YEAR(BQ52)+2,MONTH(BQ52),DAY(BQ52)-1)</f>
        <v>46333</v>
      </c>
      <c r="BS52" s="8">
        <f t="shared" ca="1" si="23"/>
        <v>188</v>
      </c>
      <c r="BT52" s="5" t="str">
        <f t="shared" ca="1" si="24"/>
        <v>VIGENTE</v>
      </c>
      <c r="BU52" s="2"/>
      <c r="BV52" s="4">
        <v>45736</v>
      </c>
      <c r="BW52" s="4">
        <f>DATE(YEAR(BV52)+2,MONTH(BV52),DAY(BV52)-1)</f>
        <v>46465</v>
      </c>
      <c r="BX52" s="8">
        <f t="shared" ca="1" si="25"/>
        <v>320</v>
      </c>
      <c r="BY52" s="5" t="str">
        <f t="shared" ca="1" si="26"/>
        <v>VIGENTE</v>
      </c>
      <c r="BZ52" s="3"/>
      <c r="CA52" s="4">
        <v>45730</v>
      </c>
      <c r="CB52" s="4">
        <f>DATE(YEAR(CA52)+2,MONTH(CA52),DAY(CA52)-1)</f>
        <v>46459</v>
      </c>
      <c r="CC52" s="8">
        <f t="shared" ca="1" si="27"/>
        <v>314</v>
      </c>
      <c r="CD52" s="5" t="str">
        <f t="shared" ca="1" si="28"/>
        <v>VIGENTE</v>
      </c>
      <c r="CE52" s="6"/>
      <c r="CF52" s="4">
        <v>45832</v>
      </c>
      <c r="CG52" s="4">
        <f t="shared" si="29"/>
        <v>47293</v>
      </c>
      <c r="CH52" s="8">
        <f t="shared" ca="1" si="30"/>
        <v>1148</v>
      </c>
      <c r="CI52" s="5" t="str">
        <f t="shared" ca="1" si="31"/>
        <v>VIGENTE</v>
      </c>
      <c r="CJ52" s="4"/>
      <c r="CK52" s="4">
        <v>45801</v>
      </c>
      <c r="CL52" s="4">
        <f t="shared" si="226"/>
        <v>46530</v>
      </c>
      <c r="CM52" s="8">
        <f t="shared" ca="1" si="32"/>
        <v>385</v>
      </c>
      <c r="CN52" s="5" t="str">
        <f t="shared" ca="1" si="33"/>
        <v>VIGENTE</v>
      </c>
      <c r="CO52" s="3"/>
      <c r="CP52" s="39">
        <v>45769</v>
      </c>
      <c r="CQ52" s="4">
        <f>DATE(YEAR(CP52)+2,MONTH(CP52),DAY(CP52))</f>
        <v>46499</v>
      </c>
      <c r="CR52" s="8">
        <f t="shared" ca="1" si="34"/>
        <v>354</v>
      </c>
      <c r="CS52" s="5" t="str">
        <f t="shared" ca="1" si="35"/>
        <v>VIGENTE</v>
      </c>
      <c r="CT52" s="3"/>
      <c r="CU52" s="4">
        <v>45624</v>
      </c>
      <c r="CV52" s="4">
        <f>DATE(YEAR(CU52)+2,MONTH(CU52),DAY(CU52)-1)</f>
        <v>46353</v>
      </c>
      <c r="CW52" s="8">
        <f t="shared" ca="1" si="36"/>
        <v>208</v>
      </c>
      <c r="CX52" s="5" t="str">
        <f t="shared" ca="1" si="37"/>
        <v>VIGENTE</v>
      </c>
      <c r="CY52" s="3"/>
      <c r="CZ52" s="4">
        <v>45681</v>
      </c>
      <c r="DA52" s="4">
        <f>DATE(YEAR(CZ52)+2,MONTH(CZ52),DAY(CZ52)-1)</f>
        <v>46410</v>
      </c>
      <c r="DB52" s="8">
        <f t="shared" ca="1" si="38"/>
        <v>265</v>
      </c>
      <c r="DC52" s="5" t="str">
        <f t="shared" ca="1" si="39"/>
        <v>VIGENTE</v>
      </c>
      <c r="DD52" s="3"/>
      <c r="DE52" s="39">
        <v>45723</v>
      </c>
      <c r="DF52" s="4">
        <f t="shared" si="227"/>
        <v>46452</v>
      </c>
      <c r="DG52" s="8">
        <f t="shared" ca="1" si="40"/>
        <v>307</v>
      </c>
      <c r="DH52" s="5" t="str">
        <f t="shared" ca="1" si="41"/>
        <v>VIGENTE</v>
      </c>
      <c r="DI52" s="3"/>
      <c r="DJ52" s="39">
        <v>45779</v>
      </c>
      <c r="DK52" s="4">
        <f t="shared" si="225"/>
        <v>46509</v>
      </c>
      <c r="DL52" s="8">
        <f t="shared" ca="1" si="43"/>
        <v>364</v>
      </c>
      <c r="DM52" s="5" t="str">
        <f t="shared" ca="1" si="44"/>
        <v>VIGENTE</v>
      </c>
      <c r="DN52" s="3"/>
      <c r="DO52" s="4">
        <v>45590</v>
      </c>
      <c r="DP52" s="4">
        <f>DATE(YEAR(DO52)+2,MONTH(DO52),DAY(DO52)-1)</f>
        <v>46319</v>
      </c>
      <c r="DQ52" s="8">
        <f t="shared" ca="1" si="46"/>
        <v>174</v>
      </c>
      <c r="DR52" s="5" t="str">
        <f t="shared" ca="1" si="47"/>
        <v>VIGENTE</v>
      </c>
      <c r="DS52" s="3"/>
      <c r="DT52" s="4">
        <v>45608</v>
      </c>
      <c r="DU52" s="4">
        <f>DATE(YEAR(DT52)+2,MONTH(DT52),DAY(DT52)-1)</f>
        <v>46337</v>
      </c>
      <c r="DV52" s="8">
        <f t="shared" ca="1" si="48"/>
        <v>192</v>
      </c>
      <c r="DW52" s="5" t="str">
        <f t="shared" ca="1" si="49"/>
        <v>VIGENTE</v>
      </c>
      <c r="DX52" s="3"/>
      <c r="DY52" s="4">
        <v>45663</v>
      </c>
      <c r="DZ52" s="4">
        <f>DATE(YEAR(DY52)+2,MONTH(DY52),DAY(DY52)-1)</f>
        <v>46392</v>
      </c>
      <c r="EA52" s="8">
        <f t="shared" ca="1" si="50"/>
        <v>247</v>
      </c>
      <c r="EB52" s="5" t="str">
        <f t="shared" ca="1" si="51"/>
        <v>VIGENTE</v>
      </c>
      <c r="EC52" s="3"/>
      <c r="ED52" s="39">
        <v>45829</v>
      </c>
      <c r="EE52" s="4">
        <f>DATE(YEAR(ED52)+2,MONTH(ED52),DAY(ED52))</f>
        <v>46559</v>
      </c>
      <c r="EF52" s="8">
        <f t="shared" ca="1" si="52"/>
        <v>414</v>
      </c>
      <c r="EG52" s="5" t="str">
        <f t="shared" ca="1" si="53"/>
        <v>VIGENTE</v>
      </c>
      <c r="EH52" s="3"/>
      <c r="EI52" s="3">
        <v>46085</v>
      </c>
      <c r="EJ52" s="4">
        <f t="shared" si="131"/>
        <v>46450</v>
      </c>
      <c r="EK52" s="8">
        <f t="shared" ca="1" si="54"/>
        <v>305</v>
      </c>
      <c r="EL52" s="5" t="str">
        <f t="shared" ca="1" si="55"/>
        <v>VIGENTE</v>
      </c>
      <c r="EM52" s="3"/>
      <c r="EN52" s="4">
        <v>45671</v>
      </c>
      <c r="EO52" s="4">
        <f>DATE(YEAR(EN52)+2,MONTH(EN52),DAY(EN52)-1)</f>
        <v>46400</v>
      </c>
      <c r="EP52" s="8">
        <f t="shared" ca="1" si="56"/>
        <v>255</v>
      </c>
      <c r="EQ52" s="5" t="str">
        <f t="shared" ca="1" si="57"/>
        <v>VIGENTE</v>
      </c>
      <c r="ER52" s="3"/>
      <c r="ES52" s="39">
        <v>45824</v>
      </c>
      <c r="ET52" s="4">
        <f>DATE(YEAR(ES52)+2,MONTH(ES52),DAY(ES52))</f>
        <v>46554</v>
      </c>
      <c r="EU52" s="8">
        <f t="shared" ca="1" si="58"/>
        <v>409</v>
      </c>
      <c r="EV52" s="5" t="str">
        <f t="shared" ca="1" si="59"/>
        <v>VIGENTE</v>
      </c>
      <c r="EW52" s="3"/>
      <c r="EX52" s="4">
        <v>45610</v>
      </c>
      <c r="EY52" s="4">
        <f>DATE(YEAR(EX52)+2,MONTH(EX52),DAY(EX52)-1)</f>
        <v>46339</v>
      </c>
      <c r="EZ52" s="8">
        <f t="shared" ca="1" si="60"/>
        <v>194</v>
      </c>
      <c r="FA52" s="5" t="str">
        <f t="shared" ca="1" si="61"/>
        <v>VIGENTE</v>
      </c>
      <c r="FB52" s="3"/>
      <c r="FC52" s="4">
        <v>45611</v>
      </c>
      <c r="FD52" s="4">
        <f>DATE(YEAR(FC52)+2,MONTH(FC52),DAY(FC52)-1)</f>
        <v>46340</v>
      </c>
      <c r="FE52" s="8">
        <f t="shared" ca="1" si="62"/>
        <v>195</v>
      </c>
      <c r="FF52" s="5" t="str">
        <f t="shared" ca="1" si="63"/>
        <v>VIGENTE</v>
      </c>
      <c r="FG52" s="3"/>
      <c r="FH52" s="4">
        <v>45668</v>
      </c>
      <c r="FI52" s="4">
        <f>DATE(YEAR(FH52)+2,MONTH(FH52),DAY(FH52)-1)</f>
        <v>46397</v>
      </c>
      <c r="FJ52" s="8">
        <f t="shared" ca="1" si="64"/>
        <v>252</v>
      </c>
      <c r="FK52" s="5" t="str">
        <f t="shared" ca="1" si="65"/>
        <v>VIGENTE</v>
      </c>
      <c r="FL52" s="3"/>
      <c r="FM52" s="39">
        <v>45738</v>
      </c>
      <c r="FN52" s="4">
        <f>DATE(YEAR(FM52)+2,MONTH(FM52),DAY(FM52)-1)</f>
        <v>46467</v>
      </c>
      <c r="FO52" s="8">
        <f t="shared" ca="1" si="67"/>
        <v>322</v>
      </c>
      <c r="FP52" s="5" t="str">
        <f t="shared" ca="1" si="68"/>
        <v>VIGENTE</v>
      </c>
      <c r="FQ52" s="3"/>
      <c r="FR52" s="39">
        <v>45664</v>
      </c>
      <c r="FS52" s="4">
        <f>DATE(YEAR(FR52)+2,MONTH(FR52),DAY(FR52)-1)</f>
        <v>46393</v>
      </c>
      <c r="FT52" s="8">
        <f t="shared" ca="1" si="69"/>
        <v>248</v>
      </c>
      <c r="FU52" s="5" t="str">
        <f t="shared" ca="1" si="70"/>
        <v>VIGENTE</v>
      </c>
      <c r="FV52" s="3"/>
      <c r="FW52" s="4">
        <v>45574</v>
      </c>
      <c r="FX52" s="4">
        <f>DATE(YEAR(FW52)+2,MONTH(FW52),DAY(FW52)-1)</f>
        <v>46303</v>
      </c>
      <c r="FY52" s="8">
        <f t="shared" ca="1" si="71"/>
        <v>158</v>
      </c>
      <c r="FZ52" s="5" t="str">
        <f t="shared" ca="1" si="72"/>
        <v>VIGENTE</v>
      </c>
      <c r="GA52" s="3"/>
      <c r="GB52" s="4">
        <v>45667</v>
      </c>
      <c r="GC52" s="4">
        <f>DATE(YEAR(GB52)+2,MONTH(GB52),DAY(GB52)-1)</f>
        <v>46396</v>
      </c>
      <c r="GD52" s="8">
        <f t="shared" ca="1" si="73"/>
        <v>251</v>
      </c>
      <c r="GE52" s="5" t="str">
        <f t="shared" ca="1" si="74"/>
        <v>VIGENTE</v>
      </c>
      <c r="GF52" s="3"/>
      <c r="GG52" s="4">
        <v>45579</v>
      </c>
      <c r="GH52" s="4">
        <f>DATE(YEAR(GG52)+2,MONTH(GG52),DAY(GG52)-1)</f>
        <v>46308</v>
      </c>
      <c r="GI52" s="8">
        <f t="shared" ca="1" si="75"/>
        <v>163</v>
      </c>
      <c r="GJ52" s="5" t="str">
        <f t="shared" ca="1" si="76"/>
        <v>VIGENTE</v>
      </c>
      <c r="GK52" s="3"/>
      <c r="GL52" s="4">
        <v>45687</v>
      </c>
      <c r="GM52" s="4">
        <f>DATE(YEAR(GL52)+2,MONTH(GL52),DAY(GL52)-1)</f>
        <v>46416</v>
      </c>
      <c r="GN52" s="8">
        <f t="shared" ca="1" si="77"/>
        <v>271</v>
      </c>
      <c r="GO52" s="5" t="str">
        <f t="shared" ca="1" si="78"/>
        <v>VIGENTE</v>
      </c>
      <c r="GP52" s="4"/>
      <c r="GQ52" s="4">
        <v>45136</v>
      </c>
      <c r="GR52" s="4">
        <f t="shared" si="79"/>
        <v>46963</v>
      </c>
      <c r="GS52" s="8">
        <f t="shared" ca="1" si="176"/>
        <v>818</v>
      </c>
      <c r="GT52" s="5" t="str">
        <f t="shared" ca="1" si="81"/>
        <v>VIGENTE</v>
      </c>
      <c r="GU52" s="3"/>
      <c r="GV52" s="4">
        <v>45010</v>
      </c>
      <c r="GW52" s="4">
        <f t="shared" si="82"/>
        <v>46837</v>
      </c>
      <c r="GX52" s="8">
        <f t="shared" ca="1" si="83"/>
        <v>692</v>
      </c>
      <c r="GY52" s="5" t="str">
        <f t="shared" ca="1" si="84"/>
        <v>VIGENTE</v>
      </c>
      <c r="GZ52" s="2"/>
      <c r="HA52" s="4">
        <v>45016</v>
      </c>
      <c r="HB52" s="4">
        <f t="shared" si="85"/>
        <v>46843</v>
      </c>
      <c r="HC52" s="8">
        <f t="shared" ca="1" si="86"/>
        <v>698</v>
      </c>
      <c r="HD52" s="5" t="str">
        <f t="shared" ca="1" si="87"/>
        <v>VIGENTE</v>
      </c>
      <c r="HE52" s="6"/>
      <c r="HF52" s="6"/>
      <c r="HG52" s="4"/>
      <c r="HH52" s="8"/>
      <c r="HI52" s="5" t="str">
        <f t="shared" si="224"/>
        <v>NO APLICA</v>
      </c>
      <c r="HJ52" s="2"/>
      <c r="HK52" s="6"/>
      <c r="HL52" s="4"/>
      <c r="HM52" s="8"/>
      <c r="HN52" s="5" t="str">
        <f t="shared" si="228"/>
        <v>NO APLICA</v>
      </c>
      <c r="HO52" s="2"/>
      <c r="HP52" s="2"/>
      <c r="HQ52" s="4"/>
      <c r="HR52" s="2"/>
      <c r="HS52" s="5" t="str">
        <f t="shared" si="92"/>
        <v>NO APLICA</v>
      </c>
      <c r="HT52" s="2"/>
      <c r="HU52" s="6"/>
      <c r="HV52" s="4"/>
      <c r="HW52" s="8"/>
      <c r="HX52" s="5" t="str">
        <f t="shared" si="93"/>
        <v>NO APLICA</v>
      </c>
      <c r="HY52" s="2"/>
      <c r="HZ52" s="6"/>
      <c r="IA52" s="4"/>
      <c r="IB52" s="8"/>
      <c r="IC52" s="5" t="str">
        <f t="shared" si="94"/>
        <v>NO APLICA</v>
      </c>
      <c r="ID52" s="2"/>
      <c r="IE52" s="6"/>
      <c r="IF52" s="4"/>
      <c r="IG52" s="8"/>
      <c r="IH52" s="5" t="str">
        <f t="shared" si="95"/>
        <v>NO APLICA</v>
      </c>
      <c r="II52" s="6"/>
      <c r="IJ52" s="6"/>
      <c r="IK52" s="4"/>
      <c r="IL52" s="8"/>
      <c r="IM52" s="5" t="str">
        <f t="shared" si="96"/>
        <v>NO APLICA</v>
      </c>
      <c r="IN52" s="2"/>
      <c r="IO52" s="6"/>
      <c r="IP52" s="4"/>
      <c r="IQ52" s="8"/>
      <c r="IR52" s="5" t="str">
        <f t="shared" si="97"/>
        <v>NO APLICA</v>
      </c>
      <c r="IS52" s="2"/>
      <c r="IT52" s="6"/>
      <c r="IU52" s="4"/>
      <c r="IV52" s="8"/>
      <c r="IW52" s="5" t="str">
        <f t="shared" si="98"/>
        <v>NO APLICA</v>
      </c>
      <c r="IX52" s="2"/>
      <c r="IY52" s="6"/>
      <c r="IZ52" s="4"/>
      <c r="JA52" s="8"/>
      <c r="JB52" s="5" t="str">
        <f t="shared" si="99"/>
        <v>NO APLICA</v>
      </c>
      <c r="JC52" s="3" t="s">
        <v>780</v>
      </c>
      <c r="JD52" s="3"/>
      <c r="JE52" s="4"/>
      <c r="JF52" s="8"/>
      <c r="JG52" s="5"/>
      <c r="JH52" s="3" t="s">
        <v>780</v>
      </c>
      <c r="JI52" s="6"/>
      <c r="JJ52" s="6"/>
      <c r="JK52" s="6"/>
      <c r="JL52" s="5"/>
      <c r="JM52" s="6" t="s">
        <v>780</v>
      </c>
      <c r="JN52" s="6"/>
      <c r="JO52" s="6"/>
      <c r="JP52" s="6"/>
      <c r="JQ52" s="5"/>
      <c r="JR52" s="6" t="s">
        <v>780</v>
      </c>
      <c r="JS52" s="6"/>
      <c r="JT52" s="6"/>
      <c r="JU52" s="6"/>
      <c r="JV52" s="5"/>
      <c r="JW52" s="6" t="s">
        <v>780</v>
      </c>
      <c r="JX52" s="5"/>
      <c r="JY52" s="5"/>
      <c r="JZ52" s="5"/>
      <c r="KA52" s="5"/>
      <c r="KB52" s="5"/>
      <c r="KC52" s="2"/>
      <c r="KD52" s="4"/>
      <c r="KE52" s="8"/>
      <c r="KF52" s="5" t="str">
        <f t="shared" si="135"/>
        <v>NO APLICA</v>
      </c>
      <c r="KG52" s="5"/>
      <c r="KH52" s="2"/>
      <c r="KI52" s="4"/>
      <c r="KJ52" s="8"/>
      <c r="KK52" s="5" t="str">
        <f t="shared" si="136"/>
        <v>NO APLICA</v>
      </c>
      <c r="KL52" s="5"/>
      <c r="KM52" s="2"/>
      <c r="KN52" s="4"/>
      <c r="KO52" s="8"/>
      <c r="KP52" s="5" t="str">
        <f t="shared" si="100"/>
        <v>NO APLICA</v>
      </c>
      <c r="KQ52" s="5"/>
      <c r="KR52" s="2"/>
      <c r="KS52" s="4"/>
      <c r="KT52" s="8"/>
      <c r="KU52" s="5" t="str">
        <f t="shared" si="137"/>
        <v>NO APLICA</v>
      </c>
      <c r="KV52" s="2"/>
      <c r="KW52" s="6"/>
      <c r="KX52" s="4"/>
      <c r="KY52" s="8"/>
      <c r="KZ52" s="5" t="str">
        <f t="shared" si="151"/>
        <v>NO APLICA</v>
      </c>
      <c r="LA52" s="5"/>
      <c r="LB52" s="6"/>
      <c r="LC52" s="4"/>
      <c r="LD52" s="8"/>
      <c r="LE52" s="5" t="str">
        <f t="shared" si="138"/>
        <v>NO APLICA</v>
      </c>
      <c r="LF52" s="6"/>
      <c r="LG52" s="6"/>
      <c r="LH52" s="4"/>
      <c r="LI52" s="8"/>
      <c r="LJ52" s="5" t="str">
        <f t="shared" si="101"/>
        <v>NO APLICA</v>
      </c>
      <c r="LK52" s="5"/>
      <c r="LL52" s="5"/>
      <c r="LM52" s="4"/>
      <c r="LN52" s="8"/>
      <c r="LO52" s="5" t="str">
        <f t="shared" si="152"/>
        <v>NO APLICA</v>
      </c>
      <c r="LP52" s="2"/>
      <c r="LQ52" s="6"/>
      <c r="LR52" s="4"/>
      <c r="LS52" s="8"/>
      <c r="LT52" s="5" t="str">
        <f t="shared" si="139"/>
        <v>NO APLICA</v>
      </c>
      <c r="LU52" s="6"/>
      <c r="LV52" s="6"/>
      <c r="LW52" s="4"/>
      <c r="LX52" s="8"/>
      <c r="LY52" s="5" t="str">
        <f t="shared" si="140"/>
        <v>NO APLICA</v>
      </c>
      <c r="LZ52" s="6"/>
      <c r="MA52" s="6"/>
      <c r="MB52" s="4"/>
      <c r="MC52" s="8"/>
      <c r="MD52" s="5" t="str">
        <f t="shared" si="141"/>
        <v>NO APLICA</v>
      </c>
      <c r="ME52" s="2"/>
      <c r="MF52" s="2"/>
      <c r="MG52" s="4"/>
      <c r="MH52" s="8"/>
      <c r="MI52" s="5" t="str">
        <f t="shared" si="102"/>
        <v>NO APLICA</v>
      </c>
      <c r="MJ52" s="2"/>
      <c r="MK52" s="2"/>
      <c r="ML52" s="4"/>
      <c r="MM52" s="8"/>
      <c r="MN52" s="5" t="str">
        <f t="shared" si="103"/>
        <v>NO APLICA</v>
      </c>
      <c r="MO52" s="5"/>
      <c r="MP52" s="2"/>
      <c r="MQ52" s="4"/>
      <c r="MR52" s="8"/>
      <c r="MS52" s="5" t="str">
        <f t="shared" si="104"/>
        <v>NO APLICA</v>
      </c>
      <c r="MT52" s="5"/>
      <c r="MU52" s="2"/>
      <c r="MV52" s="4"/>
      <c r="MW52" s="2"/>
      <c r="MX52" s="5" t="str">
        <f t="shared" si="105"/>
        <v>NO APLICA</v>
      </c>
      <c r="MY52" s="2"/>
      <c r="MZ52" s="6"/>
      <c r="NA52" s="4"/>
      <c r="NB52" s="8"/>
      <c r="NC52" s="5" t="str">
        <f t="shared" si="106"/>
        <v>NO APLICA</v>
      </c>
      <c r="ND52" s="2"/>
      <c r="NE52" s="6"/>
      <c r="NF52" s="4"/>
      <c r="NG52" s="8"/>
      <c r="NH52" s="5" t="str">
        <f t="shared" si="107"/>
        <v>NO APLICA</v>
      </c>
      <c r="NI52" s="2"/>
      <c r="NJ52" s="6"/>
      <c r="NK52" s="4"/>
      <c r="NL52" s="8"/>
      <c r="NM52" s="5" t="str">
        <f t="shared" si="108"/>
        <v>NO APLICA</v>
      </c>
      <c r="NN52" s="2"/>
      <c r="NO52" s="2"/>
      <c r="NP52" s="4"/>
      <c r="NQ52" s="8"/>
      <c r="NR52" s="5" t="str">
        <f t="shared" si="109"/>
        <v>NO APLICA</v>
      </c>
      <c r="NS52" s="2"/>
      <c r="NT52" s="2"/>
      <c r="NU52" s="4"/>
      <c r="NV52" s="2"/>
      <c r="NW52" s="5" t="str">
        <f t="shared" si="110"/>
        <v>NO APLICA</v>
      </c>
      <c r="NX52" s="6"/>
      <c r="NY52" s="6"/>
      <c r="NZ52" s="4"/>
      <c r="OA52" s="8"/>
      <c r="OB52" s="5" t="str">
        <f t="shared" si="111"/>
        <v>NO APLICA</v>
      </c>
      <c r="OC52" s="6"/>
      <c r="OD52" s="6"/>
      <c r="OE52" s="6"/>
      <c r="OF52" s="6"/>
      <c r="OG52" s="5" t="str">
        <f t="shared" si="112"/>
        <v>NO APLICA</v>
      </c>
      <c r="OH52" s="2"/>
      <c r="OI52" s="2"/>
      <c r="OJ52" s="4"/>
      <c r="OK52" s="8"/>
      <c r="OL52" s="5" t="str">
        <f t="shared" si="113"/>
        <v>NO APLICA</v>
      </c>
      <c r="OM52" s="6"/>
      <c r="ON52" s="6"/>
      <c r="OO52" s="6"/>
      <c r="OP52" s="6"/>
      <c r="OQ52" s="5" t="str">
        <f t="shared" si="114"/>
        <v>NO APLICA</v>
      </c>
      <c r="OR52" s="6"/>
      <c r="OS52" s="6"/>
      <c r="OT52" s="6"/>
      <c r="OU52" s="6"/>
      <c r="OV52" s="5" t="str">
        <f t="shared" si="115"/>
        <v>NO APLICA</v>
      </c>
      <c r="OW52" s="6"/>
      <c r="OX52" s="6"/>
      <c r="OY52" s="6"/>
      <c r="OZ52" s="6"/>
      <c r="PA52" s="5" t="str">
        <f t="shared" si="116"/>
        <v>NO APLICA</v>
      </c>
      <c r="PB52" s="6"/>
      <c r="PC52" s="6"/>
      <c r="PD52" s="6"/>
      <c r="PE52" s="6"/>
      <c r="PF52" s="5" t="str">
        <f t="shared" si="117"/>
        <v>NO APLICA</v>
      </c>
      <c r="PG52" s="6"/>
      <c r="PH52" s="6"/>
      <c r="PI52" s="6"/>
      <c r="PJ52" s="6"/>
      <c r="PK52" s="5" t="str">
        <f t="shared" si="118"/>
        <v>NO APLICA</v>
      </c>
      <c r="PL52" s="5"/>
      <c r="PM52" s="6"/>
      <c r="PN52" s="4"/>
      <c r="PO52" s="8"/>
      <c r="PP52" s="5" t="str">
        <f t="shared" si="119"/>
        <v>NO APLICA</v>
      </c>
      <c r="PQ52" s="6"/>
      <c r="PR52" s="6"/>
      <c r="PS52" s="6"/>
      <c r="PT52" s="6"/>
      <c r="PU52" s="5" t="str">
        <f t="shared" si="120"/>
        <v>NO APLICA</v>
      </c>
      <c r="PV52" s="5"/>
      <c r="PW52" s="6"/>
      <c r="PX52" s="6"/>
      <c r="PY52" s="6"/>
      <c r="PZ52" s="5" t="str">
        <f t="shared" si="121"/>
        <v>NO APLICA</v>
      </c>
    </row>
    <row r="53" spans="1:442" ht="15.6" hidden="1" thickTop="1" thickBot="1" x14ac:dyDescent="0.35">
      <c r="A53" s="26">
        <v>50</v>
      </c>
      <c r="B53" s="27">
        <v>1012</v>
      </c>
      <c r="C53" s="28" t="s">
        <v>222</v>
      </c>
      <c r="D53" s="29" t="s">
        <v>113</v>
      </c>
      <c r="E53" s="30" t="s">
        <v>126</v>
      </c>
      <c r="F53" s="3"/>
      <c r="G53" s="4">
        <v>46060</v>
      </c>
      <c r="H53" s="4">
        <f>DATE(YEAR(G53)+2,MONTH(G53),DAY(G53))</f>
        <v>46790</v>
      </c>
      <c r="I53" s="8">
        <f ca="1">H53-TODAY()</f>
        <v>645</v>
      </c>
      <c r="J53" s="5" t="str">
        <f t="shared" ca="1" si="0"/>
        <v>VIGENTE</v>
      </c>
      <c r="K53" s="5"/>
      <c r="L53" s="6"/>
      <c r="M53" s="6"/>
      <c r="N53" s="8"/>
      <c r="O53" s="5" t="str">
        <f t="shared" si="1"/>
        <v>NO APLICA</v>
      </c>
      <c r="P53" s="6"/>
      <c r="Q53" s="6"/>
      <c r="R53" s="4"/>
      <c r="S53" s="8"/>
      <c r="T53" s="5" t="str">
        <f t="shared" si="122"/>
        <v>NO APLICA</v>
      </c>
      <c r="U53" s="5"/>
      <c r="V53" s="2" t="s">
        <v>223</v>
      </c>
      <c r="W53" s="4">
        <v>45426</v>
      </c>
      <c r="X53" s="4">
        <f t="shared" si="2"/>
        <v>47252</v>
      </c>
      <c r="Y53" s="8">
        <f t="shared" ca="1" si="3"/>
        <v>1107</v>
      </c>
      <c r="Z53" s="5" t="str">
        <f t="shared" ca="1" si="4"/>
        <v>VIGENTE</v>
      </c>
      <c r="AA53" s="5"/>
      <c r="AB53" s="2"/>
      <c r="AC53" s="6"/>
      <c r="AD53" s="4"/>
      <c r="AE53" s="8"/>
      <c r="AF53" s="5" t="str">
        <f t="shared" si="7"/>
        <v>NO APLICA</v>
      </c>
      <c r="AG53" s="3"/>
      <c r="AH53" s="4">
        <v>45902</v>
      </c>
      <c r="AI53" s="4">
        <f>DATE(YEAR(AH53)+2,MONTH(AH53),DAY(AH53))</f>
        <v>46632</v>
      </c>
      <c r="AJ53" s="8">
        <f t="shared" ca="1" si="8"/>
        <v>487</v>
      </c>
      <c r="AK53" s="5" t="str">
        <f t="shared" ca="1" si="219"/>
        <v>VIGENTE</v>
      </c>
      <c r="AL53" s="3"/>
      <c r="AM53" s="4">
        <v>45937</v>
      </c>
      <c r="AN53" s="4">
        <f>DATE(YEAR(AM53)+2,MONTH(AM53),DAY(AM53))</f>
        <v>46667</v>
      </c>
      <c r="AO53" s="8">
        <f t="shared" ca="1" si="10"/>
        <v>522</v>
      </c>
      <c r="AP53" s="5" t="str">
        <f t="shared" ca="1" si="11"/>
        <v>VIGENTE</v>
      </c>
      <c r="AQ53" s="3"/>
      <c r="AR53" s="4">
        <v>45904</v>
      </c>
      <c r="AS53" s="4">
        <f>DATE(YEAR(AR53)+2,MONTH(AR53),DAY(AR53))</f>
        <v>46634</v>
      </c>
      <c r="AT53" s="8">
        <f t="shared" ca="1" si="12"/>
        <v>489</v>
      </c>
      <c r="AU53" s="5" t="str">
        <f t="shared" ca="1" si="13"/>
        <v>VIGENTE</v>
      </c>
      <c r="AV53" s="3"/>
      <c r="AW53" s="4">
        <v>45975</v>
      </c>
      <c r="AX53" s="4">
        <f>DATE(YEAR(AW53)+2,MONTH(AW53),DAY(AW53))</f>
        <v>46705</v>
      </c>
      <c r="AY53" s="8">
        <f t="shared" ca="1" si="15"/>
        <v>560</v>
      </c>
      <c r="AZ53" s="5" t="str">
        <f t="shared" ca="1" si="16"/>
        <v>VIGENTE</v>
      </c>
      <c r="BA53" s="3"/>
      <c r="BB53" s="4">
        <v>45742</v>
      </c>
      <c r="BC53" s="4">
        <f>DATE(YEAR(BB53)+2,MONTH(BB53),DAY(BB53)-1)</f>
        <v>46471</v>
      </c>
      <c r="BD53" s="8">
        <f t="shared" ca="1" si="17"/>
        <v>326</v>
      </c>
      <c r="BE53" s="5" t="str">
        <f t="shared" ca="1" si="18"/>
        <v>VIGENTE</v>
      </c>
      <c r="BF53" s="3"/>
      <c r="BG53" s="4">
        <v>45698</v>
      </c>
      <c r="BH53" s="4">
        <f>DATE(YEAR(BG53)+2,MONTH(BG53),DAY(BG53)-1)</f>
        <v>46427</v>
      </c>
      <c r="BI53" s="8">
        <f t="shared" ca="1" si="19"/>
        <v>282</v>
      </c>
      <c r="BJ53" s="5" t="str">
        <f t="shared" ca="1" si="20"/>
        <v>VIGENTE</v>
      </c>
      <c r="BK53" s="3"/>
      <c r="BL53" s="4">
        <v>45570</v>
      </c>
      <c r="BM53" s="4">
        <f>DATE(YEAR(BL53)+2,MONTH(BL53),DAY(BL53)-1)</f>
        <v>46299</v>
      </c>
      <c r="BN53" s="8">
        <f t="shared" ca="1" si="21"/>
        <v>154</v>
      </c>
      <c r="BO53" s="5" t="str">
        <f t="shared" ca="1" si="22"/>
        <v>VIGENTE</v>
      </c>
      <c r="BP53" s="3"/>
      <c r="BQ53" s="39">
        <v>45621</v>
      </c>
      <c r="BR53" s="4">
        <f>DATE(YEAR(BQ53)+2,MONTH(BQ53),DAY(BQ53)-1)</f>
        <v>46350</v>
      </c>
      <c r="BS53" s="8">
        <f t="shared" ca="1" si="23"/>
        <v>205</v>
      </c>
      <c r="BT53" s="5" t="str">
        <f t="shared" ca="1" si="24"/>
        <v>VIGENTE</v>
      </c>
      <c r="BU53" s="3"/>
      <c r="BV53" s="4">
        <v>45572</v>
      </c>
      <c r="BW53" s="4">
        <f>DATE(YEAR(BV53)+2,MONTH(BV53),DAY(BV53)-1)</f>
        <v>46301</v>
      </c>
      <c r="BX53" s="8">
        <f t="shared" ca="1" si="25"/>
        <v>156</v>
      </c>
      <c r="BY53" s="5" t="str">
        <f t="shared" ca="1" si="26"/>
        <v>VIGENTE</v>
      </c>
      <c r="BZ53" s="3"/>
      <c r="CA53" s="4">
        <v>45944</v>
      </c>
      <c r="CB53" s="4">
        <f>DATE(YEAR(CA53)+2,MONTH(CA53),DAY(CA53))</f>
        <v>46674</v>
      </c>
      <c r="CC53" s="8">
        <f t="shared" ca="1" si="27"/>
        <v>529</v>
      </c>
      <c r="CD53" s="5" t="str">
        <f t="shared" ca="1" si="28"/>
        <v>VIGENTE</v>
      </c>
      <c r="CE53" s="6"/>
      <c r="CF53" s="4">
        <v>45616</v>
      </c>
      <c r="CG53" s="4">
        <f t="shared" si="29"/>
        <v>47077</v>
      </c>
      <c r="CH53" s="8">
        <f t="shared" ca="1" si="30"/>
        <v>932</v>
      </c>
      <c r="CI53" s="5" t="str">
        <f t="shared" ca="1" si="31"/>
        <v>VIGENTE</v>
      </c>
      <c r="CJ53" s="4"/>
      <c r="CK53" s="4">
        <v>45688</v>
      </c>
      <c r="CL53" s="4">
        <f t="shared" si="226"/>
        <v>46417</v>
      </c>
      <c r="CM53" s="8">
        <f t="shared" ca="1" si="32"/>
        <v>272</v>
      </c>
      <c r="CN53" s="5" t="str">
        <f t="shared" ca="1" si="33"/>
        <v>VIGENTE</v>
      </c>
      <c r="CO53" s="3"/>
      <c r="CP53" s="39">
        <v>45684</v>
      </c>
      <c r="CQ53" s="4">
        <f>DATE(YEAR(CP53)+2,MONTH(CP53),DAY(CP53)-1)</f>
        <v>46413</v>
      </c>
      <c r="CR53" s="8">
        <f t="shared" ca="1" si="34"/>
        <v>268</v>
      </c>
      <c r="CS53" s="5" t="str">
        <f t="shared" ca="1" si="35"/>
        <v>VIGENTE</v>
      </c>
      <c r="CT53" s="3"/>
      <c r="CU53" s="4">
        <v>45965</v>
      </c>
      <c r="CV53" s="4">
        <f>DATE(YEAR(CU53)+2,MONTH(CU53),DAY(CU53))</f>
        <v>46695</v>
      </c>
      <c r="CW53" s="8">
        <f t="shared" ca="1" si="36"/>
        <v>550</v>
      </c>
      <c r="CX53" s="5" t="str">
        <f t="shared" ca="1" si="37"/>
        <v>VIGENTE</v>
      </c>
      <c r="CY53" s="3"/>
      <c r="CZ53" s="4">
        <v>46000</v>
      </c>
      <c r="DA53" s="4">
        <f>DATE(YEAR(CZ53)+2,MONTH(CZ53),DAY(CZ53))</f>
        <v>46730</v>
      </c>
      <c r="DB53" s="8">
        <f t="shared" ca="1" si="38"/>
        <v>585</v>
      </c>
      <c r="DC53" s="5" t="str">
        <f t="shared" ca="1" si="39"/>
        <v>VIGENTE</v>
      </c>
      <c r="DD53" s="3"/>
      <c r="DE53" s="39">
        <v>45689</v>
      </c>
      <c r="DF53" s="4">
        <f t="shared" si="227"/>
        <v>46418</v>
      </c>
      <c r="DG53" s="8">
        <f t="shared" ca="1" si="40"/>
        <v>273</v>
      </c>
      <c r="DH53" s="5" t="str">
        <f t="shared" ca="1" si="41"/>
        <v>VIGENTE</v>
      </c>
      <c r="DI53" s="3"/>
      <c r="DJ53" s="39">
        <v>45899</v>
      </c>
      <c r="DK53" s="4">
        <f t="shared" si="225"/>
        <v>46629</v>
      </c>
      <c r="DL53" s="8">
        <f t="shared" ca="1" si="43"/>
        <v>484</v>
      </c>
      <c r="DM53" s="5" t="str">
        <f t="shared" ca="1" si="44"/>
        <v>VIGENTE</v>
      </c>
      <c r="DN53" s="3"/>
      <c r="DO53" s="4">
        <v>46088</v>
      </c>
      <c r="DP53" s="4">
        <f>DATE(YEAR(DO53)+2,MONTH(DO53),DAY(DO53))</f>
        <v>46819</v>
      </c>
      <c r="DQ53" s="8">
        <f t="shared" ca="1" si="46"/>
        <v>674</v>
      </c>
      <c r="DR53" s="5" t="str">
        <f t="shared" ca="1" si="47"/>
        <v>VIGENTE</v>
      </c>
      <c r="DS53" s="3"/>
      <c r="DT53" s="4">
        <v>45685</v>
      </c>
      <c r="DU53" s="4">
        <f>DATE(YEAR(DT53)+2,MONTH(DT53),DAY(DT53)-1)</f>
        <v>46414</v>
      </c>
      <c r="DV53" s="8">
        <f t="shared" ca="1" si="48"/>
        <v>269</v>
      </c>
      <c r="DW53" s="5" t="str">
        <f t="shared" ca="1" si="49"/>
        <v>VIGENTE</v>
      </c>
      <c r="DX53" s="3"/>
      <c r="DY53" s="4">
        <v>45682</v>
      </c>
      <c r="DZ53" s="4">
        <f>DATE(YEAR(DY53)+2,MONTH(DY53),DAY(DY53)-1)</f>
        <v>46411</v>
      </c>
      <c r="EA53" s="8">
        <f t="shared" ca="1" si="50"/>
        <v>266</v>
      </c>
      <c r="EB53" s="5" t="str">
        <f t="shared" ca="1" si="51"/>
        <v>VIGENTE</v>
      </c>
      <c r="EC53" s="3"/>
      <c r="ED53" s="39">
        <v>45674</v>
      </c>
      <c r="EE53" s="4">
        <f>DATE(YEAR(ED53)+2,MONTH(ED53),DAY(ED53)-1)</f>
        <v>46403</v>
      </c>
      <c r="EF53" s="8">
        <f t="shared" ca="1" si="52"/>
        <v>258</v>
      </c>
      <c r="EG53" s="5" t="str">
        <f t="shared" ca="1" si="53"/>
        <v>VIGENTE</v>
      </c>
      <c r="EH53" s="3"/>
      <c r="EI53" s="3">
        <v>46107</v>
      </c>
      <c r="EJ53" s="4">
        <f t="shared" si="131"/>
        <v>46472</v>
      </c>
      <c r="EK53" s="8">
        <f t="shared" ca="1" si="54"/>
        <v>327</v>
      </c>
      <c r="EL53" s="5" t="str">
        <f t="shared" ca="1" si="55"/>
        <v>VIGENTE</v>
      </c>
      <c r="EM53" s="3"/>
      <c r="EN53" s="4">
        <v>45705</v>
      </c>
      <c r="EO53" s="4">
        <f>DATE(YEAR(EN53)+2,MONTH(EN53),DAY(EN53)-1)</f>
        <v>46434</v>
      </c>
      <c r="EP53" s="8">
        <f t="shared" ca="1" si="56"/>
        <v>289</v>
      </c>
      <c r="EQ53" s="5" t="str">
        <f t="shared" ca="1" si="57"/>
        <v>VIGENTE</v>
      </c>
      <c r="ER53" s="3"/>
      <c r="ES53" s="39">
        <v>45677</v>
      </c>
      <c r="ET53" s="4">
        <f>DATE(YEAR(ES53)+2,MONTH(ES53),DAY(ES53)-1)</f>
        <v>46406</v>
      </c>
      <c r="EU53" s="8">
        <f t="shared" ca="1" si="58"/>
        <v>261</v>
      </c>
      <c r="EV53" s="5" t="str">
        <f t="shared" ca="1" si="59"/>
        <v>VIGENTE</v>
      </c>
      <c r="EW53" s="3"/>
      <c r="EX53" s="4">
        <v>46010</v>
      </c>
      <c r="EY53" s="4">
        <f>DATE(YEAR(EX53)+2,MONTH(EX53),DAY(EX53))</f>
        <v>46740</v>
      </c>
      <c r="EZ53" s="8">
        <f t="shared" ca="1" si="60"/>
        <v>595</v>
      </c>
      <c r="FA53" s="5" t="str">
        <f t="shared" ca="1" si="61"/>
        <v>VIGENTE</v>
      </c>
      <c r="FB53" s="3"/>
      <c r="FC53" s="4">
        <v>45931</v>
      </c>
      <c r="FD53" s="4">
        <f>DATE(YEAR(FC53)+2,MONTH(FC53),DAY(FC53))</f>
        <v>46661</v>
      </c>
      <c r="FE53" s="8">
        <f t="shared" ca="1" si="62"/>
        <v>516</v>
      </c>
      <c r="FF53" s="5" t="str">
        <f t="shared" ca="1" si="63"/>
        <v>VIGENTE</v>
      </c>
      <c r="FG53" s="3"/>
      <c r="FH53" s="4">
        <v>45919</v>
      </c>
      <c r="FI53" s="4">
        <f>DATE(YEAR(FH53)+2,MONTH(FH53),DAY(FH53))</f>
        <v>46649</v>
      </c>
      <c r="FJ53" s="8">
        <f t="shared" ca="1" si="64"/>
        <v>504</v>
      </c>
      <c r="FK53" s="5" t="str">
        <f t="shared" ca="1" si="65"/>
        <v>VIGENTE</v>
      </c>
      <c r="FL53" s="3"/>
      <c r="FM53" s="39">
        <v>45576</v>
      </c>
      <c r="FN53" s="4">
        <f>DATE(YEAR(FM53)+2,MONTH(FM53),DAY(FM53)-1)</f>
        <v>46305</v>
      </c>
      <c r="FO53" s="8">
        <f t="shared" ca="1" si="67"/>
        <v>160</v>
      </c>
      <c r="FP53" s="5" t="str">
        <f t="shared" ca="1" si="68"/>
        <v>VIGENTE</v>
      </c>
      <c r="FQ53" s="3"/>
      <c r="FR53" s="39">
        <v>45747</v>
      </c>
      <c r="FS53" s="4">
        <f>DATE(YEAR(FR53)+2,MONTH(FR53),DAY(FR53)-1)</f>
        <v>46476</v>
      </c>
      <c r="FT53" s="8">
        <f t="shared" ca="1" si="69"/>
        <v>331</v>
      </c>
      <c r="FU53" s="5" t="str">
        <f t="shared" ca="1" si="70"/>
        <v>VIGENTE</v>
      </c>
      <c r="FV53" s="3"/>
      <c r="FW53" s="4">
        <v>45941</v>
      </c>
      <c r="FX53" s="4">
        <f>DATE(YEAR(FW53)+2,MONTH(FW53),DAY(FW53))</f>
        <v>46671</v>
      </c>
      <c r="FY53" s="8">
        <f t="shared" ca="1" si="71"/>
        <v>526</v>
      </c>
      <c r="FZ53" s="5" t="str">
        <f t="shared" ca="1" si="72"/>
        <v>VIGENTE</v>
      </c>
      <c r="GA53" s="3"/>
      <c r="GB53" s="4">
        <v>45667</v>
      </c>
      <c r="GC53" s="4">
        <f>DATE(YEAR(GB53)+2,MONTH(GB53),DAY(GB53)-1)</f>
        <v>46396</v>
      </c>
      <c r="GD53" s="8">
        <f t="shared" ca="1" si="73"/>
        <v>251</v>
      </c>
      <c r="GE53" s="5" t="str">
        <f t="shared" ca="1" si="74"/>
        <v>VIGENTE</v>
      </c>
      <c r="GF53" s="3"/>
      <c r="GG53" s="4">
        <v>45731</v>
      </c>
      <c r="GH53" s="4">
        <f>DATE(YEAR(GG53)+2,MONTH(GG53),DAY(GG53)-1)</f>
        <v>46460</v>
      </c>
      <c r="GI53" s="8">
        <f t="shared" ca="1" si="75"/>
        <v>315</v>
      </c>
      <c r="GJ53" s="5" t="str">
        <f t="shared" ca="1" si="76"/>
        <v>VIGENTE</v>
      </c>
      <c r="GK53" s="3"/>
      <c r="GL53" s="4">
        <v>45687</v>
      </c>
      <c r="GM53" s="4">
        <f>DATE(YEAR(GL53)+2,MONTH(GL53),DAY(GL53)-1)</f>
        <v>46416</v>
      </c>
      <c r="GN53" s="8">
        <f t="shared" ca="1" si="77"/>
        <v>271</v>
      </c>
      <c r="GO53" s="5" t="str">
        <f t="shared" ca="1" si="78"/>
        <v>VIGENTE</v>
      </c>
      <c r="GP53" s="4"/>
      <c r="GQ53" s="4">
        <v>45072</v>
      </c>
      <c r="GR53" s="4">
        <f t="shared" si="79"/>
        <v>46899</v>
      </c>
      <c r="GS53" s="8">
        <f t="shared" ca="1" si="176"/>
        <v>754</v>
      </c>
      <c r="GT53" s="5" t="str">
        <f t="shared" ca="1" si="81"/>
        <v>VIGENTE</v>
      </c>
      <c r="GU53" s="3"/>
      <c r="GV53" s="4">
        <v>45006</v>
      </c>
      <c r="GW53" s="4">
        <f t="shared" si="82"/>
        <v>46833</v>
      </c>
      <c r="GX53" s="8">
        <f t="shared" ca="1" si="83"/>
        <v>688</v>
      </c>
      <c r="GY53" s="5" t="str">
        <f t="shared" ca="1" si="84"/>
        <v>VIGENTE</v>
      </c>
      <c r="GZ53" s="2"/>
      <c r="HA53" s="4">
        <v>45003</v>
      </c>
      <c r="HB53" s="4">
        <f t="shared" si="85"/>
        <v>46830</v>
      </c>
      <c r="HC53" s="8">
        <f t="shared" ca="1" si="86"/>
        <v>685</v>
      </c>
      <c r="HD53" s="5" t="str">
        <f t="shared" ca="1" si="87"/>
        <v>VIGENTE</v>
      </c>
      <c r="HE53" s="6"/>
      <c r="HF53" s="6"/>
      <c r="HG53" s="4"/>
      <c r="HH53" s="8"/>
      <c r="HI53" s="5" t="str">
        <f t="shared" si="224"/>
        <v>NO APLICA</v>
      </c>
      <c r="HJ53" s="2"/>
      <c r="HK53" s="6"/>
      <c r="HL53" s="4"/>
      <c r="HM53" s="8"/>
      <c r="HN53" s="5" t="str">
        <f t="shared" si="228"/>
        <v>NO APLICA</v>
      </c>
      <c r="HO53" s="2"/>
      <c r="HP53" s="2"/>
      <c r="HQ53" s="4"/>
      <c r="HR53" s="2"/>
      <c r="HS53" s="5" t="str">
        <f t="shared" si="92"/>
        <v>NO APLICA</v>
      </c>
      <c r="HT53" s="2"/>
      <c r="HU53" s="6"/>
      <c r="HV53" s="4"/>
      <c r="HW53" s="8"/>
      <c r="HX53" s="5" t="str">
        <f t="shared" si="93"/>
        <v>NO APLICA</v>
      </c>
      <c r="HY53" s="2"/>
      <c r="HZ53" s="6"/>
      <c r="IA53" s="4"/>
      <c r="IB53" s="8"/>
      <c r="IC53" s="5" t="str">
        <f t="shared" si="94"/>
        <v>NO APLICA</v>
      </c>
      <c r="ID53" s="2"/>
      <c r="IE53" s="6"/>
      <c r="IF53" s="4"/>
      <c r="IG53" s="8"/>
      <c r="IH53" s="5" t="str">
        <f t="shared" si="95"/>
        <v>NO APLICA</v>
      </c>
      <c r="II53" s="6"/>
      <c r="IJ53" s="6"/>
      <c r="IK53" s="4"/>
      <c r="IL53" s="8"/>
      <c r="IM53" s="5" t="str">
        <f t="shared" si="96"/>
        <v>NO APLICA</v>
      </c>
      <c r="IN53" s="2"/>
      <c r="IO53" s="6"/>
      <c r="IP53" s="4"/>
      <c r="IQ53" s="8"/>
      <c r="IR53" s="5" t="str">
        <f t="shared" si="97"/>
        <v>NO APLICA</v>
      </c>
      <c r="IS53" s="2"/>
      <c r="IT53" s="6"/>
      <c r="IU53" s="4"/>
      <c r="IV53" s="8"/>
      <c r="IW53" s="5" t="str">
        <f t="shared" si="98"/>
        <v>NO APLICA</v>
      </c>
      <c r="IX53" s="2"/>
      <c r="IY53" s="6"/>
      <c r="IZ53" s="4"/>
      <c r="JA53" s="8"/>
      <c r="JB53" s="5" t="str">
        <f t="shared" si="99"/>
        <v>NO APLICA</v>
      </c>
      <c r="JC53" s="3" t="s">
        <v>780</v>
      </c>
      <c r="JD53" s="3"/>
      <c r="JE53" s="4"/>
      <c r="JF53" s="8"/>
      <c r="JG53" s="5"/>
      <c r="JH53" s="3" t="s">
        <v>780</v>
      </c>
      <c r="JI53" s="6"/>
      <c r="JJ53" s="6"/>
      <c r="JK53" s="6"/>
      <c r="JL53" s="5"/>
      <c r="JM53" s="6" t="s">
        <v>780</v>
      </c>
      <c r="JN53" s="6"/>
      <c r="JO53" s="6"/>
      <c r="JP53" s="6"/>
      <c r="JQ53" s="5"/>
      <c r="JR53" s="6" t="s">
        <v>780</v>
      </c>
      <c r="JS53" s="6"/>
      <c r="JT53" s="6"/>
      <c r="JU53" s="6"/>
      <c r="JV53" s="5"/>
      <c r="JW53" s="6" t="s">
        <v>780</v>
      </c>
      <c r="JX53" s="3"/>
      <c r="JY53" s="4"/>
      <c r="JZ53" s="8"/>
      <c r="KA53" s="5"/>
      <c r="KB53" s="5"/>
      <c r="KC53" s="2"/>
      <c r="KD53" s="4"/>
      <c r="KE53" s="8"/>
      <c r="KF53" s="5" t="str">
        <f t="shared" si="135"/>
        <v>NO APLICA</v>
      </c>
      <c r="KG53" s="5"/>
      <c r="KH53" s="2"/>
      <c r="KI53" s="4"/>
      <c r="KJ53" s="8"/>
      <c r="KK53" s="5" t="str">
        <f t="shared" si="136"/>
        <v>NO APLICA</v>
      </c>
      <c r="KL53" s="5"/>
      <c r="KM53" s="2"/>
      <c r="KN53" s="4"/>
      <c r="KO53" s="8"/>
      <c r="KP53" s="5" t="str">
        <f t="shared" si="100"/>
        <v>NO APLICA</v>
      </c>
      <c r="KQ53" s="5"/>
      <c r="KR53" s="2"/>
      <c r="KS53" s="4"/>
      <c r="KT53" s="8"/>
      <c r="KU53" s="5" t="str">
        <f t="shared" si="137"/>
        <v>NO APLICA</v>
      </c>
      <c r="KV53" s="2"/>
      <c r="KW53" s="6"/>
      <c r="KX53" s="4"/>
      <c r="KY53" s="8"/>
      <c r="KZ53" s="5" t="str">
        <f t="shared" si="151"/>
        <v>NO APLICA</v>
      </c>
      <c r="LA53" s="5"/>
      <c r="LB53" s="6"/>
      <c r="LC53" s="4"/>
      <c r="LD53" s="8"/>
      <c r="LE53" s="5" t="str">
        <f t="shared" si="138"/>
        <v>NO APLICA</v>
      </c>
      <c r="LF53" s="6"/>
      <c r="LG53" s="6"/>
      <c r="LH53" s="4"/>
      <c r="LI53" s="8"/>
      <c r="LJ53" s="5" t="str">
        <f t="shared" si="101"/>
        <v>NO APLICA</v>
      </c>
      <c r="LK53" s="5"/>
      <c r="LL53" s="5"/>
      <c r="LM53" s="5"/>
      <c r="LN53" s="5"/>
      <c r="LO53" s="5" t="str">
        <f t="shared" si="152"/>
        <v>NO APLICA</v>
      </c>
      <c r="LP53" s="2"/>
      <c r="LQ53" s="6"/>
      <c r="LR53" s="4"/>
      <c r="LS53" s="8"/>
      <c r="LT53" s="5" t="str">
        <f t="shared" si="139"/>
        <v>NO APLICA</v>
      </c>
      <c r="LU53" s="6"/>
      <c r="LV53" s="6"/>
      <c r="LW53" s="4"/>
      <c r="LX53" s="8"/>
      <c r="LY53" s="5" t="str">
        <f t="shared" si="140"/>
        <v>NO APLICA</v>
      </c>
      <c r="LZ53" s="6"/>
      <c r="MA53" s="6"/>
      <c r="MB53" s="4"/>
      <c r="MC53" s="8"/>
      <c r="MD53" s="5" t="str">
        <f t="shared" si="141"/>
        <v>NO APLICA</v>
      </c>
      <c r="ME53" s="2"/>
      <c r="MF53" s="2"/>
      <c r="MG53" s="4"/>
      <c r="MH53" s="8"/>
      <c r="MI53" s="5" t="str">
        <f t="shared" si="102"/>
        <v>NO APLICA</v>
      </c>
      <c r="MJ53" s="2"/>
      <c r="MK53" s="2"/>
      <c r="ML53" s="4"/>
      <c r="MM53" s="8"/>
      <c r="MN53" s="5" t="str">
        <f t="shared" si="103"/>
        <v>NO APLICA</v>
      </c>
      <c r="MO53" s="5"/>
      <c r="MP53" s="2"/>
      <c r="MQ53" s="4"/>
      <c r="MR53" s="8"/>
      <c r="MS53" s="5" t="str">
        <f t="shared" si="104"/>
        <v>NO APLICA</v>
      </c>
      <c r="MT53" s="5"/>
      <c r="MU53" s="2"/>
      <c r="MV53" s="4"/>
      <c r="MW53" s="2"/>
      <c r="MX53" s="5" t="str">
        <f t="shared" si="105"/>
        <v>NO APLICA</v>
      </c>
      <c r="MY53" s="2"/>
      <c r="MZ53" s="6"/>
      <c r="NA53" s="4"/>
      <c r="NB53" s="8"/>
      <c r="NC53" s="5" t="str">
        <f t="shared" si="106"/>
        <v>NO APLICA</v>
      </c>
      <c r="ND53" s="2"/>
      <c r="NE53" s="6"/>
      <c r="NF53" s="4"/>
      <c r="NG53" s="8"/>
      <c r="NH53" s="5" t="str">
        <f t="shared" si="107"/>
        <v>NO APLICA</v>
      </c>
      <c r="NI53" s="2"/>
      <c r="NJ53" s="6"/>
      <c r="NK53" s="4"/>
      <c r="NL53" s="8"/>
      <c r="NM53" s="5" t="str">
        <f t="shared" si="108"/>
        <v>NO APLICA</v>
      </c>
      <c r="NN53" s="2"/>
      <c r="NO53" s="2"/>
      <c r="NP53" s="4"/>
      <c r="NQ53" s="2"/>
      <c r="NR53" s="5" t="str">
        <f t="shared" si="109"/>
        <v>NO APLICA</v>
      </c>
      <c r="NS53" s="2"/>
      <c r="NT53" s="2"/>
      <c r="NU53" s="2"/>
      <c r="NV53" s="2"/>
      <c r="NW53" s="5" t="str">
        <f t="shared" si="110"/>
        <v>NO APLICA</v>
      </c>
      <c r="NX53" s="6"/>
      <c r="NY53" s="6"/>
      <c r="NZ53" s="4"/>
      <c r="OA53" s="8"/>
      <c r="OB53" s="5" t="str">
        <f t="shared" si="111"/>
        <v>NO APLICA</v>
      </c>
      <c r="OC53" s="6"/>
      <c r="OD53" s="6"/>
      <c r="OE53" s="6"/>
      <c r="OF53" s="6"/>
      <c r="OG53" s="5" t="str">
        <f t="shared" si="112"/>
        <v>NO APLICA</v>
      </c>
      <c r="OH53" s="6"/>
      <c r="OI53" s="6"/>
      <c r="OJ53" s="4"/>
      <c r="OK53" s="8"/>
      <c r="OL53" s="5" t="str">
        <f t="shared" si="113"/>
        <v>NO APLICA</v>
      </c>
      <c r="OM53" s="6"/>
      <c r="ON53" s="6"/>
      <c r="OO53" s="6"/>
      <c r="OP53" s="6"/>
      <c r="OQ53" s="5" t="str">
        <f t="shared" si="114"/>
        <v>NO APLICA</v>
      </c>
      <c r="OR53" s="6"/>
      <c r="OS53" s="6"/>
      <c r="OT53" s="6"/>
      <c r="OU53" s="6"/>
      <c r="OV53" s="5" t="str">
        <f t="shared" si="115"/>
        <v>NO APLICA</v>
      </c>
      <c r="OW53" s="6"/>
      <c r="OX53" s="6"/>
      <c r="OY53" s="6"/>
      <c r="OZ53" s="6"/>
      <c r="PA53" s="5" t="str">
        <f t="shared" si="116"/>
        <v>NO APLICA</v>
      </c>
      <c r="PB53" s="6"/>
      <c r="PC53" s="6"/>
      <c r="PD53" s="6"/>
      <c r="PE53" s="6"/>
      <c r="PF53" s="5" t="str">
        <f t="shared" si="117"/>
        <v>NO APLICA</v>
      </c>
      <c r="PG53" s="6"/>
      <c r="PH53" s="6"/>
      <c r="PI53" s="6"/>
      <c r="PJ53" s="6"/>
      <c r="PK53" s="5" t="str">
        <f t="shared" si="118"/>
        <v>NO APLICA</v>
      </c>
      <c r="PL53" s="5"/>
      <c r="PM53" s="6"/>
      <c r="PN53" s="4"/>
      <c r="PO53" s="8"/>
      <c r="PP53" s="5" t="str">
        <f t="shared" si="119"/>
        <v>NO APLICA</v>
      </c>
      <c r="PQ53" s="6"/>
      <c r="PR53" s="6"/>
      <c r="PS53" s="6"/>
      <c r="PT53" s="6"/>
      <c r="PU53" s="5" t="str">
        <f t="shared" si="120"/>
        <v>NO APLICA</v>
      </c>
      <c r="PV53" s="5"/>
      <c r="PW53" s="6"/>
      <c r="PX53" s="6"/>
      <c r="PY53" s="6"/>
      <c r="PZ53" s="5" t="str">
        <f t="shared" si="121"/>
        <v>NO APLICA</v>
      </c>
    </row>
    <row r="54" spans="1:442" ht="15.6" hidden="1" thickTop="1" thickBot="1" x14ac:dyDescent="0.35">
      <c r="A54" s="26">
        <v>51</v>
      </c>
      <c r="B54" s="27">
        <v>1401</v>
      </c>
      <c r="C54" s="28" t="s">
        <v>224</v>
      </c>
      <c r="D54" s="29" t="s">
        <v>68</v>
      </c>
      <c r="E54" s="30" t="s">
        <v>69</v>
      </c>
      <c r="F54" s="5"/>
      <c r="G54" s="6"/>
      <c r="H54" s="4"/>
      <c r="I54" s="8"/>
      <c r="J54" s="5" t="str">
        <f t="shared" si="0"/>
        <v>NO APLICA</v>
      </c>
      <c r="K54" s="5"/>
      <c r="L54" s="6"/>
      <c r="M54" s="6"/>
      <c r="N54" s="8"/>
      <c r="O54" s="5" t="str">
        <f t="shared" si="1"/>
        <v>NO APLICA</v>
      </c>
      <c r="P54" s="6"/>
      <c r="Q54" s="6"/>
      <c r="R54" s="4"/>
      <c r="S54" s="8"/>
      <c r="T54" s="5" t="str">
        <f t="shared" si="122"/>
        <v>NO APLICA</v>
      </c>
      <c r="U54" s="5"/>
      <c r="V54" s="2" t="s">
        <v>225</v>
      </c>
      <c r="W54" s="4">
        <v>45854</v>
      </c>
      <c r="X54" s="4">
        <f t="shared" si="2"/>
        <v>47680</v>
      </c>
      <c r="Y54" s="8">
        <f t="shared" ca="1" si="3"/>
        <v>1535</v>
      </c>
      <c r="Z54" s="5" t="str">
        <f t="shared" ca="1" si="4"/>
        <v>VIGENTE</v>
      </c>
      <c r="AA54" s="5"/>
      <c r="AB54" s="2" t="s">
        <v>226</v>
      </c>
      <c r="AC54" s="4">
        <v>44824</v>
      </c>
      <c r="AD54" s="4">
        <f>DATE(YEAR(AC54)+5,MONTH(AC54),DAY(AC54))</f>
        <v>46650</v>
      </c>
      <c r="AE54" s="8">
        <f ca="1">AD54-TODAY()</f>
        <v>505</v>
      </c>
      <c r="AF54" s="5" t="str">
        <f t="shared" ca="1" si="7"/>
        <v>VIGENTE</v>
      </c>
      <c r="AG54" s="3"/>
      <c r="AH54" s="4">
        <v>45589</v>
      </c>
      <c r="AI54" s="4">
        <f t="shared" ref="AI54:AI59" si="229">DATE(YEAR(AH54)+2,MONTH(AH54),DAY(AH54)-1)</f>
        <v>46318</v>
      </c>
      <c r="AJ54" s="8">
        <f t="shared" ca="1" si="8"/>
        <v>173</v>
      </c>
      <c r="AK54" s="5" t="str">
        <f t="shared" ca="1" si="219"/>
        <v>VIGENTE</v>
      </c>
      <c r="AL54" s="3"/>
      <c r="AM54" s="4">
        <v>45959</v>
      </c>
      <c r="AN54" s="4">
        <f>DATE(YEAR(AM54)+2,MONTH(AM54),DAY(AM54))</f>
        <v>46689</v>
      </c>
      <c r="AO54" s="8">
        <f t="shared" ca="1" si="10"/>
        <v>544</v>
      </c>
      <c r="AP54" s="5" t="str">
        <f t="shared" ca="1" si="11"/>
        <v>VIGENTE</v>
      </c>
      <c r="AQ54" s="3"/>
      <c r="AR54" s="4">
        <v>45904</v>
      </c>
      <c r="AS54" s="4">
        <f>DATE(YEAR(AR54)+2,MONTH(AR54),DAY(AR54))</f>
        <v>46634</v>
      </c>
      <c r="AT54" s="8">
        <f t="shared" ca="1" si="12"/>
        <v>489</v>
      </c>
      <c r="AU54" s="5" t="str">
        <f t="shared" ca="1" si="13"/>
        <v>VIGENTE</v>
      </c>
      <c r="AV54" s="3"/>
      <c r="AW54" s="4">
        <v>45952</v>
      </c>
      <c r="AX54" s="4">
        <f>DATE(YEAR(AW54)+2,MONTH(AW54),DAY(AW54))</f>
        <v>46682</v>
      </c>
      <c r="AY54" s="8">
        <f t="shared" ca="1" si="15"/>
        <v>537</v>
      </c>
      <c r="AZ54" s="5" t="str">
        <f t="shared" ca="1" si="16"/>
        <v>VIGENTE</v>
      </c>
      <c r="BA54" s="3"/>
      <c r="BB54" s="4">
        <v>46041</v>
      </c>
      <c r="BC54" s="4">
        <f>DATE(YEAR(BB54)+2,MONTH(BB54),DAY(BB54))</f>
        <v>46771</v>
      </c>
      <c r="BD54" s="8">
        <f t="shared" ca="1" si="17"/>
        <v>626</v>
      </c>
      <c r="BE54" s="5" t="str">
        <f t="shared" ca="1" si="18"/>
        <v>VIGENTE</v>
      </c>
      <c r="BF54" s="3"/>
      <c r="BG54" s="4">
        <v>45457</v>
      </c>
      <c r="BH54" s="4">
        <f>DATE(YEAR(BG54)+2,MONTH(BG54),DAY(BG54)-1)</f>
        <v>46186</v>
      </c>
      <c r="BI54" s="8">
        <f t="shared" ca="1" si="19"/>
        <v>41</v>
      </c>
      <c r="BJ54" s="5" t="str">
        <f t="shared" ca="1" si="20"/>
        <v>POR VENCER</v>
      </c>
      <c r="BK54" s="3"/>
      <c r="BL54" s="4">
        <v>46035</v>
      </c>
      <c r="BM54" s="4">
        <f t="shared" ref="BM54:BM60" si="230">DATE(YEAR(BL54)+2,MONTH(BL54),DAY(BL54))</f>
        <v>46765</v>
      </c>
      <c r="BN54" s="8">
        <f t="shared" ca="1" si="21"/>
        <v>620</v>
      </c>
      <c r="BO54" s="5" t="str">
        <f t="shared" ca="1" si="22"/>
        <v>VIGENTE</v>
      </c>
      <c r="BP54" s="3"/>
      <c r="BQ54" s="39">
        <v>45981</v>
      </c>
      <c r="BR54" s="4">
        <f>DATE(YEAR(BQ54)+2,MONTH(BQ54),DAY(BQ54))</f>
        <v>46711</v>
      </c>
      <c r="BS54" s="8">
        <f t="shared" ca="1" si="23"/>
        <v>566</v>
      </c>
      <c r="BT54" s="5" t="str">
        <f t="shared" ca="1" si="24"/>
        <v>VIGENTE</v>
      </c>
      <c r="BU54" s="3"/>
      <c r="BV54" s="4">
        <v>46135</v>
      </c>
      <c r="BW54" s="4">
        <f>DATE(YEAR(BV54)+2,MONTH(BV54),DAY(BV54)-1)</f>
        <v>46865</v>
      </c>
      <c r="BX54" s="8">
        <f t="shared" ca="1" si="25"/>
        <v>720</v>
      </c>
      <c r="BY54" s="5" t="str">
        <f t="shared" ca="1" si="26"/>
        <v>VIGENTE</v>
      </c>
      <c r="BZ54" s="3"/>
      <c r="CA54" s="4">
        <v>45954</v>
      </c>
      <c r="CB54" s="4">
        <f>DATE(YEAR(CA54)+2,MONTH(CA54),DAY(CA54))</f>
        <v>46684</v>
      </c>
      <c r="CC54" s="8">
        <f t="shared" ca="1" si="27"/>
        <v>539</v>
      </c>
      <c r="CD54" s="5" t="str">
        <f t="shared" ca="1" si="28"/>
        <v>VIGENTE</v>
      </c>
      <c r="CE54" s="6"/>
      <c r="CF54" s="4">
        <v>45211</v>
      </c>
      <c r="CG54" s="4">
        <f t="shared" si="29"/>
        <v>46672</v>
      </c>
      <c r="CH54" s="8">
        <f t="shared" ca="1" si="30"/>
        <v>527</v>
      </c>
      <c r="CI54" s="5" t="str">
        <f t="shared" ca="1" si="31"/>
        <v>VIGENTE</v>
      </c>
      <c r="CJ54" s="4"/>
      <c r="CK54" s="4">
        <v>45895</v>
      </c>
      <c r="CL54" s="4">
        <f>DATE(YEAR(CK54)+2,MONTH(CK54),DAY(CK54))</f>
        <v>46625</v>
      </c>
      <c r="CM54" s="8">
        <f t="shared" ca="1" si="32"/>
        <v>480</v>
      </c>
      <c r="CN54" s="5" t="str">
        <f t="shared" ca="1" si="33"/>
        <v>VIGENTE</v>
      </c>
      <c r="CO54" s="3"/>
      <c r="CP54" s="39">
        <v>45898</v>
      </c>
      <c r="CQ54" s="4">
        <f>DATE(YEAR(CP54)+2,MONTH(CP54),DAY(CP54))</f>
        <v>46628</v>
      </c>
      <c r="CR54" s="8">
        <f t="shared" ca="1" si="34"/>
        <v>483</v>
      </c>
      <c r="CS54" s="5" t="str">
        <f t="shared" ca="1" si="35"/>
        <v>VIGENTE</v>
      </c>
      <c r="CT54" s="3"/>
      <c r="CU54" s="4">
        <v>45639</v>
      </c>
      <c r="CV54" s="4">
        <f>DATE(YEAR(CU54)+2,MONTH(CU54),DAY(CU54)-1)</f>
        <v>46368</v>
      </c>
      <c r="CW54" s="8">
        <f t="shared" ca="1" si="36"/>
        <v>223</v>
      </c>
      <c r="CX54" s="5" t="str">
        <f t="shared" ca="1" si="37"/>
        <v>VIGENTE</v>
      </c>
      <c r="CY54" s="3"/>
      <c r="CZ54" s="4">
        <v>45646</v>
      </c>
      <c r="DA54" s="4">
        <f>DATE(YEAR(CZ54)+2,MONTH(CZ54),DAY(CZ54)-1)</f>
        <v>46375</v>
      </c>
      <c r="DB54" s="8">
        <f t="shared" ca="1" si="38"/>
        <v>230</v>
      </c>
      <c r="DC54" s="5" t="str">
        <f t="shared" ca="1" si="39"/>
        <v>VIGENTE</v>
      </c>
      <c r="DD54" s="3"/>
      <c r="DE54" s="39">
        <v>45689</v>
      </c>
      <c r="DF54" s="4">
        <f t="shared" si="227"/>
        <v>46418</v>
      </c>
      <c r="DG54" s="8">
        <f t="shared" ca="1" si="40"/>
        <v>273</v>
      </c>
      <c r="DH54" s="5" t="str">
        <f t="shared" ca="1" si="41"/>
        <v>VIGENTE</v>
      </c>
      <c r="DI54" s="3"/>
      <c r="DJ54" s="39">
        <v>45975</v>
      </c>
      <c r="DK54" s="4">
        <f t="shared" si="225"/>
        <v>46705</v>
      </c>
      <c r="DL54" s="8">
        <f t="shared" ca="1" si="43"/>
        <v>560</v>
      </c>
      <c r="DM54" s="5" t="str">
        <f t="shared" ca="1" si="44"/>
        <v>VIGENTE</v>
      </c>
      <c r="DN54" s="3"/>
      <c r="DO54" s="4">
        <v>45731</v>
      </c>
      <c r="DP54" s="4">
        <f>DATE(YEAR(DO54)+2,MONTH(DO54),DAY(DO54)-1)</f>
        <v>46460</v>
      </c>
      <c r="DQ54" s="8">
        <f t="shared" ca="1" si="46"/>
        <v>315</v>
      </c>
      <c r="DR54" s="5" t="str">
        <f t="shared" ca="1" si="47"/>
        <v>VIGENTE</v>
      </c>
      <c r="DS54" s="3"/>
      <c r="DT54" s="4">
        <v>46053</v>
      </c>
      <c r="DU54" s="4">
        <f>DATE(YEAR(DT54)+2,MONTH(DT54),DAY(DT54))</f>
        <v>46783</v>
      </c>
      <c r="DV54" s="8">
        <f t="shared" ca="1" si="48"/>
        <v>638</v>
      </c>
      <c r="DW54" s="5" t="str">
        <f t="shared" ca="1" si="49"/>
        <v>VIGENTE</v>
      </c>
      <c r="DX54" s="3"/>
      <c r="DY54" s="4">
        <v>46032</v>
      </c>
      <c r="DZ54" s="4">
        <f>DATE(YEAR(DY54)+2,MONTH(DY54),DAY(DY54))</f>
        <v>46762</v>
      </c>
      <c r="EA54" s="8">
        <f t="shared" ca="1" si="50"/>
        <v>617</v>
      </c>
      <c r="EB54" s="5" t="str">
        <f t="shared" ca="1" si="51"/>
        <v>VIGENTE</v>
      </c>
      <c r="EC54" s="3"/>
      <c r="ED54" s="39">
        <v>45994</v>
      </c>
      <c r="EE54" s="4">
        <f>DATE(YEAR(ED54)+2,MONTH(ED54),DAY(ED54))</f>
        <v>46724</v>
      </c>
      <c r="EF54" s="8">
        <f t="shared" ca="1" si="52"/>
        <v>579</v>
      </c>
      <c r="EG54" s="5" t="str">
        <f t="shared" ca="1" si="53"/>
        <v>VIGENTE</v>
      </c>
      <c r="EH54" s="3"/>
      <c r="EI54" s="4">
        <v>45948</v>
      </c>
      <c r="EJ54" s="4">
        <f t="shared" si="131"/>
        <v>46313</v>
      </c>
      <c r="EK54" s="8">
        <f t="shared" ca="1" si="54"/>
        <v>168</v>
      </c>
      <c r="EL54" s="5" t="str">
        <f t="shared" ca="1" si="55"/>
        <v>VIGENTE</v>
      </c>
      <c r="EM54" s="3"/>
      <c r="EN54" s="4">
        <v>45940</v>
      </c>
      <c r="EO54" s="4">
        <f>DATE(YEAR(EN54)+2,MONTH(EN54),DAY(EN54))</f>
        <v>46670</v>
      </c>
      <c r="EP54" s="8">
        <f t="shared" ca="1" si="56"/>
        <v>525</v>
      </c>
      <c r="EQ54" s="5" t="str">
        <f t="shared" ca="1" si="57"/>
        <v>VIGENTE</v>
      </c>
      <c r="ER54" s="3"/>
      <c r="ES54" s="39">
        <v>46042</v>
      </c>
      <c r="ET54" s="4">
        <f>DATE(YEAR(ES54)+2,MONTH(ES54),DAY(ES54))</f>
        <v>46772</v>
      </c>
      <c r="EU54" s="8">
        <f t="shared" ca="1" si="58"/>
        <v>627</v>
      </c>
      <c r="EV54" s="5" t="str">
        <f t="shared" ca="1" si="59"/>
        <v>VIGENTE</v>
      </c>
      <c r="EW54" s="3"/>
      <c r="EX54" s="4">
        <v>45953</v>
      </c>
      <c r="EY54" s="4">
        <f>DATE(YEAR(EX54)+2,MONTH(EX54),DAY(EX54))</f>
        <v>46683</v>
      </c>
      <c r="EZ54" s="8">
        <f t="shared" ca="1" si="60"/>
        <v>538</v>
      </c>
      <c r="FA54" s="5" t="str">
        <f t="shared" ca="1" si="61"/>
        <v>VIGENTE</v>
      </c>
      <c r="FB54" s="3"/>
      <c r="FC54" s="4">
        <v>45951</v>
      </c>
      <c r="FD54" s="4">
        <f>DATE(YEAR(FC54)+2,MONTH(FC54),DAY(FC54))</f>
        <v>46681</v>
      </c>
      <c r="FE54" s="8">
        <f t="shared" ca="1" si="62"/>
        <v>536</v>
      </c>
      <c r="FF54" s="5" t="str">
        <f t="shared" ca="1" si="63"/>
        <v>VIGENTE</v>
      </c>
      <c r="FG54" s="3"/>
      <c r="FH54" s="4">
        <v>45962</v>
      </c>
      <c r="FI54" s="4">
        <f>DATE(YEAR(FH54)+2,MONTH(FH54),DAY(FH54))</f>
        <v>46692</v>
      </c>
      <c r="FJ54" s="8">
        <f t="shared" ca="1" si="64"/>
        <v>547</v>
      </c>
      <c r="FK54" s="5" t="str">
        <f t="shared" ca="1" si="65"/>
        <v>VIGENTE</v>
      </c>
      <c r="FL54" s="3"/>
      <c r="FM54" s="39">
        <v>45933</v>
      </c>
      <c r="FN54" s="4">
        <f>DATE(YEAR(FM54)+2,MONTH(FM54),DAY(FM54))</f>
        <v>46663</v>
      </c>
      <c r="FO54" s="8">
        <f t="shared" ca="1" si="67"/>
        <v>518</v>
      </c>
      <c r="FP54" s="5" t="str">
        <f t="shared" ca="1" si="68"/>
        <v>VIGENTE</v>
      </c>
      <c r="FQ54" s="3"/>
      <c r="FR54" s="39">
        <v>45957</v>
      </c>
      <c r="FS54" s="4">
        <f>DATE(YEAR(FR54)+2,MONTH(FR54),DAY(FR54))</f>
        <v>46687</v>
      </c>
      <c r="FT54" s="8">
        <f t="shared" ca="1" si="69"/>
        <v>542</v>
      </c>
      <c r="FU54" s="5" t="str">
        <f t="shared" ca="1" si="70"/>
        <v>VIGENTE</v>
      </c>
      <c r="FV54" s="3"/>
      <c r="FW54" s="4">
        <v>45581</v>
      </c>
      <c r="FX54" s="4">
        <f>DATE(YEAR(FW54)+2,MONTH(FW54),DAY(FW54)-1)</f>
        <v>46310</v>
      </c>
      <c r="FY54" s="8">
        <f t="shared" ca="1" si="71"/>
        <v>165</v>
      </c>
      <c r="FZ54" s="5" t="str">
        <f t="shared" ca="1" si="72"/>
        <v>VIGENTE</v>
      </c>
      <c r="GA54" s="3"/>
      <c r="GB54" s="4">
        <v>46030</v>
      </c>
      <c r="GC54" s="4">
        <f>DATE(YEAR(GB54)+2,MONTH(GB54),DAY(GB54))</f>
        <v>46760</v>
      </c>
      <c r="GD54" s="8">
        <f t="shared" ca="1" si="73"/>
        <v>615</v>
      </c>
      <c r="GE54" s="5" t="str">
        <f t="shared" ca="1" si="74"/>
        <v>VIGENTE</v>
      </c>
      <c r="GF54" s="3"/>
      <c r="GG54" s="4">
        <v>45960</v>
      </c>
      <c r="GH54" s="4">
        <f>DATE(YEAR(GG54)+2,MONTH(GG54),DAY(GG54))</f>
        <v>46690</v>
      </c>
      <c r="GI54" s="8">
        <f t="shared" ca="1" si="75"/>
        <v>545</v>
      </c>
      <c r="GJ54" s="5" t="str">
        <f t="shared" ca="1" si="76"/>
        <v>VIGENTE</v>
      </c>
      <c r="GK54" s="3"/>
      <c r="GL54" s="4">
        <v>45945</v>
      </c>
      <c r="GM54" s="4">
        <f>DATE(YEAR(GL54)+2,MONTH(GL54),DAY(GL54))</f>
        <v>46675</v>
      </c>
      <c r="GN54" s="8">
        <f t="shared" ca="1" si="77"/>
        <v>530</v>
      </c>
      <c r="GO54" s="5" t="str">
        <f t="shared" ca="1" si="78"/>
        <v>VIGENTE</v>
      </c>
      <c r="GP54" s="4"/>
      <c r="GQ54" s="4">
        <v>45017</v>
      </c>
      <c r="GR54" s="4">
        <f t="shared" si="79"/>
        <v>46844</v>
      </c>
      <c r="GS54" s="8">
        <f t="shared" ca="1" si="176"/>
        <v>699</v>
      </c>
      <c r="GT54" s="5" t="str">
        <f t="shared" ca="1" si="81"/>
        <v>VIGENTE</v>
      </c>
      <c r="GU54" s="3"/>
      <c r="GV54" s="4">
        <v>45277</v>
      </c>
      <c r="GW54" s="4">
        <f t="shared" si="82"/>
        <v>47104</v>
      </c>
      <c r="GX54" s="8">
        <f t="shared" ca="1" si="83"/>
        <v>959</v>
      </c>
      <c r="GY54" s="5" t="str">
        <f t="shared" ca="1" si="84"/>
        <v>VIGENTE</v>
      </c>
      <c r="GZ54" s="3"/>
      <c r="HA54" s="4">
        <v>45119</v>
      </c>
      <c r="HB54" s="4">
        <f t="shared" si="85"/>
        <v>46946</v>
      </c>
      <c r="HC54" s="8">
        <f t="shared" ca="1" si="86"/>
        <v>801</v>
      </c>
      <c r="HD54" s="5" t="str">
        <f t="shared" ca="1" si="87"/>
        <v>VIGENTE</v>
      </c>
      <c r="HE54" s="6"/>
      <c r="HF54" s="4">
        <v>44887</v>
      </c>
      <c r="HG54" s="4">
        <f>DATE(YEAR(HF54)+5,MONTH(HF54),DAY(HF54))</f>
        <v>46713</v>
      </c>
      <c r="HH54" s="8">
        <f ca="1">HG54-TODAY()</f>
        <v>568</v>
      </c>
      <c r="HI54" s="5" t="str">
        <f t="shared" ca="1" si="224"/>
        <v>VIGENTE</v>
      </c>
      <c r="HJ54" s="2"/>
      <c r="HK54" s="6"/>
      <c r="HL54" s="4"/>
      <c r="HM54" s="8"/>
      <c r="HN54" s="5" t="str">
        <f t="shared" si="228"/>
        <v>NO APLICA</v>
      </c>
      <c r="HO54" s="2"/>
      <c r="HP54" s="2"/>
      <c r="HQ54" s="4"/>
      <c r="HR54" s="2"/>
      <c r="HS54" s="5" t="str">
        <f t="shared" si="92"/>
        <v>NO APLICA</v>
      </c>
      <c r="HT54" s="3"/>
      <c r="HU54" s="4">
        <v>45260</v>
      </c>
      <c r="HV54" s="4">
        <f>DATE(YEAR(HU54)+5,MONTH(HU54),DAY(HU54))</f>
        <v>47087</v>
      </c>
      <c r="HW54" s="8">
        <f ca="1">HV54-TODAY()</f>
        <v>942</v>
      </c>
      <c r="HX54" s="5" t="str">
        <f t="shared" ca="1" si="93"/>
        <v>VIGENTE</v>
      </c>
      <c r="HY54" s="3"/>
      <c r="HZ54" s="4">
        <v>45241</v>
      </c>
      <c r="IA54" s="4">
        <f>DATE(YEAR(HZ54)+5,MONTH(HZ54),DAY(HZ54))</f>
        <v>47068</v>
      </c>
      <c r="IB54" s="8">
        <f ca="1">IA54-TODAY()</f>
        <v>923</v>
      </c>
      <c r="IC54" s="5" t="str">
        <f t="shared" ca="1" si="94"/>
        <v>VIGENTE</v>
      </c>
      <c r="ID54" s="3"/>
      <c r="IE54" s="4">
        <v>45444</v>
      </c>
      <c r="IF54" s="4">
        <f>DATE(YEAR(IE54)+5,MONTH(IE54),DAY(IE54))</f>
        <v>47270</v>
      </c>
      <c r="IG54" s="8">
        <f ca="1">IF54-TODAY()</f>
        <v>1125</v>
      </c>
      <c r="IH54" s="5" t="str">
        <f t="shared" ca="1" si="95"/>
        <v>VIGENTE</v>
      </c>
      <c r="II54" s="4"/>
      <c r="IJ54" s="4">
        <v>45485</v>
      </c>
      <c r="IK54" s="4">
        <f>DATE(YEAR(IJ54)+5,MONTH(IJ54),DAY(IJ54))</f>
        <v>47311</v>
      </c>
      <c r="IL54" s="8">
        <f ca="1">IK54-TODAY()</f>
        <v>1166</v>
      </c>
      <c r="IM54" s="5" t="str">
        <f t="shared" ca="1" si="96"/>
        <v>VIGENTE</v>
      </c>
      <c r="IN54" s="3"/>
      <c r="IO54" s="4">
        <v>45433</v>
      </c>
      <c r="IP54" s="4">
        <f>DATE(YEAR(IO54)+5,MONTH(IO54),DAY(IO54))</f>
        <v>47259</v>
      </c>
      <c r="IQ54" s="8">
        <f ca="1">IP54-TODAY()</f>
        <v>1114</v>
      </c>
      <c r="IR54" s="5" t="str">
        <f t="shared" ca="1" si="97"/>
        <v>VIGENTE</v>
      </c>
      <c r="IS54" s="3"/>
      <c r="IT54" s="4">
        <v>45484</v>
      </c>
      <c r="IU54" s="4">
        <f>DATE(YEAR(IT54)+5,MONTH(IT54),DAY(IT54))</f>
        <v>47310</v>
      </c>
      <c r="IV54" s="8">
        <f ca="1">IU54-TODAY()</f>
        <v>1165</v>
      </c>
      <c r="IW54" s="5" t="str">
        <f t="shared" ca="1" si="98"/>
        <v>VIGENTE</v>
      </c>
      <c r="IX54" s="3"/>
      <c r="IY54" s="4">
        <v>45261</v>
      </c>
      <c r="IZ54" s="4">
        <f>DATE(YEAR(IY54)+5,MONTH(IY54),DAY(IY54))</f>
        <v>47088</v>
      </c>
      <c r="JA54" s="8">
        <f ca="1">IZ54-TODAY()</f>
        <v>943</v>
      </c>
      <c r="JB54" s="5" t="str">
        <f t="shared" ca="1" si="99"/>
        <v>VIGENTE</v>
      </c>
      <c r="JC54" s="3" t="s">
        <v>780</v>
      </c>
      <c r="JD54" s="3"/>
      <c r="JE54" s="4"/>
      <c r="JF54" s="8"/>
      <c r="JG54" s="5"/>
      <c r="JH54" s="3" t="s">
        <v>780</v>
      </c>
      <c r="JI54" s="6"/>
      <c r="JJ54" s="6"/>
      <c r="JK54" s="6"/>
      <c r="JL54" s="5"/>
      <c r="JM54" s="6" t="s">
        <v>780</v>
      </c>
      <c r="JN54" s="6"/>
      <c r="JO54" s="6"/>
      <c r="JP54" s="6"/>
      <c r="JQ54" s="5"/>
      <c r="JR54" s="6" t="s">
        <v>780</v>
      </c>
      <c r="JS54" s="6"/>
      <c r="JT54" s="6"/>
      <c r="JU54" s="6"/>
      <c r="JV54" s="5"/>
      <c r="JW54" s="6" t="s">
        <v>780</v>
      </c>
      <c r="JX54" s="5"/>
      <c r="JY54" s="5"/>
      <c r="JZ54" s="5"/>
      <c r="KA54" s="5"/>
      <c r="KB54" s="5"/>
      <c r="KC54" s="2"/>
      <c r="KD54" s="4"/>
      <c r="KE54" s="8"/>
      <c r="KF54" s="5" t="str">
        <f t="shared" si="135"/>
        <v>NO APLICA</v>
      </c>
      <c r="KG54" s="5"/>
      <c r="KH54" s="2"/>
      <c r="KI54" s="4"/>
      <c r="KJ54" s="8"/>
      <c r="KK54" s="5" t="str">
        <f t="shared" si="136"/>
        <v>NO APLICA</v>
      </c>
      <c r="KL54" s="5"/>
      <c r="KM54" s="3">
        <v>45364</v>
      </c>
      <c r="KN54" s="4">
        <f>DATE(YEAR(KM54)+5,MONTH(KM54),DAY(KM54))</f>
        <v>47190</v>
      </c>
      <c r="KO54" s="8">
        <f ca="1">KN54-TODAY()</f>
        <v>1045</v>
      </c>
      <c r="KP54" s="5" t="str">
        <f t="shared" ca="1" si="100"/>
        <v>VIGENTE</v>
      </c>
      <c r="KQ54" s="5"/>
      <c r="KR54" s="2"/>
      <c r="KS54" s="4"/>
      <c r="KT54" s="8"/>
      <c r="KU54" s="5" t="str">
        <f t="shared" si="137"/>
        <v>NO APLICA</v>
      </c>
      <c r="KV54" s="2"/>
      <c r="KW54" s="6"/>
      <c r="KX54" s="4"/>
      <c r="KY54" s="8"/>
      <c r="KZ54" s="5" t="str">
        <f t="shared" si="151"/>
        <v>NO APLICA</v>
      </c>
      <c r="LA54" s="5"/>
      <c r="LB54" s="6"/>
      <c r="LC54" s="4"/>
      <c r="LD54" s="8"/>
      <c r="LE54" s="5" t="str">
        <f t="shared" si="138"/>
        <v>NO APLICA</v>
      </c>
      <c r="LF54" s="6"/>
      <c r="LG54" s="6"/>
      <c r="LH54" s="4"/>
      <c r="LI54" s="8"/>
      <c r="LJ54" s="5" t="str">
        <f t="shared" si="101"/>
        <v>NO APLICA</v>
      </c>
      <c r="LK54" s="5"/>
      <c r="LL54" s="5"/>
      <c r="LM54" s="5"/>
      <c r="LN54" s="5"/>
      <c r="LO54" s="5" t="str">
        <f t="shared" si="152"/>
        <v>NO APLICA</v>
      </c>
      <c r="LP54" s="2"/>
      <c r="LQ54" s="6"/>
      <c r="LR54" s="4"/>
      <c r="LS54" s="8"/>
      <c r="LT54" s="5" t="str">
        <f t="shared" si="139"/>
        <v>NO APLICA</v>
      </c>
      <c r="LU54" s="6"/>
      <c r="LV54" s="6"/>
      <c r="LW54" s="4"/>
      <c r="LX54" s="8"/>
      <c r="LY54" s="5" t="str">
        <f t="shared" si="140"/>
        <v>NO APLICA</v>
      </c>
      <c r="LZ54" s="6"/>
      <c r="MA54" s="6"/>
      <c r="MB54" s="4"/>
      <c r="MC54" s="8"/>
      <c r="MD54" s="5" t="str">
        <f t="shared" si="141"/>
        <v>NO APLICA</v>
      </c>
      <c r="ME54" s="4"/>
      <c r="MF54" s="4">
        <v>45010</v>
      </c>
      <c r="MG54" s="4">
        <f>DATE(YEAR(MF54)+5,MONTH(MF54),DAY(MF54))</f>
        <v>46837</v>
      </c>
      <c r="MH54" s="8">
        <f ca="1">MG54-TODAY()</f>
        <v>692</v>
      </c>
      <c r="MI54" s="5" t="str">
        <f t="shared" ca="1" si="102"/>
        <v>VIGENTE</v>
      </c>
      <c r="MJ54" s="2"/>
      <c r="MK54" s="2"/>
      <c r="ML54" s="4"/>
      <c r="MM54" s="8"/>
      <c r="MN54" s="5" t="str">
        <f t="shared" si="103"/>
        <v>NO APLICA</v>
      </c>
      <c r="MO54" s="5"/>
      <c r="MP54" s="2"/>
      <c r="MQ54" s="4"/>
      <c r="MR54" s="8"/>
      <c r="MS54" s="5" t="str">
        <f t="shared" si="104"/>
        <v>NO APLICA</v>
      </c>
      <c r="MT54" s="5"/>
      <c r="MU54" s="2"/>
      <c r="MV54" s="4"/>
      <c r="MW54" s="2"/>
      <c r="MX54" s="5" t="str">
        <f t="shared" si="105"/>
        <v>NO APLICA</v>
      </c>
      <c r="MY54" s="2"/>
      <c r="MZ54" s="6"/>
      <c r="NA54" s="4"/>
      <c r="NB54" s="8"/>
      <c r="NC54" s="5" t="str">
        <f t="shared" si="106"/>
        <v>NO APLICA</v>
      </c>
      <c r="ND54" s="2"/>
      <c r="NE54" s="6"/>
      <c r="NF54" s="4"/>
      <c r="NG54" s="8"/>
      <c r="NH54" s="5" t="str">
        <f t="shared" si="107"/>
        <v>NO APLICA</v>
      </c>
      <c r="NI54" s="2"/>
      <c r="NJ54" s="6"/>
      <c r="NK54" s="4"/>
      <c r="NL54" s="8"/>
      <c r="NM54" s="5" t="str">
        <f t="shared" si="108"/>
        <v>NO APLICA</v>
      </c>
      <c r="NN54" s="2"/>
      <c r="NO54" s="2"/>
      <c r="NP54" s="4"/>
      <c r="NQ54" s="2"/>
      <c r="NR54" s="5" t="str">
        <f t="shared" si="109"/>
        <v>NO APLICA</v>
      </c>
      <c r="NS54" s="2"/>
      <c r="NT54" s="2"/>
      <c r="NU54" s="4"/>
      <c r="NV54" s="2"/>
      <c r="NW54" s="5" t="str">
        <f t="shared" si="110"/>
        <v>NO APLICA</v>
      </c>
      <c r="NX54" s="6"/>
      <c r="NY54" s="6"/>
      <c r="NZ54" s="4"/>
      <c r="OA54" s="8"/>
      <c r="OB54" s="5" t="str">
        <f t="shared" si="111"/>
        <v>NO APLICA</v>
      </c>
      <c r="OC54" s="6"/>
      <c r="OD54" s="6"/>
      <c r="OE54" s="6"/>
      <c r="OF54" s="6"/>
      <c r="OG54" s="5" t="str">
        <f t="shared" si="112"/>
        <v>NO APLICA</v>
      </c>
      <c r="OH54" s="6"/>
      <c r="OI54" s="6"/>
      <c r="OJ54" s="4"/>
      <c r="OK54" s="8"/>
      <c r="OL54" s="5" t="str">
        <f t="shared" si="113"/>
        <v>NO APLICA</v>
      </c>
      <c r="OM54" s="6"/>
      <c r="ON54" s="6"/>
      <c r="OO54" s="6"/>
      <c r="OP54" s="6"/>
      <c r="OQ54" s="5" t="str">
        <f t="shared" si="114"/>
        <v>NO APLICA</v>
      </c>
      <c r="OR54" s="6"/>
      <c r="OS54" s="6"/>
      <c r="OT54" s="6"/>
      <c r="OU54" s="6"/>
      <c r="OV54" s="5" t="str">
        <f t="shared" si="115"/>
        <v>NO APLICA</v>
      </c>
      <c r="OW54" s="6"/>
      <c r="OX54" s="6"/>
      <c r="OY54" s="6"/>
      <c r="OZ54" s="6"/>
      <c r="PA54" s="5" t="str">
        <f t="shared" si="116"/>
        <v>NO APLICA</v>
      </c>
      <c r="PB54" s="6"/>
      <c r="PC54" s="6"/>
      <c r="PD54" s="6"/>
      <c r="PE54" s="6"/>
      <c r="PF54" s="5" t="str">
        <f t="shared" si="117"/>
        <v>NO APLICA</v>
      </c>
      <c r="PG54" s="6"/>
      <c r="PH54" s="6"/>
      <c r="PI54" s="6"/>
      <c r="PJ54" s="6"/>
      <c r="PK54" s="5" t="str">
        <f t="shared" si="118"/>
        <v>NO APLICA</v>
      </c>
      <c r="PL54" s="5"/>
      <c r="PM54" s="6"/>
      <c r="PN54" s="4"/>
      <c r="PO54" s="8"/>
      <c r="PP54" s="5" t="str">
        <f t="shared" si="119"/>
        <v>NO APLICA</v>
      </c>
      <c r="PQ54" s="6"/>
      <c r="PR54" s="6"/>
      <c r="PS54" s="6"/>
      <c r="PT54" s="6"/>
      <c r="PU54" s="5" t="str">
        <f t="shared" si="120"/>
        <v>NO APLICA</v>
      </c>
      <c r="PV54" s="5"/>
      <c r="PW54" s="6"/>
      <c r="PX54" s="6"/>
      <c r="PY54" s="6"/>
      <c r="PZ54" s="5" t="str">
        <f t="shared" si="121"/>
        <v>NO APLICA</v>
      </c>
    </row>
    <row r="55" spans="1:442" ht="15.6" hidden="1" thickTop="1" thickBot="1" x14ac:dyDescent="0.35">
      <c r="A55" s="26">
        <v>52</v>
      </c>
      <c r="B55" s="31">
        <v>1670</v>
      </c>
      <c r="C55" s="28" t="s">
        <v>227</v>
      </c>
      <c r="D55" s="29" t="s">
        <v>113</v>
      </c>
      <c r="E55" s="30" t="s">
        <v>126</v>
      </c>
      <c r="F55" s="3"/>
      <c r="G55" s="4">
        <v>46119</v>
      </c>
      <c r="H55" s="4">
        <f>DATE(YEAR(G55)+2,MONTH(G55),DAY(G55))</f>
        <v>46850</v>
      </c>
      <c r="I55" s="8">
        <f ca="1">H55-TODAY()</f>
        <v>705</v>
      </c>
      <c r="J55" s="5" t="str">
        <f t="shared" ca="1" si="0"/>
        <v>VIGENTE</v>
      </c>
      <c r="K55" s="5"/>
      <c r="L55" s="6"/>
      <c r="M55" s="6"/>
      <c r="N55" s="8"/>
      <c r="O55" s="5" t="str">
        <f t="shared" si="1"/>
        <v>NO APLICA</v>
      </c>
      <c r="P55" s="6"/>
      <c r="Q55" s="6"/>
      <c r="R55" s="4"/>
      <c r="S55" s="8"/>
      <c r="T55" s="5" t="str">
        <f t="shared" si="122"/>
        <v>NO APLICA</v>
      </c>
      <c r="U55" s="5"/>
      <c r="V55" s="2" t="s">
        <v>228</v>
      </c>
      <c r="W55" s="4">
        <v>45041</v>
      </c>
      <c r="X55" s="4">
        <f t="shared" si="2"/>
        <v>46868</v>
      </c>
      <c r="Y55" s="8">
        <f t="shared" ca="1" si="3"/>
        <v>723</v>
      </c>
      <c r="Z55" s="5" t="str">
        <f t="shared" ca="1" si="4"/>
        <v>VIGENTE</v>
      </c>
      <c r="AA55" s="5"/>
      <c r="AB55" s="2"/>
      <c r="AC55" s="6"/>
      <c r="AD55" s="4"/>
      <c r="AE55" s="8"/>
      <c r="AF55" s="5" t="str">
        <f t="shared" si="7"/>
        <v>NO APLICA</v>
      </c>
      <c r="AG55" s="3"/>
      <c r="AH55" s="4">
        <v>45680</v>
      </c>
      <c r="AI55" s="4">
        <f t="shared" si="229"/>
        <v>46409</v>
      </c>
      <c r="AJ55" s="8">
        <f t="shared" ca="1" si="8"/>
        <v>264</v>
      </c>
      <c r="AK55" s="5" t="str">
        <f t="shared" ca="1" si="219"/>
        <v>VIGENTE</v>
      </c>
      <c r="AL55" s="3"/>
      <c r="AM55" s="4">
        <v>45903</v>
      </c>
      <c r="AN55" s="4">
        <f>DATE(YEAR(AM55)+2,MONTH(AM55),DAY(AM55))</f>
        <v>46633</v>
      </c>
      <c r="AO55" s="8">
        <f t="shared" ca="1" si="10"/>
        <v>488</v>
      </c>
      <c r="AP55" s="5" t="str">
        <f t="shared" ca="1" si="11"/>
        <v>VIGENTE</v>
      </c>
      <c r="AQ55" s="3"/>
      <c r="AR55" s="4">
        <v>45703</v>
      </c>
      <c r="AS55" s="4">
        <f>DATE(YEAR(AR55)+2,MONTH(AR55),DAY(AR55)-1)</f>
        <v>46432</v>
      </c>
      <c r="AT55" s="8">
        <f t="shared" ca="1" si="12"/>
        <v>287</v>
      </c>
      <c r="AU55" s="5" t="str">
        <f t="shared" ca="1" si="13"/>
        <v>VIGENTE</v>
      </c>
      <c r="AV55" s="3"/>
      <c r="AW55" s="4">
        <v>45786</v>
      </c>
      <c r="AX55" s="4">
        <f>DATE(YEAR(AW55)+2,MONTH(AW55),DAY(AW55)-1)</f>
        <v>46515</v>
      </c>
      <c r="AY55" s="8">
        <f t="shared" ca="1" si="15"/>
        <v>370</v>
      </c>
      <c r="AZ55" s="5" t="str">
        <f t="shared" ca="1" si="16"/>
        <v>VIGENTE</v>
      </c>
      <c r="BA55" s="3"/>
      <c r="BB55" s="4">
        <v>45717</v>
      </c>
      <c r="BC55" s="4">
        <f>DATE(YEAR(BB55)+2,MONTH(BB55),DAY(BB55)-1)</f>
        <v>46446</v>
      </c>
      <c r="BD55" s="8">
        <f t="shared" ca="1" si="17"/>
        <v>301</v>
      </c>
      <c r="BE55" s="5" t="str">
        <f t="shared" ca="1" si="18"/>
        <v>VIGENTE</v>
      </c>
      <c r="BF55" s="3"/>
      <c r="BG55" s="4">
        <v>45880</v>
      </c>
      <c r="BH55" s="4">
        <f>DATE(YEAR(BG55)+2,MONTH(BG55),DAY(BG55))</f>
        <v>46610</v>
      </c>
      <c r="BI55" s="8">
        <f t="shared" ca="1" si="19"/>
        <v>465</v>
      </c>
      <c r="BJ55" s="5" t="str">
        <f t="shared" ca="1" si="20"/>
        <v>VIGENTE</v>
      </c>
      <c r="BK55" s="3"/>
      <c r="BL55" s="4">
        <v>45797</v>
      </c>
      <c r="BM55" s="4">
        <f t="shared" si="230"/>
        <v>46527</v>
      </c>
      <c r="BN55" s="8">
        <f t="shared" ca="1" si="21"/>
        <v>382</v>
      </c>
      <c r="BO55" s="5" t="str">
        <f t="shared" ca="1" si="22"/>
        <v>VIGENTE</v>
      </c>
      <c r="BP55" s="3"/>
      <c r="BQ55" s="39">
        <v>45701</v>
      </c>
      <c r="BR55" s="4">
        <f>DATE(YEAR(BQ55)+2,MONTH(BQ55),DAY(BQ55)-1)</f>
        <v>46430</v>
      </c>
      <c r="BS55" s="8">
        <f t="shared" ca="1" si="23"/>
        <v>285</v>
      </c>
      <c r="BT55" s="5" t="str">
        <f t="shared" ca="1" si="24"/>
        <v>VIGENTE</v>
      </c>
      <c r="BU55" s="3"/>
      <c r="BV55" s="4">
        <v>45853</v>
      </c>
      <c r="BW55" s="4">
        <f>DATE(YEAR(BV55)+2,MONTH(BV55),DAY(BV55))</f>
        <v>46583</v>
      </c>
      <c r="BX55" s="8">
        <f t="shared" ca="1" si="25"/>
        <v>438</v>
      </c>
      <c r="BY55" s="5" t="str">
        <f t="shared" ca="1" si="26"/>
        <v>VIGENTE</v>
      </c>
      <c r="BZ55" s="2"/>
      <c r="CA55" s="4">
        <v>45944</v>
      </c>
      <c r="CB55" s="4">
        <f>DATE(YEAR(CA55)+2,MONTH(CA55),DAY(CA55))</f>
        <v>46674</v>
      </c>
      <c r="CC55" s="8">
        <f t="shared" ca="1" si="27"/>
        <v>529</v>
      </c>
      <c r="CD55" s="5" t="str">
        <f t="shared" ca="1" si="28"/>
        <v>VIGENTE</v>
      </c>
      <c r="CE55" s="6"/>
      <c r="CF55" s="4">
        <v>45832</v>
      </c>
      <c r="CG55" s="4">
        <f t="shared" si="29"/>
        <v>47293</v>
      </c>
      <c r="CH55" s="8">
        <f t="shared" ca="1" si="30"/>
        <v>1148</v>
      </c>
      <c r="CI55" s="5" t="str">
        <f t="shared" ca="1" si="31"/>
        <v>VIGENTE</v>
      </c>
      <c r="CJ55" s="4"/>
      <c r="CK55" s="4">
        <v>45777</v>
      </c>
      <c r="CL55" s="4">
        <f>DATE(YEAR(CK55)+2,MONTH(CK55),DAY(CK55))</f>
        <v>46507</v>
      </c>
      <c r="CM55" s="8">
        <f t="shared" ca="1" si="32"/>
        <v>362</v>
      </c>
      <c r="CN55" s="5" t="str">
        <f t="shared" ca="1" si="33"/>
        <v>VIGENTE</v>
      </c>
      <c r="CO55" s="3"/>
      <c r="CP55" s="39">
        <v>45888</v>
      </c>
      <c r="CQ55" s="4">
        <f>DATE(YEAR(CP55)+2,MONTH(CP55),DAY(CP55))</f>
        <v>46618</v>
      </c>
      <c r="CR55" s="8">
        <f t="shared" ca="1" si="34"/>
        <v>473</v>
      </c>
      <c r="CS55" s="5" t="str">
        <f t="shared" ca="1" si="35"/>
        <v>VIGENTE</v>
      </c>
      <c r="CT55" s="3"/>
      <c r="CU55" s="4">
        <v>45805</v>
      </c>
      <c r="CV55" s="4">
        <f>DATE(YEAR(CU55)+2,MONTH(CU55),DAY(CU55))</f>
        <v>46535</v>
      </c>
      <c r="CW55" s="8">
        <f t="shared" ca="1" si="36"/>
        <v>390</v>
      </c>
      <c r="CX55" s="5" t="str">
        <f t="shared" ca="1" si="37"/>
        <v>VIGENTE</v>
      </c>
      <c r="CY55" s="3"/>
      <c r="CZ55" s="4">
        <v>45989</v>
      </c>
      <c r="DA55" s="4">
        <f>DATE(YEAR(CZ55)+2,MONTH(CZ55),DAY(CZ55))</f>
        <v>46719</v>
      </c>
      <c r="DB55" s="8">
        <f t="shared" ca="1" si="38"/>
        <v>574</v>
      </c>
      <c r="DC55" s="5" t="str">
        <f t="shared" ca="1" si="39"/>
        <v>VIGENTE</v>
      </c>
      <c r="DD55" s="3"/>
      <c r="DE55" s="39">
        <v>45689</v>
      </c>
      <c r="DF55" s="4">
        <f t="shared" si="227"/>
        <v>46418</v>
      </c>
      <c r="DG55" s="8">
        <f t="shared" ca="1" si="40"/>
        <v>273</v>
      </c>
      <c r="DH55" s="5" t="str">
        <f t="shared" ca="1" si="41"/>
        <v>VIGENTE</v>
      </c>
      <c r="DI55" s="3"/>
      <c r="DJ55" s="39">
        <v>45696</v>
      </c>
      <c r="DK55" s="4">
        <f>DATE(YEAR(DJ55)+2,MONTH(DJ55),DAY(DJ55)-1)</f>
        <v>46425</v>
      </c>
      <c r="DL55" s="8">
        <f t="shared" ca="1" si="43"/>
        <v>280</v>
      </c>
      <c r="DM55" s="5" t="str">
        <f t="shared" ca="1" si="44"/>
        <v>VIGENTE</v>
      </c>
      <c r="DN55" s="3"/>
      <c r="DO55" s="4">
        <v>46007</v>
      </c>
      <c r="DP55" s="4">
        <f>DATE(YEAR(DO55)+2,MONTH(DO55),DAY(DO55))</f>
        <v>46737</v>
      </c>
      <c r="DQ55" s="8">
        <f t="shared" ca="1" si="46"/>
        <v>592</v>
      </c>
      <c r="DR55" s="5" t="str">
        <f t="shared" ca="1" si="47"/>
        <v>VIGENTE</v>
      </c>
      <c r="DS55" s="3"/>
      <c r="DT55" s="4">
        <v>45885</v>
      </c>
      <c r="DU55" s="4">
        <f>DATE(YEAR(DT55)+2,MONTH(DT55),DAY(DT55))</f>
        <v>46615</v>
      </c>
      <c r="DV55" s="8">
        <f t="shared" ca="1" si="48"/>
        <v>470</v>
      </c>
      <c r="DW55" s="5" t="str">
        <f t="shared" ca="1" si="49"/>
        <v>VIGENTE</v>
      </c>
      <c r="DX55" s="3"/>
      <c r="DY55" s="4">
        <v>45769</v>
      </c>
      <c r="DZ55" s="4">
        <f>DATE(YEAR(DY55)+2,MONTH(DY55),DAY(DY55))</f>
        <v>46499</v>
      </c>
      <c r="EA55" s="8">
        <f t="shared" ca="1" si="50"/>
        <v>354</v>
      </c>
      <c r="EB55" s="5" t="str">
        <f t="shared" ca="1" si="51"/>
        <v>VIGENTE</v>
      </c>
      <c r="EC55" s="3"/>
      <c r="ED55" s="39">
        <v>45730</v>
      </c>
      <c r="EE55" s="4">
        <f>DATE(YEAR(ED55)+2,MONTH(ED55),DAY(ED55)-1)</f>
        <v>46459</v>
      </c>
      <c r="EF55" s="8">
        <f t="shared" ca="1" si="52"/>
        <v>314</v>
      </c>
      <c r="EG55" s="5" t="str">
        <f t="shared" ca="1" si="53"/>
        <v>VIGENTE</v>
      </c>
      <c r="EH55" s="3"/>
      <c r="EI55" s="3">
        <v>45911</v>
      </c>
      <c r="EJ55" s="4">
        <f t="shared" si="131"/>
        <v>46276</v>
      </c>
      <c r="EK55" s="8">
        <f t="shared" ca="1" si="54"/>
        <v>131</v>
      </c>
      <c r="EL55" s="5" t="str">
        <f t="shared" ca="1" si="55"/>
        <v>VIGENTE</v>
      </c>
      <c r="EM55" s="3"/>
      <c r="EN55" s="4">
        <v>45737</v>
      </c>
      <c r="EO55" s="4">
        <f>DATE(YEAR(EN55)+2,MONTH(EN55),DAY(EN55)-1)</f>
        <v>46466</v>
      </c>
      <c r="EP55" s="8">
        <f t="shared" ca="1" si="56"/>
        <v>321</v>
      </c>
      <c r="EQ55" s="5" t="str">
        <f t="shared" ca="1" si="57"/>
        <v>VIGENTE</v>
      </c>
      <c r="ER55" s="2"/>
      <c r="ES55" s="39">
        <v>45999</v>
      </c>
      <c r="ET55" s="4">
        <f>DATE(YEAR(ES55)+2,MONTH(ES55),DAY(ES55))</f>
        <v>46729</v>
      </c>
      <c r="EU55" s="8">
        <f t="shared" ca="1" si="58"/>
        <v>584</v>
      </c>
      <c r="EV55" s="5" t="str">
        <f t="shared" ca="1" si="59"/>
        <v>VIGENTE</v>
      </c>
      <c r="EW55" s="3"/>
      <c r="EX55" s="4">
        <v>45794</v>
      </c>
      <c r="EY55" s="4">
        <f>DATE(YEAR(EX55)+2,MONTH(EX55),DAY(EX55))</f>
        <v>46524</v>
      </c>
      <c r="EZ55" s="8">
        <f t="shared" ca="1" si="60"/>
        <v>379</v>
      </c>
      <c r="FA55" s="5" t="str">
        <f t="shared" ca="1" si="61"/>
        <v>VIGENTE</v>
      </c>
      <c r="FB55" s="3"/>
      <c r="FC55" s="4">
        <v>45988</v>
      </c>
      <c r="FD55" s="4">
        <f>DATE(YEAR(FC55)+2,MONTH(FC55),DAY(FC55))</f>
        <v>46718</v>
      </c>
      <c r="FE55" s="8">
        <f t="shared" ca="1" si="62"/>
        <v>573</v>
      </c>
      <c r="FF55" s="5" t="str">
        <f t="shared" ca="1" si="63"/>
        <v>VIGENTE</v>
      </c>
      <c r="FG55" s="3"/>
      <c r="FH55" s="4">
        <v>45878</v>
      </c>
      <c r="FI55" s="4">
        <f>DATE(YEAR(FH55)+2,MONTH(FH55),DAY(FH55))</f>
        <v>46608</v>
      </c>
      <c r="FJ55" s="8">
        <f t="shared" ca="1" si="64"/>
        <v>463</v>
      </c>
      <c r="FK55" s="5" t="str">
        <f t="shared" ca="1" si="65"/>
        <v>VIGENTE</v>
      </c>
      <c r="FL55" s="3"/>
      <c r="FM55" s="39">
        <v>45850</v>
      </c>
      <c r="FN55" s="4">
        <f>DATE(YEAR(FM55)+2,MONTH(FM55),DAY(FM55))</f>
        <v>46580</v>
      </c>
      <c r="FO55" s="8">
        <f t="shared" ca="1" si="67"/>
        <v>435</v>
      </c>
      <c r="FP55" s="5" t="str">
        <f t="shared" ca="1" si="68"/>
        <v>VIGENTE</v>
      </c>
      <c r="FQ55" s="3"/>
      <c r="FR55" s="39">
        <v>45782</v>
      </c>
      <c r="FS55" s="4">
        <f>DATE(YEAR(FR55)+2,MONTH(FR55),DAY(FR55))</f>
        <v>46512</v>
      </c>
      <c r="FT55" s="8">
        <f t="shared" ca="1" si="69"/>
        <v>367</v>
      </c>
      <c r="FU55" s="5" t="str">
        <f t="shared" ca="1" si="70"/>
        <v>VIGENTE</v>
      </c>
      <c r="FV55" s="3"/>
      <c r="FW55" s="4">
        <v>46014</v>
      </c>
      <c r="FX55" s="4">
        <f>DATE(YEAR(FW55)+2,MONTH(FW55),DAY(FW55))</f>
        <v>46744</v>
      </c>
      <c r="FY55" s="8">
        <f t="shared" ca="1" si="71"/>
        <v>599</v>
      </c>
      <c r="FZ55" s="5" t="str">
        <f t="shared" ca="1" si="72"/>
        <v>VIGENTE</v>
      </c>
      <c r="GA55" s="3"/>
      <c r="GB55" s="4">
        <v>45925</v>
      </c>
      <c r="GC55" s="4">
        <f>DATE(YEAR(GB55)+2,MONTH(GB55),DAY(GB55))</f>
        <v>46655</v>
      </c>
      <c r="GD55" s="8">
        <f t="shared" ca="1" si="73"/>
        <v>510</v>
      </c>
      <c r="GE55" s="5" t="str">
        <f t="shared" ca="1" si="74"/>
        <v>VIGENTE</v>
      </c>
      <c r="GF55" s="3"/>
      <c r="GG55" s="4">
        <v>45960</v>
      </c>
      <c r="GH55" s="4">
        <f>DATE(YEAR(GG55)+2,MONTH(GG55),DAY(GG55))</f>
        <v>46690</v>
      </c>
      <c r="GI55" s="8">
        <f t="shared" ca="1" si="75"/>
        <v>545</v>
      </c>
      <c r="GJ55" s="5" t="str">
        <f t="shared" ca="1" si="76"/>
        <v>VIGENTE</v>
      </c>
      <c r="GK55" s="3"/>
      <c r="GL55" s="4">
        <v>45848</v>
      </c>
      <c r="GM55" s="4">
        <f>DATE(YEAR(GL55)+2,MONTH(GL55),DAY(GL55))</f>
        <v>46578</v>
      </c>
      <c r="GN55" s="8">
        <f t="shared" ca="1" si="77"/>
        <v>433</v>
      </c>
      <c r="GO55" s="5" t="str">
        <f t="shared" ca="1" si="78"/>
        <v>VIGENTE</v>
      </c>
      <c r="GP55" s="4"/>
      <c r="GQ55" s="4">
        <v>45048</v>
      </c>
      <c r="GR55" s="4">
        <f t="shared" si="79"/>
        <v>46875</v>
      </c>
      <c r="GS55" s="8">
        <f t="shared" ca="1" si="176"/>
        <v>730</v>
      </c>
      <c r="GT55" s="5" t="str">
        <f t="shared" ca="1" si="81"/>
        <v>VIGENTE</v>
      </c>
      <c r="GU55" s="3"/>
      <c r="GV55" s="4">
        <v>45245</v>
      </c>
      <c r="GW55" s="4">
        <f t="shared" si="82"/>
        <v>47072</v>
      </c>
      <c r="GX55" s="8">
        <f t="shared" ca="1" si="83"/>
        <v>927</v>
      </c>
      <c r="GY55" s="5" t="str">
        <f t="shared" ca="1" si="84"/>
        <v>VIGENTE</v>
      </c>
      <c r="GZ55" s="2"/>
      <c r="HA55" s="4">
        <v>45160</v>
      </c>
      <c r="HB55" s="4">
        <f t="shared" si="85"/>
        <v>46987</v>
      </c>
      <c r="HC55" s="8">
        <f t="shared" ca="1" si="86"/>
        <v>842</v>
      </c>
      <c r="HD55" s="5" t="str">
        <f t="shared" ca="1" si="87"/>
        <v>VIGENTE</v>
      </c>
      <c r="HE55" s="6"/>
      <c r="HF55" s="6"/>
      <c r="HG55" s="4"/>
      <c r="HH55" s="8"/>
      <c r="HI55" s="5" t="str">
        <f t="shared" si="224"/>
        <v>NO APLICA</v>
      </c>
      <c r="HJ55" s="2"/>
      <c r="HK55" s="6"/>
      <c r="HL55" s="4"/>
      <c r="HM55" s="8"/>
      <c r="HN55" s="5" t="str">
        <f t="shared" si="228"/>
        <v>NO APLICA</v>
      </c>
      <c r="HO55" s="2"/>
      <c r="HP55" s="2"/>
      <c r="HQ55" s="4"/>
      <c r="HR55" s="2"/>
      <c r="HS55" s="5" t="str">
        <f t="shared" si="92"/>
        <v>NO APLICA</v>
      </c>
      <c r="HT55" s="2"/>
      <c r="HU55" s="6"/>
      <c r="HV55" s="4"/>
      <c r="HW55" s="8"/>
      <c r="HX55" s="5" t="str">
        <f t="shared" si="93"/>
        <v>NO APLICA</v>
      </c>
      <c r="HY55" s="2"/>
      <c r="HZ55" s="6"/>
      <c r="IA55" s="4"/>
      <c r="IB55" s="8"/>
      <c r="IC55" s="5" t="str">
        <f t="shared" si="94"/>
        <v>NO APLICA</v>
      </c>
      <c r="ID55" s="2"/>
      <c r="IE55" s="6"/>
      <c r="IF55" s="4"/>
      <c r="IG55" s="8"/>
      <c r="IH55" s="5" t="str">
        <f t="shared" si="95"/>
        <v>NO APLICA</v>
      </c>
      <c r="II55" s="6"/>
      <c r="IJ55" s="6"/>
      <c r="IK55" s="4"/>
      <c r="IL55" s="8"/>
      <c r="IM55" s="5" t="str">
        <f t="shared" si="96"/>
        <v>NO APLICA</v>
      </c>
      <c r="IN55" s="2"/>
      <c r="IO55" s="6"/>
      <c r="IP55" s="4"/>
      <c r="IQ55" s="8"/>
      <c r="IR55" s="5" t="str">
        <f t="shared" si="97"/>
        <v>NO APLICA</v>
      </c>
      <c r="IS55" s="2"/>
      <c r="IT55" s="6"/>
      <c r="IU55" s="4"/>
      <c r="IV55" s="8"/>
      <c r="IW55" s="5" t="str">
        <f t="shared" si="98"/>
        <v>NO APLICA</v>
      </c>
      <c r="IX55" s="2"/>
      <c r="IY55" s="6"/>
      <c r="IZ55" s="4"/>
      <c r="JA55" s="8"/>
      <c r="JB55" s="5" t="str">
        <f t="shared" si="99"/>
        <v>NO APLICA</v>
      </c>
      <c r="JC55" s="3" t="s">
        <v>780</v>
      </c>
      <c r="JD55" s="3"/>
      <c r="JE55" s="4"/>
      <c r="JF55" s="8"/>
      <c r="JG55" s="5"/>
      <c r="JH55" s="3" t="s">
        <v>780</v>
      </c>
      <c r="JI55" s="6"/>
      <c r="JJ55" s="6"/>
      <c r="JK55" s="6"/>
      <c r="JL55" s="5"/>
      <c r="JM55" s="6" t="s">
        <v>780</v>
      </c>
      <c r="JN55" s="6"/>
      <c r="JO55" s="6"/>
      <c r="JP55" s="6"/>
      <c r="JQ55" s="5"/>
      <c r="JR55" s="6" t="s">
        <v>780</v>
      </c>
      <c r="JS55" s="6"/>
      <c r="JT55" s="6"/>
      <c r="JU55" s="6"/>
      <c r="JV55" s="5"/>
      <c r="JW55" s="6" t="s">
        <v>780</v>
      </c>
      <c r="JX55" s="5"/>
      <c r="JY55" s="5"/>
      <c r="JZ55" s="5"/>
      <c r="KA55" s="5"/>
      <c r="KB55" s="5"/>
      <c r="KC55" s="2"/>
      <c r="KD55" s="4"/>
      <c r="KE55" s="8"/>
      <c r="KF55" s="5" t="str">
        <f t="shared" si="135"/>
        <v>NO APLICA</v>
      </c>
      <c r="KG55" s="5"/>
      <c r="KH55" s="2"/>
      <c r="KI55" s="4"/>
      <c r="KJ55" s="8"/>
      <c r="KK55" s="5" t="str">
        <f t="shared" si="136"/>
        <v>NO APLICA</v>
      </c>
      <c r="KL55" s="5"/>
      <c r="KM55" s="2"/>
      <c r="KN55" s="4"/>
      <c r="KO55" s="8"/>
      <c r="KP55" s="5" t="str">
        <f t="shared" si="100"/>
        <v>NO APLICA</v>
      </c>
      <c r="KQ55" s="5"/>
      <c r="KR55" s="2"/>
      <c r="KS55" s="4"/>
      <c r="KT55" s="8"/>
      <c r="KU55" s="5" t="str">
        <f t="shared" si="137"/>
        <v>NO APLICA</v>
      </c>
      <c r="KV55" s="2"/>
      <c r="KW55" s="6"/>
      <c r="KX55" s="4"/>
      <c r="KY55" s="8"/>
      <c r="KZ55" s="5" t="str">
        <f t="shared" si="151"/>
        <v>NO APLICA</v>
      </c>
      <c r="LA55" s="5"/>
      <c r="LB55" s="6"/>
      <c r="LC55" s="4"/>
      <c r="LD55" s="8"/>
      <c r="LE55" s="5" t="str">
        <f t="shared" si="138"/>
        <v>NO APLICA</v>
      </c>
      <c r="LF55" s="6"/>
      <c r="LG55" s="6"/>
      <c r="LH55" s="4"/>
      <c r="LI55" s="8"/>
      <c r="LJ55" s="5" t="str">
        <f t="shared" si="101"/>
        <v>NO APLICA</v>
      </c>
      <c r="LK55" s="5"/>
      <c r="LL55" s="5"/>
      <c r="LM55" s="5"/>
      <c r="LN55" s="5"/>
      <c r="LO55" s="5" t="str">
        <f t="shared" si="152"/>
        <v>NO APLICA</v>
      </c>
      <c r="LP55" s="2"/>
      <c r="LQ55" s="6"/>
      <c r="LR55" s="4"/>
      <c r="LS55" s="8"/>
      <c r="LT55" s="5" t="str">
        <f t="shared" si="139"/>
        <v>NO APLICA</v>
      </c>
      <c r="LU55" s="6"/>
      <c r="LV55" s="6"/>
      <c r="LW55" s="4"/>
      <c r="LX55" s="8"/>
      <c r="LY55" s="5" t="str">
        <f t="shared" si="140"/>
        <v>NO APLICA</v>
      </c>
      <c r="LZ55" s="6"/>
      <c r="MA55" s="6"/>
      <c r="MB55" s="4"/>
      <c r="MC55" s="8"/>
      <c r="MD55" s="5" t="str">
        <f t="shared" si="141"/>
        <v>NO APLICA</v>
      </c>
      <c r="ME55" s="2"/>
      <c r="MF55" s="2"/>
      <c r="MG55" s="4"/>
      <c r="MH55" s="8"/>
      <c r="MI55" s="5" t="str">
        <f t="shared" si="102"/>
        <v>NO APLICA</v>
      </c>
      <c r="MJ55" s="2"/>
      <c r="MK55" s="2"/>
      <c r="ML55" s="4"/>
      <c r="MM55" s="8"/>
      <c r="MN55" s="5" t="str">
        <f t="shared" si="103"/>
        <v>NO APLICA</v>
      </c>
      <c r="MO55" s="5"/>
      <c r="MP55" s="2"/>
      <c r="MQ55" s="4"/>
      <c r="MR55" s="8"/>
      <c r="MS55" s="5" t="str">
        <f t="shared" si="104"/>
        <v>NO APLICA</v>
      </c>
      <c r="MT55" s="5"/>
      <c r="MU55" s="2"/>
      <c r="MV55" s="4"/>
      <c r="MW55" s="2"/>
      <c r="MX55" s="5" t="str">
        <f t="shared" si="105"/>
        <v>NO APLICA</v>
      </c>
      <c r="MY55" s="2"/>
      <c r="MZ55" s="6"/>
      <c r="NA55" s="4"/>
      <c r="NB55" s="8"/>
      <c r="NC55" s="5" t="str">
        <f t="shared" si="106"/>
        <v>NO APLICA</v>
      </c>
      <c r="ND55" s="2"/>
      <c r="NE55" s="6"/>
      <c r="NF55" s="4"/>
      <c r="NG55" s="8"/>
      <c r="NH55" s="5" t="str">
        <f t="shared" si="107"/>
        <v>NO APLICA</v>
      </c>
      <c r="NI55" s="2"/>
      <c r="NJ55" s="6"/>
      <c r="NK55" s="4"/>
      <c r="NL55" s="8"/>
      <c r="NM55" s="5" t="str">
        <f t="shared" si="108"/>
        <v>NO APLICA</v>
      </c>
      <c r="NN55" s="2"/>
      <c r="NO55" s="2"/>
      <c r="NP55" s="4"/>
      <c r="NQ55" s="2"/>
      <c r="NR55" s="5" t="str">
        <f t="shared" si="109"/>
        <v>NO APLICA</v>
      </c>
      <c r="NS55" s="2"/>
      <c r="NT55" s="2"/>
      <c r="NU55" s="4"/>
      <c r="NV55" s="2"/>
      <c r="NW55" s="5" t="str">
        <f t="shared" si="110"/>
        <v>NO APLICA</v>
      </c>
      <c r="NX55" s="6"/>
      <c r="NY55" s="6"/>
      <c r="NZ55" s="4"/>
      <c r="OA55" s="8"/>
      <c r="OB55" s="5" t="str">
        <f t="shared" si="111"/>
        <v>NO APLICA</v>
      </c>
      <c r="OC55" s="6"/>
      <c r="OD55" s="6"/>
      <c r="OE55" s="6"/>
      <c r="OF55" s="6"/>
      <c r="OG55" s="5" t="str">
        <f t="shared" si="112"/>
        <v>NO APLICA</v>
      </c>
      <c r="OH55" s="6"/>
      <c r="OI55" s="6"/>
      <c r="OJ55" s="4"/>
      <c r="OK55" s="8"/>
      <c r="OL55" s="5" t="str">
        <f t="shared" si="113"/>
        <v>NO APLICA</v>
      </c>
      <c r="OM55" s="6"/>
      <c r="ON55" s="6"/>
      <c r="OO55" s="6"/>
      <c r="OP55" s="6"/>
      <c r="OQ55" s="5" t="str">
        <f t="shared" si="114"/>
        <v>NO APLICA</v>
      </c>
      <c r="OR55" s="6"/>
      <c r="OS55" s="6"/>
      <c r="OT55" s="6"/>
      <c r="OU55" s="6"/>
      <c r="OV55" s="5" t="str">
        <f t="shared" si="115"/>
        <v>NO APLICA</v>
      </c>
      <c r="OW55" s="6"/>
      <c r="OX55" s="6"/>
      <c r="OY55" s="6"/>
      <c r="OZ55" s="6"/>
      <c r="PA55" s="5" t="str">
        <f t="shared" si="116"/>
        <v>NO APLICA</v>
      </c>
      <c r="PB55" s="6"/>
      <c r="PC55" s="6"/>
      <c r="PD55" s="6"/>
      <c r="PE55" s="6"/>
      <c r="PF55" s="5" t="str">
        <f t="shared" si="117"/>
        <v>NO APLICA</v>
      </c>
      <c r="PG55" s="6"/>
      <c r="PH55" s="6"/>
      <c r="PI55" s="6"/>
      <c r="PJ55" s="6"/>
      <c r="PK55" s="5" t="str">
        <f t="shared" si="118"/>
        <v>NO APLICA</v>
      </c>
      <c r="PL55" s="5"/>
      <c r="PM55" s="6"/>
      <c r="PN55" s="4"/>
      <c r="PO55" s="8"/>
      <c r="PP55" s="5" t="str">
        <f t="shared" si="119"/>
        <v>NO APLICA</v>
      </c>
      <c r="PQ55" s="6"/>
      <c r="PR55" s="6"/>
      <c r="PS55" s="6"/>
      <c r="PT55" s="6"/>
      <c r="PU55" s="5" t="str">
        <f t="shared" si="120"/>
        <v>NO APLICA</v>
      </c>
      <c r="PV55" s="5"/>
      <c r="PW55" s="6"/>
      <c r="PX55" s="6"/>
      <c r="PY55" s="6"/>
      <c r="PZ55" s="5" t="str">
        <f t="shared" si="121"/>
        <v>NO APLICA</v>
      </c>
    </row>
    <row r="56" spans="1:442" ht="15.6" hidden="1" thickTop="1" thickBot="1" x14ac:dyDescent="0.35">
      <c r="A56" s="26">
        <v>53</v>
      </c>
      <c r="B56" s="27">
        <v>1253</v>
      </c>
      <c r="C56" s="28" t="s">
        <v>229</v>
      </c>
      <c r="D56" s="29" t="s">
        <v>68</v>
      </c>
      <c r="E56" s="30" t="s">
        <v>192</v>
      </c>
      <c r="F56" s="5"/>
      <c r="G56" s="6"/>
      <c r="H56" s="4"/>
      <c r="I56" s="8"/>
      <c r="J56" s="5" t="str">
        <f t="shared" si="0"/>
        <v>NO APLICA</v>
      </c>
      <c r="K56" s="5"/>
      <c r="L56" s="6"/>
      <c r="M56" s="6"/>
      <c r="N56" s="8"/>
      <c r="O56" s="5" t="str">
        <f t="shared" si="1"/>
        <v>NO APLICA</v>
      </c>
      <c r="P56" s="4"/>
      <c r="Q56" s="4">
        <v>45604</v>
      </c>
      <c r="R56" s="4">
        <f>DATE(YEAR(Q56)+2,MONTH(Q56),DAY(Q56)-1)</f>
        <v>46333</v>
      </c>
      <c r="S56" s="8">
        <f ca="1">R56-TODAY()</f>
        <v>188</v>
      </c>
      <c r="T56" s="5" t="str">
        <f t="shared" ca="1" si="122"/>
        <v>VIGENTE</v>
      </c>
      <c r="U56" s="5"/>
      <c r="V56" s="2" t="s">
        <v>230</v>
      </c>
      <c r="W56" s="4">
        <v>44772</v>
      </c>
      <c r="X56" s="4">
        <f t="shared" si="2"/>
        <v>46598</v>
      </c>
      <c r="Y56" s="8">
        <f t="shared" ca="1" si="3"/>
        <v>453</v>
      </c>
      <c r="Z56" s="5" t="str">
        <f t="shared" ca="1" si="4"/>
        <v>VIGENTE</v>
      </c>
      <c r="AA56" s="5"/>
      <c r="AB56" s="2" t="s">
        <v>231</v>
      </c>
      <c r="AC56" s="4">
        <v>44988</v>
      </c>
      <c r="AD56" s="4">
        <f>DATE(YEAR(AC56)+5,MONTH(AC56),DAY(AC56))</f>
        <v>46815</v>
      </c>
      <c r="AE56" s="8">
        <f ca="1">AD56-TODAY()</f>
        <v>670</v>
      </c>
      <c r="AF56" s="5" t="str">
        <f t="shared" ca="1" si="7"/>
        <v>VIGENTE</v>
      </c>
      <c r="AG56" s="3"/>
      <c r="AH56" s="4">
        <v>45589</v>
      </c>
      <c r="AI56" s="4">
        <f t="shared" si="229"/>
        <v>46318</v>
      </c>
      <c r="AJ56" s="8">
        <f t="shared" ca="1" si="8"/>
        <v>173</v>
      </c>
      <c r="AK56" s="5" t="str">
        <f t="shared" ca="1" si="219"/>
        <v>VIGENTE</v>
      </c>
      <c r="AL56" s="3"/>
      <c r="AM56" s="4">
        <v>46062</v>
      </c>
      <c r="AN56" s="4">
        <f>DATE(YEAR(AM56)+2,MONTH(AM56),DAY(AM56))</f>
        <v>46792</v>
      </c>
      <c r="AO56" s="8">
        <f t="shared" ca="1" si="10"/>
        <v>647</v>
      </c>
      <c r="AP56" s="5" t="str">
        <f t="shared" ca="1" si="11"/>
        <v>VIGENTE</v>
      </c>
      <c r="AQ56" s="3"/>
      <c r="AR56" s="4">
        <v>46083</v>
      </c>
      <c r="AS56" s="4">
        <f>DATE(YEAR(AR56)+2,MONTH(AR56),DAY(AR56))</f>
        <v>46814</v>
      </c>
      <c r="AT56" s="8">
        <f t="shared" ca="1" si="12"/>
        <v>669</v>
      </c>
      <c r="AU56" s="5" t="str">
        <f t="shared" ca="1" si="13"/>
        <v>VIGENTE</v>
      </c>
      <c r="AV56" s="3"/>
      <c r="AW56" s="4">
        <v>46070</v>
      </c>
      <c r="AX56" s="4">
        <f>DATE(YEAR(AW56)+2,MONTH(AW56),DAY(AW56))</f>
        <v>46800</v>
      </c>
      <c r="AY56" s="8">
        <f t="shared" ca="1" si="15"/>
        <v>655</v>
      </c>
      <c r="AZ56" s="5" t="str">
        <f t="shared" ca="1" si="16"/>
        <v>VIGENTE</v>
      </c>
      <c r="BA56" s="3"/>
      <c r="BB56" s="4">
        <v>46118</v>
      </c>
      <c r="BC56" s="4">
        <f>DATE(YEAR(BB56)+2,MONTH(BB56),DAY(BB56)-1)</f>
        <v>46848</v>
      </c>
      <c r="BD56" s="8">
        <f t="shared" ca="1" si="17"/>
        <v>703</v>
      </c>
      <c r="BE56" s="5" t="str">
        <f t="shared" ca="1" si="18"/>
        <v>VIGENTE</v>
      </c>
      <c r="BF56" s="3"/>
      <c r="BG56" s="4">
        <v>46027</v>
      </c>
      <c r="BH56" s="4">
        <f>DATE(YEAR(BG56)+2,MONTH(BG56),DAY(BG56))</f>
        <v>46757</v>
      </c>
      <c r="BI56" s="8">
        <f t="shared" ca="1" si="19"/>
        <v>612</v>
      </c>
      <c r="BJ56" s="5" t="str">
        <f t="shared" ca="1" si="20"/>
        <v>VIGENTE</v>
      </c>
      <c r="BK56" s="3"/>
      <c r="BL56" s="4">
        <v>46051</v>
      </c>
      <c r="BM56" s="4">
        <f t="shared" si="230"/>
        <v>46781</v>
      </c>
      <c r="BN56" s="8">
        <f t="shared" ca="1" si="21"/>
        <v>636</v>
      </c>
      <c r="BO56" s="5" t="str">
        <f t="shared" ca="1" si="22"/>
        <v>VIGENTE</v>
      </c>
      <c r="BP56" s="3"/>
      <c r="BQ56" s="39">
        <v>46069</v>
      </c>
      <c r="BR56" s="4">
        <f>DATE(YEAR(BQ56)+2,MONTH(BQ56),DAY(BQ56))</f>
        <v>46799</v>
      </c>
      <c r="BS56" s="8">
        <f t="shared" ca="1" si="23"/>
        <v>654</v>
      </c>
      <c r="BT56" s="5" t="str">
        <f t="shared" ca="1" si="24"/>
        <v>VIGENTE</v>
      </c>
      <c r="BU56" s="3"/>
      <c r="BV56" s="4">
        <v>46126</v>
      </c>
      <c r="BW56" s="4">
        <f>DATE(YEAR(BV56)+2,MONTH(BV56),DAY(BV56)-1)</f>
        <v>46856</v>
      </c>
      <c r="BX56" s="8">
        <f t="shared" ca="1" si="25"/>
        <v>711</v>
      </c>
      <c r="BY56" s="5" t="str">
        <f t="shared" ca="1" si="26"/>
        <v>VIGENTE</v>
      </c>
      <c r="BZ56" s="3"/>
      <c r="CA56" s="4">
        <v>46065</v>
      </c>
      <c r="CB56" s="4">
        <f>DATE(YEAR(CA56)+2,MONTH(CA56),DAY(CA56))</f>
        <v>46795</v>
      </c>
      <c r="CC56" s="8">
        <f t="shared" ca="1" si="27"/>
        <v>650</v>
      </c>
      <c r="CD56" s="5" t="str">
        <f t="shared" ca="1" si="28"/>
        <v>VIGENTE</v>
      </c>
      <c r="CE56" s="6"/>
      <c r="CF56" s="4">
        <v>45227</v>
      </c>
      <c r="CG56" s="4">
        <f t="shared" si="29"/>
        <v>46688</v>
      </c>
      <c r="CH56" s="8">
        <f t="shared" ca="1" si="30"/>
        <v>543</v>
      </c>
      <c r="CI56" s="5" t="str">
        <f t="shared" ca="1" si="31"/>
        <v>VIGENTE</v>
      </c>
      <c r="CJ56" s="4"/>
      <c r="CK56" s="4">
        <v>46064</v>
      </c>
      <c r="CL56" s="4">
        <f>DATE(YEAR(CK56)+2,MONTH(CK56),DAY(CK56))</f>
        <v>46794</v>
      </c>
      <c r="CM56" s="8">
        <f t="shared" ca="1" si="32"/>
        <v>649</v>
      </c>
      <c r="CN56" s="5" t="str">
        <f t="shared" ca="1" si="33"/>
        <v>VIGENTE</v>
      </c>
      <c r="CO56" s="3"/>
      <c r="CP56" s="39">
        <v>46038</v>
      </c>
      <c r="CQ56" s="4">
        <f>DATE(YEAR(CP56)+2,MONTH(CP56),DAY(CP56))</f>
        <v>46768</v>
      </c>
      <c r="CR56" s="8">
        <f t="shared" ca="1" si="34"/>
        <v>623</v>
      </c>
      <c r="CS56" s="5" t="str">
        <f t="shared" ca="1" si="35"/>
        <v>VIGENTE</v>
      </c>
      <c r="CT56" s="3"/>
      <c r="CU56" s="4">
        <v>45639</v>
      </c>
      <c r="CV56" s="4">
        <f>DATE(YEAR(CU56)+2,MONTH(CU56),DAY(CU56)-1)</f>
        <v>46368</v>
      </c>
      <c r="CW56" s="8">
        <f t="shared" ca="1" si="36"/>
        <v>223</v>
      </c>
      <c r="CX56" s="5" t="str">
        <f t="shared" ca="1" si="37"/>
        <v>VIGENTE</v>
      </c>
      <c r="CY56" s="3"/>
      <c r="CZ56" s="4">
        <v>45665</v>
      </c>
      <c r="DA56" s="4">
        <f>DATE(YEAR(CZ56)+2,MONTH(CZ56),DAY(CZ56)-1)</f>
        <v>46394</v>
      </c>
      <c r="DB56" s="8">
        <f t="shared" ca="1" si="38"/>
        <v>249</v>
      </c>
      <c r="DC56" s="5" t="str">
        <f t="shared" ca="1" si="39"/>
        <v>VIGENTE</v>
      </c>
      <c r="DD56" s="3"/>
      <c r="DE56" s="39">
        <v>45689</v>
      </c>
      <c r="DF56" s="4">
        <f t="shared" si="227"/>
        <v>46418</v>
      </c>
      <c r="DG56" s="8">
        <f t="shared" ca="1" si="40"/>
        <v>273</v>
      </c>
      <c r="DH56" s="5" t="str">
        <f t="shared" ca="1" si="41"/>
        <v>VIGENTE</v>
      </c>
      <c r="DI56" s="3"/>
      <c r="DJ56" s="39">
        <v>46029</v>
      </c>
      <c r="DK56" s="4">
        <f>DATE(YEAR(DJ56)+2,MONTH(DJ56),DAY(DJ56))</f>
        <v>46759</v>
      </c>
      <c r="DL56" s="8">
        <f t="shared" ca="1" si="43"/>
        <v>614</v>
      </c>
      <c r="DM56" s="5" t="str">
        <f t="shared" ca="1" si="44"/>
        <v>VIGENTE</v>
      </c>
      <c r="DN56" s="3"/>
      <c r="DO56" s="4">
        <v>46128</v>
      </c>
      <c r="DP56" s="4">
        <f>DATE(YEAR(DO56)+2,MONTH(DO56),DAY(DO56)-1)</f>
        <v>46858</v>
      </c>
      <c r="DQ56" s="8">
        <f t="shared" ca="1" si="46"/>
        <v>713</v>
      </c>
      <c r="DR56" s="5" t="str">
        <f t="shared" ca="1" si="47"/>
        <v>VIGENTE</v>
      </c>
      <c r="DS56" s="3"/>
      <c r="DT56" s="4">
        <v>46053</v>
      </c>
      <c r="DU56" s="4">
        <f>DATE(YEAR(DT56)+2,MONTH(DT56),DAY(DT56))</f>
        <v>46783</v>
      </c>
      <c r="DV56" s="8">
        <f t="shared" ca="1" si="48"/>
        <v>638</v>
      </c>
      <c r="DW56" s="5" t="str">
        <f t="shared" ca="1" si="49"/>
        <v>VIGENTE</v>
      </c>
      <c r="DX56" s="3"/>
      <c r="DY56" s="4">
        <v>46099</v>
      </c>
      <c r="DZ56" s="4">
        <f>DATE(YEAR(DY56)+2,MONTH(DY56),DAY(DY56))</f>
        <v>46830</v>
      </c>
      <c r="EA56" s="8">
        <f t="shared" ca="1" si="50"/>
        <v>685</v>
      </c>
      <c r="EB56" s="5" t="str">
        <f t="shared" ca="1" si="51"/>
        <v>VIGENTE</v>
      </c>
      <c r="EC56" s="3"/>
      <c r="ED56" s="39">
        <v>46104</v>
      </c>
      <c r="EE56" s="4">
        <f>DATE(YEAR(ED56)+2,MONTH(ED56),DAY(ED56))</f>
        <v>46835</v>
      </c>
      <c r="EF56" s="8">
        <f t="shared" ca="1" si="52"/>
        <v>690</v>
      </c>
      <c r="EG56" s="5" t="str">
        <f t="shared" ca="1" si="53"/>
        <v>VIGENTE</v>
      </c>
      <c r="EH56" s="3"/>
      <c r="EI56" s="4">
        <v>45948</v>
      </c>
      <c r="EJ56" s="4">
        <f t="shared" si="131"/>
        <v>46313</v>
      </c>
      <c r="EK56" s="8">
        <f t="shared" ca="1" si="54"/>
        <v>168</v>
      </c>
      <c r="EL56" s="5" t="str">
        <f t="shared" ca="1" si="55"/>
        <v>VIGENTE</v>
      </c>
      <c r="EM56" s="3"/>
      <c r="EN56" s="4">
        <v>46100</v>
      </c>
      <c r="EO56" s="4">
        <f>DATE(YEAR(EN56)+2,MONTH(EN56),DAY(EN56))</f>
        <v>46831</v>
      </c>
      <c r="EP56" s="8">
        <f t="shared" ca="1" si="56"/>
        <v>686</v>
      </c>
      <c r="EQ56" s="5" t="str">
        <f t="shared" ca="1" si="57"/>
        <v>VIGENTE</v>
      </c>
      <c r="ER56" s="3"/>
      <c r="ES56" s="39">
        <v>46094</v>
      </c>
      <c r="ET56" s="4">
        <f>DATE(YEAR(ES56)+2,MONTH(ES56),DAY(ES56))</f>
        <v>46825</v>
      </c>
      <c r="EU56" s="8">
        <f t="shared" ca="1" si="58"/>
        <v>680</v>
      </c>
      <c r="EV56" s="5" t="str">
        <f t="shared" ca="1" si="59"/>
        <v>VIGENTE</v>
      </c>
      <c r="EW56" s="3"/>
      <c r="EX56" s="4">
        <v>46063</v>
      </c>
      <c r="EY56" s="4">
        <f>DATE(YEAR(EX56)+2,MONTH(EX56),DAY(EX56))</f>
        <v>46793</v>
      </c>
      <c r="EZ56" s="8">
        <f t="shared" ca="1" si="60"/>
        <v>648</v>
      </c>
      <c r="FA56" s="5" t="str">
        <f t="shared" ca="1" si="61"/>
        <v>VIGENTE</v>
      </c>
      <c r="FB56" s="3"/>
      <c r="FC56" s="4">
        <v>46091</v>
      </c>
      <c r="FD56" s="4">
        <f>DATE(YEAR(FC56)+2,MONTH(FC56),DAY(FC56))</f>
        <v>46822</v>
      </c>
      <c r="FE56" s="8">
        <f t="shared" ca="1" si="62"/>
        <v>677</v>
      </c>
      <c r="FF56" s="5" t="str">
        <f t="shared" ca="1" si="63"/>
        <v>VIGENTE</v>
      </c>
      <c r="FG56" s="3"/>
      <c r="FH56" s="4">
        <v>46066</v>
      </c>
      <c r="FI56" s="4">
        <f>DATE(YEAR(FH56)+2,MONTH(FH56),DAY(FH56))</f>
        <v>46796</v>
      </c>
      <c r="FJ56" s="8">
        <f t="shared" ca="1" si="64"/>
        <v>651</v>
      </c>
      <c r="FK56" s="5" t="str">
        <f t="shared" ca="1" si="65"/>
        <v>VIGENTE</v>
      </c>
      <c r="FL56" s="3"/>
      <c r="FM56" s="39">
        <v>46102</v>
      </c>
      <c r="FN56" s="4">
        <f>DATE(YEAR(FM56)+2,MONTH(FM56),DAY(FM56))</f>
        <v>46833</v>
      </c>
      <c r="FO56" s="8">
        <f t="shared" ca="1" si="67"/>
        <v>688</v>
      </c>
      <c r="FP56" s="5" t="str">
        <f t="shared" ca="1" si="68"/>
        <v>VIGENTE</v>
      </c>
      <c r="FQ56" s="3"/>
      <c r="FR56" s="39">
        <v>46057</v>
      </c>
      <c r="FS56" s="4">
        <f>DATE(YEAR(FR56)+2,MONTH(FR56),DAY(FR56))</f>
        <v>46787</v>
      </c>
      <c r="FT56" s="8">
        <f t="shared" ca="1" si="69"/>
        <v>642</v>
      </c>
      <c r="FU56" s="5" t="str">
        <f t="shared" ca="1" si="70"/>
        <v>VIGENTE</v>
      </c>
      <c r="FV56" s="3"/>
      <c r="FW56" s="4">
        <v>45581</v>
      </c>
      <c r="FX56" s="4">
        <f>DATE(YEAR(FW56)+2,MONTH(FW56),DAY(FW56)-1)</f>
        <v>46310</v>
      </c>
      <c r="FY56" s="8">
        <f t="shared" ca="1" si="71"/>
        <v>165</v>
      </c>
      <c r="FZ56" s="5" t="str">
        <f t="shared" ca="1" si="72"/>
        <v>VIGENTE</v>
      </c>
      <c r="GA56" s="3"/>
      <c r="GB56" s="4">
        <v>46030</v>
      </c>
      <c r="GC56" s="4">
        <f>DATE(YEAR(GB56)+2,MONTH(GB56),DAY(GB56))</f>
        <v>46760</v>
      </c>
      <c r="GD56" s="8">
        <f t="shared" ca="1" si="73"/>
        <v>615</v>
      </c>
      <c r="GE56" s="5" t="str">
        <f t="shared" ca="1" si="74"/>
        <v>VIGENTE</v>
      </c>
      <c r="GF56" s="3"/>
      <c r="GG56" s="4">
        <v>46036</v>
      </c>
      <c r="GH56" s="4">
        <f>DATE(YEAR(GG56)+2,MONTH(GG56),DAY(GG56))</f>
        <v>46766</v>
      </c>
      <c r="GI56" s="8">
        <f t="shared" ca="1" si="75"/>
        <v>621</v>
      </c>
      <c r="GJ56" s="5" t="str">
        <f t="shared" ca="1" si="76"/>
        <v>VIGENTE</v>
      </c>
      <c r="GK56" s="3"/>
      <c r="GL56" s="4">
        <v>46071</v>
      </c>
      <c r="GM56" s="4">
        <f>DATE(YEAR(GL56)+2,MONTH(GL56),DAY(GL56))</f>
        <v>46801</v>
      </c>
      <c r="GN56" s="8">
        <f t="shared" ca="1" si="77"/>
        <v>656</v>
      </c>
      <c r="GO56" s="5" t="str">
        <f t="shared" ca="1" si="78"/>
        <v>VIGENTE</v>
      </c>
      <c r="GP56" s="4"/>
      <c r="GQ56" s="4">
        <v>45468</v>
      </c>
      <c r="GR56" s="4">
        <f t="shared" si="79"/>
        <v>47294</v>
      </c>
      <c r="GS56" s="8">
        <f t="shared" ca="1" si="176"/>
        <v>1149</v>
      </c>
      <c r="GT56" s="5" t="str">
        <f t="shared" ca="1" si="81"/>
        <v>VIGENTE</v>
      </c>
      <c r="GU56" s="3"/>
      <c r="GV56" s="4">
        <v>45417</v>
      </c>
      <c r="GW56" s="4">
        <f t="shared" si="82"/>
        <v>47243</v>
      </c>
      <c r="GX56" s="8">
        <f t="shared" ca="1" si="83"/>
        <v>1098</v>
      </c>
      <c r="GY56" s="5" t="str">
        <f t="shared" ca="1" si="84"/>
        <v>VIGENTE</v>
      </c>
      <c r="GZ56" s="3"/>
      <c r="HA56" s="4">
        <v>45466</v>
      </c>
      <c r="HB56" s="4">
        <f t="shared" si="85"/>
        <v>47292</v>
      </c>
      <c r="HC56" s="8">
        <f t="shared" ca="1" si="86"/>
        <v>1147</v>
      </c>
      <c r="HD56" s="5" t="str">
        <f t="shared" ca="1" si="87"/>
        <v>VIGENTE</v>
      </c>
      <c r="HE56" s="6"/>
      <c r="HF56" s="4">
        <v>44879</v>
      </c>
      <c r="HG56" s="4">
        <f>DATE(YEAR(HF56)+5,MONTH(HF56),DAY(HF56))</f>
        <v>46705</v>
      </c>
      <c r="HH56" s="8">
        <f ca="1">HG56-TODAY()</f>
        <v>560</v>
      </c>
      <c r="HI56" s="5" t="str">
        <f t="shared" ca="1" si="224"/>
        <v>VIGENTE</v>
      </c>
      <c r="HJ56" s="2"/>
      <c r="HK56" s="4">
        <v>45331</v>
      </c>
      <c r="HL56" s="4">
        <f>DATE(YEAR(HK56)+5,MONTH(HK56),DAY(HK56))</f>
        <v>47158</v>
      </c>
      <c r="HM56" s="8">
        <f ca="1">HL56-TODAY()</f>
        <v>1013</v>
      </c>
      <c r="HN56" s="5" t="str">
        <f t="shared" ca="1" si="228"/>
        <v>VIGENTE</v>
      </c>
      <c r="HO56" s="2"/>
      <c r="HP56" s="3">
        <v>45374</v>
      </c>
      <c r="HQ56" s="4">
        <f>DATE(YEAR(HP56)+5,MONTH(HP56),DAY(HP56))</f>
        <v>47200</v>
      </c>
      <c r="HR56" s="8">
        <f ca="1">HQ56-TODAY()</f>
        <v>1055</v>
      </c>
      <c r="HS56" s="5" t="str">
        <f t="shared" ca="1" si="92"/>
        <v>VIGENTE</v>
      </c>
      <c r="HT56" s="3"/>
      <c r="HU56" s="4">
        <v>45469</v>
      </c>
      <c r="HV56" s="4">
        <f>DATE(YEAR(HU56)+5,MONTH(HU56),DAY(HU56))</f>
        <v>47295</v>
      </c>
      <c r="HW56" s="8">
        <f ca="1">HV56-TODAY()</f>
        <v>1150</v>
      </c>
      <c r="HX56" s="5" t="str">
        <f t="shared" ca="1" si="93"/>
        <v>VIGENTE</v>
      </c>
      <c r="HY56" s="3"/>
      <c r="HZ56" s="4">
        <v>45492</v>
      </c>
      <c r="IA56" s="4">
        <f>DATE(YEAR(HZ56)+5,MONTH(HZ56),DAY(HZ56))</f>
        <v>47318</v>
      </c>
      <c r="IB56" s="8">
        <f ca="1">IA56-TODAY()</f>
        <v>1173</v>
      </c>
      <c r="IC56" s="5" t="str">
        <f t="shared" ca="1" si="94"/>
        <v>VIGENTE</v>
      </c>
      <c r="ID56" s="3"/>
      <c r="IE56" s="4">
        <v>45470</v>
      </c>
      <c r="IF56" s="4">
        <f>DATE(YEAR(IE56)+5,MONTH(IE56),DAY(IE56))</f>
        <v>47296</v>
      </c>
      <c r="IG56" s="8">
        <f ca="1">IF56-TODAY()</f>
        <v>1151</v>
      </c>
      <c r="IH56" s="5" t="str">
        <f t="shared" ca="1" si="95"/>
        <v>VIGENTE</v>
      </c>
      <c r="II56" s="4"/>
      <c r="IJ56" s="4">
        <v>45485</v>
      </c>
      <c r="IK56" s="4">
        <f>DATE(YEAR(IJ56)+5,MONTH(IJ56),DAY(IJ56))</f>
        <v>47311</v>
      </c>
      <c r="IL56" s="8">
        <f ca="1">IK56-TODAY()</f>
        <v>1166</v>
      </c>
      <c r="IM56" s="5" t="str">
        <f t="shared" ca="1" si="96"/>
        <v>VIGENTE</v>
      </c>
      <c r="IN56" s="3"/>
      <c r="IO56" s="4">
        <v>45433</v>
      </c>
      <c r="IP56" s="4">
        <f>DATE(YEAR(IO56)+5,MONTH(IO56),DAY(IO56))</f>
        <v>47259</v>
      </c>
      <c r="IQ56" s="8">
        <f ca="1">IP56-TODAY()</f>
        <v>1114</v>
      </c>
      <c r="IR56" s="5" t="str">
        <f t="shared" ca="1" si="97"/>
        <v>VIGENTE</v>
      </c>
      <c r="IS56" s="3"/>
      <c r="IT56" s="3">
        <v>45471</v>
      </c>
      <c r="IU56" s="4">
        <f>DATE(YEAR(IT56)+5,MONTH(IT56),DAY(IT56))</f>
        <v>47297</v>
      </c>
      <c r="IV56" s="8">
        <f ca="1">IU56-TODAY()</f>
        <v>1152</v>
      </c>
      <c r="IW56" s="5" t="str">
        <f t="shared" ca="1" si="98"/>
        <v>VIGENTE</v>
      </c>
      <c r="IX56" s="3"/>
      <c r="IY56" s="4">
        <v>45477</v>
      </c>
      <c r="IZ56" s="4">
        <f>DATE(YEAR(IY56)+5,MONTH(IY56),DAY(IY56))</f>
        <v>47303</v>
      </c>
      <c r="JA56" s="8">
        <f ca="1">IZ56-TODAY()</f>
        <v>1158</v>
      </c>
      <c r="JB56" s="5" t="str">
        <f t="shared" ca="1" si="99"/>
        <v>VIGENTE</v>
      </c>
      <c r="JC56" s="3" t="s">
        <v>780</v>
      </c>
      <c r="JD56" s="3"/>
      <c r="JE56" s="4"/>
      <c r="JF56" s="8"/>
      <c r="JG56" s="5"/>
      <c r="JH56" s="3" t="s">
        <v>780</v>
      </c>
      <c r="JI56" s="6"/>
      <c r="JJ56" s="6"/>
      <c r="JK56" s="6"/>
      <c r="JL56" s="5"/>
      <c r="JM56" s="6" t="s">
        <v>780</v>
      </c>
      <c r="JN56" s="6"/>
      <c r="JO56" s="6"/>
      <c r="JP56" s="6"/>
      <c r="JQ56" s="5"/>
      <c r="JR56" s="6" t="s">
        <v>780</v>
      </c>
      <c r="JS56" s="6"/>
      <c r="JT56" s="6"/>
      <c r="JU56" s="6"/>
      <c r="JV56" s="5"/>
      <c r="JW56" s="6" t="s">
        <v>780</v>
      </c>
      <c r="JX56" s="5"/>
      <c r="JY56" s="5"/>
      <c r="JZ56" s="5"/>
      <c r="KA56" s="5"/>
      <c r="KB56" s="5"/>
      <c r="KC56" s="2"/>
      <c r="KD56" s="4"/>
      <c r="KE56" s="8"/>
      <c r="KF56" s="5" t="str">
        <f t="shared" si="135"/>
        <v>NO APLICA</v>
      </c>
      <c r="KG56" s="5"/>
      <c r="KH56" s="2"/>
      <c r="KI56" s="4"/>
      <c r="KJ56" s="8"/>
      <c r="KK56" s="5" t="str">
        <f t="shared" si="136"/>
        <v>NO APLICA</v>
      </c>
      <c r="KL56" s="5"/>
      <c r="KM56" s="2"/>
      <c r="KN56" s="4"/>
      <c r="KO56" s="8"/>
      <c r="KP56" s="5" t="str">
        <f t="shared" si="100"/>
        <v>NO APLICA</v>
      </c>
      <c r="KQ56" s="5"/>
      <c r="KR56" s="2"/>
      <c r="KS56" s="4"/>
      <c r="KT56" s="8"/>
      <c r="KU56" s="5" t="str">
        <f t="shared" si="137"/>
        <v>NO APLICA</v>
      </c>
      <c r="KV56" s="2"/>
      <c r="KW56" s="6"/>
      <c r="KX56" s="4"/>
      <c r="KY56" s="8"/>
      <c r="KZ56" s="5" t="str">
        <f t="shared" si="151"/>
        <v>NO APLICA</v>
      </c>
      <c r="LA56" s="5"/>
      <c r="LB56" s="6"/>
      <c r="LC56" s="4"/>
      <c r="LD56" s="8"/>
      <c r="LE56" s="5" t="str">
        <f t="shared" si="138"/>
        <v>NO APLICA</v>
      </c>
      <c r="LF56" s="6"/>
      <c r="LG56" s="6"/>
      <c r="LH56" s="4"/>
      <c r="LI56" s="8"/>
      <c r="LJ56" s="5" t="str">
        <f t="shared" si="101"/>
        <v>NO APLICA</v>
      </c>
      <c r="LK56" s="5"/>
      <c r="LL56" s="5"/>
      <c r="LM56" s="4"/>
      <c r="LN56" s="8"/>
      <c r="LO56" s="5" t="str">
        <f t="shared" si="152"/>
        <v>NO APLICA</v>
      </c>
      <c r="LP56" s="2"/>
      <c r="LQ56" s="6"/>
      <c r="LR56" s="4"/>
      <c r="LS56" s="8"/>
      <c r="LT56" s="5" t="str">
        <f t="shared" si="139"/>
        <v>NO APLICA</v>
      </c>
      <c r="LU56" s="6"/>
      <c r="LV56" s="6"/>
      <c r="LW56" s="4"/>
      <c r="LX56" s="8"/>
      <c r="LY56" s="5" t="str">
        <f t="shared" si="140"/>
        <v>NO APLICA</v>
      </c>
      <c r="LZ56" s="6"/>
      <c r="MA56" s="6"/>
      <c r="MB56" s="4"/>
      <c r="MC56" s="8"/>
      <c r="MD56" s="5" t="str">
        <f t="shared" si="141"/>
        <v>NO APLICA</v>
      </c>
      <c r="ME56" s="2"/>
      <c r="MF56" s="2"/>
      <c r="MG56" s="4"/>
      <c r="MH56" s="8"/>
      <c r="MI56" s="5" t="str">
        <f t="shared" si="102"/>
        <v>NO APLICA</v>
      </c>
      <c r="MJ56" s="2"/>
      <c r="MK56" s="2"/>
      <c r="ML56" s="4"/>
      <c r="MM56" s="8"/>
      <c r="MN56" s="5" t="str">
        <f t="shared" si="103"/>
        <v>NO APLICA</v>
      </c>
      <c r="MO56" s="5"/>
      <c r="MP56" s="2"/>
      <c r="MQ56" s="4"/>
      <c r="MR56" s="8"/>
      <c r="MS56" s="5" t="str">
        <f t="shared" si="104"/>
        <v>NO APLICA</v>
      </c>
      <c r="MT56" s="5"/>
      <c r="MU56" s="2"/>
      <c r="MV56" s="4"/>
      <c r="MW56" s="2"/>
      <c r="MX56" s="5" t="str">
        <f t="shared" si="105"/>
        <v>NO APLICA</v>
      </c>
      <c r="MY56" s="2"/>
      <c r="MZ56" s="6"/>
      <c r="NA56" s="4"/>
      <c r="NB56" s="8"/>
      <c r="NC56" s="5" t="str">
        <f t="shared" si="106"/>
        <v>NO APLICA</v>
      </c>
      <c r="ND56" s="2"/>
      <c r="NE56" s="6"/>
      <c r="NF56" s="4"/>
      <c r="NG56" s="8"/>
      <c r="NH56" s="5" t="str">
        <f t="shared" si="107"/>
        <v>NO APLICA</v>
      </c>
      <c r="NI56" s="2"/>
      <c r="NJ56" s="6"/>
      <c r="NK56" s="4"/>
      <c r="NL56" s="8"/>
      <c r="NM56" s="5" t="str">
        <f t="shared" si="108"/>
        <v>NO APLICA</v>
      </c>
      <c r="NN56" s="2"/>
      <c r="NO56" s="2"/>
      <c r="NP56" s="4"/>
      <c r="NQ56" s="2"/>
      <c r="NR56" s="5" t="str">
        <f t="shared" si="109"/>
        <v>NO APLICA</v>
      </c>
      <c r="NS56" s="2"/>
      <c r="NT56" s="2"/>
      <c r="NU56" s="4"/>
      <c r="NV56" s="2"/>
      <c r="NW56" s="5" t="str">
        <f t="shared" si="110"/>
        <v>NO APLICA</v>
      </c>
      <c r="NX56" s="6"/>
      <c r="NY56" s="6"/>
      <c r="NZ56" s="4"/>
      <c r="OA56" s="8"/>
      <c r="OB56" s="5" t="str">
        <f t="shared" si="111"/>
        <v>NO APLICA</v>
      </c>
      <c r="OC56" s="6"/>
      <c r="OD56" s="6"/>
      <c r="OE56" s="6"/>
      <c r="OF56" s="6"/>
      <c r="OG56" s="5" t="str">
        <f t="shared" si="112"/>
        <v>NO APLICA</v>
      </c>
      <c r="OH56" s="2"/>
      <c r="OI56" s="2"/>
      <c r="OJ56" s="4"/>
      <c r="OK56" s="8"/>
      <c r="OL56" s="5" t="str">
        <f t="shared" si="113"/>
        <v>NO APLICA</v>
      </c>
      <c r="OM56" s="6"/>
      <c r="ON56" s="6"/>
      <c r="OO56" s="6"/>
      <c r="OP56" s="6"/>
      <c r="OQ56" s="5" t="str">
        <f t="shared" si="114"/>
        <v>NO APLICA</v>
      </c>
      <c r="OR56" s="6"/>
      <c r="OS56" s="6"/>
      <c r="OT56" s="6"/>
      <c r="OU56" s="6"/>
      <c r="OV56" s="5" t="str">
        <f t="shared" si="115"/>
        <v>NO APLICA</v>
      </c>
      <c r="OW56" s="6"/>
      <c r="OX56" s="6"/>
      <c r="OY56" s="6"/>
      <c r="OZ56" s="6"/>
      <c r="PA56" s="5" t="str">
        <f t="shared" si="116"/>
        <v>NO APLICA</v>
      </c>
      <c r="PB56" s="6"/>
      <c r="PC56" s="6"/>
      <c r="PD56" s="6"/>
      <c r="PE56" s="6"/>
      <c r="PF56" s="5" t="str">
        <f t="shared" si="117"/>
        <v>NO APLICA</v>
      </c>
      <c r="PG56" s="6"/>
      <c r="PH56" s="6"/>
      <c r="PI56" s="6"/>
      <c r="PJ56" s="6"/>
      <c r="PK56" s="5" t="str">
        <f t="shared" si="118"/>
        <v>NO APLICA</v>
      </c>
      <c r="PL56" s="5"/>
      <c r="PM56" s="6"/>
      <c r="PN56" s="4"/>
      <c r="PO56" s="8"/>
      <c r="PP56" s="5" t="str">
        <f t="shared" si="119"/>
        <v>NO APLICA</v>
      </c>
      <c r="PQ56" s="6"/>
      <c r="PR56" s="6"/>
      <c r="PS56" s="6"/>
      <c r="PT56" s="6"/>
      <c r="PU56" s="5" t="str">
        <f t="shared" si="120"/>
        <v>NO APLICA</v>
      </c>
      <c r="PV56" s="5"/>
      <c r="PW56" s="6"/>
      <c r="PX56" s="6"/>
      <c r="PY56" s="6"/>
      <c r="PZ56" s="5" t="str">
        <f t="shared" si="121"/>
        <v>NO APLICA</v>
      </c>
    </row>
    <row r="57" spans="1:442" ht="15.6" hidden="1" thickTop="1" thickBot="1" x14ac:dyDescent="0.35">
      <c r="A57" s="26">
        <v>54</v>
      </c>
      <c r="B57" s="27">
        <v>400</v>
      </c>
      <c r="C57" s="28" t="s">
        <v>232</v>
      </c>
      <c r="D57" s="29" t="s">
        <v>68</v>
      </c>
      <c r="E57" s="30" t="s">
        <v>93</v>
      </c>
      <c r="F57" s="5"/>
      <c r="G57" s="6"/>
      <c r="H57" s="4"/>
      <c r="I57" s="8"/>
      <c r="J57" s="5" t="str">
        <f t="shared" si="0"/>
        <v>NO APLICA</v>
      </c>
      <c r="K57" s="5"/>
      <c r="L57" s="6"/>
      <c r="M57" s="6"/>
      <c r="N57" s="8"/>
      <c r="O57" s="5" t="str">
        <f t="shared" si="1"/>
        <v>NO APLICA</v>
      </c>
      <c r="P57" s="6"/>
      <c r="Q57" s="6"/>
      <c r="R57" s="4"/>
      <c r="S57" s="8"/>
      <c r="T57" s="5" t="str">
        <f t="shared" si="122"/>
        <v>NO APLICA</v>
      </c>
      <c r="U57" s="5"/>
      <c r="V57" s="2" t="s">
        <v>233</v>
      </c>
      <c r="W57" s="4">
        <v>44829</v>
      </c>
      <c r="X57" s="4">
        <f t="shared" si="2"/>
        <v>46655</v>
      </c>
      <c r="Y57" s="8">
        <f t="shared" ca="1" si="3"/>
        <v>510</v>
      </c>
      <c r="Z57" s="5" t="str">
        <f t="shared" ca="1" si="4"/>
        <v>VIGENTE</v>
      </c>
      <c r="AA57" s="5"/>
      <c r="AB57" s="2" t="s">
        <v>234</v>
      </c>
      <c r="AC57" s="4">
        <v>44828</v>
      </c>
      <c r="AD57" s="4">
        <f>DATE(YEAR(AC57)+5,MONTH(AC57),DAY(AC57))</f>
        <v>46654</v>
      </c>
      <c r="AE57" s="8">
        <f ca="1">AD57-TODAY()</f>
        <v>509</v>
      </c>
      <c r="AF57" s="5" t="str">
        <f t="shared" ca="1" si="7"/>
        <v>VIGENTE</v>
      </c>
      <c r="AG57" s="3"/>
      <c r="AH57" s="3">
        <v>45589</v>
      </c>
      <c r="AI57" s="4">
        <f t="shared" si="229"/>
        <v>46318</v>
      </c>
      <c r="AJ57" s="8">
        <f t="shared" ca="1" si="8"/>
        <v>173</v>
      </c>
      <c r="AK57" s="5" t="str">
        <f t="shared" ca="1" si="219"/>
        <v>VIGENTE</v>
      </c>
      <c r="AL57" s="3"/>
      <c r="AM57" s="4">
        <v>45926</v>
      </c>
      <c r="AN57" s="4">
        <f>DATE(YEAR(AM57)+2,MONTH(AM57),DAY(AM57))</f>
        <v>46656</v>
      </c>
      <c r="AO57" s="8">
        <f t="shared" ca="1" si="10"/>
        <v>511</v>
      </c>
      <c r="AP57" s="5" t="str">
        <f t="shared" ca="1" si="11"/>
        <v>VIGENTE</v>
      </c>
      <c r="AQ57" s="3"/>
      <c r="AR57" s="4">
        <v>45971</v>
      </c>
      <c r="AS57" s="4">
        <f>DATE(YEAR(AR57)+2,MONTH(AR57),DAY(AR57))</f>
        <v>46701</v>
      </c>
      <c r="AT57" s="8">
        <f t="shared" ca="1" si="12"/>
        <v>556</v>
      </c>
      <c r="AU57" s="5" t="str">
        <f t="shared" ca="1" si="13"/>
        <v>VIGENTE</v>
      </c>
      <c r="AV57" s="3"/>
      <c r="AW57" s="4">
        <v>45952</v>
      </c>
      <c r="AX57" s="4">
        <f>DATE(YEAR(AW57)+2,MONTH(AW57),DAY(AW57))</f>
        <v>46682</v>
      </c>
      <c r="AY57" s="8">
        <f t="shared" ca="1" si="15"/>
        <v>537</v>
      </c>
      <c r="AZ57" s="5" t="str">
        <f t="shared" ca="1" si="16"/>
        <v>VIGENTE</v>
      </c>
      <c r="BA57" s="3"/>
      <c r="BB57" s="4">
        <v>46041</v>
      </c>
      <c r="BC57" s="4">
        <f>DATE(YEAR(BB57)+2,MONTH(BB57),DAY(BB57))</f>
        <v>46771</v>
      </c>
      <c r="BD57" s="8">
        <f t="shared" ca="1" si="17"/>
        <v>626</v>
      </c>
      <c r="BE57" s="5" t="str">
        <f t="shared" ca="1" si="18"/>
        <v>VIGENTE</v>
      </c>
      <c r="BF57" s="3"/>
      <c r="BG57" s="4">
        <v>45987</v>
      </c>
      <c r="BH57" s="4">
        <f>DATE(YEAR(BG57)+2,MONTH(BG57),DAY(BG57))</f>
        <v>46717</v>
      </c>
      <c r="BI57" s="8">
        <f t="shared" ca="1" si="19"/>
        <v>572</v>
      </c>
      <c r="BJ57" s="5" t="str">
        <f t="shared" ca="1" si="20"/>
        <v>VIGENTE</v>
      </c>
      <c r="BK57" s="3"/>
      <c r="BL57" s="4">
        <v>46035</v>
      </c>
      <c r="BM57" s="4">
        <f t="shared" si="230"/>
        <v>46765</v>
      </c>
      <c r="BN57" s="8">
        <f t="shared" ca="1" si="21"/>
        <v>620</v>
      </c>
      <c r="BO57" s="5" t="str">
        <f t="shared" ca="1" si="22"/>
        <v>VIGENTE</v>
      </c>
      <c r="BP57" s="3"/>
      <c r="BQ57" s="39">
        <v>46069</v>
      </c>
      <c r="BR57" s="4">
        <f>DATE(YEAR(BQ57)+2,MONTH(BQ57),DAY(BQ57))</f>
        <v>46799</v>
      </c>
      <c r="BS57" s="8">
        <f t="shared" ca="1" si="23"/>
        <v>654</v>
      </c>
      <c r="BT57" s="5" t="str">
        <f t="shared" ca="1" si="24"/>
        <v>VIGENTE</v>
      </c>
      <c r="BU57" s="3"/>
      <c r="BV57" s="4">
        <v>46031</v>
      </c>
      <c r="BW57" s="4">
        <f>DATE(YEAR(BV57)+2,MONTH(BV57),DAY(BV57))</f>
        <v>46761</v>
      </c>
      <c r="BX57" s="8">
        <f t="shared" ca="1" si="25"/>
        <v>616</v>
      </c>
      <c r="BY57" s="5" t="str">
        <f t="shared" ca="1" si="26"/>
        <v>VIGENTE</v>
      </c>
      <c r="BZ57" s="3"/>
      <c r="CA57" s="4">
        <v>45954</v>
      </c>
      <c r="CB57" s="4">
        <f>DATE(YEAR(CA57)+2,MONTH(CA57),DAY(CA57))</f>
        <v>46684</v>
      </c>
      <c r="CC57" s="8">
        <f t="shared" ca="1" si="27"/>
        <v>539</v>
      </c>
      <c r="CD57" s="5" t="str">
        <f t="shared" ca="1" si="28"/>
        <v>VIGENTE</v>
      </c>
      <c r="CE57" s="6"/>
      <c r="CF57" s="4">
        <v>45247</v>
      </c>
      <c r="CG57" s="4">
        <f t="shared" si="29"/>
        <v>46708</v>
      </c>
      <c r="CH57" s="8">
        <f t="shared" ca="1" si="30"/>
        <v>563</v>
      </c>
      <c r="CI57" s="5" t="str">
        <f t="shared" ca="1" si="31"/>
        <v>VIGENTE</v>
      </c>
      <c r="CJ57" s="4"/>
      <c r="CK57" s="4">
        <v>46018</v>
      </c>
      <c r="CL57" s="4">
        <f>DATE(YEAR(CK57)+2,MONTH(CK57),DAY(CK57))</f>
        <v>46748</v>
      </c>
      <c r="CM57" s="8">
        <f t="shared" ca="1" si="32"/>
        <v>603</v>
      </c>
      <c r="CN57" s="5" t="str">
        <f t="shared" ca="1" si="33"/>
        <v>VIGENTE</v>
      </c>
      <c r="CO57" s="3"/>
      <c r="CP57" s="39">
        <v>45517</v>
      </c>
      <c r="CQ57" s="4">
        <f>DATE(YEAR(CP57)+2,MONTH(CP57),DAY(CP57)-1)</f>
        <v>46246</v>
      </c>
      <c r="CR57" s="8">
        <f t="shared" ca="1" si="34"/>
        <v>101</v>
      </c>
      <c r="CS57" s="5" t="str">
        <f t="shared" ca="1" si="35"/>
        <v>VIGENTE</v>
      </c>
      <c r="CT57" s="3"/>
      <c r="CU57" s="4">
        <v>45631</v>
      </c>
      <c r="CV57" s="4">
        <f>DATE(YEAR(CU57)+2,MONTH(CU57),DAY(CU57)-1)</f>
        <v>46360</v>
      </c>
      <c r="CW57" s="8">
        <f t="shared" ca="1" si="36"/>
        <v>215</v>
      </c>
      <c r="CX57" s="5" t="str">
        <f t="shared" ca="1" si="37"/>
        <v>VIGENTE</v>
      </c>
      <c r="CY57" s="3"/>
      <c r="CZ57" s="4">
        <v>46028</v>
      </c>
      <c r="DA57" s="4">
        <f>DATE(YEAR(CZ57)+2,MONTH(CZ57),DAY(CZ57))</f>
        <v>46758</v>
      </c>
      <c r="DB57" s="8">
        <f t="shared" ca="1" si="38"/>
        <v>613</v>
      </c>
      <c r="DC57" s="5" t="str">
        <f t="shared" ca="1" si="39"/>
        <v>VIGENTE</v>
      </c>
      <c r="DD57" s="3"/>
      <c r="DE57" s="39">
        <v>45689</v>
      </c>
      <c r="DF57" s="4">
        <f t="shared" si="227"/>
        <v>46418</v>
      </c>
      <c r="DG57" s="8">
        <f t="shared" ca="1" si="40"/>
        <v>273</v>
      </c>
      <c r="DH57" s="5" t="str">
        <f t="shared" ca="1" si="41"/>
        <v>VIGENTE</v>
      </c>
      <c r="DI57" s="3"/>
      <c r="DJ57" s="39">
        <v>46029</v>
      </c>
      <c r="DK57" s="4">
        <f>DATE(YEAR(DJ57)+2,MONTH(DJ57),DAY(DJ57))</f>
        <v>46759</v>
      </c>
      <c r="DL57" s="8">
        <f t="shared" ca="1" si="43"/>
        <v>614</v>
      </c>
      <c r="DM57" s="5" t="str">
        <f t="shared" ca="1" si="44"/>
        <v>VIGENTE</v>
      </c>
      <c r="DN57" s="3"/>
      <c r="DO57" s="4">
        <v>45982</v>
      </c>
      <c r="DP57" s="4">
        <f>DATE(YEAR(DO57)+2,MONTH(DO57),DAY(DO57))</f>
        <v>46712</v>
      </c>
      <c r="DQ57" s="8">
        <f t="shared" ca="1" si="46"/>
        <v>567</v>
      </c>
      <c r="DR57" s="5" t="str">
        <f t="shared" ca="1" si="47"/>
        <v>VIGENTE</v>
      </c>
      <c r="DS57" s="3"/>
      <c r="DT57" s="4">
        <v>46053</v>
      </c>
      <c r="DU57" s="4">
        <f>DATE(YEAR(DT57)+2,MONTH(DT57),DAY(DT57))</f>
        <v>46783</v>
      </c>
      <c r="DV57" s="8">
        <f t="shared" ca="1" si="48"/>
        <v>638</v>
      </c>
      <c r="DW57" s="5" t="str">
        <f t="shared" ca="1" si="49"/>
        <v>VIGENTE</v>
      </c>
      <c r="DX57" s="3"/>
      <c r="DY57" s="4">
        <v>46032</v>
      </c>
      <c r="DZ57" s="4">
        <f>DATE(YEAR(DY57)+2,MONTH(DY57),DAY(DY57))</f>
        <v>46762</v>
      </c>
      <c r="EA57" s="8">
        <f t="shared" ca="1" si="50"/>
        <v>617</v>
      </c>
      <c r="EB57" s="5" t="str">
        <f t="shared" ca="1" si="51"/>
        <v>VIGENTE</v>
      </c>
      <c r="EC57" s="3"/>
      <c r="ED57" s="39">
        <v>45768</v>
      </c>
      <c r="EE57" s="4">
        <f>DATE(YEAR(ED57)+2,MONTH(ED57),DAY(ED57))</f>
        <v>46498</v>
      </c>
      <c r="EF57" s="8">
        <f t="shared" ca="1" si="52"/>
        <v>353</v>
      </c>
      <c r="EG57" s="5" t="str">
        <f t="shared" ca="1" si="53"/>
        <v>VIGENTE</v>
      </c>
      <c r="EH57" s="3"/>
      <c r="EI57" s="4">
        <v>46123</v>
      </c>
      <c r="EJ57" s="4">
        <f t="shared" si="131"/>
        <v>46488</v>
      </c>
      <c r="EK57" s="8">
        <f t="shared" ca="1" si="54"/>
        <v>343</v>
      </c>
      <c r="EL57" s="5" t="str">
        <f t="shared" ca="1" si="55"/>
        <v>VIGENTE</v>
      </c>
      <c r="EM57" s="4"/>
      <c r="EN57" s="4">
        <v>45737</v>
      </c>
      <c r="EO57" s="4">
        <f t="shared" ref="EO57:EO62" si="231">DATE(YEAR(EN57)+2,MONTH(EN57),DAY(EN57)-1)</f>
        <v>46466</v>
      </c>
      <c r="EP57" s="8">
        <f t="shared" ca="1" si="56"/>
        <v>321</v>
      </c>
      <c r="EQ57" s="5" t="str">
        <f t="shared" ca="1" si="57"/>
        <v>VIGENTE</v>
      </c>
      <c r="ER57" s="3"/>
      <c r="ES57" s="39">
        <v>45999</v>
      </c>
      <c r="ET57" s="4">
        <f>DATE(YEAR(ES57)+2,MONTH(ES57),DAY(ES57))</f>
        <v>46729</v>
      </c>
      <c r="EU57" s="8">
        <f t="shared" ca="1" si="58"/>
        <v>584</v>
      </c>
      <c r="EV57" s="5" t="str">
        <f t="shared" ca="1" si="59"/>
        <v>VIGENTE</v>
      </c>
      <c r="EW57" s="3"/>
      <c r="EX57" s="4">
        <v>45953</v>
      </c>
      <c r="EY57" s="4">
        <f>DATE(YEAR(EX57)+2,MONTH(EX57),DAY(EX57))</f>
        <v>46683</v>
      </c>
      <c r="EZ57" s="8">
        <f t="shared" ca="1" si="60"/>
        <v>538</v>
      </c>
      <c r="FA57" s="5" t="str">
        <f t="shared" ca="1" si="61"/>
        <v>VIGENTE</v>
      </c>
      <c r="FB57" s="3"/>
      <c r="FC57" s="4">
        <v>45951</v>
      </c>
      <c r="FD57" s="4">
        <f>DATE(YEAR(FC57)+2,MONTH(FC57),DAY(FC57))</f>
        <v>46681</v>
      </c>
      <c r="FE57" s="8">
        <f t="shared" ca="1" si="62"/>
        <v>536</v>
      </c>
      <c r="FF57" s="5" t="str">
        <f t="shared" ca="1" si="63"/>
        <v>VIGENTE</v>
      </c>
      <c r="FG57" s="3"/>
      <c r="FH57" s="4">
        <v>45932</v>
      </c>
      <c r="FI57" s="4">
        <f>DATE(YEAR(FH57)+2,MONTH(FH57),DAY(FH57))</f>
        <v>46662</v>
      </c>
      <c r="FJ57" s="8">
        <f t="shared" ca="1" si="64"/>
        <v>517</v>
      </c>
      <c r="FK57" s="5" t="str">
        <f t="shared" ca="1" si="65"/>
        <v>VIGENTE</v>
      </c>
      <c r="FL57" s="3"/>
      <c r="FM57" s="39">
        <v>45530</v>
      </c>
      <c r="FN57" s="4">
        <f>DATE(YEAR(FM57)+2,MONTH(FM57),DAY(FM57)-1)</f>
        <v>46259</v>
      </c>
      <c r="FO57" s="8">
        <f t="shared" ca="1" si="67"/>
        <v>114</v>
      </c>
      <c r="FP57" s="5" t="str">
        <f t="shared" ca="1" si="68"/>
        <v>VIGENTE</v>
      </c>
      <c r="FQ57" s="3"/>
      <c r="FR57" s="39">
        <v>45678</v>
      </c>
      <c r="FS57" s="4">
        <f>DATE(YEAR(FR57)+2,MONTH(FR57),DAY(FR57)-1)</f>
        <v>46407</v>
      </c>
      <c r="FT57" s="8">
        <f t="shared" ca="1" si="69"/>
        <v>262</v>
      </c>
      <c r="FU57" s="5" t="str">
        <f t="shared" ca="1" si="70"/>
        <v>VIGENTE</v>
      </c>
      <c r="FV57" s="3"/>
      <c r="FW57" s="4">
        <v>45908</v>
      </c>
      <c r="FX57" s="4">
        <f>DATE(YEAR(FW57)+2,MONTH(FW57),DAY(FW57))</f>
        <v>46638</v>
      </c>
      <c r="FY57" s="8">
        <f t="shared" ca="1" si="71"/>
        <v>493</v>
      </c>
      <c r="FZ57" s="5" t="str">
        <f t="shared" ca="1" si="72"/>
        <v>VIGENTE</v>
      </c>
      <c r="GA57" s="3"/>
      <c r="GB57" s="4">
        <v>46030</v>
      </c>
      <c r="GC57" s="4">
        <f>DATE(YEAR(GB57)+2,MONTH(GB57),DAY(GB57))</f>
        <v>46760</v>
      </c>
      <c r="GD57" s="8">
        <f t="shared" ca="1" si="73"/>
        <v>615</v>
      </c>
      <c r="GE57" s="5" t="str">
        <f t="shared" ca="1" si="74"/>
        <v>VIGENTE</v>
      </c>
      <c r="GF57" s="3"/>
      <c r="GG57" s="4">
        <v>45672</v>
      </c>
      <c r="GH57" s="4">
        <f>DATE(YEAR(GG57)+2,MONTH(GG57),DAY(GG57)-1)</f>
        <v>46401</v>
      </c>
      <c r="GI57" s="8">
        <f t="shared" ca="1" si="75"/>
        <v>256</v>
      </c>
      <c r="GJ57" s="5" t="str">
        <f t="shared" ca="1" si="76"/>
        <v>VIGENTE</v>
      </c>
      <c r="GK57" s="4"/>
      <c r="GL57" s="4">
        <v>45557</v>
      </c>
      <c r="GM57" s="4">
        <f>DATE(YEAR(GL57)+2,MONTH(GL57),DAY(GL57)-1)</f>
        <v>46286</v>
      </c>
      <c r="GN57" s="8">
        <f t="shared" ca="1" si="77"/>
        <v>141</v>
      </c>
      <c r="GO57" s="5" t="str">
        <f t="shared" ca="1" si="78"/>
        <v>VIGENTE</v>
      </c>
      <c r="GP57" s="4"/>
      <c r="GQ57" s="4">
        <v>45283</v>
      </c>
      <c r="GR57" s="4">
        <f t="shared" si="79"/>
        <v>47110</v>
      </c>
      <c r="GS57" s="8">
        <f t="shared" ca="1" si="176"/>
        <v>965</v>
      </c>
      <c r="GT57" s="5" t="str">
        <f t="shared" ca="1" si="81"/>
        <v>VIGENTE</v>
      </c>
      <c r="GU57" s="3"/>
      <c r="GV57" s="4">
        <v>45254</v>
      </c>
      <c r="GW57" s="4">
        <f t="shared" si="82"/>
        <v>47081</v>
      </c>
      <c r="GX57" s="8">
        <f t="shared" ca="1" si="83"/>
        <v>936</v>
      </c>
      <c r="GY57" s="5" t="str">
        <f t="shared" ca="1" si="84"/>
        <v>VIGENTE</v>
      </c>
      <c r="GZ57" s="3"/>
      <c r="HA57" s="4">
        <v>45174</v>
      </c>
      <c r="HB57" s="4">
        <f t="shared" si="85"/>
        <v>47001</v>
      </c>
      <c r="HC57" s="8">
        <f t="shared" ca="1" si="86"/>
        <v>856</v>
      </c>
      <c r="HD57" s="5" t="str">
        <f t="shared" ca="1" si="87"/>
        <v>VIGENTE</v>
      </c>
      <c r="HE57" s="6"/>
      <c r="HF57" s="4">
        <v>44883</v>
      </c>
      <c r="HG57" s="4">
        <f>DATE(YEAR(HF57)+5,MONTH(HF57),DAY(HF57))</f>
        <v>46709</v>
      </c>
      <c r="HH57" s="8">
        <f ca="1">HG57-TODAY()</f>
        <v>564</v>
      </c>
      <c r="HI57" s="5" t="str">
        <f t="shared" ca="1" si="224"/>
        <v>VIGENTE</v>
      </c>
      <c r="HJ57" s="3"/>
      <c r="HK57" s="4">
        <v>45368</v>
      </c>
      <c r="HL57" s="4">
        <f>DATE(YEAR(HK57)+5,MONTH(HK57),DAY(HK57))</f>
        <v>47194</v>
      </c>
      <c r="HM57" s="8">
        <f ca="1">HL57-TODAY()</f>
        <v>1049</v>
      </c>
      <c r="HN57" s="5" t="str">
        <f t="shared" ca="1" si="228"/>
        <v>VIGENTE</v>
      </c>
      <c r="HO57" s="2"/>
      <c r="HP57" s="3">
        <v>45698</v>
      </c>
      <c r="HQ57" s="4">
        <f>DATE(YEAR(HP57)+5,MONTH(HP57),DAY(HP57))</f>
        <v>47524</v>
      </c>
      <c r="HR57" s="8">
        <f ca="1">HQ57-TODAY()</f>
        <v>1379</v>
      </c>
      <c r="HS57" s="5" t="str">
        <f t="shared" ca="1" si="92"/>
        <v>VIGENTE</v>
      </c>
      <c r="HT57" s="3"/>
      <c r="HU57" s="4">
        <v>45469</v>
      </c>
      <c r="HV57" s="4">
        <f>DATE(YEAR(HU57)+5,MONTH(HU57),DAY(HU57))</f>
        <v>47295</v>
      </c>
      <c r="HW57" s="8">
        <f ca="1">HV57-TODAY()</f>
        <v>1150</v>
      </c>
      <c r="HX57" s="5" t="str">
        <f t="shared" ca="1" si="93"/>
        <v>VIGENTE</v>
      </c>
      <c r="HY57" s="3"/>
      <c r="HZ57" s="4">
        <v>45234</v>
      </c>
      <c r="IA57" s="4">
        <f>DATE(YEAR(HZ57)+5,MONTH(HZ57),DAY(HZ57))</f>
        <v>47061</v>
      </c>
      <c r="IB57" s="8">
        <f ca="1">IA57-TODAY()</f>
        <v>916</v>
      </c>
      <c r="IC57" s="5" t="str">
        <f t="shared" ca="1" si="94"/>
        <v>VIGENTE</v>
      </c>
      <c r="ID57" s="3"/>
      <c r="IE57" s="4">
        <v>45236</v>
      </c>
      <c r="IF57" s="4">
        <f>DATE(YEAR(IE57)+5,MONTH(IE57),DAY(IE57))</f>
        <v>47063</v>
      </c>
      <c r="IG57" s="8">
        <f ca="1">IF57-TODAY()</f>
        <v>918</v>
      </c>
      <c r="IH57" s="5" t="str">
        <f t="shared" ca="1" si="95"/>
        <v>VIGENTE</v>
      </c>
      <c r="II57" s="4"/>
      <c r="IJ57" s="4">
        <v>45449</v>
      </c>
      <c r="IK57" s="4">
        <f>DATE(YEAR(IJ57)+5,MONTH(IJ57),DAY(IJ57))</f>
        <v>47275</v>
      </c>
      <c r="IL57" s="8">
        <f ca="1">IK57-TODAY()</f>
        <v>1130</v>
      </c>
      <c r="IM57" s="5" t="str">
        <f t="shared" ca="1" si="96"/>
        <v>VIGENTE</v>
      </c>
      <c r="IN57" s="3"/>
      <c r="IO57" s="4">
        <v>45460</v>
      </c>
      <c r="IP57" s="4">
        <f>DATE(YEAR(IO57)+5,MONTH(IO57),DAY(IO57))</f>
        <v>47286</v>
      </c>
      <c r="IQ57" s="8">
        <f ca="1">IP57-TODAY()</f>
        <v>1141</v>
      </c>
      <c r="IR57" s="5" t="str">
        <f t="shared" ca="1" si="97"/>
        <v>VIGENTE</v>
      </c>
      <c r="IS57" s="3"/>
      <c r="IT57" s="4">
        <v>45191</v>
      </c>
      <c r="IU57" s="4">
        <f>DATE(YEAR(IT57)+5,MONTH(IT57),DAY(IT57))</f>
        <v>47018</v>
      </c>
      <c r="IV57" s="8">
        <f ca="1">IU57-TODAY()</f>
        <v>873</v>
      </c>
      <c r="IW57" s="5" t="str">
        <f t="shared" ca="1" si="98"/>
        <v>VIGENTE</v>
      </c>
      <c r="IX57" s="3"/>
      <c r="IY57" s="4">
        <v>45189</v>
      </c>
      <c r="IZ57" s="4">
        <f>DATE(YEAR(IY57)+5,MONTH(IY57),DAY(IY57))</f>
        <v>47016</v>
      </c>
      <c r="JA57" s="8">
        <f ca="1">IZ57-TODAY()</f>
        <v>871</v>
      </c>
      <c r="JB57" s="5" t="str">
        <f t="shared" ca="1" si="99"/>
        <v>VIGENTE</v>
      </c>
      <c r="JC57" s="3" t="s">
        <v>780</v>
      </c>
      <c r="JD57" s="3"/>
      <c r="JE57" s="4"/>
      <c r="JF57" s="8"/>
      <c r="JG57" s="5"/>
      <c r="JH57" s="3" t="s">
        <v>780</v>
      </c>
      <c r="JI57" s="6"/>
      <c r="JJ57" s="6"/>
      <c r="JK57" s="6"/>
      <c r="JL57" s="5"/>
      <c r="JM57" s="6" t="s">
        <v>780</v>
      </c>
      <c r="JN57" s="6"/>
      <c r="JO57" s="6"/>
      <c r="JP57" s="6"/>
      <c r="JQ57" s="5"/>
      <c r="JR57" s="6" t="s">
        <v>780</v>
      </c>
      <c r="JS57" s="6"/>
      <c r="JT57" s="6"/>
      <c r="JU57" s="6"/>
      <c r="JV57" s="5"/>
      <c r="JW57" s="6" t="s">
        <v>780</v>
      </c>
      <c r="JX57" s="5"/>
      <c r="JY57" s="5"/>
      <c r="JZ57" s="5"/>
      <c r="KA57" s="5"/>
      <c r="KB57" s="5"/>
      <c r="KC57" s="5"/>
      <c r="KD57" s="4"/>
      <c r="KE57" s="8"/>
      <c r="KF57" s="5" t="str">
        <f t="shared" si="135"/>
        <v>NO APLICA</v>
      </c>
      <c r="KG57" s="5"/>
      <c r="KH57" s="5"/>
      <c r="KI57" s="4"/>
      <c r="KJ57" s="8"/>
      <c r="KK57" s="5" t="str">
        <f t="shared" si="136"/>
        <v>NO APLICA</v>
      </c>
      <c r="KL57" s="5"/>
      <c r="KM57" s="5"/>
      <c r="KN57" s="4"/>
      <c r="KO57" s="8"/>
      <c r="KP57" s="5" t="str">
        <f t="shared" si="100"/>
        <v>NO APLICA</v>
      </c>
      <c r="KQ57" s="5"/>
      <c r="KR57" s="3">
        <v>45346</v>
      </c>
      <c r="KS57" s="4">
        <f>DATE(YEAR(KR57)+5,MONTH(KR57),DAY(KR57))</f>
        <v>47173</v>
      </c>
      <c r="KT57" s="8">
        <f ca="1">KS57-TODAY()</f>
        <v>1028</v>
      </c>
      <c r="KU57" s="5" t="str">
        <f t="shared" ca="1" si="137"/>
        <v>VIGENTE</v>
      </c>
      <c r="KV57" s="2"/>
      <c r="KW57" s="6"/>
      <c r="KX57" s="4"/>
      <c r="KY57" s="8"/>
      <c r="KZ57" s="5" t="str">
        <f t="shared" si="151"/>
        <v>NO APLICA</v>
      </c>
      <c r="LA57" s="5"/>
      <c r="LB57" s="4">
        <v>44608</v>
      </c>
      <c r="LC57" s="4">
        <f>DATE(YEAR(LB57)+5,MONTH(LB57),DAY(LB57))</f>
        <v>46434</v>
      </c>
      <c r="LD57" s="8">
        <f ca="1">LC57-TODAY()</f>
        <v>289</v>
      </c>
      <c r="LE57" s="5" t="str">
        <f t="shared" ca="1" si="138"/>
        <v>VIGENTE</v>
      </c>
      <c r="LF57" s="6"/>
      <c r="LG57" s="4">
        <v>45611</v>
      </c>
      <c r="LH57" s="4">
        <f>DATE(YEAR(LG57)+2,MONTH(LG57),DAY(LG57))</f>
        <v>46341</v>
      </c>
      <c r="LI57" s="8">
        <f ca="1">LH57-TODAY()</f>
        <v>196</v>
      </c>
      <c r="LJ57" s="5" t="str">
        <f t="shared" ca="1" si="101"/>
        <v>VIGENTE</v>
      </c>
      <c r="LK57" s="5"/>
      <c r="LL57" s="5"/>
      <c r="LM57" s="4"/>
      <c r="LN57" s="8"/>
      <c r="LO57" s="5" t="str">
        <f t="shared" si="152"/>
        <v>NO APLICA</v>
      </c>
      <c r="LP57" s="5"/>
      <c r="LQ57" s="6"/>
      <c r="LR57" s="4"/>
      <c r="LS57" s="8"/>
      <c r="LT57" s="5" t="str">
        <f t="shared" si="139"/>
        <v>NO APLICA</v>
      </c>
      <c r="LU57" s="4"/>
      <c r="LV57" s="4">
        <v>44986</v>
      </c>
      <c r="LW57" s="4">
        <f>DATE(YEAR(LV57)+5,MONTH(LV57),DAY(LV57))</f>
        <v>46813</v>
      </c>
      <c r="LX57" s="8">
        <f ca="1">LW57-TODAY()</f>
        <v>668</v>
      </c>
      <c r="LY57" s="5" t="str">
        <f t="shared" ca="1" si="140"/>
        <v>VIGENTE</v>
      </c>
      <c r="LZ57" s="4"/>
      <c r="MA57" s="4">
        <v>44988</v>
      </c>
      <c r="MB57" s="4">
        <f>DATE(YEAR(MA57)+5,MONTH(MA57),DAY(MA57))</f>
        <v>46815</v>
      </c>
      <c r="MC57" s="8">
        <f ca="1">MB57-TODAY()</f>
        <v>670</v>
      </c>
      <c r="MD57" s="5" t="str">
        <f t="shared" ca="1" si="141"/>
        <v>VIGENTE</v>
      </c>
      <c r="ME57" s="5"/>
      <c r="MF57" s="5"/>
      <c r="MG57" s="4"/>
      <c r="MH57" s="8"/>
      <c r="MI57" s="5" t="str">
        <f t="shared" si="102"/>
        <v>NO APLICA</v>
      </c>
      <c r="MJ57" s="5"/>
      <c r="MK57" s="5"/>
      <c r="ML57" s="4"/>
      <c r="MM57" s="8"/>
      <c r="MN57" s="5" t="str">
        <f t="shared" si="103"/>
        <v>NO APLICA</v>
      </c>
      <c r="MO57" s="5"/>
      <c r="MP57" s="5"/>
      <c r="MQ57" s="4"/>
      <c r="MR57" s="8"/>
      <c r="MS57" s="5" t="str">
        <f t="shared" si="104"/>
        <v>NO APLICA</v>
      </c>
      <c r="MT57" s="5"/>
      <c r="MU57" s="5"/>
      <c r="MV57" s="4"/>
      <c r="MW57" s="5"/>
      <c r="MX57" s="5" t="str">
        <f t="shared" si="105"/>
        <v>NO APLICA</v>
      </c>
      <c r="MY57" s="5"/>
      <c r="MZ57" s="6"/>
      <c r="NA57" s="4"/>
      <c r="NB57" s="8"/>
      <c r="NC57" s="5" t="str">
        <f t="shared" si="106"/>
        <v>NO APLICA</v>
      </c>
      <c r="ND57" s="5"/>
      <c r="NE57" s="6"/>
      <c r="NF57" s="4"/>
      <c r="NG57" s="8"/>
      <c r="NH57" s="5" t="str">
        <f t="shared" si="107"/>
        <v>NO APLICA</v>
      </c>
      <c r="NI57" s="5"/>
      <c r="NJ57" s="6"/>
      <c r="NK57" s="4"/>
      <c r="NL57" s="8"/>
      <c r="NM57" s="5" t="str">
        <f t="shared" si="108"/>
        <v>NO APLICA</v>
      </c>
      <c r="NN57" s="5"/>
      <c r="NO57" s="5"/>
      <c r="NP57" s="4"/>
      <c r="NQ57" s="8"/>
      <c r="NR57" s="5" t="str">
        <f t="shared" si="109"/>
        <v>NO APLICA</v>
      </c>
      <c r="NS57" s="5"/>
      <c r="NT57" s="5"/>
      <c r="NU57" s="5"/>
      <c r="NV57" s="5"/>
      <c r="NW57" s="5" t="str">
        <f t="shared" si="110"/>
        <v>NO APLICA</v>
      </c>
      <c r="NX57" s="6"/>
      <c r="NY57" s="6"/>
      <c r="NZ57" s="4"/>
      <c r="OA57" s="8"/>
      <c r="OB57" s="5" t="str">
        <f t="shared" si="111"/>
        <v>NO APLICA</v>
      </c>
      <c r="OC57" s="6"/>
      <c r="OD57" s="6"/>
      <c r="OE57" s="6"/>
      <c r="OF57" s="6"/>
      <c r="OG57" s="5" t="str">
        <f t="shared" si="112"/>
        <v>NO APLICA</v>
      </c>
      <c r="OH57" s="5"/>
      <c r="OI57" s="5"/>
      <c r="OJ57" s="4"/>
      <c r="OK57" s="8"/>
      <c r="OL57" s="5" t="str">
        <f t="shared" si="113"/>
        <v>NO APLICA</v>
      </c>
      <c r="OM57" s="6"/>
      <c r="ON57" s="6"/>
      <c r="OO57" s="6"/>
      <c r="OP57" s="6"/>
      <c r="OQ57" s="5" t="str">
        <f t="shared" si="114"/>
        <v>NO APLICA</v>
      </c>
      <c r="OR57" s="6"/>
      <c r="OS57" s="6"/>
      <c r="OT57" s="6"/>
      <c r="OU57" s="6"/>
      <c r="OV57" s="5" t="str">
        <f t="shared" si="115"/>
        <v>NO APLICA</v>
      </c>
      <c r="OW57" s="6"/>
      <c r="OX57" s="6"/>
      <c r="OY57" s="6"/>
      <c r="OZ57" s="6"/>
      <c r="PA57" s="5" t="str">
        <f t="shared" si="116"/>
        <v>NO APLICA</v>
      </c>
      <c r="PB57" s="6"/>
      <c r="PC57" s="6"/>
      <c r="PD57" s="6"/>
      <c r="PE57" s="6"/>
      <c r="PF57" s="5" t="str">
        <f t="shared" si="117"/>
        <v>NO APLICA</v>
      </c>
      <c r="PG57" s="6"/>
      <c r="PH57" s="6"/>
      <c r="PI57" s="6"/>
      <c r="PJ57" s="6"/>
      <c r="PK57" s="5" t="str">
        <f t="shared" si="118"/>
        <v>NO APLICA</v>
      </c>
      <c r="PL57" s="5"/>
      <c r="PM57" s="6"/>
      <c r="PN57" s="4"/>
      <c r="PO57" s="8"/>
      <c r="PP57" s="5" t="str">
        <f t="shared" si="119"/>
        <v>NO APLICA</v>
      </c>
      <c r="PQ57" s="6"/>
      <c r="PR57" s="6"/>
      <c r="PS57" s="6"/>
      <c r="PT57" s="6"/>
      <c r="PU57" s="5" t="str">
        <f t="shared" si="120"/>
        <v>NO APLICA</v>
      </c>
      <c r="PV57" s="5"/>
      <c r="PW57" s="6"/>
      <c r="PX57" s="6"/>
      <c r="PY57" s="6"/>
      <c r="PZ57" s="5" t="str">
        <f t="shared" si="121"/>
        <v>NO APLICA</v>
      </c>
    </row>
    <row r="58" spans="1:442" ht="15.6" hidden="1" thickTop="1" thickBot="1" x14ac:dyDescent="0.35">
      <c r="A58" s="26">
        <v>55</v>
      </c>
      <c r="B58" s="27">
        <v>1569</v>
      </c>
      <c r="C58" s="28" t="s">
        <v>235</v>
      </c>
      <c r="D58" s="29" t="s">
        <v>68</v>
      </c>
      <c r="E58" s="30" t="s">
        <v>153</v>
      </c>
      <c r="F58" s="5"/>
      <c r="G58" s="6"/>
      <c r="H58" s="4"/>
      <c r="I58" s="8"/>
      <c r="J58" s="5" t="str">
        <f t="shared" si="0"/>
        <v>NO APLICA</v>
      </c>
      <c r="K58" s="5"/>
      <c r="L58" s="6"/>
      <c r="M58" s="6"/>
      <c r="N58" s="8"/>
      <c r="O58" s="5" t="str">
        <f t="shared" si="1"/>
        <v>NO APLICA</v>
      </c>
      <c r="P58" s="6"/>
      <c r="Q58" s="6"/>
      <c r="R58" s="4"/>
      <c r="S58" s="8"/>
      <c r="T58" s="5" t="str">
        <f t="shared" si="122"/>
        <v>NO APLICA</v>
      </c>
      <c r="U58" s="5"/>
      <c r="V58" s="2" t="s">
        <v>236</v>
      </c>
      <c r="W58" s="4">
        <v>45958</v>
      </c>
      <c r="X58" s="4">
        <f t="shared" si="2"/>
        <v>47784</v>
      </c>
      <c r="Y58" s="8">
        <f t="shared" ca="1" si="3"/>
        <v>1639</v>
      </c>
      <c r="Z58" s="5" t="str">
        <f t="shared" ca="1" si="4"/>
        <v>VIGENTE</v>
      </c>
      <c r="AA58" s="5"/>
      <c r="AB58" s="22" t="s">
        <v>237</v>
      </c>
      <c r="AC58" s="4">
        <v>44826</v>
      </c>
      <c r="AD58" s="4">
        <f>DATE(YEAR(AC58)+5,MONTH(AC58),DAY(AC58))</f>
        <v>46652</v>
      </c>
      <c r="AE58" s="8">
        <f ca="1">AD58-TODAY()</f>
        <v>507</v>
      </c>
      <c r="AF58" s="5" t="str">
        <f t="shared" ca="1" si="7"/>
        <v>VIGENTE</v>
      </c>
      <c r="AG58" s="3"/>
      <c r="AH58" s="3">
        <v>45609</v>
      </c>
      <c r="AI58" s="4">
        <f t="shared" si="229"/>
        <v>46338</v>
      </c>
      <c r="AJ58" s="8">
        <f t="shared" ca="1" si="8"/>
        <v>193</v>
      </c>
      <c r="AK58" s="5" t="str">
        <f t="shared" ca="1" si="219"/>
        <v>VIGENTE</v>
      </c>
      <c r="AL58" s="3"/>
      <c r="AM58" s="4">
        <v>45710</v>
      </c>
      <c r="AN58" s="4">
        <f>DATE(YEAR(AM58)+2,MONTH(AM58),DAY(AM58)-1)</f>
        <v>46439</v>
      </c>
      <c r="AO58" s="8">
        <f t="shared" ca="1" si="10"/>
        <v>294</v>
      </c>
      <c r="AP58" s="5" t="str">
        <f t="shared" ca="1" si="11"/>
        <v>VIGENTE</v>
      </c>
      <c r="AQ58" s="3"/>
      <c r="AR58" s="4">
        <v>45591</v>
      </c>
      <c r="AS58" s="4">
        <f>DATE(YEAR(AR58)+2,MONTH(AR58),DAY(AR58)-1)</f>
        <v>46320</v>
      </c>
      <c r="AT58" s="8">
        <f t="shared" ca="1" si="12"/>
        <v>175</v>
      </c>
      <c r="AU58" s="5" t="str">
        <f t="shared" ca="1" si="13"/>
        <v>VIGENTE</v>
      </c>
      <c r="AV58" s="3"/>
      <c r="AW58" s="4">
        <v>45644</v>
      </c>
      <c r="AX58" s="4">
        <f>DATE(YEAR(AW58)+2,MONTH(AW58),DAY(AW58)-1)</f>
        <v>46373</v>
      </c>
      <c r="AY58" s="8">
        <f t="shared" ca="1" si="15"/>
        <v>228</v>
      </c>
      <c r="AZ58" s="5" t="str">
        <f t="shared" ca="1" si="16"/>
        <v>VIGENTE</v>
      </c>
      <c r="BA58" s="3"/>
      <c r="BB58" s="4">
        <v>45717</v>
      </c>
      <c r="BC58" s="4">
        <f>DATE(YEAR(BB58)+2,MONTH(BB58),DAY(BB58)-1)</f>
        <v>46446</v>
      </c>
      <c r="BD58" s="8">
        <f t="shared" ca="1" si="17"/>
        <v>301</v>
      </c>
      <c r="BE58" s="5" t="str">
        <f t="shared" ca="1" si="18"/>
        <v>VIGENTE</v>
      </c>
      <c r="BF58" s="3"/>
      <c r="BG58" s="4">
        <v>45673</v>
      </c>
      <c r="BH58" s="4">
        <f>DATE(YEAR(BG58)+2,MONTH(BG58),DAY(BG58)-1)</f>
        <v>46402</v>
      </c>
      <c r="BI58" s="8">
        <f t="shared" ca="1" si="19"/>
        <v>257</v>
      </c>
      <c r="BJ58" s="5" t="str">
        <f t="shared" ca="1" si="20"/>
        <v>VIGENTE</v>
      </c>
      <c r="BK58" s="3"/>
      <c r="BL58" s="4">
        <v>46017</v>
      </c>
      <c r="BM58" s="4">
        <f t="shared" si="230"/>
        <v>46747</v>
      </c>
      <c r="BN58" s="8">
        <f t="shared" ca="1" si="21"/>
        <v>602</v>
      </c>
      <c r="BO58" s="5" t="str">
        <f t="shared" ca="1" si="22"/>
        <v>VIGENTE</v>
      </c>
      <c r="BP58" s="3"/>
      <c r="BQ58" s="39">
        <v>45604</v>
      </c>
      <c r="BR58" s="4">
        <f>DATE(YEAR(BQ58)+2,MONTH(BQ58),DAY(BQ58)-1)</f>
        <v>46333</v>
      </c>
      <c r="BS58" s="8">
        <f t="shared" ca="1" si="23"/>
        <v>188</v>
      </c>
      <c r="BT58" s="5" t="str">
        <f t="shared" ca="1" si="24"/>
        <v>VIGENTE</v>
      </c>
      <c r="BU58" s="4"/>
      <c r="BV58" s="4">
        <v>45736</v>
      </c>
      <c r="BW58" s="4">
        <f>DATE(YEAR(BV58)+2,MONTH(BV58),DAY(BV58)-1)</f>
        <v>46465</v>
      </c>
      <c r="BX58" s="8">
        <f t="shared" ca="1" si="25"/>
        <v>320</v>
      </c>
      <c r="BY58" s="5" t="str">
        <f t="shared" ca="1" si="26"/>
        <v>VIGENTE</v>
      </c>
      <c r="BZ58" s="3"/>
      <c r="CA58" s="4">
        <v>45600</v>
      </c>
      <c r="CB58" s="4">
        <f>DATE(YEAR(CA58)+2,MONTH(CA58),DAY(CA58)-1)</f>
        <v>46329</v>
      </c>
      <c r="CC58" s="8">
        <f t="shared" ca="1" si="27"/>
        <v>184</v>
      </c>
      <c r="CD58" s="5" t="str">
        <f t="shared" ca="1" si="28"/>
        <v>VIGENTE</v>
      </c>
      <c r="CE58" s="6"/>
      <c r="CF58" s="4">
        <v>45282</v>
      </c>
      <c r="CG58" s="4">
        <f t="shared" si="29"/>
        <v>46743</v>
      </c>
      <c r="CH58" s="8">
        <f t="shared" ca="1" si="30"/>
        <v>598</v>
      </c>
      <c r="CI58" s="5" t="str">
        <f t="shared" ca="1" si="31"/>
        <v>VIGENTE</v>
      </c>
      <c r="CJ58" s="4"/>
      <c r="CK58" s="4">
        <v>45741</v>
      </c>
      <c r="CL58" s="4">
        <f>DATE(YEAR(CK58)+2,MONTH(CK58),DAY(CK58)-1)</f>
        <v>46470</v>
      </c>
      <c r="CM58" s="8">
        <f t="shared" ca="1" si="32"/>
        <v>325</v>
      </c>
      <c r="CN58" s="5" t="str">
        <f t="shared" ca="1" si="33"/>
        <v>VIGENTE</v>
      </c>
      <c r="CO58" s="4"/>
      <c r="CP58" s="39">
        <v>45726</v>
      </c>
      <c r="CQ58" s="4">
        <f>DATE(YEAR(CP58)+2,MONTH(CP58),DAY(CP58)-1)</f>
        <v>46455</v>
      </c>
      <c r="CR58" s="8">
        <f t="shared" ca="1" si="34"/>
        <v>310</v>
      </c>
      <c r="CS58" s="5" t="str">
        <f t="shared" ca="1" si="35"/>
        <v>VIGENTE</v>
      </c>
      <c r="CT58" s="3"/>
      <c r="CU58" s="4">
        <v>45639</v>
      </c>
      <c r="CV58" s="4">
        <f>DATE(YEAR(CU58)+2,MONTH(CU58),DAY(CU58)-1)</f>
        <v>46368</v>
      </c>
      <c r="CW58" s="8">
        <f t="shared" ca="1" si="36"/>
        <v>223</v>
      </c>
      <c r="CX58" s="5" t="str">
        <f t="shared" ca="1" si="37"/>
        <v>VIGENTE</v>
      </c>
      <c r="CY58" s="3"/>
      <c r="CZ58" s="4">
        <v>45665</v>
      </c>
      <c r="DA58" s="4">
        <f>DATE(YEAR(CZ58)+2,MONTH(CZ58),DAY(CZ58)-1)</f>
        <v>46394</v>
      </c>
      <c r="DB58" s="8">
        <f t="shared" ca="1" si="38"/>
        <v>249</v>
      </c>
      <c r="DC58" s="5" t="str">
        <f t="shared" ca="1" si="39"/>
        <v>VIGENTE</v>
      </c>
      <c r="DD58" s="3"/>
      <c r="DE58" s="39">
        <v>45689</v>
      </c>
      <c r="DF58" s="4">
        <f t="shared" si="227"/>
        <v>46418</v>
      </c>
      <c r="DG58" s="8">
        <f t="shared" ca="1" si="40"/>
        <v>273</v>
      </c>
      <c r="DH58" s="5" t="str">
        <f t="shared" ca="1" si="41"/>
        <v>VIGENTE</v>
      </c>
      <c r="DI58" s="3"/>
      <c r="DJ58" s="39">
        <v>45696</v>
      </c>
      <c r="DK58" s="4">
        <f>DATE(YEAR(DJ58)+2,MONTH(DJ58),DAY(DJ58)-1)</f>
        <v>46425</v>
      </c>
      <c r="DL58" s="8">
        <f t="shared" ca="1" si="43"/>
        <v>280</v>
      </c>
      <c r="DM58" s="5" t="str">
        <f t="shared" ca="1" si="44"/>
        <v>VIGENTE</v>
      </c>
      <c r="DN58" s="3"/>
      <c r="DO58" s="4">
        <v>45982</v>
      </c>
      <c r="DP58" s="4">
        <f>DATE(YEAR(DO58)+2,MONTH(DO58),DAY(DO58))</f>
        <v>46712</v>
      </c>
      <c r="DQ58" s="8">
        <f t="shared" ca="1" si="46"/>
        <v>567</v>
      </c>
      <c r="DR58" s="5" t="str">
        <f t="shared" ca="1" si="47"/>
        <v>VIGENTE</v>
      </c>
      <c r="DS58" s="3"/>
      <c r="DT58" s="4">
        <v>45685</v>
      </c>
      <c r="DU58" s="4">
        <f>DATE(YEAR(DT58)+2,MONTH(DT58),DAY(DT58)-1)</f>
        <v>46414</v>
      </c>
      <c r="DV58" s="8">
        <f t="shared" ca="1" si="48"/>
        <v>269</v>
      </c>
      <c r="DW58" s="5" t="str">
        <f t="shared" ca="1" si="49"/>
        <v>VIGENTE</v>
      </c>
      <c r="DX58" s="3"/>
      <c r="DY58" s="4">
        <v>45663</v>
      </c>
      <c r="DZ58" s="4">
        <f>DATE(YEAR(DY58)+2,MONTH(DY58),DAY(DY58)-1)</f>
        <v>46392</v>
      </c>
      <c r="EA58" s="8">
        <f t="shared" ca="1" si="50"/>
        <v>247</v>
      </c>
      <c r="EB58" s="5" t="str">
        <f t="shared" ca="1" si="51"/>
        <v>VIGENTE</v>
      </c>
      <c r="EC58" s="3"/>
      <c r="ED58" s="39">
        <v>45674</v>
      </c>
      <c r="EE58" s="4">
        <f>DATE(YEAR(ED58)+2,MONTH(ED58),DAY(ED58)-1)</f>
        <v>46403</v>
      </c>
      <c r="EF58" s="8">
        <f t="shared" ca="1" si="52"/>
        <v>258</v>
      </c>
      <c r="EG58" s="5" t="str">
        <f t="shared" ca="1" si="53"/>
        <v>VIGENTE</v>
      </c>
      <c r="EH58" s="3"/>
      <c r="EI58" s="3">
        <v>46085</v>
      </c>
      <c r="EJ58" s="4">
        <f t="shared" si="131"/>
        <v>46450</v>
      </c>
      <c r="EK58" s="8">
        <f t="shared" ca="1" si="54"/>
        <v>305</v>
      </c>
      <c r="EL58" s="5" t="str">
        <f t="shared" ca="1" si="55"/>
        <v>VIGENTE</v>
      </c>
      <c r="EM58" s="3"/>
      <c r="EN58" s="4">
        <v>45737</v>
      </c>
      <c r="EO58" s="4">
        <f t="shared" si="231"/>
        <v>46466</v>
      </c>
      <c r="EP58" s="8">
        <f t="shared" ca="1" si="56"/>
        <v>321</v>
      </c>
      <c r="EQ58" s="5" t="str">
        <f t="shared" ca="1" si="57"/>
        <v>VIGENTE</v>
      </c>
      <c r="ER58" s="3"/>
      <c r="ES58" s="39">
        <v>45677</v>
      </c>
      <c r="ET58" s="4">
        <f>DATE(YEAR(ES58)+2,MONTH(ES58),DAY(ES58)-1)</f>
        <v>46406</v>
      </c>
      <c r="EU58" s="8">
        <f t="shared" ca="1" si="58"/>
        <v>261</v>
      </c>
      <c r="EV58" s="5" t="str">
        <f t="shared" ca="1" si="59"/>
        <v>VIGENTE</v>
      </c>
      <c r="EW58" s="3"/>
      <c r="EX58" s="4">
        <v>45694</v>
      </c>
      <c r="EY58" s="4">
        <f>DATE(YEAR(EX58)+2,MONTH(EX58),DAY(EX58)-1)</f>
        <v>46423</v>
      </c>
      <c r="EZ58" s="8">
        <f t="shared" ca="1" si="60"/>
        <v>278</v>
      </c>
      <c r="FA58" s="5" t="str">
        <f t="shared" ca="1" si="61"/>
        <v>VIGENTE</v>
      </c>
      <c r="FB58" s="3"/>
      <c r="FC58" s="4">
        <v>45666</v>
      </c>
      <c r="FD58" s="4">
        <f>DATE(YEAR(FC58)+2,MONTH(FC58),DAY(FC58)-1)</f>
        <v>46395</v>
      </c>
      <c r="FE58" s="8">
        <f t="shared" ca="1" si="62"/>
        <v>250</v>
      </c>
      <c r="FF58" s="5" t="str">
        <f t="shared" ca="1" si="63"/>
        <v>VIGENTE</v>
      </c>
      <c r="FG58" s="3"/>
      <c r="FH58" s="4">
        <v>45668</v>
      </c>
      <c r="FI58" s="4">
        <f>DATE(YEAR(FH58)+2,MONTH(FH58),DAY(FH58)-1)</f>
        <v>46397</v>
      </c>
      <c r="FJ58" s="8">
        <f t="shared" ca="1" si="64"/>
        <v>252</v>
      </c>
      <c r="FK58" s="5" t="str">
        <f t="shared" ca="1" si="65"/>
        <v>VIGENTE</v>
      </c>
      <c r="FL58" s="3"/>
      <c r="FM58" s="39">
        <v>45670</v>
      </c>
      <c r="FN58" s="4">
        <f>DATE(YEAR(FM58)+2,MONTH(FM58),DAY(FM58)-1)</f>
        <v>46399</v>
      </c>
      <c r="FO58" s="8">
        <f t="shared" ca="1" si="67"/>
        <v>254</v>
      </c>
      <c r="FP58" s="5" t="str">
        <f t="shared" ca="1" si="68"/>
        <v>VIGENTE</v>
      </c>
      <c r="FQ58" s="3"/>
      <c r="FR58" s="39">
        <v>45664</v>
      </c>
      <c r="FS58" s="4">
        <f>DATE(YEAR(FR58)+2,MONTH(FR58),DAY(FR58)-1)</f>
        <v>46393</v>
      </c>
      <c r="FT58" s="8">
        <f t="shared" ca="1" si="69"/>
        <v>248</v>
      </c>
      <c r="FU58" s="5" t="str">
        <f t="shared" ca="1" si="70"/>
        <v>VIGENTE</v>
      </c>
      <c r="FV58" s="3"/>
      <c r="FW58" s="4">
        <v>45574</v>
      </c>
      <c r="FX58" s="4">
        <f>DATE(YEAR(FW58)+2,MONTH(FW58),DAY(FW58)-1)</f>
        <v>46303</v>
      </c>
      <c r="FY58" s="8">
        <f t="shared" ca="1" si="71"/>
        <v>158</v>
      </c>
      <c r="FZ58" s="5" t="str">
        <f t="shared" ca="1" si="72"/>
        <v>VIGENTE</v>
      </c>
      <c r="GA58" s="3"/>
      <c r="GB58" s="4">
        <v>45667</v>
      </c>
      <c r="GC58" s="4">
        <f>DATE(YEAR(GB58)+2,MONTH(GB58),DAY(GB58)-1)</f>
        <v>46396</v>
      </c>
      <c r="GD58" s="8">
        <f t="shared" ca="1" si="73"/>
        <v>251</v>
      </c>
      <c r="GE58" s="5" t="str">
        <f t="shared" ca="1" si="74"/>
        <v>VIGENTE</v>
      </c>
      <c r="GF58" s="3"/>
      <c r="GG58" s="4">
        <v>45672</v>
      </c>
      <c r="GH58" s="4">
        <f>DATE(YEAR(GG58)+2,MONTH(GG58),DAY(GG58)-1)</f>
        <v>46401</v>
      </c>
      <c r="GI58" s="8">
        <f t="shared" ca="1" si="75"/>
        <v>256</v>
      </c>
      <c r="GJ58" s="5" t="str">
        <f t="shared" ca="1" si="76"/>
        <v>VIGENTE</v>
      </c>
      <c r="GK58" s="3"/>
      <c r="GL58" s="4">
        <v>45687</v>
      </c>
      <c r="GM58" s="4">
        <f>DATE(YEAR(GL58)+2,MONTH(GL58),DAY(GL58)-1)</f>
        <v>46416</v>
      </c>
      <c r="GN58" s="8">
        <f t="shared" ca="1" si="77"/>
        <v>271</v>
      </c>
      <c r="GO58" s="5" t="str">
        <f t="shared" ca="1" si="78"/>
        <v>VIGENTE</v>
      </c>
      <c r="GP58" s="4"/>
      <c r="GQ58" s="4">
        <v>45265</v>
      </c>
      <c r="GR58" s="4">
        <f t="shared" si="79"/>
        <v>47092</v>
      </c>
      <c r="GS58" s="8">
        <f t="shared" ca="1" si="176"/>
        <v>947</v>
      </c>
      <c r="GT58" s="5" t="str">
        <f t="shared" ca="1" si="81"/>
        <v>VIGENTE</v>
      </c>
      <c r="GU58" s="3"/>
      <c r="GV58" s="4">
        <v>45200</v>
      </c>
      <c r="GW58" s="4">
        <f t="shared" si="82"/>
        <v>47027</v>
      </c>
      <c r="GX58" s="8">
        <f t="shared" ca="1" si="83"/>
        <v>882</v>
      </c>
      <c r="GY58" s="5" t="str">
        <f t="shared" ca="1" si="84"/>
        <v>VIGENTE</v>
      </c>
      <c r="GZ58" s="3"/>
      <c r="HA58" s="4">
        <v>45268</v>
      </c>
      <c r="HB58" s="4">
        <f t="shared" si="85"/>
        <v>47095</v>
      </c>
      <c r="HC58" s="8">
        <f t="shared" ca="1" si="86"/>
        <v>950</v>
      </c>
      <c r="HD58" s="5" t="str">
        <f t="shared" ca="1" si="87"/>
        <v>VIGENTE</v>
      </c>
      <c r="HE58" s="6"/>
      <c r="HF58" s="4">
        <v>44900</v>
      </c>
      <c r="HG58" s="4">
        <f>DATE(YEAR(HF58)+5,MONTH(HF58),DAY(HF58))</f>
        <v>46726</v>
      </c>
      <c r="HH58" s="8">
        <f ca="1">HG58-TODAY()</f>
        <v>581</v>
      </c>
      <c r="HI58" s="5" t="str">
        <f t="shared" ca="1" si="224"/>
        <v>VIGENTE</v>
      </c>
      <c r="HJ58" s="2"/>
      <c r="HK58" s="4">
        <v>45341</v>
      </c>
      <c r="HL58" s="4">
        <f>DATE(YEAR(HK58)+5,MONTH(HK58),DAY(HK58))</f>
        <v>47168</v>
      </c>
      <c r="HM58" s="8">
        <f ca="1">HL58-TODAY()</f>
        <v>1023</v>
      </c>
      <c r="HN58" s="5" t="str">
        <f t="shared" ca="1" si="228"/>
        <v>VIGENTE</v>
      </c>
      <c r="HO58" s="2"/>
      <c r="HP58" s="3">
        <v>45386</v>
      </c>
      <c r="HQ58" s="4">
        <f>DATE(YEAR(HP58)+5,MONTH(HP58),DAY(HP58))</f>
        <v>47212</v>
      </c>
      <c r="HR58" s="8">
        <f ca="1">HQ58-TODAY()</f>
        <v>1067</v>
      </c>
      <c r="HS58" s="5" t="str">
        <f t="shared" ca="1" si="92"/>
        <v>VIGENTE</v>
      </c>
      <c r="HT58" s="3"/>
      <c r="HU58" s="4">
        <v>45469</v>
      </c>
      <c r="HV58" s="4">
        <f>DATE(YEAR(HU58)+5,MONTH(HU58),DAY(HU58))</f>
        <v>47295</v>
      </c>
      <c r="HW58" s="8">
        <f ca="1">HV58-TODAY()</f>
        <v>1150</v>
      </c>
      <c r="HX58" s="5" t="str">
        <f t="shared" ca="1" si="93"/>
        <v>VIGENTE</v>
      </c>
      <c r="HY58" s="3"/>
      <c r="HZ58" s="4">
        <v>45492</v>
      </c>
      <c r="IA58" s="4">
        <f>DATE(YEAR(HZ58)+5,MONTH(HZ58),DAY(HZ58))</f>
        <v>47318</v>
      </c>
      <c r="IB58" s="8">
        <f ca="1">IA58-TODAY()</f>
        <v>1173</v>
      </c>
      <c r="IC58" s="5" t="str">
        <f t="shared" ca="1" si="94"/>
        <v>VIGENTE</v>
      </c>
      <c r="ID58" s="3"/>
      <c r="IE58" s="4">
        <v>45192</v>
      </c>
      <c r="IF58" s="4">
        <f>DATE(YEAR(IE58)+5,MONTH(IE58),DAY(IE58))</f>
        <v>47019</v>
      </c>
      <c r="IG58" s="8">
        <f ca="1">IF58-TODAY()</f>
        <v>874</v>
      </c>
      <c r="IH58" s="5" t="str">
        <f t="shared" ca="1" si="95"/>
        <v>VIGENTE</v>
      </c>
      <c r="II58" s="4"/>
      <c r="IJ58" s="4">
        <v>45262</v>
      </c>
      <c r="IK58" s="4">
        <f>DATE(YEAR(IJ58)+5,MONTH(IJ58),DAY(IJ58))</f>
        <v>47089</v>
      </c>
      <c r="IL58" s="8">
        <f ca="1">IK58-TODAY()</f>
        <v>944</v>
      </c>
      <c r="IM58" s="5" t="str">
        <f t="shared" ca="1" si="96"/>
        <v>VIGENTE</v>
      </c>
      <c r="IN58" s="3"/>
      <c r="IO58" s="4">
        <v>45259</v>
      </c>
      <c r="IP58" s="4">
        <f>DATE(YEAR(IO58)+5,MONTH(IO58),DAY(IO58))</f>
        <v>47086</v>
      </c>
      <c r="IQ58" s="8">
        <f ca="1">IP58-TODAY()</f>
        <v>941</v>
      </c>
      <c r="IR58" s="5" t="str">
        <f t="shared" ca="1" si="97"/>
        <v>VIGENTE</v>
      </c>
      <c r="IS58" s="3"/>
      <c r="IT58" s="4">
        <v>45199</v>
      </c>
      <c r="IU58" s="4">
        <f>DATE(YEAR(IT58)+5,MONTH(IT58),DAY(IT58))</f>
        <v>47026</v>
      </c>
      <c r="IV58" s="8">
        <f ca="1">IU58-TODAY()</f>
        <v>881</v>
      </c>
      <c r="IW58" s="5" t="str">
        <f t="shared" ca="1" si="98"/>
        <v>VIGENTE</v>
      </c>
      <c r="IX58" s="3"/>
      <c r="IY58" s="4">
        <v>45491</v>
      </c>
      <c r="IZ58" s="4">
        <f>DATE(YEAR(IY58)+5,MONTH(IY58),DAY(IY58))</f>
        <v>47317</v>
      </c>
      <c r="JA58" s="8">
        <f ca="1">IZ58-TODAY()</f>
        <v>1172</v>
      </c>
      <c r="JB58" s="5" t="str">
        <f t="shared" ca="1" si="99"/>
        <v>VIGENTE</v>
      </c>
      <c r="JC58" s="3" t="s">
        <v>780</v>
      </c>
      <c r="JD58" s="3"/>
      <c r="JE58" s="4"/>
      <c r="JF58" s="8"/>
      <c r="JG58" s="5"/>
      <c r="JH58" s="3" t="s">
        <v>780</v>
      </c>
      <c r="JI58" s="6"/>
      <c r="JJ58" s="6"/>
      <c r="JK58" s="6"/>
      <c r="JL58" s="5"/>
      <c r="JM58" s="6" t="s">
        <v>780</v>
      </c>
      <c r="JN58" s="6"/>
      <c r="JO58" s="6"/>
      <c r="JP58" s="6"/>
      <c r="JQ58" s="5"/>
      <c r="JR58" s="6" t="s">
        <v>780</v>
      </c>
      <c r="JS58" s="6"/>
      <c r="JT58" s="6"/>
      <c r="JU58" s="6"/>
      <c r="JV58" s="5"/>
      <c r="JW58" s="6" t="s">
        <v>780</v>
      </c>
      <c r="JX58" s="5"/>
      <c r="JY58" s="5"/>
      <c r="JZ58" s="5"/>
      <c r="KA58" s="5"/>
      <c r="KB58" s="5"/>
      <c r="KC58" s="3">
        <v>45362</v>
      </c>
      <c r="KD58" s="4">
        <f>DATE(YEAR(KC58)+5,MONTH(KC58),DAY(KC58))</f>
        <v>47188</v>
      </c>
      <c r="KE58" s="8">
        <f ca="1">KD58-TODAY()</f>
        <v>1043</v>
      </c>
      <c r="KF58" s="5" t="str">
        <f t="shared" ca="1" si="135"/>
        <v>VIGENTE</v>
      </c>
      <c r="KG58" s="5"/>
      <c r="KH58" s="2"/>
      <c r="KI58" s="4"/>
      <c r="KJ58" s="8"/>
      <c r="KK58" s="5" t="str">
        <f t="shared" si="136"/>
        <v>NO APLICA</v>
      </c>
      <c r="KL58" s="5"/>
      <c r="KM58" s="2"/>
      <c r="KN58" s="4"/>
      <c r="KO58" s="8"/>
      <c r="KP58" s="5" t="str">
        <f t="shared" si="100"/>
        <v>NO APLICA</v>
      </c>
      <c r="KQ58" s="5"/>
      <c r="KR58" s="2"/>
      <c r="KS58" s="4"/>
      <c r="KT58" s="8"/>
      <c r="KU58" s="5" t="str">
        <f t="shared" si="137"/>
        <v>NO APLICA</v>
      </c>
      <c r="KV58" s="2"/>
      <c r="KW58" s="6"/>
      <c r="KX58" s="4"/>
      <c r="KY58" s="8"/>
      <c r="KZ58" s="5" t="str">
        <f t="shared" si="151"/>
        <v>NO APLICA</v>
      </c>
      <c r="LA58" s="5"/>
      <c r="LB58" s="6"/>
      <c r="LC58" s="4"/>
      <c r="LD58" s="8"/>
      <c r="LE58" s="5" t="str">
        <f t="shared" si="138"/>
        <v>NO APLICA</v>
      </c>
      <c r="LF58" s="6"/>
      <c r="LG58" s="6"/>
      <c r="LH58" s="4"/>
      <c r="LI58" s="8"/>
      <c r="LJ58" s="5" t="str">
        <f t="shared" si="101"/>
        <v>NO APLICA</v>
      </c>
      <c r="LK58" s="5"/>
      <c r="LL58" s="5"/>
      <c r="LM58" s="4"/>
      <c r="LN58" s="8"/>
      <c r="LO58" s="5" t="str">
        <f t="shared" si="152"/>
        <v>NO APLICA</v>
      </c>
      <c r="LP58" s="2"/>
      <c r="LQ58" s="6"/>
      <c r="LR58" s="4"/>
      <c r="LS58" s="8"/>
      <c r="LT58" s="5" t="str">
        <f t="shared" si="139"/>
        <v>NO APLICA</v>
      </c>
      <c r="LU58" s="4"/>
      <c r="LV58" s="4">
        <v>44986</v>
      </c>
      <c r="LW58" s="4">
        <f>DATE(YEAR(LV58)+5,MONTH(LV58),DAY(LV58))</f>
        <v>46813</v>
      </c>
      <c r="LX58" s="8">
        <f ca="1">LW58-TODAY()</f>
        <v>668</v>
      </c>
      <c r="LY58" s="5" t="str">
        <f t="shared" ca="1" si="140"/>
        <v>VIGENTE</v>
      </c>
      <c r="LZ58" s="4"/>
      <c r="MA58" s="4">
        <v>44988</v>
      </c>
      <c r="MB58" s="4">
        <f>DATE(YEAR(MA58)+5,MONTH(MA58),DAY(MA58))</f>
        <v>46815</v>
      </c>
      <c r="MC58" s="8">
        <f ca="1">MB58-TODAY()</f>
        <v>670</v>
      </c>
      <c r="MD58" s="5" t="str">
        <f t="shared" ca="1" si="141"/>
        <v>VIGENTE</v>
      </c>
      <c r="ME58" s="2"/>
      <c r="MF58" s="2"/>
      <c r="MG58" s="4"/>
      <c r="MH58" s="8"/>
      <c r="MI58" s="5" t="str">
        <f t="shared" si="102"/>
        <v>NO APLICA</v>
      </c>
      <c r="MJ58" s="2"/>
      <c r="MK58" s="2"/>
      <c r="ML58" s="4"/>
      <c r="MM58" s="8"/>
      <c r="MN58" s="5" t="str">
        <f t="shared" si="103"/>
        <v>NO APLICA</v>
      </c>
      <c r="MO58" s="5"/>
      <c r="MP58" s="2"/>
      <c r="MQ58" s="4"/>
      <c r="MR58" s="8"/>
      <c r="MS58" s="5" t="str">
        <f t="shared" si="104"/>
        <v>NO APLICA</v>
      </c>
      <c r="MT58" s="5"/>
      <c r="MU58" s="2"/>
      <c r="MV58" s="4"/>
      <c r="MW58" s="2"/>
      <c r="MX58" s="5" t="str">
        <f t="shared" si="105"/>
        <v>NO APLICA</v>
      </c>
      <c r="MY58" s="2"/>
      <c r="MZ58" s="6"/>
      <c r="NA58" s="4"/>
      <c r="NB58" s="8"/>
      <c r="NC58" s="5" t="str">
        <f t="shared" si="106"/>
        <v>NO APLICA</v>
      </c>
      <c r="ND58" s="2"/>
      <c r="NE58" s="6"/>
      <c r="NF58" s="4"/>
      <c r="NG58" s="8"/>
      <c r="NH58" s="5" t="str">
        <f t="shared" si="107"/>
        <v>NO APLICA</v>
      </c>
      <c r="NI58" s="2"/>
      <c r="NJ58" s="6"/>
      <c r="NK58" s="4"/>
      <c r="NL58" s="8"/>
      <c r="NM58" s="5" t="str">
        <f t="shared" si="108"/>
        <v>NO APLICA</v>
      </c>
      <c r="NN58" s="2"/>
      <c r="NO58" s="2"/>
      <c r="NP58" s="4"/>
      <c r="NQ58" s="2"/>
      <c r="NR58" s="5" t="str">
        <f t="shared" si="109"/>
        <v>NO APLICA</v>
      </c>
      <c r="NS58" s="4"/>
      <c r="NT58" s="4">
        <v>45103</v>
      </c>
      <c r="NU58" s="4">
        <f>DATE(YEAR(NT58)+5,MONTH(NT58),DAY(NT58))</f>
        <v>46930</v>
      </c>
      <c r="NV58" s="8">
        <f ca="1">NU58-TODAY()</f>
        <v>785</v>
      </c>
      <c r="NW58" s="5" t="str">
        <f t="shared" ca="1" si="110"/>
        <v>VIGENTE</v>
      </c>
      <c r="NX58" s="6"/>
      <c r="NY58" s="6"/>
      <c r="NZ58" s="4"/>
      <c r="OA58" s="8"/>
      <c r="OB58" s="5" t="str">
        <f t="shared" si="111"/>
        <v>NO APLICA</v>
      </c>
      <c r="OC58" s="6"/>
      <c r="OD58" s="6"/>
      <c r="OE58" s="6"/>
      <c r="OF58" s="6"/>
      <c r="OG58" s="5" t="str">
        <f t="shared" si="112"/>
        <v>NO APLICA</v>
      </c>
      <c r="OH58" s="2"/>
      <c r="OI58" s="2"/>
      <c r="OJ58" s="4"/>
      <c r="OK58" s="8"/>
      <c r="OL58" s="5" t="str">
        <f t="shared" si="113"/>
        <v>NO APLICA</v>
      </c>
      <c r="OM58" s="6"/>
      <c r="ON58" s="6"/>
      <c r="OO58" s="6"/>
      <c r="OP58" s="6"/>
      <c r="OQ58" s="5" t="str">
        <f t="shared" si="114"/>
        <v>NO APLICA</v>
      </c>
      <c r="OR58" s="6"/>
      <c r="OS58" s="6"/>
      <c r="OT58" s="6"/>
      <c r="OU58" s="6"/>
      <c r="OV58" s="5" t="str">
        <f t="shared" si="115"/>
        <v>NO APLICA</v>
      </c>
      <c r="OW58" s="6"/>
      <c r="OX58" s="6"/>
      <c r="OY58" s="6"/>
      <c r="OZ58" s="6"/>
      <c r="PA58" s="5" t="str">
        <f t="shared" si="116"/>
        <v>NO APLICA</v>
      </c>
      <c r="PB58" s="6"/>
      <c r="PC58" s="6"/>
      <c r="PD58" s="6"/>
      <c r="PE58" s="6"/>
      <c r="PF58" s="5" t="str">
        <f t="shared" si="117"/>
        <v>NO APLICA</v>
      </c>
      <c r="PG58" s="6"/>
      <c r="PH58" s="6"/>
      <c r="PI58" s="6"/>
      <c r="PJ58" s="6"/>
      <c r="PK58" s="5" t="str">
        <f t="shared" si="118"/>
        <v>NO APLICA</v>
      </c>
      <c r="PL58" s="5"/>
      <c r="PM58" s="6"/>
      <c r="PN58" s="4"/>
      <c r="PO58" s="8"/>
      <c r="PP58" s="5" t="str">
        <f t="shared" si="119"/>
        <v>NO APLICA</v>
      </c>
      <c r="PQ58" s="6"/>
      <c r="PR58" s="6"/>
      <c r="PS58" s="6"/>
      <c r="PT58" s="6"/>
      <c r="PU58" s="5" t="str">
        <f t="shared" si="120"/>
        <v>NO APLICA</v>
      </c>
      <c r="PV58" s="5"/>
      <c r="PW58" s="6"/>
      <c r="PX58" s="6"/>
      <c r="PY58" s="6"/>
      <c r="PZ58" s="5" t="str">
        <f t="shared" si="121"/>
        <v>NO APLICA</v>
      </c>
    </row>
    <row r="59" spans="1:442" ht="15.6" hidden="1" thickTop="1" thickBot="1" x14ac:dyDescent="0.35">
      <c r="A59" s="26">
        <v>56</v>
      </c>
      <c r="B59" s="27">
        <v>605</v>
      </c>
      <c r="C59" s="28" t="s">
        <v>756</v>
      </c>
      <c r="D59" s="29" t="s">
        <v>68</v>
      </c>
      <c r="E59" s="30" t="s">
        <v>122</v>
      </c>
      <c r="F59" s="5"/>
      <c r="G59" s="6"/>
      <c r="H59" s="4"/>
      <c r="I59" s="8"/>
      <c r="J59" s="5" t="str">
        <f t="shared" si="0"/>
        <v>NO APLICA</v>
      </c>
      <c r="K59" s="5"/>
      <c r="L59" s="6"/>
      <c r="M59" s="6"/>
      <c r="N59" s="8"/>
      <c r="O59" s="5" t="str">
        <f t="shared" si="1"/>
        <v>NO APLICA</v>
      </c>
      <c r="P59" s="6"/>
      <c r="Q59" s="6"/>
      <c r="R59" s="4"/>
      <c r="S59" s="8"/>
      <c r="T59" s="5" t="str">
        <f t="shared" si="122"/>
        <v>NO APLICA</v>
      </c>
      <c r="U59" s="5"/>
      <c r="V59" s="2" t="s">
        <v>238</v>
      </c>
      <c r="W59" s="4">
        <v>44838</v>
      </c>
      <c r="X59" s="4">
        <f t="shared" si="2"/>
        <v>46664</v>
      </c>
      <c r="Y59" s="8">
        <f t="shared" ca="1" si="3"/>
        <v>519</v>
      </c>
      <c r="Z59" s="5" t="str">
        <f t="shared" ca="1" si="4"/>
        <v>VIGENTE</v>
      </c>
      <c r="AA59" s="5"/>
      <c r="AB59" s="2" t="s">
        <v>239</v>
      </c>
      <c r="AC59" s="4">
        <v>44826</v>
      </c>
      <c r="AD59" s="4">
        <f>DATE(YEAR(AC59)+5,MONTH(AC59),DAY(AC59))</f>
        <v>46652</v>
      </c>
      <c r="AE59" s="8">
        <f ca="1">AD59-TODAY()</f>
        <v>507</v>
      </c>
      <c r="AF59" s="5" t="str">
        <f t="shared" ca="1" si="7"/>
        <v>VIGENTE</v>
      </c>
      <c r="AG59" s="3"/>
      <c r="AH59" s="3">
        <v>45594</v>
      </c>
      <c r="AI59" s="4">
        <f t="shared" si="229"/>
        <v>46323</v>
      </c>
      <c r="AJ59" s="8">
        <f t="shared" ca="1" si="8"/>
        <v>178</v>
      </c>
      <c r="AK59" s="5" t="str">
        <f t="shared" ca="1" si="219"/>
        <v>VIGENTE</v>
      </c>
      <c r="AL59" s="3"/>
      <c r="AM59" s="4">
        <v>45980</v>
      </c>
      <c r="AN59" s="4">
        <f>DATE(YEAR(AM59)+2,MONTH(AM59),DAY(AM59))</f>
        <v>46710</v>
      </c>
      <c r="AO59" s="8">
        <f t="shared" ca="1" si="10"/>
        <v>565</v>
      </c>
      <c r="AP59" s="5" t="str">
        <f t="shared" ca="1" si="11"/>
        <v>VIGENTE</v>
      </c>
      <c r="AQ59" s="3"/>
      <c r="AR59" s="4">
        <v>45703</v>
      </c>
      <c r="AS59" s="4">
        <f>DATE(YEAR(AR59)+2,MONTH(AR59),DAY(AR59)-1)</f>
        <v>46432</v>
      </c>
      <c r="AT59" s="8">
        <f t="shared" ca="1" si="12"/>
        <v>287</v>
      </c>
      <c r="AU59" s="5" t="str">
        <f t="shared" ca="1" si="13"/>
        <v>VIGENTE</v>
      </c>
      <c r="AV59" s="3"/>
      <c r="AW59" s="4">
        <v>45972</v>
      </c>
      <c r="AX59" s="4">
        <f t="shared" ref="AX59:AX72" si="232">DATE(YEAR(AW59)+2,MONTH(AW59),DAY(AW59))</f>
        <v>46702</v>
      </c>
      <c r="AY59" s="8">
        <f t="shared" ca="1" si="15"/>
        <v>557</v>
      </c>
      <c r="AZ59" s="5" t="str">
        <f t="shared" ca="1" si="16"/>
        <v>VIGENTE</v>
      </c>
      <c r="BA59" s="3"/>
      <c r="BB59" s="4">
        <v>46041</v>
      </c>
      <c r="BC59" s="4">
        <f>DATE(YEAR(BB59)+2,MONTH(BB59),DAY(BB59))</f>
        <v>46771</v>
      </c>
      <c r="BD59" s="8">
        <f t="shared" ca="1" si="17"/>
        <v>626</v>
      </c>
      <c r="BE59" s="5" t="str">
        <f t="shared" ca="1" si="18"/>
        <v>VIGENTE</v>
      </c>
      <c r="BF59" s="3"/>
      <c r="BG59" s="4">
        <v>46027</v>
      </c>
      <c r="BH59" s="4">
        <f t="shared" ref="BH59:BH64" si="233">DATE(YEAR(BG59)+2,MONTH(BG59),DAY(BG59))</f>
        <v>46757</v>
      </c>
      <c r="BI59" s="8">
        <f t="shared" ca="1" si="19"/>
        <v>612</v>
      </c>
      <c r="BJ59" s="5" t="str">
        <f t="shared" ca="1" si="20"/>
        <v>VIGENTE</v>
      </c>
      <c r="BK59" s="3"/>
      <c r="BL59" s="4">
        <v>46051</v>
      </c>
      <c r="BM59" s="4">
        <f t="shared" si="230"/>
        <v>46781</v>
      </c>
      <c r="BN59" s="8">
        <f t="shared" ca="1" si="21"/>
        <v>636</v>
      </c>
      <c r="BO59" s="5" t="str">
        <f t="shared" ca="1" si="22"/>
        <v>VIGENTE</v>
      </c>
      <c r="BP59" s="3"/>
      <c r="BQ59" s="39">
        <v>46069</v>
      </c>
      <c r="BR59" s="4">
        <f>DATE(YEAR(BQ59)+2,MONTH(BQ59),DAY(BQ59))</f>
        <v>46799</v>
      </c>
      <c r="BS59" s="8">
        <f t="shared" ca="1" si="23"/>
        <v>654</v>
      </c>
      <c r="BT59" s="5" t="str">
        <f t="shared" ca="1" si="24"/>
        <v>VIGENTE</v>
      </c>
      <c r="BU59" s="3"/>
      <c r="BV59" s="4">
        <v>46031</v>
      </c>
      <c r="BW59" s="4">
        <f>DATE(YEAR(BV59)+2,MONTH(BV59),DAY(BV59))</f>
        <v>46761</v>
      </c>
      <c r="BX59" s="8">
        <f t="shared" ca="1" si="25"/>
        <v>616</v>
      </c>
      <c r="BY59" s="5" t="str">
        <f t="shared" ca="1" si="26"/>
        <v>VIGENTE</v>
      </c>
      <c r="BZ59" s="3"/>
      <c r="CA59" s="4">
        <v>45944</v>
      </c>
      <c r="CB59" s="4">
        <f>DATE(YEAR(CA59)+2,MONTH(CA59),DAY(CA59))</f>
        <v>46674</v>
      </c>
      <c r="CC59" s="8">
        <f t="shared" ca="1" si="27"/>
        <v>529</v>
      </c>
      <c r="CD59" s="5" t="str">
        <f t="shared" ca="1" si="28"/>
        <v>VIGENTE</v>
      </c>
      <c r="CE59" s="6"/>
      <c r="CF59" s="4">
        <v>45227</v>
      </c>
      <c r="CG59" s="4">
        <f t="shared" si="29"/>
        <v>46688</v>
      </c>
      <c r="CH59" s="8">
        <f t="shared" ca="1" si="30"/>
        <v>543</v>
      </c>
      <c r="CI59" s="5" t="str">
        <f t="shared" ca="1" si="31"/>
        <v>VIGENTE</v>
      </c>
      <c r="CJ59" s="4"/>
      <c r="CK59" s="4">
        <v>45511</v>
      </c>
      <c r="CL59" s="4">
        <f>DATE(YEAR(CK59)+2,MONTH(CK59),DAY(CK59)-1)</f>
        <v>46240</v>
      </c>
      <c r="CM59" s="8">
        <f t="shared" ca="1" si="32"/>
        <v>95</v>
      </c>
      <c r="CN59" s="5" t="str">
        <f t="shared" ca="1" si="33"/>
        <v>VIGENTE</v>
      </c>
      <c r="CO59" s="3"/>
      <c r="CP59" s="39">
        <v>45726</v>
      </c>
      <c r="CQ59" s="4">
        <f>DATE(YEAR(CP59)+2,MONTH(CP59),DAY(CP59)-1)</f>
        <v>46455</v>
      </c>
      <c r="CR59" s="8">
        <f t="shared" ca="1" si="34"/>
        <v>310</v>
      </c>
      <c r="CS59" s="5" t="str">
        <f t="shared" ca="1" si="35"/>
        <v>VIGENTE</v>
      </c>
      <c r="CT59" s="3"/>
      <c r="CU59" s="4">
        <v>45631</v>
      </c>
      <c r="CV59" s="4">
        <f>DATE(YEAR(CU59)+2,MONTH(CU59),DAY(CU59)-1)</f>
        <v>46360</v>
      </c>
      <c r="CW59" s="8">
        <f t="shared" ca="1" si="36"/>
        <v>215</v>
      </c>
      <c r="CX59" s="5" t="str">
        <f t="shared" ca="1" si="37"/>
        <v>VIGENTE</v>
      </c>
      <c r="CY59" s="3"/>
      <c r="CZ59" s="4">
        <v>45661</v>
      </c>
      <c r="DA59" s="4">
        <f>DATE(YEAR(CZ59)+2,MONTH(CZ59),DAY(CZ59)-1)</f>
        <v>46390</v>
      </c>
      <c r="DB59" s="8">
        <f t="shared" ca="1" si="38"/>
        <v>245</v>
      </c>
      <c r="DC59" s="5" t="str">
        <f t="shared" ca="1" si="39"/>
        <v>VIGENTE</v>
      </c>
      <c r="DD59" s="3"/>
      <c r="DE59" s="39">
        <v>45535</v>
      </c>
      <c r="DF59" s="4">
        <f t="shared" si="227"/>
        <v>46264</v>
      </c>
      <c r="DG59" s="8">
        <f t="shared" ca="1" si="40"/>
        <v>119</v>
      </c>
      <c r="DH59" s="5" t="str">
        <f t="shared" ca="1" si="41"/>
        <v>VIGENTE</v>
      </c>
      <c r="DI59" s="3"/>
      <c r="DJ59" s="39">
        <v>45696</v>
      </c>
      <c r="DK59" s="4">
        <f>DATE(YEAR(DJ59)+2,MONTH(DJ59),DAY(DJ59)-1)</f>
        <v>46425</v>
      </c>
      <c r="DL59" s="8">
        <f t="shared" ca="1" si="43"/>
        <v>280</v>
      </c>
      <c r="DM59" s="5" t="str">
        <f t="shared" ca="1" si="44"/>
        <v>VIGENTE</v>
      </c>
      <c r="DN59" s="3"/>
      <c r="DO59" s="4">
        <v>46128</v>
      </c>
      <c r="DP59" s="4">
        <f>DATE(YEAR(DO59)+2,MONTH(DO59),DAY(DO59)-1)</f>
        <v>46858</v>
      </c>
      <c r="DQ59" s="8">
        <f t="shared" ca="1" si="46"/>
        <v>713</v>
      </c>
      <c r="DR59" s="5" t="str">
        <f t="shared" ca="1" si="47"/>
        <v>VIGENTE</v>
      </c>
      <c r="DS59" s="3"/>
      <c r="DT59" s="4">
        <v>46053</v>
      </c>
      <c r="DU59" s="4">
        <f>DATE(YEAR(DT59)+2,MONTH(DT59),DAY(DT59))</f>
        <v>46783</v>
      </c>
      <c r="DV59" s="8">
        <f t="shared" ca="1" si="48"/>
        <v>638</v>
      </c>
      <c r="DW59" s="5" t="str">
        <f t="shared" ca="1" si="49"/>
        <v>VIGENTE</v>
      </c>
      <c r="DX59" s="3"/>
      <c r="DY59" s="4">
        <v>45751</v>
      </c>
      <c r="DZ59" s="4">
        <f>DATE(YEAR(DY59)+2,MONTH(DY59),DAY(DY59)-1)</f>
        <v>46480</v>
      </c>
      <c r="EA59" s="8">
        <f t="shared" ca="1" si="50"/>
        <v>335</v>
      </c>
      <c r="EB59" s="5" t="str">
        <f t="shared" ca="1" si="51"/>
        <v>VIGENTE</v>
      </c>
      <c r="EC59" s="3"/>
      <c r="ED59" s="39">
        <v>45674</v>
      </c>
      <c r="EE59" s="4">
        <f>DATE(YEAR(ED59)+2,MONTH(ED59),DAY(ED59)-1)</f>
        <v>46403</v>
      </c>
      <c r="EF59" s="8">
        <f t="shared" ca="1" si="52"/>
        <v>258</v>
      </c>
      <c r="EG59" s="5" t="str">
        <f t="shared" ca="1" si="53"/>
        <v>VIGENTE</v>
      </c>
      <c r="EH59" s="3"/>
      <c r="EI59" s="4">
        <v>46115</v>
      </c>
      <c r="EJ59" s="4">
        <f t="shared" si="131"/>
        <v>46480</v>
      </c>
      <c r="EK59" s="8">
        <f t="shared" ca="1" si="54"/>
        <v>335</v>
      </c>
      <c r="EL59" s="5" t="str">
        <f t="shared" ca="1" si="55"/>
        <v>VIGENTE</v>
      </c>
      <c r="EM59" s="3"/>
      <c r="EN59" s="4">
        <v>45671</v>
      </c>
      <c r="EO59" s="4">
        <f t="shared" si="231"/>
        <v>46400</v>
      </c>
      <c r="EP59" s="8">
        <f t="shared" ca="1" si="56"/>
        <v>255</v>
      </c>
      <c r="EQ59" s="5" t="str">
        <f t="shared" ca="1" si="57"/>
        <v>VIGENTE</v>
      </c>
      <c r="ER59" s="3"/>
      <c r="ES59" s="39">
        <v>46094</v>
      </c>
      <c r="ET59" s="4">
        <f>DATE(YEAR(ES59)+2,MONTH(ES59),DAY(ES59))</f>
        <v>46825</v>
      </c>
      <c r="EU59" s="8">
        <f t="shared" ca="1" si="58"/>
        <v>680</v>
      </c>
      <c r="EV59" s="5" t="str">
        <f t="shared" ca="1" si="59"/>
        <v>VIGENTE</v>
      </c>
      <c r="EW59" s="3"/>
      <c r="EX59" s="4">
        <v>45953</v>
      </c>
      <c r="EY59" s="4">
        <f t="shared" ref="EY59:EY71" si="234">DATE(YEAR(EX59)+2,MONTH(EX59),DAY(EX59))</f>
        <v>46683</v>
      </c>
      <c r="EZ59" s="8">
        <f t="shared" ca="1" si="60"/>
        <v>538</v>
      </c>
      <c r="FA59" s="5" t="str">
        <f t="shared" ca="1" si="61"/>
        <v>VIGENTE</v>
      </c>
      <c r="FB59" s="3"/>
      <c r="FC59" s="4">
        <v>45951</v>
      </c>
      <c r="FD59" s="4">
        <f t="shared" ref="FD59:FD71" si="235">DATE(YEAR(FC59)+2,MONTH(FC59),DAY(FC59))</f>
        <v>46681</v>
      </c>
      <c r="FE59" s="8">
        <f t="shared" ca="1" si="62"/>
        <v>536</v>
      </c>
      <c r="FF59" s="5" t="str">
        <f t="shared" ca="1" si="63"/>
        <v>VIGENTE</v>
      </c>
      <c r="FG59" s="3"/>
      <c r="FH59" s="4">
        <v>45992</v>
      </c>
      <c r="FI59" s="4">
        <f t="shared" ref="FI59:FI72" si="236">DATE(YEAR(FH59)+2,MONTH(FH59),DAY(FH59))</f>
        <v>46722</v>
      </c>
      <c r="FJ59" s="8">
        <f t="shared" ca="1" si="64"/>
        <v>577</v>
      </c>
      <c r="FK59" s="5" t="str">
        <f t="shared" ca="1" si="65"/>
        <v>VIGENTE</v>
      </c>
      <c r="FL59" s="3"/>
      <c r="FM59" s="39">
        <v>45670</v>
      </c>
      <c r="FN59" s="4">
        <f>DATE(YEAR(FM59)+2,MONTH(FM59),DAY(FM59)-1)</f>
        <v>46399</v>
      </c>
      <c r="FO59" s="8">
        <f t="shared" ca="1" si="67"/>
        <v>254</v>
      </c>
      <c r="FP59" s="5" t="str">
        <f t="shared" ca="1" si="68"/>
        <v>VIGENTE</v>
      </c>
      <c r="FQ59" s="3"/>
      <c r="FR59" s="39">
        <v>45678</v>
      </c>
      <c r="FS59" s="4">
        <f>DATE(YEAR(FR59)+2,MONTH(FR59),DAY(FR59)-1)</f>
        <v>46407</v>
      </c>
      <c r="FT59" s="8">
        <f t="shared" ca="1" si="69"/>
        <v>262</v>
      </c>
      <c r="FU59" s="5" t="str">
        <f t="shared" ca="1" si="70"/>
        <v>VIGENTE</v>
      </c>
      <c r="FV59" s="3"/>
      <c r="FW59" s="4">
        <v>45581</v>
      </c>
      <c r="FX59" s="4">
        <f>DATE(YEAR(FW59)+2,MONTH(FW59),DAY(FW59)-1)</f>
        <v>46310</v>
      </c>
      <c r="FY59" s="8">
        <f t="shared" ca="1" si="71"/>
        <v>165</v>
      </c>
      <c r="FZ59" s="5" t="str">
        <f t="shared" ca="1" si="72"/>
        <v>VIGENTE</v>
      </c>
      <c r="GA59" s="3"/>
      <c r="GB59" s="4">
        <v>46030</v>
      </c>
      <c r="GC59" s="4">
        <f>DATE(YEAR(GB59)+2,MONTH(GB59),DAY(GB59))</f>
        <v>46760</v>
      </c>
      <c r="GD59" s="8">
        <f t="shared" ca="1" si="73"/>
        <v>615</v>
      </c>
      <c r="GE59" s="5" t="str">
        <f t="shared" ca="1" si="74"/>
        <v>VIGENTE</v>
      </c>
      <c r="GF59" s="3"/>
      <c r="GG59" s="4">
        <v>45672</v>
      </c>
      <c r="GH59" s="4">
        <f>DATE(YEAR(GG59)+2,MONTH(GG59),DAY(GG59)-1)</f>
        <v>46401</v>
      </c>
      <c r="GI59" s="8">
        <f t="shared" ca="1" si="75"/>
        <v>256</v>
      </c>
      <c r="GJ59" s="5" t="str">
        <f t="shared" ca="1" si="76"/>
        <v>VIGENTE</v>
      </c>
      <c r="GK59" s="4"/>
      <c r="GL59" s="4">
        <v>45945</v>
      </c>
      <c r="GM59" s="4">
        <f>DATE(YEAR(GL59)+2,MONTH(GL59),DAY(GL59))</f>
        <v>46675</v>
      </c>
      <c r="GN59" s="8">
        <f t="shared" ca="1" si="77"/>
        <v>530</v>
      </c>
      <c r="GO59" s="5" t="str">
        <f t="shared" ca="1" si="78"/>
        <v>VIGENTE</v>
      </c>
      <c r="GP59" s="4"/>
      <c r="GQ59" s="4">
        <v>45441</v>
      </c>
      <c r="GR59" s="4">
        <f t="shared" si="79"/>
        <v>47267</v>
      </c>
      <c r="GS59" s="8">
        <f t="shared" ca="1" si="176"/>
        <v>1122</v>
      </c>
      <c r="GT59" s="5" t="str">
        <f t="shared" ca="1" si="81"/>
        <v>VIGENTE</v>
      </c>
      <c r="GU59" s="3"/>
      <c r="GV59" s="4">
        <v>45464</v>
      </c>
      <c r="GW59" s="4">
        <f t="shared" si="82"/>
        <v>47290</v>
      </c>
      <c r="GX59" s="8">
        <f t="shared" ca="1" si="83"/>
        <v>1145</v>
      </c>
      <c r="GY59" s="5" t="str">
        <f t="shared" ca="1" si="84"/>
        <v>VIGENTE</v>
      </c>
      <c r="GZ59" s="3"/>
      <c r="HA59" s="4">
        <v>45466</v>
      </c>
      <c r="HB59" s="4">
        <f t="shared" si="85"/>
        <v>47292</v>
      </c>
      <c r="HC59" s="8">
        <f t="shared" ca="1" si="86"/>
        <v>1147</v>
      </c>
      <c r="HD59" s="5" t="str">
        <f t="shared" ca="1" si="87"/>
        <v>VIGENTE</v>
      </c>
      <c r="HE59" s="6"/>
      <c r="HF59" s="4">
        <v>44921</v>
      </c>
      <c r="HG59" s="4">
        <f>DATE(YEAR(HF59)+5,MONTH(HF59),DAY(HF59))</f>
        <v>46747</v>
      </c>
      <c r="HH59" s="8">
        <f ca="1">HG59-TODAY()</f>
        <v>602</v>
      </c>
      <c r="HI59" s="5" t="str">
        <f t="shared" ca="1" si="224"/>
        <v>VIGENTE</v>
      </c>
      <c r="HJ59" s="2"/>
      <c r="HK59" s="6"/>
      <c r="HL59" s="4"/>
      <c r="HM59" s="8"/>
      <c r="HN59" s="5" t="str">
        <f t="shared" si="228"/>
        <v>NO APLICA</v>
      </c>
      <c r="HO59" s="2"/>
      <c r="HP59" s="5"/>
      <c r="HQ59" s="4"/>
      <c r="HR59" s="5"/>
      <c r="HS59" s="5" t="str">
        <f t="shared" si="92"/>
        <v>NO APLICA</v>
      </c>
      <c r="HT59" s="3"/>
      <c r="HU59" s="4">
        <v>45208</v>
      </c>
      <c r="HV59" s="4">
        <f>DATE(YEAR(HU59)+5,MONTH(HU59),DAY(HU59))</f>
        <v>47035</v>
      </c>
      <c r="HW59" s="8">
        <f ca="1">HV59-TODAY()</f>
        <v>890</v>
      </c>
      <c r="HX59" s="5" t="str">
        <f t="shared" ca="1" si="93"/>
        <v>VIGENTE</v>
      </c>
      <c r="HY59" s="3"/>
      <c r="HZ59" s="4">
        <v>45194</v>
      </c>
      <c r="IA59" s="4">
        <f>DATE(YEAR(HZ59)+5,MONTH(HZ59),DAY(HZ59))</f>
        <v>47021</v>
      </c>
      <c r="IB59" s="8">
        <f ca="1">IA59-TODAY()</f>
        <v>876</v>
      </c>
      <c r="IC59" s="5" t="str">
        <f t="shared" ca="1" si="94"/>
        <v>VIGENTE</v>
      </c>
      <c r="ID59" s="4"/>
      <c r="IE59" s="4">
        <v>45192</v>
      </c>
      <c r="IF59" s="4">
        <f>DATE(YEAR(IE59)+5,MONTH(IE59),DAY(IE59))</f>
        <v>47019</v>
      </c>
      <c r="IG59" s="8">
        <f ca="1">IF59-TODAY()</f>
        <v>874</v>
      </c>
      <c r="IH59" s="5" t="str">
        <f t="shared" ca="1" si="95"/>
        <v>VIGENTE</v>
      </c>
      <c r="II59" s="4"/>
      <c r="IJ59" s="4">
        <v>45266</v>
      </c>
      <c r="IK59" s="4">
        <f>DATE(YEAR(IJ59)+5,MONTH(IJ59),DAY(IJ59))</f>
        <v>47093</v>
      </c>
      <c r="IL59" s="8">
        <f ca="1">IK59-TODAY()</f>
        <v>948</v>
      </c>
      <c r="IM59" s="5" t="str">
        <f t="shared" ca="1" si="96"/>
        <v>VIGENTE</v>
      </c>
      <c r="IN59" s="3"/>
      <c r="IO59" s="4">
        <v>45196</v>
      </c>
      <c r="IP59" s="4">
        <f>DATE(YEAR(IO59)+5,MONTH(IO59),DAY(IO59))</f>
        <v>47023</v>
      </c>
      <c r="IQ59" s="8">
        <f ca="1">IP59-TODAY()</f>
        <v>878</v>
      </c>
      <c r="IR59" s="5" t="str">
        <f t="shared" ca="1" si="97"/>
        <v>VIGENTE</v>
      </c>
      <c r="IS59" s="3"/>
      <c r="IT59" s="4">
        <v>45191</v>
      </c>
      <c r="IU59" s="4">
        <f>DATE(YEAR(IT59)+5,MONTH(IT59),DAY(IT59))</f>
        <v>47018</v>
      </c>
      <c r="IV59" s="8">
        <f ca="1">IU59-TODAY()</f>
        <v>873</v>
      </c>
      <c r="IW59" s="5" t="str">
        <f t="shared" ca="1" si="98"/>
        <v>VIGENTE</v>
      </c>
      <c r="IX59" s="3"/>
      <c r="IY59" s="4">
        <v>45251</v>
      </c>
      <c r="IZ59" s="4">
        <f>DATE(YEAR(IY59)+5,MONTH(IY59),DAY(IY59))</f>
        <v>47078</v>
      </c>
      <c r="JA59" s="8">
        <f ca="1">IZ59-TODAY()</f>
        <v>933</v>
      </c>
      <c r="JB59" s="5" t="str">
        <f t="shared" ca="1" si="99"/>
        <v>VIGENTE</v>
      </c>
      <c r="JC59" s="3" t="s">
        <v>780</v>
      </c>
      <c r="JD59" s="3"/>
      <c r="JE59" s="4"/>
      <c r="JF59" s="8"/>
      <c r="JG59" s="5"/>
      <c r="JH59" s="3" t="s">
        <v>780</v>
      </c>
      <c r="JI59" s="6"/>
      <c r="JJ59" s="6"/>
      <c r="JK59" s="6"/>
      <c r="JL59" s="5"/>
      <c r="JM59" s="6" t="s">
        <v>780</v>
      </c>
      <c r="JN59" s="6"/>
      <c r="JO59" s="6"/>
      <c r="JP59" s="6"/>
      <c r="JQ59" s="5"/>
      <c r="JR59" s="6" t="s">
        <v>780</v>
      </c>
      <c r="JS59" s="6"/>
      <c r="JT59" s="6"/>
      <c r="JU59" s="6"/>
      <c r="JV59" s="5"/>
      <c r="JW59" s="6" t="s">
        <v>780</v>
      </c>
      <c r="JX59" s="5"/>
      <c r="JY59" s="5"/>
      <c r="JZ59" s="5"/>
      <c r="KA59" s="5"/>
      <c r="KB59" s="5"/>
      <c r="KC59" s="5"/>
      <c r="KD59" s="4"/>
      <c r="KE59" s="8"/>
      <c r="KF59" s="5" t="str">
        <f t="shared" si="135"/>
        <v>NO APLICA</v>
      </c>
      <c r="KG59" s="5"/>
      <c r="KH59" s="5"/>
      <c r="KI59" s="4"/>
      <c r="KJ59" s="8"/>
      <c r="KK59" s="5" t="str">
        <f t="shared" si="136"/>
        <v>NO APLICA</v>
      </c>
      <c r="KL59" s="5"/>
      <c r="KM59" s="5"/>
      <c r="KN59" s="4"/>
      <c r="KO59" s="8"/>
      <c r="KP59" s="5" t="str">
        <f t="shared" si="100"/>
        <v>NO APLICA</v>
      </c>
      <c r="KQ59" s="5"/>
      <c r="KR59" s="3">
        <v>45346</v>
      </c>
      <c r="KS59" s="4">
        <f>DATE(YEAR(KR59)+5,MONTH(KR59),DAY(KR59))</f>
        <v>47173</v>
      </c>
      <c r="KT59" s="8">
        <f ca="1">KS59-TODAY()</f>
        <v>1028</v>
      </c>
      <c r="KU59" s="5" t="str">
        <f t="shared" ca="1" si="137"/>
        <v>VIGENTE</v>
      </c>
      <c r="KV59" s="2"/>
      <c r="KW59" s="6"/>
      <c r="KX59" s="4"/>
      <c r="KY59" s="8"/>
      <c r="KZ59" s="5" t="str">
        <f t="shared" si="151"/>
        <v>NO APLICA</v>
      </c>
      <c r="LA59" s="5"/>
      <c r="LB59" s="6"/>
      <c r="LC59" s="4"/>
      <c r="LD59" s="8"/>
      <c r="LE59" s="5" t="str">
        <f t="shared" si="138"/>
        <v>NO APLICA</v>
      </c>
      <c r="LF59" s="4"/>
      <c r="LG59" s="4"/>
      <c r="LH59" s="4"/>
      <c r="LI59" s="8"/>
      <c r="LJ59" s="5" t="str">
        <f t="shared" si="101"/>
        <v>NO APLICA</v>
      </c>
      <c r="LK59" s="5"/>
      <c r="LL59" s="5"/>
      <c r="LM59" s="4"/>
      <c r="LN59" s="8"/>
      <c r="LO59" s="5" t="str">
        <f t="shared" si="152"/>
        <v>NO APLICA</v>
      </c>
      <c r="LP59" s="5"/>
      <c r="LQ59" s="6"/>
      <c r="LR59" s="4"/>
      <c r="LS59" s="8"/>
      <c r="LT59" s="5" t="str">
        <f t="shared" si="139"/>
        <v>NO APLICA</v>
      </c>
      <c r="LU59" s="6"/>
      <c r="LV59" s="6"/>
      <c r="LW59" s="4"/>
      <c r="LX59" s="8"/>
      <c r="LY59" s="5" t="str">
        <f t="shared" si="140"/>
        <v>NO APLICA</v>
      </c>
      <c r="LZ59" s="6"/>
      <c r="MA59" s="6"/>
      <c r="MB59" s="4"/>
      <c r="MC59" s="8"/>
      <c r="MD59" s="5" t="str">
        <f t="shared" si="141"/>
        <v>NO APLICA</v>
      </c>
      <c r="ME59" s="5"/>
      <c r="MF59" s="5"/>
      <c r="MG59" s="4"/>
      <c r="MH59" s="8"/>
      <c r="MI59" s="5" t="str">
        <f t="shared" si="102"/>
        <v>NO APLICA</v>
      </c>
      <c r="MJ59" s="5"/>
      <c r="MK59" s="5"/>
      <c r="ML59" s="4"/>
      <c r="MM59" s="8"/>
      <c r="MN59" s="5" t="str">
        <f t="shared" si="103"/>
        <v>NO APLICA</v>
      </c>
      <c r="MO59" s="5"/>
      <c r="MP59" s="3">
        <v>45154</v>
      </c>
      <c r="MQ59" s="4">
        <f>DATE(YEAR(MP59)+5,MONTH(MP59),DAY(MP59))</f>
        <v>46981</v>
      </c>
      <c r="MR59" s="8">
        <f ca="1">MQ59-TODAY()</f>
        <v>836</v>
      </c>
      <c r="MS59" s="5" t="str">
        <f t="shared" ca="1" si="104"/>
        <v>VIGENTE</v>
      </c>
      <c r="MT59" s="5"/>
      <c r="MU59" s="3">
        <v>45155</v>
      </c>
      <c r="MV59" s="4">
        <f>DATE(YEAR(MU59)+5,MONTH(MU59),DAY(MU59))</f>
        <v>46982</v>
      </c>
      <c r="MW59" s="8">
        <f ca="1">MV59-TODAY()</f>
        <v>837</v>
      </c>
      <c r="MX59" s="5" t="str">
        <f t="shared" ca="1" si="105"/>
        <v>VIGENTE</v>
      </c>
      <c r="MY59" s="5"/>
      <c r="MZ59" s="6"/>
      <c r="NA59" s="4"/>
      <c r="NB59" s="8"/>
      <c r="NC59" s="5" t="str">
        <f t="shared" si="106"/>
        <v>NO APLICA</v>
      </c>
      <c r="ND59" s="5"/>
      <c r="NE59" s="6"/>
      <c r="NF59" s="4"/>
      <c r="NG59" s="8"/>
      <c r="NH59" s="5" t="str">
        <f t="shared" si="107"/>
        <v>NO APLICA</v>
      </c>
      <c r="NI59" s="5"/>
      <c r="NJ59" s="6"/>
      <c r="NK59" s="4"/>
      <c r="NL59" s="8"/>
      <c r="NM59" s="5" t="str">
        <f t="shared" si="108"/>
        <v>NO APLICA</v>
      </c>
      <c r="NN59" s="5"/>
      <c r="NO59" s="5"/>
      <c r="NP59" s="4"/>
      <c r="NQ59" s="8"/>
      <c r="NR59" s="5" t="str">
        <f t="shared" si="109"/>
        <v>NO APLICA</v>
      </c>
      <c r="NS59" s="5"/>
      <c r="NT59" s="5"/>
      <c r="NU59" s="5"/>
      <c r="NV59" s="5"/>
      <c r="NW59" s="5" t="str">
        <f t="shared" si="110"/>
        <v>NO APLICA</v>
      </c>
      <c r="NX59" s="6"/>
      <c r="NY59" s="6"/>
      <c r="NZ59" s="4"/>
      <c r="OA59" s="8"/>
      <c r="OB59" s="5" t="str">
        <f t="shared" si="111"/>
        <v>NO APLICA</v>
      </c>
      <c r="OC59" s="6"/>
      <c r="OD59" s="6"/>
      <c r="OE59" s="6"/>
      <c r="OF59" s="6"/>
      <c r="OG59" s="5" t="str">
        <f t="shared" si="112"/>
        <v>NO APLICA</v>
      </c>
      <c r="OH59" s="5"/>
      <c r="OI59" s="5"/>
      <c r="OJ59" s="4"/>
      <c r="OK59" s="8"/>
      <c r="OL59" s="5" t="str">
        <f t="shared" si="113"/>
        <v>NO APLICA</v>
      </c>
      <c r="OM59" s="6"/>
      <c r="ON59" s="6"/>
      <c r="OO59" s="6"/>
      <c r="OP59" s="6"/>
      <c r="OQ59" s="5" t="str">
        <f t="shared" si="114"/>
        <v>NO APLICA</v>
      </c>
      <c r="OR59" s="6"/>
      <c r="OS59" s="6"/>
      <c r="OT59" s="6"/>
      <c r="OU59" s="6"/>
      <c r="OV59" s="5" t="str">
        <f t="shared" si="115"/>
        <v>NO APLICA</v>
      </c>
      <c r="OW59" s="6"/>
      <c r="OX59" s="6"/>
      <c r="OY59" s="6"/>
      <c r="OZ59" s="6"/>
      <c r="PA59" s="5" t="str">
        <f t="shared" si="116"/>
        <v>NO APLICA</v>
      </c>
      <c r="PB59" s="6"/>
      <c r="PC59" s="6"/>
      <c r="PD59" s="6"/>
      <c r="PE59" s="6"/>
      <c r="PF59" s="5" t="str">
        <f t="shared" si="117"/>
        <v>NO APLICA</v>
      </c>
      <c r="PG59" s="6"/>
      <c r="PH59" s="6"/>
      <c r="PI59" s="6"/>
      <c r="PJ59" s="6"/>
      <c r="PK59" s="5" t="str">
        <f t="shared" si="118"/>
        <v>NO APLICA</v>
      </c>
      <c r="PL59" s="5"/>
      <c r="PM59" s="6"/>
      <c r="PN59" s="4"/>
      <c r="PO59" s="8"/>
      <c r="PP59" s="5" t="str">
        <f t="shared" si="119"/>
        <v>NO APLICA</v>
      </c>
      <c r="PQ59" s="6"/>
      <c r="PR59" s="6"/>
      <c r="PS59" s="6"/>
      <c r="PT59" s="6"/>
      <c r="PU59" s="5" t="str">
        <f t="shared" si="120"/>
        <v>NO APLICA</v>
      </c>
      <c r="PV59" s="5"/>
      <c r="PW59" s="6"/>
      <c r="PX59" s="6"/>
      <c r="PY59" s="6"/>
      <c r="PZ59" s="5" t="str">
        <f t="shared" si="121"/>
        <v>NO APLICA</v>
      </c>
    </row>
    <row r="60" spans="1:442" ht="15.6" hidden="1" thickTop="1" thickBot="1" x14ac:dyDescent="0.35">
      <c r="A60" s="26">
        <v>57</v>
      </c>
      <c r="B60" s="27">
        <v>1550</v>
      </c>
      <c r="C60" s="28" t="s">
        <v>772</v>
      </c>
      <c r="D60" s="29" t="s">
        <v>68</v>
      </c>
      <c r="E60" s="30" t="s">
        <v>69</v>
      </c>
      <c r="F60" s="5"/>
      <c r="G60" s="6"/>
      <c r="H60" s="4"/>
      <c r="I60" s="8"/>
      <c r="J60" s="5" t="str">
        <f t="shared" si="0"/>
        <v>NO APLICA</v>
      </c>
      <c r="K60" s="5"/>
      <c r="L60" s="6"/>
      <c r="M60" s="6"/>
      <c r="N60" s="8"/>
      <c r="O60" s="5" t="str">
        <f t="shared" si="1"/>
        <v>NO APLICA</v>
      </c>
      <c r="P60" s="4"/>
      <c r="Q60" s="4"/>
      <c r="R60" s="4"/>
      <c r="S60" s="8"/>
      <c r="T60" s="5" t="str">
        <f t="shared" si="122"/>
        <v>NO APLICA</v>
      </c>
      <c r="U60" s="5"/>
      <c r="V60" s="2" t="s">
        <v>240</v>
      </c>
      <c r="W60" s="4">
        <v>45545</v>
      </c>
      <c r="X60" s="4">
        <f t="shared" si="2"/>
        <v>47371</v>
      </c>
      <c r="Y60" s="8">
        <f t="shared" ca="1" si="3"/>
        <v>1226</v>
      </c>
      <c r="Z60" s="5" t="str">
        <f t="shared" ca="1" si="4"/>
        <v>VIGENTE</v>
      </c>
      <c r="AA60" s="5"/>
      <c r="AB60" s="2" t="s">
        <v>241</v>
      </c>
      <c r="AC60" s="4">
        <v>45152</v>
      </c>
      <c r="AD60" s="4">
        <f>DATE(YEAR(AC60)+5,MONTH(AC60),DAY(AC60))</f>
        <v>46979</v>
      </c>
      <c r="AE60" s="8">
        <f ca="1">AD60-TODAY()</f>
        <v>834</v>
      </c>
      <c r="AF60" s="5" t="str">
        <f t="shared" ca="1" si="7"/>
        <v>VIGENTE</v>
      </c>
      <c r="AG60" s="3"/>
      <c r="AH60" s="4">
        <v>45902</v>
      </c>
      <c r="AI60" s="4">
        <f>DATE(YEAR(AH60)+2,MONTH(AH60),DAY(AH60))</f>
        <v>46632</v>
      </c>
      <c r="AJ60" s="8">
        <f t="shared" ca="1" si="8"/>
        <v>487</v>
      </c>
      <c r="AK60" s="5" t="str">
        <f t="shared" ca="1" si="219"/>
        <v>VIGENTE</v>
      </c>
      <c r="AL60" s="3"/>
      <c r="AM60" s="4">
        <v>45959</v>
      </c>
      <c r="AN60" s="4">
        <f>DATE(YEAR(AM60)+2,MONTH(AM60),DAY(AM60))</f>
        <v>46689</v>
      </c>
      <c r="AO60" s="8">
        <f t="shared" ca="1" si="10"/>
        <v>544</v>
      </c>
      <c r="AP60" s="5" t="str">
        <f t="shared" ca="1" si="11"/>
        <v>VIGENTE</v>
      </c>
      <c r="AQ60" s="3"/>
      <c r="AR60" s="4">
        <v>45967</v>
      </c>
      <c r="AS60" s="4">
        <f t="shared" ref="AS60:AS72" si="237">DATE(YEAR(AR60)+2,MONTH(AR60),DAY(AR60))</f>
        <v>46697</v>
      </c>
      <c r="AT60" s="8">
        <f t="shared" ca="1" si="12"/>
        <v>552</v>
      </c>
      <c r="AU60" s="5" t="str">
        <f t="shared" ca="1" si="13"/>
        <v>VIGENTE</v>
      </c>
      <c r="AV60" s="3"/>
      <c r="AW60" s="4">
        <v>45952</v>
      </c>
      <c r="AX60" s="4">
        <f t="shared" si="232"/>
        <v>46682</v>
      </c>
      <c r="AY60" s="8">
        <f t="shared" ca="1" si="15"/>
        <v>537</v>
      </c>
      <c r="AZ60" s="5" t="str">
        <f t="shared" ca="1" si="16"/>
        <v>VIGENTE</v>
      </c>
      <c r="BA60" s="3"/>
      <c r="BB60" s="4">
        <v>45708</v>
      </c>
      <c r="BC60" s="4">
        <f>DATE(YEAR(BB60)+2,MONTH(BB60),DAY(BB60)-1)</f>
        <v>46437</v>
      </c>
      <c r="BD60" s="8">
        <f t="shared" ca="1" si="17"/>
        <v>292</v>
      </c>
      <c r="BE60" s="5" t="str">
        <f t="shared" ca="1" si="18"/>
        <v>VIGENTE</v>
      </c>
      <c r="BF60" s="3"/>
      <c r="BG60" s="4">
        <v>45987</v>
      </c>
      <c r="BH60" s="4">
        <f t="shared" si="233"/>
        <v>46717</v>
      </c>
      <c r="BI60" s="8">
        <f t="shared" ca="1" si="19"/>
        <v>572</v>
      </c>
      <c r="BJ60" s="5" t="str">
        <f t="shared" ca="1" si="20"/>
        <v>VIGENTE</v>
      </c>
      <c r="BK60" s="3"/>
      <c r="BL60" s="4">
        <v>46035</v>
      </c>
      <c r="BM60" s="4">
        <f t="shared" si="230"/>
        <v>46765</v>
      </c>
      <c r="BN60" s="8">
        <f t="shared" ca="1" si="21"/>
        <v>620</v>
      </c>
      <c r="BO60" s="5" t="str">
        <f t="shared" ca="1" si="22"/>
        <v>VIGENTE</v>
      </c>
      <c r="BP60" s="3"/>
      <c r="BQ60" s="39">
        <v>46069</v>
      </c>
      <c r="BR60" s="4">
        <f>DATE(YEAR(BQ60)+2,MONTH(BQ60),DAY(BQ60))</f>
        <v>46799</v>
      </c>
      <c r="BS60" s="8">
        <f t="shared" ca="1" si="23"/>
        <v>654</v>
      </c>
      <c r="BT60" s="5" t="str">
        <f t="shared" ca="1" si="24"/>
        <v>VIGENTE</v>
      </c>
      <c r="BU60" s="3"/>
      <c r="BV60" s="4">
        <v>45695</v>
      </c>
      <c r="BW60" s="4">
        <f>DATE(YEAR(BV60)+2,MONTH(BV60),DAY(BV60)-1)</f>
        <v>46424</v>
      </c>
      <c r="BX60" s="8">
        <f t="shared" ca="1" si="25"/>
        <v>279</v>
      </c>
      <c r="BY60" s="5" t="str">
        <f t="shared" ca="1" si="26"/>
        <v>VIGENTE</v>
      </c>
      <c r="BZ60" s="3"/>
      <c r="CA60" s="4">
        <v>45944</v>
      </c>
      <c r="CB60" s="4">
        <f>DATE(YEAR(CA60)+2,MONTH(CA60),DAY(CA60))</f>
        <v>46674</v>
      </c>
      <c r="CC60" s="8">
        <f t="shared" ca="1" si="27"/>
        <v>529</v>
      </c>
      <c r="CD60" s="5" t="str">
        <f t="shared" ca="1" si="28"/>
        <v>VIGENTE</v>
      </c>
      <c r="CE60" s="6"/>
      <c r="CF60" s="4">
        <v>45533</v>
      </c>
      <c r="CG60" s="4">
        <f t="shared" si="29"/>
        <v>46994</v>
      </c>
      <c r="CH60" s="8">
        <f t="shared" ca="1" si="30"/>
        <v>849</v>
      </c>
      <c r="CI60" s="5" t="str">
        <f t="shared" ca="1" si="31"/>
        <v>VIGENTE</v>
      </c>
      <c r="CJ60" s="4"/>
      <c r="CK60" s="4">
        <v>45688</v>
      </c>
      <c r="CL60" s="4">
        <f>DATE(YEAR(CK60)+2,MONTH(CK60),DAY(CK60)-1)</f>
        <v>46417</v>
      </c>
      <c r="CM60" s="8">
        <f t="shared" ca="1" si="32"/>
        <v>272</v>
      </c>
      <c r="CN60" s="5" t="str">
        <f t="shared" ca="1" si="33"/>
        <v>VIGENTE</v>
      </c>
      <c r="CO60" s="2"/>
      <c r="CP60" s="39">
        <v>45769</v>
      </c>
      <c r="CQ60" s="4">
        <f>DATE(YEAR(CP60)+2,MONTH(CP60),DAY(CP60))</f>
        <v>46499</v>
      </c>
      <c r="CR60" s="8">
        <f t="shared" ca="1" si="34"/>
        <v>354</v>
      </c>
      <c r="CS60" s="5" t="str">
        <f t="shared" ca="1" si="35"/>
        <v>VIGENTE</v>
      </c>
      <c r="CT60" s="3"/>
      <c r="CU60" s="4">
        <v>45939</v>
      </c>
      <c r="CV60" s="4">
        <f>DATE(YEAR(CU60)+2,MONTH(CU60),DAY(CU60))</f>
        <v>46669</v>
      </c>
      <c r="CW60" s="8">
        <f t="shared" ca="1" si="36"/>
        <v>524</v>
      </c>
      <c r="CX60" s="5" t="str">
        <f t="shared" ca="1" si="37"/>
        <v>VIGENTE</v>
      </c>
      <c r="CY60" s="3"/>
      <c r="CZ60" s="4">
        <v>45924</v>
      </c>
      <c r="DA60" s="4">
        <f>DATE(YEAR(CZ60)+2,MONTH(CZ60),DAY(CZ60))</f>
        <v>46654</v>
      </c>
      <c r="DB60" s="8">
        <f t="shared" ca="1" si="38"/>
        <v>509</v>
      </c>
      <c r="DC60" s="5" t="str">
        <f t="shared" ca="1" si="39"/>
        <v>VIGENTE</v>
      </c>
      <c r="DD60" s="3"/>
      <c r="DE60" s="39">
        <v>45689</v>
      </c>
      <c r="DF60" s="4">
        <f t="shared" si="227"/>
        <v>46418</v>
      </c>
      <c r="DG60" s="8">
        <f t="shared" ca="1" si="40"/>
        <v>273</v>
      </c>
      <c r="DH60" s="5" t="str">
        <f t="shared" ca="1" si="41"/>
        <v>VIGENTE</v>
      </c>
      <c r="DI60" s="3"/>
      <c r="DJ60" s="39">
        <v>45955</v>
      </c>
      <c r="DK60" s="4">
        <f>DATE(YEAR(DJ60)+2,MONTH(DJ60),DAY(DJ60))</f>
        <v>46685</v>
      </c>
      <c r="DL60" s="8">
        <f t="shared" ca="1" si="43"/>
        <v>540</v>
      </c>
      <c r="DM60" s="5" t="str">
        <f t="shared" ca="1" si="44"/>
        <v>VIGENTE</v>
      </c>
      <c r="DN60" s="3"/>
      <c r="DO60" s="4">
        <v>46007</v>
      </c>
      <c r="DP60" s="4">
        <f>DATE(YEAR(DO60)+2,MONTH(DO60),DAY(DO60))</f>
        <v>46737</v>
      </c>
      <c r="DQ60" s="8">
        <f t="shared" ca="1" si="46"/>
        <v>592</v>
      </c>
      <c r="DR60" s="5" t="str">
        <f t="shared" ca="1" si="47"/>
        <v>VIGENTE</v>
      </c>
      <c r="DS60" s="3"/>
      <c r="DT60" s="4">
        <v>45685</v>
      </c>
      <c r="DU60" s="4">
        <f>DATE(YEAR(DT60)+2,MONTH(DT60),DAY(DT60)-1)</f>
        <v>46414</v>
      </c>
      <c r="DV60" s="8">
        <f t="shared" ca="1" si="48"/>
        <v>269</v>
      </c>
      <c r="DW60" s="5" t="str">
        <f t="shared" ca="1" si="49"/>
        <v>VIGENTE</v>
      </c>
      <c r="DX60" s="3"/>
      <c r="DY60" s="4">
        <v>45663</v>
      </c>
      <c r="DZ60" s="4">
        <f>DATE(YEAR(DY60)+2,MONTH(DY60),DAY(DY60)-1)</f>
        <v>46392</v>
      </c>
      <c r="EA60" s="8">
        <f t="shared" ca="1" si="50"/>
        <v>247</v>
      </c>
      <c r="EB60" s="5" t="str">
        <f t="shared" ca="1" si="51"/>
        <v>VIGENTE</v>
      </c>
      <c r="EC60" s="3"/>
      <c r="ED60" s="39">
        <v>45602</v>
      </c>
      <c r="EE60" s="4">
        <f>DATE(YEAR(ED60)+2,MONTH(ED60),DAY(ED60)-1)</f>
        <v>46331</v>
      </c>
      <c r="EF60" s="8">
        <f t="shared" ca="1" si="52"/>
        <v>186</v>
      </c>
      <c r="EG60" s="5" t="str">
        <f t="shared" ca="1" si="53"/>
        <v>VIGENTE</v>
      </c>
      <c r="EH60" s="3"/>
      <c r="EI60" s="3">
        <v>46085</v>
      </c>
      <c r="EJ60" s="4">
        <f t="shared" si="131"/>
        <v>46450</v>
      </c>
      <c r="EK60" s="8">
        <f t="shared" ca="1" si="54"/>
        <v>305</v>
      </c>
      <c r="EL60" s="5" t="str">
        <f t="shared" ca="1" si="55"/>
        <v>VIGENTE</v>
      </c>
      <c r="EM60" s="3"/>
      <c r="EN60" s="3">
        <v>45596</v>
      </c>
      <c r="EO60" s="4">
        <f t="shared" si="231"/>
        <v>46325</v>
      </c>
      <c r="EP60" s="8">
        <f t="shared" ca="1" si="56"/>
        <v>180</v>
      </c>
      <c r="EQ60" s="5" t="str">
        <f t="shared" ca="1" si="57"/>
        <v>VIGENTE</v>
      </c>
      <c r="ER60" s="3"/>
      <c r="ES60" s="39">
        <v>45677</v>
      </c>
      <c r="ET60" s="4">
        <f>DATE(YEAR(ES60)+2,MONTH(ES60),DAY(ES60)-1)</f>
        <v>46406</v>
      </c>
      <c r="EU60" s="8">
        <f t="shared" ca="1" si="58"/>
        <v>261</v>
      </c>
      <c r="EV60" s="5" t="str">
        <f t="shared" ca="1" si="59"/>
        <v>VIGENTE</v>
      </c>
      <c r="EW60" s="3"/>
      <c r="EX60" s="4">
        <v>45953</v>
      </c>
      <c r="EY60" s="4">
        <f t="shared" si="234"/>
        <v>46683</v>
      </c>
      <c r="EZ60" s="8">
        <f t="shared" ca="1" si="60"/>
        <v>538</v>
      </c>
      <c r="FA60" s="5" t="str">
        <f t="shared" ca="1" si="61"/>
        <v>VIGENTE</v>
      </c>
      <c r="FB60" s="3"/>
      <c r="FC60" s="4">
        <v>45951</v>
      </c>
      <c r="FD60" s="4">
        <f t="shared" si="235"/>
        <v>46681</v>
      </c>
      <c r="FE60" s="8">
        <f t="shared" ca="1" si="62"/>
        <v>536</v>
      </c>
      <c r="FF60" s="5" t="str">
        <f t="shared" ca="1" si="63"/>
        <v>VIGENTE</v>
      </c>
      <c r="FG60" s="3"/>
      <c r="FH60" s="4">
        <v>45919</v>
      </c>
      <c r="FI60" s="4">
        <f t="shared" si="236"/>
        <v>46649</v>
      </c>
      <c r="FJ60" s="8">
        <f t="shared" ca="1" si="64"/>
        <v>504</v>
      </c>
      <c r="FK60" s="5" t="str">
        <f t="shared" ca="1" si="65"/>
        <v>VIGENTE</v>
      </c>
      <c r="FL60" s="3"/>
      <c r="FM60" s="39">
        <v>45670</v>
      </c>
      <c r="FN60" s="4">
        <f>DATE(YEAR(FM60)+2,MONTH(FM60),DAY(FM60)-1)</f>
        <v>46399</v>
      </c>
      <c r="FO60" s="8">
        <f t="shared" ca="1" si="67"/>
        <v>254</v>
      </c>
      <c r="FP60" s="5" t="str">
        <f t="shared" ca="1" si="68"/>
        <v>VIGENTE</v>
      </c>
      <c r="FQ60" s="3"/>
      <c r="FR60" s="39">
        <v>45586</v>
      </c>
      <c r="FS60" s="4">
        <f>DATE(YEAR(FR60)+2,MONTH(FR60),DAY(FR60)-1)</f>
        <v>46315</v>
      </c>
      <c r="FT60" s="8">
        <f t="shared" ca="1" si="69"/>
        <v>170</v>
      </c>
      <c r="FU60" s="5" t="str">
        <f t="shared" ca="1" si="70"/>
        <v>VIGENTE</v>
      </c>
      <c r="FV60" s="3"/>
      <c r="FW60" s="4">
        <v>45941</v>
      </c>
      <c r="FX60" s="4">
        <f>DATE(YEAR(FW60)+2,MONTH(FW60),DAY(FW60))</f>
        <v>46671</v>
      </c>
      <c r="FY60" s="8">
        <f t="shared" ca="1" si="71"/>
        <v>526</v>
      </c>
      <c r="FZ60" s="5" t="str">
        <f t="shared" ca="1" si="72"/>
        <v>VIGENTE</v>
      </c>
      <c r="GA60" s="3"/>
      <c r="GB60" s="4">
        <v>45667</v>
      </c>
      <c r="GC60" s="4">
        <f>DATE(YEAR(GB60)+2,MONTH(GB60),DAY(GB60)-1)</f>
        <v>46396</v>
      </c>
      <c r="GD60" s="8">
        <f t="shared" ca="1" si="73"/>
        <v>251</v>
      </c>
      <c r="GE60" s="5" t="str">
        <f t="shared" ca="1" si="74"/>
        <v>VIGENTE</v>
      </c>
      <c r="GF60" s="3"/>
      <c r="GG60" s="4">
        <v>45579</v>
      </c>
      <c r="GH60" s="4">
        <f>DATE(YEAR(GG60)+2,MONTH(GG60),DAY(GG60)-1)</f>
        <v>46308</v>
      </c>
      <c r="GI60" s="8">
        <f t="shared" ca="1" si="75"/>
        <v>163</v>
      </c>
      <c r="GJ60" s="5" t="str">
        <f t="shared" ca="1" si="76"/>
        <v>VIGENTE</v>
      </c>
      <c r="GK60" s="3"/>
      <c r="GL60" s="4">
        <v>45945</v>
      </c>
      <c r="GM60" s="4">
        <f>DATE(YEAR(GL60)+2,MONTH(GL60),DAY(GL60))</f>
        <v>46675</v>
      </c>
      <c r="GN60" s="8">
        <f t="shared" ca="1" si="77"/>
        <v>530</v>
      </c>
      <c r="GO60" s="5" t="str">
        <f t="shared" ca="1" si="78"/>
        <v>VIGENTE</v>
      </c>
      <c r="GP60" s="4"/>
      <c r="GQ60" s="4">
        <v>44952</v>
      </c>
      <c r="GR60" s="4">
        <f t="shared" si="79"/>
        <v>46778</v>
      </c>
      <c r="GS60" s="8">
        <f t="shared" ca="1" si="176"/>
        <v>633</v>
      </c>
      <c r="GT60" s="5" t="str">
        <f t="shared" ca="1" si="81"/>
        <v>VIGENTE</v>
      </c>
      <c r="GU60" s="3"/>
      <c r="GV60" s="4">
        <v>45067</v>
      </c>
      <c r="GW60" s="4">
        <f t="shared" si="82"/>
        <v>46894</v>
      </c>
      <c r="GX60" s="8">
        <f t="shared" ca="1" si="83"/>
        <v>749</v>
      </c>
      <c r="GY60" s="5" t="str">
        <f t="shared" ca="1" si="84"/>
        <v>VIGENTE</v>
      </c>
      <c r="GZ60" s="3"/>
      <c r="HA60" s="4">
        <v>45294</v>
      </c>
      <c r="HB60" s="4">
        <f t="shared" si="85"/>
        <v>47121</v>
      </c>
      <c r="HC60" s="8">
        <f t="shared" ca="1" si="86"/>
        <v>976</v>
      </c>
      <c r="HD60" s="5" t="str">
        <f t="shared" ca="1" si="87"/>
        <v>VIGENTE</v>
      </c>
      <c r="HE60" s="6"/>
      <c r="HF60" s="4">
        <v>45094</v>
      </c>
      <c r="HG60" s="4">
        <f>DATE(YEAR(HF60)+5,MONTH(HF60),DAY(HF60))</f>
        <v>46921</v>
      </c>
      <c r="HH60" s="8">
        <f ca="1">HG60-TODAY()</f>
        <v>776</v>
      </c>
      <c r="HI60" s="5" t="str">
        <f t="shared" ca="1" si="224"/>
        <v>VIGENTE</v>
      </c>
      <c r="HJ60" s="3"/>
      <c r="HK60" s="4">
        <v>45414</v>
      </c>
      <c r="HL60" s="4">
        <f>DATE(YEAR(HK60)+5,MONTH(HK60),DAY(HK60))</f>
        <v>47240</v>
      </c>
      <c r="HM60" s="8">
        <f ca="1">HL60-TODAY()</f>
        <v>1095</v>
      </c>
      <c r="HN60" s="5" t="str">
        <f t="shared" ca="1" si="228"/>
        <v>VIGENTE</v>
      </c>
      <c r="HO60" s="2"/>
      <c r="HP60" s="2"/>
      <c r="HQ60" s="4"/>
      <c r="HR60" s="2"/>
      <c r="HS60" s="5" t="str">
        <f t="shared" si="92"/>
        <v>NO APLICA</v>
      </c>
      <c r="HT60" s="2"/>
      <c r="HU60" s="6"/>
      <c r="HV60" s="4"/>
      <c r="HW60" s="8"/>
      <c r="HX60" s="5" t="str">
        <f t="shared" si="93"/>
        <v>NO APLICA</v>
      </c>
      <c r="HY60" s="2"/>
      <c r="HZ60" s="6"/>
      <c r="IA60" s="4"/>
      <c r="IB60" s="8"/>
      <c r="IC60" s="5" t="str">
        <f t="shared" si="94"/>
        <v>NO APLICA</v>
      </c>
      <c r="ID60" s="2"/>
      <c r="IE60" s="6"/>
      <c r="IF60" s="4"/>
      <c r="IG60" s="8"/>
      <c r="IH60" s="5" t="str">
        <f t="shared" si="95"/>
        <v>NO APLICA</v>
      </c>
      <c r="II60" s="6"/>
      <c r="IJ60" s="6"/>
      <c r="IK60" s="4"/>
      <c r="IL60" s="8"/>
      <c r="IM60" s="5" t="str">
        <f t="shared" si="96"/>
        <v>NO APLICA</v>
      </c>
      <c r="IN60" s="2"/>
      <c r="IO60" s="6"/>
      <c r="IP60" s="4"/>
      <c r="IQ60" s="8"/>
      <c r="IR60" s="5" t="str">
        <f t="shared" si="97"/>
        <v>NO APLICA</v>
      </c>
      <c r="IS60" s="2"/>
      <c r="IT60" s="6"/>
      <c r="IU60" s="4"/>
      <c r="IV60" s="8"/>
      <c r="IW60" s="5" t="str">
        <f t="shared" si="98"/>
        <v>NO APLICA</v>
      </c>
      <c r="IX60" s="2"/>
      <c r="IY60" s="6"/>
      <c r="IZ60" s="4"/>
      <c r="JA60" s="8"/>
      <c r="JB60" s="5" t="str">
        <f t="shared" si="99"/>
        <v>NO APLICA</v>
      </c>
      <c r="JC60" s="3" t="s">
        <v>780</v>
      </c>
      <c r="JD60" s="3"/>
      <c r="JE60" s="4"/>
      <c r="JF60" s="8"/>
      <c r="JG60" s="5"/>
      <c r="JH60" s="3" t="s">
        <v>780</v>
      </c>
      <c r="JI60" s="6"/>
      <c r="JJ60" s="6"/>
      <c r="JK60" s="6"/>
      <c r="JL60" s="5"/>
      <c r="JM60" s="6" t="s">
        <v>780</v>
      </c>
      <c r="JN60" s="6"/>
      <c r="JO60" s="6"/>
      <c r="JP60" s="6"/>
      <c r="JQ60" s="5"/>
      <c r="JR60" s="6" t="s">
        <v>780</v>
      </c>
      <c r="JS60" s="6"/>
      <c r="JT60" s="6"/>
      <c r="JU60" s="6"/>
      <c r="JV60" s="5"/>
      <c r="JW60" s="6" t="s">
        <v>780</v>
      </c>
      <c r="JX60" s="5"/>
      <c r="JY60" s="5"/>
      <c r="JZ60" s="5"/>
      <c r="KA60" s="5"/>
      <c r="KB60" s="5"/>
      <c r="KC60" s="2"/>
      <c r="KD60" s="4"/>
      <c r="KE60" s="8"/>
      <c r="KF60" s="5" t="str">
        <f t="shared" si="135"/>
        <v>NO APLICA</v>
      </c>
      <c r="KG60" s="5"/>
      <c r="KH60" s="3">
        <v>45328</v>
      </c>
      <c r="KI60" s="4">
        <f>DATE(YEAR(KH60)+5,MONTH(KH60),DAY(KH60)-1)</f>
        <v>47154</v>
      </c>
      <c r="KJ60" s="8">
        <f ca="1">KI60-TODAY()</f>
        <v>1009</v>
      </c>
      <c r="KK60" s="5" t="str">
        <f t="shared" ca="1" si="136"/>
        <v>VIGENTE</v>
      </c>
      <c r="KL60" s="5"/>
      <c r="KM60" s="3">
        <v>45364</v>
      </c>
      <c r="KN60" s="4">
        <f>DATE(YEAR(KM60)+5,MONTH(KM60),DAY(KM60))</f>
        <v>47190</v>
      </c>
      <c r="KO60" s="8">
        <f ca="1">KN60-TODAY()</f>
        <v>1045</v>
      </c>
      <c r="KP60" s="5" t="str">
        <f t="shared" ca="1" si="100"/>
        <v>VIGENTE</v>
      </c>
      <c r="KQ60" s="5"/>
      <c r="KR60" s="2"/>
      <c r="KS60" s="4"/>
      <c r="KT60" s="8"/>
      <c r="KU60" s="5" t="str">
        <f t="shared" si="137"/>
        <v>NO APLICA</v>
      </c>
      <c r="KV60" s="3"/>
      <c r="KW60" s="4">
        <v>44649</v>
      </c>
      <c r="KX60" s="4">
        <f>DATE(YEAR(KW60)+5,MONTH(KW60),DAY(KW60))</f>
        <v>46475</v>
      </c>
      <c r="KY60" s="8">
        <f ca="1">KX60-TODAY()</f>
        <v>330</v>
      </c>
      <c r="KZ60" s="5" t="str">
        <f t="shared" ca="1" si="151"/>
        <v>VIGENTE</v>
      </c>
      <c r="LA60" s="5"/>
      <c r="LB60" s="4">
        <v>44607</v>
      </c>
      <c r="LC60" s="4">
        <f>DATE(YEAR(LB60)+5,MONTH(LB60),DAY(LB60))</f>
        <v>46433</v>
      </c>
      <c r="LD60" s="8">
        <f ca="1">LC60-TODAY()</f>
        <v>288</v>
      </c>
      <c r="LE60" s="5" t="str">
        <f t="shared" ca="1" si="138"/>
        <v>VIGENTE</v>
      </c>
      <c r="LF60" s="6"/>
      <c r="LG60" s="6"/>
      <c r="LH60" s="4"/>
      <c r="LI60" s="8"/>
      <c r="LJ60" s="5" t="str">
        <f t="shared" si="101"/>
        <v>NO APLICA</v>
      </c>
      <c r="LK60" s="5"/>
      <c r="LL60" s="21"/>
      <c r="LM60" s="4"/>
      <c r="LN60" s="8"/>
      <c r="LO60" s="5" t="str">
        <f t="shared" si="152"/>
        <v>NO APLICA</v>
      </c>
      <c r="LP60" s="2"/>
      <c r="LQ60" s="6"/>
      <c r="LR60" s="4"/>
      <c r="LS60" s="8"/>
      <c r="LT60" s="5" t="str">
        <f t="shared" si="139"/>
        <v>NO APLICA</v>
      </c>
      <c r="LU60" s="6"/>
      <c r="LV60" s="6"/>
      <c r="LW60" s="4"/>
      <c r="LX60" s="8"/>
      <c r="LY60" s="5" t="str">
        <f t="shared" si="140"/>
        <v>NO APLICA</v>
      </c>
      <c r="LZ60" s="6"/>
      <c r="MA60" s="6"/>
      <c r="MB60" s="4"/>
      <c r="MC60" s="8"/>
      <c r="MD60" s="5" t="str">
        <f t="shared" si="141"/>
        <v>NO APLICA</v>
      </c>
      <c r="ME60" s="4"/>
      <c r="MF60" s="4">
        <v>45010</v>
      </c>
      <c r="MG60" s="4">
        <f>DATE(YEAR(MF60)+5,MONTH(MF60),DAY(MF60))</f>
        <v>46837</v>
      </c>
      <c r="MH60" s="8">
        <f ca="1">MG60-TODAY()</f>
        <v>692</v>
      </c>
      <c r="MI60" s="5" t="str">
        <f t="shared" ca="1" si="102"/>
        <v>VIGENTE</v>
      </c>
      <c r="MJ60" s="2"/>
      <c r="MK60" s="2"/>
      <c r="ML60" s="4"/>
      <c r="MM60" s="8"/>
      <c r="MN60" s="5" t="str">
        <f t="shared" si="103"/>
        <v>NO APLICA</v>
      </c>
      <c r="MO60" s="5"/>
      <c r="MP60" s="2"/>
      <c r="MQ60" s="4"/>
      <c r="MR60" s="8"/>
      <c r="MS60" s="5" t="str">
        <f t="shared" si="104"/>
        <v>NO APLICA</v>
      </c>
      <c r="MT60" s="5"/>
      <c r="MU60" s="2"/>
      <c r="MV60" s="4"/>
      <c r="MW60" s="2"/>
      <c r="MX60" s="5" t="str">
        <f t="shared" si="105"/>
        <v>NO APLICA</v>
      </c>
      <c r="MY60" s="2"/>
      <c r="MZ60" s="6"/>
      <c r="NA60" s="4"/>
      <c r="NB60" s="8"/>
      <c r="NC60" s="5" t="str">
        <f t="shared" si="106"/>
        <v>NO APLICA</v>
      </c>
      <c r="ND60" s="2"/>
      <c r="NE60" s="6"/>
      <c r="NF60" s="4"/>
      <c r="NG60" s="8"/>
      <c r="NH60" s="5" t="str">
        <f t="shared" si="107"/>
        <v>NO APLICA</v>
      </c>
      <c r="NI60" s="2"/>
      <c r="NJ60" s="4">
        <v>44751</v>
      </c>
      <c r="NK60" s="4">
        <f>DATE(YEAR(NJ60)+5,MONTH(NJ60),DAY(NJ60))</f>
        <v>46577</v>
      </c>
      <c r="NL60" s="8">
        <f ca="1">NK60-TODAY()</f>
        <v>432</v>
      </c>
      <c r="NM60" s="5" t="str">
        <f t="shared" ca="1" si="108"/>
        <v>VIGENTE</v>
      </c>
      <c r="NN60" s="3"/>
      <c r="NO60" s="4">
        <v>45001</v>
      </c>
      <c r="NP60" s="4">
        <f>DATE(YEAR(NO60)+5,MONTH(NO60),DAY(NO60))</f>
        <v>46828</v>
      </c>
      <c r="NQ60" s="8">
        <f ca="1">NP60-TODAY()</f>
        <v>683</v>
      </c>
      <c r="NR60" s="5" t="str">
        <f t="shared" ca="1" si="109"/>
        <v>VIGENTE</v>
      </c>
      <c r="NS60" s="2"/>
      <c r="NT60" s="2"/>
      <c r="NU60" s="4"/>
      <c r="NV60" s="2"/>
      <c r="NW60" s="5" t="str">
        <f t="shared" si="110"/>
        <v>NO APLICA</v>
      </c>
      <c r="NX60" s="6"/>
      <c r="NY60" s="6"/>
      <c r="NZ60" s="4"/>
      <c r="OA60" s="8"/>
      <c r="OB60" s="5" t="str">
        <f t="shared" si="111"/>
        <v>NO APLICA</v>
      </c>
      <c r="OC60" s="6"/>
      <c r="OD60" s="6"/>
      <c r="OE60" s="6"/>
      <c r="OF60" s="6"/>
      <c r="OG60" s="5" t="str">
        <f t="shared" si="112"/>
        <v>NO APLICA</v>
      </c>
      <c r="OH60" s="2"/>
      <c r="OI60" s="2"/>
      <c r="OJ60" s="4"/>
      <c r="OK60" s="8"/>
      <c r="OL60" s="5" t="str">
        <f t="shared" si="113"/>
        <v>NO APLICA</v>
      </c>
      <c r="OM60" s="6"/>
      <c r="ON60" s="6"/>
      <c r="OO60" s="6"/>
      <c r="OP60" s="6"/>
      <c r="OQ60" s="5" t="str">
        <f t="shared" si="114"/>
        <v>NO APLICA</v>
      </c>
      <c r="OR60" s="6"/>
      <c r="OS60" s="6"/>
      <c r="OT60" s="6"/>
      <c r="OU60" s="6"/>
      <c r="OV60" s="5" t="str">
        <f t="shared" si="115"/>
        <v>NO APLICA</v>
      </c>
      <c r="OW60" s="6"/>
      <c r="OX60" s="6"/>
      <c r="OY60" s="6"/>
      <c r="OZ60" s="6"/>
      <c r="PA60" s="5" t="str">
        <f t="shared" si="116"/>
        <v>NO APLICA</v>
      </c>
      <c r="PB60" s="6"/>
      <c r="PC60" s="6"/>
      <c r="PD60" s="6"/>
      <c r="PE60" s="6"/>
      <c r="PF60" s="5" t="str">
        <f t="shared" si="117"/>
        <v>NO APLICA</v>
      </c>
      <c r="PG60" s="6"/>
      <c r="PH60" s="6"/>
      <c r="PI60" s="6"/>
      <c r="PJ60" s="6"/>
      <c r="PK60" s="5" t="str">
        <f t="shared" si="118"/>
        <v>NO APLICA</v>
      </c>
      <c r="PL60" s="5"/>
      <c r="PM60" s="6"/>
      <c r="PN60" s="4"/>
      <c r="PO60" s="8"/>
      <c r="PP60" s="5" t="str">
        <f t="shared" si="119"/>
        <v>NO APLICA</v>
      </c>
      <c r="PQ60" s="6"/>
      <c r="PR60" s="6"/>
      <c r="PS60" s="6"/>
      <c r="PT60" s="6"/>
      <c r="PU60" s="5" t="str">
        <f t="shared" si="120"/>
        <v>NO APLICA</v>
      </c>
      <c r="PV60" s="5"/>
      <c r="PW60" s="6"/>
      <c r="PX60" s="6"/>
      <c r="PY60" s="6"/>
      <c r="PZ60" s="5" t="str">
        <f t="shared" si="121"/>
        <v>NO APLICA</v>
      </c>
    </row>
    <row r="61" spans="1:442" ht="15.6" hidden="1" thickTop="1" thickBot="1" x14ac:dyDescent="0.35">
      <c r="A61" s="26">
        <v>58</v>
      </c>
      <c r="B61" s="27">
        <v>1366</v>
      </c>
      <c r="C61" s="28" t="s">
        <v>242</v>
      </c>
      <c r="D61" s="29" t="s">
        <v>113</v>
      </c>
      <c r="E61" s="30" t="s">
        <v>148</v>
      </c>
      <c r="F61" s="3"/>
      <c r="G61" s="4">
        <v>46060</v>
      </c>
      <c r="H61" s="4">
        <f>DATE(YEAR(G61)+2,MONTH(G61),DAY(G61))</f>
        <v>46790</v>
      </c>
      <c r="I61" s="8">
        <f ca="1">H61-TODAY()</f>
        <v>645</v>
      </c>
      <c r="J61" s="5" t="str">
        <f t="shared" ca="1" si="0"/>
        <v>VIGENTE</v>
      </c>
      <c r="K61" s="2"/>
      <c r="L61" s="6"/>
      <c r="M61" s="6"/>
      <c r="N61" s="8"/>
      <c r="O61" s="5" t="str">
        <f t="shared" si="1"/>
        <v>NO APLICA</v>
      </c>
      <c r="P61" s="6"/>
      <c r="Q61" s="6"/>
      <c r="R61" s="4"/>
      <c r="S61" s="8"/>
      <c r="T61" s="5" t="str">
        <f t="shared" si="122"/>
        <v>NO APLICA</v>
      </c>
      <c r="U61" s="5"/>
      <c r="V61" s="2" t="s">
        <v>243</v>
      </c>
      <c r="W61" s="4">
        <v>45735</v>
      </c>
      <c r="X61" s="4">
        <f t="shared" si="2"/>
        <v>47561</v>
      </c>
      <c r="Y61" s="8">
        <f t="shared" ca="1" si="3"/>
        <v>1416</v>
      </c>
      <c r="Z61" s="5" t="str">
        <f t="shared" ca="1" si="4"/>
        <v>VIGENTE</v>
      </c>
      <c r="AA61" s="5"/>
      <c r="AB61" s="2"/>
      <c r="AC61" s="6"/>
      <c r="AD61" s="4"/>
      <c r="AE61" s="8"/>
      <c r="AF61" s="5" t="str">
        <f t="shared" si="7"/>
        <v>NO APLICA</v>
      </c>
      <c r="AG61" s="3"/>
      <c r="AH61" s="4">
        <v>45936</v>
      </c>
      <c r="AI61" s="4">
        <f>DATE(YEAR(AH61)+2,MONTH(AH61),DAY(AH61))</f>
        <v>46666</v>
      </c>
      <c r="AJ61" s="8">
        <f t="shared" ca="1" si="8"/>
        <v>521</v>
      </c>
      <c r="AK61" s="5" t="str">
        <f t="shared" ca="1" si="219"/>
        <v>VIGENTE</v>
      </c>
      <c r="AL61" s="3"/>
      <c r="AM61" s="4">
        <v>45838</v>
      </c>
      <c r="AN61" s="4">
        <f>DATE(YEAR(AM61)+2,MONTH(AM61),DAY(AM61))</f>
        <v>46568</v>
      </c>
      <c r="AO61" s="8">
        <f t="shared" ca="1" si="10"/>
        <v>423</v>
      </c>
      <c r="AP61" s="5" t="str">
        <f t="shared" ca="1" si="11"/>
        <v>VIGENTE</v>
      </c>
      <c r="AQ61" s="3"/>
      <c r="AR61" s="4">
        <v>45904</v>
      </c>
      <c r="AS61" s="4">
        <f t="shared" si="237"/>
        <v>46634</v>
      </c>
      <c r="AT61" s="8">
        <f t="shared" ca="1" si="12"/>
        <v>489</v>
      </c>
      <c r="AU61" s="5" t="str">
        <f t="shared" ca="1" si="13"/>
        <v>VIGENTE</v>
      </c>
      <c r="AV61" s="3"/>
      <c r="AW61" s="4">
        <v>45927</v>
      </c>
      <c r="AX61" s="4">
        <f t="shared" si="232"/>
        <v>46657</v>
      </c>
      <c r="AY61" s="8">
        <f t="shared" ca="1" si="15"/>
        <v>512</v>
      </c>
      <c r="AZ61" s="5" t="str">
        <f t="shared" ca="1" si="16"/>
        <v>VIGENTE</v>
      </c>
      <c r="BA61" s="3"/>
      <c r="BB61" s="4">
        <v>46041</v>
      </c>
      <c r="BC61" s="4">
        <f>DATE(YEAR(BB61)+2,MONTH(BB61),DAY(BB61))</f>
        <v>46771</v>
      </c>
      <c r="BD61" s="8">
        <f t="shared" ca="1" si="17"/>
        <v>626</v>
      </c>
      <c r="BE61" s="5" t="str">
        <f t="shared" ca="1" si="18"/>
        <v>VIGENTE</v>
      </c>
      <c r="BF61" s="3"/>
      <c r="BG61" s="4">
        <v>46067</v>
      </c>
      <c r="BH61" s="4">
        <f t="shared" si="233"/>
        <v>46797</v>
      </c>
      <c r="BI61" s="8">
        <f t="shared" ca="1" si="19"/>
        <v>652</v>
      </c>
      <c r="BJ61" s="5" t="str">
        <f t="shared" ca="1" si="20"/>
        <v>VIGENTE</v>
      </c>
      <c r="BK61" s="3"/>
      <c r="BL61" s="4">
        <v>45570</v>
      </c>
      <c r="BM61" s="4">
        <f>DATE(YEAR(BL61)+2,MONTH(BL61),DAY(BL61)-1)</f>
        <v>46299</v>
      </c>
      <c r="BN61" s="8">
        <f t="shared" ca="1" si="21"/>
        <v>154</v>
      </c>
      <c r="BO61" s="5" t="str">
        <f t="shared" ca="1" si="22"/>
        <v>VIGENTE</v>
      </c>
      <c r="BP61" s="3"/>
      <c r="BQ61" s="39">
        <v>45772</v>
      </c>
      <c r="BR61" s="4">
        <f>DATE(YEAR(BQ61)+2,MONTH(BQ61),DAY(BQ61))</f>
        <v>46502</v>
      </c>
      <c r="BS61" s="8">
        <f t="shared" ca="1" si="23"/>
        <v>357</v>
      </c>
      <c r="BT61" s="5" t="str">
        <f t="shared" ca="1" si="24"/>
        <v>VIGENTE</v>
      </c>
      <c r="BU61" s="3"/>
      <c r="BV61" s="4">
        <v>45950</v>
      </c>
      <c r="BW61" s="4">
        <f>DATE(YEAR(BV61)+2,MONTH(BV61),DAY(BV61))</f>
        <v>46680</v>
      </c>
      <c r="BX61" s="8">
        <f t="shared" ca="1" si="25"/>
        <v>535</v>
      </c>
      <c r="BY61" s="5" t="str">
        <f t="shared" ca="1" si="26"/>
        <v>VIGENTE</v>
      </c>
      <c r="BZ61" s="3"/>
      <c r="CA61" s="4">
        <v>45944</v>
      </c>
      <c r="CB61" s="4">
        <f>DATE(YEAR(CA61)+2,MONTH(CA61),DAY(CA61))</f>
        <v>46674</v>
      </c>
      <c r="CC61" s="8">
        <f t="shared" ca="1" si="27"/>
        <v>529</v>
      </c>
      <c r="CD61" s="5" t="str">
        <f t="shared" ca="1" si="28"/>
        <v>VIGENTE</v>
      </c>
      <c r="CE61" s="6"/>
      <c r="CF61" s="4">
        <v>45529</v>
      </c>
      <c r="CG61" s="4">
        <f t="shared" si="29"/>
        <v>46990</v>
      </c>
      <c r="CH61" s="8">
        <f t="shared" ca="1" si="30"/>
        <v>845</v>
      </c>
      <c r="CI61" s="5" t="str">
        <f t="shared" ca="1" si="31"/>
        <v>VIGENTE</v>
      </c>
      <c r="CJ61" s="4"/>
      <c r="CK61" s="4">
        <v>45688</v>
      </c>
      <c r="CL61" s="4">
        <f>DATE(YEAR(CK61)+2,MONTH(CK61),DAY(CK61)-1)</f>
        <v>46417</v>
      </c>
      <c r="CM61" s="8">
        <f t="shared" ca="1" si="32"/>
        <v>272</v>
      </c>
      <c r="CN61" s="5" t="str">
        <f t="shared" ca="1" si="33"/>
        <v>VIGENTE</v>
      </c>
      <c r="CO61" s="3"/>
      <c r="CP61" s="39">
        <v>45684</v>
      </c>
      <c r="CQ61" s="4">
        <f>DATE(YEAR(CP61)+2,MONTH(CP61),DAY(CP61)-1)</f>
        <v>46413</v>
      </c>
      <c r="CR61" s="8">
        <f t="shared" ca="1" si="34"/>
        <v>268</v>
      </c>
      <c r="CS61" s="5" t="str">
        <f t="shared" ca="1" si="35"/>
        <v>VIGENTE</v>
      </c>
      <c r="CT61" s="3"/>
      <c r="CU61" s="4">
        <v>46069</v>
      </c>
      <c r="CV61" s="4">
        <f>DATE(YEAR(CU61)+2,MONTH(CU61),DAY(CU61))</f>
        <v>46799</v>
      </c>
      <c r="CW61" s="8">
        <f t="shared" ca="1" si="36"/>
        <v>654</v>
      </c>
      <c r="CX61" s="5" t="str">
        <f t="shared" ca="1" si="37"/>
        <v>VIGENTE</v>
      </c>
      <c r="CY61" s="3"/>
      <c r="CZ61" s="4">
        <v>46028</v>
      </c>
      <c r="DA61" s="4">
        <f>DATE(YEAR(CZ61)+2,MONTH(CZ61),DAY(CZ61))</f>
        <v>46758</v>
      </c>
      <c r="DB61" s="8">
        <f t="shared" ca="1" si="38"/>
        <v>613</v>
      </c>
      <c r="DC61" s="5" t="str">
        <f t="shared" ca="1" si="39"/>
        <v>VIGENTE</v>
      </c>
      <c r="DD61" s="3"/>
      <c r="DE61" s="39">
        <v>45607</v>
      </c>
      <c r="DF61" s="4">
        <f t="shared" si="227"/>
        <v>46336</v>
      </c>
      <c r="DG61" s="8">
        <f t="shared" ca="1" si="40"/>
        <v>191</v>
      </c>
      <c r="DH61" s="5" t="str">
        <f t="shared" ca="1" si="41"/>
        <v>VIGENTE</v>
      </c>
      <c r="DI61" s="3"/>
      <c r="DJ61" s="39">
        <v>45834</v>
      </c>
      <c r="DK61" s="4">
        <f>DATE(YEAR(DJ61)+2,MONTH(DJ61),DAY(DJ61))</f>
        <v>46564</v>
      </c>
      <c r="DL61" s="8">
        <f t="shared" ca="1" si="43"/>
        <v>419</v>
      </c>
      <c r="DM61" s="5" t="str">
        <f t="shared" ca="1" si="44"/>
        <v>VIGENTE</v>
      </c>
      <c r="DN61" s="3"/>
      <c r="DO61" s="4">
        <v>45982</v>
      </c>
      <c r="DP61" s="4">
        <f>DATE(YEAR(DO61)+2,MONTH(DO61),DAY(DO61))</f>
        <v>46712</v>
      </c>
      <c r="DQ61" s="8">
        <f t="shared" ca="1" si="46"/>
        <v>567</v>
      </c>
      <c r="DR61" s="5" t="str">
        <f t="shared" ca="1" si="47"/>
        <v>VIGENTE</v>
      </c>
      <c r="DS61" s="3"/>
      <c r="DT61" s="4">
        <v>46072</v>
      </c>
      <c r="DU61" s="4">
        <f>DATE(YEAR(DT61)+2,MONTH(DT61),DAY(DT61))</f>
        <v>46802</v>
      </c>
      <c r="DV61" s="8">
        <f t="shared" ca="1" si="48"/>
        <v>657</v>
      </c>
      <c r="DW61" s="5" t="str">
        <f t="shared" ca="1" si="49"/>
        <v>VIGENTE</v>
      </c>
      <c r="DX61" s="3"/>
      <c r="DY61" s="4">
        <v>45612</v>
      </c>
      <c r="DZ61" s="4">
        <f>DATE(YEAR(DY61)+2,MONTH(DY61),DAY(DY61)-1)</f>
        <v>46341</v>
      </c>
      <c r="EA61" s="8">
        <f t="shared" ca="1" si="50"/>
        <v>196</v>
      </c>
      <c r="EB61" s="5" t="str">
        <f t="shared" ca="1" si="51"/>
        <v>VIGENTE</v>
      </c>
      <c r="EC61" s="3"/>
      <c r="ED61" s="39">
        <v>45730</v>
      </c>
      <c r="EE61" s="4">
        <f>DATE(YEAR(ED61)+2,MONTH(ED61),DAY(ED61)-1)</f>
        <v>46459</v>
      </c>
      <c r="EF61" s="8">
        <f t="shared" ca="1" si="52"/>
        <v>314</v>
      </c>
      <c r="EG61" s="5" t="str">
        <f t="shared" ca="1" si="53"/>
        <v>VIGENTE</v>
      </c>
      <c r="EH61" s="3"/>
      <c r="EI61" s="3">
        <v>46085</v>
      </c>
      <c r="EJ61" s="4">
        <f t="shared" si="131"/>
        <v>46450</v>
      </c>
      <c r="EK61" s="8">
        <f t="shared" ca="1" si="54"/>
        <v>305</v>
      </c>
      <c r="EL61" s="5" t="str">
        <f t="shared" ca="1" si="55"/>
        <v>VIGENTE</v>
      </c>
      <c r="EM61" s="3"/>
      <c r="EN61" s="3">
        <v>45596</v>
      </c>
      <c r="EO61" s="4">
        <f t="shared" si="231"/>
        <v>46325</v>
      </c>
      <c r="EP61" s="8">
        <f t="shared" ca="1" si="56"/>
        <v>180</v>
      </c>
      <c r="EQ61" s="5" t="str">
        <f t="shared" ca="1" si="57"/>
        <v>VIGENTE</v>
      </c>
      <c r="ER61" s="3"/>
      <c r="ES61" s="39">
        <v>45999</v>
      </c>
      <c r="ET61" s="4">
        <f>DATE(YEAR(ES61)+2,MONTH(ES61),DAY(ES61))</f>
        <v>46729</v>
      </c>
      <c r="EU61" s="8">
        <f t="shared" ca="1" si="58"/>
        <v>584</v>
      </c>
      <c r="EV61" s="5" t="str">
        <f t="shared" ca="1" si="59"/>
        <v>VIGENTE</v>
      </c>
      <c r="EW61" s="3"/>
      <c r="EX61" s="4">
        <v>45917</v>
      </c>
      <c r="EY61" s="4">
        <f t="shared" si="234"/>
        <v>46647</v>
      </c>
      <c r="EZ61" s="8">
        <f t="shared" ca="1" si="60"/>
        <v>502</v>
      </c>
      <c r="FA61" s="5" t="str">
        <f t="shared" ca="1" si="61"/>
        <v>VIGENTE</v>
      </c>
      <c r="FB61" s="3"/>
      <c r="FC61" s="4">
        <v>45931</v>
      </c>
      <c r="FD61" s="4">
        <f t="shared" si="235"/>
        <v>46661</v>
      </c>
      <c r="FE61" s="8">
        <f t="shared" ca="1" si="62"/>
        <v>516</v>
      </c>
      <c r="FF61" s="5" t="str">
        <f t="shared" ca="1" si="63"/>
        <v>VIGENTE</v>
      </c>
      <c r="FG61" s="3"/>
      <c r="FH61" s="4">
        <v>45932</v>
      </c>
      <c r="FI61" s="4">
        <f t="shared" si="236"/>
        <v>46662</v>
      </c>
      <c r="FJ61" s="8">
        <f t="shared" ca="1" si="64"/>
        <v>517</v>
      </c>
      <c r="FK61" s="5" t="str">
        <f t="shared" ca="1" si="65"/>
        <v>VIGENTE</v>
      </c>
      <c r="FL61" s="3"/>
      <c r="FM61" s="39">
        <v>45479</v>
      </c>
      <c r="FN61" s="4">
        <f>DATE(YEAR(FM61)+2,MONTH(FM61),DAY(FM61)-1)</f>
        <v>46208</v>
      </c>
      <c r="FO61" s="8">
        <f t="shared" ca="1" si="67"/>
        <v>63</v>
      </c>
      <c r="FP61" s="5" t="str">
        <f t="shared" ca="1" si="68"/>
        <v>POR VENCER</v>
      </c>
      <c r="FQ61" s="3"/>
      <c r="FR61" s="39">
        <v>45664</v>
      </c>
      <c r="FS61" s="4">
        <f>DATE(YEAR(FR61)+2,MONTH(FR61),DAY(FR61)-1)</f>
        <v>46393</v>
      </c>
      <c r="FT61" s="8">
        <f t="shared" ca="1" si="69"/>
        <v>248</v>
      </c>
      <c r="FU61" s="5" t="str">
        <f t="shared" ca="1" si="70"/>
        <v>VIGENTE</v>
      </c>
      <c r="FV61" s="3"/>
      <c r="FW61" s="4">
        <v>45941</v>
      </c>
      <c r="FX61" s="4">
        <f>DATE(YEAR(FW61)+2,MONTH(FW61),DAY(FW61))</f>
        <v>46671</v>
      </c>
      <c r="FY61" s="8">
        <f t="shared" ca="1" si="71"/>
        <v>526</v>
      </c>
      <c r="FZ61" s="5" t="str">
        <f t="shared" ca="1" si="72"/>
        <v>VIGENTE</v>
      </c>
      <c r="GA61" s="3"/>
      <c r="GB61" s="4">
        <v>45595</v>
      </c>
      <c r="GC61" s="4">
        <f>DATE(YEAR(GB61)+2,MONTH(GB61),DAY(GB61)-1)</f>
        <v>46324</v>
      </c>
      <c r="GD61" s="8">
        <f t="shared" ca="1" si="73"/>
        <v>179</v>
      </c>
      <c r="GE61" s="5" t="str">
        <f t="shared" ca="1" si="74"/>
        <v>VIGENTE</v>
      </c>
      <c r="GF61" s="3"/>
      <c r="GG61" s="4">
        <v>45579</v>
      </c>
      <c r="GH61" s="4">
        <f>DATE(YEAR(GG61)+2,MONTH(GG61),DAY(GG61)-1)</f>
        <v>46308</v>
      </c>
      <c r="GI61" s="8">
        <f t="shared" ca="1" si="75"/>
        <v>163</v>
      </c>
      <c r="GJ61" s="5" t="str">
        <f t="shared" ca="1" si="76"/>
        <v>VIGENTE</v>
      </c>
      <c r="GK61" s="3"/>
      <c r="GL61" s="4">
        <v>45567</v>
      </c>
      <c r="GM61" s="4">
        <f>DATE(YEAR(GL61)+2,MONTH(GL61),DAY(GL61)-1)</f>
        <v>46296</v>
      </c>
      <c r="GN61" s="8">
        <f t="shared" ca="1" si="77"/>
        <v>151</v>
      </c>
      <c r="GO61" s="5" t="str">
        <f t="shared" ca="1" si="78"/>
        <v>VIGENTE</v>
      </c>
      <c r="GP61" s="4"/>
      <c r="GQ61" s="4">
        <v>44966</v>
      </c>
      <c r="GR61" s="4">
        <f t="shared" si="79"/>
        <v>46792</v>
      </c>
      <c r="GS61" s="8">
        <f t="shared" ca="1" si="176"/>
        <v>647</v>
      </c>
      <c r="GT61" s="5" t="str">
        <f t="shared" ca="1" si="81"/>
        <v>VIGENTE</v>
      </c>
      <c r="GU61" s="3"/>
      <c r="GV61" s="4">
        <v>44952</v>
      </c>
      <c r="GW61" s="4">
        <f t="shared" si="82"/>
        <v>46778</v>
      </c>
      <c r="GX61" s="8">
        <f t="shared" ca="1" si="83"/>
        <v>633</v>
      </c>
      <c r="GY61" s="5" t="str">
        <f t="shared" ca="1" si="84"/>
        <v>VIGENTE</v>
      </c>
      <c r="GZ61" s="2"/>
      <c r="HA61" s="4">
        <v>44919</v>
      </c>
      <c r="HB61" s="4">
        <f t="shared" si="85"/>
        <v>46745</v>
      </c>
      <c r="HC61" s="8">
        <f t="shared" ca="1" si="86"/>
        <v>600</v>
      </c>
      <c r="HD61" s="5" t="str">
        <f t="shared" ca="1" si="87"/>
        <v>VIGENTE</v>
      </c>
      <c r="HE61" s="6"/>
      <c r="HF61" s="6"/>
      <c r="HG61" s="4"/>
      <c r="HH61" s="8"/>
      <c r="HI61" s="5" t="str">
        <f t="shared" si="224"/>
        <v>NO APLICA</v>
      </c>
      <c r="HJ61" s="2"/>
      <c r="HK61" s="6"/>
      <c r="HL61" s="4"/>
      <c r="HM61" s="8"/>
      <c r="HN61" s="5" t="str">
        <f t="shared" si="228"/>
        <v>NO APLICA</v>
      </c>
      <c r="HO61" s="2"/>
      <c r="HP61" s="2"/>
      <c r="HQ61" s="4"/>
      <c r="HR61" s="2"/>
      <c r="HS61" s="5" t="str">
        <f t="shared" si="92"/>
        <v>NO APLICA</v>
      </c>
      <c r="HT61" s="2"/>
      <c r="HU61" s="6"/>
      <c r="HV61" s="4"/>
      <c r="HW61" s="8"/>
      <c r="HX61" s="5" t="str">
        <f t="shared" si="93"/>
        <v>NO APLICA</v>
      </c>
      <c r="HY61" s="2"/>
      <c r="HZ61" s="6"/>
      <c r="IA61" s="4"/>
      <c r="IB61" s="8"/>
      <c r="IC61" s="5" t="str">
        <f t="shared" si="94"/>
        <v>NO APLICA</v>
      </c>
      <c r="ID61" s="2"/>
      <c r="IE61" s="6"/>
      <c r="IF61" s="4"/>
      <c r="IG61" s="8"/>
      <c r="IH61" s="5" t="str">
        <f t="shared" si="95"/>
        <v>NO APLICA</v>
      </c>
      <c r="II61" s="6"/>
      <c r="IJ61" s="6"/>
      <c r="IK61" s="4"/>
      <c r="IL61" s="8"/>
      <c r="IM61" s="5" t="str">
        <f t="shared" si="96"/>
        <v>NO APLICA</v>
      </c>
      <c r="IN61" s="2"/>
      <c r="IO61" s="6"/>
      <c r="IP61" s="4"/>
      <c r="IQ61" s="8"/>
      <c r="IR61" s="5" t="str">
        <f t="shared" si="97"/>
        <v>NO APLICA</v>
      </c>
      <c r="IS61" s="2"/>
      <c r="IT61" s="6"/>
      <c r="IU61" s="4"/>
      <c r="IV61" s="8"/>
      <c r="IW61" s="5" t="str">
        <f t="shared" si="98"/>
        <v>NO APLICA</v>
      </c>
      <c r="IX61" s="2"/>
      <c r="IY61" s="6"/>
      <c r="IZ61" s="4"/>
      <c r="JA61" s="8"/>
      <c r="JB61" s="5" t="str">
        <f t="shared" si="99"/>
        <v>NO APLICA</v>
      </c>
      <c r="JC61" s="3" t="s">
        <v>780</v>
      </c>
      <c r="JD61" s="3"/>
      <c r="JE61" s="4"/>
      <c r="JF61" s="8"/>
      <c r="JG61" s="5"/>
      <c r="JH61" s="3" t="s">
        <v>780</v>
      </c>
      <c r="JI61" s="6"/>
      <c r="JJ61" s="6"/>
      <c r="JK61" s="6"/>
      <c r="JL61" s="5"/>
      <c r="JM61" s="6" t="s">
        <v>780</v>
      </c>
      <c r="JN61" s="6"/>
      <c r="JO61" s="6"/>
      <c r="JP61" s="6"/>
      <c r="JQ61" s="5"/>
      <c r="JR61" s="6" t="s">
        <v>780</v>
      </c>
      <c r="JS61" s="6"/>
      <c r="JT61" s="6"/>
      <c r="JU61" s="6"/>
      <c r="JV61" s="5"/>
      <c r="JW61" s="6" t="s">
        <v>780</v>
      </c>
      <c r="JX61" s="3"/>
      <c r="JY61" s="4"/>
      <c r="JZ61" s="8"/>
      <c r="KA61" s="5"/>
      <c r="KB61" s="5"/>
      <c r="KC61" s="2"/>
      <c r="KD61" s="4"/>
      <c r="KE61" s="8"/>
      <c r="KF61" s="5" t="str">
        <f t="shared" si="135"/>
        <v>NO APLICA</v>
      </c>
      <c r="KG61" s="5"/>
      <c r="KH61" s="2"/>
      <c r="KI61" s="4"/>
      <c r="KJ61" s="8"/>
      <c r="KK61" s="5" t="str">
        <f t="shared" si="136"/>
        <v>NO APLICA</v>
      </c>
      <c r="KL61" s="5"/>
      <c r="KM61" s="2"/>
      <c r="KN61" s="4"/>
      <c r="KO61" s="8"/>
      <c r="KP61" s="5" t="str">
        <f t="shared" si="100"/>
        <v>NO APLICA</v>
      </c>
      <c r="KQ61" s="5"/>
      <c r="KR61" s="2"/>
      <c r="KS61" s="4"/>
      <c r="KT61" s="8"/>
      <c r="KU61" s="5" t="str">
        <f t="shared" si="137"/>
        <v>NO APLICA</v>
      </c>
      <c r="KV61" s="2"/>
      <c r="KW61" s="6"/>
      <c r="KX61" s="4"/>
      <c r="KY61" s="8"/>
      <c r="KZ61" s="5" t="str">
        <f t="shared" si="151"/>
        <v>NO APLICA</v>
      </c>
      <c r="LA61" s="5"/>
      <c r="LB61" s="6"/>
      <c r="LC61" s="4"/>
      <c r="LD61" s="8"/>
      <c r="LE61" s="5" t="str">
        <f t="shared" si="138"/>
        <v>NO APLICA</v>
      </c>
      <c r="LF61" s="6"/>
      <c r="LG61" s="6"/>
      <c r="LH61" s="4"/>
      <c r="LI61" s="8"/>
      <c r="LJ61" s="5" t="str">
        <f t="shared" si="101"/>
        <v>NO APLICA</v>
      </c>
      <c r="LK61" s="5"/>
      <c r="LL61" s="5"/>
      <c r="LM61" s="4"/>
      <c r="LN61" s="8"/>
      <c r="LO61" s="5" t="str">
        <f t="shared" si="152"/>
        <v>NO APLICA</v>
      </c>
      <c r="LP61" s="2"/>
      <c r="LQ61" s="6"/>
      <c r="LR61" s="4"/>
      <c r="LS61" s="8"/>
      <c r="LT61" s="5" t="str">
        <f t="shared" si="139"/>
        <v>NO APLICA</v>
      </c>
      <c r="LU61" s="6"/>
      <c r="LV61" s="6"/>
      <c r="LW61" s="4"/>
      <c r="LX61" s="8"/>
      <c r="LY61" s="5" t="str">
        <f t="shared" si="140"/>
        <v>NO APLICA</v>
      </c>
      <c r="LZ61" s="6"/>
      <c r="MA61" s="6"/>
      <c r="MB61" s="4"/>
      <c r="MC61" s="8"/>
      <c r="MD61" s="5" t="str">
        <f t="shared" si="141"/>
        <v>NO APLICA</v>
      </c>
      <c r="ME61" s="2"/>
      <c r="MF61" s="2"/>
      <c r="MG61" s="4"/>
      <c r="MH61" s="8"/>
      <c r="MI61" s="5" t="str">
        <f t="shared" si="102"/>
        <v>NO APLICA</v>
      </c>
      <c r="MJ61" s="2"/>
      <c r="MK61" s="2"/>
      <c r="ML61" s="4"/>
      <c r="MM61" s="8"/>
      <c r="MN61" s="5" t="str">
        <f t="shared" si="103"/>
        <v>NO APLICA</v>
      </c>
      <c r="MO61" s="5"/>
      <c r="MP61" s="2"/>
      <c r="MQ61" s="4"/>
      <c r="MR61" s="8"/>
      <c r="MS61" s="5" t="str">
        <f t="shared" si="104"/>
        <v>NO APLICA</v>
      </c>
      <c r="MT61" s="5"/>
      <c r="MU61" s="2"/>
      <c r="MV61" s="4"/>
      <c r="MW61" s="2"/>
      <c r="MX61" s="5" t="str">
        <f t="shared" si="105"/>
        <v>NO APLICA</v>
      </c>
      <c r="MY61" s="2"/>
      <c r="MZ61" s="6"/>
      <c r="NA61" s="4"/>
      <c r="NB61" s="8"/>
      <c r="NC61" s="5" t="str">
        <f t="shared" si="106"/>
        <v>NO APLICA</v>
      </c>
      <c r="ND61" s="2"/>
      <c r="NE61" s="6"/>
      <c r="NF61" s="4"/>
      <c r="NG61" s="8"/>
      <c r="NH61" s="5" t="str">
        <f t="shared" si="107"/>
        <v>NO APLICA</v>
      </c>
      <c r="NI61" s="2"/>
      <c r="NJ61" s="6"/>
      <c r="NK61" s="4"/>
      <c r="NL61" s="8"/>
      <c r="NM61" s="5" t="str">
        <f t="shared" si="108"/>
        <v>NO APLICA</v>
      </c>
      <c r="NN61" s="2"/>
      <c r="NO61" s="2"/>
      <c r="NP61" s="4"/>
      <c r="NQ61" s="8"/>
      <c r="NR61" s="5" t="str">
        <f t="shared" si="109"/>
        <v>NO APLICA</v>
      </c>
      <c r="NS61" s="2"/>
      <c r="NT61" s="2"/>
      <c r="NU61" s="4"/>
      <c r="NV61" s="2"/>
      <c r="NW61" s="5" t="str">
        <f t="shared" si="110"/>
        <v>NO APLICA</v>
      </c>
      <c r="NX61" s="6"/>
      <c r="NY61" s="6"/>
      <c r="NZ61" s="4"/>
      <c r="OA61" s="8"/>
      <c r="OB61" s="5" t="str">
        <f t="shared" si="111"/>
        <v>NO APLICA</v>
      </c>
      <c r="OC61" s="6"/>
      <c r="OD61" s="6"/>
      <c r="OE61" s="6"/>
      <c r="OF61" s="6"/>
      <c r="OG61" s="5" t="str">
        <f t="shared" si="112"/>
        <v>NO APLICA</v>
      </c>
      <c r="OH61" s="6"/>
      <c r="OI61" s="6"/>
      <c r="OJ61" s="4"/>
      <c r="OK61" s="8"/>
      <c r="OL61" s="5" t="str">
        <f t="shared" si="113"/>
        <v>NO APLICA</v>
      </c>
      <c r="OM61" s="6"/>
      <c r="ON61" s="6"/>
      <c r="OO61" s="6"/>
      <c r="OP61" s="6"/>
      <c r="OQ61" s="5" t="str">
        <f t="shared" si="114"/>
        <v>NO APLICA</v>
      </c>
      <c r="OR61" s="6"/>
      <c r="OS61" s="6"/>
      <c r="OT61" s="6"/>
      <c r="OU61" s="6"/>
      <c r="OV61" s="5" t="str">
        <f t="shared" si="115"/>
        <v>NO APLICA</v>
      </c>
      <c r="OW61" s="6"/>
      <c r="OX61" s="6"/>
      <c r="OY61" s="6"/>
      <c r="OZ61" s="6"/>
      <c r="PA61" s="5" t="str">
        <f t="shared" si="116"/>
        <v>NO APLICA</v>
      </c>
      <c r="PB61" s="6"/>
      <c r="PC61" s="6"/>
      <c r="PD61" s="6"/>
      <c r="PE61" s="6"/>
      <c r="PF61" s="5" t="str">
        <f t="shared" si="117"/>
        <v>NO APLICA</v>
      </c>
      <c r="PG61" s="6"/>
      <c r="PH61" s="6"/>
      <c r="PI61" s="6"/>
      <c r="PJ61" s="6"/>
      <c r="PK61" s="5" t="str">
        <f t="shared" si="118"/>
        <v>NO APLICA</v>
      </c>
      <c r="PL61" s="5"/>
      <c r="PM61" s="6"/>
      <c r="PN61" s="4"/>
      <c r="PO61" s="8"/>
      <c r="PP61" s="5" t="str">
        <f t="shared" si="119"/>
        <v>NO APLICA</v>
      </c>
      <c r="PQ61" s="6"/>
      <c r="PR61" s="6"/>
      <c r="PS61" s="6"/>
      <c r="PT61" s="6"/>
      <c r="PU61" s="5" t="str">
        <f t="shared" si="120"/>
        <v>NO APLICA</v>
      </c>
      <c r="PV61" s="5"/>
      <c r="PW61" s="6"/>
      <c r="PX61" s="6"/>
      <c r="PY61" s="6"/>
      <c r="PZ61" s="5" t="str">
        <f t="shared" si="121"/>
        <v>NO APLICA</v>
      </c>
    </row>
    <row r="62" spans="1:442" ht="15.6" hidden="1" thickTop="1" thickBot="1" x14ac:dyDescent="0.35">
      <c r="A62" s="26">
        <v>59</v>
      </c>
      <c r="B62" s="27">
        <v>1619</v>
      </c>
      <c r="C62" s="28" t="s">
        <v>244</v>
      </c>
      <c r="D62" s="29" t="s">
        <v>68</v>
      </c>
      <c r="E62" s="30" t="s">
        <v>73</v>
      </c>
      <c r="F62" s="5"/>
      <c r="G62" s="6"/>
      <c r="H62" s="4"/>
      <c r="I62" s="8"/>
      <c r="J62" s="5" t="str">
        <f t="shared" si="0"/>
        <v>NO APLICA</v>
      </c>
      <c r="K62" s="2"/>
      <c r="L62" s="6"/>
      <c r="M62" s="6"/>
      <c r="N62" s="8"/>
      <c r="O62" s="5" t="str">
        <f t="shared" si="1"/>
        <v>NO APLICA</v>
      </c>
      <c r="P62" s="4"/>
      <c r="Q62" s="4">
        <v>45604</v>
      </c>
      <c r="R62" s="4">
        <f>DATE(YEAR(Q62)+2,MONTH(Q62),DAY(Q62)-1)</f>
        <v>46333</v>
      </c>
      <c r="S62" s="8">
        <f ca="1">R62-TODAY()</f>
        <v>188</v>
      </c>
      <c r="T62" s="5" t="str">
        <f t="shared" ca="1" si="122"/>
        <v>VIGENTE</v>
      </c>
      <c r="U62" s="5"/>
      <c r="V62" s="2" t="s">
        <v>245</v>
      </c>
      <c r="W62" s="4">
        <v>44772</v>
      </c>
      <c r="X62" s="4">
        <f t="shared" si="2"/>
        <v>46598</v>
      </c>
      <c r="Y62" s="8">
        <f t="shared" ca="1" si="3"/>
        <v>453</v>
      </c>
      <c r="Z62" s="5" t="str">
        <f t="shared" ca="1" si="4"/>
        <v>VIGENTE</v>
      </c>
      <c r="AA62" s="5"/>
      <c r="AB62" s="2" t="s">
        <v>246</v>
      </c>
      <c r="AC62" s="4">
        <v>45464</v>
      </c>
      <c r="AD62" s="4">
        <f>DATE(YEAR(AC62)+5,MONTH(AC62),DAY(AC62))</f>
        <v>47290</v>
      </c>
      <c r="AE62" s="8">
        <f ca="1">AD62-TODAY()</f>
        <v>1145</v>
      </c>
      <c r="AF62" s="5" t="str">
        <f t="shared" ca="1" si="7"/>
        <v>VIGENTE</v>
      </c>
      <c r="AG62" s="3"/>
      <c r="AH62" s="4">
        <v>45780</v>
      </c>
      <c r="AI62" s="4">
        <f>DATE(YEAR(AH62)+2,MONTH(AH62),DAY(AH62))</f>
        <v>46510</v>
      </c>
      <c r="AJ62" s="8">
        <f t="shared" ca="1" si="8"/>
        <v>365</v>
      </c>
      <c r="AK62" s="5" t="str">
        <f t="shared" ca="1" si="219"/>
        <v>VIGENTE</v>
      </c>
      <c r="AL62" s="3"/>
      <c r="AM62" s="4">
        <v>45748</v>
      </c>
      <c r="AN62" s="4">
        <f>DATE(YEAR(AM62)+2,MONTH(AM62),DAY(AM62)-1)</f>
        <v>46477</v>
      </c>
      <c r="AO62" s="8">
        <f t="shared" ca="1" si="10"/>
        <v>332</v>
      </c>
      <c r="AP62" s="5" t="str">
        <f t="shared" ca="1" si="11"/>
        <v>VIGENTE</v>
      </c>
      <c r="AQ62" s="3"/>
      <c r="AR62" s="4">
        <v>45820</v>
      </c>
      <c r="AS62" s="4">
        <f t="shared" si="237"/>
        <v>46550</v>
      </c>
      <c r="AT62" s="8">
        <f t="shared" ca="1" si="12"/>
        <v>405</v>
      </c>
      <c r="AU62" s="5" t="str">
        <f t="shared" ca="1" si="13"/>
        <v>VIGENTE</v>
      </c>
      <c r="AV62" s="3"/>
      <c r="AW62" s="4">
        <v>45765</v>
      </c>
      <c r="AX62" s="4">
        <f t="shared" si="232"/>
        <v>46495</v>
      </c>
      <c r="AY62" s="8">
        <f t="shared" ca="1" si="15"/>
        <v>350</v>
      </c>
      <c r="AZ62" s="5" t="str">
        <f t="shared" ca="1" si="16"/>
        <v>VIGENTE</v>
      </c>
      <c r="BA62" s="3"/>
      <c r="BB62" s="4">
        <v>45717</v>
      </c>
      <c r="BC62" s="4">
        <f>DATE(YEAR(BB62)+2,MONTH(BB62),DAY(BB62)-1)</f>
        <v>46446</v>
      </c>
      <c r="BD62" s="8">
        <f t="shared" ca="1" si="17"/>
        <v>301</v>
      </c>
      <c r="BE62" s="5" t="str">
        <f t="shared" ca="1" si="18"/>
        <v>VIGENTE</v>
      </c>
      <c r="BF62" s="3"/>
      <c r="BG62" s="4">
        <v>45842</v>
      </c>
      <c r="BH62" s="4">
        <f t="shared" si="233"/>
        <v>46572</v>
      </c>
      <c r="BI62" s="8">
        <f t="shared" ca="1" si="19"/>
        <v>427</v>
      </c>
      <c r="BJ62" s="5" t="str">
        <f t="shared" ca="1" si="20"/>
        <v>VIGENTE</v>
      </c>
      <c r="BK62" s="3"/>
      <c r="BL62" s="4">
        <v>45797</v>
      </c>
      <c r="BM62" s="4">
        <f>DATE(YEAR(BL62)+2,MONTH(BL62),DAY(BL62))</f>
        <v>46527</v>
      </c>
      <c r="BN62" s="8">
        <f t="shared" ca="1" si="21"/>
        <v>382</v>
      </c>
      <c r="BO62" s="5" t="str">
        <f t="shared" ca="1" si="22"/>
        <v>VIGENTE</v>
      </c>
      <c r="BP62" s="3"/>
      <c r="BQ62" s="39">
        <v>45841</v>
      </c>
      <c r="BR62" s="4">
        <f>DATE(YEAR(BQ62)+2,MONTH(BQ62),DAY(BQ62))</f>
        <v>46571</v>
      </c>
      <c r="BS62" s="8">
        <f t="shared" ca="1" si="23"/>
        <v>426</v>
      </c>
      <c r="BT62" s="5" t="str">
        <f t="shared" ca="1" si="24"/>
        <v>VIGENTE</v>
      </c>
      <c r="BU62" s="3"/>
      <c r="BV62" s="4">
        <v>45853</v>
      </c>
      <c r="BW62" s="4">
        <f>DATE(YEAR(BV62)+2,MONTH(BV62),DAY(BV62))</f>
        <v>46583</v>
      </c>
      <c r="BX62" s="8">
        <f t="shared" ca="1" si="25"/>
        <v>438</v>
      </c>
      <c r="BY62" s="5" t="str">
        <f t="shared" ca="1" si="26"/>
        <v>VIGENTE</v>
      </c>
      <c r="BZ62" s="3"/>
      <c r="CA62" s="4">
        <v>45730</v>
      </c>
      <c r="CB62" s="4">
        <f>DATE(YEAR(CA62)+2,MONTH(CA62),DAY(CA62)-1)</f>
        <v>46459</v>
      </c>
      <c r="CC62" s="8">
        <f t="shared" ca="1" si="27"/>
        <v>314</v>
      </c>
      <c r="CD62" s="5" t="str">
        <f t="shared" ca="1" si="28"/>
        <v>VIGENTE</v>
      </c>
      <c r="CE62" s="6"/>
      <c r="CF62" s="4">
        <v>45301</v>
      </c>
      <c r="CG62" s="4">
        <f t="shared" si="29"/>
        <v>46762</v>
      </c>
      <c r="CH62" s="8">
        <f t="shared" ca="1" si="30"/>
        <v>617</v>
      </c>
      <c r="CI62" s="5" t="str">
        <f t="shared" ca="1" si="31"/>
        <v>VIGENTE</v>
      </c>
      <c r="CJ62" s="4"/>
      <c r="CK62" s="4">
        <v>45801</v>
      </c>
      <c r="CL62" s="4">
        <f>DATE(YEAR(CK62)+2,MONTH(CK62),DAY(CK62)-1)</f>
        <v>46530</v>
      </c>
      <c r="CM62" s="8">
        <f t="shared" ca="1" si="32"/>
        <v>385</v>
      </c>
      <c r="CN62" s="5" t="str">
        <f t="shared" ca="1" si="33"/>
        <v>VIGENTE</v>
      </c>
      <c r="CO62" s="2"/>
      <c r="CP62" s="39">
        <v>45769</v>
      </c>
      <c r="CQ62" s="4">
        <f>DATE(YEAR(CP62)+2,MONTH(CP62),DAY(CP62))</f>
        <v>46499</v>
      </c>
      <c r="CR62" s="8">
        <f t="shared" ca="1" si="34"/>
        <v>354</v>
      </c>
      <c r="CS62" s="5" t="str">
        <f t="shared" ca="1" si="35"/>
        <v>VIGENTE</v>
      </c>
      <c r="CT62" s="3"/>
      <c r="CU62" s="4">
        <v>45805</v>
      </c>
      <c r="CV62" s="4">
        <f>DATE(YEAR(CU62)+2,MONTH(CU62),DAY(CU62))</f>
        <v>46535</v>
      </c>
      <c r="CW62" s="8">
        <f t="shared" ca="1" si="36"/>
        <v>390</v>
      </c>
      <c r="CX62" s="5" t="str">
        <f t="shared" ca="1" si="37"/>
        <v>VIGENTE</v>
      </c>
      <c r="CY62" s="3"/>
      <c r="CZ62" s="4">
        <v>45744</v>
      </c>
      <c r="DA62" s="4">
        <f>DATE(YEAR(CZ62)+2,MONTH(CZ62),DAY(CZ62)-1)</f>
        <v>46473</v>
      </c>
      <c r="DB62" s="8">
        <f t="shared" ca="1" si="38"/>
        <v>328</v>
      </c>
      <c r="DC62" s="5" t="str">
        <f t="shared" ca="1" si="39"/>
        <v>VIGENTE</v>
      </c>
      <c r="DD62" s="3"/>
      <c r="DE62" s="39">
        <v>45761</v>
      </c>
      <c r="DF62" s="4">
        <f>DATE(YEAR(DE62)+2,MONTH(DE62),DAY(DE62))</f>
        <v>46491</v>
      </c>
      <c r="DG62" s="8">
        <f t="shared" ca="1" si="40"/>
        <v>346</v>
      </c>
      <c r="DH62" s="5" t="str">
        <f t="shared" ca="1" si="41"/>
        <v>VIGENTE</v>
      </c>
      <c r="DI62" s="2"/>
      <c r="DJ62" s="39">
        <v>45734</v>
      </c>
      <c r="DK62" s="4">
        <f>DATE(YEAR(DJ62)+2,MONTH(DJ62),DAY(DJ62)-1)</f>
        <v>46463</v>
      </c>
      <c r="DL62" s="8">
        <f t="shared" ca="1" si="43"/>
        <v>318</v>
      </c>
      <c r="DM62" s="5" t="str">
        <f t="shared" ca="1" si="44"/>
        <v>VIGENTE</v>
      </c>
      <c r="DN62" s="3"/>
      <c r="DO62" s="4">
        <v>45857</v>
      </c>
      <c r="DP62" s="4">
        <f>DATE(YEAR(DO62)+2,MONTH(DO62),DAY(DO62))</f>
        <v>46587</v>
      </c>
      <c r="DQ62" s="8">
        <f t="shared" ca="1" si="46"/>
        <v>442</v>
      </c>
      <c r="DR62" s="5" t="str">
        <f t="shared" ca="1" si="47"/>
        <v>VIGENTE</v>
      </c>
      <c r="DS62" s="2"/>
      <c r="DT62" s="4">
        <v>45770</v>
      </c>
      <c r="DU62" s="4">
        <f>DATE(YEAR(DT62)+2,MONTH(DT62),DAY(DT62))</f>
        <v>46500</v>
      </c>
      <c r="DV62" s="8">
        <f t="shared" ca="1" si="48"/>
        <v>355</v>
      </c>
      <c r="DW62" s="5" t="str">
        <f t="shared" ca="1" si="49"/>
        <v>VIGENTE</v>
      </c>
      <c r="DX62" s="3"/>
      <c r="DY62" s="4">
        <v>45847</v>
      </c>
      <c r="DZ62" s="4">
        <f>DATE(YEAR(DY62)+2,MONTH(DY62),DAY(DY62))</f>
        <v>46577</v>
      </c>
      <c r="EA62" s="8">
        <f t="shared" ca="1" si="50"/>
        <v>432</v>
      </c>
      <c r="EB62" s="5" t="str">
        <f t="shared" ca="1" si="51"/>
        <v>VIGENTE</v>
      </c>
      <c r="EC62" s="3"/>
      <c r="ED62" s="39">
        <v>45787</v>
      </c>
      <c r="EE62" s="4">
        <f>DATE(YEAR(ED62)+2,MONTH(ED62),DAY(ED62))</f>
        <v>46517</v>
      </c>
      <c r="EF62" s="8">
        <f t="shared" ca="1" si="52"/>
        <v>372</v>
      </c>
      <c r="EG62" s="5" t="str">
        <f t="shared" ca="1" si="53"/>
        <v>VIGENTE</v>
      </c>
      <c r="EH62" s="3"/>
      <c r="EI62" s="4">
        <v>46123</v>
      </c>
      <c r="EJ62" s="4">
        <f t="shared" si="131"/>
        <v>46488</v>
      </c>
      <c r="EK62" s="8">
        <f t="shared" ca="1" si="54"/>
        <v>343</v>
      </c>
      <c r="EL62" s="5" t="str">
        <f t="shared" ca="1" si="55"/>
        <v>VIGENTE</v>
      </c>
      <c r="EM62" s="3"/>
      <c r="EN62" s="4">
        <v>45737</v>
      </c>
      <c r="EO62" s="4">
        <f t="shared" si="231"/>
        <v>46466</v>
      </c>
      <c r="EP62" s="8">
        <f t="shared" ca="1" si="56"/>
        <v>321</v>
      </c>
      <c r="EQ62" s="5" t="str">
        <f t="shared" ca="1" si="57"/>
        <v>VIGENTE</v>
      </c>
      <c r="ER62" s="3"/>
      <c r="ES62" s="39">
        <v>45796</v>
      </c>
      <c r="ET62" s="4">
        <f>DATE(YEAR(ES62)+2,MONTH(ES62),DAY(ES62))</f>
        <v>46526</v>
      </c>
      <c r="EU62" s="8">
        <f t="shared" ca="1" si="58"/>
        <v>381</v>
      </c>
      <c r="EV62" s="5" t="str">
        <f t="shared" ca="1" si="59"/>
        <v>VIGENTE</v>
      </c>
      <c r="EW62" s="3"/>
      <c r="EX62" s="4">
        <v>45794</v>
      </c>
      <c r="EY62" s="4">
        <f t="shared" si="234"/>
        <v>46524</v>
      </c>
      <c r="EZ62" s="8">
        <f t="shared" ca="1" si="60"/>
        <v>379</v>
      </c>
      <c r="FA62" s="5" t="str">
        <f t="shared" ca="1" si="61"/>
        <v>VIGENTE</v>
      </c>
      <c r="FB62" s="3"/>
      <c r="FC62" s="4">
        <v>45783</v>
      </c>
      <c r="FD62" s="4">
        <f t="shared" si="235"/>
        <v>46513</v>
      </c>
      <c r="FE62" s="8">
        <f t="shared" ca="1" si="62"/>
        <v>368</v>
      </c>
      <c r="FF62" s="5" t="str">
        <f t="shared" ca="1" si="63"/>
        <v>VIGENTE</v>
      </c>
      <c r="FG62" s="2"/>
      <c r="FH62" s="4">
        <v>45756</v>
      </c>
      <c r="FI62" s="4">
        <f t="shared" si="236"/>
        <v>46486</v>
      </c>
      <c r="FJ62" s="8">
        <f t="shared" ca="1" si="64"/>
        <v>341</v>
      </c>
      <c r="FK62" s="5" t="str">
        <f t="shared" ca="1" si="65"/>
        <v>VIGENTE</v>
      </c>
      <c r="FL62" s="3"/>
      <c r="FM62" s="39">
        <v>45850</v>
      </c>
      <c r="FN62" s="4">
        <f>DATE(YEAR(FM62)+2,MONTH(FM62),DAY(FM62))</f>
        <v>46580</v>
      </c>
      <c r="FO62" s="8">
        <f t="shared" ca="1" si="67"/>
        <v>435</v>
      </c>
      <c r="FP62" s="5" t="str">
        <f t="shared" ca="1" si="68"/>
        <v>VIGENTE</v>
      </c>
      <c r="FQ62" s="3"/>
      <c r="FR62" s="39">
        <v>45782</v>
      </c>
      <c r="FS62" s="4">
        <f>DATE(YEAR(FR62)+2,MONTH(FR62),DAY(FR62))</f>
        <v>46512</v>
      </c>
      <c r="FT62" s="8">
        <f t="shared" ca="1" si="69"/>
        <v>367</v>
      </c>
      <c r="FU62" s="5" t="str">
        <f t="shared" ca="1" si="70"/>
        <v>VIGENTE</v>
      </c>
      <c r="FV62" s="3"/>
      <c r="FW62" s="4">
        <v>45758</v>
      </c>
      <c r="FX62" s="4">
        <f>DATE(YEAR(FW62)+2,MONTH(FW62),DAY(FW62)-1)</f>
        <v>46487</v>
      </c>
      <c r="FY62" s="8">
        <f t="shared" ca="1" si="71"/>
        <v>342</v>
      </c>
      <c r="FZ62" s="5" t="str">
        <f t="shared" ca="1" si="72"/>
        <v>VIGENTE</v>
      </c>
      <c r="GA62" s="3"/>
      <c r="GB62" s="4">
        <v>45821</v>
      </c>
      <c r="GC62" s="4">
        <f>DATE(YEAR(GB62)+2,MONTH(GB62),DAY(GB62))</f>
        <v>46551</v>
      </c>
      <c r="GD62" s="8">
        <f t="shared" ca="1" si="73"/>
        <v>406</v>
      </c>
      <c r="GE62" s="5" t="str">
        <f t="shared" ca="1" si="74"/>
        <v>VIGENTE</v>
      </c>
      <c r="GF62" s="3"/>
      <c r="GG62" s="4">
        <v>45814</v>
      </c>
      <c r="GH62" s="4">
        <f>DATE(YEAR(GG62)+2,MONTH(GG62),DAY(GG62))</f>
        <v>46544</v>
      </c>
      <c r="GI62" s="8">
        <f t="shared" ca="1" si="75"/>
        <v>399</v>
      </c>
      <c r="GJ62" s="5" t="str">
        <f t="shared" ca="1" si="76"/>
        <v>VIGENTE</v>
      </c>
      <c r="GK62" s="3"/>
      <c r="GL62" s="4">
        <v>45764</v>
      </c>
      <c r="GM62" s="4">
        <f t="shared" ref="GM62:GM67" si="238">DATE(YEAR(GL62)+2,MONTH(GL62),DAY(GL62))</f>
        <v>46494</v>
      </c>
      <c r="GN62" s="8">
        <f t="shared" ca="1" si="77"/>
        <v>349</v>
      </c>
      <c r="GO62" s="5" t="str">
        <f t="shared" ca="1" si="78"/>
        <v>VIGENTE</v>
      </c>
      <c r="GP62" s="4"/>
      <c r="GQ62" s="4">
        <v>45181</v>
      </c>
      <c r="GR62" s="4">
        <f t="shared" si="79"/>
        <v>47008</v>
      </c>
      <c r="GS62" s="8">
        <f t="shared" ca="1" si="176"/>
        <v>863</v>
      </c>
      <c r="GT62" s="5" t="str">
        <f t="shared" ca="1" si="81"/>
        <v>VIGENTE</v>
      </c>
      <c r="GU62" s="3"/>
      <c r="GV62" s="4">
        <v>45138</v>
      </c>
      <c r="GW62" s="4">
        <f t="shared" si="82"/>
        <v>46965</v>
      </c>
      <c r="GX62" s="8">
        <f t="shared" ca="1" si="83"/>
        <v>820</v>
      </c>
      <c r="GY62" s="5" t="str">
        <f t="shared" ca="1" si="84"/>
        <v>VIGENTE</v>
      </c>
      <c r="GZ62" s="2"/>
      <c r="HA62" s="4">
        <v>45182</v>
      </c>
      <c r="HB62" s="4">
        <f t="shared" si="85"/>
        <v>47009</v>
      </c>
      <c r="HC62" s="8">
        <f t="shared" ca="1" si="86"/>
        <v>864</v>
      </c>
      <c r="HD62" s="5" t="str">
        <f t="shared" ca="1" si="87"/>
        <v>VIGENTE</v>
      </c>
      <c r="HE62" s="6"/>
      <c r="HF62" s="4">
        <v>45121</v>
      </c>
      <c r="HG62" s="4">
        <f>DATE(YEAR(HF62)+5,MONTH(HF62),DAY(HF62))</f>
        <v>46948</v>
      </c>
      <c r="HH62" s="8">
        <f ca="1">HG62-TODAY()</f>
        <v>803</v>
      </c>
      <c r="HI62" s="5" t="str">
        <f t="shared" ca="1" si="224"/>
        <v>VIGENTE</v>
      </c>
      <c r="HJ62" s="2"/>
      <c r="HK62" s="6"/>
      <c r="HL62" s="4"/>
      <c r="HM62" s="8"/>
      <c r="HN62" s="5" t="str">
        <f t="shared" si="228"/>
        <v>NO APLICA</v>
      </c>
      <c r="HO62" s="2"/>
      <c r="HP62" s="2"/>
      <c r="HQ62" s="4"/>
      <c r="HR62" s="2"/>
      <c r="HS62" s="5" t="str">
        <f t="shared" si="92"/>
        <v>NO APLICA</v>
      </c>
      <c r="HT62" s="2"/>
      <c r="HU62" s="6"/>
      <c r="HV62" s="4"/>
      <c r="HW62" s="8"/>
      <c r="HX62" s="5" t="str">
        <f t="shared" si="93"/>
        <v>NO APLICA</v>
      </c>
      <c r="HY62" s="2"/>
      <c r="HZ62" s="4">
        <v>45282</v>
      </c>
      <c r="IA62" s="4">
        <f>DATE(YEAR(HZ62)+5,MONTH(HZ62),DAY(HZ62))</f>
        <v>47109</v>
      </c>
      <c r="IB62" s="8">
        <f ca="1">IA62-TODAY()</f>
        <v>964</v>
      </c>
      <c r="IC62" s="5" t="str">
        <f t="shared" ca="1" si="94"/>
        <v>VIGENTE</v>
      </c>
      <c r="ID62" s="2"/>
      <c r="IE62" s="4">
        <v>45264</v>
      </c>
      <c r="IF62" s="4">
        <f>DATE(YEAR(IE62)+5,MONTH(IE62),DAY(IE62))</f>
        <v>47091</v>
      </c>
      <c r="IG62" s="8">
        <f ca="1">IF62-TODAY()</f>
        <v>946</v>
      </c>
      <c r="IH62" s="5" t="str">
        <f t="shared" ca="1" si="95"/>
        <v>VIGENTE</v>
      </c>
      <c r="II62" s="6"/>
      <c r="IJ62" s="6"/>
      <c r="IK62" s="4"/>
      <c r="IL62" s="8"/>
      <c r="IM62" s="5" t="str">
        <f t="shared" si="96"/>
        <v>NO APLICA</v>
      </c>
      <c r="IN62" s="2"/>
      <c r="IO62" s="4">
        <v>45354</v>
      </c>
      <c r="IP62" s="4">
        <f>DATE(YEAR(IO62)+5,MONTH(IO62),DAY(IO62))</f>
        <v>47180</v>
      </c>
      <c r="IQ62" s="8">
        <f ca="1">IP62-TODAY()</f>
        <v>1035</v>
      </c>
      <c r="IR62" s="5" t="str">
        <f t="shared" ca="1" si="97"/>
        <v>VIGENTE</v>
      </c>
      <c r="IS62" s="2"/>
      <c r="IT62" s="4">
        <v>45350</v>
      </c>
      <c r="IU62" s="4">
        <f>DATE(YEAR(IT62)+5,MONTH(IT62),DAY(IT62))</f>
        <v>47177</v>
      </c>
      <c r="IV62" s="8">
        <f ca="1">IU62-TODAY()</f>
        <v>1032</v>
      </c>
      <c r="IW62" s="5" t="str">
        <f t="shared" ca="1" si="98"/>
        <v>VIGENTE</v>
      </c>
      <c r="IX62" s="2"/>
      <c r="IY62" s="4">
        <v>45261</v>
      </c>
      <c r="IZ62" s="4">
        <f>DATE(YEAR(IY62)+5,MONTH(IY62),DAY(IY62))</f>
        <v>47088</v>
      </c>
      <c r="JA62" s="8">
        <f ca="1">IZ62-TODAY()</f>
        <v>943</v>
      </c>
      <c r="JB62" s="5" t="str">
        <f t="shared" ca="1" si="99"/>
        <v>VIGENTE</v>
      </c>
      <c r="JC62" s="3" t="s">
        <v>780</v>
      </c>
      <c r="JD62" s="3"/>
      <c r="JE62" s="4"/>
      <c r="JF62" s="8"/>
      <c r="JG62" s="5"/>
      <c r="JH62" s="3" t="s">
        <v>780</v>
      </c>
      <c r="JI62" s="6"/>
      <c r="JJ62" s="6"/>
      <c r="JK62" s="6"/>
      <c r="JL62" s="5"/>
      <c r="JM62" s="6" t="s">
        <v>780</v>
      </c>
      <c r="JN62" s="6"/>
      <c r="JO62" s="6"/>
      <c r="JP62" s="6"/>
      <c r="JQ62" s="5"/>
      <c r="JR62" s="6" t="s">
        <v>780</v>
      </c>
      <c r="JS62" s="6"/>
      <c r="JT62" s="6"/>
      <c r="JU62" s="6"/>
      <c r="JV62" s="5"/>
      <c r="JW62" s="6" t="s">
        <v>780</v>
      </c>
      <c r="JX62" s="5"/>
      <c r="JY62" s="5"/>
      <c r="JZ62" s="5"/>
      <c r="KA62" s="5"/>
      <c r="KB62" s="5"/>
      <c r="KC62" s="2"/>
      <c r="KD62" s="4"/>
      <c r="KE62" s="8"/>
      <c r="KF62" s="5" t="str">
        <f t="shared" si="135"/>
        <v>NO APLICA</v>
      </c>
      <c r="KG62" s="5"/>
      <c r="KH62" s="2"/>
      <c r="KI62" s="4"/>
      <c r="KJ62" s="8"/>
      <c r="KK62" s="5" t="str">
        <f t="shared" si="136"/>
        <v>NO APLICA</v>
      </c>
      <c r="KL62" s="5"/>
      <c r="KM62" s="3">
        <v>45364</v>
      </c>
      <c r="KN62" s="4">
        <f>DATE(YEAR(KM62)+5,MONTH(KM62),DAY(KM62))</f>
        <v>47190</v>
      </c>
      <c r="KO62" s="8">
        <f ca="1">KN62-TODAY()</f>
        <v>1045</v>
      </c>
      <c r="KP62" s="5" t="str">
        <f t="shared" ca="1" si="100"/>
        <v>VIGENTE</v>
      </c>
      <c r="KQ62" s="5"/>
      <c r="KR62" s="2"/>
      <c r="KS62" s="4"/>
      <c r="KT62" s="8"/>
      <c r="KU62" s="5" t="str">
        <f t="shared" si="137"/>
        <v>NO APLICA</v>
      </c>
      <c r="KV62" s="2"/>
      <c r="KW62" s="6"/>
      <c r="KX62" s="4"/>
      <c r="KY62" s="8"/>
      <c r="KZ62" s="5" t="str">
        <f t="shared" si="151"/>
        <v>NO APLICA</v>
      </c>
      <c r="LA62" s="5"/>
      <c r="LB62" s="6"/>
      <c r="LC62" s="4"/>
      <c r="LD62" s="8"/>
      <c r="LE62" s="5" t="str">
        <f t="shared" si="138"/>
        <v>NO APLICA</v>
      </c>
      <c r="LF62" s="6"/>
      <c r="LG62" s="6"/>
      <c r="LH62" s="4"/>
      <c r="LI62" s="8"/>
      <c r="LJ62" s="5" t="str">
        <f t="shared" si="101"/>
        <v>NO APLICA</v>
      </c>
      <c r="LK62" s="5"/>
      <c r="LL62" s="5"/>
      <c r="LM62" s="4"/>
      <c r="LN62" s="8"/>
      <c r="LO62" s="5" t="str">
        <f t="shared" si="152"/>
        <v>NO APLICA</v>
      </c>
      <c r="LP62" s="2"/>
      <c r="LQ62" s="6"/>
      <c r="LR62" s="4"/>
      <c r="LS62" s="8"/>
      <c r="LT62" s="5" t="str">
        <f t="shared" si="139"/>
        <v>NO APLICA</v>
      </c>
      <c r="LU62" s="6"/>
      <c r="LV62" s="6"/>
      <c r="LW62" s="4"/>
      <c r="LX62" s="8"/>
      <c r="LY62" s="5" t="str">
        <f t="shared" si="140"/>
        <v>NO APLICA</v>
      </c>
      <c r="LZ62" s="6"/>
      <c r="MA62" s="6"/>
      <c r="MB62" s="4"/>
      <c r="MC62" s="8"/>
      <c r="MD62" s="5" t="str">
        <f t="shared" si="141"/>
        <v>NO APLICA</v>
      </c>
      <c r="ME62" s="2"/>
      <c r="MF62" s="2"/>
      <c r="MG62" s="4"/>
      <c r="MH62" s="8"/>
      <c r="MI62" s="5" t="str">
        <f t="shared" si="102"/>
        <v>NO APLICA</v>
      </c>
      <c r="MJ62" s="2"/>
      <c r="MK62" s="2"/>
      <c r="ML62" s="4"/>
      <c r="MM62" s="8"/>
      <c r="MN62" s="5" t="str">
        <f t="shared" si="103"/>
        <v>NO APLICA</v>
      </c>
      <c r="MO62" s="5"/>
      <c r="MP62" s="2"/>
      <c r="MQ62" s="4"/>
      <c r="MR62" s="8"/>
      <c r="MS62" s="5" t="str">
        <f t="shared" si="104"/>
        <v>NO APLICA</v>
      </c>
      <c r="MT62" s="5"/>
      <c r="MU62" s="2"/>
      <c r="MV62" s="4"/>
      <c r="MW62" s="2"/>
      <c r="MX62" s="5" t="str">
        <f t="shared" si="105"/>
        <v>NO APLICA</v>
      </c>
      <c r="MY62" s="2"/>
      <c r="MZ62" s="6"/>
      <c r="NA62" s="4"/>
      <c r="NB62" s="8"/>
      <c r="NC62" s="5" t="str">
        <f t="shared" si="106"/>
        <v>NO APLICA</v>
      </c>
      <c r="ND62" s="2"/>
      <c r="NE62" s="6"/>
      <c r="NF62" s="4"/>
      <c r="NG62" s="8"/>
      <c r="NH62" s="5" t="str">
        <f t="shared" si="107"/>
        <v>NO APLICA</v>
      </c>
      <c r="NI62" s="2"/>
      <c r="NJ62" s="6"/>
      <c r="NK62" s="4"/>
      <c r="NL62" s="8"/>
      <c r="NM62" s="5" t="str">
        <f t="shared" si="108"/>
        <v>NO APLICA</v>
      </c>
      <c r="NN62" s="2"/>
      <c r="NO62" s="2"/>
      <c r="NP62" s="4"/>
      <c r="NQ62" s="8"/>
      <c r="NR62" s="5" t="str">
        <f t="shared" si="109"/>
        <v>NO APLICA</v>
      </c>
      <c r="NS62" s="2"/>
      <c r="NT62" s="2"/>
      <c r="NU62" s="4"/>
      <c r="NV62" s="2"/>
      <c r="NW62" s="5" t="str">
        <f t="shared" si="110"/>
        <v>NO APLICA</v>
      </c>
      <c r="NX62" s="6"/>
      <c r="NY62" s="6"/>
      <c r="NZ62" s="4"/>
      <c r="OA62" s="8"/>
      <c r="OB62" s="5" t="str">
        <f t="shared" si="111"/>
        <v>NO APLICA</v>
      </c>
      <c r="OC62" s="6"/>
      <c r="OD62" s="6"/>
      <c r="OE62" s="6"/>
      <c r="OF62" s="6"/>
      <c r="OG62" s="5" t="str">
        <f t="shared" si="112"/>
        <v>NO APLICA</v>
      </c>
      <c r="OH62" s="2"/>
      <c r="OI62" s="2"/>
      <c r="OJ62" s="4"/>
      <c r="OK62" s="8"/>
      <c r="OL62" s="5" t="str">
        <f t="shared" si="113"/>
        <v>NO APLICA</v>
      </c>
      <c r="OM62" s="6"/>
      <c r="ON62" s="6"/>
      <c r="OO62" s="6"/>
      <c r="OP62" s="6"/>
      <c r="OQ62" s="5" t="str">
        <f t="shared" si="114"/>
        <v>NO APLICA</v>
      </c>
      <c r="OR62" s="6"/>
      <c r="OS62" s="6"/>
      <c r="OT62" s="6"/>
      <c r="OU62" s="6"/>
      <c r="OV62" s="5" t="str">
        <f t="shared" si="115"/>
        <v>NO APLICA</v>
      </c>
      <c r="OW62" s="6"/>
      <c r="OX62" s="6"/>
      <c r="OY62" s="6"/>
      <c r="OZ62" s="6"/>
      <c r="PA62" s="5" t="str">
        <f t="shared" si="116"/>
        <v>NO APLICA</v>
      </c>
      <c r="PB62" s="6"/>
      <c r="PC62" s="6"/>
      <c r="PD62" s="6"/>
      <c r="PE62" s="6"/>
      <c r="PF62" s="5" t="str">
        <f t="shared" si="117"/>
        <v>NO APLICA</v>
      </c>
      <c r="PG62" s="6"/>
      <c r="PH62" s="6"/>
      <c r="PI62" s="6"/>
      <c r="PJ62" s="6"/>
      <c r="PK62" s="5" t="str">
        <f t="shared" si="118"/>
        <v>NO APLICA</v>
      </c>
      <c r="PL62" s="5"/>
      <c r="PM62" s="6"/>
      <c r="PN62" s="4"/>
      <c r="PO62" s="8"/>
      <c r="PP62" s="5" t="str">
        <f t="shared" si="119"/>
        <v>NO APLICA</v>
      </c>
      <c r="PQ62" s="6"/>
      <c r="PR62" s="6"/>
      <c r="PS62" s="6"/>
      <c r="PT62" s="6"/>
      <c r="PU62" s="5" t="str">
        <f t="shared" si="120"/>
        <v>NO APLICA</v>
      </c>
      <c r="PV62" s="5"/>
      <c r="PW62" s="6"/>
      <c r="PX62" s="6"/>
      <c r="PY62" s="6"/>
      <c r="PZ62" s="5" t="str">
        <f t="shared" si="121"/>
        <v>NO APLICA</v>
      </c>
    </row>
    <row r="63" spans="1:442" ht="15.6" hidden="1" thickTop="1" thickBot="1" x14ac:dyDescent="0.35">
      <c r="A63" s="26">
        <v>60</v>
      </c>
      <c r="B63" s="27">
        <v>920</v>
      </c>
      <c r="C63" s="28" t="s">
        <v>247</v>
      </c>
      <c r="D63" s="29" t="s">
        <v>68</v>
      </c>
      <c r="E63" s="30" t="s">
        <v>93</v>
      </c>
      <c r="F63" s="5"/>
      <c r="G63" s="6"/>
      <c r="H63" s="4"/>
      <c r="I63" s="8"/>
      <c r="J63" s="5" t="str">
        <f t="shared" si="0"/>
        <v>NO APLICA</v>
      </c>
      <c r="K63" s="5"/>
      <c r="L63" s="6"/>
      <c r="M63" s="6"/>
      <c r="N63" s="8"/>
      <c r="O63" s="5" t="str">
        <f t="shared" si="1"/>
        <v>NO APLICA</v>
      </c>
      <c r="P63" s="6"/>
      <c r="Q63" s="6"/>
      <c r="R63" s="4"/>
      <c r="S63" s="8"/>
      <c r="T63" s="5" t="str">
        <f t="shared" si="122"/>
        <v>NO APLICA</v>
      </c>
      <c r="U63" s="5"/>
      <c r="V63" s="2" t="s">
        <v>248</v>
      </c>
      <c r="W63" s="4">
        <v>44838</v>
      </c>
      <c r="X63" s="4">
        <f t="shared" si="2"/>
        <v>46664</v>
      </c>
      <c r="Y63" s="8">
        <f t="shared" ca="1" si="3"/>
        <v>519</v>
      </c>
      <c r="Z63" s="5" t="str">
        <f t="shared" ca="1" si="4"/>
        <v>VIGENTE</v>
      </c>
      <c r="AA63" s="5"/>
      <c r="AB63" s="2" t="s">
        <v>249</v>
      </c>
      <c r="AC63" s="4">
        <v>44826</v>
      </c>
      <c r="AD63" s="4">
        <f>DATE(YEAR(AC63)+5,MONTH(AC63),DAY(AC63))</f>
        <v>46652</v>
      </c>
      <c r="AE63" s="8">
        <f ca="1">AD63-TODAY()</f>
        <v>507</v>
      </c>
      <c r="AF63" s="5" t="str">
        <f t="shared" ca="1" si="7"/>
        <v>VIGENTE</v>
      </c>
      <c r="AG63" s="3"/>
      <c r="AH63" s="3">
        <v>45589</v>
      </c>
      <c r="AI63" s="4">
        <f>DATE(YEAR(AH63)+2,MONTH(AH63),DAY(AH63)-1)</f>
        <v>46318</v>
      </c>
      <c r="AJ63" s="8">
        <f t="shared" ca="1" si="8"/>
        <v>173</v>
      </c>
      <c r="AK63" s="5" t="str">
        <f t="shared" ca="1" si="219"/>
        <v>VIGENTE</v>
      </c>
      <c r="AL63" s="3"/>
      <c r="AM63" s="4">
        <v>45903</v>
      </c>
      <c r="AN63" s="4">
        <f>DATE(YEAR(AM63)+2,MONTH(AM63),DAY(AM63))</f>
        <v>46633</v>
      </c>
      <c r="AO63" s="8">
        <f t="shared" ca="1" si="10"/>
        <v>488</v>
      </c>
      <c r="AP63" s="5" t="str">
        <f t="shared" ca="1" si="11"/>
        <v>VIGENTE</v>
      </c>
      <c r="AQ63" s="3"/>
      <c r="AR63" s="4">
        <v>45971</v>
      </c>
      <c r="AS63" s="4">
        <f t="shared" si="237"/>
        <v>46701</v>
      </c>
      <c r="AT63" s="8">
        <f t="shared" ca="1" si="12"/>
        <v>556</v>
      </c>
      <c r="AU63" s="5" t="str">
        <f t="shared" ca="1" si="13"/>
        <v>VIGENTE</v>
      </c>
      <c r="AV63" s="3"/>
      <c r="AW63" s="4">
        <v>45952</v>
      </c>
      <c r="AX63" s="4">
        <f t="shared" si="232"/>
        <v>46682</v>
      </c>
      <c r="AY63" s="8">
        <f t="shared" ca="1" si="15"/>
        <v>537</v>
      </c>
      <c r="AZ63" s="5" t="str">
        <f t="shared" ca="1" si="16"/>
        <v>VIGENTE</v>
      </c>
      <c r="BA63" s="3"/>
      <c r="BB63" s="4">
        <v>46071</v>
      </c>
      <c r="BC63" s="4">
        <f>DATE(YEAR(BB63)+2,MONTH(BB63),DAY(BB63))</f>
        <v>46801</v>
      </c>
      <c r="BD63" s="8">
        <f t="shared" ca="1" si="17"/>
        <v>656</v>
      </c>
      <c r="BE63" s="5" t="str">
        <f t="shared" ca="1" si="18"/>
        <v>VIGENTE</v>
      </c>
      <c r="BF63" s="3"/>
      <c r="BG63" s="4">
        <v>46027</v>
      </c>
      <c r="BH63" s="4">
        <f t="shared" si="233"/>
        <v>46757</v>
      </c>
      <c r="BI63" s="8">
        <f t="shared" ca="1" si="19"/>
        <v>612</v>
      </c>
      <c r="BJ63" s="5" t="str">
        <f t="shared" ca="1" si="20"/>
        <v>VIGENTE</v>
      </c>
      <c r="BK63" s="3"/>
      <c r="BL63" s="4">
        <v>46035</v>
      </c>
      <c r="BM63" s="4">
        <f>DATE(YEAR(BL63)+2,MONTH(BL63),DAY(BL63))</f>
        <v>46765</v>
      </c>
      <c r="BN63" s="8">
        <f t="shared" ca="1" si="21"/>
        <v>620</v>
      </c>
      <c r="BO63" s="5" t="str">
        <f t="shared" ca="1" si="22"/>
        <v>VIGENTE</v>
      </c>
      <c r="BP63" s="3"/>
      <c r="BQ63" s="39">
        <v>46069</v>
      </c>
      <c r="BR63" s="4">
        <f>DATE(YEAR(BQ63)+2,MONTH(BQ63),DAY(BQ63))</f>
        <v>46799</v>
      </c>
      <c r="BS63" s="8">
        <f t="shared" ca="1" si="23"/>
        <v>654</v>
      </c>
      <c r="BT63" s="5" t="str">
        <f t="shared" ca="1" si="24"/>
        <v>VIGENTE</v>
      </c>
      <c r="BU63" s="3"/>
      <c r="BV63" s="4">
        <v>46031</v>
      </c>
      <c r="BW63" s="4">
        <f>DATE(YEAR(BV63)+2,MONTH(BV63),DAY(BV63))</f>
        <v>46761</v>
      </c>
      <c r="BX63" s="8">
        <f t="shared" ca="1" si="25"/>
        <v>616</v>
      </c>
      <c r="BY63" s="5" t="str">
        <f t="shared" ca="1" si="26"/>
        <v>VIGENTE</v>
      </c>
      <c r="BZ63" s="3"/>
      <c r="CA63" s="4">
        <v>45944</v>
      </c>
      <c r="CB63" s="4">
        <f t="shared" ref="CB63:CB71" si="239">DATE(YEAR(CA63)+2,MONTH(CA63),DAY(CA63))</f>
        <v>46674</v>
      </c>
      <c r="CC63" s="8">
        <f t="shared" ca="1" si="27"/>
        <v>529</v>
      </c>
      <c r="CD63" s="5" t="str">
        <f t="shared" ca="1" si="28"/>
        <v>VIGENTE</v>
      </c>
      <c r="CE63" s="6"/>
      <c r="CF63" s="4">
        <v>45211</v>
      </c>
      <c r="CG63" s="4">
        <f t="shared" si="29"/>
        <v>46672</v>
      </c>
      <c r="CH63" s="8">
        <f t="shared" ca="1" si="30"/>
        <v>527</v>
      </c>
      <c r="CI63" s="5" t="str">
        <f t="shared" ca="1" si="31"/>
        <v>VIGENTE</v>
      </c>
      <c r="CJ63" s="4"/>
      <c r="CK63" s="4">
        <v>45929</v>
      </c>
      <c r="CL63" s="4">
        <f>DATE(YEAR(CK63)+2,MONTH(CK63),DAY(CK63))</f>
        <v>46659</v>
      </c>
      <c r="CM63" s="8">
        <f t="shared" ca="1" si="32"/>
        <v>514</v>
      </c>
      <c r="CN63" s="5" t="str">
        <f t="shared" ca="1" si="33"/>
        <v>VIGENTE</v>
      </c>
      <c r="CO63" s="3"/>
      <c r="CP63" s="39">
        <v>45888</v>
      </c>
      <c r="CQ63" s="4">
        <f>DATE(YEAR(CP63)+2,MONTH(CP63),DAY(CP63))</f>
        <v>46618</v>
      </c>
      <c r="CR63" s="8">
        <f t="shared" ca="1" si="34"/>
        <v>473</v>
      </c>
      <c r="CS63" s="5" t="str">
        <f t="shared" ca="1" si="35"/>
        <v>VIGENTE</v>
      </c>
      <c r="CT63" s="3"/>
      <c r="CU63" s="4">
        <v>45631</v>
      </c>
      <c r="CV63" s="4">
        <f>DATE(YEAR(CU63)+2,MONTH(CU63),DAY(CU63)-1)</f>
        <v>46360</v>
      </c>
      <c r="CW63" s="8">
        <f t="shared" ca="1" si="36"/>
        <v>215</v>
      </c>
      <c r="CX63" s="5" t="str">
        <f t="shared" ca="1" si="37"/>
        <v>VIGENTE</v>
      </c>
      <c r="CY63" s="3"/>
      <c r="CZ63" s="4">
        <v>45665</v>
      </c>
      <c r="DA63" s="4">
        <f>DATE(YEAR(CZ63)+2,MONTH(CZ63),DAY(CZ63)-1)</f>
        <v>46394</v>
      </c>
      <c r="DB63" s="8">
        <f t="shared" ca="1" si="38"/>
        <v>249</v>
      </c>
      <c r="DC63" s="5" t="str">
        <f t="shared" ca="1" si="39"/>
        <v>VIGENTE</v>
      </c>
      <c r="DD63" s="3"/>
      <c r="DE63" s="39">
        <v>45689</v>
      </c>
      <c r="DF63" s="4">
        <f>DATE(YEAR(DE63)+2,MONTH(DE63),DAY(DE63)-1)</f>
        <v>46418</v>
      </c>
      <c r="DG63" s="8">
        <f t="shared" ca="1" si="40"/>
        <v>273</v>
      </c>
      <c r="DH63" s="5" t="str">
        <f t="shared" ca="1" si="41"/>
        <v>VIGENTE</v>
      </c>
      <c r="DI63" s="3"/>
      <c r="DJ63" s="39">
        <v>45955</v>
      </c>
      <c r="DK63" s="4">
        <f>DATE(YEAR(DJ63)+2,MONTH(DJ63),DAY(DJ63))</f>
        <v>46685</v>
      </c>
      <c r="DL63" s="8">
        <f t="shared" ca="1" si="43"/>
        <v>540</v>
      </c>
      <c r="DM63" s="5" t="str">
        <f t="shared" ca="1" si="44"/>
        <v>VIGENTE</v>
      </c>
      <c r="DN63" s="3"/>
      <c r="DO63" s="4">
        <v>46046</v>
      </c>
      <c r="DP63" s="4">
        <f>DATE(YEAR(DO63)+2,MONTH(DO63),DAY(DO63))</f>
        <v>46776</v>
      </c>
      <c r="DQ63" s="8">
        <f t="shared" ca="1" si="46"/>
        <v>631</v>
      </c>
      <c r="DR63" s="5" t="str">
        <f t="shared" ca="1" si="47"/>
        <v>VIGENTE</v>
      </c>
      <c r="DS63" s="3"/>
      <c r="DT63" s="4">
        <v>46053</v>
      </c>
      <c r="DU63" s="4">
        <f>DATE(YEAR(DT63)+2,MONTH(DT63),DAY(DT63))</f>
        <v>46783</v>
      </c>
      <c r="DV63" s="8">
        <f t="shared" ca="1" si="48"/>
        <v>638</v>
      </c>
      <c r="DW63" s="5" t="str">
        <f t="shared" ca="1" si="49"/>
        <v>VIGENTE</v>
      </c>
      <c r="DX63" s="3"/>
      <c r="DY63" s="4">
        <v>45866</v>
      </c>
      <c r="DZ63" s="4">
        <f>DATE(YEAR(DY63)+2,MONTH(DY63),DAY(DY63))</f>
        <v>46596</v>
      </c>
      <c r="EA63" s="8">
        <f t="shared" ca="1" si="50"/>
        <v>451</v>
      </c>
      <c r="EB63" s="5" t="str">
        <f t="shared" ca="1" si="51"/>
        <v>VIGENTE</v>
      </c>
      <c r="EC63" s="3"/>
      <c r="ED63" s="39">
        <v>45913</v>
      </c>
      <c r="EE63" s="4">
        <f>DATE(YEAR(ED63)+2,MONTH(ED63),DAY(ED63))</f>
        <v>46643</v>
      </c>
      <c r="EF63" s="8">
        <f t="shared" ca="1" si="52"/>
        <v>498</v>
      </c>
      <c r="EG63" s="5" t="str">
        <f t="shared" ca="1" si="53"/>
        <v>VIGENTE</v>
      </c>
      <c r="EH63" s="3"/>
      <c r="EI63" s="3">
        <v>46085</v>
      </c>
      <c r="EJ63" s="4">
        <f t="shared" si="131"/>
        <v>46450</v>
      </c>
      <c r="EK63" s="8">
        <f t="shared" ca="1" si="54"/>
        <v>305</v>
      </c>
      <c r="EL63" s="5" t="str">
        <f t="shared" ca="1" si="55"/>
        <v>VIGENTE</v>
      </c>
      <c r="EM63" s="3"/>
      <c r="EN63" s="4">
        <v>45940</v>
      </c>
      <c r="EO63" s="4">
        <f>DATE(YEAR(EN63)+2,MONTH(EN63),DAY(EN63))</f>
        <v>46670</v>
      </c>
      <c r="EP63" s="8">
        <f t="shared" ca="1" si="56"/>
        <v>525</v>
      </c>
      <c r="EQ63" s="5" t="str">
        <f t="shared" ca="1" si="57"/>
        <v>VIGENTE</v>
      </c>
      <c r="ER63" s="3"/>
      <c r="ES63" s="39">
        <v>45999</v>
      </c>
      <c r="ET63" s="4">
        <f>DATE(YEAR(ES63)+2,MONTH(ES63),DAY(ES63))</f>
        <v>46729</v>
      </c>
      <c r="EU63" s="8">
        <f t="shared" ca="1" si="58"/>
        <v>584</v>
      </c>
      <c r="EV63" s="5" t="str">
        <f t="shared" ca="1" si="59"/>
        <v>VIGENTE</v>
      </c>
      <c r="EW63" s="3"/>
      <c r="EX63" s="4">
        <v>45953</v>
      </c>
      <c r="EY63" s="4">
        <f t="shared" si="234"/>
        <v>46683</v>
      </c>
      <c r="EZ63" s="8">
        <f t="shared" ca="1" si="60"/>
        <v>538</v>
      </c>
      <c r="FA63" s="5" t="str">
        <f t="shared" ca="1" si="61"/>
        <v>VIGENTE</v>
      </c>
      <c r="FB63" s="3"/>
      <c r="FC63" s="4">
        <v>45951</v>
      </c>
      <c r="FD63" s="4">
        <f t="shared" si="235"/>
        <v>46681</v>
      </c>
      <c r="FE63" s="8">
        <f t="shared" ca="1" si="62"/>
        <v>536</v>
      </c>
      <c r="FF63" s="5" t="str">
        <f t="shared" ca="1" si="63"/>
        <v>VIGENTE</v>
      </c>
      <c r="FG63" s="3"/>
      <c r="FH63" s="4">
        <v>45969</v>
      </c>
      <c r="FI63" s="4">
        <f t="shared" si="236"/>
        <v>46699</v>
      </c>
      <c r="FJ63" s="8">
        <f t="shared" ca="1" si="64"/>
        <v>554</v>
      </c>
      <c r="FK63" s="5" t="str">
        <f t="shared" ca="1" si="65"/>
        <v>VIGENTE</v>
      </c>
      <c r="FL63" s="3"/>
      <c r="FM63" s="39">
        <v>45933</v>
      </c>
      <c r="FN63" s="4">
        <f>DATE(YEAR(FM63)+2,MONTH(FM63),DAY(FM63))</f>
        <v>46663</v>
      </c>
      <c r="FO63" s="8">
        <f t="shared" ca="1" si="67"/>
        <v>518</v>
      </c>
      <c r="FP63" s="5" t="str">
        <f t="shared" ca="1" si="68"/>
        <v>VIGENTE</v>
      </c>
      <c r="FQ63" s="3"/>
      <c r="FR63" s="39">
        <v>45957</v>
      </c>
      <c r="FS63" s="4">
        <f>DATE(YEAR(FR63)+2,MONTH(FR63),DAY(FR63))</f>
        <v>46687</v>
      </c>
      <c r="FT63" s="8">
        <f t="shared" ca="1" si="69"/>
        <v>542</v>
      </c>
      <c r="FU63" s="5" t="str">
        <f t="shared" ca="1" si="70"/>
        <v>VIGENTE</v>
      </c>
      <c r="FV63" s="3"/>
      <c r="FW63" s="4">
        <v>45993</v>
      </c>
      <c r="FX63" s="4">
        <f>DATE(YEAR(FW63)+2,MONTH(FW63),DAY(FW63))</f>
        <v>46723</v>
      </c>
      <c r="FY63" s="8">
        <f t="shared" ca="1" si="71"/>
        <v>578</v>
      </c>
      <c r="FZ63" s="5" t="str">
        <f t="shared" ca="1" si="72"/>
        <v>VIGENTE</v>
      </c>
      <c r="GA63" s="3"/>
      <c r="GB63" s="4">
        <v>46030</v>
      </c>
      <c r="GC63" s="4">
        <f>DATE(YEAR(GB63)+2,MONTH(GB63),DAY(GB63))</f>
        <v>46760</v>
      </c>
      <c r="GD63" s="8">
        <f t="shared" ca="1" si="73"/>
        <v>615</v>
      </c>
      <c r="GE63" s="5" t="str">
        <f t="shared" ca="1" si="74"/>
        <v>VIGENTE</v>
      </c>
      <c r="GF63" s="3"/>
      <c r="GG63" s="4">
        <v>45912</v>
      </c>
      <c r="GH63" s="4">
        <f>DATE(YEAR(GG63)+2,MONTH(GG63),DAY(GG63))</f>
        <v>46642</v>
      </c>
      <c r="GI63" s="8">
        <f t="shared" ca="1" si="75"/>
        <v>497</v>
      </c>
      <c r="GJ63" s="5" t="str">
        <f t="shared" ca="1" si="76"/>
        <v>VIGENTE</v>
      </c>
      <c r="GK63" s="3"/>
      <c r="GL63" s="4">
        <v>45923</v>
      </c>
      <c r="GM63" s="4">
        <f t="shared" si="238"/>
        <v>46653</v>
      </c>
      <c r="GN63" s="8">
        <f t="shared" ca="1" si="77"/>
        <v>508</v>
      </c>
      <c r="GO63" s="5" t="str">
        <f t="shared" ca="1" si="78"/>
        <v>VIGENTE</v>
      </c>
      <c r="GP63" s="4"/>
      <c r="GQ63" s="4">
        <v>45224</v>
      </c>
      <c r="GR63" s="4">
        <f t="shared" si="79"/>
        <v>47051</v>
      </c>
      <c r="GS63" s="8">
        <f t="shared" ca="1" si="176"/>
        <v>906</v>
      </c>
      <c r="GT63" s="5" t="str">
        <f t="shared" ca="1" si="81"/>
        <v>VIGENTE</v>
      </c>
      <c r="GU63" s="3"/>
      <c r="GV63" s="4">
        <v>45245</v>
      </c>
      <c r="GW63" s="4">
        <f t="shared" si="82"/>
        <v>47072</v>
      </c>
      <c r="GX63" s="8">
        <f t="shared" ca="1" si="83"/>
        <v>927</v>
      </c>
      <c r="GY63" s="5" t="str">
        <f t="shared" ca="1" si="84"/>
        <v>VIGENTE</v>
      </c>
      <c r="GZ63" s="3"/>
      <c r="HA63" s="4">
        <v>45268</v>
      </c>
      <c r="HB63" s="4">
        <f t="shared" si="85"/>
        <v>47095</v>
      </c>
      <c r="HC63" s="8">
        <f t="shared" ca="1" si="86"/>
        <v>950</v>
      </c>
      <c r="HD63" s="5" t="str">
        <f t="shared" ca="1" si="87"/>
        <v>VIGENTE</v>
      </c>
      <c r="HE63" s="6"/>
      <c r="HF63" s="4">
        <v>44865</v>
      </c>
      <c r="HG63" s="4">
        <f>DATE(YEAR(HF63)+5,MONTH(HF63),DAY(HF63))</f>
        <v>46691</v>
      </c>
      <c r="HH63" s="8">
        <f ca="1">HG63-TODAY()</f>
        <v>546</v>
      </c>
      <c r="HI63" s="5" t="str">
        <f t="shared" ca="1" si="224"/>
        <v>VIGENTE</v>
      </c>
      <c r="HJ63" s="3"/>
      <c r="HK63" s="4">
        <v>45368</v>
      </c>
      <c r="HL63" s="4">
        <f>DATE(YEAR(HK63)+5,MONTH(HK63),DAY(HK63))</f>
        <v>47194</v>
      </c>
      <c r="HM63" s="8">
        <f ca="1">HL63-TODAY()</f>
        <v>1049</v>
      </c>
      <c r="HN63" s="5" t="str">
        <f t="shared" ca="1" si="228"/>
        <v>VIGENTE</v>
      </c>
      <c r="HO63" s="3"/>
      <c r="HP63" s="3">
        <v>45698</v>
      </c>
      <c r="HQ63" s="4">
        <f>DATE(YEAR(HP63)+5,MONTH(HP63),DAY(HP63))</f>
        <v>47524</v>
      </c>
      <c r="HR63" s="8">
        <f ca="1">HQ63-TODAY()</f>
        <v>1379</v>
      </c>
      <c r="HS63" s="5" t="str">
        <f t="shared" ca="1" si="92"/>
        <v>VIGENTE</v>
      </c>
      <c r="HT63" s="3"/>
      <c r="HU63" s="4">
        <v>45300</v>
      </c>
      <c r="HV63" s="4">
        <f>DATE(YEAR(HU63)+5,MONTH(HU63),DAY(HU63))</f>
        <v>47127</v>
      </c>
      <c r="HW63" s="8">
        <f ca="1">HV63-TODAY()</f>
        <v>982</v>
      </c>
      <c r="HX63" s="5" t="str">
        <f t="shared" ca="1" si="93"/>
        <v>VIGENTE</v>
      </c>
      <c r="HY63" s="3"/>
      <c r="HZ63" s="4">
        <v>45475</v>
      </c>
      <c r="IA63" s="4">
        <f>DATE(YEAR(HZ63)+5,MONTH(HZ63),DAY(HZ63))</f>
        <v>47301</v>
      </c>
      <c r="IB63" s="8">
        <f ca="1">IA63-TODAY()</f>
        <v>1156</v>
      </c>
      <c r="IC63" s="5" t="str">
        <f t="shared" ca="1" si="94"/>
        <v>VIGENTE</v>
      </c>
      <c r="ID63" s="3"/>
      <c r="IE63" s="4">
        <v>45444</v>
      </c>
      <c r="IF63" s="4">
        <f>DATE(YEAR(IE63)+5,MONTH(IE63),DAY(IE63))</f>
        <v>47270</v>
      </c>
      <c r="IG63" s="8">
        <f ca="1">IF63-TODAY()</f>
        <v>1125</v>
      </c>
      <c r="IH63" s="5" t="str">
        <f t="shared" ca="1" si="95"/>
        <v>VIGENTE</v>
      </c>
      <c r="II63" s="4"/>
      <c r="IJ63" s="4">
        <v>45452</v>
      </c>
      <c r="IK63" s="4">
        <f>DATE(YEAR(IJ63)+5,MONTH(IJ63),DAY(IJ63))</f>
        <v>47278</v>
      </c>
      <c r="IL63" s="8">
        <f ca="1">IK63-TODAY()</f>
        <v>1133</v>
      </c>
      <c r="IM63" s="5" t="str">
        <f t="shared" ca="1" si="96"/>
        <v>VIGENTE</v>
      </c>
      <c r="IN63" s="3"/>
      <c r="IO63" s="4">
        <v>45453</v>
      </c>
      <c r="IP63" s="4">
        <f>DATE(YEAR(IO63)+5,MONTH(IO63),DAY(IO63))</f>
        <v>47279</v>
      </c>
      <c r="IQ63" s="8">
        <f ca="1">IP63-TODAY()</f>
        <v>1134</v>
      </c>
      <c r="IR63" s="5" t="str">
        <f t="shared" ca="1" si="97"/>
        <v>VIGENTE</v>
      </c>
      <c r="IS63" s="3"/>
      <c r="IT63" s="4">
        <v>45435</v>
      </c>
      <c r="IU63" s="4">
        <f>DATE(YEAR(IT63)+5,MONTH(IT63),DAY(IT63))</f>
        <v>47261</v>
      </c>
      <c r="IV63" s="8">
        <f ca="1">IU63-TODAY()</f>
        <v>1116</v>
      </c>
      <c r="IW63" s="5" t="str">
        <f t="shared" ca="1" si="98"/>
        <v>VIGENTE</v>
      </c>
      <c r="IX63" s="3"/>
      <c r="IY63" s="4">
        <v>45461</v>
      </c>
      <c r="IZ63" s="4">
        <f>DATE(YEAR(IY63)+5,MONTH(IY63),DAY(IY63))</f>
        <v>47287</v>
      </c>
      <c r="JA63" s="8">
        <f ca="1">IZ63-TODAY()</f>
        <v>1142</v>
      </c>
      <c r="JB63" s="5" t="str">
        <f t="shared" ca="1" si="99"/>
        <v>VIGENTE</v>
      </c>
      <c r="JC63" s="3" t="s">
        <v>780</v>
      </c>
      <c r="JD63" s="3"/>
      <c r="JE63" s="4"/>
      <c r="JF63" s="8"/>
      <c r="JG63" s="5"/>
      <c r="JH63" s="3" t="s">
        <v>780</v>
      </c>
      <c r="JI63" s="6"/>
      <c r="JJ63" s="6"/>
      <c r="JK63" s="6"/>
      <c r="JL63" s="5"/>
      <c r="JM63" s="6" t="s">
        <v>780</v>
      </c>
      <c r="JN63" s="6"/>
      <c r="JO63" s="6"/>
      <c r="JP63" s="6"/>
      <c r="JQ63" s="5"/>
      <c r="JR63" s="6" t="s">
        <v>780</v>
      </c>
      <c r="JS63" s="6"/>
      <c r="JT63" s="6"/>
      <c r="JU63" s="6"/>
      <c r="JV63" s="5"/>
      <c r="JW63" s="6" t="s">
        <v>780</v>
      </c>
      <c r="JX63" s="5"/>
      <c r="JY63" s="5"/>
      <c r="JZ63" s="5"/>
      <c r="KA63" s="5"/>
      <c r="KB63" s="5"/>
      <c r="KC63" s="2"/>
      <c r="KD63" s="4"/>
      <c r="KE63" s="8"/>
      <c r="KF63" s="5" t="str">
        <f t="shared" si="135"/>
        <v>NO APLICA</v>
      </c>
      <c r="KG63" s="5"/>
      <c r="KH63" s="3">
        <v>45328</v>
      </c>
      <c r="KI63" s="4">
        <f>DATE(YEAR(KH63)+5,MONTH(KH63),DAY(KH63)-1)</f>
        <v>47154</v>
      </c>
      <c r="KJ63" s="8">
        <f ca="1">KI63-TODAY()</f>
        <v>1009</v>
      </c>
      <c r="KK63" s="5" t="str">
        <f t="shared" ca="1" si="136"/>
        <v>VIGENTE</v>
      </c>
      <c r="KL63" s="5"/>
      <c r="KM63" s="2"/>
      <c r="KN63" s="4"/>
      <c r="KO63" s="8"/>
      <c r="KP63" s="5" t="str">
        <f t="shared" si="100"/>
        <v>NO APLICA</v>
      </c>
      <c r="KQ63" s="5"/>
      <c r="KR63" s="2"/>
      <c r="KS63" s="4"/>
      <c r="KT63" s="8"/>
      <c r="KU63" s="5" t="str">
        <f t="shared" si="137"/>
        <v>NO APLICA</v>
      </c>
      <c r="KV63" s="3"/>
      <c r="KW63" s="4">
        <v>44649</v>
      </c>
      <c r="KX63" s="4">
        <f>DATE(YEAR(KW63)+5,MONTH(KW63),DAY(KW63))</f>
        <v>46475</v>
      </c>
      <c r="KY63" s="8">
        <f ca="1">KX63-TODAY()</f>
        <v>330</v>
      </c>
      <c r="KZ63" s="5" t="str">
        <f t="shared" ca="1" si="151"/>
        <v>VIGENTE</v>
      </c>
      <c r="LA63" s="5"/>
      <c r="LB63" s="6"/>
      <c r="LC63" s="4"/>
      <c r="LD63" s="8"/>
      <c r="LE63" s="5" t="str">
        <f t="shared" si="138"/>
        <v>NO APLICA</v>
      </c>
      <c r="LF63" s="6"/>
      <c r="LG63" s="6"/>
      <c r="LH63" s="4"/>
      <c r="LI63" s="8"/>
      <c r="LJ63" s="5" t="str">
        <f t="shared" si="101"/>
        <v>NO APLICA</v>
      </c>
      <c r="LK63" s="5"/>
      <c r="LL63" s="5"/>
      <c r="LM63" s="4"/>
      <c r="LN63" s="8"/>
      <c r="LO63" s="5" t="str">
        <f t="shared" si="152"/>
        <v>NO APLICA</v>
      </c>
      <c r="LP63" s="2"/>
      <c r="LQ63" s="6"/>
      <c r="LR63" s="4"/>
      <c r="LS63" s="8"/>
      <c r="LT63" s="5" t="str">
        <f t="shared" si="139"/>
        <v>NO APLICA</v>
      </c>
      <c r="LU63" s="6"/>
      <c r="LV63" s="6"/>
      <c r="LW63" s="4"/>
      <c r="LX63" s="8"/>
      <c r="LY63" s="5" t="str">
        <f t="shared" si="140"/>
        <v>NO APLICA</v>
      </c>
      <c r="LZ63" s="6"/>
      <c r="MA63" s="6"/>
      <c r="MB63" s="4"/>
      <c r="MC63" s="8"/>
      <c r="MD63" s="5" t="str">
        <f t="shared" si="141"/>
        <v>NO APLICA</v>
      </c>
      <c r="ME63" s="2"/>
      <c r="MF63" s="2"/>
      <c r="MG63" s="4"/>
      <c r="MH63" s="8"/>
      <c r="MI63" s="5" t="str">
        <f t="shared" si="102"/>
        <v>NO APLICA</v>
      </c>
      <c r="MJ63" s="2"/>
      <c r="MK63" s="2"/>
      <c r="ML63" s="4"/>
      <c r="MM63" s="8"/>
      <c r="MN63" s="5" t="str">
        <f t="shared" si="103"/>
        <v>NO APLICA</v>
      </c>
      <c r="MO63" s="5"/>
      <c r="MP63" s="2"/>
      <c r="MQ63" s="4"/>
      <c r="MR63" s="8"/>
      <c r="MS63" s="5" t="str">
        <f t="shared" si="104"/>
        <v>NO APLICA</v>
      </c>
      <c r="MT63" s="5"/>
      <c r="MU63" s="2"/>
      <c r="MV63" s="4"/>
      <c r="MW63" s="2"/>
      <c r="MX63" s="5" t="str">
        <f t="shared" si="105"/>
        <v>NO APLICA</v>
      </c>
      <c r="MY63" s="2"/>
      <c r="MZ63" s="6"/>
      <c r="NA63" s="4"/>
      <c r="NB63" s="8"/>
      <c r="NC63" s="5" t="str">
        <f t="shared" si="106"/>
        <v>NO APLICA</v>
      </c>
      <c r="ND63" s="2"/>
      <c r="NE63" s="6"/>
      <c r="NF63" s="4"/>
      <c r="NG63" s="8"/>
      <c r="NH63" s="5" t="str">
        <f t="shared" si="107"/>
        <v>NO APLICA</v>
      </c>
      <c r="NI63" s="2"/>
      <c r="NJ63" s="6"/>
      <c r="NK63" s="4"/>
      <c r="NL63" s="8"/>
      <c r="NM63" s="5" t="str">
        <f t="shared" si="108"/>
        <v>NO APLICA</v>
      </c>
      <c r="NN63" s="2"/>
      <c r="NO63" s="2"/>
      <c r="NP63" s="4"/>
      <c r="NQ63" s="8"/>
      <c r="NR63" s="5" t="str">
        <f t="shared" si="109"/>
        <v>NO APLICA</v>
      </c>
      <c r="NS63" s="2"/>
      <c r="NT63" s="2"/>
      <c r="NU63" s="2"/>
      <c r="NV63" s="2"/>
      <c r="NW63" s="5" t="str">
        <f t="shared" si="110"/>
        <v>NO APLICA</v>
      </c>
      <c r="NX63" s="6"/>
      <c r="NY63" s="6"/>
      <c r="NZ63" s="4"/>
      <c r="OA63" s="8"/>
      <c r="OB63" s="5" t="str">
        <f t="shared" si="111"/>
        <v>NO APLICA</v>
      </c>
      <c r="OC63" s="6"/>
      <c r="OD63" s="6"/>
      <c r="OE63" s="6"/>
      <c r="OF63" s="6"/>
      <c r="OG63" s="5" t="str">
        <f t="shared" si="112"/>
        <v>NO APLICA</v>
      </c>
      <c r="OH63" s="2"/>
      <c r="OI63" s="2"/>
      <c r="OJ63" s="4"/>
      <c r="OK63" s="8"/>
      <c r="OL63" s="5" t="str">
        <f t="shared" si="113"/>
        <v>NO APLICA</v>
      </c>
      <c r="OM63" s="6"/>
      <c r="ON63" s="6"/>
      <c r="OO63" s="6"/>
      <c r="OP63" s="6"/>
      <c r="OQ63" s="5" t="str">
        <f t="shared" si="114"/>
        <v>NO APLICA</v>
      </c>
      <c r="OR63" s="6"/>
      <c r="OS63" s="6"/>
      <c r="OT63" s="6"/>
      <c r="OU63" s="6"/>
      <c r="OV63" s="5" t="str">
        <f t="shared" si="115"/>
        <v>NO APLICA</v>
      </c>
      <c r="OW63" s="6"/>
      <c r="OX63" s="6"/>
      <c r="OY63" s="6"/>
      <c r="OZ63" s="6"/>
      <c r="PA63" s="5" t="str">
        <f t="shared" si="116"/>
        <v>NO APLICA</v>
      </c>
      <c r="PB63" s="6"/>
      <c r="PC63" s="6"/>
      <c r="PD63" s="6"/>
      <c r="PE63" s="6"/>
      <c r="PF63" s="5" t="str">
        <f t="shared" si="117"/>
        <v>NO APLICA</v>
      </c>
      <c r="PG63" s="6"/>
      <c r="PH63" s="6"/>
      <c r="PI63" s="6"/>
      <c r="PJ63" s="6"/>
      <c r="PK63" s="5" t="str">
        <f t="shared" si="118"/>
        <v>NO APLICA</v>
      </c>
      <c r="PL63" s="5"/>
      <c r="PM63" s="4"/>
      <c r="PN63" s="4"/>
      <c r="PO63" s="8"/>
      <c r="PP63" s="5" t="str">
        <f t="shared" si="119"/>
        <v>NO APLICA</v>
      </c>
      <c r="PQ63" s="6"/>
      <c r="PR63" s="6"/>
      <c r="PS63" s="6"/>
      <c r="PT63" s="6"/>
      <c r="PU63" s="5" t="str">
        <f t="shared" si="120"/>
        <v>NO APLICA</v>
      </c>
      <c r="PV63" s="5"/>
      <c r="PW63" s="6"/>
      <c r="PX63" s="6"/>
      <c r="PY63" s="6"/>
      <c r="PZ63" s="5" t="str">
        <f t="shared" si="121"/>
        <v>NO APLICA</v>
      </c>
    </row>
    <row r="64" spans="1:442" ht="15.6" hidden="1" thickTop="1" thickBot="1" x14ac:dyDescent="0.35">
      <c r="A64" s="26">
        <v>61</v>
      </c>
      <c r="B64" s="27">
        <v>1327</v>
      </c>
      <c r="C64" s="28" t="s">
        <v>250</v>
      </c>
      <c r="D64" s="29" t="s">
        <v>68</v>
      </c>
      <c r="E64" s="30" t="s">
        <v>93</v>
      </c>
      <c r="F64" s="5"/>
      <c r="G64" s="6"/>
      <c r="H64" s="4"/>
      <c r="I64" s="8"/>
      <c r="J64" s="5" t="str">
        <f t="shared" si="0"/>
        <v>NO APLICA</v>
      </c>
      <c r="K64" s="2"/>
      <c r="L64" s="6"/>
      <c r="M64" s="6"/>
      <c r="N64" s="8"/>
      <c r="O64" s="5" t="str">
        <f t="shared" si="1"/>
        <v>NO APLICA</v>
      </c>
      <c r="P64" s="6"/>
      <c r="Q64" s="6"/>
      <c r="R64" s="4"/>
      <c r="S64" s="8"/>
      <c r="T64" s="5" t="str">
        <f t="shared" si="122"/>
        <v>NO APLICA</v>
      </c>
      <c r="U64" s="5"/>
      <c r="V64" s="2" t="s">
        <v>251</v>
      </c>
      <c r="W64" s="4">
        <v>45097</v>
      </c>
      <c r="X64" s="4">
        <f t="shared" si="2"/>
        <v>46924</v>
      </c>
      <c r="Y64" s="8">
        <f t="shared" ca="1" si="3"/>
        <v>779</v>
      </c>
      <c r="Z64" s="5" t="str">
        <f t="shared" ca="1" si="4"/>
        <v>VIGENTE</v>
      </c>
      <c r="AA64" s="5"/>
      <c r="AB64" s="2" t="s">
        <v>252</v>
      </c>
      <c r="AC64" s="4">
        <v>44603</v>
      </c>
      <c r="AD64" s="4">
        <f>DATE(YEAR(AC64)+5,MONTH(AC64),DAY(AC64))</f>
        <v>46429</v>
      </c>
      <c r="AE64" s="8">
        <f ca="1">AD64-TODAY()</f>
        <v>284</v>
      </c>
      <c r="AF64" s="5" t="str">
        <f t="shared" ca="1" si="7"/>
        <v>VIGENTE</v>
      </c>
      <c r="AG64" s="3"/>
      <c r="AH64" s="3">
        <v>45617</v>
      </c>
      <c r="AI64" s="4">
        <f>DATE(YEAR(AH64)+2,MONTH(AH64),DAY(AH64)-1)</f>
        <v>46346</v>
      </c>
      <c r="AJ64" s="8">
        <f t="shared" ca="1" si="8"/>
        <v>201</v>
      </c>
      <c r="AK64" s="5" t="str">
        <f t="shared" ca="1" si="219"/>
        <v>VIGENTE</v>
      </c>
      <c r="AL64" s="3"/>
      <c r="AM64" s="4">
        <v>45937</v>
      </c>
      <c r="AN64" s="4">
        <f>DATE(YEAR(AM64)+2,MONTH(AM64),DAY(AM64))</f>
        <v>46667</v>
      </c>
      <c r="AO64" s="8">
        <f t="shared" ca="1" si="10"/>
        <v>522</v>
      </c>
      <c r="AP64" s="5" t="str">
        <f t="shared" ca="1" si="11"/>
        <v>VIGENTE</v>
      </c>
      <c r="AQ64" s="3"/>
      <c r="AR64" s="4">
        <v>45904</v>
      </c>
      <c r="AS64" s="4">
        <f t="shared" si="237"/>
        <v>46634</v>
      </c>
      <c r="AT64" s="8">
        <f t="shared" ca="1" si="12"/>
        <v>489</v>
      </c>
      <c r="AU64" s="5" t="str">
        <f t="shared" ca="1" si="13"/>
        <v>VIGENTE</v>
      </c>
      <c r="AV64" s="3"/>
      <c r="AW64" s="4">
        <v>45972</v>
      </c>
      <c r="AX64" s="4">
        <f t="shared" si="232"/>
        <v>46702</v>
      </c>
      <c r="AY64" s="8">
        <f t="shared" ca="1" si="15"/>
        <v>557</v>
      </c>
      <c r="AZ64" s="5" t="str">
        <f t="shared" ca="1" si="16"/>
        <v>VIGENTE</v>
      </c>
      <c r="BA64" s="3"/>
      <c r="BB64" s="4">
        <v>45515</v>
      </c>
      <c r="BC64" s="4">
        <f>DATE(YEAR(BB64)+2,MONTH(BB64),DAY(BB64)-1)</f>
        <v>46244</v>
      </c>
      <c r="BD64" s="8">
        <f t="shared" ca="1" si="17"/>
        <v>99</v>
      </c>
      <c r="BE64" s="5" t="str">
        <f t="shared" ca="1" si="18"/>
        <v>VIGENTE</v>
      </c>
      <c r="BF64" s="3"/>
      <c r="BG64" s="4">
        <v>45968</v>
      </c>
      <c r="BH64" s="4">
        <f t="shared" si="233"/>
        <v>46698</v>
      </c>
      <c r="BI64" s="8">
        <f t="shared" ca="1" si="19"/>
        <v>553</v>
      </c>
      <c r="BJ64" s="5" t="str">
        <f t="shared" ca="1" si="20"/>
        <v>VIGENTE</v>
      </c>
      <c r="BK64" s="3"/>
      <c r="BL64" s="4">
        <v>46056</v>
      </c>
      <c r="BM64" s="4">
        <f>DATE(YEAR(BL64)+2,MONTH(BL64),DAY(BL64))</f>
        <v>46786</v>
      </c>
      <c r="BN64" s="8">
        <f t="shared" ca="1" si="21"/>
        <v>641</v>
      </c>
      <c r="BO64" s="5" t="str">
        <f t="shared" ca="1" si="22"/>
        <v>VIGENTE</v>
      </c>
      <c r="BP64" s="3"/>
      <c r="BQ64" s="39">
        <v>46120</v>
      </c>
      <c r="BR64" s="4">
        <f>DATE(YEAR(BQ64)+2,MONTH(BQ64),DAY(BQ64)-1)</f>
        <v>46850</v>
      </c>
      <c r="BS64" s="8">
        <f t="shared" ca="1" si="23"/>
        <v>705</v>
      </c>
      <c r="BT64" s="5" t="str">
        <f t="shared" ca="1" si="24"/>
        <v>VIGENTE</v>
      </c>
      <c r="BU64" s="3"/>
      <c r="BV64" s="4">
        <v>46116</v>
      </c>
      <c r="BW64" s="4">
        <f>DATE(YEAR(BV64)+2,MONTH(BV64),DAY(BV64)-1)</f>
        <v>46846</v>
      </c>
      <c r="BX64" s="8">
        <f t="shared" ca="1" si="25"/>
        <v>701</v>
      </c>
      <c r="BY64" s="5" t="str">
        <f t="shared" ca="1" si="26"/>
        <v>VIGENTE</v>
      </c>
      <c r="BZ64" s="3"/>
      <c r="CA64" s="4">
        <v>45974</v>
      </c>
      <c r="CB64" s="4">
        <f t="shared" si="239"/>
        <v>46704</v>
      </c>
      <c r="CC64" s="8">
        <f t="shared" ca="1" si="27"/>
        <v>559</v>
      </c>
      <c r="CD64" s="5" t="str">
        <f t="shared" ca="1" si="28"/>
        <v>VIGENTE</v>
      </c>
      <c r="CE64" s="6"/>
      <c r="CF64" s="4">
        <v>45262</v>
      </c>
      <c r="CG64" s="4">
        <f t="shared" si="29"/>
        <v>46723</v>
      </c>
      <c r="CH64" s="8">
        <f t="shared" ca="1" si="30"/>
        <v>578</v>
      </c>
      <c r="CI64" s="5" t="str">
        <f t="shared" ca="1" si="31"/>
        <v>VIGENTE</v>
      </c>
      <c r="CJ64" s="4"/>
      <c r="CK64" s="4">
        <v>45511</v>
      </c>
      <c r="CL64" s="4">
        <f>DATE(YEAR(CK64)+2,MONTH(CK64),DAY(CK64)-1)</f>
        <v>46240</v>
      </c>
      <c r="CM64" s="8">
        <f t="shared" ca="1" si="32"/>
        <v>95</v>
      </c>
      <c r="CN64" s="5" t="str">
        <f t="shared" ca="1" si="33"/>
        <v>VIGENTE</v>
      </c>
      <c r="CO64" s="3"/>
      <c r="CP64" s="39">
        <v>45513</v>
      </c>
      <c r="CQ64" s="4">
        <f>DATE(YEAR(CP64)+2,MONTH(CP64),DAY(CP64)-1)</f>
        <v>46242</v>
      </c>
      <c r="CR64" s="8">
        <f t="shared" ca="1" si="34"/>
        <v>97</v>
      </c>
      <c r="CS64" s="5" t="str">
        <f t="shared" ca="1" si="35"/>
        <v>VIGENTE</v>
      </c>
      <c r="CT64" s="3"/>
      <c r="CU64" s="4">
        <v>45639</v>
      </c>
      <c r="CV64" s="4">
        <f>DATE(YEAR(CU64)+2,MONTH(CU64),DAY(CU64)-1)</f>
        <v>46368</v>
      </c>
      <c r="CW64" s="8">
        <f t="shared" ca="1" si="36"/>
        <v>223</v>
      </c>
      <c r="CX64" s="5" t="str">
        <f t="shared" ca="1" si="37"/>
        <v>VIGENTE</v>
      </c>
      <c r="CY64" s="3"/>
      <c r="CZ64" s="4">
        <v>45665</v>
      </c>
      <c r="DA64" s="4">
        <f>DATE(YEAR(CZ64)+2,MONTH(CZ64),DAY(CZ64)-1)</f>
        <v>46394</v>
      </c>
      <c r="DB64" s="8">
        <f t="shared" ca="1" si="38"/>
        <v>249</v>
      </c>
      <c r="DC64" s="5" t="str">
        <f t="shared" ca="1" si="39"/>
        <v>VIGENTE</v>
      </c>
      <c r="DD64" s="3"/>
      <c r="DE64" s="39">
        <v>45723</v>
      </c>
      <c r="DF64" s="4">
        <f>DATE(YEAR(DE64)+2,MONTH(DE64),DAY(DE64)-1)</f>
        <v>46452</v>
      </c>
      <c r="DG64" s="8">
        <f t="shared" ca="1" si="40"/>
        <v>307</v>
      </c>
      <c r="DH64" s="5" t="str">
        <f t="shared" ca="1" si="41"/>
        <v>VIGENTE</v>
      </c>
      <c r="DI64" s="3"/>
      <c r="DJ64" s="39">
        <v>45562</v>
      </c>
      <c r="DK64" s="4">
        <f>DATE(YEAR(DJ64)+2,MONTH(DJ64),DAY(DJ64)-1)</f>
        <v>46291</v>
      </c>
      <c r="DL64" s="8">
        <f t="shared" ca="1" si="43"/>
        <v>146</v>
      </c>
      <c r="DM64" s="5" t="str">
        <f t="shared" ca="1" si="44"/>
        <v>VIGENTE</v>
      </c>
      <c r="DN64" s="3"/>
      <c r="DO64" s="4">
        <v>45982</v>
      </c>
      <c r="DP64" s="4">
        <f>DATE(YEAR(DO64)+2,MONTH(DO64),DAY(DO64))</f>
        <v>46712</v>
      </c>
      <c r="DQ64" s="8">
        <f t="shared" ca="1" si="46"/>
        <v>567</v>
      </c>
      <c r="DR64" s="5" t="str">
        <f t="shared" ca="1" si="47"/>
        <v>VIGENTE</v>
      </c>
      <c r="DS64" s="3"/>
      <c r="DT64" s="4">
        <v>45619</v>
      </c>
      <c r="DU64" s="4">
        <f>DATE(YEAR(DT64)+2,MONTH(DT64),DAY(DT64)-1)</f>
        <v>46348</v>
      </c>
      <c r="DV64" s="8">
        <f t="shared" ca="1" si="48"/>
        <v>203</v>
      </c>
      <c r="DW64" s="5" t="str">
        <f t="shared" ca="1" si="49"/>
        <v>VIGENTE</v>
      </c>
      <c r="DX64" s="3"/>
      <c r="DY64" s="4">
        <v>45582</v>
      </c>
      <c r="DZ64" s="4">
        <f>DATE(YEAR(DY64)+2,MONTH(DY64),DAY(DY64)-1)</f>
        <v>46311</v>
      </c>
      <c r="EA64" s="8">
        <f t="shared" ca="1" si="50"/>
        <v>166</v>
      </c>
      <c r="EB64" s="5" t="str">
        <f t="shared" ca="1" si="51"/>
        <v>VIGENTE</v>
      </c>
      <c r="EC64" s="3"/>
      <c r="ED64" s="39">
        <v>45674</v>
      </c>
      <c r="EE64" s="4">
        <f>DATE(YEAR(ED64)+2,MONTH(ED64),DAY(ED64)-1)</f>
        <v>46403</v>
      </c>
      <c r="EF64" s="8">
        <f t="shared" ca="1" si="52"/>
        <v>258</v>
      </c>
      <c r="EG64" s="5" t="str">
        <f t="shared" ca="1" si="53"/>
        <v>VIGENTE</v>
      </c>
      <c r="EH64" s="3"/>
      <c r="EI64" s="3">
        <v>46085</v>
      </c>
      <c r="EJ64" s="4">
        <f t="shared" si="131"/>
        <v>46450</v>
      </c>
      <c r="EK64" s="8">
        <f t="shared" ca="1" si="54"/>
        <v>305</v>
      </c>
      <c r="EL64" s="5" t="str">
        <f t="shared" ca="1" si="55"/>
        <v>VIGENTE</v>
      </c>
      <c r="EM64" s="3"/>
      <c r="EN64" s="4">
        <v>46135</v>
      </c>
      <c r="EO64" s="4">
        <f>DATE(YEAR(EN64)+2,MONTH(EN64),DAY(EN64)-1)</f>
        <v>46865</v>
      </c>
      <c r="EP64" s="8">
        <f t="shared" ca="1" si="56"/>
        <v>720</v>
      </c>
      <c r="EQ64" s="5" t="str">
        <f t="shared" ca="1" si="57"/>
        <v>VIGENTE</v>
      </c>
      <c r="ER64" s="3"/>
      <c r="ES64" s="39">
        <v>45677</v>
      </c>
      <c r="ET64" s="4">
        <f>DATE(YEAR(ES64)+2,MONTH(ES64),DAY(ES64)-1)</f>
        <v>46406</v>
      </c>
      <c r="EU64" s="8">
        <f t="shared" ca="1" si="58"/>
        <v>261</v>
      </c>
      <c r="EV64" s="5" t="str">
        <f t="shared" ca="1" si="59"/>
        <v>VIGENTE</v>
      </c>
      <c r="EW64" s="3"/>
      <c r="EX64" s="4">
        <v>45953</v>
      </c>
      <c r="EY64" s="4">
        <f t="shared" si="234"/>
        <v>46683</v>
      </c>
      <c r="EZ64" s="8">
        <f t="shared" ca="1" si="60"/>
        <v>538</v>
      </c>
      <c r="FA64" s="5" t="str">
        <f t="shared" ca="1" si="61"/>
        <v>VIGENTE</v>
      </c>
      <c r="FB64" s="3"/>
      <c r="FC64" s="4">
        <v>45951</v>
      </c>
      <c r="FD64" s="4">
        <f t="shared" si="235"/>
        <v>46681</v>
      </c>
      <c r="FE64" s="8">
        <f t="shared" ca="1" si="62"/>
        <v>536</v>
      </c>
      <c r="FF64" s="5" t="str">
        <f t="shared" ca="1" si="63"/>
        <v>VIGENTE</v>
      </c>
      <c r="FG64" s="3"/>
      <c r="FH64" s="4">
        <v>45969</v>
      </c>
      <c r="FI64" s="4">
        <f t="shared" si="236"/>
        <v>46699</v>
      </c>
      <c r="FJ64" s="8">
        <f t="shared" ca="1" si="64"/>
        <v>554</v>
      </c>
      <c r="FK64" s="5" t="str">
        <f t="shared" ca="1" si="65"/>
        <v>VIGENTE</v>
      </c>
      <c r="FL64" s="3"/>
      <c r="FM64" s="39">
        <v>45670</v>
      </c>
      <c r="FN64" s="4">
        <f>DATE(YEAR(FM64)+2,MONTH(FM64),DAY(FM64)-1)</f>
        <v>46399</v>
      </c>
      <c r="FO64" s="8">
        <f t="shared" ca="1" si="67"/>
        <v>254</v>
      </c>
      <c r="FP64" s="5" t="str">
        <f t="shared" ca="1" si="68"/>
        <v>VIGENTE</v>
      </c>
      <c r="FQ64" s="3"/>
      <c r="FR64" s="39">
        <v>45466</v>
      </c>
      <c r="FS64" s="4">
        <f>DATE(YEAR(FR64)+2,MONTH(FR64),DAY(FR64)-1)</f>
        <v>46195</v>
      </c>
      <c r="FT64" s="8">
        <f t="shared" ca="1" si="69"/>
        <v>50</v>
      </c>
      <c r="FU64" s="5" t="str">
        <f t="shared" ca="1" si="70"/>
        <v>POR VENCER</v>
      </c>
      <c r="FV64" s="3"/>
      <c r="FW64" s="4">
        <v>46014</v>
      </c>
      <c r="FX64" s="4">
        <f>DATE(YEAR(FW64)+2,MONTH(FW64),DAY(FW64))</f>
        <v>46744</v>
      </c>
      <c r="FY64" s="8">
        <f t="shared" ca="1" si="71"/>
        <v>599</v>
      </c>
      <c r="FZ64" s="5" t="str">
        <f t="shared" ca="1" si="72"/>
        <v>VIGENTE</v>
      </c>
      <c r="GA64" s="3"/>
      <c r="GB64" s="4">
        <v>45715</v>
      </c>
      <c r="GC64" s="4">
        <f>DATE(YEAR(GB64)+2,MONTH(GB64),DAY(GB64)-1)</f>
        <v>46444</v>
      </c>
      <c r="GD64" s="8">
        <f t="shared" ca="1" si="73"/>
        <v>299</v>
      </c>
      <c r="GE64" s="5" t="str">
        <f t="shared" ca="1" si="74"/>
        <v>VIGENTE</v>
      </c>
      <c r="GF64" s="3"/>
      <c r="GG64" s="4">
        <v>46079</v>
      </c>
      <c r="GH64" s="4">
        <f>DATE(YEAR(GG64)+2,MONTH(GG64),DAY(GG64))</f>
        <v>46809</v>
      </c>
      <c r="GI64" s="8">
        <f t="shared" ca="1" si="75"/>
        <v>664</v>
      </c>
      <c r="GJ64" s="5" t="str">
        <f t="shared" ca="1" si="76"/>
        <v>VIGENTE</v>
      </c>
      <c r="GK64" s="3"/>
      <c r="GL64" s="4">
        <v>45945</v>
      </c>
      <c r="GM64" s="4">
        <f t="shared" si="238"/>
        <v>46675</v>
      </c>
      <c r="GN64" s="8">
        <f t="shared" ca="1" si="77"/>
        <v>530</v>
      </c>
      <c r="GO64" s="5" t="str">
        <f t="shared" ca="1" si="78"/>
        <v>VIGENTE</v>
      </c>
      <c r="GP64" s="4"/>
      <c r="GQ64" s="4">
        <v>45181</v>
      </c>
      <c r="GR64" s="4">
        <f t="shared" si="79"/>
        <v>47008</v>
      </c>
      <c r="GS64" s="8">
        <f t="shared" ca="1" si="176"/>
        <v>863</v>
      </c>
      <c r="GT64" s="5" t="str">
        <f t="shared" ca="1" si="81"/>
        <v>VIGENTE</v>
      </c>
      <c r="GU64" s="3"/>
      <c r="GV64" s="4">
        <v>45329</v>
      </c>
      <c r="GW64" s="4">
        <f t="shared" si="82"/>
        <v>47156</v>
      </c>
      <c r="GX64" s="8">
        <f t="shared" ca="1" si="83"/>
        <v>1011</v>
      </c>
      <c r="GY64" s="5" t="str">
        <f t="shared" ca="1" si="84"/>
        <v>VIGENTE</v>
      </c>
      <c r="GZ64" s="3"/>
      <c r="HA64" s="4">
        <v>45182</v>
      </c>
      <c r="HB64" s="4">
        <f t="shared" si="85"/>
        <v>47009</v>
      </c>
      <c r="HC64" s="8">
        <f t="shared" ca="1" si="86"/>
        <v>864</v>
      </c>
      <c r="HD64" s="5" t="str">
        <f t="shared" ca="1" si="87"/>
        <v>VIGENTE</v>
      </c>
      <c r="HE64" s="6"/>
      <c r="HF64" s="4">
        <v>44884</v>
      </c>
      <c r="HG64" s="4">
        <f>DATE(YEAR(HF64)+5,MONTH(HF64),DAY(HF64))</f>
        <v>46710</v>
      </c>
      <c r="HH64" s="8">
        <f ca="1">HG64-TODAY()</f>
        <v>565</v>
      </c>
      <c r="HI64" s="5" t="str">
        <f t="shared" ca="1" si="224"/>
        <v>VIGENTE</v>
      </c>
      <c r="HJ64" s="3"/>
      <c r="HK64" s="4">
        <v>45331</v>
      </c>
      <c r="HL64" s="4">
        <f>DATE(YEAR(HK64)+5,MONTH(HK64),DAY(HK64))</f>
        <v>47158</v>
      </c>
      <c r="HM64" s="8">
        <f ca="1">HL64-TODAY()</f>
        <v>1013</v>
      </c>
      <c r="HN64" s="5" t="str">
        <f t="shared" ca="1" si="228"/>
        <v>VIGENTE</v>
      </c>
      <c r="HO64" s="3"/>
      <c r="HP64" s="3">
        <v>45698</v>
      </c>
      <c r="HQ64" s="4">
        <f>DATE(YEAR(HP64)+5,MONTH(HP64),DAY(HP64))</f>
        <v>47524</v>
      </c>
      <c r="HR64" s="8">
        <f ca="1">HQ64-TODAY()</f>
        <v>1379</v>
      </c>
      <c r="HS64" s="5" t="str">
        <f t="shared" ca="1" si="92"/>
        <v>VIGENTE</v>
      </c>
      <c r="HT64" s="3"/>
      <c r="HU64" s="4">
        <v>45440</v>
      </c>
      <c r="HV64" s="4">
        <f>DATE(YEAR(HU64)+5,MONTH(HU64),DAY(HU64))</f>
        <v>47266</v>
      </c>
      <c r="HW64" s="8">
        <f ca="1">HV64-TODAY()</f>
        <v>1121</v>
      </c>
      <c r="HX64" s="5" t="str">
        <f t="shared" ca="1" si="93"/>
        <v>VIGENTE</v>
      </c>
      <c r="HY64" s="3"/>
      <c r="HZ64" s="4">
        <v>45234</v>
      </c>
      <c r="IA64" s="4">
        <f>DATE(YEAR(HZ64)+5,MONTH(HZ64),DAY(HZ64))</f>
        <v>47061</v>
      </c>
      <c r="IB64" s="8">
        <f ca="1">IA64-TODAY()</f>
        <v>916</v>
      </c>
      <c r="IC64" s="5" t="str">
        <f t="shared" ca="1" si="94"/>
        <v>VIGENTE</v>
      </c>
      <c r="ID64" s="3"/>
      <c r="IE64" s="4">
        <v>45192</v>
      </c>
      <c r="IF64" s="4">
        <f>DATE(YEAR(IE64)+5,MONTH(IE64),DAY(IE64))</f>
        <v>47019</v>
      </c>
      <c r="IG64" s="8">
        <f ca="1">IF64-TODAY()</f>
        <v>874</v>
      </c>
      <c r="IH64" s="5" t="str">
        <f t="shared" ca="1" si="95"/>
        <v>VIGENTE</v>
      </c>
      <c r="II64" s="4"/>
      <c r="IJ64" s="4">
        <v>45225</v>
      </c>
      <c r="IK64" s="4">
        <f>DATE(YEAR(IJ64)+5,MONTH(IJ64),DAY(IJ64))</f>
        <v>47052</v>
      </c>
      <c r="IL64" s="8">
        <f ca="1">IK64-TODAY()</f>
        <v>907</v>
      </c>
      <c r="IM64" s="5" t="str">
        <f t="shared" ca="1" si="96"/>
        <v>VIGENTE</v>
      </c>
      <c r="IN64" s="3"/>
      <c r="IO64" s="4">
        <v>45273</v>
      </c>
      <c r="IP64" s="4">
        <f>DATE(YEAR(IO64)+5,MONTH(IO64),DAY(IO64))</f>
        <v>47100</v>
      </c>
      <c r="IQ64" s="8">
        <f ca="1">IP64-TODAY()</f>
        <v>955</v>
      </c>
      <c r="IR64" s="5" t="str">
        <f t="shared" ca="1" si="97"/>
        <v>VIGENTE</v>
      </c>
      <c r="IS64" s="3"/>
      <c r="IT64" s="4">
        <v>45191</v>
      </c>
      <c r="IU64" s="4">
        <f>DATE(YEAR(IT64)+5,MONTH(IT64),DAY(IT64))</f>
        <v>47018</v>
      </c>
      <c r="IV64" s="8">
        <f ca="1">IU64-TODAY()</f>
        <v>873</v>
      </c>
      <c r="IW64" s="5" t="str">
        <f t="shared" ca="1" si="98"/>
        <v>VIGENTE</v>
      </c>
      <c r="IX64" s="3"/>
      <c r="IY64" s="4">
        <v>45224</v>
      </c>
      <c r="IZ64" s="4">
        <f>DATE(YEAR(IY64)+5,MONTH(IY64),DAY(IY64))</f>
        <v>47051</v>
      </c>
      <c r="JA64" s="8">
        <f ca="1">IZ64-TODAY()</f>
        <v>906</v>
      </c>
      <c r="JB64" s="5" t="str">
        <f t="shared" ca="1" si="99"/>
        <v>VIGENTE</v>
      </c>
      <c r="JC64" s="3" t="s">
        <v>780</v>
      </c>
      <c r="JD64" s="3"/>
      <c r="JE64" s="4"/>
      <c r="JF64" s="8"/>
      <c r="JG64" s="5"/>
      <c r="JH64" s="3" t="s">
        <v>780</v>
      </c>
      <c r="JI64" s="6"/>
      <c r="JJ64" s="6"/>
      <c r="JK64" s="6"/>
      <c r="JL64" s="5"/>
      <c r="JM64" s="6" t="s">
        <v>780</v>
      </c>
      <c r="JN64" s="6"/>
      <c r="JO64" s="6"/>
      <c r="JP64" s="6"/>
      <c r="JQ64" s="5"/>
      <c r="JR64" s="6" t="s">
        <v>780</v>
      </c>
      <c r="JS64" s="6"/>
      <c r="JT64" s="6"/>
      <c r="JU64" s="6"/>
      <c r="JV64" s="5"/>
      <c r="JW64" s="6" t="s">
        <v>780</v>
      </c>
      <c r="JX64" s="5"/>
      <c r="JY64" s="5"/>
      <c r="JZ64" s="5"/>
      <c r="KA64" s="5"/>
      <c r="KB64" s="5"/>
      <c r="KC64" s="2"/>
      <c r="KD64" s="4"/>
      <c r="KE64" s="8"/>
      <c r="KF64" s="5" t="str">
        <f t="shared" si="135"/>
        <v>NO APLICA</v>
      </c>
      <c r="KG64" s="5"/>
      <c r="KH64" s="3">
        <v>45328</v>
      </c>
      <c r="KI64" s="4">
        <f>DATE(YEAR(KH64)+5,MONTH(KH64),DAY(KH64)-1)</f>
        <v>47154</v>
      </c>
      <c r="KJ64" s="8">
        <f ca="1">KI64-TODAY()</f>
        <v>1009</v>
      </c>
      <c r="KK64" s="5" t="str">
        <f t="shared" ca="1" si="136"/>
        <v>VIGENTE</v>
      </c>
      <c r="KL64" s="5"/>
      <c r="KM64" s="2"/>
      <c r="KN64" s="4"/>
      <c r="KO64" s="8"/>
      <c r="KP64" s="5" t="str">
        <f t="shared" si="100"/>
        <v>NO APLICA</v>
      </c>
      <c r="KQ64" s="5"/>
      <c r="KR64" s="2"/>
      <c r="KS64" s="4"/>
      <c r="KT64" s="8"/>
      <c r="KU64" s="5" t="str">
        <f t="shared" si="137"/>
        <v>NO APLICA</v>
      </c>
      <c r="KV64" s="3"/>
      <c r="KW64" s="4">
        <v>44651</v>
      </c>
      <c r="KX64" s="4">
        <f>DATE(YEAR(KW64)+5,MONTH(KW64),DAY(KW64))</f>
        <v>46477</v>
      </c>
      <c r="KY64" s="8">
        <f ca="1">KX64-TODAY()</f>
        <v>332</v>
      </c>
      <c r="KZ64" s="5" t="str">
        <f t="shared" ca="1" si="151"/>
        <v>VIGENTE</v>
      </c>
      <c r="LA64" s="5"/>
      <c r="LB64" s="6"/>
      <c r="LC64" s="4"/>
      <c r="LD64" s="8"/>
      <c r="LE64" s="5" t="str">
        <f t="shared" si="138"/>
        <v>NO APLICA</v>
      </c>
      <c r="LF64" s="4"/>
      <c r="LG64" s="4"/>
      <c r="LH64" s="4"/>
      <c r="LI64" s="8"/>
      <c r="LJ64" s="5" t="str">
        <f t="shared" si="101"/>
        <v>NO APLICA</v>
      </c>
      <c r="LK64" s="5"/>
      <c r="LL64" s="5"/>
      <c r="LM64" s="4"/>
      <c r="LN64" s="8"/>
      <c r="LO64" s="5" t="str">
        <f t="shared" si="152"/>
        <v>NO APLICA</v>
      </c>
      <c r="LP64" s="2"/>
      <c r="LQ64" s="6"/>
      <c r="LR64" s="4"/>
      <c r="LS64" s="8"/>
      <c r="LT64" s="5" t="str">
        <f t="shared" si="139"/>
        <v>NO APLICA</v>
      </c>
      <c r="LU64" s="6"/>
      <c r="LV64" s="6"/>
      <c r="LW64" s="4"/>
      <c r="LX64" s="8"/>
      <c r="LY64" s="5" t="str">
        <f t="shared" si="140"/>
        <v>NO APLICA</v>
      </c>
      <c r="LZ64" s="6"/>
      <c r="MA64" s="6"/>
      <c r="MB64" s="4"/>
      <c r="MC64" s="8"/>
      <c r="MD64" s="5" t="str">
        <f t="shared" si="141"/>
        <v>NO APLICA</v>
      </c>
      <c r="ME64" s="2"/>
      <c r="MF64" s="2"/>
      <c r="MG64" s="4"/>
      <c r="MH64" s="8"/>
      <c r="MI64" s="5" t="str">
        <f t="shared" si="102"/>
        <v>NO APLICA</v>
      </c>
      <c r="MJ64" s="2"/>
      <c r="MK64" s="2"/>
      <c r="ML64" s="4"/>
      <c r="MM64" s="8"/>
      <c r="MN64" s="5" t="str">
        <f t="shared" si="103"/>
        <v>NO APLICA</v>
      </c>
      <c r="MO64" s="5"/>
      <c r="MP64" s="2"/>
      <c r="MQ64" s="4"/>
      <c r="MR64" s="8"/>
      <c r="MS64" s="5" t="str">
        <f t="shared" si="104"/>
        <v>NO APLICA</v>
      </c>
      <c r="MT64" s="5"/>
      <c r="MU64" s="2"/>
      <c r="MV64" s="4"/>
      <c r="MW64" s="2"/>
      <c r="MX64" s="5" t="str">
        <f t="shared" si="105"/>
        <v>NO APLICA</v>
      </c>
      <c r="MY64" s="2"/>
      <c r="MZ64" s="6"/>
      <c r="NA64" s="4"/>
      <c r="NB64" s="8"/>
      <c r="NC64" s="5" t="str">
        <f t="shared" si="106"/>
        <v>NO APLICA</v>
      </c>
      <c r="ND64" s="2"/>
      <c r="NE64" s="6"/>
      <c r="NF64" s="4"/>
      <c r="NG64" s="8"/>
      <c r="NH64" s="5" t="str">
        <f t="shared" si="107"/>
        <v>NO APLICA</v>
      </c>
      <c r="NI64" s="2"/>
      <c r="NJ64" s="6"/>
      <c r="NK64" s="4"/>
      <c r="NL64" s="8"/>
      <c r="NM64" s="5" t="str">
        <f t="shared" si="108"/>
        <v>NO APLICA</v>
      </c>
      <c r="NN64" s="2"/>
      <c r="NO64" s="2"/>
      <c r="NP64" s="4"/>
      <c r="NQ64" s="8"/>
      <c r="NR64" s="5" t="str">
        <f t="shared" si="109"/>
        <v>NO APLICA</v>
      </c>
      <c r="NS64" s="2"/>
      <c r="NT64" s="2"/>
      <c r="NU64" s="4"/>
      <c r="NV64" s="2"/>
      <c r="NW64" s="5" t="str">
        <f t="shared" si="110"/>
        <v>NO APLICA</v>
      </c>
      <c r="NX64" s="6"/>
      <c r="NY64" s="6"/>
      <c r="NZ64" s="4"/>
      <c r="OA64" s="8"/>
      <c r="OB64" s="5" t="str">
        <f t="shared" si="111"/>
        <v>NO APLICA</v>
      </c>
      <c r="OC64" s="6"/>
      <c r="OD64" s="6"/>
      <c r="OE64" s="6"/>
      <c r="OF64" s="6"/>
      <c r="OG64" s="5" t="str">
        <f t="shared" si="112"/>
        <v>NO APLICA</v>
      </c>
      <c r="OH64" s="2"/>
      <c r="OI64" s="2"/>
      <c r="OJ64" s="4"/>
      <c r="OK64" s="8"/>
      <c r="OL64" s="5" t="str">
        <f t="shared" si="113"/>
        <v>NO APLICA</v>
      </c>
      <c r="OM64" s="6"/>
      <c r="ON64" s="6"/>
      <c r="OO64" s="6"/>
      <c r="OP64" s="6"/>
      <c r="OQ64" s="5" t="str">
        <f t="shared" si="114"/>
        <v>NO APLICA</v>
      </c>
      <c r="OR64" s="6"/>
      <c r="OS64" s="6"/>
      <c r="OT64" s="6"/>
      <c r="OU64" s="6"/>
      <c r="OV64" s="5" t="str">
        <f t="shared" si="115"/>
        <v>NO APLICA</v>
      </c>
      <c r="OW64" s="6"/>
      <c r="OX64" s="6"/>
      <c r="OY64" s="6"/>
      <c r="OZ64" s="6"/>
      <c r="PA64" s="5" t="str">
        <f t="shared" si="116"/>
        <v>NO APLICA</v>
      </c>
      <c r="PB64" s="6"/>
      <c r="PC64" s="6"/>
      <c r="PD64" s="6"/>
      <c r="PE64" s="6"/>
      <c r="PF64" s="5" t="str">
        <f t="shared" si="117"/>
        <v>NO APLICA</v>
      </c>
      <c r="PG64" s="6"/>
      <c r="PH64" s="6"/>
      <c r="PI64" s="6"/>
      <c r="PJ64" s="6"/>
      <c r="PK64" s="5" t="str">
        <f t="shared" si="118"/>
        <v>NO APLICA</v>
      </c>
      <c r="PL64" s="5"/>
      <c r="PM64" s="6"/>
      <c r="PN64" s="4"/>
      <c r="PO64" s="8"/>
      <c r="PP64" s="5" t="str">
        <f t="shared" si="119"/>
        <v>NO APLICA</v>
      </c>
      <c r="PQ64" s="6"/>
      <c r="PR64" s="6"/>
      <c r="PS64" s="6"/>
      <c r="PT64" s="6"/>
      <c r="PU64" s="5" t="str">
        <f t="shared" si="120"/>
        <v>NO APLICA</v>
      </c>
      <c r="PV64" s="5"/>
      <c r="PW64" s="6"/>
      <c r="PX64" s="6"/>
      <c r="PY64" s="6"/>
      <c r="PZ64" s="5" t="str">
        <f t="shared" si="121"/>
        <v>NO APLICA</v>
      </c>
    </row>
    <row r="65" spans="1:442" ht="15.6" hidden="1" thickTop="1" thickBot="1" x14ac:dyDescent="0.35">
      <c r="A65" s="26">
        <v>62</v>
      </c>
      <c r="B65" s="27">
        <v>370</v>
      </c>
      <c r="C65" s="28" t="s">
        <v>253</v>
      </c>
      <c r="D65" s="29" t="s">
        <v>68</v>
      </c>
      <c r="E65" s="30" t="s">
        <v>192</v>
      </c>
      <c r="F65" s="5"/>
      <c r="G65" s="6"/>
      <c r="H65" s="4"/>
      <c r="I65" s="8"/>
      <c r="J65" s="5" t="str">
        <f t="shared" si="0"/>
        <v>NO APLICA</v>
      </c>
      <c r="K65" s="5"/>
      <c r="L65" s="6"/>
      <c r="M65" s="6"/>
      <c r="N65" s="8"/>
      <c r="O65" s="5" t="str">
        <f t="shared" si="1"/>
        <v>NO APLICA</v>
      </c>
      <c r="P65" s="4"/>
      <c r="Q65" s="4">
        <v>45758</v>
      </c>
      <c r="R65" s="4">
        <f>DATE(YEAR(Q65)+2,MONTH(Q65),DAY(Q65)-1)</f>
        <v>46487</v>
      </c>
      <c r="S65" s="8">
        <f ca="1">R65-TODAY()</f>
        <v>342</v>
      </c>
      <c r="T65" s="5" t="str">
        <f t="shared" ca="1" si="122"/>
        <v>VIGENTE</v>
      </c>
      <c r="U65" s="5"/>
      <c r="V65" s="2" t="s">
        <v>254</v>
      </c>
      <c r="W65" s="4">
        <v>44786</v>
      </c>
      <c r="X65" s="4">
        <f t="shared" si="2"/>
        <v>46612</v>
      </c>
      <c r="Y65" s="8">
        <f t="shared" ca="1" si="3"/>
        <v>467</v>
      </c>
      <c r="Z65" s="5" t="str">
        <f t="shared" ca="1" si="4"/>
        <v>VIGENTE</v>
      </c>
      <c r="AA65" s="5"/>
      <c r="AB65" s="2" t="s">
        <v>255</v>
      </c>
      <c r="AC65" s="4">
        <v>44579</v>
      </c>
      <c r="AD65" s="4">
        <f>DATE(YEAR(AC65)+5,MONTH(AC65),DAY(AC65))</f>
        <v>46405</v>
      </c>
      <c r="AE65" s="8">
        <f ca="1">AD65-TODAY()</f>
        <v>260</v>
      </c>
      <c r="AF65" s="5" t="str">
        <f t="shared" ca="1" si="7"/>
        <v>VIGENTE</v>
      </c>
      <c r="AG65" s="3"/>
      <c r="AH65" s="3">
        <v>45594</v>
      </c>
      <c r="AI65" s="4">
        <f>DATE(YEAR(AH65)+2,MONTH(AH65),DAY(AH65)-1)</f>
        <v>46323</v>
      </c>
      <c r="AJ65" s="8">
        <f t="shared" ca="1" si="8"/>
        <v>178</v>
      </c>
      <c r="AK65" s="5" t="str">
        <f t="shared" ca="1" si="219"/>
        <v>VIGENTE</v>
      </c>
      <c r="AL65" s="3"/>
      <c r="AM65" s="4">
        <v>45937</v>
      </c>
      <c r="AN65" s="4">
        <f>DATE(YEAR(AM65)+2,MONTH(AM65),DAY(AM65))</f>
        <v>46667</v>
      </c>
      <c r="AO65" s="8">
        <f t="shared" ca="1" si="10"/>
        <v>522</v>
      </c>
      <c r="AP65" s="5" t="str">
        <f t="shared" ca="1" si="11"/>
        <v>VIGENTE</v>
      </c>
      <c r="AQ65" s="3"/>
      <c r="AR65" s="4">
        <v>46083</v>
      </c>
      <c r="AS65" s="4">
        <f t="shared" si="237"/>
        <v>46814</v>
      </c>
      <c r="AT65" s="8">
        <f t="shared" ca="1" si="12"/>
        <v>669</v>
      </c>
      <c r="AU65" s="5" t="str">
        <f t="shared" ca="1" si="13"/>
        <v>VIGENTE</v>
      </c>
      <c r="AV65" s="3"/>
      <c r="AW65" s="4">
        <v>46070</v>
      </c>
      <c r="AX65" s="4">
        <f t="shared" si="232"/>
        <v>46800</v>
      </c>
      <c r="AY65" s="8">
        <f t="shared" ca="1" si="15"/>
        <v>655</v>
      </c>
      <c r="AZ65" s="5" t="str">
        <f t="shared" ca="1" si="16"/>
        <v>VIGENTE</v>
      </c>
      <c r="BA65" s="3"/>
      <c r="BB65" s="4">
        <v>46118</v>
      </c>
      <c r="BC65" s="4">
        <f>DATE(YEAR(BB65)+2,MONTH(BB65),DAY(BB65)-1)</f>
        <v>46848</v>
      </c>
      <c r="BD65" s="8">
        <f t="shared" ca="1" si="17"/>
        <v>703</v>
      </c>
      <c r="BE65" s="5" t="str">
        <f t="shared" ca="1" si="18"/>
        <v>VIGENTE</v>
      </c>
      <c r="BF65" s="3"/>
      <c r="BG65" s="4">
        <v>45457</v>
      </c>
      <c r="BH65" s="4">
        <f>DATE(YEAR(BG65)+2,MONTH(BG65),DAY(BG65)-1)</f>
        <v>46186</v>
      </c>
      <c r="BI65" s="8">
        <f t="shared" ca="1" si="19"/>
        <v>41</v>
      </c>
      <c r="BJ65" s="5" t="str">
        <f t="shared" ca="1" si="20"/>
        <v>POR VENCER</v>
      </c>
      <c r="BK65" s="3"/>
      <c r="BL65" s="4">
        <v>46035</v>
      </c>
      <c r="BM65" s="4">
        <f>DATE(YEAR(BL65)+2,MONTH(BL65),DAY(BL65))</f>
        <v>46765</v>
      </c>
      <c r="BN65" s="8">
        <f t="shared" ca="1" si="21"/>
        <v>620</v>
      </c>
      <c r="BO65" s="5" t="str">
        <f t="shared" ca="1" si="22"/>
        <v>VIGENTE</v>
      </c>
      <c r="BP65" s="3"/>
      <c r="BQ65" s="39">
        <v>46120</v>
      </c>
      <c r="BR65" s="4">
        <f>DATE(YEAR(BQ65)+2,MONTH(BQ65),DAY(BQ65)-1)</f>
        <v>46850</v>
      </c>
      <c r="BS65" s="8">
        <f t="shared" ca="1" si="23"/>
        <v>705</v>
      </c>
      <c r="BT65" s="5" t="str">
        <f t="shared" ca="1" si="24"/>
        <v>VIGENTE</v>
      </c>
      <c r="BU65" s="3"/>
      <c r="BV65" s="4">
        <v>46116</v>
      </c>
      <c r="BW65" s="4">
        <f>DATE(YEAR(BV65)+2,MONTH(BV65),DAY(BV65)-1)</f>
        <v>46846</v>
      </c>
      <c r="BX65" s="8">
        <f t="shared" ca="1" si="25"/>
        <v>701</v>
      </c>
      <c r="BY65" s="5" t="str">
        <f t="shared" ca="1" si="26"/>
        <v>VIGENTE</v>
      </c>
      <c r="BZ65" s="3"/>
      <c r="CA65" s="4">
        <v>45944</v>
      </c>
      <c r="CB65" s="4">
        <f t="shared" si="239"/>
        <v>46674</v>
      </c>
      <c r="CC65" s="8">
        <f t="shared" ca="1" si="27"/>
        <v>529</v>
      </c>
      <c r="CD65" s="5" t="str">
        <f t="shared" ca="1" si="28"/>
        <v>VIGENTE</v>
      </c>
      <c r="CE65" s="6"/>
      <c r="CF65" s="4">
        <v>45262</v>
      </c>
      <c r="CG65" s="4">
        <f t="shared" si="29"/>
        <v>46723</v>
      </c>
      <c r="CH65" s="8">
        <f t="shared" ca="1" si="30"/>
        <v>578</v>
      </c>
      <c r="CI65" s="5" t="str">
        <f t="shared" ca="1" si="31"/>
        <v>VIGENTE</v>
      </c>
      <c r="CJ65" s="4"/>
      <c r="CK65" s="4">
        <v>45895</v>
      </c>
      <c r="CL65" s="4">
        <f>DATE(YEAR(CK65)+2,MONTH(CK65),DAY(CK65))</f>
        <v>46625</v>
      </c>
      <c r="CM65" s="8">
        <f t="shared" ca="1" si="32"/>
        <v>480</v>
      </c>
      <c r="CN65" s="5" t="str">
        <f t="shared" ca="1" si="33"/>
        <v>VIGENTE</v>
      </c>
      <c r="CO65" s="3"/>
      <c r="CP65" s="39">
        <v>45481</v>
      </c>
      <c r="CQ65" s="4">
        <f>DATE(YEAR(CP65)+2,MONTH(CP65),DAY(CP65)-1)</f>
        <v>46210</v>
      </c>
      <c r="CR65" s="8">
        <f t="shared" ca="1" si="34"/>
        <v>65</v>
      </c>
      <c r="CS65" s="5" t="str">
        <f t="shared" ca="1" si="35"/>
        <v>POR VENCER</v>
      </c>
      <c r="CT65" s="3"/>
      <c r="CU65" s="4">
        <v>45631</v>
      </c>
      <c r="CV65" s="4">
        <f>DATE(YEAR(CU65)+2,MONTH(CU65),DAY(CU65)-1)</f>
        <v>46360</v>
      </c>
      <c r="CW65" s="8">
        <f t="shared" ca="1" si="36"/>
        <v>215</v>
      </c>
      <c r="CX65" s="5" t="str">
        <f t="shared" ca="1" si="37"/>
        <v>VIGENTE</v>
      </c>
      <c r="CY65" s="3"/>
      <c r="CZ65" s="4">
        <v>45661</v>
      </c>
      <c r="DA65" s="4">
        <f>DATE(YEAR(CZ65)+2,MONTH(CZ65),DAY(CZ65)-1)</f>
        <v>46390</v>
      </c>
      <c r="DB65" s="8">
        <f t="shared" ca="1" si="38"/>
        <v>245</v>
      </c>
      <c r="DC65" s="5" t="str">
        <f t="shared" ca="1" si="39"/>
        <v>VIGENTE</v>
      </c>
      <c r="DD65" s="3"/>
      <c r="DE65" s="39">
        <v>45689</v>
      </c>
      <c r="DF65" s="4">
        <f>DATE(YEAR(DE65)+2,MONTH(DE65),DAY(DE65)-1)</f>
        <v>46418</v>
      </c>
      <c r="DG65" s="8">
        <f t="shared" ca="1" si="40"/>
        <v>273</v>
      </c>
      <c r="DH65" s="5" t="str">
        <f t="shared" ca="1" si="41"/>
        <v>VIGENTE</v>
      </c>
      <c r="DI65" s="3"/>
      <c r="DJ65" s="39">
        <v>46126</v>
      </c>
      <c r="DK65" s="4">
        <f>DATE(YEAR(DJ65)+2,MONTH(DJ65),DAY(DJ65)-1)</f>
        <v>46856</v>
      </c>
      <c r="DL65" s="8">
        <f t="shared" ca="1" si="43"/>
        <v>711</v>
      </c>
      <c r="DM65" s="5" t="str">
        <f t="shared" ca="1" si="44"/>
        <v>VIGENTE</v>
      </c>
      <c r="DN65" s="3"/>
      <c r="DO65" s="4">
        <v>46128</v>
      </c>
      <c r="DP65" s="4">
        <f>DATE(YEAR(DO65)+2,MONTH(DO65),DAY(DO65)-1)</f>
        <v>46858</v>
      </c>
      <c r="DQ65" s="8">
        <f t="shared" ca="1" si="46"/>
        <v>713</v>
      </c>
      <c r="DR65" s="5" t="str">
        <f t="shared" ca="1" si="47"/>
        <v>VIGENTE</v>
      </c>
      <c r="DS65" s="3"/>
      <c r="DT65" s="4">
        <v>46053</v>
      </c>
      <c r="DU65" s="4">
        <f>DATE(YEAR(DT65)+2,MONTH(DT65),DAY(DT65))</f>
        <v>46783</v>
      </c>
      <c r="DV65" s="8">
        <f t="shared" ca="1" si="48"/>
        <v>638</v>
      </c>
      <c r="DW65" s="5" t="str">
        <f t="shared" ca="1" si="49"/>
        <v>VIGENTE</v>
      </c>
      <c r="DX65" s="3"/>
      <c r="DY65" s="4">
        <v>45474</v>
      </c>
      <c r="DZ65" s="4">
        <f>DATE(YEAR(DY65)+2,MONTH(DY65),DAY(DY65)-1)</f>
        <v>46203</v>
      </c>
      <c r="EA65" s="8">
        <f t="shared" ca="1" si="50"/>
        <v>58</v>
      </c>
      <c r="EB65" s="5" t="str">
        <f t="shared" ca="1" si="51"/>
        <v>POR VENCER</v>
      </c>
      <c r="EC65" s="3"/>
      <c r="ED65" s="39">
        <v>46112</v>
      </c>
      <c r="EE65" s="4">
        <f>DATE(YEAR(ED65)+2,MONTH(ED65),DAY(ED65)-1)</f>
        <v>46842</v>
      </c>
      <c r="EF65" s="8">
        <f t="shared" ca="1" si="52"/>
        <v>697</v>
      </c>
      <c r="EG65" s="5" t="str">
        <f t="shared" ca="1" si="53"/>
        <v>VIGENTE</v>
      </c>
      <c r="EH65" s="3"/>
      <c r="EI65" s="4">
        <v>46123</v>
      </c>
      <c r="EJ65" s="4">
        <f t="shared" si="131"/>
        <v>46488</v>
      </c>
      <c r="EK65" s="8">
        <f t="shared" ca="1" si="54"/>
        <v>343</v>
      </c>
      <c r="EL65" s="5" t="str">
        <f t="shared" ca="1" si="55"/>
        <v>VIGENTE</v>
      </c>
      <c r="EM65" s="3"/>
      <c r="EN65" s="4">
        <v>46135</v>
      </c>
      <c r="EO65" s="4">
        <f>DATE(YEAR(EN65)+2,MONTH(EN65),DAY(EN65)-1)</f>
        <v>46865</v>
      </c>
      <c r="EP65" s="8">
        <f t="shared" ca="1" si="56"/>
        <v>720</v>
      </c>
      <c r="EQ65" s="5" t="str">
        <f t="shared" ca="1" si="57"/>
        <v>VIGENTE</v>
      </c>
      <c r="ER65" s="3"/>
      <c r="ES65" s="39">
        <v>46094</v>
      </c>
      <c r="ET65" s="4">
        <f>DATE(YEAR(ES65)+2,MONTH(ES65),DAY(ES65))</f>
        <v>46825</v>
      </c>
      <c r="EU65" s="8">
        <f t="shared" ca="1" si="58"/>
        <v>680</v>
      </c>
      <c r="EV65" s="5" t="str">
        <f t="shared" ca="1" si="59"/>
        <v>VIGENTE</v>
      </c>
      <c r="EW65" s="3"/>
      <c r="EX65" s="4">
        <v>45953</v>
      </c>
      <c r="EY65" s="4">
        <f t="shared" si="234"/>
        <v>46683</v>
      </c>
      <c r="EZ65" s="8">
        <f t="shared" ca="1" si="60"/>
        <v>538</v>
      </c>
      <c r="FA65" s="5" t="str">
        <f t="shared" ca="1" si="61"/>
        <v>VIGENTE</v>
      </c>
      <c r="FB65" s="3"/>
      <c r="FC65" s="4">
        <v>45951</v>
      </c>
      <c r="FD65" s="4">
        <f t="shared" si="235"/>
        <v>46681</v>
      </c>
      <c r="FE65" s="8">
        <f t="shared" ca="1" si="62"/>
        <v>536</v>
      </c>
      <c r="FF65" s="5" t="str">
        <f t="shared" ca="1" si="63"/>
        <v>VIGENTE</v>
      </c>
      <c r="FG65" s="3"/>
      <c r="FH65" s="4">
        <v>45932</v>
      </c>
      <c r="FI65" s="4">
        <f t="shared" si="236"/>
        <v>46662</v>
      </c>
      <c r="FJ65" s="8">
        <f t="shared" ca="1" si="64"/>
        <v>517</v>
      </c>
      <c r="FK65" s="5" t="str">
        <f t="shared" ca="1" si="65"/>
        <v>VIGENTE</v>
      </c>
      <c r="FL65" s="3"/>
      <c r="FM65" s="39">
        <v>46129</v>
      </c>
      <c r="FN65" s="4">
        <f>DATE(YEAR(FM65)+2,MONTH(FM65),DAY(FM65)-1)</f>
        <v>46859</v>
      </c>
      <c r="FO65" s="8">
        <f t="shared" ca="1" si="67"/>
        <v>714</v>
      </c>
      <c r="FP65" s="5" t="str">
        <f t="shared" ca="1" si="68"/>
        <v>VIGENTE</v>
      </c>
      <c r="FQ65" s="3"/>
      <c r="FR65" s="39">
        <v>46132</v>
      </c>
      <c r="FS65" s="4">
        <f>DATE(YEAR(FR65)+2,MONTH(FR65),DAY(FR65)-1)</f>
        <v>46862</v>
      </c>
      <c r="FT65" s="8">
        <f t="shared" ca="1" si="69"/>
        <v>717</v>
      </c>
      <c r="FU65" s="5" t="str">
        <f t="shared" ca="1" si="70"/>
        <v>VIGENTE</v>
      </c>
      <c r="FV65" s="3"/>
      <c r="FW65" s="4">
        <v>45908</v>
      </c>
      <c r="FX65" s="4">
        <f>DATE(YEAR(FW65)+2,MONTH(FW65),DAY(FW65))</f>
        <v>46638</v>
      </c>
      <c r="FY65" s="8">
        <f t="shared" ca="1" si="71"/>
        <v>493</v>
      </c>
      <c r="FZ65" s="5" t="str">
        <f t="shared" ca="1" si="72"/>
        <v>VIGENTE</v>
      </c>
      <c r="GA65" s="3"/>
      <c r="GB65" s="4">
        <v>45469</v>
      </c>
      <c r="GC65" s="4">
        <f>DATE(YEAR(GB65)+2,MONTH(GB65),DAY(GB65)-1)</f>
        <v>46198</v>
      </c>
      <c r="GD65" s="8">
        <f t="shared" ca="1" si="73"/>
        <v>53</v>
      </c>
      <c r="GE65" s="5" t="str">
        <f t="shared" ca="1" si="74"/>
        <v>POR VENCER</v>
      </c>
      <c r="GF65" s="3"/>
      <c r="GG65" s="4">
        <v>45472</v>
      </c>
      <c r="GH65" s="4">
        <f>DATE(YEAR(GG65)+2,MONTH(GG65),DAY(GG65)-1)</f>
        <v>46201</v>
      </c>
      <c r="GI65" s="8">
        <f t="shared" ca="1" si="75"/>
        <v>56</v>
      </c>
      <c r="GJ65" s="5" t="str">
        <f t="shared" ca="1" si="76"/>
        <v>POR VENCER</v>
      </c>
      <c r="GK65" s="3"/>
      <c r="GL65" s="4">
        <v>46093</v>
      </c>
      <c r="GM65" s="4">
        <f t="shared" si="238"/>
        <v>46824</v>
      </c>
      <c r="GN65" s="8">
        <f t="shared" ca="1" si="77"/>
        <v>679</v>
      </c>
      <c r="GO65" s="5" t="str">
        <f t="shared" ca="1" si="78"/>
        <v>VIGENTE</v>
      </c>
      <c r="GP65" s="4"/>
      <c r="GQ65" s="4">
        <v>45244</v>
      </c>
      <c r="GR65" s="4">
        <f t="shared" si="79"/>
        <v>47071</v>
      </c>
      <c r="GS65" s="8">
        <f t="shared" ca="1" si="176"/>
        <v>926</v>
      </c>
      <c r="GT65" s="5" t="str">
        <f t="shared" ca="1" si="81"/>
        <v>VIGENTE</v>
      </c>
      <c r="GU65" s="3"/>
      <c r="GV65" s="4">
        <v>45254</v>
      </c>
      <c r="GW65" s="4">
        <f t="shared" si="82"/>
        <v>47081</v>
      </c>
      <c r="GX65" s="8">
        <f t="shared" ca="1" si="83"/>
        <v>936</v>
      </c>
      <c r="GY65" s="5" t="str">
        <f t="shared" ca="1" si="84"/>
        <v>VIGENTE</v>
      </c>
      <c r="GZ65" s="3"/>
      <c r="HA65" s="4">
        <v>45268</v>
      </c>
      <c r="HB65" s="4">
        <f t="shared" si="85"/>
        <v>47095</v>
      </c>
      <c r="HC65" s="8">
        <f t="shared" ca="1" si="86"/>
        <v>950</v>
      </c>
      <c r="HD65" s="5" t="str">
        <f t="shared" ca="1" si="87"/>
        <v>VIGENTE</v>
      </c>
      <c r="HE65" s="6"/>
      <c r="HF65" s="4">
        <v>44862</v>
      </c>
      <c r="HG65" s="4">
        <f>DATE(YEAR(HF65)+5,MONTH(HF65),DAY(HF65))</f>
        <v>46688</v>
      </c>
      <c r="HH65" s="8">
        <f ca="1">HG65-TODAY()</f>
        <v>543</v>
      </c>
      <c r="HI65" s="5" t="str">
        <f t="shared" ca="1" si="224"/>
        <v>VIGENTE</v>
      </c>
      <c r="HJ65" s="3"/>
      <c r="HK65" s="4">
        <v>45370</v>
      </c>
      <c r="HL65" s="4">
        <f>DATE(YEAR(HK65)+5,MONTH(HK65),DAY(HK65))</f>
        <v>47196</v>
      </c>
      <c r="HM65" s="8">
        <f ca="1">HL65-TODAY()</f>
        <v>1051</v>
      </c>
      <c r="HN65" s="5" t="str">
        <f t="shared" ca="1" si="228"/>
        <v>VIGENTE</v>
      </c>
      <c r="HO65" s="2"/>
      <c r="HP65" s="3">
        <v>45374</v>
      </c>
      <c r="HQ65" s="4">
        <f>DATE(YEAR(HP65)+5,MONTH(HP65),DAY(HP65))</f>
        <v>47200</v>
      </c>
      <c r="HR65" s="8">
        <f ca="1">HQ65-TODAY()</f>
        <v>1055</v>
      </c>
      <c r="HS65" s="5" t="str">
        <f t="shared" ca="1" si="92"/>
        <v>VIGENTE</v>
      </c>
      <c r="HT65" s="3"/>
      <c r="HU65" s="4">
        <v>45440</v>
      </c>
      <c r="HV65" s="4">
        <f>DATE(YEAR(HU65)+5,MONTH(HU65),DAY(HU65))</f>
        <v>47266</v>
      </c>
      <c r="HW65" s="8">
        <f ca="1">HV65-TODAY()</f>
        <v>1121</v>
      </c>
      <c r="HX65" s="5" t="str">
        <f t="shared" ca="1" si="93"/>
        <v>VIGENTE</v>
      </c>
      <c r="HY65" s="3"/>
      <c r="HZ65" s="4">
        <v>45234</v>
      </c>
      <c r="IA65" s="4">
        <f>DATE(YEAR(HZ65)+5,MONTH(HZ65),DAY(HZ65))</f>
        <v>47061</v>
      </c>
      <c r="IB65" s="8">
        <f ca="1">IA65-TODAY()</f>
        <v>916</v>
      </c>
      <c r="IC65" s="5" t="str">
        <f t="shared" ca="1" si="94"/>
        <v>VIGENTE</v>
      </c>
      <c r="ID65" s="3"/>
      <c r="IE65" s="4">
        <v>45470</v>
      </c>
      <c r="IF65" s="4">
        <f>DATE(YEAR(IE65)+5,MONTH(IE65),DAY(IE65))</f>
        <v>47296</v>
      </c>
      <c r="IG65" s="8">
        <f ca="1">IF65-TODAY()</f>
        <v>1151</v>
      </c>
      <c r="IH65" s="5" t="str">
        <f t="shared" ca="1" si="95"/>
        <v>VIGENTE</v>
      </c>
      <c r="II65" s="4"/>
      <c r="IJ65" s="4">
        <v>45452</v>
      </c>
      <c r="IK65" s="4">
        <f>DATE(YEAR(IJ65)+5,MONTH(IJ65),DAY(IJ65))</f>
        <v>47278</v>
      </c>
      <c r="IL65" s="8">
        <f ca="1">IK65-TODAY()</f>
        <v>1133</v>
      </c>
      <c r="IM65" s="5" t="str">
        <f t="shared" ca="1" si="96"/>
        <v>VIGENTE</v>
      </c>
      <c r="IN65" s="3"/>
      <c r="IO65" s="4">
        <v>45433</v>
      </c>
      <c r="IP65" s="4">
        <f>DATE(YEAR(IO65)+5,MONTH(IO65),DAY(IO65))</f>
        <v>47259</v>
      </c>
      <c r="IQ65" s="8">
        <f ca="1">IP65-TODAY()</f>
        <v>1114</v>
      </c>
      <c r="IR65" s="5" t="str">
        <f t="shared" ca="1" si="97"/>
        <v>VIGENTE</v>
      </c>
      <c r="IS65" s="3"/>
      <c r="IT65" s="4">
        <v>45471</v>
      </c>
      <c r="IU65" s="4">
        <f>DATE(YEAR(IT65)+5,MONTH(IT65),DAY(IT65))</f>
        <v>47297</v>
      </c>
      <c r="IV65" s="8">
        <f ca="1">IU65-TODAY()</f>
        <v>1152</v>
      </c>
      <c r="IW65" s="5" t="str">
        <f t="shared" ca="1" si="98"/>
        <v>VIGENTE</v>
      </c>
      <c r="IX65" s="3"/>
      <c r="IY65" s="4">
        <v>45224</v>
      </c>
      <c r="IZ65" s="4">
        <f>DATE(YEAR(IY65)+5,MONTH(IY65),DAY(IY65))</f>
        <v>47051</v>
      </c>
      <c r="JA65" s="8">
        <f ca="1">IZ65-TODAY()</f>
        <v>906</v>
      </c>
      <c r="JB65" s="5" t="str">
        <f t="shared" ca="1" si="99"/>
        <v>VIGENTE</v>
      </c>
      <c r="JC65" s="3" t="s">
        <v>780</v>
      </c>
      <c r="JD65" s="3"/>
      <c r="JE65" s="4"/>
      <c r="JF65" s="8"/>
      <c r="JG65" s="5"/>
      <c r="JH65" s="3" t="s">
        <v>780</v>
      </c>
      <c r="JI65" s="6"/>
      <c r="JJ65" s="6"/>
      <c r="JK65" s="6"/>
      <c r="JL65" s="5"/>
      <c r="JM65" s="6" t="s">
        <v>780</v>
      </c>
      <c r="JN65" s="6"/>
      <c r="JO65" s="6"/>
      <c r="JP65" s="6"/>
      <c r="JQ65" s="5"/>
      <c r="JR65" s="6" t="s">
        <v>780</v>
      </c>
      <c r="JS65" s="6"/>
      <c r="JT65" s="6"/>
      <c r="JU65" s="6"/>
      <c r="JV65" s="5"/>
      <c r="JW65" s="6" t="s">
        <v>780</v>
      </c>
      <c r="JX65" s="5"/>
      <c r="JY65" s="5"/>
      <c r="JZ65" s="5"/>
      <c r="KA65" s="5"/>
      <c r="KB65" s="5"/>
      <c r="KC65" s="5"/>
      <c r="KD65" s="4"/>
      <c r="KE65" s="8"/>
      <c r="KF65" s="5" t="str">
        <f t="shared" si="135"/>
        <v>NO APLICA</v>
      </c>
      <c r="KG65" s="5"/>
      <c r="KH65" s="5"/>
      <c r="KI65" s="4"/>
      <c r="KJ65" s="8"/>
      <c r="KK65" s="5" t="str">
        <f t="shared" si="136"/>
        <v>NO APLICA</v>
      </c>
      <c r="KL65" s="5"/>
      <c r="KM65" s="5"/>
      <c r="KN65" s="4"/>
      <c r="KO65" s="8"/>
      <c r="KP65" s="5" t="str">
        <f t="shared" si="100"/>
        <v>NO APLICA</v>
      </c>
      <c r="KQ65" s="5"/>
      <c r="KR65" s="3">
        <v>45346</v>
      </c>
      <c r="KS65" s="4">
        <f>DATE(YEAR(KR65)+5,MONTH(KR65),DAY(KR65))</f>
        <v>47173</v>
      </c>
      <c r="KT65" s="8">
        <f ca="1">KS65-TODAY()</f>
        <v>1028</v>
      </c>
      <c r="KU65" s="5" t="str">
        <f t="shared" ca="1" si="137"/>
        <v>VIGENTE</v>
      </c>
      <c r="KV65" s="2"/>
      <c r="KW65" s="6"/>
      <c r="KX65" s="4"/>
      <c r="KY65" s="8"/>
      <c r="KZ65" s="5" t="str">
        <f t="shared" si="151"/>
        <v>NO APLICA</v>
      </c>
      <c r="LA65" s="5"/>
      <c r="LB65" s="4">
        <v>44609</v>
      </c>
      <c r="LC65" s="4">
        <f>DATE(YEAR(LB65)+5,MONTH(LB65),DAY(LB65))</f>
        <v>46435</v>
      </c>
      <c r="LD65" s="8">
        <f ca="1">LC65-TODAY()</f>
        <v>290</v>
      </c>
      <c r="LE65" s="5" t="str">
        <f t="shared" ca="1" si="138"/>
        <v>VIGENTE</v>
      </c>
      <c r="LF65" s="4"/>
      <c r="LG65" s="4">
        <v>45611</v>
      </c>
      <c r="LH65" s="4">
        <f>DATE(YEAR(LG65)+2,MONTH(LG65),DAY(LG65))</f>
        <v>46341</v>
      </c>
      <c r="LI65" s="8">
        <f ca="1">LH65-TODAY()</f>
        <v>196</v>
      </c>
      <c r="LJ65" s="5" t="str">
        <f t="shared" ca="1" si="101"/>
        <v>VIGENTE</v>
      </c>
      <c r="LK65" s="5"/>
      <c r="LL65" s="5"/>
      <c r="LM65" s="4"/>
      <c r="LN65" s="8"/>
      <c r="LO65" s="5" t="str">
        <f t="shared" si="152"/>
        <v>NO APLICA</v>
      </c>
      <c r="LP65" s="5"/>
      <c r="LQ65" s="6"/>
      <c r="LR65" s="4"/>
      <c r="LS65" s="8"/>
      <c r="LT65" s="5" t="str">
        <f t="shared" si="139"/>
        <v>NO APLICA</v>
      </c>
      <c r="LU65" s="6"/>
      <c r="LV65" s="6"/>
      <c r="LW65" s="4"/>
      <c r="LX65" s="8"/>
      <c r="LY65" s="5" t="str">
        <f t="shared" si="140"/>
        <v>NO APLICA</v>
      </c>
      <c r="LZ65" s="6"/>
      <c r="MA65" s="6"/>
      <c r="MB65" s="4"/>
      <c r="MC65" s="8"/>
      <c r="MD65" s="5" t="str">
        <f t="shared" si="141"/>
        <v>NO APLICA</v>
      </c>
      <c r="ME65" s="5"/>
      <c r="MF65" s="5"/>
      <c r="MG65" s="4"/>
      <c r="MH65" s="8"/>
      <c r="MI65" s="5" t="str">
        <f t="shared" si="102"/>
        <v>NO APLICA</v>
      </c>
      <c r="MJ65" s="5"/>
      <c r="MK65" s="5"/>
      <c r="ML65" s="4"/>
      <c r="MM65" s="8"/>
      <c r="MN65" s="5" t="str">
        <f t="shared" si="103"/>
        <v>NO APLICA</v>
      </c>
      <c r="MO65" s="5"/>
      <c r="MP65" s="3">
        <v>45154</v>
      </c>
      <c r="MQ65" s="4">
        <f>DATE(YEAR(MP65)+5,MONTH(MP65),DAY(MP65))</f>
        <v>46981</v>
      </c>
      <c r="MR65" s="8">
        <f ca="1">MQ65-TODAY()</f>
        <v>836</v>
      </c>
      <c r="MS65" s="5" t="str">
        <f t="shared" ca="1" si="104"/>
        <v>VIGENTE</v>
      </c>
      <c r="MT65" s="5"/>
      <c r="MU65" s="3">
        <v>45155</v>
      </c>
      <c r="MV65" s="4">
        <f>DATE(YEAR(MU65)+5,MONTH(MU65),DAY(MU65))</f>
        <v>46982</v>
      </c>
      <c r="MW65" s="8">
        <f ca="1">MV65-TODAY()</f>
        <v>837</v>
      </c>
      <c r="MX65" s="5" t="str">
        <f t="shared" ca="1" si="105"/>
        <v>VIGENTE</v>
      </c>
      <c r="MY65" s="5"/>
      <c r="MZ65" s="6"/>
      <c r="NA65" s="4"/>
      <c r="NB65" s="8"/>
      <c r="NC65" s="5" t="str">
        <f t="shared" si="106"/>
        <v>NO APLICA</v>
      </c>
      <c r="ND65" s="5"/>
      <c r="NE65" s="6"/>
      <c r="NF65" s="4"/>
      <c r="NG65" s="8"/>
      <c r="NH65" s="5" t="str">
        <f t="shared" si="107"/>
        <v>NO APLICA</v>
      </c>
      <c r="NI65" s="5"/>
      <c r="NJ65" s="6"/>
      <c r="NK65" s="4"/>
      <c r="NL65" s="8"/>
      <c r="NM65" s="5" t="str">
        <f t="shared" si="108"/>
        <v>NO APLICA</v>
      </c>
      <c r="NN65" s="5"/>
      <c r="NO65" s="5"/>
      <c r="NP65" s="5"/>
      <c r="NQ65" s="5"/>
      <c r="NR65" s="5" t="str">
        <f t="shared" si="109"/>
        <v>NO APLICA</v>
      </c>
      <c r="NS65" s="5"/>
      <c r="NT65" s="5"/>
      <c r="NU65" s="5"/>
      <c r="NV65" s="5"/>
      <c r="NW65" s="5" t="str">
        <f t="shared" si="110"/>
        <v>NO APLICA</v>
      </c>
      <c r="NX65" s="6"/>
      <c r="NY65" s="6"/>
      <c r="NZ65" s="4"/>
      <c r="OA65" s="8"/>
      <c r="OB65" s="5" t="str">
        <f t="shared" si="111"/>
        <v>NO APLICA</v>
      </c>
      <c r="OC65" s="6"/>
      <c r="OD65" s="6"/>
      <c r="OE65" s="6"/>
      <c r="OF65" s="6"/>
      <c r="OG65" s="5" t="str">
        <f t="shared" si="112"/>
        <v>NO APLICA</v>
      </c>
      <c r="OH65" s="6"/>
      <c r="OI65" s="6"/>
      <c r="OJ65" s="4"/>
      <c r="OK65" s="8"/>
      <c r="OL65" s="5" t="str">
        <f t="shared" si="113"/>
        <v>NO APLICA</v>
      </c>
      <c r="OM65" s="6"/>
      <c r="ON65" s="6"/>
      <c r="OO65" s="6"/>
      <c r="OP65" s="6"/>
      <c r="OQ65" s="5" t="str">
        <f t="shared" si="114"/>
        <v>NO APLICA</v>
      </c>
      <c r="OR65" s="6"/>
      <c r="OS65" s="6"/>
      <c r="OT65" s="6"/>
      <c r="OU65" s="6"/>
      <c r="OV65" s="5" t="str">
        <f t="shared" si="115"/>
        <v>NO APLICA</v>
      </c>
      <c r="OW65" s="6"/>
      <c r="OX65" s="6"/>
      <c r="OY65" s="6"/>
      <c r="OZ65" s="6"/>
      <c r="PA65" s="5" t="str">
        <f t="shared" si="116"/>
        <v>NO APLICA</v>
      </c>
      <c r="PB65" s="6"/>
      <c r="PC65" s="6"/>
      <c r="PD65" s="6"/>
      <c r="PE65" s="6"/>
      <c r="PF65" s="5" t="str">
        <f t="shared" si="117"/>
        <v>NO APLICA</v>
      </c>
      <c r="PG65" s="6"/>
      <c r="PH65" s="6"/>
      <c r="PI65" s="6"/>
      <c r="PJ65" s="6"/>
      <c r="PK65" s="5" t="str">
        <f t="shared" si="118"/>
        <v>NO APLICA</v>
      </c>
      <c r="PL65" s="5"/>
      <c r="PM65" s="6"/>
      <c r="PN65" s="4"/>
      <c r="PO65" s="8"/>
      <c r="PP65" s="5" t="str">
        <f t="shared" si="119"/>
        <v>NO APLICA</v>
      </c>
      <c r="PQ65" s="6"/>
      <c r="PR65" s="6"/>
      <c r="PS65" s="6"/>
      <c r="PT65" s="6"/>
      <c r="PU65" s="5" t="str">
        <f t="shared" si="120"/>
        <v>NO APLICA</v>
      </c>
      <c r="PV65" s="5"/>
      <c r="PW65" s="6"/>
      <c r="PX65" s="6"/>
      <c r="PY65" s="6"/>
      <c r="PZ65" s="5" t="str">
        <f t="shared" si="121"/>
        <v>NO APLICA</v>
      </c>
    </row>
    <row r="66" spans="1:442" ht="15.6" hidden="1" thickTop="1" thickBot="1" x14ac:dyDescent="0.35">
      <c r="A66" s="26">
        <v>63</v>
      </c>
      <c r="B66" s="27">
        <v>458</v>
      </c>
      <c r="C66" s="28" t="s">
        <v>256</v>
      </c>
      <c r="D66" s="29" t="s">
        <v>64</v>
      </c>
      <c r="E66" s="30" t="s">
        <v>133</v>
      </c>
      <c r="F66" s="5"/>
      <c r="G66" s="6"/>
      <c r="H66" s="4"/>
      <c r="I66" s="8"/>
      <c r="J66" s="5" t="str">
        <f t="shared" si="0"/>
        <v>NO APLICA</v>
      </c>
      <c r="K66" s="5"/>
      <c r="L66" s="6"/>
      <c r="M66" s="6"/>
      <c r="N66" s="8"/>
      <c r="O66" s="5" t="str">
        <f t="shared" si="1"/>
        <v>NO APLICA</v>
      </c>
      <c r="P66" s="4"/>
      <c r="Q66" s="4">
        <v>45583</v>
      </c>
      <c r="R66" s="4">
        <f>DATE(YEAR(Q66)+2,MONTH(Q66),DAY(Q66)-1)</f>
        <v>46312</v>
      </c>
      <c r="S66" s="8">
        <f ca="1">R66-TODAY()</f>
        <v>167</v>
      </c>
      <c r="T66" s="5" t="str">
        <f t="shared" ca="1" si="122"/>
        <v>VIGENTE</v>
      </c>
      <c r="U66" s="5"/>
      <c r="V66" s="2" t="s">
        <v>257</v>
      </c>
      <c r="W66" s="4">
        <v>45426</v>
      </c>
      <c r="X66" s="4">
        <f t="shared" si="2"/>
        <v>47252</v>
      </c>
      <c r="Y66" s="8">
        <f t="shared" ca="1" si="3"/>
        <v>1107</v>
      </c>
      <c r="Z66" s="5" t="str">
        <f t="shared" ca="1" si="4"/>
        <v>VIGENTE</v>
      </c>
      <c r="AA66" s="5"/>
      <c r="AB66" s="2" t="s">
        <v>258</v>
      </c>
      <c r="AC66" s="4">
        <v>45190</v>
      </c>
      <c r="AD66" s="4">
        <f>DATE(YEAR(AC66)+5,MONTH(AC66),DAY(AC66))</f>
        <v>47017</v>
      </c>
      <c r="AE66" s="8">
        <f ca="1">AD66-TODAY()</f>
        <v>872</v>
      </c>
      <c r="AF66" s="5" t="str">
        <f t="shared" ca="1" si="7"/>
        <v>VIGENTE</v>
      </c>
      <c r="AG66" s="3"/>
      <c r="AH66" s="4">
        <v>45902</v>
      </c>
      <c r="AI66" s="4">
        <f>DATE(YEAR(AH66)+2,MONTH(AH66),DAY(AH66))</f>
        <v>46632</v>
      </c>
      <c r="AJ66" s="8">
        <f t="shared" ca="1" si="8"/>
        <v>487</v>
      </c>
      <c r="AK66" s="5" t="str">
        <f t="shared" ca="1" si="219"/>
        <v>VIGENTE</v>
      </c>
      <c r="AL66" s="3"/>
      <c r="AM66" s="4">
        <v>45748</v>
      </c>
      <c r="AN66" s="4">
        <f>DATE(YEAR(AM66)+2,MONTH(AM66),DAY(AM66)-1)</f>
        <v>46477</v>
      </c>
      <c r="AO66" s="8">
        <f t="shared" ca="1" si="10"/>
        <v>332</v>
      </c>
      <c r="AP66" s="5" t="str">
        <f t="shared" ca="1" si="11"/>
        <v>VIGENTE</v>
      </c>
      <c r="AQ66" s="3"/>
      <c r="AR66" s="4">
        <v>45887</v>
      </c>
      <c r="AS66" s="4">
        <f t="shared" si="237"/>
        <v>46617</v>
      </c>
      <c r="AT66" s="8">
        <f t="shared" ca="1" si="12"/>
        <v>472</v>
      </c>
      <c r="AU66" s="5" t="str">
        <f t="shared" ca="1" si="13"/>
        <v>VIGENTE</v>
      </c>
      <c r="AV66" s="3"/>
      <c r="AW66" s="4">
        <v>45927</v>
      </c>
      <c r="AX66" s="4">
        <f t="shared" si="232"/>
        <v>46657</v>
      </c>
      <c r="AY66" s="8">
        <f t="shared" ca="1" si="15"/>
        <v>512</v>
      </c>
      <c r="AZ66" s="5" t="str">
        <f t="shared" ca="1" si="16"/>
        <v>VIGENTE</v>
      </c>
      <c r="BA66" s="3"/>
      <c r="BB66" s="4">
        <v>45901</v>
      </c>
      <c r="BC66" s="4">
        <f>DATE(YEAR(BB66)+2,MONTH(BB66),DAY(BB66))</f>
        <v>46631</v>
      </c>
      <c r="BD66" s="8">
        <f t="shared" ca="1" si="17"/>
        <v>486</v>
      </c>
      <c r="BE66" s="5" t="str">
        <f t="shared" ca="1" si="18"/>
        <v>VIGENTE</v>
      </c>
      <c r="BF66" s="3"/>
      <c r="BG66" s="4">
        <v>45826</v>
      </c>
      <c r="BH66" s="4">
        <f>DATE(YEAR(BG66)+2,MONTH(BG66),DAY(BG66))</f>
        <v>46556</v>
      </c>
      <c r="BI66" s="8">
        <f t="shared" ca="1" si="19"/>
        <v>411</v>
      </c>
      <c r="BJ66" s="5" t="str">
        <f t="shared" ca="1" si="20"/>
        <v>VIGENTE</v>
      </c>
      <c r="BK66" s="3"/>
      <c r="BL66" s="4">
        <v>45759</v>
      </c>
      <c r="BM66" s="4">
        <f>DATE(YEAR(BL66)+2,MONTH(BL66),DAY(BL66)-1)</f>
        <v>46488</v>
      </c>
      <c r="BN66" s="8">
        <f t="shared" ca="1" si="21"/>
        <v>343</v>
      </c>
      <c r="BO66" s="5" t="str">
        <f t="shared" ca="1" si="22"/>
        <v>VIGENTE</v>
      </c>
      <c r="BP66" s="3"/>
      <c r="BQ66" s="39">
        <v>45750</v>
      </c>
      <c r="BR66" s="4">
        <f>DATE(YEAR(BQ66)+2,MONTH(BQ66),DAY(BQ66)-1)</f>
        <v>46479</v>
      </c>
      <c r="BS66" s="8">
        <f t="shared" ca="1" si="23"/>
        <v>334</v>
      </c>
      <c r="BT66" s="5" t="str">
        <f t="shared" ca="1" si="24"/>
        <v>VIGENTE</v>
      </c>
      <c r="BU66" s="3"/>
      <c r="BV66" s="4">
        <v>45853</v>
      </c>
      <c r="BW66" s="4">
        <f>DATE(YEAR(BV66)+2,MONTH(BV66),DAY(BV66))</f>
        <v>46583</v>
      </c>
      <c r="BX66" s="8">
        <f t="shared" ca="1" si="25"/>
        <v>438</v>
      </c>
      <c r="BY66" s="5" t="str">
        <f t="shared" ca="1" si="26"/>
        <v>VIGENTE</v>
      </c>
      <c r="BZ66" s="2"/>
      <c r="CA66" s="4">
        <v>45770</v>
      </c>
      <c r="CB66" s="4">
        <f t="shared" si="239"/>
        <v>46500</v>
      </c>
      <c r="CC66" s="8">
        <f t="shared" ca="1" si="27"/>
        <v>355</v>
      </c>
      <c r="CD66" s="5" t="str">
        <f t="shared" ca="1" si="28"/>
        <v>VIGENTE</v>
      </c>
      <c r="CE66" s="6"/>
      <c r="CF66" s="4">
        <v>45533</v>
      </c>
      <c r="CG66" s="4">
        <f t="shared" si="29"/>
        <v>46994</v>
      </c>
      <c r="CH66" s="8">
        <f t="shared" ca="1" si="30"/>
        <v>849</v>
      </c>
      <c r="CI66" s="5" t="str">
        <f t="shared" ca="1" si="31"/>
        <v>VIGENTE</v>
      </c>
      <c r="CJ66" s="4"/>
      <c r="CK66" s="4">
        <v>45801</v>
      </c>
      <c r="CL66" s="4">
        <f>DATE(YEAR(CK66)+2,MONTH(CK66),DAY(CK66)-1)</f>
        <v>46530</v>
      </c>
      <c r="CM66" s="8">
        <f t="shared" ca="1" si="32"/>
        <v>385</v>
      </c>
      <c r="CN66" s="5" t="str">
        <f t="shared" ca="1" si="33"/>
        <v>VIGENTE</v>
      </c>
      <c r="CO66" s="3"/>
      <c r="CP66" s="39">
        <v>45888</v>
      </c>
      <c r="CQ66" s="4">
        <f>DATE(YEAR(CP66)+2,MONTH(CP66),DAY(CP66))</f>
        <v>46618</v>
      </c>
      <c r="CR66" s="8">
        <f t="shared" ca="1" si="34"/>
        <v>473</v>
      </c>
      <c r="CS66" s="5" t="str">
        <f t="shared" ca="1" si="35"/>
        <v>VIGENTE</v>
      </c>
      <c r="CT66" s="3"/>
      <c r="CU66" s="4">
        <v>45805</v>
      </c>
      <c r="CV66" s="4">
        <f>DATE(YEAR(CU66)+2,MONTH(CU66),DAY(CU66))</f>
        <v>46535</v>
      </c>
      <c r="CW66" s="8">
        <f t="shared" ca="1" si="36"/>
        <v>390</v>
      </c>
      <c r="CX66" s="5" t="str">
        <f t="shared" ca="1" si="37"/>
        <v>VIGENTE</v>
      </c>
      <c r="CY66" s="3"/>
      <c r="CZ66" s="4">
        <v>45835</v>
      </c>
      <c r="DA66" s="4">
        <f>DATE(YEAR(CZ66)+2,MONTH(CZ66),DAY(CZ66))</f>
        <v>46565</v>
      </c>
      <c r="DB66" s="8">
        <f t="shared" ca="1" si="38"/>
        <v>420</v>
      </c>
      <c r="DC66" s="5" t="str">
        <f t="shared" ca="1" si="39"/>
        <v>VIGENTE</v>
      </c>
      <c r="DD66" s="3"/>
      <c r="DE66" s="39">
        <v>45761</v>
      </c>
      <c r="DF66" s="4">
        <f>DATE(YEAR(DE66)+2,MONTH(DE66),DAY(DE66))</f>
        <v>46491</v>
      </c>
      <c r="DG66" s="8">
        <f t="shared" ca="1" si="40"/>
        <v>346</v>
      </c>
      <c r="DH66" s="5" t="str">
        <f t="shared" ca="1" si="41"/>
        <v>VIGENTE</v>
      </c>
      <c r="DI66" s="3"/>
      <c r="DJ66" s="39">
        <v>45779</v>
      </c>
      <c r="DK66" s="4">
        <f t="shared" ref="DK66:DK72" si="240">DATE(YEAR(DJ66)+2,MONTH(DJ66),DAY(DJ66))</f>
        <v>46509</v>
      </c>
      <c r="DL66" s="8">
        <f t="shared" ca="1" si="43"/>
        <v>364</v>
      </c>
      <c r="DM66" s="5" t="str">
        <f t="shared" ca="1" si="44"/>
        <v>VIGENTE</v>
      </c>
      <c r="DN66" s="3"/>
      <c r="DO66" s="4">
        <v>45857</v>
      </c>
      <c r="DP66" s="4">
        <f>DATE(YEAR(DO66)+2,MONTH(DO66),DAY(DO66))</f>
        <v>46587</v>
      </c>
      <c r="DQ66" s="8">
        <f t="shared" ca="1" si="46"/>
        <v>442</v>
      </c>
      <c r="DR66" s="5" t="str">
        <f t="shared" ca="1" si="47"/>
        <v>VIGENTE</v>
      </c>
      <c r="DS66" s="3"/>
      <c r="DT66" s="4">
        <v>45800</v>
      </c>
      <c r="DU66" s="4">
        <f>DATE(YEAR(DT66)+2,MONTH(DT66),DAY(DT66)-1)</f>
        <v>46529</v>
      </c>
      <c r="DV66" s="8">
        <f t="shared" ca="1" si="48"/>
        <v>384</v>
      </c>
      <c r="DW66" s="5" t="str">
        <f t="shared" ca="1" si="49"/>
        <v>VIGENTE</v>
      </c>
      <c r="DX66" s="3"/>
      <c r="DY66" s="4">
        <v>45804</v>
      </c>
      <c r="DZ66" s="4">
        <f>DATE(YEAR(DY66)+2,MONTH(DY66),DAY(DY66))</f>
        <v>46534</v>
      </c>
      <c r="EA66" s="8">
        <f t="shared" ca="1" si="50"/>
        <v>389</v>
      </c>
      <c r="EB66" s="5" t="str">
        <f t="shared" ca="1" si="51"/>
        <v>VIGENTE</v>
      </c>
      <c r="EC66" s="3"/>
      <c r="ED66" s="39">
        <v>45787</v>
      </c>
      <c r="EE66" s="4">
        <f>DATE(YEAR(ED66)+2,MONTH(ED66),DAY(ED66))</f>
        <v>46517</v>
      </c>
      <c r="EF66" s="8">
        <f t="shared" ca="1" si="52"/>
        <v>372</v>
      </c>
      <c r="EG66" s="5" t="str">
        <f t="shared" ca="1" si="53"/>
        <v>VIGENTE</v>
      </c>
      <c r="EH66" s="3"/>
      <c r="EI66" s="3">
        <v>45911</v>
      </c>
      <c r="EJ66" s="4">
        <f t="shared" si="131"/>
        <v>46276</v>
      </c>
      <c r="EK66" s="8">
        <f t="shared" ca="1" si="54"/>
        <v>131</v>
      </c>
      <c r="EL66" s="5" t="str">
        <f t="shared" ca="1" si="55"/>
        <v>VIGENTE</v>
      </c>
      <c r="EM66" s="3"/>
      <c r="EN66" s="4">
        <v>45840</v>
      </c>
      <c r="EO66" s="4">
        <f>DATE(YEAR(EN66)+2,MONTH(EN66),DAY(EN66))</f>
        <v>46570</v>
      </c>
      <c r="EP66" s="8">
        <f t="shared" ca="1" si="56"/>
        <v>425</v>
      </c>
      <c r="EQ66" s="5" t="str">
        <f t="shared" ca="1" si="57"/>
        <v>VIGENTE</v>
      </c>
      <c r="ER66" s="3"/>
      <c r="ES66" s="39">
        <v>45824</v>
      </c>
      <c r="ET66" s="4">
        <f>DATE(YEAR(ES66)+2,MONTH(ES66),DAY(ES66))</f>
        <v>46554</v>
      </c>
      <c r="EU66" s="8">
        <f t="shared" ca="1" si="58"/>
        <v>409</v>
      </c>
      <c r="EV66" s="5" t="str">
        <f t="shared" ca="1" si="59"/>
        <v>VIGENTE</v>
      </c>
      <c r="EW66" s="3"/>
      <c r="EX66" s="4">
        <v>45794</v>
      </c>
      <c r="EY66" s="4">
        <f t="shared" si="234"/>
        <v>46524</v>
      </c>
      <c r="EZ66" s="8">
        <f t="shared" ca="1" si="60"/>
        <v>379</v>
      </c>
      <c r="FA66" s="5" t="str">
        <f t="shared" ca="1" si="61"/>
        <v>VIGENTE</v>
      </c>
      <c r="FB66" s="3"/>
      <c r="FC66" s="4">
        <v>45922</v>
      </c>
      <c r="FD66" s="4">
        <f t="shared" si="235"/>
        <v>46652</v>
      </c>
      <c r="FE66" s="8">
        <f t="shared" ca="1" si="62"/>
        <v>507</v>
      </c>
      <c r="FF66" s="5" t="str">
        <f t="shared" ca="1" si="63"/>
        <v>VIGENTE</v>
      </c>
      <c r="FG66" s="3"/>
      <c r="FH66" s="4">
        <v>45790</v>
      </c>
      <c r="FI66" s="4">
        <f t="shared" si="236"/>
        <v>46520</v>
      </c>
      <c r="FJ66" s="8">
        <f t="shared" ca="1" si="64"/>
        <v>375</v>
      </c>
      <c r="FK66" s="5" t="str">
        <f t="shared" ca="1" si="65"/>
        <v>VIGENTE</v>
      </c>
      <c r="FL66" s="3"/>
      <c r="FM66" s="39">
        <v>45850</v>
      </c>
      <c r="FN66" s="4">
        <f>DATE(YEAR(FM66)+2,MONTH(FM66),DAY(FM66))</f>
        <v>46580</v>
      </c>
      <c r="FO66" s="8">
        <f t="shared" ca="1" si="67"/>
        <v>435</v>
      </c>
      <c r="FP66" s="5" t="str">
        <f t="shared" ca="1" si="68"/>
        <v>VIGENTE</v>
      </c>
      <c r="FQ66" s="3"/>
      <c r="FR66" s="39">
        <v>45884</v>
      </c>
      <c r="FS66" s="4">
        <f>DATE(YEAR(FR66)+2,MONTH(FR66),DAY(FR66))</f>
        <v>46614</v>
      </c>
      <c r="FT66" s="8">
        <f t="shared" ca="1" si="69"/>
        <v>469</v>
      </c>
      <c r="FU66" s="5" t="str">
        <f t="shared" ca="1" si="70"/>
        <v>VIGENTE</v>
      </c>
      <c r="FV66" s="3"/>
      <c r="FW66" s="4">
        <v>45758</v>
      </c>
      <c r="FX66" s="4">
        <f>DATE(YEAR(FW66)+2,MONTH(FW66),DAY(FW66)-1)</f>
        <v>46487</v>
      </c>
      <c r="FY66" s="8">
        <f t="shared" ca="1" si="71"/>
        <v>342</v>
      </c>
      <c r="FZ66" s="5" t="str">
        <f t="shared" ca="1" si="72"/>
        <v>VIGENTE</v>
      </c>
      <c r="GA66" s="3"/>
      <c r="GB66" s="4">
        <v>45874</v>
      </c>
      <c r="GC66" s="4">
        <f>DATE(YEAR(GB66)+2,MONTH(GB66),DAY(GB66))</f>
        <v>46604</v>
      </c>
      <c r="GD66" s="8">
        <f t="shared" ca="1" si="73"/>
        <v>459</v>
      </c>
      <c r="GE66" s="5" t="str">
        <f t="shared" ca="1" si="74"/>
        <v>VIGENTE</v>
      </c>
      <c r="GF66" s="3"/>
      <c r="GG66" s="4">
        <v>45912</v>
      </c>
      <c r="GH66" s="4">
        <f>DATE(YEAR(GG66)+2,MONTH(GG66),DAY(GG66))</f>
        <v>46642</v>
      </c>
      <c r="GI66" s="8">
        <f t="shared" ca="1" si="75"/>
        <v>497</v>
      </c>
      <c r="GJ66" s="5" t="str">
        <f t="shared" ca="1" si="76"/>
        <v>VIGENTE</v>
      </c>
      <c r="GK66" s="3"/>
      <c r="GL66" s="4">
        <v>45923</v>
      </c>
      <c r="GM66" s="4">
        <f t="shared" si="238"/>
        <v>46653</v>
      </c>
      <c r="GN66" s="8">
        <f t="shared" ca="1" si="77"/>
        <v>508</v>
      </c>
      <c r="GO66" s="5" t="str">
        <f t="shared" ca="1" si="78"/>
        <v>VIGENTE</v>
      </c>
      <c r="GP66" s="4"/>
      <c r="GQ66" s="4">
        <v>45219</v>
      </c>
      <c r="GR66" s="4">
        <f t="shared" si="79"/>
        <v>47046</v>
      </c>
      <c r="GS66" s="8">
        <f t="shared" ca="1" si="176"/>
        <v>901</v>
      </c>
      <c r="GT66" s="5" t="str">
        <f t="shared" ca="1" si="81"/>
        <v>VIGENTE</v>
      </c>
      <c r="GU66" s="3"/>
      <c r="GV66" s="4">
        <v>45203</v>
      </c>
      <c r="GW66" s="4">
        <f t="shared" si="82"/>
        <v>47030</v>
      </c>
      <c r="GX66" s="8">
        <f t="shared" ca="1" si="83"/>
        <v>885</v>
      </c>
      <c r="GY66" s="5" t="str">
        <f t="shared" ca="1" si="84"/>
        <v>VIGENTE</v>
      </c>
      <c r="GZ66" s="2"/>
      <c r="HA66" s="4">
        <v>45174</v>
      </c>
      <c r="HB66" s="4">
        <f t="shared" si="85"/>
        <v>47001</v>
      </c>
      <c r="HC66" s="8">
        <f t="shared" ca="1" si="86"/>
        <v>856</v>
      </c>
      <c r="HD66" s="5" t="str">
        <f t="shared" ca="1" si="87"/>
        <v>VIGENTE</v>
      </c>
      <c r="HE66" s="6"/>
      <c r="HF66" s="4">
        <v>45196</v>
      </c>
      <c r="HG66" s="4">
        <f>DATE(YEAR(HF66)+5,MONTH(HF66),DAY(HF66))</f>
        <v>47023</v>
      </c>
      <c r="HH66" s="8">
        <f ca="1">HG66-TODAY()</f>
        <v>878</v>
      </c>
      <c r="HI66" s="5" t="str">
        <f t="shared" ca="1" si="224"/>
        <v>VIGENTE</v>
      </c>
      <c r="HJ66" s="2"/>
      <c r="HK66" s="6"/>
      <c r="HL66" s="4"/>
      <c r="HM66" s="8"/>
      <c r="HN66" s="5" t="str">
        <f t="shared" si="228"/>
        <v>NO APLICA</v>
      </c>
      <c r="HO66" s="2"/>
      <c r="HP66" s="5"/>
      <c r="HQ66" s="4"/>
      <c r="HR66" s="5"/>
      <c r="HS66" s="5" t="str">
        <f t="shared" si="92"/>
        <v>NO APLICA</v>
      </c>
      <c r="HT66" s="2"/>
      <c r="HU66" s="6"/>
      <c r="HV66" s="4"/>
      <c r="HW66" s="8"/>
      <c r="HX66" s="5" t="str">
        <f t="shared" si="93"/>
        <v>NO APLICA</v>
      </c>
      <c r="HY66" s="2"/>
      <c r="HZ66" s="6"/>
      <c r="IA66" s="4"/>
      <c r="IB66" s="8"/>
      <c r="IC66" s="5" t="str">
        <f t="shared" si="94"/>
        <v>NO APLICA</v>
      </c>
      <c r="ID66" s="2"/>
      <c r="IE66" s="6"/>
      <c r="IF66" s="4"/>
      <c r="IG66" s="8"/>
      <c r="IH66" s="5" t="str">
        <f t="shared" si="95"/>
        <v>NO APLICA</v>
      </c>
      <c r="II66" s="6"/>
      <c r="IJ66" s="6"/>
      <c r="IK66" s="4"/>
      <c r="IL66" s="8"/>
      <c r="IM66" s="5" t="str">
        <f t="shared" si="96"/>
        <v>NO APLICA</v>
      </c>
      <c r="IN66" s="2"/>
      <c r="IO66" s="6"/>
      <c r="IP66" s="4"/>
      <c r="IQ66" s="8"/>
      <c r="IR66" s="5" t="str">
        <f t="shared" si="97"/>
        <v>NO APLICA</v>
      </c>
      <c r="IS66" s="2"/>
      <c r="IT66" s="6"/>
      <c r="IU66" s="4"/>
      <c r="IV66" s="8"/>
      <c r="IW66" s="5" t="str">
        <f t="shared" si="98"/>
        <v>NO APLICA</v>
      </c>
      <c r="IX66" s="2"/>
      <c r="IY66" s="6"/>
      <c r="IZ66" s="4"/>
      <c r="JA66" s="8"/>
      <c r="JB66" s="5" t="str">
        <f t="shared" si="99"/>
        <v>NO APLICA</v>
      </c>
      <c r="JC66" s="3" t="s">
        <v>780</v>
      </c>
      <c r="JD66" s="3"/>
      <c r="JE66" s="4"/>
      <c r="JF66" s="8"/>
      <c r="JG66" s="5"/>
      <c r="JH66" s="3" t="s">
        <v>780</v>
      </c>
      <c r="JI66" s="6"/>
      <c r="JJ66" s="6"/>
      <c r="JK66" s="6"/>
      <c r="JL66" s="5"/>
      <c r="JM66" s="6" t="s">
        <v>780</v>
      </c>
      <c r="JN66" s="6"/>
      <c r="JO66" s="6"/>
      <c r="JP66" s="6"/>
      <c r="JQ66" s="5"/>
      <c r="JR66" s="6" t="s">
        <v>780</v>
      </c>
      <c r="JS66" s="6"/>
      <c r="JT66" s="6"/>
      <c r="JU66" s="6"/>
      <c r="JV66" s="5"/>
      <c r="JW66" s="6" t="s">
        <v>780</v>
      </c>
      <c r="JX66" s="5"/>
      <c r="JY66" s="5"/>
      <c r="JZ66" s="5"/>
      <c r="KA66" s="5"/>
      <c r="KB66" s="5"/>
      <c r="KC66" s="5"/>
      <c r="KD66" s="4"/>
      <c r="KE66" s="8"/>
      <c r="KF66" s="5" t="str">
        <f t="shared" si="135"/>
        <v>NO APLICA</v>
      </c>
      <c r="KG66" s="5"/>
      <c r="KH66" s="5"/>
      <c r="KI66" s="4"/>
      <c r="KJ66" s="8"/>
      <c r="KK66" s="5" t="str">
        <f t="shared" si="136"/>
        <v>NO APLICA</v>
      </c>
      <c r="KL66" s="5"/>
      <c r="KM66" s="5"/>
      <c r="KN66" s="4"/>
      <c r="KO66" s="8"/>
      <c r="KP66" s="5" t="str">
        <f t="shared" si="100"/>
        <v>NO APLICA</v>
      </c>
      <c r="KQ66" s="5"/>
      <c r="KR66" s="2"/>
      <c r="KS66" s="4"/>
      <c r="KT66" s="8"/>
      <c r="KU66" s="5" t="str">
        <f t="shared" si="137"/>
        <v>NO APLICA</v>
      </c>
      <c r="KV66" s="3"/>
      <c r="KW66" s="4">
        <v>44651</v>
      </c>
      <c r="KX66" s="4">
        <f>DATE(YEAR(KW66)+5,MONTH(KW66),DAY(KW66))</f>
        <v>46477</v>
      </c>
      <c r="KY66" s="8">
        <f ca="1">KX66-TODAY()</f>
        <v>332</v>
      </c>
      <c r="KZ66" s="5" t="str">
        <f t="shared" ca="1" si="151"/>
        <v>VIGENTE</v>
      </c>
      <c r="LA66" s="5"/>
      <c r="LB66" s="6"/>
      <c r="LC66" s="4"/>
      <c r="LD66" s="8"/>
      <c r="LE66" s="5" t="str">
        <f t="shared" si="138"/>
        <v>NO APLICA</v>
      </c>
      <c r="LF66" s="6"/>
      <c r="LG66" s="6"/>
      <c r="LH66" s="4"/>
      <c r="LI66" s="8"/>
      <c r="LJ66" s="5" t="str">
        <f t="shared" si="101"/>
        <v>NO APLICA</v>
      </c>
      <c r="LK66" s="5"/>
      <c r="LL66" s="5"/>
      <c r="LM66" s="4"/>
      <c r="LN66" s="8"/>
      <c r="LO66" s="5" t="str">
        <f t="shared" si="152"/>
        <v>NO APLICA</v>
      </c>
      <c r="LP66" s="5"/>
      <c r="LQ66" s="6"/>
      <c r="LR66" s="4"/>
      <c r="LS66" s="8"/>
      <c r="LT66" s="5" t="str">
        <f t="shared" si="139"/>
        <v>NO APLICA</v>
      </c>
      <c r="LU66" s="6"/>
      <c r="LV66" s="6"/>
      <c r="LW66" s="4"/>
      <c r="LX66" s="8"/>
      <c r="LY66" s="5" t="str">
        <f t="shared" si="140"/>
        <v>NO APLICA</v>
      </c>
      <c r="LZ66" s="6"/>
      <c r="MA66" s="6"/>
      <c r="MB66" s="4"/>
      <c r="MC66" s="8"/>
      <c r="MD66" s="5" t="str">
        <f t="shared" si="141"/>
        <v>NO APLICA</v>
      </c>
      <c r="ME66" s="5"/>
      <c r="MF66" s="5"/>
      <c r="MG66" s="4"/>
      <c r="MH66" s="8"/>
      <c r="MI66" s="5" t="str">
        <f t="shared" si="102"/>
        <v>NO APLICA</v>
      </c>
      <c r="MJ66" s="5"/>
      <c r="MK66" s="5"/>
      <c r="ML66" s="4"/>
      <c r="MM66" s="8"/>
      <c r="MN66" s="5" t="str">
        <f t="shared" si="103"/>
        <v>NO APLICA</v>
      </c>
      <c r="MO66" s="5"/>
      <c r="MP66" s="5"/>
      <c r="MQ66" s="4"/>
      <c r="MR66" s="8"/>
      <c r="MS66" s="5" t="str">
        <f t="shared" si="104"/>
        <v>NO APLICA</v>
      </c>
      <c r="MT66" s="5"/>
      <c r="MU66" s="5"/>
      <c r="MV66" s="4"/>
      <c r="MW66" s="5"/>
      <c r="MX66" s="5" t="str">
        <f t="shared" si="105"/>
        <v>NO APLICA</v>
      </c>
      <c r="MY66" s="5"/>
      <c r="MZ66" s="6"/>
      <c r="NA66" s="4"/>
      <c r="NB66" s="8"/>
      <c r="NC66" s="5" t="str">
        <f t="shared" si="106"/>
        <v>NO APLICA</v>
      </c>
      <c r="ND66" s="5"/>
      <c r="NE66" s="6"/>
      <c r="NF66" s="4"/>
      <c r="NG66" s="8"/>
      <c r="NH66" s="5" t="str">
        <f t="shared" si="107"/>
        <v>NO APLICA</v>
      </c>
      <c r="NI66" s="5"/>
      <c r="NJ66" s="6"/>
      <c r="NK66" s="4"/>
      <c r="NL66" s="8"/>
      <c r="NM66" s="5" t="str">
        <f t="shared" si="108"/>
        <v>NO APLICA</v>
      </c>
      <c r="NN66" s="5"/>
      <c r="NO66" s="5"/>
      <c r="NP66" s="4"/>
      <c r="NQ66" s="8"/>
      <c r="NR66" s="5" t="str">
        <f t="shared" si="109"/>
        <v>NO APLICA</v>
      </c>
      <c r="NS66" s="5"/>
      <c r="NT66" s="5"/>
      <c r="NU66" s="5"/>
      <c r="NV66" s="5"/>
      <c r="NW66" s="5" t="str">
        <f t="shared" si="110"/>
        <v>NO APLICA</v>
      </c>
      <c r="NX66" s="6"/>
      <c r="NY66" s="6"/>
      <c r="NZ66" s="4"/>
      <c r="OA66" s="8"/>
      <c r="OB66" s="5" t="str">
        <f t="shared" si="111"/>
        <v>NO APLICA</v>
      </c>
      <c r="OC66" s="6"/>
      <c r="OD66" s="6"/>
      <c r="OE66" s="6"/>
      <c r="OF66" s="6"/>
      <c r="OG66" s="5" t="str">
        <f t="shared" si="112"/>
        <v>NO APLICA</v>
      </c>
      <c r="OH66" s="5"/>
      <c r="OI66" s="5"/>
      <c r="OJ66" s="4"/>
      <c r="OK66" s="8"/>
      <c r="OL66" s="5" t="str">
        <f t="shared" si="113"/>
        <v>NO APLICA</v>
      </c>
      <c r="OM66" s="6"/>
      <c r="ON66" s="6"/>
      <c r="OO66" s="6"/>
      <c r="OP66" s="6"/>
      <c r="OQ66" s="5" t="str">
        <f t="shared" si="114"/>
        <v>NO APLICA</v>
      </c>
      <c r="OR66" s="6"/>
      <c r="OS66" s="6"/>
      <c r="OT66" s="6"/>
      <c r="OU66" s="6"/>
      <c r="OV66" s="5" t="str">
        <f t="shared" si="115"/>
        <v>NO APLICA</v>
      </c>
      <c r="OW66" s="6"/>
      <c r="OX66" s="6"/>
      <c r="OY66" s="6"/>
      <c r="OZ66" s="6"/>
      <c r="PA66" s="5" t="str">
        <f t="shared" si="116"/>
        <v>NO APLICA</v>
      </c>
      <c r="PB66" s="6"/>
      <c r="PC66" s="6"/>
      <c r="PD66" s="6"/>
      <c r="PE66" s="6"/>
      <c r="PF66" s="5" t="str">
        <f t="shared" si="117"/>
        <v>NO APLICA</v>
      </c>
      <c r="PG66" s="6"/>
      <c r="PH66" s="6"/>
      <c r="PI66" s="6"/>
      <c r="PJ66" s="6"/>
      <c r="PK66" s="5" t="str">
        <f t="shared" si="118"/>
        <v>NO APLICA</v>
      </c>
      <c r="PL66" s="5"/>
      <c r="PM66" s="6"/>
      <c r="PN66" s="4"/>
      <c r="PO66" s="8"/>
      <c r="PP66" s="5" t="str">
        <f t="shared" si="119"/>
        <v>NO APLICA</v>
      </c>
      <c r="PQ66" s="6"/>
      <c r="PR66" s="6"/>
      <c r="PS66" s="6"/>
      <c r="PT66" s="6"/>
      <c r="PU66" s="5" t="str">
        <f t="shared" si="120"/>
        <v>NO APLICA</v>
      </c>
      <c r="PV66" s="5"/>
      <c r="PW66" s="6"/>
      <c r="PX66" s="6"/>
      <c r="PY66" s="6"/>
      <c r="PZ66" s="5" t="str">
        <f t="shared" si="121"/>
        <v>NO APLICA</v>
      </c>
    </row>
    <row r="67" spans="1:442" ht="15.6" hidden="1" thickTop="1" thickBot="1" x14ac:dyDescent="0.35">
      <c r="A67" s="26">
        <v>64</v>
      </c>
      <c r="B67" s="31">
        <v>1660</v>
      </c>
      <c r="C67" s="28" t="s">
        <v>259</v>
      </c>
      <c r="D67" s="29" t="s">
        <v>113</v>
      </c>
      <c r="E67" s="30" t="s">
        <v>148</v>
      </c>
      <c r="F67" s="3"/>
      <c r="G67" s="4">
        <v>46119</v>
      </c>
      <c r="H67" s="4">
        <f>DATE(YEAR(G67)+2,MONTH(G67),DAY(G67))</f>
        <v>46850</v>
      </c>
      <c r="I67" s="8">
        <f ca="1">H67-TODAY()</f>
        <v>705</v>
      </c>
      <c r="J67" s="5" t="str">
        <f t="shared" ca="1" si="0"/>
        <v>VIGENTE</v>
      </c>
      <c r="K67" s="5"/>
      <c r="L67" s="6"/>
      <c r="M67" s="6"/>
      <c r="N67" s="8"/>
      <c r="O67" s="5" t="str">
        <f t="shared" si="1"/>
        <v>NO APLICA</v>
      </c>
      <c r="P67" s="6"/>
      <c r="Q67" s="6"/>
      <c r="R67" s="4"/>
      <c r="S67" s="8"/>
      <c r="T67" s="5" t="str">
        <f t="shared" si="122"/>
        <v>NO APLICA</v>
      </c>
      <c r="U67" s="5"/>
      <c r="V67" s="2" t="s">
        <v>260</v>
      </c>
      <c r="W67" s="4">
        <v>44944</v>
      </c>
      <c r="X67" s="4">
        <f t="shared" si="2"/>
        <v>46770</v>
      </c>
      <c r="Y67" s="8">
        <f t="shared" ca="1" si="3"/>
        <v>625</v>
      </c>
      <c r="Z67" s="5" t="str">
        <f t="shared" ca="1" si="4"/>
        <v>VIGENTE</v>
      </c>
      <c r="AA67" s="5"/>
      <c r="AB67" s="2"/>
      <c r="AC67" s="6"/>
      <c r="AD67" s="4"/>
      <c r="AE67" s="8"/>
      <c r="AF67" s="5" t="str">
        <f t="shared" si="7"/>
        <v>NO APLICA</v>
      </c>
      <c r="AG67" s="3"/>
      <c r="AH67" s="4">
        <v>45902</v>
      </c>
      <c r="AI67" s="4">
        <f>DATE(YEAR(AH67)+2,MONTH(AH67),DAY(AH67))</f>
        <v>46632</v>
      </c>
      <c r="AJ67" s="8">
        <f t="shared" ca="1" si="8"/>
        <v>487</v>
      </c>
      <c r="AK67" s="5" t="str">
        <f t="shared" ca="1" si="219"/>
        <v>VIGENTE</v>
      </c>
      <c r="AL67" s="3"/>
      <c r="AM67" s="4">
        <v>45903</v>
      </c>
      <c r="AN67" s="4">
        <f t="shared" ref="AN67:AN72" si="241">DATE(YEAR(AM67)+2,MONTH(AM67),DAY(AM67))</f>
        <v>46633</v>
      </c>
      <c r="AO67" s="8">
        <f t="shared" ca="1" si="10"/>
        <v>488</v>
      </c>
      <c r="AP67" s="5" t="str">
        <f t="shared" ca="1" si="11"/>
        <v>VIGENTE</v>
      </c>
      <c r="AQ67" s="2"/>
      <c r="AR67" s="4">
        <v>45904</v>
      </c>
      <c r="AS67" s="4">
        <f t="shared" si="237"/>
        <v>46634</v>
      </c>
      <c r="AT67" s="8">
        <f t="shared" ca="1" si="12"/>
        <v>489</v>
      </c>
      <c r="AU67" s="5" t="str">
        <f t="shared" ca="1" si="13"/>
        <v>VIGENTE</v>
      </c>
      <c r="AV67" s="2"/>
      <c r="AW67" s="4">
        <v>45990</v>
      </c>
      <c r="AX67" s="4">
        <f t="shared" si="232"/>
        <v>46720</v>
      </c>
      <c r="AY67" s="8">
        <f t="shared" ca="1" si="15"/>
        <v>575</v>
      </c>
      <c r="AZ67" s="5" t="str">
        <f t="shared" ca="1" si="16"/>
        <v>VIGENTE</v>
      </c>
      <c r="BA67" s="3"/>
      <c r="BB67" s="4">
        <v>45943</v>
      </c>
      <c r="BC67" s="4">
        <f>DATE(YEAR(BB67)+2,MONTH(BB67),DAY(BB67))</f>
        <v>46673</v>
      </c>
      <c r="BD67" s="8">
        <f t="shared" ca="1" si="17"/>
        <v>528</v>
      </c>
      <c r="BE67" s="5" t="str">
        <f t="shared" ca="1" si="18"/>
        <v>VIGENTE</v>
      </c>
      <c r="BF67" s="2"/>
      <c r="BG67" s="4">
        <v>45997</v>
      </c>
      <c r="BH67" s="4">
        <f>DATE(YEAR(BG67)+2,MONTH(BG67),DAY(BG67))</f>
        <v>46727</v>
      </c>
      <c r="BI67" s="8">
        <f t="shared" ca="1" si="19"/>
        <v>582</v>
      </c>
      <c r="BJ67" s="5" t="str">
        <f t="shared" ca="1" si="20"/>
        <v>VIGENTE</v>
      </c>
      <c r="BK67" s="3"/>
      <c r="BL67" s="4">
        <v>45976</v>
      </c>
      <c r="BM67" s="4">
        <f>DATE(YEAR(BL67)+2,MONTH(BL67),DAY(BL67))</f>
        <v>46706</v>
      </c>
      <c r="BN67" s="8">
        <f t="shared" ca="1" si="21"/>
        <v>561</v>
      </c>
      <c r="BO67" s="5" t="str">
        <f t="shared" ca="1" si="22"/>
        <v>VIGENTE</v>
      </c>
      <c r="BP67" s="3"/>
      <c r="BQ67" s="39">
        <v>45981</v>
      </c>
      <c r="BR67" s="4">
        <f>DATE(YEAR(BQ67)+2,MONTH(BQ67),DAY(BQ67))</f>
        <v>46711</v>
      </c>
      <c r="BS67" s="8">
        <f t="shared" ca="1" si="23"/>
        <v>566</v>
      </c>
      <c r="BT67" s="5" t="str">
        <f t="shared" ca="1" si="24"/>
        <v>VIGENTE</v>
      </c>
      <c r="BU67" s="3"/>
      <c r="BV67" s="4">
        <v>45950</v>
      </c>
      <c r="BW67" s="4">
        <f>DATE(YEAR(BV67)+2,MONTH(BV67),DAY(BV67))</f>
        <v>46680</v>
      </c>
      <c r="BX67" s="8">
        <f t="shared" ca="1" si="25"/>
        <v>535</v>
      </c>
      <c r="BY67" s="5" t="str">
        <f t="shared" ca="1" si="26"/>
        <v>VIGENTE</v>
      </c>
      <c r="BZ67" s="3"/>
      <c r="CA67" s="4">
        <v>45954</v>
      </c>
      <c r="CB67" s="4">
        <f t="shared" si="239"/>
        <v>46684</v>
      </c>
      <c r="CC67" s="8">
        <f t="shared" ca="1" si="27"/>
        <v>539</v>
      </c>
      <c r="CD67" s="5" t="str">
        <f t="shared" ca="1" si="28"/>
        <v>VIGENTE</v>
      </c>
      <c r="CE67" s="6"/>
      <c r="CF67" s="4">
        <v>45828</v>
      </c>
      <c r="CG67" s="4">
        <f t="shared" si="29"/>
        <v>47289</v>
      </c>
      <c r="CH67" s="8">
        <f t="shared" ca="1" si="30"/>
        <v>1144</v>
      </c>
      <c r="CI67" s="5" t="str">
        <f t="shared" ca="1" si="31"/>
        <v>VIGENTE</v>
      </c>
      <c r="CJ67" s="6"/>
      <c r="CK67" s="4">
        <v>45929</v>
      </c>
      <c r="CL67" s="4">
        <f>DATE(YEAR(CK67)+2,MONTH(CK67),DAY(CK67))</f>
        <v>46659</v>
      </c>
      <c r="CM67" s="8">
        <f t="shared" ca="1" si="32"/>
        <v>514</v>
      </c>
      <c r="CN67" s="5" t="str">
        <f t="shared" ca="1" si="33"/>
        <v>VIGENTE</v>
      </c>
      <c r="CO67" s="3"/>
      <c r="CP67" s="39">
        <v>45882</v>
      </c>
      <c r="CQ67" s="4">
        <f>DATE(YEAR(CP67)+2,MONTH(CP67),DAY(CP67))</f>
        <v>46612</v>
      </c>
      <c r="CR67" s="8">
        <f t="shared" ca="1" si="34"/>
        <v>467</v>
      </c>
      <c r="CS67" s="5" t="str">
        <f t="shared" ca="1" si="35"/>
        <v>VIGENTE</v>
      </c>
      <c r="CT67" s="2"/>
      <c r="CU67" s="4">
        <v>45905</v>
      </c>
      <c r="CV67" s="4">
        <f>DATE(YEAR(CU67)+2,MONTH(CU67),DAY(CU67))</f>
        <v>46635</v>
      </c>
      <c r="CW67" s="8">
        <f t="shared" ca="1" si="36"/>
        <v>490</v>
      </c>
      <c r="CX67" s="5" t="str">
        <f t="shared" ca="1" si="37"/>
        <v>VIGENTE</v>
      </c>
      <c r="CY67" s="3"/>
      <c r="CZ67" s="4">
        <v>45924</v>
      </c>
      <c r="DA67" s="4">
        <f>DATE(YEAR(CZ67)+2,MONTH(CZ67),DAY(CZ67))</f>
        <v>46654</v>
      </c>
      <c r="DB67" s="8">
        <f t="shared" ca="1" si="38"/>
        <v>509</v>
      </c>
      <c r="DC67" s="5" t="str">
        <f t="shared" ca="1" si="39"/>
        <v>VIGENTE</v>
      </c>
      <c r="DD67" s="3"/>
      <c r="DE67" s="39">
        <v>45986</v>
      </c>
      <c r="DF67" s="4">
        <f>DATE(YEAR(DE67)+2,MONTH(DE67),DAY(DE67))</f>
        <v>46716</v>
      </c>
      <c r="DG67" s="8">
        <f t="shared" ca="1" si="40"/>
        <v>571</v>
      </c>
      <c r="DH67" s="5" t="str">
        <f t="shared" ca="1" si="41"/>
        <v>VIGENTE</v>
      </c>
      <c r="DI67" s="2"/>
      <c r="DJ67" s="39">
        <v>45975</v>
      </c>
      <c r="DK67" s="4">
        <f t="shared" si="240"/>
        <v>46705</v>
      </c>
      <c r="DL67" s="8">
        <f t="shared" ca="1" si="43"/>
        <v>560</v>
      </c>
      <c r="DM67" s="5" t="str">
        <f t="shared" ca="1" si="44"/>
        <v>VIGENTE</v>
      </c>
      <c r="DN67" s="3"/>
      <c r="DO67" s="4">
        <v>45982</v>
      </c>
      <c r="DP67" s="4">
        <f>DATE(YEAR(DO67)+2,MONTH(DO67),DAY(DO67))</f>
        <v>46712</v>
      </c>
      <c r="DQ67" s="8">
        <f t="shared" ca="1" si="46"/>
        <v>567</v>
      </c>
      <c r="DR67" s="5" t="str">
        <f t="shared" ca="1" si="47"/>
        <v>VIGENTE</v>
      </c>
      <c r="DS67" s="4"/>
      <c r="DT67" s="4">
        <v>46018</v>
      </c>
      <c r="DU67" s="4">
        <f>DATE(YEAR(DT67)+2,MONTH(DT67),DAY(DT67))</f>
        <v>46748</v>
      </c>
      <c r="DV67" s="8">
        <f t="shared" ca="1" si="48"/>
        <v>603</v>
      </c>
      <c r="DW67" s="5" t="str">
        <f t="shared" ca="1" si="49"/>
        <v>VIGENTE</v>
      </c>
      <c r="DX67" s="3"/>
      <c r="DY67" s="4">
        <v>46020</v>
      </c>
      <c r="DZ67" s="4">
        <f>DATE(YEAR(DY67)+2,MONTH(DY67),DAY(DY67))</f>
        <v>46750</v>
      </c>
      <c r="EA67" s="8">
        <f t="shared" ca="1" si="50"/>
        <v>605</v>
      </c>
      <c r="EB67" s="5" t="str">
        <f t="shared" ca="1" si="51"/>
        <v>VIGENTE</v>
      </c>
      <c r="EC67" s="3"/>
      <c r="ED67" s="39">
        <v>45913</v>
      </c>
      <c r="EE67" s="4">
        <f>DATE(YEAR(ED67)+2,MONTH(ED67),DAY(ED67))</f>
        <v>46643</v>
      </c>
      <c r="EF67" s="8">
        <f t="shared" ca="1" si="52"/>
        <v>498</v>
      </c>
      <c r="EG67" s="5" t="str">
        <f t="shared" ca="1" si="53"/>
        <v>VIGENTE</v>
      </c>
      <c r="EH67" s="3"/>
      <c r="EI67" s="3">
        <v>46015</v>
      </c>
      <c r="EJ67" s="4">
        <f t="shared" si="131"/>
        <v>46380</v>
      </c>
      <c r="EK67" s="8">
        <f t="shared" ca="1" si="54"/>
        <v>235</v>
      </c>
      <c r="EL67" s="5" t="str">
        <f t="shared" ca="1" si="55"/>
        <v>VIGENTE</v>
      </c>
      <c r="EM67" s="3"/>
      <c r="EN67" s="4">
        <v>45940</v>
      </c>
      <c r="EO67" s="4">
        <f>DATE(YEAR(EN67)+2,MONTH(EN67),DAY(EN67))</f>
        <v>46670</v>
      </c>
      <c r="EP67" s="8">
        <f t="shared" ca="1" si="56"/>
        <v>525</v>
      </c>
      <c r="EQ67" s="5" t="str">
        <f t="shared" ca="1" si="57"/>
        <v>VIGENTE</v>
      </c>
      <c r="ER67" s="2"/>
      <c r="ES67" s="39">
        <v>45922</v>
      </c>
      <c r="ET67" s="4">
        <f>DATE(YEAR(ES67)+2,MONTH(ES67),DAY(ES67))</f>
        <v>46652</v>
      </c>
      <c r="EU67" s="8">
        <f t="shared" ca="1" si="58"/>
        <v>507</v>
      </c>
      <c r="EV67" s="5" t="str">
        <f t="shared" ca="1" si="59"/>
        <v>VIGENTE</v>
      </c>
      <c r="EW67" s="3"/>
      <c r="EX67" s="4">
        <v>45973</v>
      </c>
      <c r="EY67" s="4">
        <f t="shared" si="234"/>
        <v>46703</v>
      </c>
      <c r="EZ67" s="8">
        <f t="shared" ca="1" si="60"/>
        <v>558</v>
      </c>
      <c r="FA67" s="5" t="str">
        <f t="shared" ca="1" si="61"/>
        <v>VIGENTE</v>
      </c>
      <c r="FB67" s="3"/>
      <c r="FC67" s="4">
        <v>45951</v>
      </c>
      <c r="FD67" s="4">
        <f t="shared" si="235"/>
        <v>46681</v>
      </c>
      <c r="FE67" s="8">
        <f t="shared" ca="1" si="62"/>
        <v>536</v>
      </c>
      <c r="FF67" s="5" t="str">
        <f t="shared" ca="1" si="63"/>
        <v>VIGENTE</v>
      </c>
      <c r="FG67" s="3"/>
      <c r="FH67" s="4">
        <v>45962</v>
      </c>
      <c r="FI67" s="4">
        <f t="shared" si="236"/>
        <v>46692</v>
      </c>
      <c r="FJ67" s="8">
        <f t="shared" ca="1" si="64"/>
        <v>547</v>
      </c>
      <c r="FK67" s="5" t="str">
        <f t="shared" ca="1" si="65"/>
        <v>VIGENTE</v>
      </c>
      <c r="FL67" s="3"/>
      <c r="FM67" s="39">
        <v>45933</v>
      </c>
      <c r="FN67" s="4">
        <f>DATE(YEAR(FM67)+2,MONTH(FM67),DAY(FM67))</f>
        <v>46663</v>
      </c>
      <c r="FO67" s="8">
        <f t="shared" ca="1" si="67"/>
        <v>518</v>
      </c>
      <c r="FP67" s="5" t="str">
        <f t="shared" ca="1" si="68"/>
        <v>VIGENTE</v>
      </c>
      <c r="FQ67" s="3"/>
      <c r="FR67" s="39">
        <v>45957</v>
      </c>
      <c r="FS67" s="4">
        <f>DATE(YEAR(FR67)+2,MONTH(FR67),DAY(FR67))</f>
        <v>46687</v>
      </c>
      <c r="FT67" s="8">
        <f t="shared" ca="1" si="69"/>
        <v>542</v>
      </c>
      <c r="FU67" s="5" t="str">
        <f t="shared" ca="1" si="70"/>
        <v>VIGENTE</v>
      </c>
      <c r="FV67" s="3"/>
      <c r="FW67" s="4">
        <v>45941</v>
      </c>
      <c r="FX67" s="4">
        <f>DATE(YEAR(FW67)+2,MONTH(FW67),DAY(FW67))</f>
        <v>46671</v>
      </c>
      <c r="FY67" s="8">
        <f t="shared" ca="1" si="71"/>
        <v>526</v>
      </c>
      <c r="FZ67" s="5" t="str">
        <f t="shared" ca="1" si="72"/>
        <v>VIGENTE</v>
      </c>
      <c r="GA67" s="3"/>
      <c r="GB67" s="4">
        <v>45925</v>
      </c>
      <c r="GC67" s="4">
        <f>DATE(YEAR(GB67)+2,MONTH(GB67),DAY(GB67))</f>
        <v>46655</v>
      </c>
      <c r="GD67" s="8">
        <f t="shared" ca="1" si="73"/>
        <v>510</v>
      </c>
      <c r="GE67" s="5" t="str">
        <f t="shared" ca="1" si="74"/>
        <v>VIGENTE</v>
      </c>
      <c r="GF67" s="3"/>
      <c r="GG67" s="4">
        <v>45912</v>
      </c>
      <c r="GH67" s="4">
        <f>DATE(YEAR(GG67)+2,MONTH(GG67),DAY(GG67))</f>
        <v>46642</v>
      </c>
      <c r="GI67" s="8">
        <f t="shared" ca="1" si="75"/>
        <v>497</v>
      </c>
      <c r="GJ67" s="5" t="str">
        <f t="shared" ca="1" si="76"/>
        <v>VIGENTE</v>
      </c>
      <c r="GK67" s="3"/>
      <c r="GL67" s="4">
        <v>45945</v>
      </c>
      <c r="GM67" s="4">
        <f t="shared" si="238"/>
        <v>46675</v>
      </c>
      <c r="GN67" s="8">
        <f t="shared" ca="1" si="77"/>
        <v>530</v>
      </c>
      <c r="GO67" s="5" t="str">
        <f t="shared" ca="1" si="78"/>
        <v>VIGENTE</v>
      </c>
      <c r="GP67" s="4"/>
      <c r="GQ67" s="4">
        <v>45299</v>
      </c>
      <c r="GR67" s="4">
        <f t="shared" si="79"/>
        <v>47126</v>
      </c>
      <c r="GS67" s="8">
        <f t="shared" ca="1" si="176"/>
        <v>981</v>
      </c>
      <c r="GT67" s="5" t="str">
        <f t="shared" ca="1" si="81"/>
        <v>VIGENTE</v>
      </c>
      <c r="GU67" s="3"/>
      <c r="GV67" s="4">
        <v>45277</v>
      </c>
      <c r="GW67" s="4">
        <f t="shared" si="82"/>
        <v>47104</v>
      </c>
      <c r="GX67" s="8">
        <f t="shared" ca="1" si="83"/>
        <v>959</v>
      </c>
      <c r="GY67" s="5" t="str">
        <f t="shared" ca="1" si="84"/>
        <v>VIGENTE</v>
      </c>
      <c r="GZ67" s="2"/>
      <c r="HA67" s="4">
        <v>45258</v>
      </c>
      <c r="HB67" s="4">
        <f t="shared" si="85"/>
        <v>47085</v>
      </c>
      <c r="HC67" s="8">
        <f t="shared" ca="1" si="86"/>
        <v>940</v>
      </c>
      <c r="HD67" s="5" t="str">
        <f t="shared" ca="1" si="87"/>
        <v>VIGENTE</v>
      </c>
      <c r="HE67" s="6"/>
      <c r="HF67" s="6"/>
      <c r="HG67" s="4"/>
      <c r="HH67" s="8"/>
      <c r="HI67" s="5" t="str">
        <f t="shared" si="224"/>
        <v>NO APLICA</v>
      </c>
      <c r="HJ67" s="2"/>
      <c r="HK67" s="6"/>
      <c r="HL67" s="4"/>
      <c r="HM67" s="8"/>
      <c r="HN67" s="5" t="str">
        <f t="shared" si="228"/>
        <v>NO APLICA</v>
      </c>
      <c r="HO67" s="2"/>
      <c r="HP67" s="2"/>
      <c r="HQ67" s="4"/>
      <c r="HR67" s="2"/>
      <c r="HS67" s="5" t="str">
        <f t="shared" si="92"/>
        <v>NO APLICA</v>
      </c>
      <c r="HT67" s="2"/>
      <c r="HU67" s="6"/>
      <c r="HV67" s="4"/>
      <c r="HW67" s="8"/>
      <c r="HX67" s="5" t="str">
        <f t="shared" si="93"/>
        <v>NO APLICA</v>
      </c>
      <c r="HY67" s="2"/>
      <c r="HZ67" s="6"/>
      <c r="IA67" s="4"/>
      <c r="IB67" s="8"/>
      <c r="IC67" s="5" t="str">
        <f t="shared" si="94"/>
        <v>NO APLICA</v>
      </c>
      <c r="ID67" s="2"/>
      <c r="IE67" s="6"/>
      <c r="IF67" s="4"/>
      <c r="IG67" s="8"/>
      <c r="IH67" s="5" t="str">
        <f t="shared" si="95"/>
        <v>NO APLICA</v>
      </c>
      <c r="II67" s="6"/>
      <c r="IJ67" s="6"/>
      <c r="IK67" s="4"/>
      <c r="IL67" s="8"/>
      <c r="IM67" s="5" t="str">
        <f t="shared" si="96"/>
        <v>NO APLICA</v>
      </c>
      <c r="IN67" s="2"/>
      <c r="IO67" s="6"/>
      <c r="IP67" s="4"/>
      <c r="IQ67" s="8"/>
      <c r="IR67" s="5" t="str">
        <f t="shared" si="97"/>
        <v>NO APLICA</v>
      </c>
      <c r="IS67" s="2"/>
      <c r="IT67" s="6"/>
      <c r="IU67" s="4"/>
      <c r="IV67" s="8"/>
      <c r="IW67" s="5" t="str">
        <f t="shared" si="98"/>
        <v>NO APLICA</v>
      </c>
      <c r="IX67" s="2"/>
      <c r="IY67" s="6"/>
      <c r="IZ67" s="4"/>
      <c r="JA67" s="8"/>
      <c r="JB67" s="5" t="str">
        <f t="shared" si="99"/>
        <v>NO APLICA</v>
      </c>
      <c r="JC67" s="3" t="s">
        <v>780</v>
      </c>
      <c r="JD67" s="3"/>
      <c r="JE67" s="4"/>
      <c r="JF67" s="8"/>
      <c r="JG67" s="5"/>
      <c r="JH67" s="3" t="s">
        <v>780</v>
      </c>
      <c r="JI67" s="6"/>
      <c r="JJ67" s="6"/>
      <c r="JK67" s="6"/>
      <c r="JL67" s="5"/>
      <c r="JM67" s="6" t="s">
        <v>780</v>
      </c>
      <c r="JN67" s="6"/>
      <c r="JO67" s="6"/>
      <c r="JP67" s="6"/>
      <c r="JQ67" s="5"/>
      <c r="JR67" s="6" t="s">
        <v>780</v>
      </c>
      <c r="JS67" s="6"/>
      <c r="JT67" s="6"/>
      <c r="JU67" s="6"/>
      <c r="JV67" s="5"/>
      <c r="JW67" s="6" t="s">
        <v>780</v>
      </c>
      <c r="JX67" s="5"/>
      <c r="JY67" s="5"/>
      <c r="JZ67" s="5"/>
      <c r="KA67" s="5"/>
      <c r="KB67" s="5"/>
      <c r="KC67" s="2"/>
      <c r="KD67" s="4"/>
      <c r="KE67" s="8"/>
      <c r="KF67" s="5" t="str">
        <f t="shared" si="135"/>
        <v>NO APLICA</v>
      </c>
      <c r="KG67" s="5"/>
      <c r="KH67" s="2"/>
      <c r="KI67" s="4"/>
      <c r="KJ67" s="8"/>
      <c r="KK67" s="5" t="str">
        <f t="shared" si="136"/>
        <v>NO APLICA</v>
      </c>
      <c r="KL67" s="5"/>
      <c r="KM67" s="2"/>
      <c r="KN67" s="4"/>
      <c r="KO67" s="8"/>
      <c r="KP67" s="5" t="str">
        <f t="shared" si="100"/>
        <v>NO APLICA</v>
      </c>
      <c r="KQ67" s="5"/>
      <c r="KR67" s="2"/>
      <c r="KS67" s="4"/>
      <c r="KT67" s="8"/>
      <c r="KU67" s="5" t="str">
        <f t="shared" si="137"/>
        <v>NO APLICA</v>
      </c>
      <c r="KV67" s="2"/>
      <c r="KW67" s="6"/>
      <c r="KX67" s="4"/>
      <c r="KY67" s="8"/>
      <c r="KZ67" s="5" t="str">
        <f t="shared" si="151"/>
        <v>NO APLICA</v>
      </c>
      <c r="LA67" s="5"/>
      <c r="LB67" s="6"/>
      <c r="LC67" s="4"/>
      <c r="LD67" s="8"/>
      <c r="LE67" s="5" t="str">
        <f t="shared" si="138"/>
        <v>NO APLICA</v>
      </c>
      <c r="LF67" s="6"/>
      <c r="LG67" s="6"/>
      <c r="LH67" s="4"/>
      <c r="LI67" s="8"/>
      <c r="LJ67" s="5" t="str">
        <f t="shared" si="101"/>
        <v>NO APLICA</v>
      </c>
      <c r="LK67" s="5"/>
      <c r="LL67" s="5"/>
      <c r="LM67" s="4"/>
      <c r="LN67" s="8"/>
      <c r="LO67" s="5" t="str">
        <f t="shared" si="152"/>
        <v>NO APLICA</v>
      </c>
      <c r="LP67" s="2"/>
      <c r="LQ67" s="6"/>
      <c r="LR67" s="4"/>
      <c r="LS67" s="8"/>
      <c r="LT67" s="5" t="str">
        <f t="shared" si="139"/>
        <v>NO APLICA</v>
      </c>
      <c r="LU67" s="6"/>
      <c r="LV67" s="6"/>
      <c r="LW67" s="4"/>
      <c r="LX67" s="8"/>
      <c r="LY67" s="5" t="str">
        <f t="shared" si="140"/>
        <v>NO APLICA</v>
      </c>
      <c r="LZ67" s="6"/>
      <c r="MA67" s="6"/>
      <c r="MB67" s="4"/>
      <c r="MC67" s="8"/>
      <c r="MD67" s="5" t="str">
        <f t="shared" si="141"/>
        <v>NO APLICA</v>
      </c>
      <c r="ME67" s="2"/>
      <c r="MF67" s="2"/>
      <c r="MG67" s="4"/>
      <c r="MH67" s="8"/>
      <c r="MI67" s="5" t="str">
        <f t="shared" si="102"/>
        <v>NO APLICA</v>
      </c>
      <c r="MJ67" s="2"/>
      <c r="MK67" s="2"/>
      <c r="ML67" s="4"/>
      <c r="MM67" s="8"/>
      <c r="MN67" s="5" t="str">
        <f t="shared" si="103"/>
        <v>NO APLICA</v>
      </c>
      <c r="MO67" s="5"/>
      <c r="MP67" s="2"/>
      <c r="MQ67" s="4"/>
      <c r="MR67" s="8"/>
      <c r="MS67" s="5" t="str">
        <f t="shared" si="104"/>
        <v>NO APLICA</v>
      </c>
      <c r="MT67" s="5"/>
      <c r="MU67" s="2"/>
      <c r="MV67" s="4"/>
      <c r="MW67" s="2"/>
      <c r="MX67" s="5" t="str">
        <f t="shared" si="105"/>
        <v>NO APLICA</v>
      </c>
      <c r="MY67" s="2"/>
      <c r="MZ67" s="6"/>
      <c r="NA67" s="4"/>
      <c r="NB67" s="8"/>
      <c r="NC67" s="5" t="str">
        <f t="shared" si="106"/>
        <v>NO APLICA</v>
      </c>
      <c r="ND67" s="2"/>
      <c r="NE67" s="6"/>
      <c r="NF67" s="4"/>
      <c r="NG67" s="8"/>
      <c r="NH67" s="5" t="str">
        <f t="shared" si="107"/>
        <v>NO APLICA</v>
      </c>
      <c r="NI67" s="2"/>
      <c r="NJ67" s="6"/>
      <c r="NK67" s="4"/>
      <c r="NL67" s="8"/>
      <c r="NM67" s="5" t="str">
        <f t="shared" si="108"/>
        <v>NO APLICA</v>
      </c>
      <c r="NN67" s="2"/>
      <c r="NO67" s="2"/>
      <c r="NP67" s="4"/>
      <c r="NQ67" s="2"/>
      <c r="NR67" s="5" t="str">
        <f t="shared" si="109"/>
        <v>NO APLICA</v>
      </c>
      <c r="NS67" s="2"/>
      <c r="NT67" s="2"/>
      <c r="NU67" s="4"/>
      <c r="NV67" s="2"/>
      <c r="NW67" s="5" t="str">
        <f t="shared" si="110"/>
        <v>NO APLICA</v>
      </c>
      <c r="NX67" s="6"/>
      <c r="NY67" s="6"/>
      <c r="NZ67" s="4"/>
      <c r="OA67" s="8"/>
      <c r="OB67" s="5" t="str">
        <f t="shared" si="111"/>
        <v>NO APLICA</v>
      </c>
      <c r="OC67" s="6"/>
      <c r="OD67" s="6"/>
      <c r="OE67" s="6"/>
      <c r="OF67" s="6"/>
      <c r="OG67" s="5" t="str">
        <f t="shared" si="112"/>
        <v>NO APLICA</v>
      </c>
      <c r="OH67" s="6"/>
      <c r="OI67" s="6"/>
      <c r="OJ67" s="4"/>
      <c r="OK67" s="8"/>
      <c r="OL67" s="5" t="str">
        <f t="shared" si="113"/>
        <v>NO APLICA</v>
      </c>
      <c r="OM67" s="6"/>
      <c r="ON67" s="6"/>
      <c r="OO67" s="6"/>
      <c r="OP67" s="6"/>
      <c r="OQ67" s="5" t="str">
        <f t="shared" si="114"/>
        <v>NO APLICA</v>
      </c>
      <c r="OR67" s="6"/>
      <c r="OS67" s="6"/>
      <c r="OT67" s="6"/>
      <c r="OU67" s="6"/>
      <c r="OV67" s="5" t="str">
        <f t="shared" si="115"/>
        <v>NO APLICA</v>
      </c>
      <c r="OW67" s="6"/>
      <c r="OX67" s="6"/>
      <c r="OY67" s="6"/>
      <c r="OZ67" s="6"/>
      <c r="PA67" s="5" t="str">
        <f t="shared" si="116"/>
        <v>NO APLICA</v>
      </c>
      <c r="PB67" s="6"/>
      <c r="PC67" s="6"/>
      <c r="PD67" s="6"/>
      <c r="PE67" s="6"/>
      <c r="PF67" s="5" t="str">
        <f t="shared" si="117"/>
        <v>NO APLICA</v>
      </c>
      <c r="PG67" s="6"/>
      <c r="PH67" s="6"/>
      <c r="PI67" s="6"/>
      <c r="PJ67" s="6"/>
      <c r="PK67" s="5" t="str">
        <f t="shared" si="118"/>
        <v>NO APLICA</v>
      </c>
      <c r="PL67" s="5"/>
      <c r="PM67" s="6"/>
      <c r="PN67" s="4"/>
      <c r="PO67" s="8"/>
      <c r="PP67" s="5" t="str">
        <f t="shared" si="119"/>
        <v>NO APLICA</v>
      </c>
      <c r="PQ67" s="6"/>
      <c r="PR67" s="6"/>
      <c r="PS67" s="6"/>
      <c r="PT67" s="6"/>
      <c r="PU67" s="5" t="str">
        <f t="shared" si="120"/>
        <v>NO APLICA</v>
      </c>
      <c r="PV67" s="5"/>
      <c r="PW67" s="6"/>
      <c r="PX67" s="6"/>
      <c r="PY67" s="6"/>
      <c r="PZ67" s="5" t="str">
        <f t="shared" si="121"/>
        <v>NO APLICA</v>
      </c>
    </row>
    <row r="68" spans="1:442" ht="15.6" hidden="1" thickTop="1" thickBot="1" x14ac:dyDescent="0.35">
      <c r="A68" s="26">
        <v>65</v>
      </c>
      <c r="B68" s="27">
        <v>503</v>
      </c>
      <c r="C68" s="28" t="s">
        <v>757</v>
      </c>
      <c r="D68" s="29" t="s">
        <v>113</v>
      </c>
      <c r="E68" s="30" t="s">
        <v>126</v>
      </c>
      <c r="F68" s="3"/>
      <c r="G68" s="4">
        <v>46060</v>
      </c>
      <c r="H68" s="4">
        <f>DATE(YEAR(G68)+2,MONTH(G68),DAY(G68))</f>
        <v>46790</v>
      </c>
      <c r="I68" s="8">
        <f ca="1">H68-TODAY()</f>
        <v>645</v>
      </c>
      <c r="J68" s="5" t="str">
        <f t="shared" ref="J68:J131" ca="1" si="242">IF(I68&gt;=61,"VIGENTE",IF(I68&gt;=1,"POR VENCER",IF(I68&lt;=-1,"VENCIDA",IF(G68=0,"NO APLICA"))))</f>
        <v>VIGENTE</v>
      </c>
      <c r="K68" s="5"/>
      <c r="L68" s="6"/>
      <c r="M68" s="6"/>
      <c r="N68" s="8"/>
      <c r="O68" s="5" t="str">
        <f t="shared" ref="O68:O131" si="243">IF(N68&gt;=61,"VIGENTE",IF(N68&gt;=1,"POR VENCER",IF(N68&lt;=-1,"VENCIDA",IF(L68=0,"NO APLICA"))))</f>
        <v>NO APLICA</v>
      </c>
      <c r="P68" s="6"/>
      <c r="Q68" s="6"/>
      <c r="R68" s="4"/>
      <c r="S68" s="8"/>
      <c r="T68" s="5" t="str">
        <f t="shared" si="122"/>
        <v>NO APLICA</v>
      </c>
      <c r="U68" s="5"/>
      <c r="V68" s="2" t="s">
        <v>261</v>
      </c>
      <c r="W68" s="4">
        <v>44838</v>
      </c>
      <c r="X68" s="4">
        <f t="shared" ref="X68:X108" si="244">DATE(YEAR(W68)+5,MONTH(W68),DAY(W68))</f>
        <v>46664</v>
      </c>
      <c r="Y68" s="8">
        <f t="shared" ref="Y68:Y108" ca="1" si="245">X68-TODAY()</f>
        <v>519</v>
      </c>
      <c r="Z68" s="5" t="str">
        <f t="shared" ref="Z68:Z108" ca="1" si="246">IF(Y68&gt;=90,"VIGENTE",IF(Y68&gt;=1,"POR VENCER",IF(Y68&lt;=-1,"VENCIDA",IF(W68=0,"NO APLICA"))))</f>
        <v>VIGENTE</v>
      </c>
      <c r="AA68" s="5"/>
      <c r="AB68" s="2"/>
      <c r="AC68" s="6"/>
      <c r="AD68" s="4"/>
      <c r="AE68" s="8"/>
      <c r="AF68" s="5" t="str">
        <f t="shared" ref="AF68:AF131" si="247">IF(AE68&gt;=91,"VIGENTE",IF(AE68&gt;=1,"POR VENCER",IF(AE68&lt;=-1,"VENCIDA",IF(AC68=0,"NO APLICA"))))</f>
        <v>NO APLICA</v>
      </c>
      <c r="AG68" s="3"/>
      <c r="AH68" s="4">
        <v>45892</v>
      </c>
      <c r="AI68" s="4">
        <f>DATE(YEAR(AH68)+2,MONTH(AH68),DAY(AH68))</f>
        <v>46622</v>
      </c>
      <c r="AJ68" s="8">
        <f t="shared" ref="AJ68:AJ131" ca="1" si="248">AI68-TODAY()</f>
        <v>477</v>
      </c>
      <c r="AK68" s="5" t="str">
        <f t="shared" ca="1" si="219"/>
        <v>VIGENTE</v>
      </c>
      <c r="AL68" s="3"/>
      <c r="AM68" s="4">
        <v>45980</v>
      </c>
      <c r="AN68" s="4">
        <f t="shared" si="241"/>
        <v>46710</v>
      </c>
      <c r="AO68" s="8">
        <f t="shared" ref="AO68:AO131" ca="1" si="249">AN68-TODAY()</f>
        <v>565</v>
      </c>
      <c r="AP68" s="5" t="str">
        <f t="shared" ref="AP68:AP131" ca="1" si="250">IF(AO68&gt;=91,"VIGENTE",IF(AO68&gt;=1,"POR VENCER",IF(AO68&lt;=-1,"VENCIDA",IF(AM68=0,"NO APLICA"))))</f>
        <v>VIGENTE</v>
      </c>
      <c r="AQ68" s="3"/>
      <c r="AR68" s="4">
        <v>45996</v>
      </c>
      <c r="AS68" s="4">
        <f t="shared" si="237"/>
        <v>46726</v>
      </c>
      <c r="AT68" s="8">
        <f t="shared" ref="AT68:AT131" ca="1" si="251">AS68-TODAY()</f>
        <v>581</v>
      </c>
      <c r="AU68" s="5" t="str">
        <f t="shared" ref="AU68:AU131" ca="1" si="252">IF(AT68&gt;=91,"VIGENTE",IF(AT68&gt;=1,"POR VENCER",IF(AT68&lt;=-1,"VENCIDA",IF(AR68=0,"NO APLICA"))))</f>
        <v>VIGENTE</v>
      </c>
      <c r="AV68" s="3"/>
      <c r="AW68" s="4">
        <v>45927</v>
      </c>
      <c r="AX68" s="4">
        <f t="shared" si="232"/>
        <v>46657</v>
      </c>
      <c r="AY68" s="8">
        <f t="shared" ref="AY68:AY131" ca="1" si="253">AX68-TODAY()</f>
        <v>512</v>
      </c>
      <c r="AZ68" s="5" t="str">
        <f t="shared" ref="AZ68:AZ131" ca="1" si="254">IF(AY68&gt;=91,"VIGENTE",IF(AY68&gt;=1,"POR VENCER",IF(AY68&lt;=-1,"VENCIDA",IF(AW68=0,"NO APLICA"))))</f>
        <v>VIGENTE</v>
      </c>
      <c r="BA68" s="3"/>
      <c r="BB68" s="4">
        <v>45742</v>
      </c>
      <c r="BC68" s="4">
        <f>DATE(YEAR(BB68)+2,MONTH(BB68),DAY(BB68)-1)</f>
        <v>46471</v>
      </c>
      <c r="BD68" s="8">
        <f t="shared" ref="BD68:BD131" ca="1" si="255">BC68-TODAY()</f>
        <v>326</v>
      </c>
      <c r="BE68" s="5" t="str">
        <f t="shared" ref="BE68:BE131" ca="1" si="256">IF(BD68&gt;=91,"VIGENTE",IF(BD68&gt;=1,"POR VENCER",IF(BD68&lt;=-1,"VENCIDA",IF(BB68=0,"NO APLICA"))))</f>
        <v>VIGENTE</v>
      </c>
      <c r="BF68" s="3"/>
      <c r="BG68" s="4">
        <v>45605</v>
      </c>
      <c r="BH68" s="4">
        <f>DATE(YEAR(BG68)+2,MONTH(BG68),DAY(BG68)-1)</f>
        <v>46334</v>
      </c>
      <c r="BI68" s="8">
        <f t="shared" ref="BI68:BI131" ca="1" si="257">BH68-TODAY()</f>
        <v>189</v>
      </c>
      <c r="BJ68" s="5" t="str">
        <f t="shared" ref="BJ68:BJ131" ca="1" si="258">IF(BI68&gt;=91,"VIGENTE",IF(BI68&gt;=1,"POR VENCER",IF(BI68&lt;=-1,"VENCIDA",IF(BG68=0,"NO APLICA"))))</f>
        <v>VIGENTE</v>
      </c>
      <c r="BK68" s="3"/>
      <c r="BL68" s="4">
        <v>45699</v>
      </c>
      <c r="BM68" s="4">
        <f>DATE(YEAR(BL68)+2,MONTH(BL68),DAY(BL68)-1)</f>
        <v>46428</v>
      </c>
      <c r="BN68" s="8">
        <f t="shared" ref="BN68:BN131" ca="1" si="259">BM68-TODAY()</f>
        <v>283</v>
      </c>
      <c r="BO68" s="5" t="str">
        <f t="shared" ref="BO68:BO131" ca="1" si="260">IF(BN68&gt;=91,"VIGENTE",IF(BN68&gt;=1,"POR VENCER",IF(BN68&lt;=-1,"VENCIDA",IF(BL68=0,"NO APLICA"))))</f>
        <v>VIGENTE</v>
      </c>
      <c r="BP68" s="3"/>
      <c r="BQ68" s="39">
        <v>45701</v>
      </c>
      <c r="BR68" s="4">
        <f>DATE(YEAR(BQ68)+2,MONTH(BQ68),DAY(BQ68)-1)</f>
        <v>46430</v>
      </c>
      <c r="BS68" s="8">
        <f t="shared" ref="BS68:BS131" ca="1" si="261">BR68-TODAY()</f>
        <v>285</v>
      </c>
      <c r="BT68" s="5" t="str">
        <f t="shared" ref="BT68:BT131" ca="1" si="262">IF(BS68&gt;=91,"VIGENTE",IF(BS68&gt;=1,"POR VENCER",IF(BS68&lt;=-1,"VENCIDA",IF(BQ68=0,"NO APLICA"))))</f>
        <v>VIGENTE</v>
      </c>
      <c r="BU68" s="2"/>
      <c r="BV68" s="4">
        <v>45736</v>
      </c>
      <c r="BW68" s="4">
        <f>DATE(YEAR(BV68)+2,MONTH(BV68),DAY(BV68)-1)</f>
        <v>46465</v>
      </c>
      <c r="BX68" s="8">
        <f t="shared" ref="BX68:BX131" ca="1" si="263">BW68-TODAY()</f>
        <v>320</v>
      </c>
      <c r="BY68" s="5" t="str">
        <f t="shared" ref="BY68:BY131" ca="1" si="264">IF(BX68&gt;=91,"VIGENTE",IF(BX68&gt;=1,"POR VENCER",IF(BX68&lt;=-1,"VENCIDA",IF(BV68=0,"NO APLICA"))))</f>
        <v>VIGENTE</v>
      </c>
      <c r="BZ68" s="3"/>
      <c r="CA68" s="4">
        <v>45954</v>
      </c>
      <c r="CB68" s="4">
        <f t="shared" si="239"/>
        <v>46684</v>
      </c>
      <c r="CC68" s="8">
        <f t="shared" ref="CC68:CC131" ca="1" si="265">CB68-TODAY()</f>
        <v>539</v>
      </c>
      <c r="CD68" s="5" t="str">
        <f t="shared" ref="CD68:CD131" ca="1" si="266">IF(CC68&gt;=91,"VIGENTE",IF(CC68&gt;=1,"POR VENCER",IF(CC68&lt;=-1,"VENCIDA",IF(CA68=0,"NO APLICA"))))</f>
        <v>VIGENTE</v>
      </c>
      <c r="CE68" s="6"/>
      <c r="CF68" s="4">
        <v>45616</v>
      </c>
      <c r="CG68" s="4">
        <f t="shared" ref="CG68:CG84" si="267">DATE(YEAR(CF68)+4,MONTH(CF68),DAY(CF68))</f>
        <v>47077</v>
      </c>
      <c r="CH68" s="8">
        <f t="shared" ref="CH68:CH84" ca="1" si="268">CG68-TODAY()</f>
        <v>932</v>
      </c>
      <c r="CI68" s="5" t="str">
        <f t="shared" ref="CI68:CI109" ca="1" si="269">IF(CH68&gt;=90,"VIGENTE",IF(CH68&gt;=1,"POR VENCER",IF(CH68&lt;=-1,"VENCIDA",IF(CH68=0,"NO APLICA"))))</f>
        <v>VIGENTE</v>
      </c>
      <c r="CJ68" s="4"/>
      <c r="CK68" s="4">
        <v>45777</v>
      </c>
      <c r="CL68" s="4">
        <f>DATE(YEAR(CK68)+2,MONTH(CK68),DAY(CK68))</f>
        <v>46507</v>
      </c>
      <c r="CM68" s="8">
        <f t="shared" ref="CM68:CM131" ca="1" si="270">CL68-TODAY()</f>
        <v>362</v>
      </c>
      <c r="CN68" s="5" t="str">
        <f t="shared" ref="CN68:CN131" ca="1" si="271">IF(CM68&gt;=91,"VIGENTE",IF(CM68&gt;=1,"POR VENCER",IF(CM68&lt;=-1,"VENCIDA",IF(CK68=0,"NO APLICA"))))</f>
        <v>VIGENTE</v>
      </c>
      <c r="CO68" s="3"/>
      <c r="CP68" s="39">
        <v>45684</v>
      </c>
      <c r="CQ68" s="4">
        <f>DATE(YEAR(CP68)+2,MONTH(CP68),DAY(CP68)-1)</f>
        <v>46413</v>
      </c>
      <c r="CR68" s="8">
        <f t="shared" ref="CR68:CR131" ca="1" si="272">CQ68-TODAY()</f>
        <v>268</v>
      </c>
      <c r="CS68" s="5" t="str">
        <f t="shared" ref="CS68:CS131" ca="1" si="273">IF(CR68&gt;=91,"VIGENTE",IF(CR68&gt;=1,"POR VENCER",IF(CR68&lt;=-1,"VENCIDA",IF(CP68=0,"NO APLICA"))))</f>
        <v>VIGENTE</v>
      </c>
      <c r="CT68" s="3"/>
      <c r="CU68" s="4">
        <v>46043</v>
      </c>
      <c r="CV68" s="4">
        <f>DATE(YEAR(CU68)+2,MONTH(CU68),DAY(CU68))</f>
        <v>46773</v>
      </c>
      <c r="CW68" s="8">
        <f t="shared" ref="CW68:CW131" ca="1" si="274">CV68-TODAY()</f>
        <v>628</v>
      </c>
      <c r="CX68" s="5" t="str">
        <f t="shared" ref="CX68:CX131" ca="1" si="275">IF(CW68&gt;=91,"VIGENTE",IF(CW68&gt;=1,"POR VENCER",IF(CW68&lt;=-1,"VENCIDA",IF(CU68=0,"NO APLICA"))))</f>
        <v>VIGENTE</v>
      </c>
      <c r="CY68" s="3"/>
      <c r="CZ68" s="4">
        <v>46000</v>
      </c>
      <c r="DA68" s="4">
        <f>DATE(YEAR(CZ68)+2,MONTH(CZ68),DAY(CZ68))</f>
        <v>46730</v>
      </c>
      <c r="DB68" s="8">
        <f t="shared" ref="DB68:DB131" ca="1" si="276">DA68-TODAY()</f>
        <v>585</v>
      </c>
      <c r="DC68" s="5" t="str">
        <f t="shared" ref="DC68:DC131" ca="1" si="277">IF(DB68&gt;=91,"VIGENTE",IF(DB68&gt;=1,"POR VENCER",IF(DB68&lt;=-1,"VENCIDA",IF(CZ68=0,"NO APLICA"))))</f>
        <v>VIGENTE</v>
      </c>
      <c r="DD68" s="3"/>
      <c r="DE68" s="39">
        <v>45723</v>
      </c>
      <c r="DF68" s="4">
        <f>DATE(YEAR(DE68)+2,MONTH(DE68),DAY(DE68)-1)</f>
        <v>46452</v>
      </c>
      <c r="DG68" s="8">
        <f t="shared" ref="DG68:DG131" ca="1" si="278">DF68-TODAY()</f>
        <v>307</v>
      </c>
      <c r="DH68" s="5" t="str">
        <f t="shared" ref="DH68:DH131" ca="1" si="279">IF(DG68&gt;=91,"VIGENTE",IF(DG68&gt;=1,"POR VENCER",IF(DG68&lt;=-1,"VENCIDA",IF(DE68=0,"NO APLICA"))))</f>
        <v>VIGENTE</v>
      </c>
      <c r="DI68" s="3"/>
      <c r="DJ68" s="39">
        <v>45975</v>
      </c>
      <c r="DK68" s="4">
        <f t="shared" si="240"/>
        <v>46705</v>
      </c>
      <c r="DL68" s="8">
        <f t="shared" ref="DL68:DL131" ca="1" si="280">DK68-TODAY()</f>
        <v>560</v>
      </c>
      <c r="DM68" s="5" t="str">
        <f t="shared" ref="DM68:DM131" ca="1" si="281">IF(DL68&gt;=91,"VIGENTE",IF(DL68&gt;=1,"POR VENCER",IF(DL68&lt;=-1,"VENCIDA",IF(DJ68=0,"NO APLICA"))))</f>
        <v>VIGENTE</v>
      </c>
      <c r="DN68" s="3"/>
      <c r="DO68" s="4">
        <v>46046</v>
      </c>
      <c r="DP68" s="4">
        <f>DATE(YEAR(DO68)+2,MONTH(DO68),DAY(DO68))</f>
        <v>46776</v>
      </c>
      <c r="DQ68" s="8">
        <f t="shared" ref="DQ68:DQ131" ca="1" si="282">DP68-TODAY()</f>
        <v>631</v>
      </c>
      <c r="DR68" s="5" t="str">
        <f t="shared" ref="DR68:DR131" ca="1" si="283">IF(DQ68&gt;=91,"VIGENTE",IF(DQ68&gt;=1,"POR VENCER",IF(DQ68&lt;=-1,"VENCIDA",IF(DO68=0,"NO APLICA"))))</f>
        <v>VIGENTE</v>
      </c>
      <c r="DS68" s="2"/>
      <c r="DT68" s="4">
        <v>45743</v>
      </c>
      <c r="DU68" s="4">
        <f>DATE(YEAR(DT68)+2,MONTH(DT68),DAY(DT68)-1)</f>
        <v>46472</v>
      </c>
      <c r="DV68" s="8">
        <f t="shared" ref="DV68:DV131" ca="1" si="284">DU68-TODAY()</f>
        <v>327</v>
      </c>
      <c r="DW68" s="5" t="str">
        <f t="shared" ref="DW68:DW131" ca="1" si="285">IF(DV68&gt;=91,"VIGENTE",IF(DV68&gt;=1,"POR VENCER",IF(DV68&lt;=-1,"VENCIDA",IF(DT68=0,"NO APLICA"))))</f>
        <v>VIGENTE</v>
      </c>
      <c r="DX68" s="3"/>
      <c r="DY68" s="4">
        <v>45769</v>
      </c>
      <c r="DZ68" s="4">
        <f>DATE(YEAR(DY68)+2,MONTH(DY68),DAY(DY68))</f>
        <v>46499</v>
      </c>
      <c r="EA68" s="8">
        <f t="shared" ref="EA68:EA131" ca="1" si="286">DZ68-TODAY()</f>
        <v>354</v>
      </c>
      <c r="EB68" s="5" t="str">
        <f t="shared" ref="EB68:EB131" ca="1" si="287">IF(EA68&gt;=91,"VIGENTE",IF(EA68&gt;=1,"POR VENCER",IF(EA68&lt;=-1,"VENCIDA",IF(DY68=0,"NO APLICA"))))</f>
        <v>VIGENTE</v>
      </c>
      <c r="EC68" s="3"/>
      <c r="ED68" s="39">
        <v>45768</v>
      </c>
      <c r="EE68" s="4">
        <f>DATE(YEAR(ED68)+2,MONTH(ED68),DAY(ED68))</f>
        <v>46498</v>
      </c>
      <c r="EF68" s="8">
        <f t="shared" ref="EF68:EF131" ca="1" si="288">EE68-TODAY()</f>
        <v>353</v>
      </c>
      <c r="EG68" s="5" t="str">
        <f t="shared" ref="EG68:EG131" ca="1" si="289">IF(EF68&gt;=91,"VIGENTE",IF(EF68&gt;=1,"POR VENCER",IF(EF68&lt;=-1,"VENCIDA",IF(ED68=0,"NO APLICA"))))</f>
        <v>VIGENTE</v>
      </c>
      <c r="EH68" s="3"/>
      <c r="EI68" s="3">
        <v>46085</v>
      </c>
      <c r="EJ68" s="4">
        <f t="shared" si="131"/>
        <v>46450</v>
      </c>
      <c r="EK68" s="8">
        <f t="shared" ref="EK68:EK131" ca="1" si="290">EJ68-TODAY()</f>
        <v>305</v>
      </c>
      <c r="EL68" s="5" t="str">
        <f t="shared" ref="EL68:EL131" ca="1" si="291">IF(EK68&gt;=91,"VIGENTE",IF(EK68&gt;=1,"POR VENCER",IF(EK68&lt;=-1,"VENCIDA",IF(EI68=0,"NO APLICA"))))</f>
        <v>VIGENTE</v>
      </c>
      <c r="EM68" s="3"/>
      <c r="EN68" s="4">
        <v>45671</v>
      </c>
      <c r="EO68" s="4">
        <f>DATE(YEAR(EN68)+2,MONTH(EN68),DAY(EN68)-1)</f>
        <v>46400</v>
      </c>
      <c r="EP68" s="8">
        <f t="shared" ref="EP68:EP131" ca="1" si="292">EO68-TODAY()</f>
        <v>255</v>
      </c>
      <c r="EQ68" s="5" t="str">
        <f t="shared" ref="EQ68:EQ131" ca="1" si="293">IF(EP68&gt;=91,"VIGENTE",IF(EP68&gt;=1,"POR VENCER",IF(EP68&lt;=-1,"VENCIDA",IF(EN68=0,"NO APLICA"))))</f>
        <v>VIGENTE</v>
      </c>
      <c r="ER68" s="3"/>
      <c r="ES68" s="39">
        <v>45677</v>
      </c>
      <c r="ET68" s="4">
        <f>DATE(YEAR(ES68)+2,MONTH(ES68),DAY(ES68)-1)</f>
        <v>46406</v>
      </c>
      <c r="EU68" s="8">
        <f t="shared" ref="EU68:EU131" ca="1" si="294">ET68-TODAY()</f>
        <v>261</v>
      </c>
      <c r="EV68" s="5" t="str">
        <f t="shared" ref="EV68:EV131" ca="1" si="295">IF(EU68&gt;=91,"VIGENTE",IF(EU68&gt;=1,"POR VENCER",IF(EU68&lt;=-1,"VENCIDA",IF(ES68=0,"NO APLICA"))))</f>
        <v>VIGENTE</v>
      </c>
      <c r="EW68" s="3"/>
      <c r="EX68" s="4">
        <v>45917</v>
      </c>
      <c r="EY68" s="4">
        <f t="shared" si="234"/>
        <v>46647</v>
      </c>
      <c r="EZ68" s="8">
        <f t="shared" ref="EZ68:EZ131" ca="1" si="296">EY68-TODAY()</f>
        <v>502</v>
      </c>
      <c r="FA68" s="5" t="str">
        <f t="shared" ref="FA68:FA131" ca="1" si="297">IF(EZ68&gt;=91,"VIGENTE",IF(EZ68&gt;=1,"POR VENCER",IF(EZ68&lt;=-1,"VENCIDA",IF(EX68=0,"NO APLICA"))))</f>
        <v>VIGENTE</v>
      </c>
      <c r="FB68" s="3"/>
      <c r="FC68" s="4">
        <v>45931</v>
      </c>
      <c r="FD68" s="4">
        <f t="shared" si="235"/>
        <v>46661</v>
      </c>
      <c r="FE68" s="8">
        <f t="shared" ref="FE68:FE131" ca="1" si="298">FD68-TODAY()</f>
        <v>516</v>
      </c>
      <c r="FF68" s="5" t="str">
        <f t="shared" ref="FF68:FF131" ca="1" si="299">IF(FE68&gt;=91,"VIGENTE",IF(FE68&gt;=1,"POR VENCER",IF(FE68&lt;=-1,"VENCIDA",IF(FC68=0,"NO APLICA"))))</f>
        <v>VIGENTE</v>
      </c>
      <c r="FG68" s="3"/>
      <c r="FH68" s="4">
        <v>45919</v>
      </c>
      <c r="FI68" s="4">
        <f t="shared" si="236"/>
        <v>46649</v>
      </c>
      <c r="FJ68" s="8">
        <f t="shared" ref="FJ68:FJ131" ca="1" si="300">FI68-TODAY()</f>
        <v>504</v>
      </c>
      <c r="FK68" s="5" t="str">
        <f t="shared" ref="FK68:FK131" ca="1" si="301">IF(FJ68&gt;=91,"VIGENTE",IF(FJ68&gt;=1,"POR VENCER",IF(FJ68&lt;=-1,"VENCIDA",IF(FH68=0,"NO APLICA"))))</f>
        <v>VIGENTE</v>
      </c>
      <c r="FL68" s="3"/>
      <c r="FM68" s="39">
        <v>45670</v>
      </c>
      <c r="FN68" s="4">
        <f>DATE(YEAR(FM68)+2,MONTH(FM68),DAY(FM68)-1)</f>
        <v>46399</v>
      </c>
      <c r="FO68" s="8">
        <f t="shared" ref="FO68:FO131" ca="1" si="302">FN68-TODAY()</f>
        <v>254</v>
      </c>
      <c r="FP68" s="5" t="str">
        <f t="shared" ref="FP68:FP131" ca="1" si="303">IF(FO68&gt;=91,"VIGENTE",IF(FO68&gt;=1,"POR VENCER",IF(FO68&lt;=-1,"VENCIDA",IF(FM68=0,"NO APLICA"))))</f>
        <v>VIGENTE</v>
      </c>
      <c r="FQ68" s="3"/>
      <c r="FR68" s="39">
        <v>45747</v>
      </c>
      <c r="FS68" s="4">
        <f>DATE(YEAR(FR68)+2,MONTH(FR68),DAY(FR68)-1)</f>
        <v>46476</v>
      </c>
      <c r="FT68" s="8">
        <f t="shared" ref="FT68:FT131" ca="1" si="304">FS68-TODAY()</f>
        <v>331</v>
      </c>
      <c r="FU68" s="5" t="str">
        <f t="shared" ref="FU68:FU131" ca="1" si="305">IF(FT68&gt;=91,"VIGENTE",IF(FT68&gt;=1,"POR VENCER",IF(FT68&lt;=-1,"VENCIDA",IF(FR68=0,"NO APLICA"))))</f>
        <v>VIGENTE</v>
      </c>
      <c r="FV68" s="3"/>
      <c r="FW68" s="4">
        <v>45961</v>
      </c>
      <c r="FX68" s="4">
        <f>DATE(YEAR(FW68)+2,MONTH(FW68),DAY(FW68))</f>
        <v>46691</v>
      </c>
      <c r="FY68" s="8">
        <f t="shared" ref="FY68:FY131" ca="1" si="306">FX68-TODAY()</f>
        <v>546</v>
      </c>
      <c r="FZ68" s="5" t="str">
        <f t="shared" ref="FZ68:FZ131" ca="1" si="307">IF(FY68&gt;=91,"VIGENTE",IF(FY68&gt;=1,"POR VENCER",IF(FY68&lt;=-1,"VENCIDA",IF(FW68=0,"NO APLICA"))))</f>
        <v>VIGENTE</v>
      </c>
      <c r="GA68" s="3"/>
      <c r="GB68" s="4">
        <v>45715</v>
      </c>
      <c r="GC68" s="4">
        <f>DATE(YEAR(GB68)+2,MONTH(GB68),DAY(GB68)-1)</f>
        <v>46444</v>
      </c>
      <c r="GD68" s="8">
        <f t="shared" ref="GD68:GD131" ca="1" si="308">GC68-TODAY()</f>
        <v>299</v>
      </c>
      <c r="GE68" s="5" t="str">
        <f t="shared" ref="GE68:GE131" ca="1" si="309">IF(GD68&gt;=91,"VIGENTE",IF(GD68&gt;=1,"POR VENCER",IF(GD68&lt;=-1,"VENCIDA",IF(GB68=0,"NO APLICA"))))</f>
        <v>VIGENTE</v>
      </c>
      <c r="GF68" s="3"/>
      <c r="GG68" s="4">
        <v>45731</v>
      </c>
      <c r="GH68" s="4">
        <f>DATE(YEAR(GG68)+2,MONTH(GG68),DAY(GG68)-1)</f>
        <v>46460</v>
      </c>
      <c r="GI68" s="8">
        <f t="shared" ref="GI68:GI131" ca="1" si="310">GH68-TODAY()</f>
        <v>315</v>
      </c>
      <c r="GJ68" s="5" t="str">
        <f t="shared" ref="GJ68:GJ131" ca="1" si="311">IF(GI68&gt;=91,"VIGENTE",IF(GI68&gt;=1,"POR VENCER",IF(GI68&lt;=-1,"VENCIDA",IF(GG68=0,"NO APLICA"))))</f>
        <v>VIGENTE</v>
      </c>
      <c r="GK68" s="3"/>
      <c r="GL68" s="4">
        <v>45687</v>
      </c>
      <c r="GM68" s="4">
        <f>DATE(YEAR(GL68)+2,MONTH(GL68),DAY(GL68)-1)</f>
        <v>46416</v>
      </c>
      <c r="GN68" s="8">
        <f t="shared" ref="GN68:GN131" ca="1" si="312">GM68-TODAY()</f>
        <v>271</v>
      </c>
      <c r="GO68" s="5" t="str">
        <f t="shared" ref="GO68:GO131" ca="1" si="313">IF(GN68&gt;=61,"VIGENTE",IF(GN68&gt;=1,"POR VENCER",IF(GN68&lt;=-1,"VENCIDA",IF(GL68=0,"NO APLICA"))))</f>
        <v>VIGENTE</v>
      </c>
      <c r="GP68" s="4"/>
      <c r="GQ68" s="4">
        <v>45072</v>
      </c>
      <c r="GR68" s="4">
        <f t="shared" ref="GR68:GR131" si="314">DATE(YEAR(GQ68)+5,MONTH(GQ68),DAY(GQ68))</f>
        <v>46899</v>
      </c>
      <c r="GS68" s="8">
        <f t="shared" ca="1" si="176"/>
        <v>754</v>
      </c>
      <c r="GT68" s="5" t="str">
        <f t="shared" ref="GT68:GT72" ca="1" si="315">IF(GS68&gt;=91,"VIGENTE",IF(GS68&gt;=1,"POR VENCER",IF(GS68&lt;=-1,"VENCIDA",IF(GQ68=0,"NO APLICA"))))</f>
        <v>VIGENTE</v>
      </c>
      <c r="GU68" s="3"/>
      <c r="GV68" s="4">
        <v>44984</v>
      </c>
      <c r="GW68" s="4">
        <f t="shared" ref="GW68:GW131" si="316">DATE(YEAR(GV68)+5,MONTH(GV68),DAY(GV68))</f>
        <v>46810</v>
      </c>
      <c r="GX68" s="8">
        <f t="shared" ref="GX68:GX131" ca="1" si="317">GW68-TODAY()</f>
        <v>665</v>
      </c>
      <c r="GY68" s="5" t="str">
        <f t="shared" ref="GY68:GY72" ca="1" si="318">IF(GX68&gt;=91,"VIGENTE",IF(GX68&gt;=1,"POR VENCER",IF(GX68&lt;=-1,"VENCIDA",IF(GV68=0,"NO APLICA"))))</f>
        <v>VIGENTE</v>
      </c>
      <c r="GZ68" s="2"/>
      <c r="HA68" s="4">
        <v>45003</v>
      </c>
      <c r="HB68" s="4">
        <f t="shared" ref="HB68:HB131" si="319">DATE(YEAR(HA68)+5,MONTH(HA68),DAY(HA68))</f>
        <v>46830</v>
      </c>
      <c r="HC68" s="8">
        <f t="shared" ref="HC68:HC131" ca="1" si="320">HB68-TODAY()</f>
        <v>685</v>
      </c>
      <c r="HD68" s="5" t="str">
        <f t="shared" ref="HD68:HD72" ca="1" si="321">IF(HC68&gt;=91,"VIGENTE",IF(HC68&gt;=1,"POR VENCER",IF(HC68&lt;=-1,"VENCIDA",IF(HA68=0,"NO APLICA"))))</f>
        <v>VIGENTE</v>
      </c>
      <c r="HE68" s="6"/>
      <c r="HF68" s="6"/>
      <c r="HG68" s="4"/>
      <c r="HH68" s="8"/>
      <c r="HI68" s="5" t="str">
        <f t="shared" si="224"/>
        <v>NO APLICA</v>
      </c>
      <c r="HJ68" s="2"/>
      <c r="HK68" s="6"/>
      <c r="HL68" s="4"/>
      <c r="HM68" s="8"/>
      <c r="HN68" s="5" t="str">
        <f t="shared" si="228"/>
        <v>NO APLICA</v>
      </c>
      <c r="HO68" s="2"/>
      <c r="HP68" s="5"/>
      <c r="HQ68" s="4"/>
      <c r="HR68" s="5"/>
      <c r="HS68" s="5" t="str">
        <f t="shared" ref="HS68:HS131" si="322">IF(HR68&gt;=61,"VIGENTE",IF(HR68&gt;=1,"POR VENCER",IF(HR68&lt;=-1,"VENCIDA",IF(HP68=0,"NO APLICA"))))</f>
        <v>NO APLICA</v>
      </c>
      <c r="HT68" s="2"/>
      <c r="HU68" s="6"/>
      <c r="HV68" s="4"/>
      <c r="HW68" s="8"/>
      <c r="HX68" s="5" t="str">
        <f t="shared" ref="HX68:HX131" si="323">IF(HW68&gt;=61,"VIGENTE",IF(HW68&gt;=1,"POR VENCER",IF(HW68&lt;=-1,"VENCIDA",IF(HU68=0,"NO APLICA"))))</f>
        <v>NO APLICA</v>
      </c>
      <c r="HY68" s="2"/>
      <c r="HZ68" s="6"/>
      <c r="IA68" s="4"/>
      <c r="IB68" s="8"/>
      <c r="IC68" s="5" t="str">
        <f t="shared" ref="IC68:IC131" si="324">IF(IB68&gt;=61,"VIGENTE",IF(IB68&gt;=1,"POR VENCER",IF(IB68&lt;=-1,"VENCIDA",IF(HZ68=0,"NO APLICA"))))</f>
        <v>NO APLICA</v>
      </c>
      <c r="ID68" s="2"/>
      <c r="IE68" s="6"/>
      <c r="IF68" s="4"/>
      <c r="IG68" s="8"/>
      <c r="IH68" s="5" t="str">
        <f t="shared" ref="IH68:IH131" si="325">IF(IG68&gt;=61,"VIGENTE",IF(IG68&gt;=1,"POR VENCER",IF(IG68&lt;=-1,"VENCIDA",IF(IE68=0,"NO APLICA"))))</f>
        <v>NO APLICA</v>
      </c>
      <c r="II68" s="6"/>
      <c r="IJ68" s="6"/>
      <c r="IK68" s="4"/>
      <c r="IL68" s="8"/>
      <c r="IM68" s="5" t="str">
        <f t="shared" ref="IM68:IM131" si="326">IF(IL68&gt;=61,"VIGENTE",IF(IL68&gt;=1,"POR VENCER",IF(IL68&lt;=-1,"VENCIDA",IF(IJ68=0,"NO APLICA"))))</f>
        <v>NO APLICA</v>
      </c>
      <c r="IN68" s="2"/>
      <c r="IO68" s="6"/>
      <c r="IP68" s="4"/>
      <c r="IQ68" s="8"/>
      <c r="IR68" s="5" t="str">
        <f t="shared" ref="IR68:IR131" si="327">IF(IQ68&gt;=61,"VIGENTE",IF(IQ68&gt;=1,"POR VENCER",IF(IQ68&lt;=-1,"VENCIDA",IF(IO68=0,"NO APLICA"))))</f>
        <v>NO APLICA</v>
      </c>
      <c r="IS68" s="2"/>
      <c r="IT68" s="6"/>
      <c r="IU68" s="4"/>
      <c r="IV68" s="8"/>
      <c r="IW68" s="5" t="str">
        <f t="shared" ref="IW68:IW131" si="328">IF(IV68&gt;=61,"VIGENTE",IF(IV68&gt;=1,"POR VENCER",IF(IV68&lt;=-1,"VENCIDA",IF(IT68=0,"NO APLICA"))))</f>
        <v>NO APLICA</v>
      </c>
      <c r="IX68" s="2"/>
      <c r="IY68" s="6"/>
      <c r="IZ68" s="4"/>
      <c r="JA68" s="8"/>
      <c r="JB68" s="5" t="str">
        <f t="shared" ref="JB68:JB131" si="329">IF(JA68&gt;=61,"VIGENTE",IF(JA68&gt;=1,"POR VENCER",IF(JA68&lt;=-1,"VENCIDA",IF(IY68=0,"NO APLICA"))))</f>
        <v>NO APLICA</v>
      </c>
      <c r="JC68" s="3" t="s">
        <v>780</v>
      </c>
      <c r="JD68" s="3"/>
      <c r="JE68" s="4"/>
      <c r="JF68" s="8"/>
      <c r="JG68" s="5"/>
      <c r="JH68" s="3" t="s">
        <v>780</v>
      </c>
      <c r="JI68" s="6"/>
      <c r="JJ68" s="6"/>
      <c r="JK68" s="6"/>
      <c r="JL68" s="5"/>
      <c r="JM68" s="6" t="s">
        <v>780</v>
      </c>
      <c r="JN68" s="6"/>
      <c r="JO68" s="6"/>
      <c r="JP68" s="6"/>
      <c r="JQ68" s="5"/>
      <c r="JR68" s="6" t="s">
        <v>780</v>
      </c>
      <c r="JS68" s="6"/>
      <c r="JT68" s="6"/>
      <c r="JU68" s="6"/>
      <c r="JV68" s="5"/>
      <c r="JW68" s="6" t="s">
        <v>780</v>
      </c>
      <c r="JX68" s="3"/>
      <c r="JY68" s="4"/>
      <c r="JZ68" s="8"/>
      <c r="KA68" s="5"/>
      <c r="KB68" s="5"/>
      <c r="KC68" s="5"/>
      <c r="KD68" s="4"/>
      <c r="KE68" s="8"/>
      <c r="KF68" s="5" t="str">
        <f t="shared" ref="KF68:KF131" si="330">IF(KE68&gt;=61,"VIGENTE",IF(KE68&gt;=1,"POR VENCER",IF(KE68&lt;=-1,"VENCIDA",IF(KC68=0,"NO APLICA"))))</f>
        <v>NO APLICA</v>
      </c>
      <c r="KG68" s="5"/>
      <c r="KH68" s="5"/>
      <c r="KI68" s="4"/>
      <c r="KJ68" s="8"/>
      <c r="KK68" s="5" t="str">
        <f t="shared" si="136"/>
        <v>NO APLICA</v>
      </c>
      <c r="KL68" s="5"/>
      <c r="KM68" s="5"/>
      <c r="KN68" s="4"/>
      <c r="KO68" s="8"/>
      <c r="KP68" s="5" t="str">
        <f t="shared" ref="KP68:KP131" si="331">IF(KO68&gt;=61,"VIGENTE",IF(KO68&gt;=1,"POR VENCER",IF(KO68&lt;=-1,"VENCIDA",IF(KM68=0,"NO APLICA"))))</f>
        <v>NO APLICA</v>
      </c>
      <c r="KQ68" s="5"/>
      <c r="KR68" s="2"/>
      <c r="KS68" s="4"/>
      <c r="KT68" s="8"/>
      <c r="KU68" s="5" t="str">
        <f t="shared" si="137"/>
        <v>NO APLICA</v>
      </c>
      <c r="KV68" s="2"/>
      <c r="KW68" s="6"/>
      <c r="KX68" s="4"/>
      <c r="KY68" s="8"/>
      <c r="KZ68" s="5" t="str">
        <f t="shared" si="151"/>
        <v>NO APLICA</v>
      </c>
      <c r="LA68" s="5"/>
      <c r="LB68" s="6"/>
      <c r="LC68" s="4"/>
      <c r="LD68" s="8"/>
      <c r="LE68" s="5" t="str">
        <f t="shared" si="138"/>
        <v>NO APLICA</v>
      </c>
      <c r="LF68" s="6"/>
      <c r="LG68" s="6"/>
      <c r="LH68" s="4"/>
      <c r="LI68" s="8"/>
      <c r="LJ68" s="5" t="str">
        <f t="shared" ref="LJ68:LJ131" si="332">IF(LI68&gt;=61,"VIGENTE",IF(LI68&gt;=1,"POR VENCER",IF(LI68&lt;=-1,"VENCIDA",IF(LG68=0,"NO APLICA"))))</f>
        <v>NO APLICA</v>
      </c>
      <c r="LK68" s="5"/>
      <c r="LL68" s="5"/>
      <c r="LM68" s="4"/>
      <c r="LN68" s="8"/>
      <c r="LO68" s="5" t="str">
        <f t="shared" si="152"/>
        <v>NO APLICA</v>
      </c>
      <c r="LP68" s="5"/>
      <c r="LQ68" s="6"/>
      <c r="LR68" s="4"/>
      <c r="LS68" s="8"/>
      <c r="LT68" s="5" t="str">
        <f t="shared" si="139"/>
        <v>NO APLICA</v>
      </c>
      <c r="LU68" s="6"/>
      <c r="LV68" s="6"/>
      <c r="LW68" s="4"/>
      <c r="LX68" s="8"/>
      <c r="LY68" s="5" t="str">
        <f t="shared" si="140"/>
        <v>NO APLICA</v>
      </c>
      <c r="LZ68" s="6"/>
      <c r="MA68" s="6"/>
      <c r="MB68" s="4"/>
      <c r="MC68" s="8"/>
      <c r="MD68" s="5" t="str">
        <f t="shared" si="141"/>
        <v>NO APLICA</v>
      </c>
      <c r="ME68" s="5"/>
      <c r="MF68" s="5"/>
      <c r="MG68" s="4"/>
      <c r="MH68" s="8"/>
      <c r="MI68" s="5" t="str">
        <f t="shared" ref="MI68:MI131" si="333">IF(MH68&gt;=61,"VIGENTE",IF(MH68&gt;=1,"POR VENCER",IF(MH68&lt;=-1,"VENCIDA",IF(MF68=0,"NO APLICA"))))</f>
        <v>NO APLICA</v>
      </c>
      <c r="MJ68" s="5"/>
      <c r="MK68" s="5"/>
      <c r="ML68" s="4"/>
      <c r="MM68" s="8"/>
      <c r="MN68" s="5" t="str">
        <f t="shared" ref="MN68:MN131" si="334">IF(MM68&gt;=61,"VIGENTE",IF(MM68&gt;=1,"POR VENCER",IF(MM68&lt;=-1,"VENCIDA",IF(MK68=0,"NO APLICA"))))</f>
        <v>NO APLICA</v>
      </c>
      <c r="MO68" s="5"/>
      <c r="MP68" s="5"/>
      <c r="MQ68" s="4"/>
      <c r="MR68" s="8"/>
      <c r="MS68" s="5" t="str">
        <f t="shared" ref="MS68:MS131" si="335">IF(MR68&gt;=61,"VIGENTE",IF(MR68&gt;=1,"POR VENCER",IF(MR68&lt;=-1,"VENCIDA",IF(MP68=0,"NO APLICA"))))</f>
        <v>NO APLICA</v>
      </c>
      <c r="MT68" s="5"/>
      <c r="MU68" s="5"/>
      <c r="MV68" s="4"/>
      <c r="MW68" s="5"/>
      <c r="MX68" s="5" t="str">
        <f t="shared" ref="MX68:MX131" si="336">IF(MW68&gt;=61,"VIGENTE",IF(MW68&gt;=1,"POR VENCER",IF(MW68&lt;=-1,"VENCIDA",IF(MU68=0,"NO APLICA"))))</f>
        <v>NO APLICA</v>
      </c>
      <c r="MY68" s="5"/>
      <c r="MZ68" s="6"/>
      <c r="NA68" s="4"/>
      <c r="NB68" s="8"/>
      <c r="NC68" s="5" t="str">
        <f t="shared" ref="NC68:NC131" si="337">IF(NB68&gt;=61,"VIGENTE",IF(NB68&gt;=1,"POR VENCER",IF(NB68&lt;=-1,"VENCIDA",IF(MZ68=0,"NO APLICA"))))</f>
        <v>NO APLICA</v>
      </c>
      <c r="ND68" s="5"/>
      <c r="NE68" s="6"/>
      <c r="NF68" s="4"/>
      <c r="NG68" s="8"/>
      <c r="NH68" s="5" t="str">
        <f t="shared" ref="NH68:NH131" si="338">IF(NG68&gt;=61,"VIGENTE",IF(NG68&gt;=1,"POR VENCER",IF(NG68&lt;=-1,"VENCIDA",IF(NE68=0,"NO APLICA"))))</f>
        <v>NO APLICA</v>
      </c>
      <c r="NI68" s="5"/>
      <c r="NJ68" s="6"/>
      <c r="NK68" s="4"/>
      <c r="NL68" s="8"/>
      <c r="NM68" s="5" t="str">
        <f t="shared" ref="NM68:NM131" si="339">IF(NL68&gt;=61,"VIGENTE",IF(NL68&gt;=1,"POR VENCER",IF(NL68&lt;=-1,"VENCIDA",IF(NJ68=0,"NO APLICA"))))</f>
        <v>NO APLICA</v>
      </c>
      <c r="NN68" s="5"/>
      <c r="NO68" s="5"/>
      <c r="NP68" s="4"/>
      <c r="NQ68" s="8"/>
      <c r="NR68" s="5" t="str">
        <f t="shared" ref="NR68:NR131" si="340">IF(NQ68&gt;=61,"VIGENTE",IF(NQ68&gt;=1,"POR VENCER",IF(NQ68&lt;=-1,"VENCIDA",IF(NO68=0,"NO APLICA"))))</f>
        <v>NO APLICA</v>
      </c>
      <c r="NS68" s="5"/>
      <c r="NT68" s="5"/>
      <c r="NU68" s="5"/>
      <c r="NV68" s="5"/>
      <c r="NW68" s="5" t="str">
        <f t="shared" ref="NW68:NW131" si="341">IF(NV68&gt;=61,"VIGENTE",IF(NV68&gt;=1,"POR VENCER",IF(NV68&lt;=-1,"VENCIDA",IF(NT68=0,"NO APLICA"))))</f>
        <v>NO APLICA</v>
      </c>
      <c r="NX68" s="6"/>
      <c r="NY68" s="6"/>
      <c r="NZ68" s="4"/>
      <c r="OA68" s="8"/>
      <c r="OB68" s="5" t="str">
        <f t="shared" ref="OB68:OB131" si="342">IF(OA68&gt;=61,"VIGENTE",IF(OA68&gt;=1,"POR VENCER",IF(OA68&lt;=-1,"VENCIDA",IF(NY68=0,"NO APLICA"))))</f>
        <v>NO APLICA</v>
      </c>
      <c r="OC68" s="6"/>
      <c r="OD68" s="6"/>
      <c r="OE68" s="6"/>
      <c r="OF68" s="6"/>
      <c r="OG68" s="5" t="str">
        <f t="shared" ref="OG68:OG131" si="343">IF(OF68&gt;=61,"VIGENTE",IF(OF68&gt;=1,"POR VENCER",IF(OF68&lt;=-1,"VENCIDA",IF(OD68=0,"NO APLICA"))))</f>
        <v>NO APLICA</v>
      </c>
      <c r="OH68" s="5"/>
      <c r="OI68" s="5"/>
      <c r="OJ68" s="4"/>
      <c r="OK68" s="8"/>
      <c r="OL68" s="5" t="str">
        <f t="shared" ref="OL68:OL131" si="344">IF(OK68&gt;=61,"VIGENTE",IF(OK68&gt;=1,"POR VENCER",IF(OK68&lt;=-1,"VENCIDA",IF(OI68=0,"NO APLICA"))))</f>
        <v>NO APLICA</v>
      </c>
      <c r="OM68" s="6"/>
      <c r="ON68" s="6"/>
      <c r="OO68" s="6"/>
      <c r="OP68" s="6"/>
      <c r="OQ68" s="5" t="str">
        <f t="shared" ref="OQ68:OQ131" si="345">IF(OP68&gt;=61,"VIGENTE",IF(OP68&gt;=1,"POR VENCER",IF(OP68&lt;=-1,"VENCIDA",IF(ON68=0,"NO APLICA"))))</f>
        <v>NO APLICA</v>
      </c>
      <c r="OR68" s="6"/>
      <c r="OS68" s="6"/>
      <c r="OT68" s="6"/>
      <c r="OU68" s="6"/>
      <c r="OV68" s="5" t="str">
        <f t="shared" ref="OV68:OV131" si="346">IF(OU68&gt;=61,"VIGENTE",IF(OU68&gt;=1,"POR VENCER",IF(OU68&lt;=-1,"VENCIDA",IF(OS68=0,"NO APLICA"))))</f>
        <v>NO APLICA</v>
      </c>
      <c r="OW68" s="6"/>
      <c r="OX68" s="6"/>
      <c r="OY68" s="6"/>
      <c r="OZ68" s="6"/>
      <c r="PA68" s="5" t="str">
        <f t="shared" ref="PA68:PA131" si="347">IF(OZ68&gt;=61,"VIGENTE",IF(OZ68&gt;=1,"POR VENCER",IF(OZ68&lt;=-1,"VENCIDA",IF(OX68=0,"NO APLICA"))))</f>
        <v>NO APLICA</v>
      </c>
      <c r="PB68" s="6"/>
      <c r="PC68" s="6"/>
      <c r="PD68" s="6"/>
      <c r="PE68" s="6"/>
      <c r="PF68" s="5" t="str">
        <f t="shared" ref="PF68:PF131" si="348">IF(PE68&gt;=61,"VIGENTE",IF(PE68&gt;=1,"POR VENCER",IF(PE68&lt;=-1,"VENCIDA",IF(PC68=0,"NO APLICA"))))</f>
        <v>NO APLICA</v>
      </c>
      <c r="PG68" s="6"/>
      <c r="PH68" s="6"/>
      <c r="PI68" s="6"/>
      <c r="PJ68" s="6"/>
      <c r="PK68" s="5" t="str">
        <f t="shared" ref="PK68:PK131" si="349">IF(PJ68&gt;=61,"VIGENTE",IF(PJ68&gt;=1,"POR VENCER",IF(PJ68&lt;=-1,"VENCIDA",IF(PH68=0,"NO APLICA"))))</f>
        <v>NO APLICA</v>
      </c>
      <c r="PL68" s="5"/>
      <c r="PM68" s="6"/>
      <c r="PN68" s="4"/>
      <c r="PO68" s="8"/>
      <c r="PP68" s="5" t="str">
        <f t="shared" ref="PP68:PP131" si="350">IF(PO68&gt;=61,"VIGENTE",IF(PO68&gt;=1,"POR VENCER",IF(PO68&lt;=-1,"VENCIDA",IF(PM68=0,"NO APLICA"))))</f>
        <v>NO APLICA</v>
      </c>
      <c r="PQ68" s="6"/>
      <c r="PR68" s="6"/>
      <c r="PS68" s="6"/>
      <c r="PT68" s="6"/>
      <c r="PU68" s="5" t="str">
        <f t="shared" ref="PU68:PU131" si="351">IF(PT68&gt;=61,"VIGENTE",IF(PT68&gt;=1,"POR VENCER",IF(PT68&lt;=-1,"VENCIDA",IF(PR68=0,"NO APLICA"))))</f>
        <v>NO APLICA</v>
      </c>
      <c r="PV68" s="5"/>
      <c r="PW68" s="6"/>
      <c r="PX68" s="6"/>
      <c r="PY68" s="6"/>
      <c r="PZ68" s="5" t="str">
        <f t="shared" ref="PZ68:PZ131" si="352">IF(PY68&gt;=61,"VIGENTE",IF(PY68&gt;=1,"POR VENCER",IF(PY68&lt;=-1,"VENCIDA",IF(PW68=0,"NO APLICA"))))</f>
        <v>NO APLICA</v>
      </c>
    </row>
    <row r="69" spans="1:442" ht="15.6" hidden="1" thickTop="1" thickBot="1" x14ac:dyDescent="0.35">
      <c r="A69" s="26">
        <v>66</v>
      </c>
      <c r="B69" s="27">
        <v>1179</v>
      </c>
      <c r="C69" s="28" t="s">
        <v>262</v>
      </c>
      <c r="D69" s="29" t="s">
        <v>68</v>
      </c>
      <c r="E69" s="30" t="s">
        <v>122</v>
      </c>
      <c r="F69" s="5"/>
      <c r="G69" s="6"/>
      <c r="H69" s="4"/>
      <c r="I69" s="8"/>
      <c r="J69" s="5" t="str">
        <f t="shared" si="242"/>
        <v>NO APLICA</v>
      </c>
      <c r="K69" s="5"/>
      <c r="L69" s="6"/>
      <c r="M69" s="6"/>
      <c r="N69" s="8"/>
      <c r="O69" s="5" t="str">
        <f t="shared" si="243"/>
        <v>NO APLICA</v>
      </c>
      <c r="P69" s="6"/>
      <c r="Q69" s="6"/>
      <c r="R69" s="4"/>
      <c r="S69" s="8"/>
      <c r="T69" s="5" t="str">
        <f t="shared" ref="T69:T132" si="353">IF(S69&gt;=61,"VIGENTE",IF(S69&gt;=1,"POR VENCER",IF(S69&lt;=-1,"VENCIDA",IF(S69=0,"NO APLICA"))))</f>
        <v>NO APLICA</v>
      </c>
      <c r="U69" s="5"/>
      <c r="V69" s="2" t="s">
        <v>263</v>
      </c>
      <c r="W69" s="4">
        <v>44829</v>
      </c>
      <c r="X69" s="4">
        <f t="shared" si="244"/>
        <v>46655</v>
      </c>
      <c r="Y69" s="8">
        <f t="shared" ca="1" si="245"/>
        <v>510</v>
      </c>
      <c r="Z69" s="5" t="str">
        <f t="shared" ca="1" si="246"/>
        <v>VIGENTE</v>
      </c>
      <c r="AA69" s="5"/>
      <c r="AB69" s="2" t="s">
        <v>264</v>
      </c>
      <c r="AC69" s="4">
        <v>44603</v>
      </c>
      <c r="AD69" s="4">
        <f>DATE(YEAR(AC69)+5,MONTH(AC69),DAY(AC69))</f>
        <v>46429</v>
      </c>
      <c r="AE69" s="8">
        <f ca="1">AD69-TODAY()</f>
        <v>284</v>
      </c>
      <c r="AF69" s="5" t="str">
        <f t="shared" ca="1" si="247"/>
        <v>VIGENTE</v>
      </c>
      <c r="AG69" s="3"/>
      <c r="AH69" s="3">
        <v>45589</v>
      </c>
      <c r="AI69" s="4">
        <f>DATE(YEAR(AH69)+2,MONTH(AH69),DAY(AH69)-1)</f>
        <v>46318</v>
      </c>
      <c r="AJ69" s="8">
        <f t="shared" ca="1" si="248"/>
        <v>173</v>
      </c>
      <c r="AK69" s="5" t="str">
        <f t="shared" ca="1" si="219"/>
        <v>VIGENTE</v>
      </c>
      <c r="AL69" s="3"/>
      <c r="AM69" s="4">
        <v>45926</v>
      </c>
      <c r="AN69" s="4">
        <f t="shared" si="241"/>
        <v>46656</v>
      </c>
      <c r="AO69" s="8">
        <f t="shared" ca="1" si="249"/>
        <v>511</v>
      </c>
      <c r="AP69" s="5" t="str">
        <f t="shared" ca="1" si="250"/>
        <v>VIGENTE</v>
      </c>
      <c r="AQ69" s="3"/>
      <c r="AR69" s="4">
        <v>45967</v>
      </c>
      <c r="AS69" s="4">
        <f t="shared" si="237"/>
        <v>46697</v>
      </c>
      <c r="AT69" s="8">
        <f t="shared" ca="1" si="251"/>
        <v>552</v>
      </c>
      <c r="AU69" s="5" t="str">
        <f t="shared" ca="1" si="252"/>
        <v>VIGENTE</v>
      </c>
      <c r="AV69" s="3"/>
      <c r="AW69" s="4">
        <v>45990</v>
      </c>
      <c r="AX69" s="4">
        <f t="shared" si="232"/>
        <v>46720</v>
      </c>
      <c r="AY69" s="8">
        <f t="shared" ca="1" si="253"/>
        <v>575</v>
      </c>
      <c r="AZ69" s="5" t="str">
        <f t="shared" ca="1" si="254"/>
        <v>VIGENTE</v>
      </c>
      <c r="BA69" s="3"/>
      <c r="BB69" s="4">
        <v>45943</v>
      </c>
      <c r="BC69" s="4">
        <f>DATE(YEAR(BB69)+2,MONTH(BB69),DAY(BB69))</f>
        <v>46673</v>
      </c>
      <c r="BD69" s="8">
        <f t="shared" ca="1" si="255"/>
        <v>528</v>
      </c>
      <c r="BE69" s="5" t="str">
        <f t="shared" ca="1" si="256"/>
        <v>VIGENTE</v>
      </c>
      <c r="BF69" s="3"/>
      <c r="BG69" s="4">
        <v>45968</v>
      </c>
      <c r="BH69" s="4">
        <f>DATE(YEAR(BG69)+2,MONTH(BG69),DAY(BG69))</f>
        <v>46698</v>
      </c>
      <c r="BI69" s="8">
        <f t="shared" ca="1" si="257"/>
        <v>553</v>
      </c>
      <c r="BJ69" s="5" t="str">
        <f t="shared" ca="1" si="258"/>
        <v>VIGENTE</v>
      </c>
      <c r="BK69" s="3"/>
      <c r="BL69" s="4">
        <v>46056</v>
      </c>
      <c r="BM69" s="4">
        <f>DATE(YEAR(BL69)+2,MONTH(BL69),DAY(BL69))</f>
        <v>46786</v>
      </c>
      <c r="BN69" s="8">
        <f t="shared" ca="1" si="259"/>
        <v>641</v>
      </c>
      <c r="BO69" s="5" t="str">
        <f t="shared" ca="1" si="260"/>
        <v>VIGENTE</v>
      </c>
      <c r="BP69" s="3"/>
      <c r="BQ69" s="39">
        <v>46120</v>
      </c>
      <c r="BR69" s="4">
        <f>DATE(YEAR(BQ69)+2,MONTH(BQ69),DAY(BQ69)-1)</f>
        <v>46850</v>
      </c>
      <c r="BS69" s="8">
        <f t="shared" ca="1" si="261"/>
        <v>705</v>
      </c>
      <c r="BT69" s="5" t="str">
        <f t="shared" ca="1" si="262"/>
        <v>VIGENTE</v>
      </c>
      <c r="BU69" s="3"/>
      <c r="BV69" s="4">
        <v>45950</v>
      </c>
      <c r="BW69" s="4">
        <f>DATE(YEAR(BV69)+2,MONTH(BV69),DAY(BV69))</f>
        <v>46680</v>
      </c>
      <c r="BX69" s="8">
        <f t="shared" ca="1" si="263"/>
        <v>535</v>
      </c>
      <c r="BY69" s="5" t="str">
        <f t="shared" ca="1" si="264"/>
        <v>VIGENTE</v>
      </c>
      <c r="BZ69" s="3"/>
      <c r="CA69" s="4">
        <v>45944</v>
      </c>
      <c r="CB69" s="4">
        <f t="shared" si="239"/>
        <v>46674</v>
      </c>
      <c r="CC69" s="8">
        <f t="shared" ca="1" si="265"/>
        <v>529</v>
      </c>
      <c r="CD69" s="5" t="str">
        <f t="shared" ca="1" si="266"/>
        <v>VIGENTE</v>
      </c>
      <c r="CE69" s="6"/>
      <c r="CF69" s="4">
        <v>45241</v>
      </c>
      <c r="CG69" s="4">
        <f t="shared" si="267"/>
        <v>46702</v>
      </c>
      <c r="CH69" s="8">
        <f t="shared" ca="1" si="268"/>
        <v>557</v>
      </c>
      <c r="CI69" s="5" t="str">
        <f t="shared" ca="1" si="269"/>
        <v>VIGENTE</v>
      </c>
      <c r="CJ69" s="4"/>
      <c r="CK69" s="4">
        <v>45895</v>
      </c>
      <c r="CL69" s="4">
        <f>DATE(YEAR(CK69)+2,MONTH(CK69),DAY(CK69))</f>
        <v>46625</v>
      </c>
      <c r="CM69" s="8">
        <f t="shared" ca="1" si="270"/>
        <v>480</v>
      </c>
      <c r="CN69" s="5" t="str">
        <f t="shared" ca="1" si="271"/>
        <v>VIGENTE</v>
      </c>
      <c r="CO69" s="3"/>
      <c r="CP69" s="39">
        <v>45882</v>
      </c>
      <c r="CQ69" s="4">
        <f>DATE(YEAR(CP69)+2,MONTH(CP69),DAY(CP69))</f>
        <v>46612</v>
      </c>
      <c r="CR69" s="8">
        <f t="shared" ca="1" si="272"/>
        <v>467</v>
      </c>
      <c r="CS69" s="5" t="str">
        <f t="shared" ca="1" si="273"/>
        <v>VIGENTE</v>
      </c>
      <c r="CT69" s="3"/>
      <c r="CU69" s="4">
        <v>45645</v>
      </c>
      <c r="CV69" s="4">
        <f>DATE(YEAR(CU69)+2,MONTH(CU69),DAY(CU69)-1)</f>
        <v>46374</v>
      </c>
      <c r="CW69" s="8">
        <f t="shared" ca="1" si="274"/>
        <v>229</v>
      </c>
      <c r="CX69" s="5" t="str">
        <f t="shared" ca="1" si="275"/>
        <v>VIGENTE</v>
      </c>
      <c r="CY69" s="3"/>
      <c r="CZ69" s="4">
        <v>45665</v>
      </c>
      <c r="DA69" s="4">
        <f>DATE(YEAR(CZ69)+2,MONTH(CZ69),DAY(CZ69)-1)</f>
        <v>46394</v>
      </c>
      <c r="DB69" s="8">
        <f t="shared" ca="1" si="276"/>
        <v>249</v>
      </c>
      <c r="DC69" s="5" t="str">
        <f t="shared" ca="1" si="277"/>
        <v>VIGENTE</v>
      </c>
      <c r="DD69" s="3"/>
      <c r="DE69" s="39">
        <v>45689</v>
      </c>
      <c r="DF69" s="4">
        <f>DATE(YEAR(DE69)+2,MONTH(DE69),DAY(DE69)-1)</f>
        <v>46418</v>
      </c>
      <c r="DG69" s="8">
        <f t="shared" ca="1" si="278"/>
        <v>273</v>
      </c>
      <c r="DH69" s="5" t="str">
        <f t="shared" ca="1" si="279"/>
        <v>VIGENTE</v>
      </c>
      <c r="DI69" s="3"/>
      <c r="DJ69" s="39">
        <v>45955</v>
      </c>
      <c r="DK69" s="4">
        <f t="shared" si="240"/>
        <v>46685</v>
      </c>
      <c r="DL69" s="8">
        <f t="shared" ca="1" si="280"/>
        <v>540</v>
      </c>
      <c r="DM69" s="5" t="str">
        <f t="shared" ca="1" si="281"/>
        <v>VIGENTE</v>
      </c>
      <c r="DN69" s="3"/>
      <c r="DO69" s="4">
        <v>45520</v>
      </c>
      <c r="DP69" s="4">
        <f>DATE(YEAR(DO69)+2,MONTH(DO69),DAY(DO69)-1)</f>
        <v>46249</v>
      </c>
      <c r="DQ69" s="8">
        <f t="shared" ca="1" si="282"/>
        <v>104</v>
      </c>
      <c r="DR69" s="5" t="str">
        <f t="shared" ca="1" si="283"/>
        <v>VIGENTE</v>
      </c>
      <c r="DS69" s="3"/>
      <c r="DT69" s="4">
        <v>46018</v>
      </c>
      <c r="DU69" s="4">
        <f>DATE(YEAR(DT69)+2,MONTH(DT69),DAY(DT69))</f>
        <v>46748</v>
      </c>
      <c r="DV69" s="8">
        <f t="shared" ca="1" si="284"/>
        <v>603</v>
      </c>
      <c r="DW69" s="5" t="str">
        <f t="shared" ca="1" si="285"/>
        <v>VIGENTE</v>
      </c>
      <c r="DX69" s="3"/>
      <c r="DY69" s="4">
        <v>45682</v>
      </c>
      <c r="DZ69" s="4">
        <f t="shared" ref="DZ69:DZ81" si="354">DATE(YEAR(DY69)+2,MONTH(DY69),DAY(DY69)-1)</f>
        <v>46411</v>
      </c>
      <c r="EA69" s="8">
        <f t="shared" ca="1" si="286"/>
        <v>266</v>
      </c>
      <c r="EB69" s="5" t="str">
        <f t="shared" ca="1" si="287"/>
        <v>VIGENTE</v>
      </c>
      <c r="EC69" s="3"/>
      <c r="ED69" s="39">
        <v>45674</v>
      </c>
      <c r="EE69" s="4">
        <f>DATE(YEAR(ED69)+2,MONTH(ED69),DAY(ED69)-1)</f>
        <v>46403</v>
      </c>
      <c r="EF69" s="8">
        <f t="shared" ca="1" si="288"/>
        <v>258</v>
      </c>
      <c r="EG69" s="5" t="str">
        <f t="shared" ca="1" si="289"/>
        <v>VIGENTE</v>
      </c>
      <c r="EH69" s="3"/>
      <c r="EI69" s="4">
        <v>46123</v>
      </c>
      <c r="EJ69" s="4">
        <f t="shared" ref="EJ69:EJ132" si="355">DATE(YEAR(EI69)+1,MONTH(EI69),DAY(EI69))</f>
        <v>46488</v>
      </c>
      <c r="EK69" s="8">
        <f t="shared" ca="1" si="290"/>
        <v>343</v>
      </c>
      <c r="EL69" s="5" t="str">
        <f t="shared" ca="1" si="291"/>
        <v>VIGENTE</v>
      </c>
      <c r="EM69" s="3"/>
      <c r="EN69" s="4">
        <v>45671</v>
      </c>
      <c r="EO69" s="4">
        <f>DATE(YEAR(EN69)+2,MONTH(EN69),DAY(EN69)-1)</f>
        <v>46400</v>
      </c>
      <c r="EP69" s="8">
        <f t="shared" ca="1" si="292"/>
        <v>255</v>
      </c>
      <c r="EQ69" s="5" t="str">
        <f t="shared" ca="1" si="293"/>
        <v>VIGENTE</v>
      </c>
      <c r="ER69" s="3"/>
      <c r="ES69" s="39">
        <v>45999</v>
      </c>
      <c r="ET69" s="4">
        <f>DATE(YEAR(ES69)+2,MONTH(ES69),DAY(ES69))</f>
        <v>46729</v>
      </c>
      <c r="EU69" s="8">
        <f t="shared" ca="1" si="294"/>
        <v>584</v>
      </c>
      <c r="EV69" s="5" t="str">
        <f t="shared" ca="1" si="295"/>
        <v>VIGENTE</v>
      </c>
      <c r="EW69" s="3"/>
      <c r="EX69" s="4">
        <v>45953</v>
      </c>
      <c r="EY69" s="4">
        <f t="shared" si="234"/>
        <v>46683</v>
      </c>
      <c r="EZ69" s="8">
        <f t="shared" ca="1" si="296"/>
        <v>538</v>
      </c>
      <c r="FA69" s="5" t="str">
        <f t="shared" ca="1" si="297"/>
        <v>VIGENTE</v>
      </c>
      <c r="FB69" s="3"/>
      <c r="FC69" s="4">
        <v>45951</v>
      </c>
      <c r="FD69" s="4">
        <f t="shared" si="235"/>
        <v>46681</v>
      </c>
      <c r="FE69" s="8">
        <f t="shared" ca="1" si="298"/>
        <v>536</v>
      </c>
      <c r="FF69" s="5" t="str">
        <f t="shared" ca="1" si="299"/>
        <v>VIGENTE</v>
      </c>
      <c r="FG69" s="3"/>
      <c r="FH69" s="4">
        <v>45932</v>
      </c>
      <c r="FI69" s="4">
        <f t="shared" si="236"/>
        <v>46662</v>
      </c>
      <c r="FJ69" s="8">
        <f t="shared" ca="1" si="300"/>
        <v>517</v>
      </c>
      <c r="FK69" s="5" t="str">
        <f t="shared" ca="1" si="301"/>
        <v>VIGENTE</v>
      </c>
      <c r="FL69" s="3"/>
      <c r="FM69" s="39">
        <v>45933</v>
      </c>
      <c r="FN69" s="4">
        <f>DATE(YEAR(FM69)+2,MONTH(FM69),DAY(FM69))</f>
        <v>46663</v>
      </c>
      <c r="FO69" s="8">
        <f t="shared" ca="1" si="302"/>
        <v>518</v>
      </c>
      <c r="FP69" s="5" t="str">
        <f t="shared" ca="1" si="303"/>
        <v>VIGENTE</v>
      </c>
      <c r="FQ69" s="3"/>
      <c r="FR69" s="39">
        <v>46034</v>
      </c>
      <c r="FS69" s="4">
        <f>DATE(YEAR(FR69)+2,MONTH(FR69),DAY(FR69))</f>
        <v>46764</v>
      </c>
      <c r="FT69" s="8">
        <f t="shared" ca="1" si="304"/>
        <v>619</v>
      </c>
      <c r="FU69" s="5" t="str">
        <f t="shared" ca="1" si="305"/>
        <v>VIGENTE</v>
      </c>
      <c r="FV69" s="3"/>
      <c r="FW69" s="4">
        <v>46014</v>
      </c>
      <c r="FX69" s="4">
        <f>DATE(YEAR(FW69)+2,MONTH(FW69),DAY(FW69))</f>
        <v>46744</v>
      </c>
      <c r="FY69" s="8">
        <f t="shared" ca="1" si="306"/>
        <v>599</v>
      </c>
      <c r="FZ69" s="5" t="str">
        <f t="shared" ca="1" si="307"/>
        <v>VIGENTE</v>
      </c>
      <c r="GA69" s="3"/>
      <c r="GB69" s="4">
        <v>45925</v>
      </c>
      <c r="GC69" s="4">
        <f>DATE(YEAR(GB69)+2,MONTH(GB69),DAY(GB69))</f>
        <v>46655</v>
      </c>
      <c r="GD69" s="8">
        <f t="shared" ca="1" si="308"/>
        <v>510</v>
      </c>
      <c r="GE69" s="5" t="str">
        <f t="shared" ca="1" si="309"/>
        <v>VIGENTE</v>
      </c>
      <c r="GF69" s="3"/>
      <c r="GG69" s="4">
        <v>45985</v>
      </c>
      <c r="GH69" s="4">
        <f>DATE(YEAR(GG69)+2,MONTH(GG69),DAY(GG69))</f>
        <v>46715</v>
      </c>
      <c r="GI69" s="8">
        <f t="shared" ca="1" si="310"/>
        <v>570</v>
      </c>
      <c r="GJ69" s="5" t="str">
        <f t="shared" ca="1" si="311"/>
        <v>VIGENTE</v>
      </c>
      <c r="GK69" s="3"/>
      <c r="GL69" s="4">
        <v>45945</v>
      </c>
      <c r="GM69" s="4">
        <f>DATE(YEAR(GL69)+2,MONTH(GL69),DAY(GL69))</f>
        <v>46675</v>
      </c>
      <c r="GN69" s="8">
        <f t="shared" ca="1" si="312"/>
        <v>530</v>
      </c>
      <c r="GO69" s="5" t="str">
        <f t="shared" ca="1" si="313"/>
        <v>VIGENTE</v>
      </c>
      <c r="GP69" s="4"/>
      <c r="GQ69" s="4">
        <v>45295</v>
      </c>
      <c r="GR69" s="4">
        <f t="shared" si="314"/>
        <v>47122</v>
      </c>
      <c r="GS69" s="8">
        <f t="shared" ca="1" si="176"/>
        <v>977</v>
      </c>
      <c r="GT69" s="5" t="str">
        <f t="shared" ca="1" si="315"/>
        <v>VIGENTE</v>
      </c>
      <c r="GU69" s="3"/>
      <c r="GV69" s="4">
        <v>45252</v>
      </c>
      <c r="GW69" s="4">
        <f t="shared" si="316"/>
        <v>47079</v>
      </c>
      <c r="GX69" s="8">
        <f t="shared" ca="1" si="317"/>
        <v>934</v>
      </c>
      <c r="GY69" s="5" t="str">
        <f t="shared" ca="1" si="318"/>
        <v>VIGENTE</v>
      </c>
      <c r="GZ69" s="3"/>
      <c r="HA69" s="4">
        <v>45251</v>
      </c>
      <c r="HB69" s="4">
        <f t="shared" si="319"/>
        <v>47078</v>
      </c>
      <c r="HC69" s="8">
        <f t="shared" ca="1" si="320"/>
        <v>933</v>
      </c>
      <c r="HD69" s="5" t="str">
        <f t="shared" ca="1" si="321"/>
        <v>VIGENTE</v>
      </c>
      <c r="HE69" s="6"/>
      <c r="HF69" s="4">
        <v>44921</v>
      </c>
      <c r="HG69" s="4">
        <f>DATE(YEAR(HF69)+5,MONTH(HF69),DAY(HF69))</f>
        <v>46747</v>
      </c>
      <c r="HH69" s="8">
        <f ca="1">HG69-TODAY()</f>
        <v>602</v>
      </c>
      <c r="HI69" s="5" t="str">
        <f t="shared" ca="1" si="224"/>
        <v>VIGENTE</v>
      </c>
      <c r="HJ69" s="2"/>
      <c r="HK69" s="6"/>
      <c r="HL69" s="4"/>
      <c r="HM69" s="8"/>
      <c r="HN69" s="5" t="str">
        <f t="shared" si="228"/>
        <v>NO APLICA</v>
      </c>
      <c r="HO69" s="2"/>
      <c r="HP69" s="2"/>
      <c r="HQ69" s="4"/>
      <c r="HR69" s="2"/>
      <c r="HS69" s="5" t="str">
        <f t="shared" si="322"/>
        <v>NO APLICA</v>
      </c>
      <c r="HT69" s="3"/>
      <c r="HU69" s="4">
        <v>45255</v>
      </c>
      <c r="HV69" s="4">
        <f>DATE(YEAR(HU69)+5,MONTH(HU69),DAY(HU69))</f>
        <v>47082</v>
      </c>
      <c r="HW69" s="8">
        <f ca="1">HV69-TODAY()</f>
        <v>937</v>
      </c>
      <c r="HX69" s="5" t="str">
        <f t="shared" ca="1" si="323"/>
        <v>VIGENTE</v>
      </c>
      <c r="HY69" s="3"/>
      <c r="HZ69" s="4">
        <v>45486</v>
      </c>
      <c r="IA69" s="4">
        <f>DATE(YEAR(HZ69)+5,MONTH(HZ69),DAY(HZ69))</f>
        <v>47312</v>
      </c>
      <c r="IB69" s="8">
        <f ca="1">IA69-TODAY()</f>
        <v>1167</v>
      </c>
      <c r="IC69" s="5" t="str">
        <f t="shared" ca="1" si="324"/>
        <v>VIGENTE</v>
      </c>
      <c r="ID69" s="3"/>
      <c r="IE69" s="4">
        <v>45444</v>
      </c>
      <c r="IF69" s="4">
        <f>DATE(YEAR(IE69)+5,MONTH(IE69),DAY(IE69))</f>
        <v>47270</v>
      </c>
      <c r="IG69" s="8">
        <f ca="1">IF69-TODAY()</f>
        <v>1125</v>
      </c>
      <c r="IH69" s="5" t="str">
        <f t="shared" ca="1" si="325"/>
        <v>VIGENTE</v>
      </c>
      <c r="II69" s="4"/>
      <c r="IJ69" s="4">
        <v>45237</v>
      </c>
      <c r="IK69" s="4">
        <f>DATE(YEAR(IJ69)+5,MONTH(IJ69),DAY(IJ69))</f>
        <v>47064</v>
      </c>
      <c r="IL69" s="8">
        <f ca="1">IK69-TODAY()</f>
        <v>919</v>
      </c>
      <c r="IM69" s="5" t="str">
        <f t="shared" ca="1" si="326"/>
        <v>VIGENTE</v>
      </c>
      <c r="IN69" s="3"/>
      <c r="IO69" s="4">
        <v>45239</v>
      </c>
      <c r="IP69" s="4">
        <f>DATE(YEAR(IO69)+5,MONTH(IO69),DAY(IO69))</f>
        <v>47066</v>
      </c>
      <c r="IQ69" s="8">
        <f ca="1">IP69-TODAY()</f>
        <v>921</v>
      </c>
      <c r="IR69" s="5" t="str">
        <f t="shared" ca="1" si="327"/>
        <v>VIGENTE</v>
      </c>
      <c r="IS69" s="3"/>
      <c r="IT69" s="4">
        <v>45294</v>
      </c>
      <c r="IU69" s="4">
        <f>DATE(YEAR(IT69)+5,MONTH(IT69),DAY(IT69))</f>
        <v>47121</v>
      </c>
      <c r="IV69" s="8">
        <f ca="1">IU69-TODAY()</f>
        <v>976</v>
      </c>
      <c r="IW69" s="5" t="str">
        <f t="shared" ca="1" si="328"/>
        <v>VIGENTE</v>
      </c>
      <c r="IX69" s="3"/>
      <c r="IY69" s="4">
        <v>45446</v>
      </c>
      <c r="IZ69" s="4">
        <f>DATE(YEAR(IY69)+5,MONTH(IY69),DAY(IY69))</f>
        <v>47272</v>
      </c>
      <c r="JA69" s="8">
        <f ca="1">IZ69-TODAY()</f>
        <v>1127</v>
      </c>
      <c r="JB69" s="5" t="str">
        <f t="shared" ca="1" si="329"/>
        <v>VIGENTE</v>
      </c>
      <c r="JC69" s="3" t="s">
        <v>780</v>
      </c>
      <c r="JD69" s="3"/>
      <c r="JE69" s="4"/>
      <c r="JF69" s="8"/>
      <c r="JG69" s="5"/>
      <c r="JH69" s="3" t="s">
        <v>780</v>
      </c>
      <c r="JI69" s="6"/>
      <c r="JJ69" s="6"/>
      <c r="JK69" s="6"/>
      <c r="JL69" s="5"/>
      <c r="JM69" s="6" t="s">
        <v>780</v>
      </c>
      <c r="JN69" s="6"/>
      <c r="JO69" s="6"/>
      <c r="JP69" s="6"/>
      <c r="JQ69" s="5"/>
      <c r="JR69" s="6" t="s">
        <v>780</v>
      </c>
      <c r="JS69" s="6"/>
      <c r="JT69" s="6"/>
      <c r="JU69" s="6"/>
      <c r="JV69" s="5"/>
      <c r="JW69" s="6" t="s">
        <v>780</v>
      </c>
      <c r="JX69" s="5"/>
      <c r="JY69" s="5"/>
      <c r="JZ69" s="5"/>
      <c r="KA69" s="5"/>
      <c r="KB69" s="5"/>
      <c r="KC69" s="2"/>
      <c r="KD69" s="4"/>
      <c r="KE69" s="8"/>
      <c r="KF69" s="5" t="str">
        <f t="shared" si="330"/>
        <v>NO APLICA</v>
      </c>
      <c r="KG69" s="5"/>
      <c r="KH69" s="2"/>
      <c r="KI69" s="4"/>
      <c r="KJ69" s="8"/>
      <c r="KK69" s="5" t="str">
        <f t="shared" ref="KK69:KK132" si="356">IF(KJ69&gt;=61,"VIGENTE",IF(KJ69&gt;=1,"POR VENCER",IF(KJ69&lt;=-1,"VENCIDA",IF(KH69=0,"NO APLICA"))))</f>
        <v>NO APLICA</v>
      </c>
      <c r="KL69" s="5"/>
      <c r="KM69" s="2"/>
      <c r="KN69" s="4"/>
      <c r="KO69" s="8"/>
      <c r="KP69" s="5" t="str">
        <f t="shared" si="331"/>
        <v>NO APLICA</v>
      </c>
      <c r="KQ69" s="5"/>
      <c r="KR69" s="2"/>
      <c r="KS69" s="4"/>
      <c r="KT69" s="8"/>
      <c r="KU69" s="5" t="str">
        <f t="shared" ref="KU69:KU132" si="357">IF(KT69&gt;=61,"VIGENTE",IF(KT69&gt;=1,"POR VENCER",IF(KT69&lt;=-1,"VENCIDA",IF(KR69=0,"NO APLICA"))))</f>
        <v>NO APLICA</v>
      </c>
      <c r="KV69" s="2"/>
      <c r="KW69" s="6"/>
      <c r="KX69" s="4"/>
      <c r="KY69" s="8"/>
      <c r="KZ69" s="5" t="str">
        <f t="shared" si="151"/>
        <v>NO APLICA</v>
      </c>
      <c r="LA69" s="5"/>
      <c r="LB69" s="6"/>
      <c r="LC69" s="4"/>
      <c r="LD69" s="8"/>
      <c r="LE69" s="5" t="str">
        <f t="shared" ref="LE69:LE132" si="358">IF(LD69&gt;=61,"VIGENTE",IF(LD69&gt;=1,"POR VENCER",IF(LD69&lt;=-1,"VENCIDA",IF(LB69=0,"NO APLICA"))))</f>
        <v>NO APLICA</v>
      </c>
      <c r="LF69" s="4"/>
      <c r="LG69" s="4"/>
      <c r="LH69" s="4"/>
      <c r="LI69" s="8"/>
      <c r="LJ69" s="5" t="str">
        <f t="shared" si="332"/>
        <v>NO APLICA</v>
      </c>
      <c r="LK69" s="5"/>
      <c r="LL69" s="5"/>
      <c r="LM69" s="4"/>
      <c r="LN69" s="8"/>
      <c r="LO69" s="5" t="str">
        <f t="shared" si="152"/>
        <v>NO APLICA</v>
      </c>
      <c r="LP69" s="2"/>
      <c r="LQ69" s="6"/>
      <c r="LR69" s="4"/>
      <c r="LS69" s="8"/>
      <c r="LT69" s="5" t="str">
        <f t="shared" ref="LT69:LT132" si="359">IF(LS69&gt;=61,"VIGENTE",IF(LS69&gt;=1,"POR VENCER",IF(LS69&lt;=-1,"VENCIDA",IF(LQ69=0,"NO APLICA"))))</f>
        <v>NO APLICA</v>
      </c>
      <c r="LU69" s="6"/>
      <c r="LV69" s="6"/>
      <c r="LW69" s="4"/>
      <c r="LX69" s="8"/>
      <c r="LY69" s="5" t="str">
        <f t="shared" ref="LY69:LY132" si="360">IF(LX69&gt;=61,"VIGENTE",IF(LX69&gt;=1,"POR VENCER",IF(LX69&lt;=-1,"VENCIDA",IF(LV69=0,"NO APLICA"))))</f>
        <v>NO APLICA</v>
      </c>
      <c r="LZ69" s="6"/>
      <c r="MA69" s="6"/>
      <c r="MB69" s="4"/>
      <c r="MC69" s="8"/>
      <c r="MD69" s="5" t="str">
        <f t="shared" ref="MD69:MD132" si="361">IF(MC69&gt;=61,"VIGENTE",IF(MC69&gt;=1,"POR VENCER",IF(MC69&lt;=-1,"VENCIDA",IF(MA69=0,"NO APLICA"))))</f>
        <v>NO APLICA</v>
      </c>
      <c r="ME69" s="2"/>
      <c r="MF69" s="2"/>
      <c r="MG69" s="4"/>
      <c r="MH69" s="8"/>
      <c r="MI69" s="5" t="str">
        <f t="shared" si="333"/>
        <v>NO APLICA</v>
      </c>
      <c r="MJ69" s="2"/>
      <c r="MK69" s="2"/>
      <c r="ML69" s="4"/>
      <c r="MM69" s="8"/>
      <c r="MN69" s="5" t="str">
        <f t="shared" si="334"/>
        <v>NO APLICA</v>
      </c>
      <c r="MO69" s="5"/>
      <c r="MP69" s="2"/>
      <c r="MQ69" s="4"/>
      <c r="MR69" s="8"/>
      <c r="MS69" s="5" t="str">
        <f t="shared" si="335"/>
        <v>NO APLICA</v>
      </c>
      <c r="MT69" s="5"/>
      <c r="MU69" s="2"/>
      <c r="MV69" s="4"/>
      <c r="MW69" s="2"/>
      <c r="MX69" s="5" t="str">
        <f t="shared" si="336"/>
        <v>NO APLICA</v>
      </c>
      <c r="MY69" s="2"/>
      <c r="MZ69" s="6"/>
      <c r="NA69" s="4"/>
      <c r="NB69" s="8"/>
      <c r="NC69" s="5" t="str">
        <f t="shared" si="337"/>
        <v>NO APLICA</v>
      </c>
      <c r="ND69" s="2"/>
      <c r="NE69" s="6"/>
      <c r="NF69" s="4"/>
      <c r="NG69" s="8"/>
      <c r="NH69" s="5" t="str">
        <f t="shared" si="338"/>
        <v>NO APLICA</v>
      </c>
      <c r="NI69" s="2"/>
      <c r="NJ69" s="6"/>
      <c r="NK69" s="4"/>
      <c r="NL69" s="8"/>
      <c r="NM69" s="5" t="str">
        <f t="shared" si="339"/>
        <v>NO APLICA</v>
      </c>
      <c r="NN69" s="2"/>
      <c r="NO69" s="2"/>
      <c r="NP69" s="4"/>
      <c r="NQ69" s="2"/>
      <c r="NR69" s="5" t="str">
        <f t="shared" si="340"/>
        <v>NO APLICA</v>
      </c>
      <c r="NS69" s="2"/>
      <c r="NT69" s="2"/>
      <c r="NU69" s="4"/>
      <c r="NV69" s="2"/>
      <c r="NW69" s="5" t="str">
        <f t="shared" si="341"/>
        <v>NO APLICA</v>
      </c>
      <c r="NX69" s="6"/>
      <c r="NY69" s="6"/>
      <c r="NZ69" s="4"/>
      <c r="OA69" s="8"/>
      <c r="OB69" s="5" t="str">
        <f t="shared" si="342"/>
        <v>NO APLICA</v>
      </c>
      <c r="OC69" s="6"/>
      <c r="OD69" s="6"/>
      <c r="OE69" s="6"/>
      <c r="OF69" s="6"/>
      <c r="OG69" s="5" t="str">
        <f t="shared" si="343"/>
        <v>NO APLICA</v>
      </c>
      <c r="OH69" s="6"/>
      <c r="OI69" s="6"/>
      <c r="OJ69" s="4"/>
      <c r="OK69" s="8"/>
      <c r="OL69" s="5" t="str">
        <f t="shared" si="344"/>
        <v>NO APLICA</v>
      </c>
      <c r="OM69" s="6"/>
      <c r="ON69" s="6"/>
      <c r="OO69" s="6"/>
      <c r="OP69" s="6"/>
      <c r="OQ69" s="5" t="str">
        <f t="shared" si="345"/>
        <v>NO APLICA</v>
      </c>
      <c r="OR69" s="6"/>
      <c r="OS69" s="6"/>
      <c r="OT69" s="6"/>
      <c r="OU69" s="6"/>
      <c r="OV69" s="5" t="str">
        <f t="shared" si="346"/>
        <v>NO APLICA</v>
      </c>
      <c r="OW69" s="6"/>
      <c r="OX69" s="6"/>
      <c r="OY69" s="6"/>
      <c r="OZ69" s="6"/>
      <c r="PA69" s="5" t="str">
        <f t="shared" si="347"/>
        <v>NO APLICA</v>
      </c>
      <c r="PB69" s="6"/>
      <c r="PC69" s="6"/>
      <c r="PD69" s="6"/>
      <c r="PE69" s="6"/>
      <c r="PF69" s="5" t="str">
        <f t="shared" si="348"/>
        <v>NO APLICA</v>
      </c>
      <c r="PG69" s="6"/>
      <c r="PH69" s="6"/>
      <c r="PI69" s="6"/>
      <c r="PJ69" s="6"/>
      <c r="PK69" s="5" t="str">
        <f t="shared" si="349"/>
        <v>NO APLICA</v>
      </c>
      <c r="PL69" s="5"/>
      <c r="PM69" s="6"/>
      <c r="PN69" s="4"/>
      <c r="PO69" s="8"/>
      <c r="PP69" s="5" t="str">
        <f t="shared" si="350"/>
        <v>NO APLICA</v>
      </c>
      <c r="PQ69" s="6"/>
      <c r="PR69" s="6"/>
      <c r="PS69" s="6"/>
      <c r="PT69" s="6"/>
      <c r="PU69" s="5" t="str">
        <f t="shared" si="351"/>
        <v>NO APLICA</v>
      </c>
      <c r="PV69" s="5"/>
      <c r="PW69" s="6"/>
      <c r="PX69" s="6"/>
      <c r="PY69" s="6"/>
      <c r="PZ69" s="5" t="str">
        <f t="shared" si="352"/>
        <v>NO APLICA</v>
      </c>
    </row>
    <row r="70" spans="1:442" ht="15.6" hidden="1" thickTop="1" thickBot="1" x14ac:dyDescent="0.35">
      <c r="A70" s="26">
        <v>67</v>
      </c>
      <c r="B70" s="27">
        <v>926</v>
      </c>
      <c r="C70" s="28" t="s">
        <v>265</v>
      </c>
      <c r="D70" s="29" t="s">
        <v>113</v>
      </c>
      <c r="E70" s="30" t="s">
        <v>126</v>
      </c>
      <c r="F70" s="3"/>
      <c r="G70" s="4">
        <v>46058</v>
      </c>
      <c r="H70" s="4">
        <f>DATE(YEAR(G70)+2,MONTH(G70),DAY(G70))</f>
        <v>46788</v>
      </c>
      <c r="I70" s="8">
        <f ca="1">H70-TODAY()</f>
        <v>643</v>
      </c>
      <c r="J70" s="5" t="str">
        <f t="shared" ca="1" si="242"/>
        <v>VIGENTE</v>
      </c>
      <c r="K70" s="5"/>
      <c r="L70" s="6"/>
      <c r="M70" s="6"/>
      <c r="N70" s="8"/>
      <c r="O70" s="5" t="str">
        <f t="shared" si="243"/>
        <v>NO APLICA</v>
      </c>
      <c r="P70" s="6"/>
      <c r="Q70" s="6"/>
      <c r="R70" s="4"/>
      <c r="S70" s="8"/>
      <c r="T70" s="5" t="str">
        <f t="shared" si="353"/>
        <v>NO APLICA</v>
      </c>
      <c r="U70" s="5"/>
      <c r="V70" s="2" t="s">
        <v>266</v>
      </c>
      <c r="W70" s="4">
        <v>45282</v>
      </c>
      <c r="X70" s="4">
        <f t="shared" si="244"/>
        <v>47109</v>
      </c>
      <c r="Y70" s="8">
        <f t="shared" ca="1" si="245"/>
        <v>964</v>
      </c>
      <c r="Z70" s="5" t="str">
        <f t="shared" ca="1" si="246"/>
        <v>VIGENTE</v>
      </c>
      <c r="AA70" s="5"/>
      <c r="AB70" s="2"/>
      <c r="AC70" s="6"/>
      <c r="AD70" s="4"/>
      <c r="AE70" s="8"/>
      <c r="AF70" s="5" t="str">
        <f t="shared" si="247"/>
        <v>NO APLICA</v>
      </c>
      <c r="AG70" s="3"/>
      <c r="AH70" s="4">
        <v>45902</v>
      </c>
      <c r="AI70" s="4">
        <f>DATE(YEAR(AH70)+2,MONTH(AH70),DAY(AH70))</f>
        <v>46632</v>
      </c>
      <c r="AJ70" s="8">
        <f t="shared" ca="1" si="248"/>
        <v>487</v>
      </c>
      <c r="AK70" s="5" t="str">
        <f t="shared" ca="1" si="219"/>
        <v>VIGENTE</v>
      </c>
      <c r="AL70" s="3"/>
      <c r="AM70" s="4">
        <v>45937</v>
      </c>
      <c r="AN70" s="4">
        <f t="shared" si="241"/>
        <v>46667</v>
      </c>
      <c r="AO70" s="8">
        <f t="shared" ca="1" si="249"/>
        <v>522</v>
      </c>
      <c r="AP70" s="5" t="str">
        <f t="shared" ca="1" si="250"/>
        <v>VIGENTE</v>
      </c>
      <c r="AQ70" s="3"/>
      <c r="AR70" s="4">
        <v>45904</v>
      </c>
      <c r="AS70" s="4">
        <f t="shared" si="237"/>
        <v>46634</v>
      </c>
      <c r="AT70" s="8">
        <f t="shared" ca="1" si="251"/>
        <v>489</v>
      </c>
      <c r="AU70" s="5" t="str">
        <f t="shared" ca="1" si="252"/>
        <v>VIGENTE</v>
      </c>
      <c r="AV70" s="3"/>
      <c r="AW70" s="4">
        <v>45927</v>
      </c>
      <c r="AX70" s="4">
        <f t="shared" si="232"/>
        <v>46657</v>
      </c>
      <c r="AY70" s="8">
        <f t="shared" ca="1" si="253"/>
        <v>512</v>
      </c>
      <c r="AZ70" s="5" t="str">
        <f t="shared" ca="1" si="254"/>
        <v>VIGENTE</v>
      </c>
      <c r="BA70" s="3"/>
      <c r="BB70" s="4">
        <v>45742</v>
      </c>
      <c r="BC70" s="4">
        <f t="shared" ref="BC70:BC75" si="362">DATE(YEAR(BB70)+2,MONTH(BB70),DAY(BB70)-1)</f>
        <v>46471</v>
      </c>
      <c r="BD70" s="8">
        <f t="shared" ca="1" si="255"/>
        <v>326</v>
      </c>
      <c r="BE70" s="5" t="str">
        <f t="shared" ca="1" si="256"/>
        <v>VIGENTE</v>
      </c>
      <c r="BF70" s="3"/>
      <c r="BG70" s="4">
        <v>45698</v>
      </c>
      <c r="BH70" s="4">
        <f>DATE(YEAR(BG70)+2,MONTH(BG70),DAY(BG70)-1)</f>
        <v>46427</v>
      </c>
      <c r="BI70" s="8">
        <f t="shared" ca="1" si="257"/>
        <v>282</v>
      </c>
      <c r="BJ70" s="5" t="str">
        <f t="shared" ca="1" si="258"/>
        <v>VIGENTE</v>
      </c>
      <c r="BK70" s="3"/>
      <c r="BL70" s="4">
        <v>45699</v>
      </c>
      <c r="BM70" s="4">
        <f>DATE(YEAR(BL70)+2,MONTH(BL70),DAY(BL70)-1)</f>
        <v>46428</v>
      </c>
      <c r="BN70" s="8">
        <f t="shared" ca="1" si="259"/>
        <v>283</v>
      </c>
      <c r="BO70" s="5" t="str">
        <f t="shared" ca="1" si="260"/>
        <v>VIGENTE</v>
      </c>
      <c r="BP70" s="3"/>
      <c r="BQ70" s="39">
        <v>45621</v>
      </c>
      <c r="BR70" s="4">
        <f>DATE(YEAR(BQ70)+2,MONTH(BQ70),DAY(BQ70)-1)</f>
        <v>46350</v>
      </c>
      <c r="BS70" s="8">
        <f t="shared" ca="1" si="261"/>
        <v>205</v>
      </c>
      <c r="BT70" s="5" t="str">
        <f t="shared" ca="1" si="262"/>
        <v>VIGENTE</v>
      </c>
      <c r="BU70" s="3"/>
      <c r="BV70" s="4">
        <v>45611</v>
      </c>
      <c r="BW70" s="4">
        <f>DATE(YEAR(BV70)+2,MONTH(BV70),DAY(BV70)-1)</f>
        <v>46340</v>
      </c>
      <c r="BX70" s="8">
        <f t="shared" ca="1" si="263"/>
        <v>195</v>
      </c>
      <c r="BY70" s="5" t="str">
        <f t="shared" ca="1" si="264"/>
        <v>VIGENTE</v>
      </c>
      <c r="BZ70" s="3"/>
      <c r="CA70" s="4">
        <v>45911</v>
      </c>
      <c r="CB70" s="4">
        <f t="shared" si="239"/>
        <v>46641</v>
      </c>
      <c r="CC70" s="8">
        <f t="shared" ca="1" si="265"/>
        <v>496</v>
      </c>
      <c r="CD70" s="5" t="str">
        <f t="shared" ca="1" si="266"/>
        <v>VIGENTE</v>
      </c>
      <c r="CE70" s="6"/>
      <c r="CF70" s="4">
        <v>45828</v>
      </c>
      <c r="CG70" s="4">
        <f t="shared" si="267"/>
        <v>47289</v>
      </c>
      <c r="CH70" s="8">
        <f t="shared" ca="1" si="268"/>
        <v>1144</v>
      </c>
      <c r="CI70" s="5" t="str">
        <f t="shared" ca="1" si="269"/>
        <v>VIGENTE</v>
      </c>
      <c r="CJ70" s="4"/>
      <c r="CK70" s="4">
        <v>45688</v>
      </c>
      <c r="CL70" s="4">
        <f>DATE(YEAR(CK70)+2,MONTH(CK70),DAY(CK70)-1)</f>
        <v>46417</v>
      </c>
      <c r="CM70" s="8">
        <f t="shared" ca="1" si="270"/>
        <v>272</v>
      </c>
      <c r="CN70" s="5" t="str">
        <f t="shared" ca="1" si="271"/>
        <v>VIGENTE</v>
      </c>
      <c r="CO70" s="3"/>
      <c r="CP70" s="39">
        <v>45684</v>
      </c>
      <c r="CQ70" s="4">
        <f>DATE(YEAR(CP70)+2,MONTH(CP70),DAY(CP70)-1)</f>
        <v>46413</v>
      </c>
      <c r="CR70" s="8">
        <f t="shared" ca="1" si="272"/>
        <v>268</v>
      </c>
      <c r="CS70" s="5" t="str">
        <f t="shared" ca="1" si="273"/>
        <v>VIGENTE</v>
      </c>
      <c r="CT70" s="3"/>
      <c r="CU70" s="4">
        <v>45905</v>
      </c>
      <c r="CV70" s="4">
        <f>DATE(YEAR(CU70)+2,MONTH(CU70),DAY(CU70))</f>
        <v>46635</v>
      </c>
      <c r="CW70" s="8">
        <f t="shared" ca="1" si="274"/>
        <v>490</v>
      </c>
      <c r="CX70" s="5" t="str">
        <f t="shared" ca="1" si="275"/>
        <v>VIGENTE</v>
      </c>
      <c r="CY70" s="3"/>
      <c r="CZ70" s="4">
        <v>45835</v>
      </c>
      <c r="DA70" s="4">
        <f>DATE(YEAR(CZ70)+2,MONTH(CZ70),DAY(CZ70))</f>
        <v>46565</v>
      </c>
      <c r="DB70" s="8">
        <f t="shared" ca="1" si="276"/>
        <v>420</v>
      </c>
      <c r="DC70" s="5" t="str">
        <f t="shared" ca="1" si="277"/>
        <v>VIGENTE</v>
      </c>
      <c r="DD70" s="3"/>
      <c r="DE70" s="39">
        <v>45723</v>
      </c>
      <c r="DF70" s="4">
        <f>DATE(YEAR(DE70)+2,MONTH(DE70),DAY(DE70)-1)</f>
        <v>46452</v>
      </c>
      <c r="DG70" s="8">
        <f t="shared" ca="1" si="278"/>
        <v>307</v>
      </c>
      <c r="DH70" s="5" t="str">
        <f t="shared" ca="1" si="279"/>
        <v>VIGENTE</v>
      </c>
      <c r="DI70" s="3"/>
      <c r="DJ70" s="39">
        <v>45899</v>
      </c>
      <c r="DK70" s="4">
        <f t="shared" si="240"/>
        <v>46629</v>
      </c>
      <c r="DL70" s="8">
        <f t="shared" ca="1" si="280"/>
        <v>484</v>
      </c>
      <c r="DM70" s="5" t="str">
        <f t="shared" ca="1" si="281"/>
        <v>VIGENTE</v>
      </c>
      <c r="DN70" s="3"/>
      <c r="DO70" s="4">
        <v>45982</v>
      </c>
      <c r="DP70" s="4">
        <f>DATE(YEAR(DO70)+2,MONTH(DO70),DAY(DO70))</f>
        <v>46712</v>
      </c>
      <c r="DQ70" s="8">
        <f t="shared" ca="1" si="282"/>
        <v>567</v>
      </c>
      <c r="DR70" s="5" t="str">
        <f t="shared" ca="1" si="283"/>
        <v>VIGENTE</v>
      </c>
      <c r="DS70" s="2"/>
      <c r="DT70" s="4">
        <v>45743</v>
      </c>
      <c r="DU70" s="4">
        <f>DATE(YEAR(DT70)+2,MONTH(DT70),DAY(DT70)-1)</f>
        <v>46472</v>
      </c>
      <c r="DV70" s="8">
        <f t="shared" ca="1" si="284"/>
        <v>327</v>
      </c>
      <c r="DW70" s="5" t="str">
        <f t="shared" ca="1" si="285"/>
        <v>VIGENTE</v>
      </c>
      <c r="DX70" s="3"/>
      <c r="DY70" s="4">
        <v>45663</v>
      </c>
      <c r="DZ70" s="4">
        <f t="shared" si="354"/>
        <v>46392</v>
      </c>
      <c r="EA70" s="8">
        <f t="shared" ca="1" si="286"/>
        <v>247</v>
      </c>
      <c r="EB70" s="5" t="str">
        <f t="shared" ca="1" si="287"/>
        <v>VIGENTE</v>
      </c>
      <c r="EC70" s="3"/>
      <c r="ED70" s="39">
        <v>45674</v>
      </c>
      <c r="EE70" s="4">
        <f>DATE(YEAR(ED70)+2,MONTH(ED70),DAY(ED70)-1)</f>
        <v>46403</v>
      </c>
      <c r="EF70" s="8">
        <f t="shared" ca="1" si="288"/>
        <v>258</v>
      </c>
      <c r="EG70" s="5" t="str">
        <f t="shared" ca="1" si="289"/>
        <v>VIGENTE</v>
      </c>
      <c r="EH70" s="3"/>
      <c r="EI70" s="3">
        <v>46085</v>
      </c>
      <c r="EJ70" s="4">
        <f t="shared" si="355"/>
        <v>46450</v>
      </c>
      <c r="EK70" s="8">
        <f t="shared" ca="1" si="290"/>
        <v>305</v>
      </c>
      <c r="EL70" s="5" t="str">
        <f t="shared" ca="1" si="291"/>
        <v>VIGENTE</v>
      </c>
      <c r="EM70" s="3"/>
      <c r="EN70" s="4">
        <v>45737</v>
      </c>
      <c r="EO70" s="4">
        <f>DATE(YEAR(EN70)+2,MONTH(EN70),DAY(EN70)-1)</f>
        <v>46466</v>
      </c>
      <c r="EP70" s="8">
        <f t="shared" ca="1" si="292"/>
        <v>321</v>
      </c>
      <c r="EQ70" s="5" t="str">
        <f t="shared" ca="1" si="293"/>
        <v>VIGENTE</v>
      </c>
      <c r="ER70" s="3"/>
      <c r="ES70" s="39">
        <v>45677</v>
      </c>
      <c r="ET70" s="4">
        <f t="shared" ref="ET70:ET76" si="363">DATE(YEAR(ES70)+2,MONTH(ES70),DAY(ES70)-1)</f>
        <v>46406</v>
      </c>
      <c r="EU70" s="8">
        <f t="shared" ca="1" si="294"/>
        <v>261</v>
      </c>
      <c r="EV70" s="5" t="str">
        <f t="shared" ca="1" si="295"/>
        <v>VIGENTE</v>
      </c>
      <c r="EW70" s="3"/>
      <c r="EX70" s="4">
        <v>45917</v>
      </c>
      <c r="EY70" s="4">
        <f t="shared" si="234"/>
        <v>46647</v>
      </c>
      <c r="EZ70" s="8">
        <f t="shared" ca="1" si="296"/>
        <v>502</v>
      </c>
      <c r="FA70" s="5" t="str">
        <f t="shared" ca="1" si="297"/>
        <v>VIGENTE</v>
      </c>
      <c r="FB70" s="3"/>
      <c r="FC70" s="4">
        <v>45931</v>
      </c>
      <c r="FD70" s="4">
        <f t="shared" si="235"/>
        <v>46661</v>
      </c>
      <c r="FE70" s="8">
        <f t="shared" ca="1" si="298"/>
        <v>516</v>
      </c>
      <c r="FF70" s="5" t="str">
        <f t="shared" ca="1" si="299"/>
        <v>VIGENTE</v>
      </c>
      <c r="FG70" s="3"/>
      <c r="FH70" s="4">
        <v>45932</v>
      </c>
      <c r="FI70" s="4">
        <f t="shared" si="236"/>
        <v>46662</v>
      </c>
      <c r="FJ70" s="8">
        <f t="shared" ca="1" si="300"/>
        <v>517</v>
      </c>
      <c r="FK70" s="5" t="str">
        <f t="shared" ca="1" si="301"/>
        <v>VIGENTE</v>
      </c>
      <c r="FL70" s="3"/>
      <c r="FM70" s="39">
        <v>45588</v>
      </c>
      <c r="FN70" s="4">
        <f t="shared" ref="FN70:FN76" si="364">DATE(YEAR(FM70)+2,MONTH(FM70),DAY(FM70)-1)</f>
        <v>46317</v>
      </c>
      <c r="FO70" s="8">
        <f t="shared" ca="1" si="302"/>
        <v>172</v>
      </c>
      <c r="FP70" s="5" t="str">
        <f t="shared" ca="1" si="303"/>
        <v>VIGENTE</v>
      </c>
      <c r="FQ70" s="3"/>
      <c r="FR70" s="39">
        <v>45747</v>
      </c>
      <c r="FS70" s="4">
        <f>DATE(YEAR(FR70)+2,MONTH(FR70),DAY(FR70)-1)</f>
        <v>46476</v>
      </c>
      <c r="FT70" s="8">
        <f t="shared" ca="1" si="304"/>
        <v>331</v>
      </c>
      <c r="FU70" s="5" t="str">
        <f t="shared" ca="1" si="305"/>
        <v>VIGENTE</v>
      </c>
      <c r="FV70" s="3"/>
      <c r="FW70" s="4">
        <v>45993</v>
      </c>
      <c r="FX70" s="4">
        <f>DATE(YEAR(FW70)+2,MONTH(FW70),DAY(FW70))</f>
        <v>46723</v>
      </c>
      <c r="FY70" s="8">
        <f t="shared" ca="1" si="306"/>
        <v>578</v>
      </c>
      <c r="FZ70" s="5" t="str">
        <f t="shared" ca="1" si="307"/>
        <v>VIGENTE</v>
      </c>
      <c r="GA70" s="3"/>
      <c r="GB70" s="4">
        <v>45715</v>
      </c>
      <c r="GC70" s="4">
        <f t="shared" ref="GC70:GC75" si="365">DATE(YEAR(GB70)+2,MONTH(GB70),DAY(GB70)-1)</f>
        <v>46444</v>
      </c>
      <c r="GD70" s="8">
        <f t="shared" ca="1" si="308"/>
        <v>299</v>
      </c>
      <c r="GE70" s="5" t="str">
        <f t="shared" ca="1" si="309"/>
        <v>VIGENTE</v>
      </c>
      <c r="GF70" s="3"/>
      <c r="GG70" s="4">
        <v>45731</v>
      </c>
      <c r="GH70" s="4">
        <f>DATE(YEAR(GG70)+2,MONTH(GG70),DAY(GG70)-1)</f>
        <v>46460</v>
      </c>
      <c r="GI70" s="8">
        <f t="shared" ca="1" si="310"/>
        <v>315</v>
      </c>
      <c r="GJ70" s="5" t="str">
        <f t="shared" ca="1" si="311"/>
        <v>VIGENTE</v>
      </c>
      <c r="GK70" s="3"/>
      <c r="GL70" s="4">
        <v>45615</v>
      </c>
      <c r="GM70" s="4">
        <f>DATE(YEAR(GL70)+2,MONTH(GL70),DAY(GL70)-1)</f>
        <v>46344</v>
      </c>
      <c r="GN70" s="8">
        <f t="shared" ca="1" si="312"/>
        <v>199</v>
      </c>
      <c r="GO70" s="5" t="str">
        <f t="shared" ca="1" si="313"/>
        <v>VIGENTE</v>
      </c>
      <c r="GP70" s="4"/>
      <c r="GQ70" s="4">
        <v>45072</v>
      </c>
      <c r="GR70" s="4">
        <f t="shared" si="314"/>
        <v>46899</v>
      </c>
      <c r="GS70" s="8">
        <f t="shared" ca="1" si="176"/>
        <v>754</v>
      </c>
      <c r="GT70" s="5" t="str">
        <f t="shared" ca="1" si="315"/>
        <v>VIGENTE</v>
      </c>
      <c r="GU70" s="3"/>
      <c r="GV70" s="4">
        <v>44984</v>
      </c>
      <c r="GW70" s="4">
        <f t="shared" si="316"/>
        <v>46810</v>
      </c>
      <c r="GX70" s="8">
        <f t="shared" ca="1" si="317"/>
        <v>665</v>
      </c>
      <c r="GY70" s="5" t="str">
        <f t="shared" ca="1" si="318"/>
        <v>VIGENTE</v>
      </c>
      <c r="GZ70" s="2"/>
      <c r="HA70" s="4">
        <v>45003</v>
      </c>
      <c r="HB70" s="4">
        <f t="shared" si="319"/>
        <v>46830</v>
      </c>
      <c r="HC70" s="8">
        <f t="shared" ca="1" si="320"/>
        <v>685</v>
      </c>
      <c r="HD70" s="5" t="str">
        <f t="shared" ca="1" si="321"/>
        <v>VIGENTE</v>
      </c>
      <c r="HE70" s="6"/>
      <c r="HF70" s="6"/>
      <c r="HG70" s="4"/>
      <c r="HH70" s="8"/>
      <c r="HI70" s="5" t="str">
        <f t="shared" si="224"/>
        <v>NO APLICA</v>
      </c>
      <c r="HJ70" s="2"/>
      <c r="HK70" s="6"/>
      <c r="HL70" s="4"/>
      <c r="HM70" s="8"/>
      <c r="HN70" s="5" t="str">
        <f t="shared" si="228"/>
        <v>NO APLICA</v>
      </c>
      <c r="HO70" s="2"/>
      <c r="HP70" s="2"/>
      <c r="HQ70" s="4"/>
      <c r="HR70" s="2"/>
      <c r="HS70" s="5" t="str">
        <f t="shared" si="322"/>
        <v>NO APLICA</v>
      </c>
      <c r="HT70" s="2"/>
      <c r="HU70" s="6"/>
      <c r="HV70" s="4"/>
      <c r="HW70" s="8"/>
      <c r="HX70" s="5" t="str">
        <f t="shared" si="323"/>
        <v>NO APLICA</v>
      </c>
      <c r="HY70" s="2"/>
      <c r="HZ70" s="6"/>
      <c r="IA70" s="4"/>
      <c r="IB70" s="8"/>
      <c r="IC70" s="5" t="str">
        <f t="shared" si="324"/>
        <v>NO APLICA</v>
      </c>
      <c r="ID70" s="2"/>
      <c r="IE70" s="6"/>
      <c r="IF70" s="4"/>
      <c r="IG70" s="8"/>
      <c r="IH70" s="5" t="str">
        <f t="shared" si="325"/>
        <v>NO APLICA</v>
      </c>
      <c r="II70" s="6"/>
      <c r="IJ70" s="6"/>
      <c r="IK70" s="4"/>
      <c r="IL70" s="8"/>
      <c r="IM70" s="5" t="str">
        <f t="shared" si="326"/>
        <v>NO APLICA</v>
      </c>
      <c r="IN70" s="2"/>
      <c r="IO70" s="6"/>
      <c r="IP70" s="4"/>
      <c r="IQ70" s="8"/>
      <c r="IR70" s="5" t="str">
        <f t="shared" si="327"/>
        <v>NO APLICA</v>
      </c>
      <c r="IS70" s="2"/>
      <c r="IT70" s="6"/>
      <c r="IU70" s="4"/>
      <c r="IV70" s="8"/>
      <c r="IW70" s="5" t="str">
        <f t="shared" si="328"/>
        <v>NO APLICA</v>
      </c>
      <c r="IX70" s="2"/>
      <c r="IY70" s="6"/>
      <c r="IZ70" s="4"/>
      <c r="JA70" s="8"/>
      <c r="JB70" s="5" t="str">
        <f t="shared" si="329"/>
        <v>NO APLICA</v>
      </c>
      <c r="JC70" s="3" t="s">
        <v>780</v>
      </c>
      <c r="JD70" s="3"/>
      <c r="JE70" s="4"/>
      <c r="JF70" s="8"/>
      <c r="JG70" s="5"/>
      <c r="JH70" s="3" t="s">
        <v>780</v>
      </c>
      <c r="JI70" s="6"/>
      <c r="JJ70" s="6"/>
      <c r="JK70" s="6"/>
      <c r="JL70" s="5"/>
      <c r="JM70" s="6" t="s">
        <v>780</v>
      </c>
      <c r="JN70" s="6"/>
      <c r="JO70" s="6"/>
      <c r="JP70" s="6"/>
      <c r="JQ70" s="5"/>
      <c r="JR70" s="6" t="s">
        <v>780</v>
      </c>
      <c r="JS70" s="6"/>
      <c r="JT70" s="6"/>
      <c r="JU70" s="6"/>
      <c r="JV70" s="5"/>
      <c r="JW70" s="6" t="s">
        <v>780</v>
      </c>
      <c r="JX70" s="3"/>
      <c r="JY70" s="4"/>
      <c r="JZ70" s="8"/>
      <c r="KA70" s="5"/>
      <c r="KB70" s="5"/>
      <c r="KC70" s="2"/>
      <c r="KD70" s="4"/>
      <c r="KE70" s="8"/>
      <c r="KF70" s="5" t="str">
        <f t="shared" si="330"/>
        <v>NO APLICA</v>
      </c>
      <c r="KG70" s="5"/>
      <c r="KH70" s="2"/>
      <c r="KI70" s="4"/>
      <c r="KJ70" s="8"/>
      <c r="KK70" s="5" t="str">
        <f t="shared" si="356"/>
        <v>NO APLICA</v>
      </c>
      <c r="KL70" s="5"/>
      <c r="KM70" s="2"/>
      <c r="KN70" s="4"/>
      <c r="KO70" s="8"/>
      <c r="KP70" s="5" t="str">
        <f t="shared" si="331"/>
        <v>NO APLICA</v>
      </c>
      <c r="KQ70" s="5"/>
      <c r="KR70" s="2"/>
      <c r="KS70" s="4"/>
      <c r="KT70" s="8"/>
      <c r="KU70" s="5" t="str">
        <f t="shared" si="357"/>
        <v>NO APLICA</v>
      </c>
      <c r="KV70" s="2"/>
      <c r="KW70" s="6"/>
      <c r="KX70" s="4"/>
      <c r="KY70" s="8"/>
      <c r="KZ70" s="5" t="str">
        <f t="shared" ref="KZ70:KZ133" si="366">IF(KY70&gt;=61,"VIGENTE",IF(KY70&gt;=1,"POR VENCER",IF(KY70&lt;=-1,"VENCIDA",IF(KW70=0,"NO APLICA"))))</f>
        <v>NO APLICA</v>
      </c>
      <c r="LA70" s="5"/>
      <c r="LB70" s="6"/>
      <c r="LC70" s="4"/>
      <c r="LD70" s="8"/>
      <c r="LE70" s="5" t="str">
        <f t="shared" si="358"/>
        <v>NO APLICA</v>
      </c>
      <c r="LF70" s="6"/>
      <c r="LG70" s="6"/>
      <c r="LH70" s="4"/>
      <c r="LI70" s="8"/>
      <c r="LJ70" s="5" t="str">
        <f t="shared" si="332"/>
        <v>NO APLICA</v>
      </c>
      <c r="LK70" s="5"/>
      <c r="LL70" s="5"/>
      <c r="LM70" s="4"/>
      <c r="LN70" s="8"/>
      <c r="LO70" s="5" t="str">
        <f t="shared" ref="LO70:LO133" si="367">IF(LN70&gt;=61,"VIGENTE",IF(LN70&gt;=1,"POR VENCER",IF(LN70&lt;=-1,"VENCIDA",IF(LL70=0,"NO APLICA"))))</f>
        <v>NO APLICA</v>
      </c>
      <c r="LP70" s="2"/>
      <c r="LQ70" s="6"/>
      <c r="LR70" s="4"/>
      <c r="LS70" s="8"/>
      <c r="LT70" s="5" t="str">
        <f t="shared" si="359"/>
        <v>NO APLICA</v>
      </c>
      <c r="LU70" s="6"/>
      <c r="LV70" s="6"/>
      <c r="LW70" s="4"/>
      <c r="LX70" s="8"/>
      <c r="LY70" s="5" t="str">
        <f t="shared" si="360"/>
        <v>NO APLICA</v>
      </c>
      <c r="LZ70" s="6"/>
      <c r="MA70" s="6"/>
      <c r="MB70" s="4"/>
      <c r="MC70" s="8"/>
      <c r="MD70" s="5" t="str">
        <f t="shared" si="361"/>
        <v>NO APLICA</v>
      </c>
      <c r="ME70" s="2"/>
      <c r="MF70" s="2"/>
      <c r="MG70" s="4"/>
      <c r="MH70" s="8"/>
      <c r="MI70" s="5" t="str">
        <f t="shared" si="333"/>
        <v>NO APLICA</v>
      </c>
      <c r="MJ70" s="2"/>
      <c r="MK70" s="2"/>
      <c r="ML70" s="4"/>
      <c r="MM70" s="8"/>
      <c r="MN70" s="5" t="str">
        <f t="shared" si="334"/>
        <v>NO APLICA</v>
      </c>
      <c r="MO70" s="5"/>
      <c r="MP70" s="2"/>
      <c r="MQ70" s="4"/>
      <c r="MR70" s="8"/>
      <c r="MS70" s="5" t="str">
        <f t="shared" si="335"/>
        <v>NO APLICA</v>
      </c>
      <c r="MT70" s="5"/>
      <c r="MU70" s="2"/>
      <c r="MV70" s="4"/>
      <c r="MW70" s="2"/>
      <c r="MX70" s="5" t="str">
        <f t="shared" si="336"/>
        <v>NO APLICA</v>
      </c>
      <c r="MY70" s="2"/>
      <c r="MZ70" s="6"/>
      <c r="NA70" s="4"/>
      <c r="NB70" s="8"/>
      <c r="NC70" s="5" t="str">
        <f t="shared" si="337"/>
        <v>NO APLICA</v>
      </c>
      <c r="ND70" s="2"/>
      <c r="NE70" s="6"/>
      <c r="NF70" s="4"/>
      <c r="NG70" s="8"/>
      <c r="NH70" s="5" t="str">
        <f t="shared" si="338"/>
        <v>NO APLICA</v>
      </c>
      <c r="NI70" s="2"/>
      <c r="NJ70" s="6"/>
      <c r="NK70" s="4"/>
      <c r="NL70" s="8"/>
      <c r="NM70" s="5" t="str">
        <f t="shared" si="339"/>
        <v>NO APLICA</v>
      </c>
      <c r="NN70" s="2"/>
      <c r="NO70" s="2"/>
      <c r="NP70" s="4"/>
      <c r="NQ70" s="2"/>
      <c r="NR70" s="5" t="str">
        <f t="shared" si="340"/>
        <v>NO APLICA</v>
      </c>
      <c r="NS70" s="2"/>
      <c r="NT70" s="2"/>
      <c r="NU70" s="2"/>
      <c r="NV70" s="2"/>
      <c r="NW70" s="5" t="str">
        <f t="shared" si="341"/>
        <v>NO APLICA</v>
      </c>
      <c r="NX70" s="6"/>
      <c r="NY70" s="6"/>
      <c r="NZ70" s="4"/>
      <c r="OA70" s="8"/>
      <c r="OB70" s="5" t="str">
        <f t="shared" si="342"/>
        <v>NO APLICA</v>
      </c>
      <c r="OC70" s="6"/>
      <c r="OD70" s="6"/>
      <c r="OE70" s="6"/>
      <c r="OF70" s="6"/>
      <c r="OG70" s="5" t="str">
        <f t="shared" si="343"/>
        <v>NO APLICA</v>
      </c>
      <c r="OH70" s="2"/>
      <c r="OI70" s="2"/>
      <c r="OJ70" s="4"/>
      <c r="OK70" s="8"/>
      <c r="OL70" s="5" t="str">
        <f t="shared" si="344"/>
        <v>NO APLICA</v>
      </c>
      <c r="OM70" s="6"/>
      <c r="ON70" s="6"/>
      <c r="OO70" s="6"/>
      <c r="OP70" s="6"/>
      <c r="OQ70" s="5" t="str">
        <f t="shared" si="345"/>
        <v>NO APLICA</v>
      </c>
      <c r="OR70" s="6"/>
      <c r="OS70" s="6"/>
      <c r="OT70" s="6"/>
      <c r="OU70" s="6"/>
      <c r="OV70" s="5" t="str">
        <f t="shared" si="346"/>
        <v>NO APLICA</v>
      </c>
      <c r="OW70" s="6"/>
      <c r="OX70" s="6"/>
      <c r="OY70" s="6"/>
      <c r="OZ70" s="6"/>
      <c r="PA70" s="5" t="str">
        <f t="shared" si="347"/>
        <v>NO APLICA</v>
      </c>
      <c r="PB70" s="6"/>
      <c r="PC70" s="6"/>
      <c r="PD70" s="6"/>
      <c r="PE70" s="6"/>
      <c r="PF70" s="5" t="str">
        <f t="shared" si="348"/>
        <v>NO APLICA</v>
      </c>
      <c r="PG70" s="6"/>
      <c r="PH70" s="6"/>
      <c r="PI70" s="6"/>
      <c r="PJ70" s="6"/>
      <c r="PK70" s="5" t="str">
        <f t="shared" si="349"/>
        <v>NO APLICA</v>
      </c>
      <c r="PL70" s="5"/>
      <c r="PM70" s="6"/>
      <c r="PN70" s="4"/>
      <c r="PO70" s="8"/>
      <c r="PP70" s="5" t="str">
        <f t="shared" si="350"/>
        <v>NO APLICA</v>
      </c>
      <c r="PQ70" s="6"/>
      <c r="PR70" s="6"/>
      <c r="PS70" s="6"/>
      <c r="PT70" s="6"/>
      <c r="PU70" s="5" t="str">
        <f t="shared" si="351"/>
        <v>NO APLICA</v>
      </c>
      <c r="PV70" s="5"/>
      <c r="PW70" s="6"/>
      <c r="PX70" s="6"/>
      <c r="PY70" s="6"/>
      <c r="PZ70" s="5" t="str">
        <f t="shared" si="352"/>
        <v>NO APLICA</v>
      </c>
    </row>
    <row r="71" spans="1:442" ht="15.6" hidden="1" thickTop="1" thickBot="1" x14ac:dyDescent="0.35">
      <c r="A71" s="26">
        <v>68</v>
      </c>
      <c r="B71" s="27">
        <v>1583</v>
      </c>
      <c r="C71" s="28" t="s">
        <v>267</v>
      </c>
      <c r="D71" s="29" t="s">
        <v>113</v>
      </c>
      <c r="E71" s="30" t="s">
        <v>126</v>
      </c>
      <c r="F71" s="3"/>
      <c r="G71" s="4">
        <v>46060</v>
      </c>
      <c r="H71" s="4">
        <f>DATE(YEAR(G71)+2,MONTH(G71),DAY(G71))</f>
        <v>46790</v>
      </c>
      <c r="I71" s="8">
        <f ca="1">H71-TODAY()</f>
        <v>645</v>
      </c>
      <c r="J71" s="5" t="str">
        <f t="shared" ca="1" si="242"/>
        <v>VIGENTE</v>
      </c>
      <c r="K71" s="3"/>
      <c r="L71" s="4"/>
      <c r="M71" s="6"/>
      <c r="N71" s="8"/>
      <c r="O71" s="5" t="str">
        <f t="shared" si="243"/>
        <v>NO APLICA</v>
      </c>
      <c r="P71" s="6"/>
      <c r="Q71" s="6"/>
      <c r="R71" s="4"/>
      <c r="S71" s="8"/>
      <c r="T71" s="5" t="str">
        <f t="shared" si="353"/>
        <v>NO APLICA</v>
      </c>
      <c r="U71" s="5"/>
      <c r="V71" s="2" t="s">
        <v>268</v>
      </c>
      <c r="W71" s="4">
        <v>46069</v>
      </c>
      <c r="X71" s="4">
        <f t="shared" si="244"/>
        <v>47895</v>
      </c>
      <c r="Y71" s="8">
        <f t="shared" ca="1" si="245"/>
        <v>1750</v>
      </c>
      <c r="Z71" s="5" t="str">
        <f t="shared" ca="1" si="246"/>
        <v>VIGENTE</v>
      </c>
      <c r="AA71" s="5"/>
      <c r="AB71" s="2"/>
      <c r="AC71" s="6"/>
      <c r="AD71" s="4"/>
      <c r="AE71" s="8"/>
      <c r="AF71" s="5" t="str">
        <f t="shared" si="247"/>
        <v>NO APLICA</v>
      </c>
      <c r="AG71" s="3"/>
      <c r="AH71" s="4">
        <v>45902</v>
      </c>
      <c r="AI71" s="4">
        <f>DATE(YEAR(AH71)+2,MONTH(AH71),DAY(AH71))</f>
        <v>46632</v>
      </c>
      <c r="AJ71" s="8">
        <f t="shared" ca="1" si="248"/>
        <v>487</v>
      </c>
      <c r="AK71" s="5" t="str">
        <f t="shared" ca="1" si="219"/>
        <v>VIGENTE</v>
      </c>
      <c r="AL71" s="3"/>
      <c r="AM71" s="4">
        <v>45903</v>
      </c>
      <c r="AN71" s="4">
        <f t="shared" si="241"/>
        <v>46633</v>
      </c>
      <c r="AO71" s="8">
        <f t="shared" ca="1" si="249"/>
        <v>488</v>
      </c>
      <c r="AP71" s="5" t="str">
        <f t="shared" ca="1" si="250"/>
        <v>VIGENTE</v>
      </c>
      <c r="AQ71" s="3"/>
      <c r="AR71" s="4">
        <v>45904</v>
      </c>
      <c r="AS71" s="4">
        <f t="shared" si="237"/>
        <v>46634</v>
      </c>
      <c r="AT71" s="8">
        <f t="shared" ca="1" si="251"/>
        <v>489</v>
      </c>
      <c r="AU71" s="5" t="str">
        <f t="shared" ca="1" si="252"/>
        <v>VIGENTE</v>
      </c>
      <c r="AV71" s="3"/>
      <c r="AW71" s="4">
        <v>45927</v>
      </c>
      <c r="AX71" s="4">
        <f t="shared" si="232"/>
        <v>46657</v>
      </c>
      <c r="AY71" s="8">
        <f t="shared" ca="1" si="253"/>
        <v>512</v>
      </c>
      <c r="AZ71" s="5" t="str">
        <f t="shared" ca="1" si="254"/>
        <v>VIGENTE</v>
      </c>
      <c r="BA71" s="3"/>
      <c r="BB71" s="4">
        <v>45742</v>
      </c>
      <c r="BC71" s="4">
        <f t="shared" si="362"/>
        <v>46471</v>
      </c>
      <c r="BD71" s="8">
        <f t="shared" ca="1" si="255"/>
        <v>326</v>
      </c>
      <c r="BE71" s="5" t="str">
        <f t="shared" ca="1" si="256"/>
        <v>VIGENTE</v>
      </c>
      <c r="BF71" s="3"/>
      <c r="BG71" s="4">
        <v>45698</v>
      </c>
      <c r="BH71" s="4">
        <f>DATE(YEAR(BG71)+2,MONTH(BG71),DAY(BG71)-1)</f>
        <v>46427</v>
      </c>
      <c r="BI71" s="8">
        <f t="shared" ca="1" si="257"/>
        <v>282</v>
      </c>
      <c r="BJ71" s="5" t="str">
        <f t="shared" ca="1" si="258"/>
        <v>VIGENTE</v>
      </c>
      <c r="BK71" s="3"/>
      <c r="BL71" s="4">
        <v>46056</v>
      </c>
      <c r="BM71" s="4">
        <f>DATE(YEAR(BL71)+2,MONTH(BL71),DAY(BL71))</f>
        <v>46786</v>
      </c>
      <c r="BN71" s="8">
        <f t="shared" ca="1" si="259"/>
        <v>641</v>
      </c>
      <c r="BO71" s="5" t="str">
        <f t="shared" ca="1" si="260"/>
        <v>VIGENTE</v>
      </c>
      <c r="BP71" s="3"/>
      <c r="BQ71" s="39">
        <v>46050</v>
      </c>
      <c r="BR71" s="4">
        <f>DATE(YEAR(BQ71)+2,MONTH(BQ71),DAY(BQ71))</f>
        <v>46780</v>
      </c>
      <c r="BS71" s="8">
        <f t="shared" ca="1" si="261"/>
        <v>635</v>
      </c>
      <c r="BT71" s="5" t="str">
        <f t="shared" ca="1" si="262"/>
        <v>VIGENTE</v>
      </c>
      <c r="BU71" s="3"/>
      <c r="BV71" s="4">
        <v>45568</v>
      </c>
      <c r="BW71" s="4">
        <f>DATE(YEAR(BV71)+2,MONTH(BV71),DAY(BV71)-1)</f>
        <v>46297</v>
      </c>
      <c r="BX71" s="8">
        <f t="shared" ca="1" si="263"/>
        <v>152</v>
      </c>
      <c r="BY71" s="5" t="str">
        <f t="shared" ca="1" si="264"/>
        <v>VIGENTE</v>
      </c>
      <c r="BZ71" s="3"/>
      <c r="CA71" s="4">
        <v>45911</v>
      </c>
      <c r="CB71" s="4">
        <f t="shared" si="239"/>
        <v>46641</v>
      </c>
      <c r="CC71" s="8">
        <f t="shared" ca="1" si="265"/>
        <v>496</v>
      </c>
      <c r="CD71" s="5" t="str">
        <f t="shared" ca="1" si="266"/>
        <v>VIGENTE</v>
      </c>
      <c r="CE71" s="6"/>
      <c r="CF71" s="4">
        <v>45723</v>
      </c>
      <c r="CG71" s="4">
        <f t="shared" si="267"/>
        <v>47184</v>
      </c>
      <c r="CH71" s="8">
        <f t="shared" ca="1" si="268"/>
        <v>1039</v>
      </c>
      <c r="CI71" s="5" t="str">
        <f t="shared" ca="1" si="269"/>
        <v>VIGENTE</v>
      </c>
      <c r="CJ71" s="4"/>
      <c r="CK71" s="4">
        <v>45601</v>
      </c>
      <c r="CL71" s="4">
        <f>DATE(YEAR(CK71)+2,MONTH(CK71),DAY(CK71)-1)</f>
        <v>46330</v>
      </c>
      <c r="CM71" s="8">
        <f t="shared" ca="1" si="270"/>
        <v>185</v>
      </c>
      <c r="CN71" s="5" t="str">
        <f t="shared" ca="1" si="271"/>
        <v>VIGENTE</v>
      </c>
      <c r="CO71" s="3"/>
      <c r="CP71" s="39">
        <v>45769</v>
      </c>
      <c r="CQ71" s="4">
        <f>DATE(YEAR(CP71)+2,MONTH(CP71),DAY(CP71))</f>
        <v>46499</v>
      </c>
      <c r="CR71" s="8">
        <f t="shared" ca="1" si="272"/>
        <v>354</v>
      </c>
      <c r="CS71" s="5" t="str">
        <f t="shared" ca="1" si="273"/>
        <v>VIGENTE</v>
      </c>
      <c r="CT71" s="3"/>
      <c r="CU71" s="4">
        <v>46043</v>
      </c>
      <c r="CV71" s="4">
        <f>DATE(YEAR(CU71)+2,MONTH(CU71),DAY(CU71))</f>
        <v>46773</v>
      </c>
      <c r="CW71" s="8">
        <f t="shared" ca="1" si="274"/>
        <v>628</v>
      </c>
      <c r="CX71" s="5" t="str">
        <f t="shared" ca="1" si="275"/>
        <v>VIGENTE</v>
      </c>
      <c r="CY71" s="3"/>
      <c r="CZ71" s="4">
        <v>46098</v>
      </c>
      <c r="DA71" s="4">
        <f>DATE(YEAR(CZ71)+2,MONTH(CZ71),DAY(CZ71))</f>
        <v>46829</v>
      </c>
      <c r="DB71" s="8">
        <f t="shared" ca="1" si="276"/>
        <v>684</v>
      </c>
      <c r="DC71" s="5" t="str">
        <f t="shared" ca="1" si="277"/>
        <v>VIGENTE</v>
      </c>
      <c r="DD71" s="3"/>
      <c r="DE71" s="39">
        <v>46076</v>
      </c>
      <c r="DF71" s="4">
        <f>DATE(YEAR(DE71)+2,MONTH(DE71),DAY(DE71))</f>
        <v>46806</v>
      </c>
      <c r="DG71" s="8">
        <f t="shared" ca="1" si="278"/>
        <v>661</v>
      </c>
      <c r="DH71" s="5" t="str">
        <f t="shared" ca="1" si="279"/>
        <v>VIGENTE</v>
      </c>
      <c r="DI71" s="3"/>
      <c r="DJ71" s="39">
        <v>45975</v>
      </c>
      <c r="DK71" s="4">
        <f t="shared" si="240"/>
        <v>46705</v>
      </c>
      <c r="DL71" s="8">
        <f t="shared" ca="1" si="280"/>
        <v>560</v>
      </c>
      <c r="DM71" s="5" t="str">
        <f t="shared" ca="1" si="281"/>
        <v>VIGENTE</v>
      </c>
      <c r="DN71" s="3"/>
      <c r="DO71" s="4">
        <v>45982</v>
      </c>
      <c r="DP71" s="4">
        <f>DATE(YEAR(DO71)+2,MONTH(DO71),DAY(DO71))</f>
        <v>46712</v>
      </c>
      <c r="DQ71" s="8">
        <f t="shared" ca="1" si="282"/>
        <v>567</v>
      </c>
      <c r="DR71" s="5" t="str">
        <f t="shared" ca="1" si="283"/>
        <v>VIGENTE</v>
      </c>
      <c r="DS71" s="3"/>
      <c r="DT71" s="4">
        <v>45608</v>
      </c>
      <c r="DU71" s="4">
        <f>DATE(YEAR(DT71)+2,MONTH(DT71),DAY(DT71)-1)</f>
        <v>46337</v>
      </c>
      <c r="DV71" s="8">
        <f t="shared" ca="1" si="284"/>
        <v>192</v>
      </c>
      <c r="DW71" s="5" t="str">
        <f t="shared" ca="1" si="285"/>
        <v>VIGENTE</v>
      </c>
      <c r="DX71" s="3"/>
      <c r="DY71" s="4">
        <v>45663</v>
      </c>
      <c r="DZ71" s="4">
        <f t="shared" si="354"/>
        <v>46392</v>
      </c>
      <c r="EA71" s="8">
        <f t="shared" ca="1" si="286"/>
        <v>247</v>
      </c>
      <c r="EB71" s="5" t="str">
        <f t="shared" ca="1" si="287"/>
        <v>VIGENTE</v>
      </c>
      <c r="EC71" s="3"/>
      <c r="ED71" s="39">
        <v>45730</v>
      </c>
      <c r="EE71" s="4">
        <f>DATE(YEAR(ED71)+2,MONTH(ED71),DAY(ED71)-1)</f>
        <v>46459</v>
      </c>
      <c r="EF71" s="8">
        <f t="shared" ca="1" si="288"/>
        <v>314</v>
      </c>
      <c r="EG71" s="5" t="str">
        <f t="shared" ca="1" si="289"/>
        <v>VIGENTE</v>
      </c>
      <c r="EH71" s="3"/>
      <c r="EI71" s="3">
        <v>46085</v>
      </c>
      <c r="EJ71" s="4">
        <f t="shared" si="355"/>
        <v>46450</v>
      </c>
      <c r="EK71" s="8">
        <f t="shared" ca="1" si="290"/>
        <v>305</v>
      </c>
      <c r="EL71" s="5" t="str">
        <f t="shared" ca="1" si="291"/>
        <v>VIGENTE</v>
      </c>
      <c r="EM71" s="3"/>
      <c r="EN71" s="4">
        <v>46100</v>
      </c>
      <c r="EO71" s="4">
        <f>DATE(YEAR(EN71)+2,MONTH(EN71),DAY(EN71))</f>
        <v>46831</v>
      </c>
      <c r="EP71" s="8">
        <f t="shared" ca="1" si="292"/>
        <v>686</v>
      </c>
      <c r="EQ71" s="5" t="str">
        <f t="shared" ca="1" si="293"/>
        <v>VIGENTE</v>
      </c>
      <c r="ER71" s="3"/>
      <c r="ES71" s="39">
        <v>45575</v>
      </c>
      <c r="ET71" s="4">
        <f t="shared" si="363"/>
        <v>46304</v>
      </c>
      <c r="EU71" s="8">
        <f t="shared" ca="1" si="294"/>
        <v>159</v>
      </c>
      <c r="EV71" s="5" t="str">
        <f t="shared" ca="1" si="295"/>
        <v>VIGENTE</v>
      </c>
      <c r="EW71" s="3"/>
      <c r="EX71" s="4">
        <v>45917</v>
      </c>
      <c r="EY71" s="4">
        <f t="shared" si="234"/>
        <v>46647</v>
      </c>
      <c r="EZ71" s="8">
        <f t="shared" ca="1" si="296"/>
        <v>502</v>
      </c>
      <c r="FA71" s="5" t="str">
        <f t="shared" ca="1" si="297"/>
        <v>VIGENTE</v>
      </c>
      <c r="FB71" s="3"/>
      <c r="FC71" s="4">
        <v>45931</v>
      </c>
      <c r="FD71" s="4">
        <f t="shared" si="235"/>
        <v>46661</v>
      </c>
      <c r="FE71" s="8">
        <f t="shared" ca="1" si="298"/>
        <v>516</v>
      </c>
      <c r="FF71" s="5" t="str">
        <f t="shared" ca="1" si="299"/>
        <v>VIGENTE</v>
      </c>
      <c r="FG71" s="3"/>
      <c r="FH71" s="4">
        <v>45932</v>
      </c>
      <c r="FI71" s="4">
        <f t="shared" si="236"/>
        <v>46662</v>
      </c>
      <c r="FJ71" s="8">
        <f t="shared" ca="1" si="300"/>
        <v>517</v>
      </c>
      <c r="FK71" s="5" t="str">
        <f t="shared" ca="1" si="301"/>
        <v>VIGENTE</v>
      </c>
      <c r="FL71" s="3"/>
      <c r="FM71" s="39">
        <v>45576</v>
      </c>
      <c r="FN71" s="4">
        <f t="shared" si="364"/>
        <v>46305</v>
      </c>
      <c r="FO71" s="8">
        <f t="shared" ca="1" si="302"/>
        <v>160</v>
      </c>
      <c r="FP71" s="5" t="str">
        <f t="shared" ca="1" si="303"/>
        <v>VIGENTE</v>
      </c>
      <c r="FQ71" s="3"/>
      <c r="FR71" s="39">
        <v>46077</v>
      </c>
      <c r="FS71" s="4">
        <f>DATE(YEAR(FR71)+2,MONTH(FR71),DAY(FR71))</f>
        <v>46807</v>
      </c>
      <c r="FT71" s="8">
        <f t="shared" ca="1" si="304"/>
        <v>662</v>
      </c>
      <c r="FU71" s="5" t="str">
        <f t="shared" ca="1" si="305"/>
        <v>VIGENTE</v>
      </c>
      <c r="FV71" s="3"/>
      <c r="FW71" s="4">
        <v>45941</v>
      </c>
      <c r="FX71" s="4">
        <f>DATE(YEAR(FW71)+2,MONTH(FW71),DAY(FW71))</f>
        <v>46671</v>
      </c>
      <c r="FY71" s="8">
        <f t="shared" ca="1" si="306"/>
        <v>526</v>
      </c>
      <c r="FZ71" s="5" t="str">
        <f t="shared" ca="1" si="307"/>
        <v>VIGENTE</v>
      </c>
      <c r="GA71" s="3"/>
      <c r="GB71" s="4">
        <v>45667</v>
      </c>
      <c r="GC71" s="4">
        <f t="shared" si="365"/>
        <v>46396</v>
      </c>
      <c r="GD71" s="8">
        <f t="shared" ca="1" si="308"/>
        <v>251</v>
      </c>
      <c r="GE71" s="5" t="str">
        <f t="shared" ca="1" si="309"/>
        <v>VIGENTE</v>
      </c>
      <c r="GF71" s="3"/>
      <c r="GG71" s="4">
        <v>46036</v>
      </c>
      <c r="GH71" s="4">
        <f>DATE(YEAR(GG71)+2,MONTH(GG71),DAY(GG71))</f>
        <v>46766</v>
      </c>
      <c r="GI71" s="8">
        <f t="shared" ca="1" si="310"/>
        <v>621</v>
      </c>
      <c r="GJ71" s="5" t="str">
        <f t="shared" ca="1" si="311"/>
        <v>VIGENTE</v>
      </c>
      <c r="GK71" s="3"/>
      <c r="GL71" s="4">
        <v>45687</v>
      </c>
      <c r="GM71" s="4">
        <f>DATE(YEAR(GL71)+2,MONTH(GL71),DAY(GL71)-1)</f>
        <v>46416</v>
      </c>
      <c r="GN71" s="8">
        <f t="shared" ca="1" si="312"/>
        <v>271</v>
      </c>
      <c r="GO71" s="5" t="str">
        <f t="shared" ca="1" si="313"/>
        <v>VIGENTE</v>
      </c>
      <c r="GP71" s="4"/>
      <c r="GQ71" s="4">
        <v>45013</v>
      </c>
      <c r="GR71" s="4">
        <f t="shared" si="314"/>
        <v>46840</v>
      </c>
      <c r="GS71" s="8">
        <f t="shared" ca="1" si="176"/>
        <v>695</v>
      </c>
      <c r="GT71" s="5" t="str">
        <f t="shared" ca="1" si="315"/>
        <v>VIGENTE</v>
      </c>
      <c r="GU71" s="3"/>
      <c r="GV71" s="4">
        <v>44952</v>
      </c>
      <c r="GW71" s="4">
        <f t="shared" si="316"/>
        <v>46778</v>
      </c>
      <c r="GX71" s="8">
        <f t="shared" ca="1" si="317"/>
        <v>633</v>
      </c>
      <c r="GY71" s="5" t="str">
        <f t="shared" ca="1" si="318"/>
        <v>VIGENTE</v>
      </c>
      <c r="GZ71" s="2"/>
      <c r="HA71" s="4">
        <v>45016</v>
      </c>
      <c r="HB71" s="4">
        <f t="shared" si="319"/>
        <v>46843</v>
      </c>
      <c r="HC71" s="8">
        <f t="shared" ca="1" si="320"/>
        <v>698</v>
      </c>
      <c r="HD71" s="5" t="str">
        <f t="shared" ca="1" si="321"/>
        <v>VIGENTE</v>
      </c>
      <c r="HE71" s="6"/>
      <c r="HF71" s="6"/>
      <c r="HG71" s="4"/>
      <c r="HH71" s="8"/>
      <c r="HI71" s="5" t="str">
        <f t="shared" si="224"/>
        <v>NO APLICA</v>
      </c>
      <c r="HJ71" s="2"/>
      <c r="HK71" s="6"/>
      <c r="HL71" s="4"/>
      <c r="HM71" s="8"/>
      <c r="HN71" s="5" t="str">
        <f t="shared" si="228"/>
        <v>NO APLICA</v>
      </c>
      <c r="HO71" s="2"/>
      <c r="HP71" s="2"/>
      <c r="HQ71" s="4"/>
      <c r="HR71" s="2"/>
      <c r="HS71" s="5" t="str">
        <f t="shared" si="322"/>
        <v>NO APLICA</v>
      </c>
      <c r="HT71" s="2"/>
      <c r="HU71" s="6"/>
      <c r="HV71" s="4"/>
      <c r="HW71" s="8"/>
      <c r="HX71" s="5" t="str">
        <f t="shared" si="323"/>
        <v>NO APLICA</v>
      </c>
      <c r="HY71" s="2"/>
      <c r="HZ71" s="6"/>
      <c r="IA71" s="4"/>
      <c r="IB71" s="8"/>
      <c r="IC71" s="5" t="str">
        <f t="shared" si="324"/>
        <v>NO APLICA</v>
      </c>
      <c r="ID71" s="2"/>
      <c r="IE71" s="6"/>
      <c r="IF71" s="4"/>
      <c r="IG71" s="8"/>
      <c r="IH71" s="5" t="str">
        <f t="shared" si="325"/>
        <v>NO APLICA</v>
      </c>
      <c r="II71" s="6"/>
      <c r="IJ71" s="6"/>
      <c r="IK71" s="4"/>
      <c r="IL71" s="8"/>
      <c r="IM71" s="5" t="str">
        <f t="shared" si="326"/>
        <v>NO APLICA</v>
      </c>
      <c r="IN71" s="2"/>
      <c r="IO71" s="6"/>
      <c r="IP71" s="4"/>
      <c r="IQ71" s="8"/>
      <c r="IR71" s="5" t="str">
        <f t="shared" si="327"/>
        <v>NO APLICA</v>
      </c>
      <c r="IS71" s="2"/>
      <c r="IT71" s="6"/>
      <c r="IU71" s="4"/>
      <c r="IV71" s="8"/>
      <c r="IW71" s="5" t="str">
        <f t="shared" si="328"/>
        <v>NO APLICA</v>
      </c>
      <c r="IX71" s="2"/>
      <c r="IY71" s="6"/>
      <c r="IZ71" s="4"/>
      <c r="JA71" s="8"/>
      <c r="JB71" s="5" t="str">
        <f t="shared" si="329"/>
        <v>NO APLICA</v>
      </c>
      <c r="JC71" s="3" t="s">
        <v>780</v>
      </c>
      <c r="JD71" s="3"/>
      <c r="JE71" s="4"/>
      <c r="JF71" s="8"/>
      <c r="JG71" s="5"/>
      <c r="JH71" s="3" t="s">
        <v>780</v>
      </c>
      <c r="JI71" s="6"/>
      <c r="JJ71" s="6"/>
      <c r="JK71" s="6"/>
      <c r="JL71" s="5"/>
      <c r="JM71" s="6" t="s">
        <v>780</v>
      </c>
      <c r="JN71" s="6"/>
      <c r="JO71" s="6"/>
      <c r="JP71" s="6"/>
      <c r="JQ71" s="5"/>
      <c r="JR71" s="6" t="s">
        <v>780</v>
      </c>
      <c r="JS71" s="6"/>
      <c r="JT71" s="6"/>
      <c r="JU71" s="6"/>
      <c r="JV71" s="5"/>
      <c r="JW71" s="6" t="s">
        <v>780</v>
      </c>
      <c r="JX71" s="5"/>
      <c r="JY71" s="5"/>
      <c r="JZ71" s="5"/>
      <c r="KA71" s="5"/>
      <c r="KB71" s="5"/>
      <c r="KC71" s="2"/>
      <c r="KD71" s="4"/>
      <c r="KE71" s="8"/>
      <c r="KF71" s="5" t="str">
        <f t="shared" si="330"/>
        <v>NO APLICA</v>
      </c>
      <c r="KG71" s="5"/>
      <c r="KH71" s="2"/>
      <c r="KI71" s="4"/>
      <c r="KJ71" s="8"/>
      <c r="KK71" s="5" t="str">
        <f t="shared" si="356"/>
        <v>NO APLICA</v>
      </c>
      <c r="KL71" s="5"/>
      <c r="KM71" s="2"/>
      <c r="KN71" s="4"/>
      <c r="KO71" s="8"/>
      <c r="KP71" s="5" t="str">
        <f t="shared" si="331"/>
        <v>NO APLICA</v>
      </c>
      <c r="KQ71" s="5"/>
      <c r="KR71" s="2"/>
      <c r="KS71" s="4"/>
      <c r="KT71" s="8"/>
      <c r="KU71" s="5" t="str">
        <f t="shared" si="357"/>
        <v>NO APLICA</v>
      </c>
      <c r="KV71" s="2"/>
      <c r="KW71" s="6"/>
      <c r="KX71" s="4"/>
      <c r="KY71" s="8"/>
      <c r="KZ71" s="5" t="str">
        <f t="shared" si="366"/>
        <v>NO APLICA</v>
      </c>
      <c r="LA71" s="5"/>
      <c r="LB71" s="6"/>
      <c r="LC71" s="4"/>
      <c r="LD71" s="8"/>
      <c r="LE71" s="5" t="str">
        <f t="shared" si="358"/>
        <v>NO APLICA</v>
      </c>
      <c r="LF71" s="6"/>
      <c r="LG71" s="6"/>
      <c r="LH71" s="4"/>
      <c r="LI71" s="8"/>
      <c r="LJ71" s="5" t="str">
        <f t="shared" si="332"/>
        <v>NO APLICA</v>
      </c>
      <c r="LK71" s="5"/>
      <c r="LL71" s="5"/>
      <c r="LM71" s="4"/>
      <c r="LN71" s="8"/>
      <c r="LO71" s="5" t="str">
        <f t="shared" si="367"/>
        <v>NO APLICA</v>
      </c>
      <c r="LP71" s="2"/>
      <c r="LQ71" s="6"/>
      <c r="LR71" s="4"/>
      <c r="LS71" s="8"/>
      <c r="LT71" s="5" t="str">
        <f t="shared" si="359"/>
        <v>NO APLICA</v>
      </c>
      <c r="LU71" s="6"/>
      <c r="LV71" s="6"/>
      <c r="LW71" s="4"/>
      <c r="LX71" s="8"/>
      <c r="LY71" s="5" t="str">
        <f t="shared" si="360"/>
        <v>NO APLICA</v>
      </c>
      <c r="LZ71" s="6"/>
      <c r="MA71" s="6"/>
      <c r="MB71" s="4"/>
      <c r="MC71" s="8"/>
      <c r="MD71" s="5" t="str">
        <f t="shared" si="361"/>
        <v>NO APLICA</v>
      </c>
      <c r="ME71" s="2"/>
      <c r="MF71" s="2"/>
      <c r="MG71" s="4"/>
      <c r="MH71" s="8"/>
      <c r="MI71" s="5" t="str">
        <f t="shared" si="333"/>
        <v>NO APLICA</v>
      </c>
      <c r="MJ71" s="2"/>
      <c r="MK71" s="2"/>
      <c r="ML71" s="4"/>
      <c r="MM71" s="8"/>
      <c r="MN71" s="5" t="str">
        <f t="shared" si="334"/>
        <v>NO APLICA</v>
      </c>
      <c r="MO71" s="5"/>
      <c r="MP71" s="2"/>
      <c r="MQ71" s="4"/>
      <c r="MR71" s="8"/>
      <c r="MS71" s="5" t="str">
        <f t="shared" si="335"/>
        <v>NO APLICA</v>
      </c>
      <c r="MT71" s="5"/>
      <c r="MU71" s="2"/>
      <c r="MV71" s="4"/>
      <c r="MW71" s="2"/>
      <c r="MX71" s="5" t="str">
        <f t="shared" si="336"/>
        <v>NO APLICA</v>
      </c>
      <c r="MY71" s="2"/>
      <c r="MZ71" s="6"/>
      <c r="NA71" s="4"/>
      <c r="NB71" s="8"/>
      <c r="NC71" s="5" t="str">
        <f t="shared" si="337"/>
        <v>NO APLICA</v>
      </c>
      <c r="ND71" s="2"/>
      <c r="NE71" s="6"/>
      <c r="NF71" s="4"/>
      <c r="NG71" s="8"/>
      <c r="NH71" s="5" t="str">
        <f t="shared" si="338"/>
        <v>NO APLICA</v>
      </c>
      <c r="NI71" s="2"/>
      <c r="NJ71" s="6"/>
      <c r="NK71" s="4"/>
      <c r="NL71" s="8"/>
      <c r="NM71" s="5" t="str">
        <f t="shared" si="339"/>
        <v>NO APLICA</v>
      </c>
      <c r="NN71" s="2"/>
      <c r="NO71" s="2"/>
      <c r="NP71" s="4"/>
      <c r="NQ71" s="8"/>
      <c r="NR71" s="5" t="str">
        <f t="shared" si="340"/>
        <v>NO APLICA</v>
      </c>
      <c r="NS71" s="2"/>
      <c r="NT71" s="2"/>
      <c r="NU71" s="4"/>
      <c r="NV71" s="2"/>
      <c r="NW71" s="5" t="str">
        <f t="shared" si="341"/>
        <v>NO APLICA</v>
      </c>
      <c r="NX71" s="6"/>
      <c r="NY71" s="6"/>
      <c r="NZ71" s="4"/>
      <c r="OA71" s="8"/>
      <c r="OB71" s="5" t="str">
        <f t="shared" si="342"/>
        <v>NO APLICA</v>
      </c>
      <c r="OC71" s="6"/>
      <c r="OD71" s="6"/>
      <c r="OE71" s="6"/>
      <c r="OF71" s="6"/>
      <c r="OG71" s="5" t="str">
        <f t="shared" si="343"/>
        <v>NO APLICA</v>
      </c>
      <c r="OH71" s="2"/>
      <c r="OI71" s="2"/>
      <c r="OJ71" s="4"/>
      <c r="OK71" s="8"/>
      <c r="OL71" s="5" t="str">
        <f t="shared" si="344"/>
        <v>NO APLICA</v>
      </c>
      <c r="OM71" s="6"/>
      <c r="ON71" s="6"/>
      <c r="OO71" s="6"/>
      <c r="OP71" s="6"/>
      <c r="OQ71" s="5" t="str">
        <f t="shared" si="345"/>
        <v>NO APLICA</v>
      </c>
      <c r="OR71" s="6"/>
      <c r="OS71" s="6"/>
      <c r="OT71" s="6"/>
      <c r="OU71" s="6"/>
      <c r="OV71" s="5" t="str">
        <f t="shared" si="346"/>
        <v>NO APLICA</v>
      </c>
      <c r="OW71" s="6"/>
      <c r="OX71" s="6"/>
      <c r="OY71" s="6"/>
      <c r="OZ71" s="6"/>
      <c r="PA71" s="5" t="str">
        <f t="shared" si="347"/>
        <v>NO APLICA</v>
      </c>
      <c r="PB71" s="6"/>
      <c r="PC71" s="6"/>
      <c r="PD71" s="6"/>
      <c r="PE71" s="6"/>
      <c r="PF71" s="5" t="str">
        <f t="shared" si="348"/>
        <v>NO APLICA</v>
      </c>
      <c r="PG71" s="6"/>
      <c r="PH71" s="6"/>
      <c r="PI71" s="6"/>
      <c r="PJ71" s="6"/>
      <c r="PK71" s="5" t="str">
        <f t="shared" si="349"/>
        <v>NO APLICA</v>
      </c>
      <c r="PL71" s="5"/>
      <c r="PM71" s="6"/>
      <c r="PN71" s="4"/>
      <c r="PO71" s="8"/>
      <c r="PP71" s="5" t="str">
        <f t="shared" si="350"/>
        <v>NO APLICA</v>
      </c>
      <c r="PQ71" s="6"/>
      <c r="PR71" s="6"/>
      <c r="PS71" s="6"/>
      <c r="PT71" s="6"/>
      <c r="PU71" s="5" t="str">
        <f t="shared" si="351"/>
        <v>NO APLICA</v>
      </c>
      <c r="PV71" s="5"/>
      <c r="PW71" s="6"/>
      <c r="PX71" s="6"/>
      <c r="PY71" s="6"/>
      <c r="PZ71" s="5" t="str">
        <f t="shared" si="352"/>
        <v>NO APLICA</v>
      </c>
    </row>
    <row r="72" spans="1:442" ht="15.6" hidden="1" thickTop="1" thickBot="1" x14ac:dyDescent="0.35">
      <c r="A72" s="26">
        <v>69</v>
      </c>
      <c r="B72" s="27">
        <v>1027</v>
      </c>
      <c r="C72" s="28" t="s">
        <v>269</v>
      </c>
      <c r="D72" s="29" t="s">
        <v>68</v>
      </c>
      <c r="E72" s="30" t="s">
        <v>77</v>
      </c>
      <c r="F72" s="5"/>
      <c r="G72" s="6"/>
      <c r="H72" s="4"/>
      <c r="I72" s="8"/>
      <c r="J72" s="5" t="str">
        <f t="shared" si="242"/>
        <v>NO APLICA</v>
      </c>
      <c r="K72" s="5"/>
      <c r="L72" s="6"/>
      <c r="M72" s="6"/>
      <c r="N72" s="8"/>
      <c r="O72" s="5" t="str">
        <f t="shared" si="243"/>
        <v>NO APLICA</v>
      </c>
      <c r="P72" s="6"/>
      <c r="Q72" s="6"/>
      <c r="R72" s="4"/>
      <c r="S72" s="8"/>
      <c r="T72" s="5" t="str">
        <f t="shared" si="353"/>
        <v>NO APLICA</v>
      </c>
      <c r="U72" s="5"/>
      <c r="V72" s="2" t="s">
        <v>270</v>
      </c>
      <c r="W72" s="4">
        <v>45401</v>
      </c>
      <c r="X72" s="4">
        <f t="shared" si="244"/>
        <v>47227</v>
      </c>
      <c r="Y72" s="8">
        <f t="shared" ca="1" si="245"/>
        <v>1082</v>
      </c>
      <c r="Z72" s="5" t="str">
        <f t="shared" ca="1" si="246"/>
        <v>VIGENTE</v>
      </c>
      <c r="AA72" s="5"/>
      <c r="AB72" s="2" t="s">
        <v>271</v>
      </c>
      <c r="AC72" s="4">
        <v>44579</v>
      </c>
      <c r="AD72" s="4">
        <f>DATE(YEAR(AC72)+5,MONTH(AC72),DAY(AC72))</f>
        <v>46405</v>
      </c>
      <c r="AE72" s="8">
        <f ca="1">AD72-TODAY()</f>
        <v>260</v>
      </c>
      <c r="AF72" s="5" t="str">
        <f t="shared" ca="1" si="247"/>
        <v>VIGENTE</v>
      </c>
      <c r="AG72" s="3"/>
      <c r="AH72" s="4">
        <v>45680</v>
      </c>
      <c r="AI72" s="4">
        <f>DATE(YEAR(AH72)+2,MONTH(AH72),DAY(AH72)-1)</f>
        <v>46409</v>
      </c>
      <c r="AJ72" s="8">
        <f t="shared" ca="1" si="248"/>
        <v>264</v>
      </c>
      <c r="AK72" s="5" t="str">
        <f t="shared" ca="1" si="219"/>
        <v>VIGENTE</v>
      </c>
      <c r="AL72" s="3"/>
      <c r="AM72" s="4">
        <v>45959</v>
      </c>
      <c r="AN72" s="4">
        <f t="shared" si="241"/>
        <v>46689</v>
      </c>
      <c r="AO72" s="8">
        <f t="shared" ca="1" si="249"/>
        <v>544</v>
      </c>
      <c r="AP72" s="5" t="str">
        <f t="shared" ca="1" si="250"/>
        <v>VIGENTE</v>
      </c>
      <c r="AQ72" s="3"/>
      <c r="AR72" s="4">
        <v>45904</v>
      </c>
      <c r="AS72" s="4">
        <f t="shared" si="237"/>
        <v>46634</v>
      </c>
      <c r="AT72" s="8">
        <f t="shared" ca="1" si="251"/>
        <v>489</v>
      </c>
      <c r="AU72" s="5" t="str">
        <f t="shared" ca="1" si="252"/>
        <v>VIGENTE</v>
      </c>
      <c r="AV72" s="3"/>
      <c r="AW72" s="4">
        <v>45972</v>
      </c>
      <c r="AX72" s="4">
        <f t="shared" si="232"/>
        <v>46702</v>
      </c>
      <c r="AY72" s="8">
        <f t="shared" ca="1" si="253"/>
        <v>557</v>
      </c>
      <c r="AZ72" s="5" t="str">
        <f t="shared" ca="1" si="254"/>
        <v>VIGENTE</v>
      </c>
      <c r="BA72" s="3"/>
      <c r="BB72" s="4">
        <v>46118</v>
      </c>
      <c r="BC72" s="4">
        <f t="shared" si="362"/>
        <v>46848</v>
      </c>
      <c r="BD72" s="8">
        <f t="shared" ca="1" si="255"/>
        <v>703</v>
      </c>
      <c r="BE72" s="5" t="str">
        <f t="shared" ca="1" si="256"/>
        <v>VIGENTE</v>
      </c>
      <c r="BF72" s="3"/>
      <c r="BG72" s="4">
        <v>46067</v>
      </c>
      <c r="BH72" s="4">
        <f>DATE(YEAR(BG72)+2,MONTH(BG72),DAY(BG72))</f>
        <v>46797</v>
      </c>
      <c r="BI72" s="8">
        <f t="shared" ca="1" si="257"/>
        <v>652</v>
      </c>
      <c r="BJ72" s="5" t="str">
        <f t="shared" ca="1" si="258"/>
        <v>VIGENTE</v>
      </c>
      <c r="BK72" s="3"/>
      <c r="BL72" s="4">
        <v>46065</v>
      </c>
      <c r="BM72" s="4">
        <f>DATE(YEAR(BL72)+2,MONTH(BL72),DAY(BL72))</f>
        <v>46795</v>
      </c>
      <c r="BN72" s="8">
        <f t="shared" ca="1" si="259"/>
        <v>650</v>
      </c>
      <c r="BO72" s="5" t="str">
        <f t="shared" ca="1" si="260"/>
        <v>VIGENTE</v>
      </c>
      <c r="BP72" s="3"/>
      <c r="BQ72" s="39">
        <v>46120</v>
      </c>
      <c r="BR72" s="4">
        <f>DATE(YEAR(BQ72)+2,MONTH(BQ72),DAY(BQ72)-1)</f>
        <v>46850</v>
      </c>
      <c r="BS72" s="8">
        <f t="shared" ca="1" si="261"/>
        <v>705</v>
      </c>
      <c r="BT72" s="5" t="str">
        <f t="shared" ca="1" si="262"/>
        <v>VIGENTE</v>
      </c>
      <c r="BU72" s="3"/>
      <c r="BV72" s="4">
        <v>46063</v>
      </c>
      <c r="BW72" s="4">
        <f>DATE(YEAR(BV72)+2,MONTH(BV72),DAY(BV72))</f>
        <v>46793</v>
      </c>
      <c r="BX72" s="8">
        <f t="shared" ca="1" si="263"/>
        <v>648</v>
      </c>
      <c r="BY72" s="5" t="str">
        <f t="shared" ca="1" si="264"/>
        <v>VIGENTE</v>
      </c>
      <c r="BZ72" s="3"/>
      <c r="CA72" s="4">
        <v>46119</v>
      </c>
      <c r="CB72" s="4">
        <f>DATE(YEAR(CA72)+2,MONTH(CA72),DAY(CA72)-1)</f>
        <v>46849</v>
      </c>
      <c r="CC72" s="8">
        <f t="shared" ca="1" si="265"/>
        <v>704</v>
      </c>
      <c r="CD72" s="5" t="str">
        <f t="shared" ca="1" si="266"/>
        <v>VIGENTE</v>
      </c>
      <c r="CE72" s="6"/>
      <c r="CF72" s="4">
        <v>45227</v>
      </c>
      <c r="CG72" s="4">
        <f t="shared" si="267"/>
        <v>46688</v>
      </c>
      <c r="CH72" s="8">
        <f t="shared" ca="1" si="268"/>
        <v>543</v>
      </c>
      <c r="CI72" s="5" t="str">
        <f t="shared" ca="1" si="269"/>
        <v>VIGENTE</v>
      </c>
      <c r="CJ72" s="4"/>
      <c r="CK72" s="4">
        <v>45929</v>
      </c>
      <c r="CL72" s="4">
        <f>DATE(YEAR(CK72)+2,MONTH(CK72),DAY(CK72))</f>
        <v>46659</v>
      </c>
      <c r="CM72" s="8">
        <f t="shared" ca="1" si="270"/>
        <v>514</v>
      </c>
      <c r="CN72" s="5" t="str">
        <f t="shared" ca="1" si="271"/>
        <v>VIGENTE</v>
      </c>
      <c r="CO72" s="3"/>
      <c r="CP72" s="39">
        <v>45513</v>
      </c>
      <c r="CQ72" s="4">
        <f t="shared" ref="CQ72:CQ80" si="368">DATE(YEAR(CP72)+2,MONTH(CP72),DAY(CP72)-1)</f>
        <v>46242</v>
      </c>
      <c r="CR72" s="8">
        <f t="shared" ca="1" si="272"/>
        <v>97</v>
      </c>
      <c r="CS72" s="5" t="str">
        <f t="shared" ca="1" si="273"/>
        <v>VIGENTE</v>
      </c>
      <c r="CT72" s="3"/>
      <c r="CU72" s="4">
        <v>45631</v>
      </c>
      <c r="CV72" s="4">
        <f t="shared" ref="CV72:CV77" si="369">DATE(YEAR(CU72)+2,MONTH(CU72),DAY(CU72)-1)</f>
        <v>46360</v>
      </c>
      <c r="CW72" s="8">
        <f t="shared" ca="1" si="274"/>
        <v>215</v>
      </c>
      <c r="CX72" s="5" t="str">
        <f t="shared" ca="1" si="275"/>
        <v>VIGENTE</v>
      </c>
      <c r="CY72" s="3"/>
      <c r="CZ72" s="4">
        <v>45661</v>
      </c>
      <c r="DA72" s="4">
        <f t="shared" ref="DA72:DA77" si="370">DATE(YEAR(CZ72)+2,MONTH(CZ72),DAY(CZ72)-1)</f>
        <v>46390</v>
      </c>
      <c r="DB72" s="8">
        <f t="shared" ca="1" si="276"/>
        <v>245</v>
      </c>
      <c r="DC72" s="5" t="str">
        <f t="shared" ca="1" si="277"/>
        <v>VIGENTE</v>
      </c>
      <c r="DD72" s="3"/>
      <c r="DE72" s="39">
        <v>45596</v>
      </c>
      <c r="DF72" s="4">
        <f>DATE(YEAR(DE72)+2,MONTH(DE72),DAY(DE72)-1)</f>
        <v>46325</v>
      </c>
      <c r="DG72" s="8">
        <f t="shared" ca="1" si="278"/>
        <v>180</v>
      </c>
      <c r="DH72" s="5" t="str">
        <f t="shared" ca="1" si="279"/>
        <v>VIGENTE</v>
      </c>
      <c r="DI72" s="3"/>
      <c r="DJ72" s="39">
        <v>45779</v>
      </c>
      <c r="DK72" s="4">
        <f t="shared" si="240"/>
        <v>46509</v>
      </c>
      <c r="DL72" s="8">
        <f t="shared" ca="1" si="280"/>
        <v>364</v>
      </c>
      <c r="DM72" s="5" t="str">
        <f t="shared" ca="1" si="281"/>
        <v>VIGENTE</v>
      </c>
      <c r="DN72" s="3"/>
      <c r="DO72" s="4">
        <v>45982</v>
      </c>
      <c r="DP72" s="4">
        <f>DATE(YEAR(DO72)+2,MONTH(DO72),DAY(DO72))</f>
        <v>46712</v>
      </c>
      <c r="DQ72" s="8">
        <f t="shared" ca="1" si="282"/>
        <v>567</v>
      </c>
      <c r="DR72" s="5" t="str">
        <f t="shared" ca="1" si="283"/>
        <v>VIGENTE</v>
      </c>
      <c r="DS72" s="3"/>
      <c r="DT72" s="4">
        <v>46053</v>
      </c>
      <c r="DU72" s="4">
        <f>DATE(YEAR(DT72)+2,MONTH(DT72),DAY(DT72))</f>
        <v>46783</v>
      </c>
      <c r="DV72" s="8">
        <f t="shared" ca="1" si="284"/>
        <v>638</v>
      </c>
      <c r="DW72" s="5" t="str">
        <f t="shared" ca="1" si="285"/>
        <v>VIGENTE</v>
      </c>
      <c r="DX72" s="3"/>
      <c r="DY72" s="4">
        <v>45663</v>
      </c>
      <c r="DZ72" s="4">
        <f t="shared" si="354"/>
        <v>46392</v>
      </c>
      <c r="EA72" s="8">
        <f t="shared" ca="1" si="286"/>
        <v>247</v>
      </c>
      <c r="EB72" s="5" t="str">
        <f t="shared" ca="1" si="287"/>
        <v>VIGENTE</v>
      </c>
      <c r="EC72" s="3"/>
      <c r="ED72" s="39">
        <v>45674</v>
      </c>
      <c r="EE72" s="4">
        <f>DATE(YEAR(ED72)+2,MONTH(ED72),DAY(ED72)-1)</f>
        <v>46403</v>
      </c>
      <c r="EF72" s="8">
        <f t="shared" ca="1" si="288"/>
        <v>258</v>
      </c>
      <c r="EG72" s="5" t="str">
        <f t="shared" ca="1" si="289"/>
        <v>VIGENTE</v>
      </c>
      <c r="EH72" s="3"/>
      <c r="EI72" s="4">
        <v>46115</v>
      </c>
      <c r="EJ72" s="4">
        <f t="shared" si="355"/>
        <v>46480</v>
      </c>
      <c r="EK72" s="8">
        <f t="shared" ca="1" si="290"/>
        <v>335</v>
      </c>
      <c r="EL72" s="5" t="str">
        <f t="shared" ca="1" si="291"/>
        <v>VIGENTE</v>
      </c>
      <c r="EM72" s="3"/>
      <c r="EN72" s="4">
        <v>45660</v>
      </c>
      <c r="EO72" s="4">
        <f t="shared" ref="EO72:EO81" si="371">DATE(YEAR(EN72)+2,MONTH(EN72),DAY(EN72)-1)</f>
        <v>46389</v>
      </c>
      <c r="EP72" s="8">
        <f t="shared" ca="1" si="292"/>
        <v>244</v>
      </c>
      <c r="EQ72" s="5" t="str">
        <f t="shared" ca="1" si="293"/>
        <v>VIGENTE</v>
      </c>
      <c r="ER72" s="3"/>
      <c r="ES72" s="39">
        <v>46130</v>
      </c>
      <c r="ET72" s="4">
        <f t="shared" si="363"/>
        <v>46860</v>
      </c>
      <c r="EU72" s="8">
        <f t="shared" ca="1" si="294"/>
        <v>715</v>
      </c>
      <c r="EV72" s="5" t="str">
        <f t="shared" ca="1" si="295"/>
        <v>VIGENTE</v>
      </c>
      <c r="EW72" s="3"/>
      <c r="EX72" s="4">
        <v>45694</v>
      </c>
      <c r="EY72" s="4">
        <f>DATE(YEAR(EX72)+2,MONTH(EX72),DAY(EX72)-1)</f>
        <v>46423</v>
      </c>
      <c r="EZ72" s="8">
        <f t="shared" ca="1" si="296"/>
        <v>278</v>
      </c>
      <c r="FA72" s="5" t="str">
        <f t="shared" ca="1" si="297"/>
        <v>VIGENTE</v>
      </c>
      <c r="FB72" s="3"/>
      <c r="FC72" s="4">
        <v>45632</v>
      </c>
      <c r="FD72" s="4">
        <f>DATE(YEAR(FC72)+2,MONTH(FC72),DAY(FC72)-1)</f>
        <v>46361</v>
      </c>
      <c r="FE72" s="8">
        <f t="shared" ca="1" si="298"/>
        <v>216</v>
      </c>
      <c r="FF72" s="5" t="str">
        <f t="shared" ca="1" si="299"/>
        <v>VIGENTE</v>
      </c>
      <c r="FG72" s="3"/>
      <c r="FH72" s="4">
        <v>45722</v>
      </c>
      <c r="FI72" s="4">
        <f t="shared" si="236"/>
        <v>46452</v>
      </c>
      <c r="FJ72" s="8">
        <f t="shared" ca="1" si="300"/>
        <v>307</v>
      </c>
      <c r="FK72" s="5" t="str">
        <f t="shared" ca="1" si="301"/>
        <v>VIGENTE</v>
      </c>
      <c r="FL72" s="3"/>
      <c r="FM72" s="39">
        <v>45576</v>
      </c>
      <c r="FN72" s="4">
        <f t="shared" si="364"/>
        <v>46305</v>
      </c>
      <c r="FO72" s="8">
        <f t="shared" ca="1" si="302"/>
        <v>160</v>
      </c>
      <c r="FP72" s="5" t="str">
        <f t="shared" ca="1" si="303"/>
        <v>VIGENTE</v>
      </c>
      <c r="FQ72" s="3"/>
      <c r="FR72" s="39">
        <v>45678</v>
      </c>
      <c r="FS72" s="4">
        <f t="shared" ref="FS72:FS80" si="372">DATE(YEAR(FR72)+2,MONTH(FR72),DAY(FR72)-1)</f>
        <v>46407</v>
      </c>
      <c r="FT72" s="8">
        <f t="shared" ca="1" si="304"/>
        <v>262</v>
      </c>
      <c r="FU72" s="5" t="str">
        <f t="shared" ca="1" si="305"/>
        <v>VIGENTE</v>
      </c>
      <c r="FV72" s="3"/>
      <c r="FW72" s="4">
        <v>45587</v>
      </c>
      <c r="FX72" s="4">
        <f>DATE(YEAR(FW72)+2,MONTH(FW72),DAY(FW72)-1)</f>
        <v>46316</v>
      </c>
      <c r="FY72" s="8">
        <f t="shared" ca="1" si="306"/>
        <v>171</v>
      </c>
      <c r="FZ72" s="5" t="str">
        <f t="shared" ca="1" si="307"/>
        <v>VIGENTE</v>
      </c>
      <c r="GA72" s="3"/>
      <c r="GB72" s="4">
        <v>45469</v>
      </c>
      <c r="GC72" s="4">
        <f t="shared" si="365"/>
        <v>46198</v>
      </c>
      <c r="GD72" s="8">
        <f t="shared" ca="1" si="308"/>
        <v>53</v>
      </c>
      <c r="GE72" s="5" t="str">
        <f t="shared" ca="1" si="309"/>
        <v>POR VENCER</v>
      </c>
      <c r="GF72" s="3"/>
      <c r="GG72" s="4">
        <v>45716</v>
      </c>
      <c r="GH72" s="4">
        <f>DATE(YEAR(GG72)+2,MONTH(GG72),DAY(GG72)-1)</f>
        <v>46445</v>
      </c>
      <c r="GI72" s="8">
        <f t="shared" ca="1" si="310"/>
        <v>300</v>
      </c>
      <c r="GJ72" s="5" t="str">
        <f t="shared" ca="1" si="311"/>
        <v>VIGENTE</v>
      </c>
      <c r="GK72" s="3"/>
      <c r="GL72" s="4">
        <v>45923</v>
      </c>
      <c r="GM72" s="4">
        <f>DATE(YEAR(GL72)+2,MONTH(GL72),DAY(GL72))</f>
        <v>46653</v>
      </c>
      <c r="GN72" s="8">
        <f t="shared" ca="1" si="312"/>
        <v>508</v>
      </c>
      <c r="GO72" s="5" t="str">
        <f t="shared" ca="1" si="313"/>
        <v>VIGENTE</v>
      </c>
      <c r="GP72" s="4"/>
      <c r="GQ72" s="4">
        <v>45224</v>
      </c>
      <c r="GR72" s="4">
        <f t="shared" si="314"/>
        <v>47051</v>
      </c>
      <c r="GS72" s="8">
        <f t="shared" ca="1" si="176"/>
        <v>906</v>
      </c>
      <c r="GT72" s="5" t="str">
        <f t="shared" ca="1" si="315"/>
        <v>VIGENTE</v>
      </c>
      <c r="GU72" s="3"/>
      <c r="GV72" s="4">
        <v>44952</v>
      </c>
      <c r="GW72" s="4">
        <f t="shared" si="316"/>
        <v>46778</v>
      </c>
      <c r="GX72" s="8">
        <f t="shared" ca="1" si="317"/>
        <v>633</v>
      </c>
      <c r="GY72" s="5" t="str">
        <f t="shared" ca="1" si="318"/>
        <v>VIGENTE</v>
      </c>
      <c r="GZ72" s="3"/>
      <c r="HA72" s="4">
        <v>45251</v>
      </c>
      <c r="HB72" s="4">
        <f t="shared" si="319"/>
        <v>47078</v>
      </c>
      <c r="HC72" s="8">
        <f t="shared" ca="1" si="320"/>
        <v>933</v>
      </c>
      <c r="HD72" s="5" t="str">
        <f t="shared" ca="1" si="321"/>
        <v>VIGENTE</v>
      </c>
      <c r="HE72" s="6"/>
      <c r="HF72" s="4">
        <v>44887</v>
      </c>
      <c r="HG72" s="4">
        <f t="shared" ref="HG72:HG83" si="373">DATE(YEAR(HF72)+5,MONTH(HF72),DAY(HF72))</f>
        <v>46713</v>
      </c>
      <c r="HH72" s="8">
        <f t="shared" ref="HH72:HH83" ca="1" si="374">HG72-TODAY()</f>
        <v>568</v>
      </c>
      <c r="HI72" s="5" t="str">
        <f t="shared" ca="1" si="224"/>
        <v>VIGENTE</v>
      </c>
      <c r="HJ72" s="3"/>
      <c r="HK72" s="4">
        <v>45414</v>
      </c>
      <c r="HL72" s="4">
        <f>DATE(YEAR(HK72)+5,MONTH(HK72),DAY(HK72))</f>
        <v>47240</v>
      </c>
      <c r="HM72" s="8">
        <f ca="1">HL72-TODAY()</f>
        <v>1095</v>
      </c>
      <c r="HN72" s="5" t="str">
        <f t="shared" ca="1" si="228"/>
        <v>VIGENTE</v>
      </c>
      <c r="HO72" s="2"/>
      <c r="HP72" s="2"/>
      <c r="HQ72" s="4"/>
      <c r="HR72" s="2"/>
      <c r="HS72" s="5" t="str">
        <f t="shared" si="322"/>
        <v>NO APLICA</v>
      </c>
      <c r="HT72" s="3"/>
      <c r="HU72" s="4">
        <v>45243</v>
      </c>
      <c r="HV72" s="4">
        <f>DATE(YEAR(HU72)+5,MONTH(HU72),DAY(HU72))</f>
        <v>47070</v>
      </c>
      <c r="HW72" s="8">
        <f ca="1">HV72-TODAY()</f>
        <v>925</v>
      </c>
      <c r="HX72" s="5" t="str">
        <f t="shared" ca="1" si="323"/>
        <v>VIGENTE</v>
      </c>
      <c r="HY72" s="3"/>
      <c r="HZ72" s="4">
        <v>45234</v>
      </c>
      <c r="IA72" s="4">
        <f>DATE(YEAR(HZ72)+5,MONTH(HZ72),DAY(HZ72))</f>
        <v>47061</v>
      </c>
      <c r="IB72" s="8">
        <f ca="1">IA72-TODAY()</f>
        <v>916</v>
      </c>
      <c r="IC72" s="5" t="str">
        <f t="shared" ca="1" si="324"/>
        <v>VIGENTE</v>
      </c>
      <c r="ID72" s="3"/>
      <c r="IE72" s="4">
        <v>45236</v>
      </c>
      <c r="IF72" s="4">
        <f>DATE(YEAR(IE72)+5,MONTH(IE72),DAY(IE72))</f>
        <v>47063</v>
      </c>
      <c r="IG72" s="8">
        <f ca="1">IF72-TODAY()</f>
        <v>918</v>
      </c>
      <c r="IH72" s="5" t="str">
        <f t="shared" ca="1" si="325"/>
        <v>VIGENTE</v>
      </c>
      <c r="II72" s="4"/>
      <c r="IJ72" s="4">
        <v>45476</v>
      </c>
      <c r="IK72" s="4">
        <f>DATE(YEAR(IJ72)+5,MONTH(IJ72),DAY(IJ72))</f>
        <v>47302</v>
      </c>
      <c r="IL72" s="8">
        <f ca="1">IK72-TODAY()</f>
        <v>1157</v>
      </c>
      <c r="IM72" s="5" t="str">
        <f t="shared" ca="1" si="326"/>
        <v>VIGENTE</v>
      </c>
      <c r="IN72" s="3"/>
      <c r="IO72" s="4">
        <v>45490</v>
      </c>
      <c r="IP72" s="4">
        <f>DATE(YEAR(IO72)+5,MONTH(IO72),DAY(IO72))</f>
        <v>47316</v>
      </c>
      <c r="IQ72" s="8">
        <f ca="1">IP72-TODAY()</f>
        <v>1171</v>
      </c>
      <c r="IR72" s="5" t="str">
        <f t="shared" ca="1" si="327"/>
        <v>VIGENTE</v>
      </c>
      <c r="IS72" s="3"/>
      <c r="IT72" s="4">
        <v>45233</v>
      </c>
      <c r="IU72" s="4">
        <f>DATE(YEAR(IT72)+5,MONTH(IT72),DAY(IT72))</f>
        <v>47060</v>
      </c>
      <c r="IV72" s="8">
        <f ca="1">IU72-TODAY()</f>
        <v>915</v>
      </c>
      <c r="IW72" s="5" t="str">
        <f t="shared" ca="1" si="328"/>
        <v>VIGENTE</v>
      </c>
      <c r="IX72" s="3"/>
      <c r="IY72" s="4">
        <v>45257</v>
      </c>
      <c r="IZ72" s="4">
        <f>DATE(YEAR(IY72)+5,MONTH(IY72),DAY(IY72))</f>
        <v>47084</v>
      </c>
      <c r="JA72" s="8">
        <f ca="1">IZ72-TODAY()</f>
        <v>939</v>
      </c>
      <c r="JB72" s="5" t="str">
        <f t="shared" ca="1" si="329"/>
        <v>VIGENTE</v>
      </c>
      <c r="JC72" s="3" t="s">
        <v>780</v>
      </c>
      <c r="JD72" s="3"/>
      <c r="JE72" s="4"/>
      <c r="JF72" s="8"/>
      <c r="JG72" s="5"/>
      <c r="JH72" s="3" t="s">
        <v>780</v>
      </c>
      <c r="JI72" s="6"/>
      <c r="JJ72" s="6"/>
      <c r="JK72" s="6"/>
      <c r="JL72" s="5"/>
      <c r="JM72" s="6" t="s">
        <v>780</v>
      </c>
      <c r="JN72" s="6"/>
      <c r="JO72" s="6"/>
      <c r="JP72" s="6"/>
      <c r="JQ72" s="5"/>
      <c r="JR72" s="6" t="s">
        <v>780</v>
      </c>
      <c r="JS72" s="6"/>
      <c r="JT72" s="6"/>
      <c r="JU72" s="6"/>
      <c r="JV72" s="5"/>
      <c r="JW72" s="6" t="s">
        <v>780</v>
      </c>
      <c r="JX72" s="5"/>
      <c r="JY72" s="5"/>
      <c r="JZ72" s="5"/>
      <c r="KA72" s="5"/>
      <c r="KB72" s="5"/>
      <c r="KC72" s="2"/>
      <c r="KD72" s="4"/>
      <c r="KE72" s="8"/>
      <c r="KF72" s="5" t="str">
        <f t="shared" si="330"/>
        <v>NO APLICA</v>
      </c>
      <c r="KG72" s="5"/>
      <c r="KH72" s="2"/>
      <c r="KI72" s="4"/>
      <c r="KJ72" s="8"/>
      <c r="KK72" s="5" t="str">
        <f t="shared" si="356"/>
        <v>NO APLICA</v>
      </c>
      <c r="KL72" s="5"/>
      <c r="KM72" s="2"/>
      <c r="KN72" s="4"/>
      <c r="KO72" s="8"/>
      <c r="KP72" s="5" t="str">
        <f t="shared" si="331"/>
        <v>NO APLICA</v>
      </c>
      <c r="KQ72" s="5"/>
      <c r="KR72" s="2"/>
      <c r="KS72" s="4"/>
      <c r="KT72" s="8"/>
      <c r="KU72" s="5" t="str">
        <f t="shared" si="357"/>
        <v>NO APLICA</v>
      </c>
      <c r="KV72" s="2"/>
      <c r="KW72" s="6"/>
      <c r="KX72" s="4"/>
      <c r="KY72" s="8"/>
      <c r="KZ72" s="5" t="str">
        <f t="shared" si="366"/>
        <v>NO APLICA</v>
      </c>
      <c r="LA72" s="5"/>
      <c r="LB72" s="6"/>
      <c r="LC72" s="4"/>
      <c r="LD72" s="8"/>
      <c r="LE72" s="5" t="str">
        <f t="shared" si="358"/>
        <v>NO APLICA</v>
      </c>
      <c r="LF72" s="6"/>
      <c r="LG72" s="4"/>
      <c r="LH72" s="4"/>
      <c r="LI72" s="8"/>
      <c r="LJ72" s="5" t="str">
        <f t="shared" si="332"/>
        <v>NO APLICA</v>
      </c>
      <c r="LK72" s="5"/>
      <c r="LL72" s="5"/>
      <c r="LM72" s="4"/>
      <c r="LN72" s="8"/>
      <c r="LO72" s="5" t="str">
        <f t="shared" si="367"/>
        <v>NO APLICA</v>
      </c>
      <c r="LP72" s="2"/>
      <c r="LQ72" s="6"/>
      <c r="LR72" s="4"/>
      <c r="LS72" s="8"/>
      <c r="LT72" s="5" t="str">
        <f t="shared" si="359"/>
        <v>NO APLICA</v>
      </c>
      <c r="LU72" s="4"/>
      <c r="LV72" s="4">
        <v>44986</v>
      </c>
      <c r="LW72" s="4">
        <f>DATE(YEAR(LV72)+5,MONTH(LV72),DAY(LV72))</f>
        <v>46813</v>
      </c>
      <c r="LX72" s="8">
        <f ca="1">LW72-TODAY()</f>
        <v>668</v>
      </c>
      <c r="LY72" s="5" t="str">
        <f t="shared" ca="1" si="360"/>
        <v>VIGENTE</v>
      </c>
      <c r="LZ72" s="4"/>
      <c r="MA72" s="4">
        <v>44988</v>
      </c>
      <c r="MB72" s="4">
        <f>DATE(YEAR(MA72)+5,MONTH(MA72),DAY(MA72))</f>
        <v>46815</v>
      </c>
      <c r="MC72" s="8">
        <f ca="1">MB72-TODAY()</f>
        <v>670</v>
      </c>
      <c r="MD72" s="5" t="str">
        <f t="shared" ca="1" si="361"/>
        <v>VIGENTE</v>
      </c>
      <c r="ME72" s="2"/>
      <c r="MF72" s="2"/>
      <c r="MG72" s="4"/>
      <c r="MH72" s="8"/>
      <c r="MI72" s="5" t="str">
        <f t="shared" si="333"/>
        <v>NO APLICA</v>
      </c>
      <c r="MJ72" s="2"/>
      <c r="MK72" s="2"/>
      <c r="ML72" s="4"/>
      <c r="MM72" s="8"/>
      <c r="MN72" s="5" t="str">
        <f t="shared" si="334"/>
        <v>NO APLICA</v>
      </c>
      <c r="MO72" s="5"/>
      <c r="MP72" s="2"/>
      <c r="MQ72" s="4"/>
      <c r="MR72" s="8"/>
      <c r="MS72" s="5" t="str">
        <f t="shared" si="335"/>
        <v>NO APLICA</v>
      </c>
      <c r="MT72" s="5"/>
      <c r="MU72" s="2"/>
      <c r="MV72" s="4"/>
      <c r="MW72" s="2"/>
      <c r="MX72" s="5" t="str">
        <f t="shared" si="336"/>
        <v>NO APLICA</v>
      </c>
      <c r="MY72" s="2"/>
      <c r="MZ72" s="6"/>
      <c r="NA72" s="4"/>
      <c r="NB72" s="8"/>
      <c r="NC72" s="5" t="str">
        <f t="shared" si="337"/>
        <v>NO APLICA</v>
      </c>
      <c r="ND72" s="2"/>
      <c r="NE72" s="6"/>
      <c r="NF72" s="4"/>
      <c r="NG72" s="8"/>
      <c r="NH72" s="5" t="str">
        <f t="shared" si="338"/>
        <v>NO APLICA</v>
      </c>
      <c r="NI72" s="2"/>
      <c r="NJ72" s="6"/>
      <c r="NK72" s="4"/>
      <c r="NL72" s="8"/>
      <c r="NM72" s="5" t="str">
        <f t="shared" si="339"/>
        <v>NO APLICA</v>
      </c>
      <c r="NN72" s="2"/>
      <c r="NO72" s="2"/>
      <c r="NP72" s="4"/>
      <c r="NQ72" s="8"/>
      <c r="NR72" s="5" t="str">
        <f t="shared" si="340"/>
        <v>NO APLICA</v>
      </c>
      <c r="NS72" s="2"/>
      <c r="NT72" s="2"/>
      <c r="NU72" s="2"/>
      <c r="NV72" s="2"/>
      <c r="NW72" s="5" t="str">
        <f t="shared" si="341"/>
        <v>NO APLICA</v>
      </c>
      <c r="NX72" s="6"/>
      <c r="NY72" s="6"/>
      <c r="NZ72" s="4"/>
      <c r="OA72" s="8"/>
      <c r="OB72" s="5" t="str">
        <f t="shared" si="342"/>
        <v>NO APLICA</v>
      </c>
      <c r="OC72" s="6"/>
      <c r="OD72" s="6"/>
      <c r="OE72" s="6"/>
      <c r="OF72" s="6"/>
      <c r="OG72" s="5" t="str">
        <f t="shared" si="343"/>
        <v>NO APLICA</v>
      </c>
      <c r="OH72" s="2"/>
      <c r="OI72" s="2"/>
      <c r="OJ72" s="4"/>
      <c r="OK72" s="8"/>
      <c r="OL72" s="5" t="str">
        <f t="shared" si="344"/>
        <v>NO APLICA</v>
      </c>
      <c r="OM72" s="6"/>
      <c r="ON72" s="6"/>
      <c r="OO72" s="6"/>
      <c r="OP72" s="6"/>
      <c r="OQ72" s="5" t="str">
        <f t="shared" si="345"/>
        <v>NO APLICA</v>
      </c>
      <c r="OR72" s="6"/>
      <c r="OS72" s="6"/>
      <c r="OT72" s="6"/>
      <c r="OU72" s="6"/>
      <c r="OV72" s="5" t="str">
        <f t="shared" si="346"/>
        <v>NO APLICA</v>
      </c>
      <c r="OW72" s="6"/>
      <c r="OX72" s="6"/>
      <c r="OY72" s="6"/>
      <c r="OZ72" s="6"/>
      <c r="PA72" s="5" t="str">
        <f t="shared" si="347"/>
        <v>NO APLICA</v>
      </c>
      <c r="PB72" s="6"/>
      <c r="PC72" s="6"/>
      <c r="PD72" s="6"/>
      <c r="PE72" s="6"/>
      <c r="PF72" s="5" t="str">
        <f t="shared" si="348"/>
        <v>NO APLICA</v>
      </c>
      <c r="PG72" s="6"/>
      <c r="PH72" s="6"/>
      <c r="PI72" s="6"/>
      <c r="PJ72" s="6"/>
      <c r="PK72" s="5" t="str">
        <f t="shared" si="349"/>
        <v>NO APLICA</v>
      </c>
      <c r="PL72" s="5"/>
      <c r="PM72" s="6"/>
      <c r="PN72" s="4"/>
      <c r="PO72" s="8"/>
      <c r="PP72" s="5" t="str">
        <f t="shared" si="350"/>
        <v>NO APLICA</v>
      </c>
      <c r="PQ72" s="6"/>
      <c r="PR72" s="6"/>
      <c r="PS72" s="6"/>
      <c r="PT72" s="6"/>
      <c r="PU72" s="5" t="str">
        <f t="shared" si="351"/>
        <v>NO APLICA</v>
      </c>
      <c r="PV72" s="5"/>
      <c r="PW72" s="6"/>
      <c r="PX72" s="6"/>
      <c r="PY72" s="6"/>
      <c r="PZ72" s="5" t="str">
        <f t="shared" si="352"/>
        <v>NO APLICA</v>
      </c>
    </row>
    <row r="73" spans="1:442" ht="15.6" hidden="1" thickTop="1" thickBot="1" x14ac:dyDescent="0.35">
      <c r="A73" s="26">
        <v>70</v>
      </c>
      <c r="B73" s="27">
        <v>938</v>
      </c>
      <c r="C73" s="28" t="s">
        <v>272</v>
      </c>
      <c r="D73" s="29" t="s">
        <v>68</v>
      </c>
      <c r="E73" s="30" t="s">
        <v>73</v>
      </c>
      <c r="F73" s="6"/>
      <c r="G73" s="6"/>
      <c r="H73" s="6"/>
      <c r="I73" s="6"/>
      <c r="J73" s="5" t="str">
        <f t="shared" si="242"/>
        <v>NO APLICA</v>
      </c>
      <c r="K73" s="6"/>
      <c r="L73" s="6"/>
      <c r="M73" s="6"/>
      <c r="N73" s="6"/>
      <c r="O73" s="5" t="str">
        <f t="shared" si="243"/>
        <v>NO APLICA</v>
      </c>
      <c r="P73" s="4"/>
      <c r="Q73" s="4">
        <v>45822</v>
      </c>
      <c r="R73" s="4">
        <f>DATE(YEAR(Q73)+2,MONTH(Q73),DAY(Q73)-1)</f>
        <v>46551</v>
      </c>
      <c r="S73" s="8">
        <f ca="1">R73-TODAY()</f>
        <v>406</v>
      </c>
      <c r="T73" s="5" t="str">
        <f t="shared" ca="1" si="353"/>
        <v>VIGENTE</v>
      </c>
      <c r="U73" s="5"/>
      <c r="V73" s="6" t="s">
        <v>273</v>
      </c>
      <c r="W73" s="4">
        <v>45693</v>
      </c>
      <c r="X73" s="4">
        <f t="shared" si="244"/>
        <v>47519</v>
      </c>
      <c r="Y73" s="8">
        <f t="shared" ca="1" si="245"/>
        <v>1374</v>
      </c>
      <c r="Z73" s="5" t="str">
        <f t="shared" ca="1" si="246"/>
        <v>VIGENTE</v>
      </c>
      <c r="AA73" s="5"/>
      <c r="AB73" s="6"/>
      <c r="AC73" s="6"/>
      <c r="AD73" s="4"/>
      <c r="AE73" s="8"/>
      <c r="AF73" s="5" t="str">
        <f t="shared" si="247"/>
        <v>NO APLICA</v>
      </c>
      <c r="AG73" s="6"/>
      <c r="AH73" s="4">
        <v>45609</v>
      </c>
      <c r="AI73" s="4">
        <f>DATE(YEAR(AH73)+2,MONTH(AH73),DAY(AH73)-1)</f>
        <v>46338</v>
      </c>
      <c r="AJ73" s="8">
        <f t="shared" ca="1" si="248"/>
        <v>193</v>
      </c>
      <c r="AK73" s="5" t="str">
        <f t="shared" ca="1" si="219"/>
        <v>VIGENTE</v>
      </c>
      <c r="AL73" s="6"/>
      <c r="AM73" s="4">
        <v>45602</v>
      </c>
      <c r="AN73" s="4">
        <f>DATE(YEAR(AM73)+2,MONTH(AM73),DAY(AM73)-1)</f>
        <v>46331</v>
      </c>
      <c r="AO73" s="8">
        <f t="shared" ca="1" si="249"/>
        <v>186</v>
      </c>
      <c r="AP73" s="5" t="str">
        <f t="shared" ca="1" si="250"/>
        <v>VIGENTE</v>
      </c>
      <c r="AQ73" s="6"/>
      <c r="AR73" s="4">
        <v>45640</v>
      </c>
      <c r="AS73" s="4">
        <f>DATE(YEAR(AR73)+2,MONTH(AR73),DAY(AR73)-1)</f>
        <v>46369</v>
      </c>
      <c r="AT73" s="8">
        <f t="shared" ca="1" si="251"/>
        <v>224</v>
      </c>
      <c r="AU73" s="5" t="str">
        <f t="shared" ca="1" si="252"/>
        <v>VIGENTE</v>
      </c>
      <c r="AV73" s="6"/>
      <c r="AW73" s="4">
        <v>45644</v>
      </c>
      <c r="AX73" s="4">
        <f>DATE(YEAR(AW73)+2,MONTH(AW73),DAY(AW73)-1)</f>
        <v>46373</v>
      </c>
      <c r="AY73" s="8">
        <f t="shared" ca="1" si="253"/>
        <v>228</v>
      </c>
      <c r="AZ73" s="5" t="str">
        <f t="shared" ca="1" si="254"/>
        <v>VIGENTE</v>
      </c>
      <c r="BA73" s="4"/>
      <c r="BB73" s="4">
        <v>45603</v>
      </c>
      <c r="BC73" s="4">
        <f t="shared" si="362"/>
        <v>46332</v>
      </c>
      <c r="BD73" s="8">
        <f t="shared" ca="1" si="255"/>
        <v>187</v>
      </c>
      <c r="BE73" s="5" t="str">
        <f t="shared" ca="1" si="256"/>
        <v>VIGENTE</v>
      </c>
      <c r="BF73" s="6"/>
      <c r="BG73" s="4">
        <v>45643</v>
      </c>
      <c r="BH73" s="4">
        <f>DATE(YEAR(BG73)+2,MONTH(BG73),DAY(BG73)-1)</f>
        <v>46372</v>
      </c>
      <c r="BI73" s="8">
        <f t="shared" ca="1" si="257"/>
        <v>227</v>
      </c>
      <c r="BJ73" s="5" t="str">
        <f t="shared" ca="1" si="258"/>
        <v>VIGENTE</v>
      </c>
      <c r="BK73" s="4"/>
      <c r="BL73" s="4">
        <v>45699</v>
      </c>
      <c r="BM73" s="4">
        <f>DATE(YEAR(BL73)+2,MONTH(BL73),DAY(BL73)-1)</f>
        <v>46428</v>
      </c>
      <c r="BN73" s="8">
        <f t="shared" ca="1" si="259"/>
        <v>283</v>
      </c>
      <c r="BO73" s="5" t="str">
        <f t="shared" ca="1" si="260"/>
        <v>VIGENTE</v>
      </c>
      <c r="BP73" s="4"/>
      <c r="BQ73" s="4">
        <v>45701</v>
      </c>
      <c r="BR73" s="4">
        <f>DATE(YEAR(BQ73)+2,MONTH(BQ73),DAY(BQ73)-1)</f>
        <v>46430</v>
      </c>
      <c r="BS73" s="8">
        <f t="shared" ca="1" si="261"/>
        <v>285</v>
      </c>
      <c r="BT73" s="5" t="str">
        <f t="shared" ca="1" si="262"/>
        <v>VIGENTE</v>
      </c>
      <c r="BU73" s="6"/>
      <c r="BV73" s="4">
        <v>45695</v>
      </c>
      <c r="BW73" s="4">
        <f>DATE(YEAR(BV73)+2,MONTH(BV73),DAY(BV73)-1)</f>
        <v>46424</v>
      </c>
      <c r="BX73" s="8">
        <f t="shared" ca="1" si="263"/>
        <v>279</v>
      </c>
      <c r="BY73" s="5" t="str">
        <f t="shared" ca="1" si="264"/>
        <v>VIGENTE</v>
      </c>
      <c r="BZ73" s="6"/>
      <c r="CA73" s="4">
        <v>45730</v>
      </c>
      <c r="CB73" s="4">
        <f>DATE(YEAR(CA73)+2,MONTH(CA73),DAY(CA73)-1)</f>
        <v>46459</v>
      </c>
      <c r="CC73" s="8">
        <f t="shared" ca="1" si="265"/>
        <v>314</v>
      </c>
      <c r="CD73" s="5" t="str">
        <f t="shared" ca="1" si="266"/>
        <v>VIGENTE</v>
      </c>
      <c r="CE73" s="6"/>
      <c r="CF73" s="4">
        <v>45723</v>
      </c>
      <c r="CG73" s="4">
        <f t="shared" si="267"/>
        <v>47184</v>
      </c>
      <c r="CH73" s="8">
        <f t="shared" ca="1" si="268"/>
        <v>1039</v>
      </c>
      <c r="CI73" s="5" t="str">
        <f t="shared" ca="1" si="269"/>
        <v>VIGENTE</v>
      </c>
      <c r="CJ73" s="6"/>
      <c r="CK73" s="4">
        <v>45688</v>
      </c>
      <c r="CL73" s="4">
        <f t="shared" ref="CL73:CL81" si="375">DATE(YEAR(CK73)+2,MONTH(CK73),DAY(CK73)-1)</f>
        <v>46417</v>
      </c>
      <c r="CM73" s="8">
        <f t="shared" ca="1" si="270"/>
        <v>272</v>
      </c>
      <c r="CN73" s="5" t="str">
        <f t="shared" ca="1" si="271"/>
        <v>VIGENTE</v>
      </c>
      <c r="CO73" s="6"/>
      <c r="CP73" s="4">
        <v>45684</v>
      </c>
      <c r="CQ73" s="4">
        <f t="shared" si="368"/>
        <v>46413</v>
      </c>
      <c r="CR73" s="8">
        <f t="shared" ca="1" si="272"/>
        <v>268</v>
      </c>
      <c r="CS73" s="5" t="str">
        <f t="shared" ca="1" si="273"/>
        <v>VIGENTE</v>
      </c>
      <c r="CT73" s="6"/>
      <c r="CU73" s="4">
        <v>45639</v>
      </c>
      <c r="CV73" s="4">
        <f t="shared" si="369"/>
        <v>46368</v>
      </c>
      <c r="CW73" s="8">
        <f t="shared" ca="1" si="274"/>
        <v>223</v>
      </c>
      <c r="CX73" s="5" t="str">
        <f t="shared" ca="1" si="275"/>
        <v>VIGENTE</v>
      </c>
      <c r="CY73" s="4"/>
      <c r="CZ73" s="4">
        <v>45646</v>
      </c>
      <c r="DA73" s="4">
        <f t="shared" si="370"/>
        <v>46375</v>
      </c>
      <c r="DB73" s="8">
        <f t="shared" ca="1" si="276"/>
        <v>230</v>
      </c>
      <c r="DC73" s="5" t="str">
        <f t="shared" ca="1" si="277"/>
        <v>VIGENTE</v>
      </c>
      <c r="DD73" s="4"/>
      <c r="DE73" s="4">
        <v>45689</v>
      </c>
      <c r="DF73" s="4">
        <f>DATE(YEAR(DE73)+2,MONTH(DE73),DAY(DE73)-1)</f>
        <v>46418</v>
      </c>
      <c r="DG73" s="8">
        <f t="shared" ca="1" si="278"/>
        <v>273</v>
      </c>
      <c r="DH73" s="5" t="str">
        <f t="shared" ca="1" si="279"/>
        <v>VIGENTE</v>
      </c>
      <c r="DI73" s="6"/>
      <c r="DJ73" s="4">
        <v>45696</v>
      </c>
      <c r="DK73" s="4">
        <f>DATE(YEAR(DJ73)+2,MONTH(DJ73),DAY(DJ73)-1)</f>
        <v>46425</v>
      </c>
      <c r="DL73" s="8">
        <f t="shared" ca="1" si="280"/>
        <v>280</v>
      </c>
      <c r="DM73" s="5" t="str">
        <f t="shared" ca="1" si="281"/>
        <v>VIGENTE</v>
      </c>
      <c r="DN73" s="4"/>
      <c r="DO73" s="4">
        <v>45731</v>
      </c>
      <c r="DP73" s="4">
        <f>DATE(YEAR(DO73)+2,MONTH(DO73),DAY(DO73)-1)</f>
        <v>46460</v>
      </c>
      <c r="DQ73" s="8">
        <f t="shared" ca="1" si="282"/>
        <v>315</v>
      </c>
      <c r="DR73" s="5" t="str">
        <f t="shared" ca="1" si="283"/>
        <v>VIGENTE</v>
      </c>
      <c r="DS73" s="6"/>
      <c r="DT73" s="4">
        <v>45619</v>
      </c>
      <c r="DU73" s="4">
        <f>DATE(YEAR(DT73)+2,MONTH(DT73),DAY(DT73)-1)</f>
        <v>46348</v>
      </c>
      <c r="DV73" s="8">
        <f t="shared" ca="1" si="284"/>
        <v>203</v>
      </c>
      <c r="DW73" s="5" t="str">
        <f t="shared" ca="1" si="285"/>
        <v>VIGENTE</v>
      </c>
      <c r="DX73" s="4"/>
      <c r="DY73" s="4">
        <v>45663</v>
      </c>
      <c r="DZ73" s="4">
        <f t="shared" si="354"/>
        <v>46392</v>
      </c>
      <c r="EA73" s="8">
        <f t="shared" ca="1" si="286"/>
        <v>247</v>
      </c>
      <c r="EB73" s="5" t="str">
        <f t="shared" ca="1" si="287"/>
        <v>VIGENTE</v>
      </c>
      <c r="EC73" s="4"/>
      <c r="ED73" s="4">
        <v>45642</v>
      </c>
      <c r="EE73" s="4">
        <f>DATE(YEAR(ED73)+2,MONTH(ED73),DAY(ED73)-1)</f>
        <v>46371</v>
      </c>
      <c r="EF73" s="8">
        <f t="shared" ca="1" si="288"/>
        <v>226</v>
      </c>
      <c r="EG73" s="5" t="str">
        <f t="shared" ca="1" si="289"/>
        <v>VIGENTE</v>
      </c>
      <c r="EH73" s="4"/>
      <c r="EI73" s="4">
        <v>46123</v>
      </c>
      <c r="EJ73" s="4">
        <f t="shared" si="355"/>
        <v>46488</v>
      </c>
      <c r="EK73" s="8">
        <f t="shared" ca="1" si="290"/>
        <v>343</v>
      </c>
      <c r="EL73" s="5" t="str">
        <f t="shared" ca="1" si="291"/>
        <v>VIGENTE</v>
      </c>
      <c r="EM73" s="4"/>
      <c r="EN73" s="4">
        <v>45612</v>
      </c>
      <c r="EO73" s="4">
        <f t="shared" si="371"/>
        <v>46341</v>
      </c>
      <c r="EP73" s="8">
        <f t="shared" ca="1" si="292"/>
        <v>196</v>
      </c>
      <c r="EQ73" s="5" t="str">
        <f t="shared" ca="1" si="293"/>
        <v>VIGENTE</v>
      </c>
      <c r="ER73" s="6"/>
      <c r="ES73" s="4">
        <v>45677</v>
      </c>
      <c r="ET73" s="4">
        <f t="shared" si="363"/>
        <v>46406</v>
      </c>
      <c r="EU73" s="8">
        <f t="shared" ca="1" si="294"/>
        <v>261</v>
      </c>
      <c r="EV73" s="5" t="str">
        <f t="shared" ca="1" si="295"/>
        <v>VIGENTE</v>
      </c>
      <c r="EW73" s="6"/>
      <c r="EX73" s="4">
        <v>45610</v>
      </c>
      <c r="EY73" s="4">
        <f>DATE(YEAR(EX73)+2,MONTH(EX73),DAY(EX73)-1)</f>
        <v>46339</v>
      </c>
      <c r="EZ73" s="8">
        <f t="shared" ca="1" si="296"/>
        <v>194</v>
      </c>
      <c r="FA73" s="5" t="str">
        <f t="shared" ca="1" si="297"/>
        <v>VIGENTE</v>
      </c>
      <c r="FB73" s="6"/>
      <c r="FC73" s="4">
        <v>45611</v>
      </c>
      <c r="FD73" s="4">
        <f>DATE(YEAR(FC73)+2,MONTH(FC73),DAY(FC73)-1)</f>
        <v>46340</v>
      </c>
      <c r="FE73" s="8">
        <f t="shared" ca="1" si="298"/>
        <v>195</v>
      </c>
      <c r="FF73" s="5" t="str">
        <f t="shared" ca="1" si="299"/>
        <v>VIGENTE</v>
      </c>
      <c r="FG73" s="6"/>
      <c r="FH73" s="4">
        <v>45668</v>
      </c>
      <c r="FI73" s="4">
        <f>DATE(YEAR(FH73)+2,MONTH(FH73),DAY(FH73)-1)</f>
        <v>46397</v>
      </c>
      <c r="FJ73" s="8">
        <f t="shared" ca="1" si="300"/>
        <v>252</v>
      </c>
      <c r="FK73" s="5" t="str">
        <f t="shared" ca="1" si="301"/>
        <v>VIGENTE</v>
      </c>
      <c r="FL73" s="4"/>
      <c r="FM73" s="4">
        <v>45637</v>
      </c>
      <c r="FN73" s="4">
        <f t="shared" si="364"/>
        <v>46366</v>
      </c>
      <c r="FO73" s="8">
        <f t="shared" ca="1" si="302"/>
        <v>221</v>
      </c>
      <c r="FP73" s="5" t="str">
        <f t="shared" ca="1" si="303"/>
        <v>VIGENTE</v>
      </c>
      <c r="FQ73" s="4"/>
      <c r="FR73" s="4">
        <v>45605</v>
      </c>
      <c r="FS73" s="4">
        <f t="shared" si="372"/>
        <v>46334</v>
      </c>
      <c r="FT73" s="8">
        <f t="shared" ca="1" si="304"/>
        <v>189</v>
      </c>
      <c r="FU73" s="5" t="str">
        <f t="shared" ca="1" si="305"/>
        <v>VIGENTE</v>
      </c>
      <c r="FV73" s="4"/>
      <c r="FW73" s="4">
        <v>45616</v>
      </c>
      <c r="FX73" s="4">
        <f>DATE(YEAR(FW73)+2,MONTH(FW73),DAY(FW73)-1)</f>
        <v>46345</v>
      </c>
      <c r="FY73" s="8">
        <f t="shared" ca="1" si="306"/>
        <v>200</v>
      </c>
      <c r="FZ73" s="5" t="str">
        <f t="shared" ca="1" si="307"/>
        <v>VIGENTE</v>
      </c>
      <c r="GA73" s="4"/>
      <c r="GB73" s="4">
        <v>45626</v>
      </c>
      <c r="GC73" s="4">
        <f t="shared" si="365"/>
        <v>46355</v>
      </c>
      <c r="GD73" s="8">
        <f t="shared" ca="1" si="308"/>
        <v>210</v>
      </c>
      <c r="GE73" s="5" t="str">
        <f t="shared" ca="1" si="309"/>
        <v>VIGENTE</v>
      </c>
      <c r="GF73" s="4"/>
      <c r="GG73" s="4">
        <v>45672</v>
      </c>
      <c r="GH73" s="4">
        <f>DATE(YEAR(GG73)+2,MONTH(GG73),DAY(GG73)-1)</f>
        <v>46401</v>
      </c>
      <c r="GI73" s="8">
        <f t="shared" ca="1" si="310"/>
        <v>256</v>
      </c>
      <c r="GJ73" s="5" t="str">
        <f t="shared" ca="1" si="311"/>
        <v>VIGENTE</v>
      </c>
      <c r="GK73" s="4"/>
      <c r="GL73" s="4">
        <v>45608</v>
      </c>
      <c r="GM73" s="4">
        <f>DATE(YEAR(GL73)+2,MONTH(GL73),DAY(GL73)-1)</f>
        <v>46337</v>
      </c>
      <c r="GN73" s="8">
        <f t="shared" ca="1" si="312"/>
        <v>192</v>
      </c>
      <c r="GO73" s="5" t="str">
        <f t="shared" ca="1" si="313"/>
        <v>VIGENTE</v>
      </c>
      <c r="GP73" s="4"/>
      <c r="GQ73" s="6"/>
      <c r="GR73" s="4"/>
      <c r="GS73" s="8"/>
      <c r="GT73" s="5" t="str">
        <f>IF(GS73&gt;=61,"VIGENTE",IF(GS73&gt;=1,"POR VENCER",IF(GS73&lt;=-1,"PROGRAMAR",IF(GQ73=0,"NO APLICA"))))</f>
        <v>NO APLICA</v>
      </c>
      <c r="GU73" s="4"/>
      <c r="GV73" s="6"/>
      <c r="GW73" s="4"/>
      <c r="GX73" s="8"/>
      <c r="GY73" s="5" t="str">
        <f>IF(GX73&gt;=61,"VIGENTE",IF(GX73&gt;=1,"POR VENCER",IF(GX73&lt;=-1,"PROGRAMAR",IF(GV73=0,"NO APLICA"))))</f>
        <v>NO APLICA</v>
      </c>
      <c r="GZ73" s="6"/>
      <c r="HA73" s="6"/>
      <c r="HB73" s="4"/>
      <c r="HC73" s="8"/>
      <c r="HD73" s="5" t="str">
        <f>IF(HC73&gt;=61,"VIGENTE",IF(HC73&gt;=1,"POR VENCER",IF(HC73&lt;=-1,"PROGRAMAR",IF(HA73=0,"NO APLICA"))))</f>
        <v>NO APLICA</v>
      </c>
      <c r="HE73" s="6"/>
      <c r="HF73" s="6"/>
      <c r="HG73" s="4"/>
      <c r="HH73" s="8"/>
      <c r="HI73" s="5" t="str">
        <f>IF(HH73&gt;=61,"VIGENTE",IF(HH73&gt;=1,"POR VENCER",IF(HH73&lt;=-1,"PROGRAMAR",IF(HF73=0,"NO APLICA"))))</f>
        <v>NO APLICA</v>
      </c>
      <c r="HJ73" s="6"/>
      <c r="HK73" s="6"/>
      <c r="HL73" s="6"/>
      <c r="HM73" s="6"/>
      <c r="HN73" s="5" t="str">
        <f t="shared" si="228"/>
        <v>NO APLICA</v>
      </c>
      <c r="HO73" s="6"/>
      <c r="HP73" s="6"/>
      <c r="HQ73" s="4"/>
      <c r="HR73" s="6"/>
      <c r="HS73" s="5" t="str">
        <f t="shared" si="322"/>
        <v>NO APLICA</v>
      </c>
      <c r="HT73" s="6"/>
      <c r="HU73" s="6"/>
      <c r="HV73" s="6"/>
      <c r="HW73" s="6"/>
      <c r="HX73" s="5" t="str">
        <f t="shared" si="323"/>
        <v>NO APLICA</v>
      </c>
      <c r="HY73" s="6"/>
      <c r="HZ73" s="6"/>
      <c r="IA73" s="6"/>
      <c r="IB73" s="6"/>
      <c r="IC73" s="5" t="str">
        <f t="shared" si="324"/>
        <v>NO APLICA</v>
      </c>
      <c r="ID73" s="6"/>
      <c r="IE73" s="6"/>
      <c r="IF73" s="6"/>
      <c r="IG73" s="6"/>
      <c r="IH73" s="5" t="str">
        <f t="shared" si="325"/>
        <v>NO APLICA</v>
      </c>
      <c r="II73" s="6"/>
      <c r="IJ73" s="6"/>
      <c r="IK73" s="6"/>
      <c r="IL73" s="6"/>
      <c r="IM73" s="5" t="str">
        <f t="shared" si="326"/>
        <v>NO APLICA</v>
      </c>
      <c r="IN73" s="6"/>
      <c r="IO73" s="6"/>
      <c r="IP73" s="6"/>
      <c r="IQ73" s="6"/>
      <c r="IR73" s="5" t="str">
        <f t="shared" si="327"/>
        <v>NO APLICA</v>
      </c>
      <c r="IS73" s="6"/>
      <c r="IT73" s="6"/>
      <c r="IU73" s="6"/>
      <c r="IV73" s="6"/>
      <c r="IW73" s="5" t="str">
        <f t="shared" si="328"/>
        <v>NO APLICA</v>
      </c>
      <c r="IX73" s="6"/>
      <c r="IY73" s="6"/>
      <c r="IZ73" s="6"/>
      <c r="JA73" s="6"/>
      <c r="JB73" s="5" t="str">
        <f t="shared" si="329"/>
        <v>NO APLICA</v>
      </c>
      <c r="JC73" s="3" t="s">
        <v>780</v>
      </c>
      <c r="JD73" s="6"/>
      <c r="JE73" s="6"/>
      <c r="JF73" s="6"/>
      <c r="JG73" s="5"/>
      <c r="JH73" s="3" t="s">
        <v>780</v>
      </c>
      <c r="JI73" s="6"/>
      <c r="JJ73" s="6"/>
      <c r="JK73" s="6"/>
      <c r="JL73" s="5"/>
      <c r="JM73" s="6" t="s">
        <v>780</v>
      </c>
      <c r="JN73" s="6"/>
      <c r="JO73" s="6"/>
      <c r="JP73" s="6"/>
      <c r="JQ73" s="5"/>
      <c r="JR73" s="6" t="s">
        <v>780</v>
      </c>
      <c r="JS73" s="6"/>
      <c r="JT73" s="6"/>
      <c r="JU73" s="6"/>
      <c r="JV73" s="5"/>
      <c r="JW73" s="6" t="s">
        <v>780</v>
      </c>
      <c r="JX73" s="5"/>
      <c r="JY73" s="5"/>
      <c r="JZ73" s="5"/>
      <c r="KA73" s="5"/>
      <c r="KB73" s="5"/>
      <c r="KC73" s="6"/>
      <c r="KD73" s="6"/>
      <c r="KE73" s="6"/>
      <c r="KF73" s="5" t="str">
        <f t="shared" si="330"/>
        <v>NO APLICA</v>
      </c>
      <c r="KG73" s="5"/>
      <c r="KH73" s="6"/>
      <c r="KI73" s="6"/>
      <c r="KJ73" s="6"/>
      <c r="KK73" s="5" t="str">
        <f t="shared" si="356"/>
        <v>NO APLICA</v>
      </c>
      <c r="KL73" s="5"/>
      <c r="KM73" s="6"/>
      <c r="KN73" s="6"/>
      <c r="KO73" s="6"/>
      <c r="KP73" s="5" t="str">
        <f t="shared" si="331"/>
        <v>NO APLICA</v>
      </c>
      <c r="KQ73" s="5"/>
      <c r="KR73" s="6"/>
      <c r="KS73" s="6"/>
      <c r="KT73" s="6"/>
      <c r="KU73" s="5" t="str">
        <f t="shared" si="357"/>
        <v>NO APLICA</v>
      </c>
      <c r="KV73" s="6"/>
      <c r="KW73" s="6"/>
      <c r="KX73" s="6"/>
      <c r="KY73" s="6"/>
      <c r="KZ73" s="5" t="str">
        <f t="shared" si="366"/>
        <v>NO APLICA</v>
      </c>
      <c r="LA73" s="5"/>
      <c r="LB73" s="6"/>
      <c r="LC73" s="6"/>
      <c r="LD73" s="6"/>
      <c r="LE73" s="5" t="str">
        <f t="shared" si="358"/>
        <v>NO APLICA</v>
      </c>
      <c r="LF73" s="6"/>
      <c r="LG73" s="6"/>
      <c r="LH73" s="6"/>
      <c r="LI73" s="6"/>
      <c r="LJ73" s="5" t="str">
        <f t="shared" si="332"/>
        <v>NO APLICA</v>
      </c>
      <c r="LK73" s="5"/>
      <c r="LL73" s="5"/>
      <c r="LM73" s="5"/>
      <c r="LN73" s="5"/>
      <c r="LO73" s="5" t="str">
        <f t="shared" si="367"/>
        <v>NO APLICA</v>
      </c>
      <c r="LP73" s="6"/>
      <c r="LQ73" s="6"/>
      <c r="LR73" s="6"/>
      <c r="LS73" s="6"/>
      <c r="LT73" s="5" t="str">
        <f t="shared" si="359"/>
        <v>NO APLICA</v>
      </c>
      <c r="LU73" s="6"/>
      <c r="LV73" s="6"/>
      <c r="LW73" s="6"/>
      <c r="LX73" s="6"/>
      <c r="LY73" s="5" t="str">
        <f t="shared" si="360"/>
        <v>NO APLICA</v>
      </c>
      <c r="LZ73" s="6"/>
      <c r="MA73" s="6"/>
      <c r="MB73" s="6"/>
      <c r="MC73" s="6"/>
      <c r="MD73" s="5" t="str">
        <f t="shared" si="361"/>
        <v>NO APLICA</v>
      </c>
      <c r="ME73" s="6"/>
      <c r="MF73" s="6"/>
      <c r="MG73" s="6"/>
      <c r="MH73" s="6"/>
      <c r="MI73" s="5" t="str">
        <f t="shared" si="333"/>
        <v>NO APLICA</v>
      </c>
      <c r="MJ73" s="6"/>
      <c r="MK73" s="6"/>
      <c r="ML73" s="6"/>
      <c r="MM73" s="6"/>
      <c r="MN73" s="5" t="str">
        <f t="shared" si="334"/>
        <v>NO APLICA</v>
      </c>
      <c r="MO73" s="5"/>
      <c r="MP73" s="6"/>
      <c r="MQ73" s="6"/>
      <c r="MR73" s="6"/>
      <c r="MS73" s="5" t="str">
        <f t="shared" si="335"/>
        <v>NO APLICA</v>
      </c>
      <c r="MT73" s="5"/>
      <c r="MU73" s="6"/>
      <c r="MV73" s="6"/>
      <c r="MW73" s="6"/>
      <c r="MX73" s="5" t="str">
        <f t="shared" si="336"/>
        <v>NO APLICA</v>
      </c>
      <c r="MY73" s="6"/>
      <c r="MZ73" s="6"/>
      <c r="NA73" s="6"/>
      <c r="NB73" s="6"/>
      <c r="NC73" s="5" t="str">
        <f t="shared" si="337"/>
        <v>NO APLICA</v>
      </c>
      <c r="ND73" s="6"/>
      <c r="NE73" s="6"/>
      <c r="NF73" s="6"/>
      <c r="NG73" s="6"/>
      <c r="NH73" s="5" t="str">
        <f t="shared" si="338"/>
        <v>NO APLICA</v>
      </c>
      <c r="NI73" s="6"/>
      <c r="NJ73" s="6"/>
      <c r="NK73" s="6"/>
      <c r="NL73" s="6"/>
      <c r="NM73" s="5" t="str">
        <f t="shared" si="339"/>
        <v>NO APLICA</v>
      </c>
      <c r="NN73" s="6"/>
      <c r="NO73" s="6"/>
      <c r="NP73" s="6"/>
      <c r="NQ73" s="6"/>
      <c r="NR73" s="5" t="str">
        <f t="shared" si="340"/>
        <v>NO APLICA</v>
      </c>
      <c r="NS73" s="6"/>
      <c r="NT73" s="6"/>
      <c r="NU73" s="6"/>
      <c r="NV73" s="6"/>
      <c r="NW73" s="5" t="str">
        <f t="shared" si="341"/>
        <v>NO APLICA</v>
      </c>
      <c r="NX73" s="6"/>
      <c r="NY73" s="6"/>
      <c r="NZ73" s="6"/>
      <c r="OA73" s="6"/>
      <c r="OB73" s="5" t="str">
        <f t="shared" si="342"/>
        <v>NO APLICA</v>
      </c>
      <c r="OC73" s="6"/>
      <c r="OD73" s="6"/>
      <c r="OE73" s="6"/>
      <c r="OF73" s="6"/>
      <c r="OG73" s="5" t="str">
        <f t="shared" si="343"/>
        <v>NO APLICA</v>
      </c>
      <c r="OH73" s="6"/>
      <c r="OI73" s="6"/>
      <c r="OJ73" s="6"/>
      <c r="OK73" s="6"/>
      <c r="OL73" s="5" t="str">
        <f t="shared" si="344"/>
        <v>NO APLICA</v>
      </c>
      <c r="OM73" s="6"/>
      <c r="ON73" s="6"/>
      <c r="OO73" s="6"/>
      <c r="OP73" s="6"/>
      <c r="OQ73" s="5" t="str">
        <f t="shared" si="345"/>
        <v>NO APLICA</v>
      </c>
      <c r="OR73" s="6"/>
      <c r="OS73" s="6"/>
      <c r="OT73" s="6"/>
      <c r="OU73" s="6"/>
      <c r="OV73" s="5" t="str">
        <f t="shared" si="346"/>
        <v>NO APLICA</v>
      </c>
      <c r="OW73" s="6"/>
      <c r="OX73" s="6"/>
      <c r="OY73" s="6"/>
      <c r="OZ73" s="6"/>
      <c r="PA73" s="5" t="str">
        <f t="shared" si="347"/>
        <v>NO APLICA</v>
      </c>
      <c r="PB73" s="6"/>
      <c r="PC73" s="6"/>
      <c r="PD73" s="6"/>
      <c r="PE73" s="6"/>
      <c r="PF73" s="5" t="str">
        <f t="shared" si="348"/>
        <v>NO APLICA</v>
      </c>
      <c r="PG73" s="6"/>
      <c r="PH73" s="6"/>
      <c r="PI73" s="6"/>
      <c r="PJ73" s="6"/>
      <c r="PK73" s="5" t="str">
        <f t="shared" si="349"/>
        <v>NO APLICA</v>
      </c>
      <c r="PL73" s="5"/>
      <c r="PM73" s="6"/>
      <c r="PN73" s="6"/>
      <c r="PO73" s="6"/>
      <c r="PP73" s="5" t="str">
        <f t="shared" si="350"/>
        <v>NO APLICA</v>
      </c>
      <c r="PQ73" s="6"/>
      <c r="PR73" s="6"/>
      <c r="PS73" s="6"/>
      <c r="PT73" s="6"/>
      <c r="PU73" s="5" t="str">
        <f t="shared" si="351"/>
        <v>NO APLICA</v>
      </c>
      <c r="PV73" s="5"/>
      <c r="PW73" s="6"/>
      <c r="PX73" s="6"/>
      <c r="PY73" s="6"/>
      <c r="PZ73" s="5" t="str">
        <f t="shared" si="352"/>
        <v>NO APLICA</v>
      </c>
    </row>
    <row r="74" spans="1:442" ht="15.6" hidden="1" thickTop="1" thickBot="1" x14ac:dyDescent="0.35">
      <c r="A74" s="26">
        <v>71</v>
      </c>
      <c r="B74" s="27">
        <v>153</v>
      </c>
      <c r="C74" s="28" t="s">
        <v>758</v>
      </c>
      <c r="D74" s="29" t="s">
        <v>64</v>
      </c>
      <c r="E74" s="30" t="s">
        <v>65</v>
      </c>
      <c r="F74" s="5"/>
      <c r="G74" s="6"/>
      <c r="H74" s="4"/>
      <c r="I74" s="8"/>
      <c r="J74" s="5" t="str">
        <f t="shared" si="242"/>
        <v>NO APLICA</v>
      </c>
      <c r="K74" s="5"/>
      <c r="L74" s="6"/>
      <c r="M74" s="6"/>
      <c r="N74" s="8"/>
      <c r="O74" s="5" t="str">
        <f t="shared" si="243"/>
        <v>NO APLICA</v>
      </c>
      <c r="P74" s="4"/>
      <c r="Q74" s="4">
        <v>45758</v>
      </c>
      <c r="R74" s="4">
        <f>DATE(YEAR(Q74)+2,MONTH(Q74),DAY(Q74)-1)</f>
        <v>46487</v>
      </c>
      <c r="S74" s="8">
        <f ca="1">R74-TODAY()</f>
        <v>342</v>
      </c>
      <c r="T74" s="5" t="str">
        <f t="shared" ca="1" si="353"/>
        <v>VIGENTE</v>
      </c>
      <c r="U74" s="5"/>
      <c r="V74" s="2" t="s">
        <v>274</v>
      </c>
      <c r="W74" s="4">
        <v>45282</v>
      </c>
      <c r="X74" s="4">
        <f t="shared" si="244"/>
        <v>47109</v>
      </c>
      <c r="Y74" s="8">
        <f t="shared" ca="1" si="245"/>
        <v>964</v>
      </c>
      <c r="Z74" s="5" t="str">
        <f t="shared" ca="1" si="246"/>
        <v>VIGENTE</v>
      </c>
      <c r="AA74" s="5"/>
      <c r="AB74" s="2" t="s">
        <v>275</v>
      </c>
      <c r="AC74" s="4">
        <v>45190</v>
      </c>
      <c r="AD74" s="4">
        <f t="shared" ref="AD74:AD83" si="376">DATE(YEAR(AC74)+5,MONTH(AC74),DAY(AC74))</f>
        <v>47017</v>
      </c>
      <c r="AE74" s="8">
        <f t="shared" ref="AE74:AE83" ca="1" si="377">AD74-TODAY()</f>
        <v>872</v>
      </c>
      <c r="AF74" s="5" t="str">
        <f t="shared" ca="1" si="247"/>
        <v>VIGENTE</v>
      </c>
      <c r="AG74" s="3"/>
      <c r="AH74" s="4">
        <v>45902</v>
      </c>
      <c r="AI74" s="4">
        <f>DATE(YEAR(AH74)+2,MONTH(AH74),DAY(AH74))</f>
        <v>46632</v>
      </c>
      <c r="AJ74" s="8">
        <f t="shared" ca="1" si="248"/>
        <v>487</v>
      </c>
      <c r="AK74" s="5" t="str">
        <f t="shared" ca="1" si="219"/>
        <v>VIGENTE</v>
      </c>
      <c r="AL74" s="3"/>
      <c r="AM74" s="4">
        <v>45602</v>
      </c>
      <c r="AN74" s="4">
        <f>DATE(YEAR(AM74)+2,MONTH(AM74),DAY(AM74)-1)</f>
        <v>46331</v>
      </c>
      <c r="AO74" s="8">
        <f t="shared" ca="1" si="249"/>
        <v>186</v>
      </c>
      <c r="AP74" s="5" t="str">
        <f t="shared" ca="1" si="250"/>
        <v>VIGENTE</v>
      </c>
      <c r="AQ74" s="2"/>
      <c r="AR74" s="4">
        <v>45740</v>
      </c>
      <c r="AS74" s="4">
        <f>DATE(YEAR(AR74)+2,MONTH(AR74),DAY(AR74)-1)</f>
        <v>46469</v>
      </c>
      <c r="AT74" s="8">
        <f t="shared" ca="1" si="251"/>
        <v>324</v>
      </c>
      <c r="AU74" s="5" t="str">
        <f t="shared" ca="1" si="252"/>
        <v>VIGENTE</v>
      </c>
      <c r="AV74" s="3"/>
      <c r="AW74" s="4">
        <v>45702</v>
      </c>
      <c r="AX74" s="4">
        <f>DATE(YEAR(AW74)+2,MONTH(AW74),DAY(AW74)-1)</f>
        <v>46431</v>
      </c>
      <c r="AY74" s="8">
        <f t="shared" ca="1" si="253"/>
        <v>286</v>
      </c>
      <c r="AZ74" s="5" t="str">
        <f t="shared" ca="1" si="254"/>
        <v>VIGENTE</v>
      </c>
      <c r="BA74" s="3"/>
      <c r="BB74" s="4">
        <v>45603</v>
      </c>
      <c r="BC74" s="4">
        <f t="shared" si="362"/>
        <v>46332</v>
      </c>
      <c r="BD74" s="8">
        <f t="shared" ca="1" si="255"/>
        <v>187</v>
      </c>
      <c r="BE74" s="5" t="str">
        <f t="shared" ca="1" si="256"/>
        <v>VIGENTE</v>
      </c>
      <c r="BF74" s="3"/>
      <c r="BG74" s="4">
        <v>45698</v>
      </c>
      <c r="BH74" s="4">
        <f>DATE(YEAR(BG74)+2,MONTH(BG74),DAY(BG74)-1)</f>
        <v>46427</v>
      </c>
      <c r="BI74" s="8">
        <f t="shared" ca="1" si="257"/>
        <v>282</v>
      </c>
      <c r="BJ74" s="5" t="str">
        <f t="shared" ca="1" si="258"/>
        <v>VIGENTE</v>
      </c>
      <c r="BK74" s="3"/>
      <c r="BL74" s="4">
        <v>45600</v>
      </c>
      <c r="BM74" s="4">
        <f>DATE(YEAR(BL74)+2,MONTH(BL74),DAY(BL74)-1)</f>
        <v>46329</v>
      </c>
      <c r="BN74" s="8">
        <f t="shared" ca="1" si="259"/>
        <v>184</v>
      </c>
      <c r="BO74" s="5" t="str">
        <f t="shared" ca="1" si="260"/>
        <v>VIGENTE</v>
      </c>
      <c r="BP74" s="3"/>
      <c r="BQ74" s="39">
        <v>45701</v>
      </c>
      <c r="BR74" s="4">
        <f>DATE(YEAR(BQ74)+2,MONTH(BQ74),DAY(BQ74)-1)</f>
        <v>46430</v>
      </c>
      <c r="BS74" s="8">
        <f t="shared" ca="1" si="261"/>
        <v>285</v>
      </c>
      <c r="BT74" s="5" t="str">
        <f t="shared" ca="1" si="262"/>
        <v>VIGENTE</v>
      </c>
      <c r="BU74" s="3"/>
      <c r="BV74" s="4">
        <v>45568</v>
      </c>
      <c r="BW74" s="4">
        <f>DATE(YEAR(BV74)+2,MONTH(BV74),DAY(BV74)-1)</f>
        <v>46297</v>
      </c>
      <c r="BX74" s="8">
        <f t="shared" ca="1" si="263"/>
        <v>152</v>
      </c>
      <c r="BY74" s="5" t="str">
        <f t="shared" ca="1" si="264"/>
        <v>VIGENTE</v>
      </c>
      <c r="BZ74" s="3"/>
      <c r="CA74" s="4">
        <v>45944</v>
      </c>
      <c r="CB74" s="4">
        <f>DATE(YEAR(CA74)+2,MONTH(CA74),DAY(CA74))</f>
        <v>46674</v>
      </c>
      <c r="CC74" s="8">
        <f t="shared" ca="1" si="265"/>
        <v>529</v>
      </c>
      <c r="CD74" s="5" t="str">
        <f t="shared" ca="1" si="266"/>
        <v>VIGENTE</v>
      </c>
      <c r="CE74" s="6"/>
      <c r="CF74" s="4">
        <v>45828</v>
      </c>
      <c r="CG74" s="4">
        <f t="shared" si="267"/>
        <v>47289</v>
      </c>
      <c r="CH74" s="8">
        <f t="shared" ca="1" si="268"/>
        <v>1144</v>
      </c>
      <c r="CI74" s="5" t="str">
        <f t="shared" ca="1" si="269"/>
        <v>VIGENTE</v>
      </c>
      <c r="CJ74" s="4"/>
      <c r="CK74" s="4">
        <v>45601</v>
      </c>
      <c r="CL74" s="4">
        <f t="shared" si="375"/>
        <v>46330</v>
      </c>
      <c r="CM74" s="8">
        <f t="shared" ca="1" si="270"/>
        <v>185</v>
      </c>
      <c r="CN74" s="5" t="str">
        <f t="shared" ca="1" si="271"/>
        <v>VIGENTE</v>
      </c>
      <c r="CO74" s="3"/>
      <c r="CP74" s="39">
        <v>45684</v>
      </c>
      <c r="CQ74" s="4">
        <f t="shared" si="368"/>
        <v>46413</v>
      </c>
      <c r="CR74" s="8">
        <f t="shared" ca="1" si="272"/>
        <v>268</v>
      </c>
      <c r="CS74" s="5" t="str">
        <f t="shared" ca="1" si="273"/>
        <v>VIGENTE</v>
      </c>
      <c r="CT74" s="3"/>
      <c r="CU74" s="4">
        <v>45727</v>
      </c>
      <c r="CV74" s="4">
        <f t="shared" si="369"/>
        <v>46456</v>
      </c>
      <c r="CW74" s="8">
        <f t="shared" ca="1" si="274"/>
        <v>311</v>
      </c>
      <c r="CX74" s="5" t="str">
        <f t="shared" ca="1" si="275"/>
        <v>VIGENTE</v>
      </c>
      <c r="CY74" s="3"/>
      <c r="CZ74" s="4">
        <v>45665</v>
      </c>
      <c r="DA74" s="4">
        <f t="shared" si="370"/>
        <v>46394</v>
      </c>
      <c r="DB74" s="8">
        <f t="shared" ca="1" si="276"/>
        <v>249</v>
      </c>
      <c r="DC74" s="5" t="str">
        <f t="shared" ca="1" si="277"/>
        <v>VIGENTE</v>
      </c>
      <c r="DD74" s="3"/>
      <c r="DE74" s="39">
        <v>45761</v>
      </c>
      <c r="DF74" s="4">
        <f>DATE(YEAR(DE74)+2,MONTH(DE74),DAY(DE74))</f>
        <v>46491</v>
      </c>
      <c r="DG74" s="8">
        <f t="shared" ca="1" si="278"/>
        <v>346</v>
      </c>
      <c r="DH74" s="5" t="str">
        <f t="shared" ca="1" si="279"/>
        <v>VIGENTE</v>
      </c>
      <c r="DI74" s="2"/>
      <c r="DJ74" s="39">
        <v>45734</v>
      </c>
      <c r="DK74" s="4">
        <f>DATE(YEAR(DJ74)+2,MONTH(DJ74),DAY(DJ74)-1)</f>
        <v>46463</v>
      </c>
      <c r="DL74" s="8">
        <f t="shared" ca="1" si="280"/>
        <v>318</v>
      </c>
      <c r="DM74" s="5" t="str">
        <f t="shared" ca="1" si="281"/>
        <v>VIGENTE</v>
      </c>
      <c r="DN74" s="3"/>
      <c r="DO74" s="4">
        <v>45731</v>
      </c>
      <c r="DP74" s="4">
        <f>DATE(YEAR(DO74)+2,MONTH(DO74),DAY(DO74)-1)</f>
        <v>46460</v>
      </c>
      <c r="DQ74" s="8">
        <f t="shared" ca="1" si="282"/>
        <v>315</v>
      </c>
      <c r="DR74" s="5" t="str">
        <f t="shared" ca="1" si="283"/>
        <v>VIGENTE</v>
      </c>
      <c r="DS74" s="3"/>
      <c r="DT74" s="4">
        <v>45608</v>
      </c>
      <c r="DU74" s="4">
        <f>DATE(YEAR(DT74)+2,MONTH(DT74),DAY(DT74)-1)</f>
        <v>46337</v>
      </c>
      <c r="DV74" s="8">
        <f t="shared" ca="1" si="284"/>
        <v>192</v>
      </c>
      <c r="DW74" s="5" t="str">
        <f t="shared" ca="1" si="285"/>
        <v>VIGENTE</v>
      </c>
      <c r="DX74" s="3"/>
      <c r="DY74" s="4">
        <v>45582</v>
      </c>
      <c r="DZ74" s="4">
        <f t="shared" si="354"/>
        <v>46311</v>
      </c>
      <c r="EA74" s="8">
        <f t="shared" ca="1" si="286"/>
        <v>166</v>
      </c>
      <c r="EB74" s="5" t="str">
        <f t="shared" ca="1" si="287"/>
        <v>VIGENTE</v>
      </c>
      <c r="EC74" s="3"/>
      <c r="ED74" s="39">
        <v>45768</v>
      </c>
      <c r="EE74" s="4">
        <f>DATE(YEAR(ED74)+2,MONTH(ED74),DAY(ED74))</f>
        <v>46498</v>
      </c>
      <c r="EF74" s="8">
        <f t="shared" ca="1" si="288"/>
        <v>353</v>
      </c>
      <c r="EG74" s="5" t="str">
        <f t="shared" ca="1" si="289"/>
        <v>VIGENTE</v>
      </c>
      <c r="EH74" s="3"/>
      <c r="EI74" s="3">
        <v>46107</v>
      </c>
      <c r="EJ74" s="4">
        <f t="shared" si="355"/>
        <v>46472</v>
      </c>
      <c r="EK74" s="8">
        <f t="shared" ca="1" si="290"/>
        <v>327</v>
      </c>
      <c r="EL74" s="5" t="str">
        <f t="shared" ca="1" si="291"/>
        <v>VIGENTE</v>
      </c>
      <c r="EM74" s="3"/>
      <c r="EN74" s="4">
        <v>45584</v>
      </c>
      <c r="EO74" s="4">
        <f t="shared" si="371"/>
        <v>46313</v>
      </c>
      <c r="EP74" s="8">
        <f t="shared" ca="1" si="292"/>
        <v>168</v>
      </c>
      <c r="EQ74" s="5" t="str">
        <f t="shared" ca="1" si="293"/>
        <v>VIGENTE</v>
      </c>
      <c r="ER74" s="3"/>
      <c r="ES74" s="39">
        <v>45575</v>
      </c>
      <c r="ET74" s="4">
        <f t="shared" si="363"/>
        <v>46304</v>
      </c>
      <c r="EU74" s="8">
        <f t="shared" ca="1" si="294"/>
        <v>159</v>
      </c>
      <c r="EV74" s="5" t="str">
        <f t="shared" ca="1" si="295"/>
        <v>VIGENTE</v>
      </c>
      <c r="EW74" s="3"/>
      <c r="EX74" s="4">
        <v>45917</v>
      </c>
      <c r="EY74" s="4">
        <f>DATE(YEAR(EX74)+2,MONTH(EX74),DAY(EX74))</f>
        <v>46647</v>
      </c>
      <c r="EZ74" s="8">
        <f t="shared" ca="1" si="296"/>
        <v>502</v>
      </c>
      <c r="FA74" s="5" t="str">
        <f t="shared" ca="1" si="297"/>
        <v>VIGENTE</v>
      </c>
      <c r="FB74" s="3"/>
      <c r="FC74" s="4">
        <v>45931</v>
      </c>
      <c r="FD74" s="4">
        <f>DATE(YEAR(FC74)+2,MONTH(FC74),DAY(FC74))</f>
        <v>46661</v>
      </c>
      <c r="FE74" s="8">
        <f t="shared" ca="1" si="298"/>
        <v>516</v>
      </c>
      <c r="FF74" s="5" t="str">
        <f t="shared" ca="1" si="299"/>
        <v>VIGENTE</v>
      </c>
      <c r="FG74" s="3"/>
      <c r="FH74" s="4">
        <v>45919</v>
      </c>
      <c r="FI74" s="4">
        <f>DATE(YEAR(FH74)+2,MONTH(FH74),DAY(FH74))</f>
        <v>46649</v>
      </c>
      <c r="FJ74" s="8">
        <f t="shared" ca="1" si="300"/>
        <v>504</v>
      </c>
      <c r="FK74" s="5" t="str">
        <f t="shared" ca="1" si="301"/>
        <v>VIGENTE</v>
      </c>
      <c r="FL74" s="3"/>
      <c r="FM74" s="39">
        <v>45588</v>
      </c>
      <c r="FN74" s="4">
        <f t="shared" si="364"/>
        <v>46317</v>
      </c>
      <c r="FO74" s="8">
        <f t="shared" ca="1" si="302"/>
        <v>172</v>
      </c>
      <c r="FP74" s="5" t="str">
        <f t="shared" ca="1" si="303"/>
        <v>VIGENTE</v>
      </c>
      <c r="FQ74" s="3"/>
      <c r="FR74" s="39">
        <v>45724</v>
      </c>
      <c r="FS74" s="4">
        <f t="shared" si="372"/>
        <v>46453</v>
      </c>
      <c r="FT74" s="8">
        <f t="shared" ca="1" si="304"/>
        <v>308</v>
      </c>
      <c r="FU74" s="5" t="str">
        <f t="shared" ca="1" si="305"/>
        <v>VIGENTE</v>
      </c>
      <c r="FV74" s="3"/>
      <c r="FW74" s="4">
        <v>45941</v>
      </c>
      <c r="FX74" s="4">
        <f>DATE(YEAR(FW74)+2,MONTH(FW74),DAY(FW74))</f>
        <v>46671</v>
      </c>
      <c r="FY74" s="8">
        <f t="shared" ca="1" si="306"/>
        <v>526</v>
      </c>
      <c r="FZ74" s="5" t="str">
        <f t="shared" ca="1" si="307"/>
        <v>VIGENTE</v>
      </c>
      <c r="GA74" s="3"/>
      <c r="GB74" s="4">
        <v>45667</v>
      </c>
      <c r="GC74" s="4">
        <f t="shared" si="365"/>
        <v>46396</v>
      </c>
      <c r="GD74" s="8">
        <f t="shared" ca="1" si="308"/>
        <v>251</v>
      </c>
      <c r="GE74" s="5" t="str">
        <f t="shared" ca="1" si="309"/>
        <v>VIGENTE</v>
      </c>
      <c r="GF74" s="3"/>
      <c r="GG74" s="4">
        <v>45752</v>
      </c>
      <c r="GH74" s="4">
        <f>DATE(YEAR(GG74)+2,MONTH(GG74),DAY(GG74))</f>
        <v>46482</v>
      </c>
      <c r="GI74" s="8">
        <f t="shared" ca="1" si="310"/>
        <v>337</v>
      </c>
      <c r="GJ74" s="5" t="str">
        <f t="shared" ca="1" si="311"/>
        <v>VIGENTE</v>
      </c>
      <c r="GK74" s="3"/>
      <c r="GL74" s="4">
        <v>45633</v>
      </c>
      <c r="GM74" s="4">
        <f>DATE(YEAR(GL74)+2,MONTH(GL74),DAY(GL74)-1)</f>
        <v>46362</v>
      </c>
      <c r="GN74" s="8">
        <f t="shared" ca="1" si="312"/>
        <v>217</v>
      </c>
      <c r="GO74" s="5" t="str">
        <f t="shared" ca="1" si="313"/>
        <v>VIGENTE</v>
      </c>
      <c r="GP74" s="4"/>
      <c r="GQ74" s="4">
        <v>44952</v>
      </c>
      <c r="GR74" s="4">
        <f t="shared" si="314"/>
        <v>46778</v>
      </c>
      <c r="GS74" s="8">
        <f t="shared" ca="1" si="176"/>
        <v>633</v>
      </c>
      <c r="GT74" s="5" t="str">
        <f t="shared" ref="GT74:GT108" ca="1" si="378">IF(GS74&gt;=91,"VIGENTE",IF(GS74&gt;=1,"POR VENCER",IF(GS74&lt;=-1,"VENCIDA",IF(GQ74=0,"NO APLICA"))))</f>
        <v>VIGENTE</v>
      </c>
      <c r="GU74" s="3"/>
      <c r="GV74" s="4">
        <v>45099</v>
      </c>
      <c r="GW74" s="4">
        <f t="shared" si="316"/>
        <v>46926</v>
      </c>
      <c r="GX74" s="8">
        <f t="shared" ca="1" si="317"/>
        <v>781</v>
      </c>
      <c r="GY74" s="5" t="str">
        <f t="shared" ref="GY74:GY105" ca="1" si="379">IF(GX74&gt;=91,"VIGENTE",IF(GX74&gt;=1,"POR VENCER",IF(GX74&lt;=-1,"VENCIDA",IF(GV74=0,"NO APLICA"))))</f>
        <v>VIGENTE</v>
      </c>
      <c r="GZ74" s="3"/>
      <c r="HA74" s="4">
        <v>45268</v>
      </c>
      <c r="HB74" s="4">
        <f t="shared" si="319"/>
        <v>47095</v>
      </c>
      <c r="HC74" s="8">
        <f t="shared" ca="1" si="320"/>
        <v>950</v>
      </c>
      <c r="HD74" s="5" t="str">
        <f t="shared" ref="HD74:HD98" ca="1" si="380">IF(HC74&gt;=91,"VIGENTE",IF(HC74&gt;=1,"POR VENCER",IF(HC74&lt;=-1,"VENCIDA",IF(HA74=0,"NO APLICA"))))</f>
        <v>VIGENTE</v>
      </c>
      <c r="HE74" s="6"/>
      <c r="HF74" s="4">
        <v>44956</v>
      </c>
      <c r="HG74" s="4">
        <f t="shared" si="373"/>
        <v>46782</v>
      </c>
      <c r="HH74" s="8">
        <f t="shared" ca="1" si="374"/>
        <v>637</v>
      </c>
      <c r="HI74" s="5" t="str">
        <f t="shared" ref="HI74:HI84" ca="1" si="381">IF(HH74&gt;=61,"VIGENTE",IF(HH74&gt;=1,"POR VENCER",IF(HH74&lt;=-1,"VENCIDA",IF(HF74=0,"NO APLICA"))))</f>
        <v>VIGENTE</v>
      </c>
      <c r="HJ74" s="2"/>
      <c r="HK74" s="6"/>
      <c r="HL74" s="4"/>
      <c r="HM74" s="8"/>
      <c r="HN74" s="5" t="str">
        <f t="shared" si="228"/>
        <v>NO APLICA</v>
      </c>
      <c r="HO74" s="2"/>
      <c r="HP74" s="5"/>
      <c r="HQ74" s="5"/>
      <c r="HR74" s="5"/>
      <c r="HS74" s="5" t="str">
        <f t="shared" si="322"/>
        <v>NO APLICA</v>
      </c>
      <c r="HT74" s="2"/>
      <c r="HU74" s="4">
        <v>44939</v>
      </c>
      <c r="HV74" s="4">
        <f>DATE(YEAR(HU74)+5,MONTH(HU74),DAY(HU74))</f>
        <v>46765</v>
      </c>
      <c r="HW74" s="8">
        <f ca="1">HV74-TODAY()</f>
        <v>620</v>
      </c>
      <c r="HX74" s="5" t="str">
        <f t="shared" ca="1" si="323"/>
        <v>VIGENTE</v>
      </c>
      <c r="HY74" s="2"/>
      <c r="HZ74" s="4">
        <v>45092</v>
      </c>
      <c r="IA74" s="4">
        <f>DATE(YEAR(HZ74)+5,MONTH(HZ74),DAY(HZ74))</f>
        <v>46919</v>
      </c>
      <c r="IB74" s="8">
        <f ca="1">IA74-TODAY()</f>
        <v>774</v>
      </c>
      <c r="IC74" s="5" t="str">
        <f t="shared" ca="1" si="324"/>
        <v>VIGENTE</v>
      </c>
      <c r="ID74" s="2"/>
      <c r="IE74" s="4">
        <v>45100</v>
      </c>
      <c r="IF74" s="4">
        <f>DATE(YEAR(IE74)+5,MONTH(IE74),DAY(IE74))</f>
        <v>46927</v>
      </c>
      <c r="IG74" s="8">
        <f ca="1">IF74-TODAY()</f>
        <v>782</v>
      </c>
      <c r="IH74" s="5" t="str">
        <f t="shared" ca="1" si="325"/>
        <v>VIGENTE</v>
      </c>
      <c r="II74" s="6"/>
      <c r="IJ74" s="4">
        <v>45105</v>
      </c>
      <c r="IK74" s="4">
        <f>DATE(YEAR(IJ74)+5,MONTH(IJ74),DAY(IJ74))</f>
        <v>46932</v>
      </c>
      <c r="IL74" s="8">
        <f ca="1">IK74-TODAY()</f>
        <v>787</v>
      </c>
      <c r="IM74" s="5" t="str">
        <f t="shared" ca="1" si="326"/>
        <v>VIGENTE</v>
      </c>
      <c r="IN74" s="2"/>
      <c r="IO74" s="4">
        <v>45064</v>
      </c>
      <c r="IP74" s="4">
        <f>DATE(YEAR(IO74)+5,MONTH(IO74),DAY(IO74))</f>
        <v>46891</v>
      </c>
      <c r="IQ74" s="8">
        <f ca="1">IP74-TODAY()</f>
        <v>746</v>
      </c>
      <c r="IR74" s="5" t="str">
        <f t="shared" ca="1" si="327"/>
        <v>VIGENTE</v>
      </c>
      <c r="IS74" s="2"/>
      <c r="IT74" s="4">
        <v>45062</v>
      </c>
      <c r="IU74" s="4">
        <f>DATE(YEAR(IT74)+5,MONTH(IT74),DAY(IT74))</f>
        <v>46889</v>
      </c>
      <c r="IV74" s="8">
        <f ca="1">IU74-TODAY()</f>
        <v>744</v>
      </c>
      <c r="IW74" s="5" t="str">
        <f t="shared" ca="1" si="328"/>
        <v>VIGENTE</v>
      </c>
      <c r="IX74" s="2"/>
      <c r="IY74" s="4">
        <v>45101</v>
      </c>
      <c r="IZ74" s="4">
        <f>DATE(YEAR(IY74)+5,MONTH(IY74),DAY(IY74))</f>
        <v>46928</v>
      </c>
      <c r="JA74" s="8">
        <f ca="1">IZ74-TODAY()</f>
        <v>783</v>
      </c>
      <c r="JB74" s="5" t="str">
        <f t="shared" ca="1" si="329"/>
        <v>VIGENTE</v>
      </c>
      <c r="JC74" s="3" t="s">
        <v>780</v>
      </c>
      <c r="JD74" s="3"/>
      <c r="JE74" s="4"/>
      <c r="JF74" s="8"/>
      <c r="JG74" s="5"/>
      <c r="JH74" s="3" t="s">
        <v>780</v>
      </c>
      <c r="JI74" s="6"/>
      <c r="JJ74" s="6"/>
      <c r="JK74" s="6"/>
      <c r="JL74" s="5"/>
      <c r="JM74" s="6" t="s">
        <v>780</v>
      </c>
      <c r="JN74" s="6"/>
      <c r="JO74" s="6"/>
      <c r="JP74" s="6"/>
      <c r="JQ74" s="5"/>
      <c r="JR74" s="6" t="s">
        <v>780</v>
      </c>
      <c r="JS74" s="6"/>
      <c r="JT74" s="6"/>
      <c r="JU74" s="6"/>
      <c r="JV74" s="5"/>
      <c r="JW74" s="6" t="s">
        <v>780</v>
      </c>
      <c r="JX74" s="5"/>
      <c r="JY74" s="5"/>
      <c r="JZ74" s="5"/>
      <c r="KA74" s="5"/>
      <c r="KB74" s="5"/>
      <c r="KC74" s="5"/>
      <c r="KD74" s="4"/>
      <c r="KE74" s="8"/>
      <c r="KF74" s="5" t="str">
        <f t="shared" si="330"/>
        <v>NO APLICA</v>
      </c>
      <c r="KG74" s="5"/>
      <c r="KH74" s="5"/>
      <c r="KI74" s="4"/>
      <c r="KJ74" s="8"/>
      <c r="KK74" s="5" t="str">
        <f t="shared" si="356"/>
        <v>NO APLICA</v>
      </c>
      <c r="KL74" s="5"/>
      <c r="KM74" s="5"/>
      <c r="KN74" s="4"/>
      <c r="KO74" s="8"/>
      <c r="KP74" s="5" t="str">
        <f t="shared" si="331"/>
        <v>NO APLICA</v>
      </c>
      <c r="KQ74" s="5"/>
      <c r="KR74" s="3">
        <v>45346</v>
      </c>
      <c r="KS74" s="4">
        <f>DATE(YEAR(KR74)+5,MONTH(KR74),DAY(KR74))</f>
        <v>47173</v>
      </c>
      <c r="KT74" s="8">
        <f ca="1">KS74-TODAY()</f>
        <v>1028</v>
      </c>
      <c r="KU74" s="5" t="str">
        <f t="shared" ca="1" si="357"/>
        <v>VIGENTE</v>
      </c>
      <c r="KV74" s="3"/>
      <c r="KW74" s="4">
        <v>44651</v>
      </c>
      <c r="KX74" s="4">
        <f>DATE(YEAR(KW74)+5,MONTH(KW74),DAY(KW74))</f>
        <v>46477</v>
      </c>
      <c r="KY74" s="8">
        <f ca="1">KX74-TODAY()</f>
        <v>332</v>
      </c>
      <c r="KZ74" s="5" t="str">
        <f t="shared" ca="1" si="366"/>
        <v>VIGENTE</v>
      </c>
      <c r="LA74" s="5"/>
      <c r="LB74" s="4">
        <v>44613</v>
      </c>
      <c r="LC74" s="4">
        <f>DATE(YEAR(LB74)+5,MONTH(LB74),DAY(LB74))</f>
        <v>46439</v>
      </c>
      <c r="LD74" s="8">
        <f ca="1">LC74-TODAY()</f>
        <v>294</v>
      </c>
      <c r="LE74" s="5" t="str">
        <f t="shared" ca="1" si="358"/>
        <v>VIGENTE</v>
      </c>
      <c r="LF74" s="6"/>
      <c r="LG74" s="6"/>
      <c r="LH74" s="4"/>
      <c r="LI74" s="8"/>
      <c r="LJ74" s="5" t="str">
        <f t="shared" si="332"/>
        <v>NO APLICA</v>
      </c>
      <c r="LK74" s="5"/>
      <c r="LL74" s="5"/>
      <c r="LM74" s="5"/>
      <c r="LN74" s="5"/>
      <c r="LO74" s="5" t="str">
        <f t="shared" si="367"/>
        <v>NO APLICA</v>
      </c>
      <c r="LP74" s="5"/>
      <c r="LQ74" s="6"/>
      <c r="LR74" s="4"/>
      <c r="LS74" s="8"/>
      <c r="LT74" s="5" t="str">
        <f t="shared" si="359"/>
        <v>NO APLICA</v>
      </c>
      <c r="LU74" s="6"/>
      <c r="LV74" s="6"/>
      <c r="LW74" s="4"/>
      <c r="LX74" s="8"/>
      <c r="LY74" s="5" t="str">
        <f t="shared" si="360"/>
        <v>NO APLICA</v>
      </c>
      <c r="LZ74" s="6"/>
      <c r="MA74" s="6"/>
      <c r="MB74" s="4"/>
      <c r="MC74" s="8"/>
      <c r="MD74" s="5" t="str">
        <f t="shared" si="361"/>
        <v>NO APLICA</v>
      </c>
      <c r="ME74" s="5"/>
      <c r="MF74" s="5"/>
      <c r="MG74" s="4"/>
      <c r="MH74" s="8"/>
      <c r="MI74" s="5" t="str">
        <f t="shared" si="333"/>
        <v>NO APLICA</v>
      </c>
      <c r="MJ74" s="5"/>
      <c r="MK74" s="5"/>
      <c r="ML74" s="4"/>
      <c r="MM74" s="8"/>
      <c r="MN74" s="5" t="str">
        <f t="shared" si="334"/>
        <v>NO APLICA</v>
      </c>
      <c r="MO74" s="5"/>
      <c r="MP74" s="5"/>
      <c r="MQ74" s="4"/>
      <c r="MR74" s="8"/>
      <c r="MS74" s="5" t="str">
        <f t="shared" si="335"/>
        <v>NO APLICA</v>
      </c>
      <c r="MT74" s="5"/>
      <c r="MU74" s="5"/>
      <c r="MV74" s="4"/>
      <c r="MW74" s="5"/>
      <c r="MX74" s="5" t="str">
        <f t="shared" si="336"/>
        <v>NO APLICA</v>
      </c>
      <c r="MY74" s="5"/>
      <c r="MZ74" s="6"/>
      <c r="NA74" s="4"/>
      <c r="NB74" s="8"/>
      <c r="NC74" s="5" t="str">
        <f t="shared" si="337"/>
        <v>NO APLICA</v>
      </c>
      <c r="ND74" s="5"/>
      <c r="NE74" s="6"/>
      <c r="NF74" s="4"/>
      <c r="NG74" s="8"/>
      <c r="NH74" s="5" t="str">
        <f t="shared" si="338"/>
        <v>NO APLICA</v>
      </c>
      <c r="NI74" s="5"/>
      <c r="NJ74" s="6"/>
      <c r="NK74" s="4"/>
      <c r="NL74" s="8"/>
      <c r="NM74" s="5" t="str">
        <f t="shared" si="339"/>
        <v>NO APLICA</v>
      </c>
      <c r="NN74" s="5"/>
      <c r="NO74" s="5"/>
      <c r="NP74" s="5"/>
      <c r="NQ74" s="5"/>
      <c r="NR74" s="5" t="str">
        <f t="shared" si="340"/>
        <v>NO APLICA</v>
      </c>
      <c r="NS74" s="5"/>
      <c r="NT74" s="5"/>
      <c r="NU74" s="5"/>
      <c r="NV74" s="5"/>
      <c r="NW74" s="5" t="str">
        <f t="shared" si="341"/>
        <v>NO APLICA</v>
      </c>
      <c r="NX74" s="6"/>
      <c r="NY74" s="6"/>
      <c r="NZ74" s="6"/>
      <c r="OA74" s="6"/>
      <c r="OB74" s="5" t="str">
        <f t="shared" si="342"/>
        <v>NO APLICA</v>
      </c>
      <c r="OC74" s="6"/>
      <c r="OD74" s="6"/>
      <c r="OE74" s="6"/>
      <c r="OF74" s="6"/>
      <c r="OG74" s="5" t="str">
        <f t="shared" si="343"/>
        <v>NO APLICA</v>
      </c>
      <c r="OH74" s="6"/>
      <c r="OI74" s="6"/>
      <c r="OJ74" s="4"/>
      <c r="OK74" s="8"/>
      <c r="OL74" s="5" t="str">
        <f t="shared" si="344"/>
        <v>NO APLICA</v>
      </c>
      <c r="OM74" s="6"/>
      <c r="ON74" s="6"/>
      <c r="OO74" s="6"/>
      <c r="OP74" s="6"/>
      <c r="OQ74" s="5" t="str">
        <f t="shared" si="345"/>
        <v>NO APLICA</v>
      </c>
      <c r="OR74" s="6"/>
      <c r="OS74" s="6"/>
      <c r="OT74" s="6"/>
      <c r="OU74" s="6"/>
      <c r="OV74" s="5" t="str">
        <f t="shared" si="346"/>
        <v>NO APLICA</v>
      </c>
      <c r="OW74" s="6"/>
      <c r="OX74" s="6"/>
      <c r="OY74" s="6"/>
      <c r="OZ74" s="6"/>
      <c r="PA74" s="5" t="str">
        <f t="shared" si="347"/>
        <v>NO APLICA</v>
      </c>
      <c r="PB74" s="6"/>
      <c r="PC74" s="6"/>
      <c r="PD74" s="6"/>
      <c r="PE74" s="6"/>
      <c r="PF74" s="5" t="str">
        <f t="shared" si="348"/>
        <v>NO APLICA</v>
      </c>
      <c r="PG74" s="6"/>
      <c r="PH74" s="6"/>
      <c r="PI74" s="6"/>
      <c r="PJ74" s="6"/>
      <c r="PK74" s="5" t="str">
        <f t="shared" si="349"/>
        <v>NO APLICA</v>
      </c>
      <c r="PL74" s="5"/>
      <c r="PM74" s="6"/>
      <c r="PN74" s="4"/>
      <c r="PO74" s="8"/>
      <c r="PP74" s="5" t="str">
        <f t="shared" si="350"/>
        <v>NO APLICA</v>
      </c>
      <c r="PQ74" s="6"/>
      <c r="PR74" s="6"/>
      <c r="PS74" s="6"/>
      <c r="PT74" s="6"/>
      <c r="PU74" s="5" t="str">
        <f t="shared" si="351"/>
        <v>NO APLICA</v>
      </c>
      <c r="PV74" s="5"/>
      <c r="PW74" s="6"/>
      <c r="PX74" s="6"/>
      <c r="PY74" s="6"/>
      <c r="PZ74" s="5" t="str">
        <f t="shared" si="352"/>
        <v>NO APLICA</v>
      </c>
    </row>
    <row r="75" spans="1:442" ht="15.6" hidden="1" thickTop="1" thickBot="1" x14ac:dyDescent="0.35">
      <c r="A75" s="26">
        <v>72</v>
      </c>
      <c r="B75" s="27">
        <v>1168</v>
      </c>
      <c r="C75" s="28" t="s">
        <v>276</v>
      </c>
      <c r="D75" s="29" t="s">
        <v>68</v>
      </c>
      <c r="E75" s="30" t="s">
        <v>153</v>
      </c>
      <c r="F75" s="5"/>
      <c r="G75" s="6"/>
      <c r="H75" s="4"/>
      <c r="I75" s="8"/>
      <c r="J75" s="5" t="str">
        <f t="shared" si="242"/>
        <v>NO APLICA</v>
      </c>
      <c r="K75" s="5"/>
      <c r="L75" s="6"/>
      <c r="M75" s="6"/>
      <c r="N75" s="8"/>
      <c r="O75" s="5" t="str">
        <f t="shared" si="243"/>
        <v>NO APLICA</v>
      </c>
      <c r="P75" s="6"/>
      <c r="Q75" s="6"/>
      <c r="R75" s="4"/>
      <c r="S75" s="8"/>
      <c r="T75" s="5" t="str">
        <f t="shared" si="353"/>
        <v>NO APLICA</v>
      </c>
      <c r="U75" s="5"/>
      <c r="V75" s="2" t="s">
        <v>277</v>
      </c>
      <c r="W75" s="4">
        <v>44786</v>
      </c>
      <c r="X75" s="4">
        <f t="shared" si="244"/>
        <v>46612</v>
      </c>
      <c r="Y75" s="8">
        <f t="shared" ca="1" si="245"/>
        <v>467</v>
      </c>
      <c r="Z75" s="5" t="str">
        <f t="shared" ca="1" si="246"/>
        <v>VIGENTE</v>
      </c>
      <c r="AA75" s="5"/>
      <c r="AB75" s="2" t="s">
        <v>278</v>
      </c>
      <c r="AC75" s="4">
        <v>45499</v>
      </c>
      <c r="AD75" s="4">
        <f t="shared" si="376"/>
        <v>47325</v>
      </c>
      <c r="AE75" s="8">
        <f t="shared" ca="1" si="377"/>
        <v>1180</v>
      </c>
      <c r="AF75" s="5" t="str">
        <f t="shared" ca="1" si="247"/>
        <v>VIGENTE</v>
      </c>
      <c r="AG75" s="3"/>
      <c r="AH75" s="4">
        <v>45594</v>
      </c>
      <c r="AI75" s="4">
        <f>DATE(YEAR(AH75)+2,MONTH(AH75),DAY(AH75)-1)</f>
        <v>46323</v>
      </c>
      <c r="AJ75" s="8">
        <f t="shared" ca="1" si="248"/>
        <v>178</v>
      </c>
      <c r="AK75" s="5" t="str">
        <f t="shared" ca="1" si="219"/>
        <v>VIGENTE</v>
      </c>
      <c r="AL75" s="3"/>
      <c r="AM75" s="4">
        <v>45926</v>
      </c>
      <c r="AN75" s="4">
        <f>DATE(YEAR(AM75)+2,MONTH(AM75),DAY(AM75))</f>
        <v>46656</v>
      </c>
      <c r="AO75" s="8">
        <f t="shared" ca="1" si="249"/>
        <v>511</v>
      </c>
      <c r="AP75" s="5" t="str">
        <f t="shared" ca="1" si="250"/>
        <v>VIGENTE</v>
      </c>
      <c r="AQ75" s="3"/>
      <c r="AR75" s="4">
        <v>45971</v>
      </c>
      <c r="AS75" s="4">
        <f>DATE(YEAR(AR75)+2,MONTH(AR75),DAY(AR75))</f>
        <v>46701</v>
      </c>
      <c r="AT75" s="8">
        <f t="shared" ca="1" si="251"/>
        <v>556</v>
      </c>
      <c r="AU75" s="5" t="str">
        <f t="shared" ca="1" si="252"/>
        <v>VIGENTE</v>
      </c>
      <c r="AV75" s="3"/>
      <c r="AW75" s="4">
        <v>45972</v>
      </c>
      <c r="AX75" s="4">
        <f>DATE(YEAR(AW75)+2,MONTH(AW75),DAY(AW75))</f>
        <v>46702</v>
      </c>
      <c r="AY75" s="8">
        <f t="shared" ca="1" si="253"/>
        <v>557</v>
      </c>
      <c r="AZ75" s="5" t="str">
        <f t="shared" ca="1" si="254"/>
        <v>VIGENTE</v>
      </c>
      <c r="BA75" s="3"/>
      <c r="BB75" s="4">
        <v>45742</v>
      </c>
      <c r="BC75" s="4">
        <f t="shared" si="362"/>
        <v>46471</v>
      </c>
      <c r="BD75" s="8">
        <f t="shared" ca="1" si="255"/>
        <v>326</v>
      </c>
      <c r="BE75" s="5" t="str">
        <f t="shared" ca="1" si="256"/>
        <v>VIGENTE</v>
      </c>
      <c r="BF75" s="3"/>
      <c r="BG75" s="4">
        <v>45987</v>
      </c>
      <c r="BH75" s="4">
        <f>DATE(YEAR(BG75)+2,MONTH(BG75),DAY(BG75))</f>
        <v>46717</v>
      </c>
      <c r="BI75" s="8">
        <f t="shared" ca="1" si="257"/>
        <v>572</v>
      </c>
      <c r="BJ75" s="5" t="str">
        <f t="shared" ca="1" si="258"/>
        <v>VIGENTE</v>
      </c>
      <c r="BK75" s="3"/>
      <c r="BL75" s="4">
        <v>46035</v>
      </c>
      <c r="BM75" s="4">
        <f>DATE(YEAR(BL75)+2,MONTH(BL75),DAY(BL75))</f>
        <v>46765</v>
      </c>
      <c r="BN75" s="8">
        <f t="shared" ca="1" si="259"/>
        <v>620</v>
      </c>
      <c r="BO75" s="5" t="str">
        <f t="shared" ca="1" si="260"/>
        <v>VIGENTE</v>
      </c>
      <c r="BP75" s="3"/>
      <c r="BQ75" s="39">
        <v>46069</v>
      </c>
      <c r="BR75" s="4">
        <f>DATE(YEAR(BQ75)+2,MONTH(BQ75),DAY(BQ75))</f>
        <v>46799</v>
      </c>
      <c r="BS75" s="8">
        <f t="shared" ca="1" si="261"/>
        <v>654</v>
      </c>
      <c r="BT75" s="5" t="str">
        <f t="shared" ca="1" si="262"/>
        <v>VIGENTE</v>
      </c>
      <c r="BU75" s="3"/>
      <c r="BV75" s="4">
        <v>46116</v>
      </c>
      <c r="BW75" s="4">
        <f>DATE(YEAR(BV75)+2,MONTH(BV75),DAY(BV75)-1)</f>
        <v>46846</v>
      </c>
      <c r="BX75" s="8">
        <f t="shared" ca="1" si="263"/>
        <v>701</v>
      </c>
      <c r="BY75" s="5" t="str">
        <f t="shared" ca="1" si="264"/>
        <v>VIGENTE</v>
      </c>
      <c r="BZ75" s="3"/>
      <c r="CA75" s="4">
        <v>45974</v>
      </c>
      <c r="CB75" s="4">
        <f>DATE(YEAR(CA75)+2,MONTH(CA75),DAY(CA75))</f>
        <v>46704</v>
      </c>
      <c r="CC75" s="8">
        <f t="shared" ca="1" si="265"/>
        <v>559</v>
      </c>
      <c r="CD75" s="5" t="str">
        <f t="shared" ca="1" si="266"/>
        <v>VIGENTE</v>
      </c>
      <c r="CE75" s="6"/>
      <c r="CF75" s="4">
        <v>45227</v>
      </c>
      <c r="CG75" s="4">
        <f t="shared" si="267"/>
        <v>46688</v>
      </c>
      <c r="CH75" s="8">
        <f t="shared" ca="1" si="268"/>
        <v>543</v>
      </c>
      <c r="CI75" s="5" t="str">
        <f t="shared" ca="1" si="269"/>
        <v>VIGENTE</v>
      </c>
      <c r="CJ75" s="4"/>
      <c r="CK75" s="4">
        <v>45504</v>
      </c>
      <c r="CL75" s="4">
        <f t="shared" si="375"/>
        <v>46233</v>
      </c>
      <c r="CM75" s="8">
        <f t="shared" ca="1" si="270"/>
        <v>88</v>
      </c>
      <c r="CN75" s="5" t="str">
        <f t="shared" ca="1" si="271"/>
        <v>POR VENCER</v>
      </c>
      <c r="CO75" s="4"/>
      <c r="CP75" s="39">
        <v>45726</v>
      </c>
      <c r="CQ75" s="4">
        <f t="shared" si="368"/>
        <v>46455</v>
      </c>
      <c r="CR75" s="8">
        <f t="shared" ca="1" si="272"/>
        <v>310</v>
      </c>
      <c r="CS75" s="5" t="str">
        <f t="shared" ca="1" si="273"/>
        <v>VIGENTE</v>
      </c>
      <c r="CT75" s="3"/>
      <c r="CU75" s="4">
        <v>45639</v>
      </c>
      <c r="CV75" s="4">
        <f t="shared" si="369"/>
        <v>46368</v>
      </c>
      <c r="CW75" s="8">
        <f t="shared" ca="1" si="274"/>
        <v>223</v>
      </c>
      <c r="CX75" s="5" t="str">
        <f t="shared" ca="1" si="275"/>
        <v>VIGENTE</v>
      </c>
      <c r="CY75" s="3"/>
      <c r="CZ75" s="4">
        <v>45665</v>
      </c>
      <c r="DA75" s="4">
        <f t="shared" si="370"/>
        <v>46394</v>
      </c>
      <c r="DB75" s="8">
        <f t="shared" ca="1" si="276"/>
        <v>249</v>
      </c>
      <c r="DC75" s="5" t="str">
        <f t="shared" ca="1" si="277"/>
        <v>VIGENTE</v>
      </c>
      <c r="DD75" s="4"/>
      <c r="DE75" s="39">
        <v>45689</v>
      </c>
      <c r="DF75" s="4">
        <f t="shared" ref="DF75:DF80" si="382">DATE(YEAR(DE75)+2,MONTH(DE75),DAY(DE75)-1)</f>
        <v>46418</v>
      </c>
      <c r="DG75" s="8">
        <f t="shared" ca="1" si="278"/>
        <v>273</v>
      </c>
      <c r="DH75" s="5" t="str">
        <f t="shared" ca="1" si="279"/>
        <v>VIGENTE</v>
      </c>
      <c r="DI75" s="4"/>
      <c r="DJ75" s="39">
        <v>45696</v>
      </c>
      <c r="DK75" s="4">
        <f>DATE(YEAR(DJ75)+2,MONTH(DJ75),DAY(DJ75)-1)</f>
        <v>46425</v>
      </c>
      <c r="DL75" s="8">
        <f t="shared" ca="1" si="280"/>
        <v>280</v>
      </c>
      <c r="DM75" s="5" t="str">
        <f t="shared" ca="1" si="281"/>
        <v>VIGENTE</v>
      </c>
      <c r="DN75" s="3"/>
      <c r="DO75" s="4">
        <v>46046</v>
      </c>
      <c r="DP75" s="4">
        <f>DATE(YEAR(DO75)+2,MONTH(DO75),DAY(DO75))</f>
        <v>46776</v>
      </c>
      <c r="DQ75" s="8">
        <f t="shared" ca="1" si="282"/>
        <v>631</v>
      </c>
      <c r="DR75" s="5" t="str">
        <f t="shared" ca="1" si="283"/>
        <v>VIGENTE</v>
      </c>
      <c r="DS75" s="3"/>
      <c r="DT75" s="4">
        <v>45728</v>
      </c>
      <c r="DU75" s="4">
        <f>DATE(YEAR(DT75)+2,MONTH(DT75),DAY(DT75)-1)</f>
        <v>46457</v>
      </c>
      <c r="DV75" s="8">
        <f t="shared" ca="1" si="284"/>
        <v>312</v>
      </c>
      <c r="DW75" s="5" t="str">
        <f t="shared" ca="1" si="285"/>
        <v>VIGENTE</v>
      </c>
      <c r="DX75" s="4"/>
      <c r="DY75" s="4">
        <v>45709</v>
      </c>
      <c r="DZ75" s="4">
        <f t="shared" si="354"/>
        <v>46438</v>
      </c>
      <c r="EA75" s="8">
        <f t="shared" ca="1" si="286"/>
        <v>293</v>
      </c>
      <c r="EB75" s="5" t="str">
        <f t="shared" ca="1" si="287"/>
        <v>VIGENTE</v>
      </c>
      <c r="EC75" s="4"/>
      <c r="ED75" s="39">
        <v>45674</v>
      </c>
      <c r="EE75" s="4">
        <f>DATE(YEAR(ED75)+2,MONTH(ED75),DAY(ED75)-1)</f>
        <v>46403</v>
      </c>
      <c r="EF75" s="8">
        <f t="shared" ca="1" si="288"/>
        <v>258</v>
      </c>
      <c r="EG75" s="5" t="str">
        <f t="shared" ca="1" si="289"/>
        <v>VIGENTE</v>
      </c>
      <c r="EH75" s="3"/>
      <c r="EI75" s="3">
        <v>46085</v>
      </c>
      <c r="EJ75" s="4">
        <f t="shared" si="355"/>
        <v>46450</v>
      </c>
      <c r="EK75" s="8">
        <f t="shared" ca="1" si="290"/>
        <v>305</v>
      </c>
      <c r="EL75" s="5" t="str">
        <f t="shared" ca="1" si="291"/>
        <v>VIGENTE</v>
      </c>
      <c r="EM75" s="4"/>
      <c r="EN75" s="4">
        <v>45671</v>
      </c>
      <c r="EO75" s="4">
        <f t="shared" si="371"/>
        <v>46400</v>
      </c>
      <c r="EP75" s="8">
        <f t="shared" ca="1" si="292"/>
        <v>255</v>
      </c>
      <c r="EQ75" s="5" t="str">
        <f t="shared" ca="1" si="293"/>
        <v>VIGENTE</v>
      </c>
      <c r="ER75" s="4"/>
      <c r="ES75" s="39">
        <v>45755</v>
      </c>
      <c r="ET75" s="4">
        <f t="shared" si="363"/>
        <v>46484</v>
      </c>
      <c r="EU75" s="8">
        <f t="shared" ca="1" si="294"/>
        <v>339</v>
      </c>
      <c r="EV75" s="5" t="str">
        <f t="shared" ca="1" si="295"/>
        <v>VIGENTE</v>
      </c>
      <c r="EW75" s="3"/>
      <c r="EX75" s="4">
        <v>45964</v>
      </c>
      <c r="EY75" s="4">
        <f>DATE(YEAR(EX75)+2,MONTH(EX75),DAY(EX75))</f>
        <v>46694</v>
      </c>
      <c r="EZ75" s="8">
        <f t="shared" ca="1" si="296"/>
        <v>549</v>
      </c>
      <c r="FA75" s="5" t="str">
        <f t="shared" ca="1" si="297"/>
        <v>VIGENTE</v>
      </c>
      <c r="FB75" s="3"/>
      <c r="FC75" s="4">
        <v>45988</v>
      </c>
      <c r="FD75" s="4">
        <f>DATE(YEAR(FC75)+2,MONTH(FC75),DAY(FC75))</f>
        <v>46718</v>
      </c>
      <c r="FE75" s="8">
        <f t="shared" ca="1" si="298"/>
        <v>573</v>
      </c>
      <c r="FF75" s="5" t="str">
        <f t="shared" ca="1" si="299"/>
        <v>VIGENTE</v>
      </c>
      <c r="FG75" s="3"/>
      <c r="FH75" s="4">
        <v>45969</v>
      </c>
      <c r="FI75" s="4">
        <f>DATE(YEAR(FH75)+2,MONTH(FH75),DAY(FH75))</f>
        <v>46699</v>
      </c>
      <c r="FJ75" s="8">
        <f t="shared" ca="1" si="300"/>
        <v>554</v>
      </c>
      <c r="FK75" s="5" t="str">
        <f t="shared" ca="1" si="301"/>
        <v>VIGENTE</v>
      </c>
      <c r="FL75" s="3"/>
      <c r="FM75" s="39">
        <v>45738</v>
      </c>
      <c r="FN75" s="4">
        <f t="shared" si="364"/>
        <v>46467</v>
      </c>
      <c r="FO75" s="8">
        <f t="shared" ca="1" si="302"/>
        <v>322</v>
      </c>
      <c r="FP75" s="5" t="str">
        <f t="shared" ca="1" si="303"/>
        <v>VIGENTE</v>
      </c>
      <c r="FQ75" s="4"/>
      <c r="FR75" s="39">
        <v>45678</v>
      </c>
      <c r="FS75" s="4">
        <f t="shared" si="372"/>
        <v>46407</v>
      </c>
      <c r="FT75" s="8">
        <f t="shared" ca="1" si="304"/>
        <v>262</v>
      </c>
      <c r="FU75" s="5" t="str">
        <f t="shared" ca="1" si="305"/>
        <v>VIGENTE</v>
      </c>
      <c r="FV75" s="3"/>
      <c r="FW75" s="4">
        <v>45993</v>
      </c>
      <c r="FX75" s="4">
        <f>DATE(YEAR(FW75)+2,MONTH(FW75),DAY(FW75))</f>
        <v>46723</v>
      </c>
      <c r="FY75" s="8">
        <f t="shared" ca="1" si="306"/>
        <v>578</v>
      </c>
      <c r="FZ75" s="5" t="str">
        <f t="shared" ca="1" si="307"/>
        <v>VIGENTE</v>
      </c>
      <c r="GA75" s="3"/>
      <c r="GB75" s="4">
        <v>45741</v>
      </c>
      <c r="GC75" s="4">
        <f t="shared" si="365"/>
        <v>46470</v>
      </c>
      <c r="GD75" s="8">
        <f t="shared" ca="1" si="308"/>
        <v>325</v>
      </c>
      <c r="GE75" s="5" t="str">
        <f t="shared" ca="1" si="309"/>
        <v>VIGENTE</v>
      </c>
      <c r="GF75" s="3"/>
      <c r="GG75" s="4">
        <v>45752</v>
      </c>
      <c r="GH75" s="4">
        <f>DATE(YEAR(GG75)+2,MONTH(GG75),DAY(GG75)-1)</f>
        <v>46481</v>
      </c>
      <c r="GI75" s="8">
        <f t="shared" ca="1" si="310"/>
        <v>336</v>
      </c>
      <c r="GJ75" s="5" t="str">
        <f t="shared" ca="1" si="311"/>
        <v>VIGENTE</v>
      </c>
      <c r="GK75" s="3"/>
      <c r="GL75" s="4">
        <v>45848</v>
      </c>
      <c r="GM75" s="4">
        <f>DATE(YEAR(GL75)+2,MONTH(GL75),DAY(GL75))</f>
        <v>46578</v>
      </c>
      <c r="GN75" s="8">
        <f t="shared" ca="1" si="312"/>
        <v>433</v>
      </c>
      <c r="GO75" s="5" t="str">
        <f t="shared" ca="1" si="313"/>
        <v>VIGENTE</v>
      </c>
      <c r="GP75" s="4"/>
      <c r="GQ75" s="4">
        <v>45164</v>
      </c>
      <c r="GR75" s="4">
        <f t="shared" si="314"/>
        <v>46991</v>
      </c>
      <c r="GS75" s="8">
        <f t="shared" ca="1" si="176"/>
        <v>846</v>
      </c>
      <c r="GT75" s="5" t="str">
        <f t="shared" ca="1" si="378"/>
        <v>VIGENTE</v>
      </c>
      <c r="GU75" s="3"/>
      <c r="GV75" s="4">
        <v>45200</v>
      </c>
      <c r="GW75" s="4">
        <f t="shared" si="316"/>
        <v>47027</v>
      </c>
      <c r="GX75" s="8">
        <f t="shared" ca="1" si="317"/>
        <v>882</v>
      </c>
      <c r="GY75" s="5" t="str">
        <f t="shared" ca="1" si="379"/>
        <v>VIGENTE</v>
      </c>
      <c r="GZ75" s="3"/>
      <c r="HA75" s="4">
        <v>45163</v>
      </c>
      <c r="HB75" s="4">
        <f t="shared" si="319"/>
        <v>46990</v>
      </c>
      <c r="HC75" s="8">
        <f t="shared" ca="1" si="320"/>
        <v>845</v>
      </c>
      <c r="HD75" s="5" t="str">
        <f t="shared" ca="1" si="380"/>
        <v>VIGENTE</v>
      </c>
      <c r="HE75" s="6"/>
      <c r="HF75" s="4">
        <v>44865</v>
      </c>
      <c r="HG75" s="4">
        <f t="shared" si="373"/>
        <v>46691</v>
      </c>
      <c r="HH75" s="8">
        <f t="shared" ca="1" si="374"/>
        <v>546</v>
      </c>
      <c r="HI75" s="5" t="str">
        <f t="shared" ca="1" si="381"/>
        <v>VIGENTE</v>
      </c>
      <c r="HJ75" s="3"/>
      <c r="HK75" s="4">
        <v>45368</v>
      </c>
      <c r="HL75" s="4">
        <f>DATE(YEAR(HK75)+5,MONTH(HK75),DAY(HK75))</f>
        <v>47194</v>
      </c>
      <c r="HM75" s="8">
        <f ca="1">HL75-TODAY()</f>
        <v>1049</v>
      </c>
      <c r="HN75" s="5" t="str">
        <f t="shared" ca="1" si="228"/>
        <v>VIGENTE</v>
      </c>
      <c r="HO75" s="2"/>
      <c r="HP75" s="3">
        <v>45386</v>
      </c>
      <c r="HQ75" s="4">
        <f>DATE(YEAR(HP75)+5,MONTH(HP75),DAY(HP75))</f>
        <v>47212</v>
      </c>
      <c r="HR75" s="8">
        <f ca="1">HQ75-TODAY()</f>
        <v>1067</v>
      </c>
      <c r="HS75" s="5" t="str">
        <f t="shared" ca="1" si="322"/>
        <v>VIGENTE</v>
      </c>
      <c r="HT75" s="3"/>
      <c r="HU75" s="4">
        <v>45243</v>
      </c>
      <c r="HV75" s="4">
        <f>DATE(YEAR(HU75)+5,MONTH(HU75),DAY(HU75))</f>
        <v>47070</v>
      </c>
      <c r="HW75" s="8">
        <f ca="1">HV75-TODAY()</f>
        <v>925</v>
      </c>
      <c r="HX75" s="5" t="str">
        <f t="shared" ca="1" si="323"/>
        <v>VIGENTE</v>
      </c>
      <c r="HY75" s="3"/>
      <c r="HZ75" s="4">
        <v>45241</v>
      </c>
      <c r="IA75" s="4">
        <f>DATE(YEAR(HZ75)+5,MONTH(HZ75),DAY(HZ75))</f>
        <v>47068</v>
      </c>
      <c r="IB75" s="8">
        <f ca="1">IA75-TODAY()</f>
        <v>923</v>
      </c>
      <c r="IC75" s="5" t="str">
        <f t="shared" ca="1" si="324"/>
        <v>VIGENTE</v>
      </c>
      <c r="ID75" s="3"/>
      <c r="IE75" s="4">
        <v>45192</v>
      </c>
      <c r="IF75" s="4">
        <f>DATE(YEAR(IE75)+5,MONTH(IE75),DAY(IE75))</f>
        <v>47019</v>
      </c>
      <c r="IG75" s="8">
        <f ca="1">IF75-TODAY()</f>
        <v>874</v>
      </c>
      <c r="IH75" s="5" t="str">
        <f t="shared" ca="1" si="325"/>
        <v>VIGENTE</v>
      </c>
      <c r="II75" s="4"/>
      <c r="IJ75" s="4">
        <v>45238</v>
      </c>
      <c r="IK75" s="4">
        <f>DATE(YEAR(IJ75)+5,MONTH(IJ75),DAY(IJ75))</f>
        <v>47065</v>
      </c>
      <c r="IL75" s="8">
        <f ca="1">IK75-TODAY()</f>
        <v>920</v>
      </c>
      <c r="IM75" s="5" t="str">
        <f t="shared" ca="1" si="326"/>
        <v>VIGENTE</v>
      </c>
      <c r="IN75" s="3"/>
      <c r="IO75" s="4">
        <v>45239</v>
      </c>
      <c r="IP75" s="4">
        <f>DATE(YEAR(IO75)+5,MONTH(IO75),DAY(IO75))</f>
        <v>47066</v>
      </c>
      <c r="IQ75" s="8">
        <f ca="1">IP75-TODAY()</f>
        <v>921</v>
      </c>
      <c r="IR75" s="5" t="str">
        <f t="shared" ca="1" si="327"/>
        <v>VIGENTE</v>
      </c>
      <c r="IS75" s="3"/>
      <c r="IT75" s="4">
        <v>45240</v>
      </c>
      <c r="IU75" s="4">
        <f>DATE(YEAR(IT75)+5,MONTH(IT75),DAY(IT75))</f>
        <v>47067</v>
      </c>
      <c r="IV75" s="8">
        <f ca="1">IU75-TODAY()</f>
        <v>922</v>
      </c>
      <c r="IW75" s="5" t="str">
        <f t="shared" ca="1" si="328"/>
        <v>VIGENTE</v>
      </c>
      <c r="IX75" s="3"/>
      <c r="IY75" s="4">
        <v>45251</v>
      </c>
      <c r="IZ75" s="4">
        <f>DATE(YEAR(IY75)+5,MONTH(IY75),DAY(IY75))</f>
        <v>47078</v>
      </c>
      <c r="JA75" s="8">
        <f ca="1">IZ75-TODAY()</f>
        <v>933</v>
      </c>
      <c r="JB75" s="5" t="str">
        <f t="shared" ca="1" si="329"/>
        <v>VIGENTE</v>
      </c>
      <c r="JC75" s="3" t="s">
        <v>780</v>
      </c>
      <c r="JD75" s="3"/>
      <c r="JE75" s="4"/>
      <c r="JF75" s="8"/>
      <c r="JG75" s="5"/>
      <c r="JH75" s="3" t="s">
        <v>780</v>
      </c>
      <c r="JI75" s="6"/>
      <c r="JJ75" s="6"/>
      <c r="JK75" s="6"/>
      <c r="JL75" s="5"/>
      <c r="JM75" s="6" t="s">
        <v>780</v>
      </c>
      <c r="JN75" s="6"/>
      <c r="JO75" s="6"/>
      <c r="JP75" s="6"/>
      <c r="JQ75" s="5"/>
      <c r="JR75" s="6" t="s">
        <v>780</v>
      </c>
      <c r="JS75" s="6"/>
      <c r="JT75" s="6"/>
      <c r="JU75" s="6"/>
      <c r="JV75" s="5"/>
      <c r="JW75" s="6" t="s">
        <v>780</v>
      </c>
      <c r="JX75" s="5"/>
      <c r="JY75" s="5"/>
      <c r="JZ75" s="5"/>
      <c r="KA75" s="5"/>
      <c r="KB75" s="5"/>
      <c r="KC75" s="2"/>
      <c r="KD75" s="4"/>
      <c r="KE75" s="8"/>
      <c r="KF75" s="5" t="str">
        <f t="shared" si="330"/>
        <v>NO APLICA</v>
      </c>
      <c r="KG75" s="5"/>
      <c r="KH75" s="2"/>
      <c r="KI75" s="4"/>
      <c r="KJ75" s="8"/>
      <c r="KK75" s="5" t="str">
        <f t="shared" si="356"/>
        <v>NO APLICA</v>
      </c>
      <c r="KL75" s="5"/>
      <c r="KM75" s="2"/>
      <c r="KN75" s="4"/>
      <c r="KO75" s="8"/>
      <c r="KP75" s="5" t="str">
        <f t="shared" si="331"/>
        <v>NO APLICA</v>
      </c>
      <c r="KQ75" s="5"/>
      <c r="KR75" s="2"/>
      <c r="KS75" s="4"/>
      <c r="KT75" s="8"/>
      <c r="KU75" s="5" t="str">
        <f t="shared" si="357"/>
        <v>NO APLICA</v>
      </c>
      <c r="KV75" s="3"/>
      <c r="KW75" s="4">
        <v>44651</v>
      </c>
      <c r="KX75" s="4">
        <f>DATE(YEAR(KW75)+5,MONTH(KW75),DAY(KW75))</f>
        <v>46477</v>
      </c>
      <c r="KY75" s="8">
        <f ca="1">KX75-TODAY()</f>
        <v>332</v>
      </c>
      <c r="KZ75" s="5" t="str">
        <f t="shared" ca="1" si="366"/>
        <v>VIGENTE</v>
      </c>
      <c r="LA75" s="5"/>
      <c r="LB75" s="4">
        <v>44603</v>
      </c>
      <c r="LC75" s="4">
        <f>DATE(YEAR(LB75)+5,MONTH(LB75),DAY(LB75))</f>
        <v>46429</v>
      </c>
      <c r="LD75" s="8">
        <f ca="1">LC75-TODAY()</f>
        <v>284</v>
      </c>
      <c r="LE75" s="5" t="str">
        <f t="shared" ca="1" si="358"/>
        <v>VIGENTE</v>
      </c>
      <c r="LF75" s="6"/>
      <c r="LG75" s="4">
        <v>45611</v>
      </c>
      <c r="LH75" s="4">
        <f>DATE(YEAR(LG75)+2,MONTH(LG75),DAY(LG75))</f>
        <v>46341</v>
      </c>
      <c r="LI75" s="8">
        <f ca="1">LH75-TODAY()</f>
        <v>196</v>
      </c>
      <c r="LJ75" s="5" t="str">
        <f t="shared" ca="1" si="332"/>
        <v>VIGENTE</v>
      </c>
      <c r="LK75" s="5"/>
      <c r="LL75" s="5"/>
      <c r="LM75" s="4"/>
      <c r="LN75" s="8"/>
      <c r="LO75" s="5" t="str">
        <f t="shared" si="367"/>
        <v>NO APLICA</v>
      </c>
      <c r="LP75" s="2"/>
      <c r="LQ75" s="6"/>
      <c r="LR75" s="4"/>
      <c r="LS75" s="8"/>
      <c r="LT75" s="5" t="str">
        <f t="shared" si="359"/>
        <v>NO APLICA</v>
      </c>
      <c r="LU75" s="4"/>
      <c r="LV75" s="4">
        <v>44986</v>
      </c>
      <c r="LW75" s="4">
        <f>DATE(YEAR(LV75)+5,MONTH(LV75),DAY(LV75))</f>
        <v>46813</v>
      </c>
      <c r="LX75" s="8">
        <f ca="1">LW75-TODAY()</f>
        <v>668</v>
      </c>
      <c r="LY75" s="5" t="str">
        <f t="shared" ca="1" si="360"/>
        <v>VIGENTE</v>
      </c>
      <c r="LZ75" s="4"/>
      <c r="MA75" s="4">
        <v>44988</v>
      </c>
      <c r="MB75" s="4">
        <f>DATE(YEAR(MA75)+5,MONTH(MA75),DAY(MA75))</f>
        <v>46815</v>
      </c>
      <c r="MC75" s="8">
        <f ca="1">MB75-TODAY()</f>
        <v>670</v>
      </c>
      <c r="MD75" s="5" t="str">
        <f t="shared" ca="1" si="361"/>
        <v>VIGENTE</v>
      </c>
      <c r="ME75" s="2"/>
      <c r="MF75" s="2"/>
      <c r="MG75" s="4"/>
      <c r="MH75" s="8"/>
      <c r="MI75" s="5" t="str">
        <f t="shared" si="333"/>
        <v>NO APLICA</v>
      </c>
      <c r="MJ75" s="2"/>
      <c r="MK75" s="2"/>
      <c r="ML75" s="4"/>
      <c r="MM75" s="8"/>
      <c r="MN75" s="5" t="str">
        <f t="shared" si="334"/>
        <v>NO APLICA</v>
      </c>
      <c r="MO75" s="5"/>
      <c r="MP75" s="2"/>
      <c r="MQ75" s="4"/>
      <c r="MR75" s="8"/>
      <c r="MS75" s="5" t="str">
        <f t="shared" si="335"/>
        <v>NO APLICA</v>
      </c>
      <c r="MT75" s="5"/>
      <c r="MU75" s="2"/>
      <c r="MV75" s="4"/>
      <c r="MW75" s="2"/>
      <c r="MX75" s="5" t="str">
        <f t="shared" si="336"/>
        <v>NO APLICA</v>
      </c>
      <c r="MY75" s="2"/>
      <c r="MZ75" s="4">
        <v>44834</v>
      </c>
      <c r="NA75" s="4">
        <f>DATE(YEAR(MZ75)+5,MONTH(MZ75),DAY(MZ75))</f>
        <v>46660</v>
      </c>
      <c r="NB75" s="8">
        <f ca="1">NA75-TODAY()</f>
        <v>515</v>
      </c>
      <c r="NC75" s="5" t="str">
        <f t="shared" ca="1" si="337"/>
        <v>VIGENTE</v>
      </c>
      <c r="ND75" s="2"/>
      <c r="NE75" s="4">
        <v>44835</v>
      </c>
      <c r="NF75" s="4">
        <f>DATE(YEAR(NE75)+5,MONTH(NE75),DAY(NE75))</f>
        <v>46661</v>
      </c>
      <c r="NG75" s="8">
        <f ca="1">NF75-TODAY()</f>
        <v>516</v>
      </c>
      <c r="NH75" s="5" t="str">
        <f t="shared" ca="1" si="338"/>
        <v>VIGENTE</v>
      </c>
      <c r="NI75" s="2"/>
      <c r="NJ75" s="4">
        <v>44751</v>
      </c>
      <c r="NK75" s="4">
        <f>DATE(YEAR(NJ75)+5,MONTH(NJ75),DAY(NJ75))</f>
        <v>46577</v>
      </c>
      <c r="NL75" s="8">
        <f ca="1">NK75-TODAY()</f>
        <v>432</v>
      </c>
      <c r="NM75" s="5" t="str">
        <f t="shared" ca="1" si="339"/>
        <v>VIGENTE</v>
      </c>
      <c r="NN75" s="2"/>
      <c r="NO75" s="2"/>
      <c r="NP75" s="4"/>
      <c r="NQ75" s="8"/>
      <c r="NR75" s="5" t="str">
        <f t="shared" si="340"/>
        <v>NO APLICA</v>
      </c>
      <c r="NS75" s="2"/>
      <c r="NT75" s="2"/>
      <c r="NU75" s="4"/>
      <c r="NV75" s="2"/>
      <c r="NW75" s="5" t="str">
        <f t="shared" si="341"/>
        <v>NO APLICA</v>
      </c>
      <c r="NX75" s="6"/>
      <c r="NY75" s="6"/>
      <c r="NZ75" s="4"/>
      <c r="OA75" s="8"/>
      <c r="OB75" s="5" t="str">
        <f t="shared" si="342"/>
        <v>NO APLICA</v>
      </c>
      <c r="OC75" s="6"/>
      <c r="OD75" s="6"/>
      <c r="OE75" s="6"/>
      <c r="OF75" s="6"/>
      <c r="OG75" s="5" t="str">
        <f t="shared" si="343"/>
        <v>NO APLICA</v>
      </c>
      <c r="OH75" s="2"/>
      <c r="OI75" s="2"/>
      <c r="OJ75" s="4"/>
      <c r="OK75" s="8"/>
      <c r="OL75" s="5" t="str">
        <f t="shared" si="344"/>
        <v>NO APLICA</v>
      </c>
      <c r="OM75" s="6"/>
      <c r="ON75" s="6"/>
      <c r="OO75" s="6"/>
      <c r="OP75" s="6"/>
      <c r="OQ75" s="5" t="str">
        <f t="shared" si="345"/>
        <v>NO APLICA</v>
      </c>
      <c r="OR75" s="6"/>
      <c r="OS75" s="6"/>
      <c r="OT75" s="6"/>
      <c r="OU75" s="6"/>
      <c r="OV75" s="5" t="str">
        <f t="shared" si="346"/>
        <v>NO APLICA</v>
      </c>
      <c r="OW75" s="6"/>
      <c r="OX75" s="6"/>
      <c r="OY75" s="6"/>
      <c r="OZ75" s="6"/>
      <c r="PA75" s="5" t="str">
        <f t="shared" si="347"/>
        <v>NO APLICA</v>
      </c>
      <c r="PB75" s="6"/>
      <c r="PC75" s="6"/>
      <c r="PD75" s="6"/>
      <c r="PE75" s="6"/>
      <c r="PF75" s="5" t="str">
        <f t="shared" si="348"/>
        <v>NO APLICA</v>
      </c>
      <c r="PG75" s="6"/>
      <c r="PH75" s="6"/>
      <c r="PI75" s="6"/>
      <c r="PJ75" s="6"/>
      <c r="PK75" s="5" t="str">
        <f t="shared" si="349"/>
        <v>NO APLICA</v>
      </c>
      <c r="PL75" s="5"/>
      <c r="PM75" s="6"/>
      <c r="PN75" s="4"/>
      <c r="PO75" s="8"/>
      <c r="PP75" s="5" t="str">
        <f t="shared" si="350"/>
        <v>NO APLICA</v>
      </c>
      <c r="PQ75" s="6"/>
      <c r="PR75" s="6"/>
      <c r="PS75" s="6"/>
      <c r="PT75" s="6"/>
      <c r="PU75" s="5" t="str">
        <f t="shared" si="351"/>
        <v>NO APLICA</v>
      </c>
      <c r="PV75" s="5"/>
      <c r="PW75" s="6"/>
      <c r="PX75" s="6"/>
      <c r="PY75" s="6"/>
      <c r="PZ75" s="5" t="str">
        <f t="shared" si="352"/>
        <v>NO APLICA</v>
      </c>
    </row>
    <row r="76" spans="1:442" ht="15.6" hidden="1" thickTop="1" thickBot="1" x14ac:dyDescent="0.35">
      <c r="A76" s="26">
        <v>73</v>
      </c>
      <c r="B76" s="27">
        <v>899</v>
      </c>
      <c r="C76" s="28" t="s">
        <v>279</v>
      </c>
      <c r="D76" s="29" t="s">
        <v>68</v>
      </c>
      <c r="E76" s="30" t="s">
        <v>164</v>
      </c>
      <c r="F76" s="5"/>
      <c r="G76" s="6"/>
      <c r="H76" s="4"/>
      <c r="I76" s="8"/>
      <c r="J76" s="5" t="str">
        <f t="shared" si="242"/>
        <v>NO APLICA</v>
      </c>
      <c r="K76" s="2"/>
      <c r="L76" s="6"/>
      <c r="M76" s="6"/>
      <c r="N76" s="8"/>
      <c r="O76" s="5" t="str">
        <f t="shared" si="243"/>
        <v>NO APLICA</v>
      </c>
      <c r="P76" s="6"/>
      <c r="Q76" s="6"/>
      <c r="R76" s="4"/>
      <c r="S76" s="8"/>
      <c r="T76" s="5" t="str">
        <f t="shared" si="353"/>
        <v>NO APLICA</v>
      </c>
      <c r="U76" s="5"/>
      <c r="V76" s="2" t="s">
        <v>280</v>
      </c>
      <c r="W76" s="4">
        <v>44801</v>
      </c>
      <c r="X76" s="4">
        <f t="shared" si="244"/>
        <v>46627</v>
      </c>
      <c r="Y76" s="8">
        <f t="shared" ca="1" si="245"/>
        <v>482</v>
      </c>
      <c r="Z76" s="5" t="str">
        <f t="shared" ca="1" si="246"/>
        <v>VIGENTE</v>
      </c>
      <c r="AA76" s="5"/>
      <c r="AB76" s="2" t="s">
        <v>281</v>
      </c>
      <c r="AC76" s="4">
        <v>44831</v>
      </c>
      <c r="AD76" s="4">
        <f t="shared" si="376"/>
        <v>46657</v>
      </c>
      <c r="AE76" s="8">
        <f t="shared" ca="1" si="377"/>
        <v>512</v>
      </c>
      <c r="AF76" s="5" t="str">
        <f t="shared" ca="1" si="247"/>
        <v>VIGENTE</v>
      </c>
      <c r="AG76" s="3"/>
      <c r="AH76" s="4">
        <v>46006</v>
      </c>
      <c r="AI76" s="4">
        <f>DATE(YEAR(AH76)+2,MONTH(AH76),DAY(AH76))</f>
        <v>46736</v>
      </c>
      <c r="AJ76" s="8">
        <f t="shared" ca="1" si="248"/>
        <v>591</v>
      </c>
      <c r="AK76" s="5" t="str">
        <f t="shared" ca="1" si="219"/>
        <v>VIGENTE</v>
      </c>
      <c r="AL76" s="3"/>
      <c r="AM76" s="4">
        <v>45937</v>
      </c>
      <c r="AN76" s="4">
        <f>DATE(YEAR(AM76)+2,MONTH(AM76),DAY(AM76))</f>
        <v>46667</v>
      </c>
      <c r="AO76" s="8">
        <f t="shared" ca="1" si="249"/>
        <v>522</v>
      </c>
      <c r="AP76" s="5" t="str">
        <f t="shared" ca="1" si="250"/>
        <v>VIGENTE</v>
      </c>
      <c r="AQ76" s="3"/>
      <c r="AR76" s="4">
        <v>45967</v>
      </c>
      <c r="AS76" s="4">
        <f>DATE(YEAR(AR76)+2,MONTH(AR76),DAY(AR76))</f>
        <v>46697</v>
      </c>
      <c r="AT76" s="8">
        <f t="shared" ca="1" si="251"/>
        <v>552</v>
      </c>
      <c r="AU76" s="5" t="str">
        <f t="shared" ca="1" si="252"/>
        <v>VIGENTE</v>
      </c>
      <c r="AV76" s="3"/>
      <c r="AW76" s="4">
        <v>45952</v>
      </c>
      <c r="AX76" s="4">
        <f>DATE(YEAR(AW76)+2,MONTH(AW76),DAY(AW76))</f>
        <v>46682</v>
      </c>
      <c r="AY76" s="8">
        <f t="shared" ca="1" si="253"/>
        <v>537</v>
      </c>
      <c r="AZ76" s="5" t="str">
        <f t="shared" ca="1" si="254"/>
        <v>VIGENTE</v>
      </c>
      <c r="BA76" s="3"/>
      <c r="BB76" s="4">
        <v>46071</v>
      </c>
      <c r="BC76" s="4">
        <f>DATE(YEAR(BB76)+2,MONTH(BB76),DAY(BB76))</f>
        <v>46801</v>
      </c>
      <c r="BD76" s="8">
        <f t="shared" ca="1" si="255"/>
        <v>656</v>
      </c>
      <c r="BE76" s="5" t="str">
        <f t="shared" ca="1" si="256"/>
        <v>VIGENTE</v>
      </c>
      <c r="BF76" s="3"/>
      <c r="BG76" s="4">
        <v>45987</v>
      </c>
      <c r="BH76" s="4">
        <f>DATE(YEAR(BG76)+2,MONTH(BG76),DAY(BG76))</f>
        <v>46717</v>
      </c>
      <c r="BI76" s="8">
        <f t="shared" ca="1" si="257"/>
        <v>572</v>
      </c>
      <c r="BJ76" s="5" t="str">
        <f t="shared" ca="1" si="258"/>
        <v>VIGENTE</v>
      </c>
      <c r="BK76" s="3"/>
      <c r="BL76" s="4">
        <v>46051</v>
      </c>
      <c r="BM76" s="4">
        <f>DATE(YEAR(BL76)+2,MONTH(BL76),DAY(BL76))</f>
        <v>46781</v>
      </c>
      <c r="BN76" s="8">
        <f t="shared" ca="1" si="259"/>
        <v>636</v>
      </c>
      <c r="BO76" s="5" t="str">
        <f t="shared" ca="1" si="260"/>
        <v>VIGENTE</v>
      </c>
      <c r="BP76" s="3"/>
      <c r="BQ76" s="39">
        <v>46120</v>
      </c>
      <c r="BR76" s="4">
        <f>DATE(YEAR(BQ76)+2,MONTH(BQ76),DAY(BQ76)-1)</f>
        <v>46850</v>
      </c>
      <c r="BS76" s="8">
        <f t="shared" ca="1" si="261"/>
        <v>705</v>
      </c>
      <c r="BT76" s="5" t="str">
        <f t="shared" ca="1" si="262"/>
        <v>VIGENTE</v>
      </c>
      <c r="BU76" s="3"/>
      <c r="BV76" s="4">
        <v>46116</v>
      </c>
      <c r="BW76" s="4">
        <f>DATE(YEAR(BV76)+2,MONTH(BV76),DAY(BV76)-1)</f>
        <v>46846</v>
      </c>
      <c r="BX76" s="8">
        <f t="shared" ca="1" si="263"/>
        <v>701</v>
      </c>
      <c r="BY76" s="5" t="str">
        <f t="shared" ca="1" si="264"/>
        <v>VIGENTE</v>
      </c>
      <c r="BZ76" s="3"/>
      <c r="CA76" s="4">
        <v>45954</v>
      </c>
      <c r="CB76" s="4">
        <f>DATE(YEAR(CA76)+2,MONTH(CA76),DAY(CA76))</f>
        <v>46684</v>
      </c>
      <c r="CC76" s="8">
        <f t="shared" ca="1" si="265"/>
        <v>539</v>
      </c>
      <c r="CD76" s="5" t="str">
        <f t="shared" ca="1" si="266"/>
        <v>VIGENTE</v>
      </c>
      <c r="CE76" s="6"/>
      <c r="CF76" s="4">
        <v>45262</v>
      </c>
      <c r="CG76" s="4">
        <f t="shared" si="267"/>
        <v>46723</v>
      </c>
      <c r="CH76" s="8">
        <f t="shared" ca="1" si="268"/>
        <v>578</v>
      </c>
      <c r="CI76" s="5" t="str">
        <f t="shared" ca="1" si="269"/>
        <v>VIGENTE</v>
      </c>
      <c r="CJ76" s="4"/>
      <c r="CK76" s="4">
        <v>45504</v>
      </c>
      <c r="CL76" s="4">
        <f t="shared" si="375"/>
        <v>46233</v>
      </c>
      <c r="CM76" s="8">
        <f t="shared" ca="1" si="270"/>
        <v>88</v>
      </c>
      <c r="CN76" s="5" t="str">
        <f t="shared" ca="1" si="271"/>
        <v>POR VENCER</v>
      </c>
      <c r="CO76" s="3"/>
      <c r="CP76" s="39">
        <v>45517</v>
      </c>
      <c r="CQ76" s="4">
        <f t="shared" si="368"/>
        <v>46246</v>
      </c>
      <c r="CR76" s="8">
        <f t="shared" ca="1" si="272"/>
        <v>101</v>
      </c>
      <c r="CS76" s="5" t="str">
        <f t="shared" ca="1" si="273"/>
        <v>VIGENTE</v>
      </c>
      <c r="CT76" s="3"/>
      <c r="CU76" s="4">
        <v>45631</v>
      </c>
      <c r="CV76" s="4">
        <f t="shared" si="369"/>
        <v>46360</v>
      </c>
      <c r="CW76" s="8">
        <f t="shared" ca="1" si="274"/>
        <v>215</v>
      </c>
      <c r="CX76" s="5" t="str">
        <f t="shared" ca="1" si="275"/>
        <v>VIGENTE</v>
      </c>
      <c r="CY76" s="3"/>
      <c r="CZ76" s="4">
        <v>45665</v>
      </c>
      <c r="DA76" s="4">
        <f t="shared" si="370"/>
        <v>46394</v>
      </c>
      <c r="DB76" s="8">
        <f t="shared" ca="1" si="276"/>
        <v>249</v>
      </c>
      <c r="DC76" s="5" t="str">
        <f t="shared" ca="1" si="277"/>
        <v>VIGENTE</v>
      </c>
      <c r="DD76" s="3"/>
      <c r="DE76" s="39">
        <v>45689</v>
      </c>
      <c r="DF76" s="4">
        <f t="shared" si="382"/>
        <v>46418</v>
      </c>
      <c r="DG76" s="8">
        <f t="shared" ca="1" si="278"/>
        <v>273</v>
      </c>
      <c r="DH76" s="5" t="str">
        <f t="shared" ca="1" si="279"/>
        <v>VIGENTE</v>
      </c>
      <c r="DI76" s="3"/>
      <c r="DJ76" s="39">
        <v>46029</v>
      </c>
      <c r="DK76" s="4">
        <f>DATE(YEAR(DJ76)+2,MONTH(DJ76),DAY(DJ76))</f>
        <v>46759</v>
      </c>
      <c r="DL76" s="8">
        <f t="shared" ca="1" si="280"/>
        <v>614</v>
      </c>
      <c r="DM76" s="5" t="str">
        <f t="shared" ca="1" si="281"/>
        <v>VIGENTE</v>
      </c>
      <c r="DN76" s="3"/>
      <c r="DO76" s="4">
        <v>46128</v>
      </c>
      <c r="DP76" s="4">
        <f>DATE(YEAR(DO76)+2,MONTH(DO76),DAY(DO76)-1)</f>
        <v>46858</v>
      </c>
      <c r="DQ76" s="8">
        <f t="shared" ca="1" si="282"/>
        <v>713</v>
      </c>
      <c r="DR76" s="5" t="str">
        <f t="shared" ca="1" si="283"/>
        <v>VIGENTE</v>
      </c>
      <c r="DS76" s="3"/>
      <c r="DT76" s="4">
        <v>46053</v>
      </c>
      <c r="DU76" s="4">
        <f>DATE(YEAR(DT76)+2,MONTH(DT76),DAY(DT76))</f>
        <v>46783</v>
      </c>
      <c r="DV76" s="8">
        <f t="shared" ca="1" si="284"/>
        <v>638</v>
      </c>
      <c r="DW76" s="5" t="str">
        <f t="shared" ca="1" si="285"/>
        <v>VIGENTE</v>
      </c>
      <c r="DX76" s="3"/>
      <c r="DY76" s="4">
        <v>45474</v>
      </c>
      <c r="DZ76" s="4">
        <f t="shared" si="354"/>
        <v>46203</v>
      </c>
      <c r="EA76" s="8">
        <f t="shared" ca="1" si="286"/>
        <v>58</v>
      </c>
      <c r="EB76" s="5" t="str">
        <f t="shared" ca="1" si="287"/>
        <v>POR VENCER</v>
      </c>
      <c r="EC76" s="3"/>
      <c r="ED76" s="39">
        <v>46112</v>
      </c>
      <c r="EE76" s="4">
        <f>DATE(YEAR(ED76)+2,MONTH(ED76),DAY(ED76)-1)</f>
        <v>46842</v>
      </c>
      <c r="EF76" s="8">
        <f t="shared" ca="1" si="288"/>
        <v>697</v>
      </c>
      <c r="EG76" s="5" t="str">
        <f t="shared" ca="1" si="289"/>
        <v>VIGENTE</v>
      </c>
      <c r="EH76" s="3"/>
      <c r="EI76" s="3">
        <v>46015</v>
      </c>
      <c r="EJ76" s="4">
        <f t="shared" si="355"/>
        <v>46380</v>
      </c>
      <c r="EK76" s="8">
        <f t="shared" ca="1" si="290"/>
        <v>235</v>
      </c>
      <c r="EL76" s="5" t="str">
        <f t="shared" ca="1" si="291"/>
        <v>VIGENTE</v>
      </c>
      <c r="EM76" s="3"/>
      <c r="EN76" s="4">
        <v>46135</v>
      </c>
      <c r="EO76" s="4">
        <f t="shared" si="371"/>
        <v>46865</v>
      </c>
      <c r="EP76" s="8">
        <f t="shared" ca="1" si="292"/>
        <v>720</v>
      </c>
      <c r="EQ76" s="5" t="str">
        <f t="shared" ca="1" si="293"/>
        <v>VIGENTE</v>
      </c>
      <c r="ER76" s="3"/>
      <c r="ES76" s="39">
        <v>46130</v>
      </c>
      <c r="ET76" s="4">
        <f t="shared" si="363"/>
        <v>46860</v>
      </c>
      <c r="EU76" s="8">
        <f t="shared" ca="1" si="294"/>
        <v>715</v>
      </c>
      <c r="EV76" s="5" t="str">
        <f t="shared" ca="1" si="295"/>
        <v>VIGENTE</v>
      </c>
      <c r="EW76" s="3"/>
      <c r="EX76" s="4">
        <v>45953</v>
      </c>
      <c r="EY76" s="4">
        <f>DATE(YEAR(EX76)+2,MONTH(EX76),DAY(EX76))</f>
        <v>46683</v>
      </c>
      <c r="EZ76" s="8">
        <f t="shared" ca="1" si="296"/>
        <v>538</v>
      </c>
      <c r="FA76" s="5" t="str">
        <f t="shared" ca="1" si="297"/>
        <v>VIGENTE</v>
      </c>
      <c r="FB76" s="3"/>
      <c r="FC76" s="4">
        <v>45951</v>
      </c>
      <c r="FD76" s="4">
        <f>DATE(YEAR(FC76)+2,MONTH(FC76),DAY(FC76))</f>
        <v>46681</v>
      </c>
      <c r="FE76" s="8">
        <f t="shared" ca="1" si="298"/>
        <v>536</v>
      </c>
      <c r="FF76" s="5" t="str">
        <f t="shared" ca="1" si="299"/>
        <v>VIGENTE</v>
      </c>
      <c r="FG76" s="3"/>
      <c r="FH76" s="4">
        <v>45962</v>
      </c>
      <c r="FI76" s="4">
        <f>DATE(YEAR(FH76)+2,MONTH(FH76),DAY(FH76))</f>
        <v>46692</v>
      </c>
      <c r="FJ76" s="8">
        <f t="shared" ca="1" si="300"/>
        <v>547</v>
      </c>
      <c r="FK76" s="5" t="str">
        <f t="shared" ca="1" si="301"/>
        <v>VIGENTE</v>
      </c>
      <c r="FL76" s="3"/>
      <c r="FM76" s="39">
        <v>45686</v>
      </c>
      <c r="FN76" s="4">
        <f t="shared" si="364"/>
        <v>46415</v>
      </c>
      <c r="FO76" s="8">
        <f t="shared" ca="1" si="302"/>
        <v>270</v>
      </c>
      <c r="FP76" s="5" t="str">
        <f t="shared" ca="1" si="303"/>
        <v>VIGENTE</v>
      </c>
      <c r="FQ76" s="3"/>
      <c r="FR76" s="39">
        <v>46132</v>
      </c>
      <c r="FS76" s="4">
        <f t="shared" si="372"/>
        <v>46862</v>
      </c>
      <c r="FT76" s="8">
        <f t="shared" ca="1" si="304"/>
        <v>717</v>
      </c>
      <c r="FU76" s="5" t="str">
        <f t="shared" ca="1" si="305"/>
        <v>VIGENTE</v>
      </c>
      <c r="FV76" s="4"/>
      <c r="FW76" s="4">
        <v>45587</v>
      </c>
      <c r="FX76" s="4">
        <f t="shared" ref="FX76:FX81" si="383">DATE(YEAR(FW76)+2,MONTH(FW76),DAY(FW76)-1)</f>
        <v>46316</v>
      </c>
      <c r="FY76" s="8">
        <f t="shared" ca="1" si="306"/>
        <v>171</v>
      </c>
      <c r="FZ76" s="5" t="str">
        <f t="shared" ca="1" si="307"/>
        <v>VIGENTE</v>
      </c>
      <c r="GA76" s="3"/>
      <c r="GB76" s="4">
        <v>46030</v>
      </c>
      <c r="GC76" s="4">
        <f>DATE(YEAR(GB76)+2,MONTH(GB76),DAY(GB76))</f>
        <v>46760</v>
      </c>
      <c r="GD76" s="8">
        <f t="shared" ca="1" si="308"/>
        <v>615</v>
      </c>
      <c r="GE76" s="5" t="str">
        <f t="shared" ca="1" si="309"/>
        <v>VIGENTE</v>
      </c>
      <c r="GF76" s="3"/>
      <c r="GG76" s="4">
        <v>45472</v>
      </c>
      <c r="GH76" s="4">
        <f>DATE(YEAR(GG76)+2,MONTH(GG76),DAY(GG76)-1)</f>
        <v>46201</v>
      </c>
      <c r="GI76" s="8">
        <f t="shared" ca="1" si="310"/>
        <v>56</v>
      </c>
      <c r="GJ76" s="5" t="str">
        <f t="shared" ca="1" si="311"/>
        <v>POR VENCER</v>
      </c>
      <c r="GK76" s="3"/>
      <c r="GL76" s="4">
        <v>45923</v>
      </c>
      <c r="GM76" s="4">
        <f>DATE(YEAR(GL76)+2,MONTH(GL76),DAY(GL76))</f>
        <v>46653</v>
      </c>
      <c r="GN76" s="8">
        <f t="shared" ca="1" si="312"/>
        <v>508</v>
      </c>
      <c r="GO76" s="5" t="str">
        <f t="shared" ca="1" si="313"/>
        <v>VIGENTE</v>
      </c>
      <c r="GP76" s="4"/>
      <c r="GQ76" s="4">
        <v>45244</v>
      </c>
      <c r="GR76" s="4">
        <f t="shared" si="314"/>
        <v>47071</v>
      </c>
      <c r="GS76" s="8">
        <f t="shared" ca="1" si="176"/>
        <v>926</v>
      </c>
      <c r="GT76" s="5" t="str">
        <f t="shared" ca="1" si="378"/>
        <v>VIGENTE</v>
      </c>
      <c r="GU76" s="3"/>
      <c r="GV76" s="4">
        <v>45245</v>
      </c>
      <c r="GW76" s="4">
        <f t="shared" si="316"/>
        <v>47072</v>
      </c>
      <c r="GX76" s="8">
        <f t="shared" ca="1" si="317"/>
        <v>927</v>
      </c>
      <c r="GY76" s="5" t="str">
        <f t="shared" ca="1" si="379"/>
        <v>VIGENTE</v>
      </c>
      <c r="GZ76" s="3"/>
      <c r="HA76" s="4">
        <v>45251</v>
      </c>
      <c r="HB76" s="4">
        <f t="shared" si="319"/>
        <v>47078</v>
      </c>
      <c r="HC76" s="8">
        <f t="shared" ca="1" si="320"/>
        <v>933</v>
      </c>
      <c r="HD76" s="5" t="str">
        <f t="shared" ca="1" si="380"/>
        <v>VIGENTE</v>
      </c>
      <c r="HE76" s="6"/>
      <c r="HF76" s="4">
        <v>44862</v>
      </c>
      <c r="HG76" s="4">
        <f t="shared" si="373"/>
        <v>46688</v>
      </c>
      <c r="HH76" s="8">
        <f t="shared" ca="1" si="374"/>
        <v>543</v>
      </c>
      <c r="HI76" s="5" t="str">
        <f t="shared" ca="1" si="381"/>
        <v>VIGENTE</v>
      </c>
      <c r="HJ76" s="3"/>
      <c r="HK76" s="4">
        <v>45341</v>
      </c>
      <c r="HL76" s="4">
        <f>DATE(YEAR(HK76)+5,MONTH(HK76),DAY(HK76))</f>
        <v>47168</v>
      </c>
      <c r="HM76" s="8">
        <f ca="1">HL76-TODAY()</f>
        <v>1023</v>
      </c>
      <c r="HN76" s="5" t="str">
        <f t="shared" ca="1" si="228"/>
        <v>VIGENTE</v>
      </c>
      <c r="HO76" s="2"/>
      <c r="HP76" s="3">
        <v>45374</v>
      </c>
      <c r="HQ76" s="4">
        <f>DATE(YEAR(HP76)+5,MONTH(HP76),DAY(HP76))</f>
        <v>47200</v>
      </c>
      <c r="HR76" s="8">
        <f ca="1">HQ76-TODAY()</f>
        <v>1055</v>
      </c>
      <c r="HS76" s="5" t="str">
        <f t="shared" ca="1" si="322"/>
        <v>VIGENTE</v>
      </c>
      <c r="HT76" s="3"/>
      <c r="HU76" s="4">
        <v>45440</v>
      </c>
      <c r="HV76" s="4">
        <f>DATE(YEAR(HU76)+5,MONTH(HU76),DAY(HU76))</f>
        <v>47266</v>
      </c>
      <c r="HW76" s="8">
        <f ca="1">HV76-TODAY()</f>
        <v>1121</v>
      </c>
      <c r="HX76" s="5" t="str">
        <f t="shared" ca="1" si="323"/>
        <v>VIGENTE</v>
      </c>
      <c r="HY76" s="3"/>
      <c r="HZ76" s="4">
        <v>45475</v>
      </c>
      <c r="IA76" s="4">
        <f>DATE(YEAR(HZ76)+5,MONTH(HZ76),DAY(HZ76))</f>
        <v>47301</v>
      </c>
      <c r="IB76" s="8">
        <f ca="1">IA76-TODAY()</f>
        <v>1156</v>
      </c>
      <c r="IC76" s="5" t="str">
        <f t="shared" ca="1" si="324"/>
        <v>VIGENTE</v>
      </c>
      <c r="ID76" s="3"/>
      <c r="IE76" s="4">
        <v>45444</v>
      </c>
      <c r="IF76" s="4">
        <f>DATE(YEAR(IE76)+5,MONTH(IE76),DAY(IE76))</f>
        <v>47270</v>
      </c>
      <c r="IG76" s="8">
        <f ca="1">IF76-TODAY()</f>
        <v>1125</v>
      </c>
      <c r="IH76" s="5" t="str">
        <f t="shared" ca="1" si="325"/>
        <v>VIGENTE</v>
      </c>
      <c r="II76" s="4"/>
      <c r="IJ76" s="4">
        <v>45476</v>
      </c>
      <c r="IK76" s="4">
        <f>DATE(YEAR(IJ76)+5,MONTH(IJ76),DAY(IJ76))</f>
        <v>47302</v>
      </c>
      <c r="IL76" s="8">
        <f ca="1">IK76-TODAY()</f>
        <v>1157</v>
      </c>
      <c r="IM76" s="5" t="str">
        <f t="shared" ca="1" si="326"/>
        <v>VIGENTE</v>
      </c>
      <c r="IN76" s="3"/>
      <c r="IO76" s="4">
        <v>45490</v>
      </c>
      <c r="IP76" s="4">
        <f>DATE(YEAR(IO76)+5,MONTH(IO76),DAY(IO76))</f>
        <v>47316</v>
      </c>
      <c r="IQ76" s="8">
        <f ca="1">IP76-TODAY()</f>
        <v>1171</v>
      </c>
      <c r="IR76" s="5" t="str">
        <f t="shared" ca="1" si="327"/>
        <v>VIGENTE</v>
      </c>
      <c r="IS76" s="3"/>
      <c r="IT76" s="4">
        <v>45471</v>
      </c>
      <c r="IU76" s="4">
        <f>DATE(YEAR(IT76)+5,MONTH(IT76),DAY(IT76))</f>
        <v>47297</v>
      </c>
      <c r="IV76" s="8">
        <f ca="1">IU76-TODAY()</f>
        <v>1152</v>
      </c>
      <c r="IW76" s="5" t="str">
        <f t="shared" ca="1" si="328"/>
        <v>VIGENTE</v>
      </c>
      <c r="IX76" s="3"/>
      <c r="IY76" s="4">
        <v>45491</v>
      </c>
      <c r="IZ76" s="4">
        <f>DATE(YEAR(IY76)+5,MONTH(IY76),DAY(IY76))</f>
        <v>47317</v>
      </c>
      <c r="JA76" s="8">
        <f ca="1">IZ76-TODAY()</f>
        <v>1172</v>
      </c>
      <c r="JB76" s="5" t="str">
        <f t="shared" ca="1" si="329"/>
        <v>VIGENTE</v>
      </c>
      <c r="JC76" s="3" t="s">
        <v>780</v>
      </c>
      <c r="JD76" s="3"/>
      <c r="JE76" s="4"/>
      <c r="JF76" s="8"/>
      <c r="JG76" s="5"/>
      <c r="JH76" s="3" t="s">
        <v>780</v>
      </c>
      <c r="JI76" s="6"/>
      <c r="JJ76" s="6"/>
      <c r="JK76" s="6"/>
      <c r="JL76" s="5"/>
      <c r="JM76" s="6" t="s">
        <v>780</v>
      </c>
      <c r="JN76" s="6"/>
      <c r="JO76" s="6"/>
      <c r="JP76" s="6"/>
      <c r="JQ76" s="5"/>
      <c r="JR76" s="6" t="s">
        <v>780</v>
      </c>
      <c r="JS76" s="6"/>
      <c r="JT76" s="6"/>
      <c r="JU76" s="6"/>
      <c r="JV76" s="5"/>
      <c r="JW76" s="6" t="s">
        <v>780</v>
      </c>
      <c r="JX76" s="5"/>
      <c r="JY76" s="5"/>
      <c r="JZ76" s="5"/>
      <c r="KA76" s="5"/>
      <c r="KB76" s="5"/>
      <c r="KC76" s="2"/>
      <c r="KD76" s="4"/>
      <c r="KE76" s="8"/>
      <c r="KF76" s="5" t="str">
        <f t="shared" si="330"/>
        <v>NO APLICA</v>
      </c>
      <c r="KG76" s="5"/>
      <c r="KH76" s="2"/>
      <c r="KI76" s="4"/>
      <c r="KJ76" s="8"/>
      <c r="KK76" s="5" t="str">
        <f t="shared" si="356"/>
        <v>NO APLICA</v>
      </c>
      <c r="KL76" s="5"/>
      <c r="KM76" s="2"/>
      <c r="KN76" s="4"/>
      <c r="KO76" s="8"/>
      <c r="KP76" s="5" t="str">
        <f t="shared" si="331"/>
        <v>NO APLICA</v>
      </c>
      <c r="KQ76" s="5"/>
      <c r="KR76" s="3">
        <v>45346</v>
      </c>
      <c r="KS76" s="4">
        <f>DATE(YEAR(KR76)+5,MONTH(KR76),DAY(KR76))</f>
        <v>47173</v>
      </c>
      <c r="KT76" s="8">
        <f ca="1">KS76-TODAY()</f>
        <v>1028</v>
      </c>
      <c r="KU76" s="5" t="str">
        <f t="shared" ca="1" si="357"/>
        <v>VIGENTE</v>
      </c>
      <c r="KV76" s="3"/>
      <c r="KW76" s="4">
        <v>44651</v>
      </c>
      <c r="KX76" s="4">
        <f>DATE(YEAR(KW76)+5,MONTH(KW76),DAY(KW76))</f>
        <v>46477</v>
      </c>
      <c r="KY76" s="8">
        <f ca="1">KX76-TODAY()</f>
        <v>332</v>
      </c>
      <c r="KZ76" s="5" t="str">
        <f t="shared" ca="1" si="366"/>
        <v>VIGENTE</v>
      </c>
      <c r="LA76" s="5"/>
      <c r="LB76" s="6"/>
      <c r="LC76" s="4"/>
      <c r="LD76" s="8"/>
      <c r="LE76" s="5" t="str">
        <f t="shared" si="358"/>
        <v>NO APLICA</v>
      </c>
      <c r="LF76" s="4"/>
      <c r="LG76" s="4"/>
      <c r="LH76" s="4"/>
      <c r="LI76" s="8"/>
      <c r="LJ76" s="5" t="str">
        <f t="shared" si="332"/>
        <v>NO APLICA</v>
      </c>
      <c r="LK76" s="5"/>
      <c r="LL76" s="5"/>
      <c r="LM76" s="4"/>
      <c r="LN76" s="8"/>
      <c r="LO76" s="5" t="str">
        <f t="shared" si="367"/>
        <v>NO APLICA</v>
      </c>
      <c r="LP76" s="2"/>
      <c r="LQ76" s="6"/>
      <c r="LR76" s="4"/>
      <c r="LS76" s="8"/>
      <c r="LT76" s="5" t="str">
        <f t="shared" si="359"/>
        <v>NO APLICA</v>
      </c>
      <c r="LU76" s="6"/>
      <c r="LV76" s="6"/>
      <c r="LW76" s="4"/>
      <c r="LX76" s="8"/>
      <c r="LY76" s="5" t="str">
        <f t="shared" si="360"/>
        <v>NO APLICA</v>
      </c>
      <c r="LZ76" s="6"/>
      <c r="MA76" s="6"/>
      <c r="MB76" s="4"/>
      <c r="MC76" s="8"/>
      <c r="MD76" s="5" t="str">
        <f t="shared" si="361"/>
        <v>NO APLICA</v>
      </c>
      <c r="ME76" s="2"/>
      <c r="MF76" s="2"/>
      <c r="MG76" s="4"/>
      <c r="MH76" s="8"/>
      <c r="MI76" s="5" t="str">
        <f t="shared" si="333"/>
        <v>NO APLICA</v>
      </c>
      <c r="MJ76" s="2"/>
      <c r="MK76" s="2"/>
      <c r="ML76" s="4"/>
      <c r="MM76" s="8"/>
      <c r="MN76" s="5" t="str">
        <f t="shared" si="334"/>
        <v>NO APLICA</v>
      </c>
      <c r="MO76" s="5"/>
      <c r="MP76" s="2"/>
      <c r="MQ76" s="4"/>
      <c r="MR76" s="8"/>
      <c r="MS76" s="5" t="str">
        <f t="shared" si="335"/>
        <v>NO APLICA</v>
      </c>
      <c r="MT76" s="5"/>
      <c r="MU76" s="2"/>
      <c r="MV76" s="4"/>
      <c r="MW76" s="2"/>
      <c r="MX76" s="5" t="str">
        <f t="shared" si="336"/>
        <v>NO APLICA</v>
      </c>
      <c r="MY76" s="2"/>
      <c r="MZ76" s="6"/>
      <c r="NA76" s="4"/>
      <c r="NB76" s="8"/>
      <c r="NC76" s="5" t="str">
        <f t="shared" si="337"/>
        <v>NO APLICA</v>
      </c>
      <c r="ND76" s="2"/>
      <c r="NE76" s="6"/>
      <c r="NF76" s="4"/>
      <c r="NG76" s="8"/>
      <c r="NH76" s="5" t="str">
        <f t="shared" si="338"/>
        <v>NO APLICA</v>
      </c>
      <c r="NI76" s="2"/>
      <c r="NJ76" s="6"/>
      <c r="NK76" s="4"/>
      <c r="NL76" s="8"/>
      <c r="NM76" s="5" t="str">
        <f t="shared" si="339"/>
        <v>NO APLICA</v>
      </c>
      <c r="NN76" s="2"/>
      <c r="NO76" s="2"/>
      <c r="NP76" s="4"/>
      <c r="NQ76" s="8"/>
      <c r="NR76" s="5" t="str">
        <f t="shared" si="340"/>
        <v>NO APLICA</v>
      </c>
      <c r="NS76" s="2"/>
      <c r="NT76" s="2"/>
      <c r="NU76" s="2"/>
      <c r="NV76" s="2"/>
      <c r="NW76" s="5" t="str">
        <f t="shared" si="341"/>
        <v>NO APLICA</v>
      </c>
      <c r="NX76" s="6"/>
      <c r="NY76" s="6"/>
      <c r="NZ76" s="4"/>
      <c r="OA76" s="8"/>
      <c r="OB76" s="5" t="str">
        <f t="shared" si="342"/>
        <v>NO APLICA</v>
      </c>
      <c r="OC76" s="6"/>
      <c r="OD76" s="6"/>
      <c r="OE76" s="6"/>
      <c r="OF76" s="6"/>
      <c r="OG76" s="5" t="str">
        <f t="shared" si="343"/>
        <v>NO APLICA</v>
      </c>
      <c r="OH76" s="6"/>
      <c r="OI76" s="6"/>
      <c r="OJ76" s="4"/>
      <c r="OK76" s="8"/>
      <c r="OL76" s="5" t="str">
        <f t="shared" si="344"/>
        <v>NO APLICA</v>
      </c>
      <c r="OM76" s="6"/>
      <c r="ON76" s="6"/>
      <c r="OO76" s="6"/>
      <c r="OP76" s="6"/>
      <c r="OQ76" s="5" t="str">
        <f t="shared" si="345"/>
        <v>NO APLICA</v>
      </c>
      <c r="OR76" s="6"/>
      <c r="OS76" s="6"/>
      <c r="OT76" s="6"/>
      <c r="OU76" s="6"/>
      <c r="OV76" s="5" t="str">
        <f t="shared" si="346"/>
        <v>NO APLICA</v>
      </c>
      <c r="OW76" s="6"/>
      <c r="OX76" s="6"/>
      <c r="OY76" s="6"/>
      <c r="OZ76" s="6"/>
      <c r="PA76" s="5" t="str">
        <f t="shared" si="347"/>
        <v>NO APLICA</v>
      </c>
      <c r="PB76" s="6"/>
      <c r="PC76" s="6"/>
      <c r="PD76" s="6"/>
      <c r="PE76" s="6"/>
      <c r="PF76" s="5" t="str">
        <f t="shared" si="348"/>
        <v>NO APLICA</v>
      </c>
      <c r="PG76" s="6"/>
      <c r="PH76" s="6"/>
      <c r="PI76" s="6"/>
      <c r="PJ76" s="6"/>
      <c r="PK76" s="5" t="str">
        <f t="shared" si="349"/>
        <v>NO APLICA</v>
      </c>
      <c r="PL76" s="5"/>
      <c r="PM76" s="6"/>
      <c r="PN76" s="4"/>
      <c r="PO76" s="8"/>
      <c r="PP76" s="5" t="str">
        <f t="shared" si="350"/>
        <v>NO APLICA</v>
      </c>
      <c r="PQ76" s="6"/>
      <c r="PR76" s="6"/>
      <c r="PS76" s="6"/>
      <c r="PT76" s="6"/>
      <c r="PU76" s="5" t="str">
        <f t="shared" si="351"/>
        <v>NO APLICA</v>
      </c>
      <c r="PV76" s="5"/>
      <c r="PW76" s="6"/>
      <c r="PX76" s="6"/>
      <c r="PY76" s="6"/>
      <c r="PZ76" s="5" t="str">
        <f t="shared" si="352"/>
        <v>NO APLICA</v>
      </c>
    </row>
    <row r="77" spans="1:442" ht="15.6" hidden="1" thickTop="1" thickBot="1" x14ac:dyDescent="0.35">
      <c r="A77" s="26">
        <v>74</v>
      </c>
      <c r="B77" s="31">
        <v>1628</v>
      </c>
      <c r="C77" s="28" t="s">
        <v>282</v>
      </c>
      <c r="D77" s="29" t="s">
        <v>68</v>
      </c>
      <c r="E77" s="30" t="s">
        <v>73</v>
      </c>
      <c r="F77" s="5"/>
      <c r="G77" s="6"/>
      <c r="H77" s="4"/>
      <c r="I77" s="8"/>
      <c r="J77" s="5" t="str">
        <f t="shared" si="242"/>
        <v>NO APLICA</v>
      </c>
      <c r="K77" s="2"/>
      <c r="L77" s="6"/>
      <c r="M77" s="6"/>
      <c r="N77" s="8"/>
      <c r="O77" s="5" t="str">
        <f t="shared" si="243"/>
        <v>NO APLICA</v>
      </c>
      <c r="P77" s="6"/>
      <c r="Q77" s="6"/>
      <c r="R77" s="4"/>
      <c r="S77" s="8"/>
      <c r="T77" s="5" t="str">
        <f t="shared" si="353"/>
        <v>NO APLICA</v>
      </c>
      <c r="U77" s="5"/>
      <c r="V77" s="2" t="s">
        <v>283</v>
      </c>
      <c r="W77" s="4">
        <v>45500</v>
      </c>
      <c r="X77" s="4">
        <f t="shared" si="244"/>
        <v>47326</v>
      </c>
      <c r="Y77" s="8">
        <f t="shared" ca="1" si="245"/>
        <v>1181</v>
      </c>
      <c r="Z77" s="5" t="str">
        <f t="shared" ca="1" si="246"/>
        <v>VIGENTE</v>
      </c>
      <c r="AA77" s="5"/>
      <c r="AB77" s="2" t="s">
        <v>284</v>
      </c>
      <c r="AC77" s="4">
        <v>44988</v>
      </c>
      <c r="AD77" s="4">
        <f t="shared" si="376"/>
        <v>46815</v>
      </c>
      <c r="AE77" s="8">
        <f t="shared" ca="1" si="377"/>
        <v>670</v>
      </c>
      <c r="AF77" s="5" t="str">
        <f t="shared" ca="1" si="247"/>
        <v>VIGENTE</v>
      </c>
      <c r="AG77" s="3"/>
      <c r="AH77" s="4">
        <v>45617</v>
      </c>
      <c r="AI77" s="4">
        <f>DATE(YEAR(AH77)+2,MONTH(AH77),DAY(AH77)-1)</f>
        <v>46346</v>
      </c>
      <c r="AJ77" s="8">
        <f t="shared" ca="1" si="248"/>
        <v>201</v>
      </c>
      <c r="AK77" s="5" t="str">
        <f t="shared" ca="1" si="219"/>
        <v>VIGENTE</v>
      </c>
      <c r="AL77" s="3"/>
      <c r="AM77" s="3">
        <v>45518</v>
      </c>
      <c r="AN77" s="4">
        <f>DATE(YEAR(AM77)+2,MONTH(AM77),DAY(AM77)-1)</f>
        <v>46247</v>
      </c>
      <c r="AO77" s="8">
        <f t="shared" ca="1" si="249"/>
        <v>102</v>
      </c>
      <c r="AP77" s="5" t="str">
        <f t="shared" ca="1" si="250"/>
        <v>VIGENTE</v>
      </c>
      <c r="AQ77" s="3"/>
      <c r="AR77" s="4">
        <v>46083</v>
      </c>
      <c r="AS77" s="4">
        <f>DATE(YEAR(AR77)+2,MONTH(AR77),DAY(AR77))</f>
        <v>46814</v>
      </c>
      <c r="AT77" s="8">
        <f t="shared" ca="1" si="251"/>
        <v>669</v>
      </c>
      <c r="AU77" s="5" t="str">
        <f t="shared" ca="1" si="252"/>
        <v>VIGENTE</v>
      </c>
      <c r="AV77" s="3"/>
      <c r="AW77" s="4">
        <v>46070</v>
      </c>
      <c r="AX77" s="4">
        <f>DATE(YEAR(AW77)+2,MONTH(AW77),DAY(AW77))</f>
        <v>46800</v>
      </c>
      <c r="AY77" s="8">
        <f t="shared" ca="1" si="253"/>
        <v>655</v>
      </c>
      <c r="AZ77" s="5" t="str">
        <f t="shared" ca="1" si="254"/>
        <v>VIGENTE</v>
      </c>
      <c r="BA77" s="3"/>
      <c r="BB77" s="4">
        <v>45454</v>
      </c>
      <c r="BC77" s="4">
        <f>DATE(YEAR(BB77)+2,MONTH(BB77),DAY(BB77)-1)</f>
        <v>46183</v>
      </c>
      <c r="BD77" s="8">
        <f t="shared" ca="1" si="255"/>
        <v>38</v>
      </c>
      <c r="BE77" s="5" t="str">
        <f t="shared" ca="1" si="256"/>
        <v>POR VENCER</v>
      </c>
      <c r="BF77" s="3"/>
      <c r="BG77" s="4">
        <v>46067</v>
      </c>
      <c r="BH77" s="4">
        <f>DATE(YEAR(BG77)+2,MONTH(BG77),DAY(BG77))</f>
        <v>46797</v>
      </c>
      <c r="BI77" s="8">
        <f t="shared" ca="1" si="257"/>
        <v>652</v>
      </c>
      <c r="BJ77" s="5" t="str">
        <f t="shared" ca="1" si="258"/>
        <v>VIGENTE</v>
      </c>
      <c r="BK77" s="3"/>
      <c r="BL77" s="4">
        <v>46051</v>
      </c>
      <c r="BM77" s="4">
        <f>DATE(YEAR(BL77)+2,MONTH(BL77),DAY(BL77))</f>
        <v>46781</v>
      </c>
      <c r="BN77" s="8">
        <f t="shared" ca="1" si="259"/>
        <v>636</v>
      </c>
      <c r="BO77" s="5" t="str">
        <f t="shared" ca="1" si="260"/>
        <v>VIGENTE</v>
      </c>
      <c r="BP77" s="3"/>
      <c r="BQ77" s="39">
        <v>46120</v>
      </c>
      <c r="BR77" s="4">
        <f>DATE(YEAR(BQ77)+2,MONTH(BQ77),DAY(BQ77)-1)</f>
        <v>46850</v>
      </c>
      <c r="BS77" s="8">
        <f t="shared" ca="1" si="261"/>
        <v>705</v>
      </c>
      <c r="BT77" s="5" t="str">
        <f t="shared" ca="1" si="262"/>
        <v>VIGENTE</v>
      </c>
      <c r="BU77" s="3"/>
      <c r="BV77" s="4">
        <v>46063</v>
      </c>
      <c r="BW77" s="4">
        <f>DATE(YEAR(BV77)+2,MONTH(BV77),DAY(BV77))</f>
        <v>46793</v>
      </c>
      <c r="BX77" s="8">
        <f t="shared" ca="1" si="263"/>
        <v>648</v>
      </c>
      <c r="BY77" s="5" t="str">
        <f t="shared" ca="1" si="264"/>
        <v>VIGENTE</v>
      </c>
      <c r="BZ77" s="3"/>
      <c r="CA77" s="4">
        <v>45480</v>
      </c>
      <c r="CB77" s="4">
        <f>DATE(YEAR(CA77)+2,MONTH(CA77),DAY(CA77)-1)</f>
        <v>46209</v>
      </c>
      <c r="CC77" s="8">
        <f t="shared" ca="1" si="265"/>
        <v>64</v>
      </c>
      <c r="CD77" s="5" t="str">
        <f t="shared" ca="1" si="266"/>
        <v>POR VENCER</v>
      </c>
      <c r="CE77" s="6"/>
      <c r="CF77" s="4">
        <v>45241</v>
      </c>
      <c r="CG77" s="4">
        <f t="shared" si="267"/>
        <v>46702</v>
      </c>
      <c r="CH77" s="8">
        <f t="shared" ca="1" si="268"/>
        <v>557</v>
      </c>
      <c r="CI77" s="5" t="str">
        <f t="shared" ca="1" si="269"/>
        <v>VIGENTE</v>
      </c>
      <c r="CJ77" s="4"/>
      <c r="CK77" s="4">
        <v>45511</v>
      </c>
      <c r="CL77" s="4">
        <f t="shared" si="375"/>
        <v>46240</v>
      </c>
      <c r="CM77" s="8">
        <f t="shared" ca="1" si="270"/>
        <v>95</v>
      </c>
      <c r="CN77" s="5" t="str">
        <f t="shared" ca="1" si="271"/>
        <v>VIGENTE</v>
      </c>
      <c r="CO77" s="3"/>
      <c r="CP77" s="39">
        <v>45481</v>
      </c>
      <c r="CQ77" s="4">
        <f t="shared" si="368"/>
        <v>46210</v>
      </c>
      <c r="CR77" s="8">
        <f t="shared" ca="1" si="272"/>
        <v>65</v>
      </c>
      <c r="CS77" s="5" t="str">
        <f t="shared" ca="1" si="273"/>
        <v>POR VENCER</v>
      </c>
      <c r="CT77" s="3"/>
      <c r="CU77" s="4">
        <v>45645</v>
      </c>
      <c r="CV77" s="4">
        <f t="shared" si="369"/>
        <v>46374</v>
      </c>
      <c r="CW77" s="8">
        <f t="shared" ca="1" si="274"/>
        <v>229</v>
      </c>
      <c r="CX77" s="5" t="str">
        <f t="shared" ca="1" si="275"/>
        <v>VIGENTE</v>
      </c>
      <c r="CY77" s="3"/>
      <c r="CZ77" s="4">
        <v>45665</v>
      </c>
      <c r="DA77" s="4">
        <f t="shared" si="370"/>
        <v>46394</v>
      </c>
      <c r="DB77" s="8">
        <f t="shared" ca="1" si="276"/>
        <v>249</v>
      </c>
      <c r="DC77" s="5" t="str">
        <f t="shared" ca="1" si="277"/>
        <v>VIGENTE</v>
      </c>
      <c r="DD77" s="3"/>
      <c r="DE77" s="39">
        <v>45689</v>
      </c>
      <c r="DF77" s="4">
        <f t="shared" si="382"/>
        <v>46418</v>
      </c>
      <c r="DG77" s="8">
        <f t="shared" ca="1" si="278"/>
        <v>273</v>
      </c>
      <c r="DH77" s="5" t="str">
        <f t="shared" ca="1" si="279"/>
        <v>VIGENTE</v>
      </c>
      <c r="DI77" s="3"/>
      <c r="DJ77" s="39">
        <v>45509</v>
      </c>
      <c r="DK77" s="4">
        <f>DATE(YEAR(DJ77)+2,MONTH(DJ77),DAY(DJ77)-1)</f>
        <v>46238</v>
      </c>
      <c r="DL77" s="8">
        <f t="shared" ca="1" si="280"/>
        <v>93</v>
      </c>
      <c r="DM77" s="5" t="str">
        <f t="shared" ca="1" si="281"/>
        <v>VIGENTE</v>
      </c>
      <c r="DN77" s="3"/>
      <c r="DO77" s="4">
        <v>45520</v>
      </c>
      <c r="DP77" s="4">
        <f>DATE(YEAR(DO77)+2,MONTH(DO77),DAY(DO77)-1)</f>
        <v>46249</v>
      </c>
      <c r="DQ77" s="8">
        <f t="shared" ca="1" si="282"/>
        <v>104</v>
      </c>
      <c r="DR77" s="5" t="str">
        <f t="shared" ca="1" si="283"/>
        <v>VIGENTE</v>
      </c>
      <c r="DS77" s="3"/>
      <c r="DT77" s="4">
        <v>46072</v>
      </c>
      <c r="DU77" s="4">
        <f>DATE(YEAR(DT77)+2,MONTH(DT77),DAY(DT77))</f>
        <v>46802</v>
      </c>
      <c r="DV77" s="8">
        <f t="shared" ca="1" si="284"/>
        <v>657</v>
      </c>
      <c r="DW77" s="5" t="str">
        <f t="shared" ca="1" si="285"/>
        <v>VIGENTE</v>
      </c>
      <c r="DX77" s="3"/>
      <c r="DY77" s="4">
        <v>45510</v>
      </c>
      <c r="DZ77" s="4">
        <f t="shared" si="354"/>
        <v>46239</v>
      </c>
      <c r="EA77" s="8">
        <f t="shared" ca="1" si="286"/>
        <v>94</v>
      </c>
      <c r="EB77" s="5" t="str">
        <f t="shared" ca="1" si="287"/>
        <v>VIGENTE</v>
      </c>
      <c r="EC77" s="3"/>
      <c r="ED77" s="39">
        <v>46104</v>
      </c>
      <c r="EE77" s="4">
        <f>DATE(YEAR(ED77)+2,MONTH(ED77),DAY(ED77))</f>
        <v>46835</v>
      </c>
      <c r="EF77" s="8">
        <f t="shared" ca="1" si="288"/>
        <v>690</v>
      </c>
      <c r="EG77" s="5" t="str">
        <f t="shared" ca="1" si="289"/>
        <v>VIGENTE</v>
      </c>
      <c r="EH77" s="3"/>
      <c r="EI77" s="4">
        <v>46115</v>
      </c>
      <c r="EJ77" s="4">
        <f t="shared" si="355"/>
        <v>46480</v>
      </c>
      <c r="EK77" s="8">
        <f t="shared" ca="1" si="290"/>
        <v>335</v>
      </c>
      <c r="EL77" s="5" t="str">
        <f t="shared" ca="1" si="291"/>
        <v>VIGENTE</v>
      </c>
      <c r="EM77" s="3"/>
      <c r="EN77" s="4">
        <v>46135</v>
      </c>
      <c r="EO77" s="4">
        <f t="shared" si="371"/>
        <v>46865</v>
      </c>
      <c r="EP77" s="8">
        <f t="shared" ca="1" si="292"/>
        <v>720</v>
      </c>
      <c r="EQ77" s="5" t="str">
        <f t="shared" ca="1" si="293"/>
        <v>VIGENTE</v>
      </c>
      <c r="ER77" s="3"/>
      <c r="ES77" s="39">
        <v>46094</v>
      </c>
      <c r="ET77" s="4">
        <f>DATE(YEAR(ES77)+2,MONTH(ES77),DAY(ES77))</f>
        <v>46825</v>
      </c>
      <c r="EU77" s="8">
        <f t="shared" ca="1" si="294"/>
        <v>680</v>
      </c>
      <c r="EV77" s="5" t="str">
        <f t="shared" ca="1" si="295"/>
        <v>VIGENTE</v>
      </c>
      <c r="EW77" s="3"/>
      <c r="EX77" s="4">
        <v>45502</v>
      </c>
      <c r="EY77" s="4">
        <f>DATE(YEAR(EX77)+2,MONTH(EX77),DAY(EX77)-1)</f>
        <v>46231</v>
      </c>
      <c r="EZ77" s="8">
        <f t="shared" ca="1" si="296"/>
        <v>86</v>
      </c>
      <c r="FA77" s="5" t="str">
        <f t="shared" ca="1" si="297"/>
        <v>POR VENCER</v>
      </c>
      <c r="FB77" s="3"/>
      <c r="FC77" s="4">
        <v>45482</v>
      </c>
      <c r="FD77" s="4">
        <f>DATE(YEAR(FC77)+2,MONTH(FC77),DAY(FC77)-1)</f>
        <v>46211</v>
      </c>
      <c r="FE77" s="8">
        <f t="shared" ca="1" si="298"/>
        <v>66</v>
      </c>
      <c r="FF77" s="5" t="str">
        <f t="shared" ca="1" si="299"/>
        <v>POR VENCER</v>
      </c>
      <c r="FG77" s="3"/>
      <c r="FH77" s="4">
        <v>46066</v>
      </c>
      <c r="FI77" s="4">
        <f>DATE(YEAR(FH77)+2,MONTH(FH77),DAY(FH77))</f>
        <v>46796</v>
      </c>
      <c r="FJ77" s="8">
        <f t="shared" ca="1" si="300"/>
        <v>651</v>
      </c>
      <c r="FK77" s="5" t="str">
        <f t="shared" ca="1" si="301"/>
        <v>VIGENTE</v>
      </c>
      <c r="FL77" s="3"/>
      <c r="FM77" s="39">
        <v>46039</v>
      </c>
      <c r="FN77" s="4">
        <f>DATE(YEAR(FM77)+2,MONTH(FM77),DAY(FM77))</f>
        <v>46769</v>
      </c>
      <c r="FO77" s="8">
        <f t="shared" ca="1" si="302"/>
        <v>624</v>
      </c>
      <c r="FP77" s="5" t="str">
        <f t="shared" ca="1" si="303"/>
        <v>VIGENTE</v>
      </c>
      <c r="FQ77" s="3"/>
      <c r="FR77" s="39">
        <v>46132</v>
      </c>
      <c r="FS77" s="4">
        <f t="shared" si="372"/>
        <v>46862</v>
      </c>
      <c r="FT77" s="8">
        <f t="shared" ca="1" si="304"/>
        <v>717</v>
      </c>
      <c r="FU77" s="5" t="str">
        <f t="shared" ca="1" si="305"/>
        <v>VIGENTE</v>
      </c>
      <c r="FV77" s="4"/>
      <c r="FW77" s="4">
        <v>45574</v>
      </c>
      <c r="FX77" s="4">
        <f t="shared" si="383"/>
        <v>46303</v>
      </c>
      <c r="FY77" s="8">
        <f t="shared" ca="1" si="306"/>
        <v>158</v>
      </c>
      <c r="FZ77" s="5" t="str">
        <f t="shared" ca="1" si="307"/>
        <v>VIGENTE</v>
      </c>
      <c r="GA77" s="3"/>
      <c r="GB77" s="4">
        <v>46030</v>
      </c>
      <c r="GC77" s="4">
        <f>DATE(YEAR(GB77)+2,MONTH(GB77),DAY(GB77))</f>
        <v>46760</v>
      </c>
      <c r="GD77" s="8">
        <f t="shared" ca="1" si="308"/>
        <v>615</v>
      </c>
      <c r="GE77" s="5" t="str">
        <f t="shared" ca="1" si="309"/>
        <v>VIGENTE</v>
      </c>
      <c r="GF77" s="3"/>
      <c r="GG77" s="4">
        <v>46092</v>
      </c>
      <c r="GH77" s="4">
        <f>DATE(YEAR(GG77)+2,MONTH(GG77),DAY(GG77))</f>
        <v>46823</v>
      </c>
      <c r="GI77" s="8">
        <f t="shared" ca="1" si="310"/>
        <v>678</v>
      </c>
      <c r="GJ77" s="5" t="str">
        <f t="shared" ca="1" si="311"/>
        <v>VIGENTE</v>
      </c>
      <c r="GK77" s="3"/>
      <c r="GL77" s="4">
        <v>45493</v>
      </c>
      <c r="GM77" s="4">
        <f>DATE(YEAR(GL77)+2,MONTH(GL77),DAY(GL77)-1)</f>
        <v>46222</v>
      </c>
      <c r="GN77" s="8">
        <f t="shared" ca="1" si="312"/>
        <v>77</v>
      </c>
      <c r="GO77" s="5" t="str">
        <f t="shared" ca="1" si="313"/>
        <v>VIGENTE</v>
      </c>
      <c r="GP77" s="4"/>
      <c r="GQ77" s="4">
        <v>45459</v>
      </c>
      <c r="GR77" s="4">
        <f t="shared" si="314"/>
        <v>47285</v>
      </c>
      <c r="GS77" s="8">
        <f t="shared" ca="1" si="176"/>
        <v>1140</v>
      </c>
      <c r="GT77" s="5" t="str">
        <f t="shared" ca="1" si="378"/>
        <v>VIGENTE</v>
      </c>
      <c r="GU77" s="3"/>
      <c r="GV77" s="4">
        <v>45507</v>
      </c>
      <c r="GW77" s="4">
        <f t="shared" si="316"/>
        <v>47333</v>
      </c>
      <c r="GX77" s="8">
        <f t="shared" ca="1" si="317"/>
        <v>1188</v>
      </c>
      <c r="GY77" s="5" t="str">
        <f t="shared" ca="1" si="379"/>
        <v>VIGENTE</v>
      </c>
      <c r="GZ77" s="3"/>
      <c r="HA77" s="4">
        <v>45479</v>
      </c>
      <c r="HB77" s="4">
        <f t="shared" si="319"/>
        <v>47305</v>
      </c>
      <c r="HC77" s="8">
        <f t="shared" ca="1" si="320"/>
        <v>1160</v>
      </c>
      <c r="HD77" s="5" t="str">
        <f t="shared" ca="1" si="380"/>
        <v>VIGENTE</v>
      </c>
      <c r="HE77" s="6"/>
      <c r="HF77" s="4">
        <v>44879</v>
      </c>
      <c r="HG77" s="4">
        <f t="shared" si="373"/>
        <v>46705</v>
      </c>
      <c r="HH77" s="8">
        <f t="shared" ca="1" si="374"/>
        <v>560</v>
      </c>
      <c r="HI77" s="5" t="str">
        <f t="shared" ca="1" si="381"/>
        <v>VIGENTE</v>
      </c>
      <c r="HJ77" s="2"/>
      <c r="HK77" s="4">
        <v>45331</v>
      </c>
      <c r="HL77" s="4">
        <f>DATE(YEAR(HK77)+5,MONTH(HK77),DAY(HK77))</f>
        <v>47158</v>
      </c>
      <c r="HM77" s="8">
        <f ca="1">HL77-TODAY()</f>
        <v>1013</v>
      </c>
      <c r="HN77" s="5" t="str">
        <f t="shared" ca="1" si="228"/>
        <v>VIGENTE</v>
      </c>
      <c r="HO77" s="2"/>
      <c r="HP77" s="3">
        <v>45386</v>
      </c>
      <c r="HQ77" s="4">
        <f>DATE(YEAR(HP77)+5,MONTH(HP77),DAY(HP77))</f>
        <v>47212</v>
      </c>
      <c r="HR77" s="8">
        <f ca="1">HQ77-TODAY()</f>
        <v>1067</v>
      </c>
      <c r="HS77" s="5" t="str">
        <f t="shared" ca="1" si="322"/>
        <v>VIGENTE</v>
      </c>
      <c r="HT77" s="3"/>
      <c r="HU77" s="4">
        <v>45469</v>
      </c>
      <c r="HV77" s="4">
        <f>DATE(YEAR(HU77)+5,MONTH(HU77),DAY(HU77))</f>
        <v>47295</v>
      </c>
      <c r="HW77" s="8">
        <f ca="1">HV77-TODAY()</f>
        <v>1150</v>
      </c>
      <c r="HX77" s="5" t="str">
        <f t="shared" ca="1" si="323"/>
        <v>VIGENTE</v>
      </c>
      <c r="HY77" s="3"/>
      <c r="HZ77" s="4">
        <v>45428</v>
      </c>
      <c r="IA77" s="4">
        <f>DATE(YEAR(HZ77)+5,MONTH(HZ77),DAY(HZ77))</f>
        <v>47254</v>
      </c>
      <c r="IB77" s="8">
        <f ca="1">IA77-TODAY()</f>
        <v>1109</v>
      </c>
      <c r="IC77" s="5" t="str">
        <f t="shared" ca="1" si="324"/>
        <v>VIGENTE</v>
      </c>
      <c r="ID77" s="3"/>
      <c r="IE77" s="4">
        <v>45505</v>
      </c>
      <c r="IF77" s="4">
        <f>DATE(YEAR(IE77)+5,MONTH(IE77),DAY(IE77))</f>
        <v>47331</v>
      </c>
      <c r="IG77" s="8">
        <f ca="1">IF77-TODAY()</f>
        <v>1186</v>
      </c>
      <c r="IH77" s="5" t="str">
        <f t="shared" ca="1" si="325"/>
        <v>VIGENTE</v>
      </c>
      <c r="II77" s="4"/>
      <c r="IJ77" s="4">
        <v>45449</v>
      </c>
      <c r="IK77" s="4">
        <f>DATE(YEAR(IJ77)+5,MONTH(IJ77),DAY(IJ77))</f>
        <v>47275</v>
      </c>
      <c r="IL77" s="8">
        <f ca="1">IK77-TODAY()</f>
        <v>1130</v>
      </c>
      <c r="IM77" s="5" t="str">
        <f t="shared" ca="1" si="326"/>
        <v>VIGENTE</v>
      </c>
      <c r="IN77" s="3"/>
      <c r="IO77" s="4">
        <v>45490</v>
      </c>
      <c r="IP77" s="4">
        <f>DATE(YEAR(IO77)+5,MONTH(IO77),DAY(IO77))</f>
        <v>47316</v>
      </c>
      <c r="IQ77" s="8">
        <f ca="1">IP77-TODAY()</f>
        <v>1171</v>
      </c>
      <c r="IR77" s="5" t="str">
        <f t="shared" ca="1" si="327"/>
        <v>VIGENTE</v>
      </c>
      <c r="IS77" s="3"/>
      <c r="IT77" s="4">
        <v>45484</v>
      </c>
      <c r="IU77" s="4">
        <f>DATE(YEAR(IT77)+5,MONTH(IT77),DAY(IT77))</f>
        <v>47310</v>
      </c>
      <c r="IV77" s="8">
        <f ca="1">IU77-TODAY()</f>
        <v>1165</v>
      </c>
      <c r="IW77" s="5" t="str">
        <f t="shared" ca="1" si="328"/>
        <v>VIGENTE</v>
      </c>
      <c r="IX77" s="3"/>
      <c r="IY77" s="4">
        <v>45491</v>
      </c>
      <c r="IZ77" s="4">
        <f>DATE(YEAR(IY77)+5,MONTH(IY77),DAY(IY77))</f>
        <v>47317</v>
      </c>
      <c r="JA77" s="8">
        <f ca="1">IZ77-TODAY()</f>
        <v>1172</v>
      </c>
      <c r="JB77" s="5" t="str">
        <f t="shared" ca="1" si="329"/>
        <v>VIGENTE</v>
      </c>
      <c r="JC77" s="3" t="s">
        <v>780</v>
      </c>
      <c r="JD77" s="3"/>
      <c r="JE77" s="4"/>
      <c r="JF77" s="8"/>
      <c r="JG77" s="5"/>
      <c r="JH77" s="3" t="s">
        <v>780</v>
      </c>
      <c r="JI77" s="6"/>
      <c r="JJ77" s="6"/>
      <c r="JK77" s="6"/>
      <c r="JL77" s="5"/>
      <c r="JM77" s="6" t="s">
        <v>780</v>
      </c>
      <c r="JN77" s="6"/>
      <c r="JO77" s="6"/>
      <c r="JP77" s="6"/>
      <c r="JQ77" s="5"/>
      <c r="JR77" s="6" t="s">
        <v>780</v>
      </c>
      <c r="JS77" s="6"/>
      <c r="JT77" s="6"/>
      <c r="JU77" s="6"/>
      <c r="JV77" s="5"/>
      <c r="JW77" s="6" t="s">
        <v>780</v>
      </c>
      <c r="JX77" s="5"/>
      <c r="JY77" s="5"/>
      <c r="JZ77" s="5"/>
      <c r="KA77" s="5"/>
      <c r="KB77" s="5"/>
      <c r="KC77" s="2"/>
      <c r="KD77" s="4"/>
      <c r="KE77" s="8"/>
      <c r="KF77" s="5" t="str">
        <f t="shared" si="330"/>
        <v>NO APLICA</v>
      </c>
      <c r="KG77" s="5"/>
      <c r="KH77" s="2"/>
      <c r="KI77" s="4"/>
      <c r="KJ77" s="8"/>
      <c r="KK77" s="5" t="str">
        <f t="shared" si="356"/>
        <v>NO APLICA</v>
      </c>
      <c r="KL77" s="5"/>
      <c r="KM77" s="2"/>
      <c r="KN77" s="4"/>
      <c r="KO77" s="8"/>
      <c r="KP77" s="5" t="str">
        <f t="shared" si="331"/>
        <v>NO APLICA</v>
      </c>
      <c r="KQ77" s="5"/>
      <c r="KR77" s="2"/>
      <c r="KS77" s="4"/>
      <c r="KT77" s="8"/>
      <c r="KU77" s="5" t="str">
        <f t="shared" si="357"/>
        <v>NO APLICA</v>
      </c>
      <c r="KV77" s="2"/>
      <c r="KW77" s="6"/>
      <c r="KX77" s="4"/>
      <c r="KY77" s="8"/>
      <c r="KZ77" s="5" t="str">
        <f t="shared" si="366"/>
        <v>NO APLICA</v>
      </c>
      <c r="LA77" s="5"/>
      <c r="LB77" s="6"/>
      <c r="LC77" s="4"/>
      <c r="LD77" s="8"/>
      <c r="LE77" s="5" t="str">
        <f t="shared" si="358"/>
        <v>NO APLICA</v>
      </c>
      <c r="LF77" s="6"/>
      <c r="LG77" s="6"/>
      <c r="LH77" s="4"/>
      <c r="LI77" s="8"/>
      <c r="LJ77" s="5" t="str">
        <f t="shared" si="332"/>
        <v>NO APLICA</v>
      </c>
      <c r="LK77" s="5"/>
      <c r="LL77" s="5"/>
      <c r="LM77" s="4"/>
      <c r="LN77" s="8"/>
      <c r="LO77" s="5" t="str">
        <f t="shared" si="367"/>
        <v>NO APLICA</v>
      </c>
      <c r="LP77" s="2"/>
      <c r="LQ77" s="6"/>
      <c r="LR77" s="4"/>
      <c r="LS77" s="8"/>
      <c r="LT77" s="5" t="str">
        <f t="shared" si="359"/>
        <v>NO APLICA</v>
      </c>
      <c r="LU77" s="6"/>
      <c r="LV77" s="6"/>
      <c r="LW77" s="4"/>
      <c r="LX77" s="8"/>
      <c r="LY77" s="5" t="str">
        <f t="shared" si="360"/>
        <v>NO APLICA</v>
      </c>
      <c r="LZ77" s="6"/>
      <c r="MA77" s="6"/>
      <c r="MB77" s="4"/>
      <c r="MC77" s="8"/>
      <c r="MD77" s="5" t="str">
        <f t="shared" si="361"/>
        <v>NO APLICA</v>
      </c>
      <c r="ME77" s="2"/>
      <c r="MF77" s="2"/>
      <c r="MG77" s="4"/>
      <c r="MH77" s="8"/>
      <c r="MI77" s="5" t="str">
        <f t="shared" si="333"/>
        <v>NO APLICA</v>
      </c>
      <c r="MJ77" s="2"/>
      <c r="MK77" s="2"/>
      <c r="ML77" s="4"/>
      <c r="MM77" s="8"/>
      <c r="MN77" s="5" t="str">
        <f t="shared" si="334"/>
        <v>NO APLICA</v>
      </c>
      <c r="MO77" s="5"/>
      <c r="MP77" s="2"/>
      <c r="MQ77" s="4"/>
      <c r="MR77" s="8"/>
      <c r="MS77" s="5" t="str">
        <f t="shared" si="335"/>
        <v>NO APLICA</v>
      </c>
      <c r="MT77" s="5"/>
      <c r="MU77" s="2"/>
      <c r="MV77" s="4"/>
      <c r="MW77" s="2"/>
      <c r="MX77" s="5" t="str">
        <f t="shared" si="336"/>
        <v>NO APLICA</v>
      </c>
      <c r="MY77" s="2"/>
      <c r="MZ77" s="6"/>
      <c r="NA77" s="4"/>
      <c r="NB77" s="8"/>
      <c r="NC77" s="5" t="str">
        <f t="shared" si="337"/>
        <v>NO APLICA</v>
      </c>
      <c r="ND77" s="2"/>
      <c r="NE77" s="6"/>
      <c r="NF77" s="4"/>
      <c r="NG77" s="8"/>
      <c r="NH77" s="5" t="str">
        <f t="shared" si="338"/>
        <v>NO APLICA</v>
      </c>
      <c r="NI77" s="2"/>
      <c r="NJ77" s="6"/>
      <c r="NK77" s="4"/>
      <c r="NL77" s="8"/>
      <c r="NM77" s="5" t="str">
        <f t="shared" si="339"/>
        <v>NO APLICA</v>
      </c>
      <c r="NN77" s="2"/>
      <c r="NO77" s="2"/>
      <c r="NP77" s="4"/>
      <c r="NQ77" s="8"/>
      <c r="NR77" s="5" t="str">
        <f t="shared" si="340"/>
        <v>NO APLICA</v>
      </c>
      <c r="NS77" s="2"/>
      <c r="NT77" s="2"/>
      <c r="NU77" s="4"/>
      <c r="NV77" s="2"/>
      <c r="NW77" s="5" t="str">
        <f t="shared" si="341"/>
        <v>NO APLICA</v>
      </c>
      <c r="NX77" s="6"/>
      <c r="NY77" s="6"/>
      <c r="NZ77" s="4"/>
      <c r="OA77" s="8"/>
      <c r="OB77" s="5" t="str">
        <f t="shared" si="342"/>
        <v>NO APLICA</v>
      </c>
      <c r="OC77" s="6"/>
      <c r="OD77" s="6"/>
      <c r="OE77" s="6"/>
      <c r="OF77" s="6"/>
      <c r="OG77" s="5" t="str">
        <f t="shared" si="343"/>
        <v>NO APLICA</v>
      </c>
      <c r="OH77" s="2"/>
      <c r="OI77" s="2"/>
      <c r="OJ77" s="4"/>
      <c r="OK77" s="8"/>
      <c r="OL77" s="5" t="str">
        <f t="shared" si="344"/>
        <v>NO APLICA</v>
      </c>
      <c r="OM77" s="6"/>
      <c r="ON77" s="6"/>
      <c r="OO77" s="6"/>
      <c r="OP77" s="6"/>
      <c r="OQ77" s="5" t="str">
        <f t="shared" si="345"/>
        <v>NO APLICA</v>
      </c>
      <c r="OR77" s="6"/>
      <c r="OS77" s="6"/>
      <c r="OT77" s="6"/>
      <c r="OU77" s="6"/>
      <c r="OV77" s="5" t="str">
        <f t="shared" si="346"/>
        <v>NO APLICA</v>
      </c>
      <c r="OW77" s="6"/>
      <c r="OX77" s="6"/>
      <c r="OY77" s="6"/>
      <c r="OZ77" s="6"/>
      <c r="PA77" s="5" t="str">
        <f t="shared" si="347"/>
        <v>NO APLICA</v>
      </c>
      <c r="PB77" s="6"/>
      <c r="PC77" s="6"/>
      <c r="PD77" s="6"/>
      <c r="PE77" s="6"/>
      <c r="PF77" s="5" t="str">
        <f t="shared" si="348"/>
        <v>NO APLICA</v>
      </c>
      <c r="PG77" s="6"/>
      <c r="PH77" s="6"/>
      <c r="PI77" s="6"/>
      <c r="PJ77" s="6"/>
      <c r="PK77" s="5" t="str">
        <f t="shared" si="349"/>
        <v>NO APLICA</v>
      </c>
      <c r="PL77" s="5"/>
      <c r="PM77" s="6"/>
      <c r="PN77" s="4"/>
      <c r="PO77" s="8"/>
      <c r="PP77" s="5" t="str">
        <f t="shared" si="350"/>
        <v>NO APLICA</v>
      </c>
      <c r="PQ77" s="6"/>
      <c r="PR77" s="6"/>
      <c r="PS77" s="6"/>
      <c r="PT77" s="6"/>
      <c r="PU77" s="5" t="str">
        <f t="shared" si="351"/>
        <v>NO APLICA</v>
      </c>
      <c r="PV77" s="5"/>
      <c r="PW77" s="6"/>
      <c r="PX77" s="6"/>
      <c r="PY77" s="6"/>
      <c r="PZ77" s="5" t="str">
        <f t="shared" si="352"/>
        <v>NO APLICA</v>
      </c>
    </row>
    <row r="78" spans="1:442" ht="15.6" hidden="1" thickTop="1" thickBot="1" x14ac:dyDescent="0.35">
      <c r="A78" s="26">
        <v>75</v>
      </c>
      <c r="B78" s="27">
        <v>1607</v>
      </c>
      <c r="C78" s="28" t="s">
        <v>285</v>
      </c>
      <c r="D78" s="29" t="s">
        <v>64</v>
      </c>
      <c r="E78" s="30" t="s">
        <v>81</v>
      </c>
      <c r="F78" s="5"/>
      <c r="G78" s="6"/>
      <c r="H78" s="4"/>
      <c r="I78" s="8"/>
      <c r="J78" s="5" t="str">
        <f t="shared" si="242"/>
        <v>NO APLICA</v>
      </c>
      <c r="K78" s="5"/>
      <c r="L78" s="6"/>
      <c r="M78" s="6"/>
      <c r="N78" s="8"/>
      <c r="O78" s="5" t="str">
        <f t="shared" si="243"/>
        <v>NO APLICA</v>
      </c>
      <c r="P78" s="4"/>
      <c r="Q78" s="4">
        <v>45583</v>
      </c>
      <c r="R78" s="4">
        <f>DATE(YEAR(Q78)+2,MONTH(Q78),DAY(Q78)-1)</f>
        <v>46312</v>
      </c>
      <c r="S78" s="8">
        <f ca="1">R78-TODAY()</f>
        <v>167</v>
      </c>
      <c r="T78" s="5" t="str">
        <f t="shared" ca="1" si="353"/>
        <v>VIGENTE</v>
      </c>
      <c r="U78" s="5"/>
      <c r="V78" s="2" t="s">
        <v>286</v>
      </c>
      <c r="W78" s="4">
        <v>44701</v>
      </c>
      <c r="X78" s="4">
        <f t="shared" si="244"/>
        <v>46527</v>
      </c>
      <c r="Y78" s="8">
        <f t="shared" ca="1" si="245"/>
        <v>382</v>
      </c>
      <c r="Z78" s="5" t="str">
        <f t="shared" ca="1" si="246"/>
        <v>VIGENTE</v>
      </c>
      <c r="AA78" s="5"/>
      <c r="AB78" s="2" t="s">
        <v>287</v>
      </c>
      <c r="AC78" s="4">
        <v>45162</v>
      </c>
      <c r="AD78" s="4">
        <f t="shared" si="376"/>
        <v>46989</v>
      </c>
      <c r="AE78" s="8">
        <f t="shared" ca="1" si="377"/>
        <v>844</v>
      </c>
      <c r="AF78" s="5" t="str">
        <f t="shared" ca="1" si="247"/>
        <v>VIGENTE</v>
      </c>
      <c r="AG78" s="3"/>
      <c r="AH78" s="4">
        <v>45680</v>
      </c>
      <c r="AI78" s="4">
        <f>DATE(YEAR(AH78)+2,MONTH(AH78),DAY(AH78)-1)</f>
        <v>46409</v>
      </c>
      <c r="AJ78" s="8">
        <f t="shared" ca="1" si="248"/>
        <v>264</v>
      </c>
      <c r="AK78" s="5" t="str">
        <f t="shared" ca="1" si="219"/>
        <v>VIGENTE</v>
      </c>
      <c r="AL78" s="3"/>
      <c r="AM78" s="4">
        <v>45602</v>
      </c>
      <c r="AN78" s="4">
        <f>DATE(YEAR(AM78)+2,MONTH(AM78),DAY(AM78)-1)</f>
        <v>46331</v>
      </c>
      <c r="AO78" s="8">
        <f t="shared" ca="1" si="249"/>
        <v>186</v>
      </c>
      <c r="AP78" s="5" t="str">
        <f t="shared" ca="1" si="250"/>
        <v>VIGENTE</v>
      </c>
      <c r="AQ78" s="3"/>
      <c r="AR78" s="4">
        <v>45904</v>
      </c>
      <c r="AS78" s="4">
        <f>DATE(YEAR(AR78)+2,MONTH(AR78),DAY(AR78))</f>
        <v>46634</v>
      </c>
      <c r="AT78" s="8">
        <f t="shared" ca="1" si="251"/>
        <v>489</v>
      </c>
      <c r="AU78" s="5" t="str">
        <f t="shared" ca="1" si="252"/>
        <v>VIGENTE</v>
      </c>
      <c r="AV78" s="3"/>
      <c r="AW78" s="4">
        <v>45927</v>
      </c>
      <c r="AX78" s="4">
        <f>DATE(YEAR(AW78)+2,MONTH(AW78),DAY(AW78))</f>
        <v>46657</v>
      </c>
      <c r="AY78" s="8">
        <f t="shared" ca="1" si="253"/>
        <v>512</v>
      </c>
      <c r="AZ78" s="5" t="str">
        <f t="shared" ca="1" si="254"/>
        <v>VIGENTE</v>
      </c>
      <c r="BA78" s="3"/>
      <c r="BB78" s="4">
        <v>46041</v>
      </c>
      <c r="BC78" s="4">
        <f>DATE(YEAR(BB78)+2,MONTH(BB78),DAY(BB78))</f>
        <v>46771</v>
      </c>
      <c r="BD78" s="8">
        <f t="shared" ca="1" si="255"/>
        <v>626</v>
      </c>
      <c r="BE78" s="5" t="str">
        <f t="shared" ca="1" si="256"/>
        <v>VIGENTE</v>
      </c>
      <c r="BF78" s="3"/>
      <c r="BG78" s="4">
        <v>46027</v>
      </c>
      <c r="BH78" s="4">
        <f>DATE(YEAR(BG78)+2,MONTH(BG78),DAY(BG78))</f>
        <v>46757</v>
      </c>
      <c r="BI78" s="8">
        <f t="shared" ca="1" si="257"/>
        <v>612</v>
      </c>
      <c r="BJ78" s="5" t="str">
        <f t="shared" ca="1" si="258"/>
        <v>VIGENTE</v>
      </c>
      <c r="BK78" s="3"/>
      <c r="BL78" s="4">
        <v>45600</v>
      </c>
      <c r="BM78" s="4">
        <f>DATE(YEAR(BL78)+2,MONTH(BL78),DAY(BL78)-1)</f>
        <v>46329</v>
      </c>
      <c r="BN78" s="8">
        <f t="shared" ca="1" si="259"/>
        <v>184</v>
      </c>
      <c r="BO78" s="5" t="str">
        <f t="shared" ca="1" si="260"/>
        <v>VIGENTE</v>
      </c>
      <c r="BP78" s="3"/>
      <c r="BQ78" s="39">
        <v>45701</v>
      </c>
      <c r="BR78" s="4">
        <f>DATE(YEAR(BQ78)+2,MONTH(BQ78),DAY(BQ78)-1)</f>
        <v>46430</v>
      </c>
      <c r="BS78" s="8">
        <f t="shared" ca="1" si="261"/>
        <v>285</v>
      </c>
      <c r="BT78" s="5" t="str">
        <f t="shared" ca="1" si="262"/>
        <v>VIGENTE</v>
      </c>
      <c r="BU78" s="3"/>
      <c r="BV78" s="4">
        <v>46126</v>
      </c>
      <c r="BW78" s="4">
        <f>DATE(YEAR(BV78)+2,MONTH(BV78),DAY(BV78)-1)</f>
        <v>46856</v>
      </c>
      <c r="BX78" s="8">
        <f t="shared" ca="1" si="263"/>
        <v>711</v>
      </c>
      <c r="BY78" s="5" t="str">
        <f t="shared" ca="1" si="264"/>
        <v>VIGENTE</v>
      </c>
      <c r="BZ78" s="3"/>
      <c r="CA78" s="4">
        <v>45629</v>
      </c>
      <c r="CB78" s="4">
        <f>DATE(YEAR(CA78)+2,MONTH(CA78),DAY(CA78)-1)</f>
        <v>46358</v>
      </c>
      <c r="CC78" s="8">
        <f t="shared" ca="1" si="265"/>
        <v>213</v>
      </c>
      <c r="CD78" s="5" t="str">
        <f t="shared" ca="1" si="266"/>
        <v>VIGENTE</v>
      </c>
      <c r="CE78" s="6"/>
      <c r="CF78" s="4">
        <v>45832</v>
      </c>
      <c r="CG78" s="4">
        <f t="shared" si="267"/>
        <v>47293</v>
      </c>
      <c r="CH78" s="8">
        <f t="shared" ca="1" si="268"/>
        <v>1148</v>
      </c>
      <c r="CI78" s="5" t="str">
        <f t="shared" ca="1" si="269"/>
        <v>VIGENTE</v>
      </c>
      <c r="CJ78" s="4"/>
      <c r="CK78" s="4">
        <v>45601</v>
      </c>
      <c r="CL78" s="4">
        <f t="shared" si="375"/>
        <v>46330</v>
      </c>
      <c r="CM78" s="8">
        <f t="shared" ca="1" si="270"/>
        <v>185</v>
      </c>
      <c r="CN78" s="5" t="str">
        <f t="shared" ca="1" si="271"/>
        <v>VIGENTE</v>
      </c>
      <c r="CO78" s="3"/>
      <c r="CP78" s="39">
        <v>45726</v>
      </c>
      <c r="CQ78" s="4">
        <f t="shared" si="368"/>
        <v>46455</v>
      </c>
      <c r="CR78" s="8">
        <f t="shared" ca="1" si="272"/>
        <v>310</v>
      </c>
      <c r="CS78" s="5" t="str">
        <f t="shared" ca="1" si="273"/>
        <v>VIGENTE</v>
      </c>
      <c r="CT78" s="3"/>
      <c r="CU78" s="4">
        <v>45905</v>
      </c>
      <c r="CV78" s="4">
        <f>DATE(YEAR(CU78)+2,MONTH(CU78),DAY(CU78))</f>
        <v>46635</v>
      </c>
      <c r="CW78" s="8">
        <f t="shared" ca="1" si="274"/>
        <v>490</v>
      </c>
      <c r="CX78" s="5" t="str">
        <f t="shared" ca="1" si="275"/>
        <v>VIGENTE</v>
      </c>
      <c r="CY78" s="3"/>
      <c r="CZ78" s="4">
        <v>46000</v>
      </c>
      <c r="DA78" s="4">
        <f>DATE(YEAR(CZ78)+2,MONTH(CZ78),DAY(CZ78))</f>
        <v>46730</v>
      </c>
      <c r="DB78" s="8">
        <f t="shared" ca="1" si="276"/>
        <v>585</v>
      </c>
      <c r="DC78" s="5" t="str">
        <f t="shared" ca="1" si="277"/>
        <v>VIGENTE</v>
      </c>
      <c r="DD78" s="3"/>
      <c r="DE78" s="39">
        <v>45596</v>
      </c>
      <c r="DF78" s="4">
        <f t="shared" si="382"/>
        <v>46325</v>
      </c>
      <c r="DG78" s="8">
        <f t="shared" ca="1" si="278"/>
        <v>180</v>
      </c>
      <c r="DH78" s="5" t="str">
        <f t="shared" ca="1" si="279"/>
        <v>VIGENTE</v>
      </c>
      <c r="DI78" s="3"/>
      <c r="DJ78" s="39">
        <v>45975</v>
      </c>
      <c r="DK78" s="4">
        <f>DATE(YEAR(DJ78)+2,MONTH(DJ78),DAY(DJ78))</f>
        <v>46705</v>
      </c>
      <c r="DL78" s="8">
        <f t="shared" ca="1" si="280"/>
        <v>560</v>
      </c>
      <c r="DM78" s="5" t="str">
        <f t="shared" ca="1" si="281"/>
        <v>VIGENTE</v>
      </c>
      <c r="DN78" s="3"/>
      <c r="DO78" s="4">
        <v>46007</v>
      </c>
      <c r="DP78" s="4">
        <f>DATE(YEAR(DO78)+2,MONTH(DO78),DAY(DO78))</f>
        <v>46737</v>
      </c>
      <c r="DQ78" s="8">
        <f t="shared" ca="1" si="282"/>
        <v>592</v>
      </c>
      <c r="DR78" s="5" t="str">
        <f t="shared" ca="1" si="283"/>
        <v>VIGENTE</v>
      </c>
      <c r="DS78" s="3"/>
      <c r="DT78" s="4">
        <v>46053</v>
      </c>
      <c r="DU78" s="4">
        <f>DATE(YEAR(DT78)+2,MONTH(DT78),DAY(DT78))</f>
        <v>46783</v>
      </c>
      <c r="DV78" s="8">
        <f t="shared" ca="1" si="284"/>
        <v>638</v>
      </c>
      <c r="DW78" s="5" t="str">
        <f t="shared" ca="1" si="285"/>
        <v>VIGENTE</v>
      </c>
      <c r="DX78" s="3"/>
      <c r="DY78" s="4">
        <v>45612</v>
      </c>
      <c r="DZ78" s="4">
        <f t="shared" si="354"/>
        <v>46341</v>
      </c>
      <c r="EA78" s="8">
        <f t="shared" ca="1" si="286"/>
        <v>196</v>
      </c>
      <c r="EB78" s="5" t="str">
        <f t="shared" ca="1" si="287"/>
        <v>VIGENTE</v>
      </c>
      <c r="EC78" s="3"/>
      <c r="ED78" s="39">
        <v>45730</v>
      </c>
      <c r="EE78" s="4">
        <f>DATE(YEAR(ED78)+2,MONTH(ED78),DAY(ED78)-1)</f>
        <v>46459</v>
      </c>
      <c r="EF78" s="8">
        <f t="shared" ca="1" si="288"/>
        <v>314</v>
      </c>
      <c r="EG78" s="5" t="str">
        <f t="shared" ca="1" si="289"/>
        <v>VIGENTE</v>
      </c>
      <c r="EH78" s="3"/>
      <c r="EI78" s="3">
        <v>46107</v>
      </c>
      <c r="EJ78" s="4">
        <f t="shared" si="355"/>
        <v>46472</v>
      </c>
      <c r="EK78" s="8">
        <f t="shared" ca="1" si="290"/>
        <v>327</v>
      </c>
      <c r="EL78" s="5" t="str">
        <f t="shared" ca="1" si="291"/>
        <v>VIGENTE</v>
      </c>
      <c r="EM78" s="3"/>
      <c r="EN78" s="4">
        <v>45584</v>
      </c>
      <c r="EO78" s="4">
        <f t="shared" si="371"/>
        <v>46313</v>
      </c>
      <c r="EP78" s="8">
        <f t="shared" ca="1" si="292"/>
        <v>168</v>
      </c>
      <c r="EQ78" s="5" t="str">
        <f t="shared" ca="1" si="293"/>
        <v>VIGENTE</v>
      </c>
      <c r="ER78" s="3"/>
      <c r="ES78" s="39">
        <v>46042</v>
      </c>
      <c r="ET78" s="4">
        <f>DATE(YEAR(ES78)+2,MONTH(ES78),DAY(ES78))</f>
        <v>46772</v>
      </c>
      <c r="EU78" s="8">
        <f t="shared" ca="1" si="294"/>
        <v>627</v>
      </c>
      <c r="EV78" s="5" t="str">
        <f t="shared" ca="1" si="295"/>
        <v>VIGENTE</v>
      </c>
      <c r="EW78" s="3"/>
      <c r="EX78" s="4">
        <v>45610</v>
      </c>
      <c r="EY78" s="4">
        <f>DATE(YEAR(EX78)+2,MONTH(EX78),DAY(EX78)-1)</f>
        <v>46339</v>
      </c>
      <c r="EZ78" s="8">
        <f t="shared" ca="1" si="296"/>
        <v>194</v>
      </c>
      <c r="FA78" s="5" t="str">
        <f t="shared" ca="1" si="297"/>
        <v>VIGENTE</v>
      </c>
      <c r="FB78" s="3"/>
      <c r="FC78" s="4">
        <v>45611</v>
      </c>
      <c r="FD78" s="4">
        <f>DATE(YEAR(FC78)+2,MONTH(FC78),DAY(FC78)-1)</f>
        <v>46340</v>
      </c>
      <c r="FE78" s="8">
        <f t="shared" ca="1" si="298"/>
        <v>195</v>
      </c>
      <c r="FF78" s="5" t="str">
        <f t="shared" ca="1" si="299"/>
        <v>VIGENTE</v>
      </c>
      <c r="FG78" s="3"/>
      <c r="FH78" s="4">
        <v>45668</v>
      </c>
      <c r="FI78" s="4">
        <f>DATE(YEAR(FH78)+2,MONTH(FH78),DAY(FH78)-1)</f>
        <v>46397</v>
      </c>
      <c r="FJ78" s="8">
        <f t="shared" ca="1" si="300"/>
        <v>252</v>
      </c>
      <c r="FK78" s="5" t="str">
        <f t="shared" ca="1" si="301"/>
        <v>VIGENTE</v>
      </c>
      <c r="FL78" s="3"/>
      <c r="FM78" s="39">
        <v>45588</v>
      </c>
      <c r="FN78" s="4">
        <f>DATE(YEAR(FM78)+2,MONTH(FM78),DAY(FM78)-1)</f>
        <v>46317</v>
      </c>
      <c r="FO78" s="8">
        <f t="shared" ca="1" si="302"/>
        <v>172</v>
      </c>
      <c r="FP78" s="5" t="str">
        <f t="shared" ca="1" si="303"/>
        <v>VIGENTE</v>
      </c>
      <c r="FQ78" s="3"/>
      <c r="FR78" s="39">
        <v>45664</v>
      </c>
      <c r="FS78" s="4">
        <f t="shared" si="372"/>
        <v>46393</v>
      </c>
      <c r="FT78" s="8">
        <f t="shared" ca="1" si="304"/>
        <v>248</v>
      </c>
      <c r="FU78" s="5" t="str">
        <f t="shared" ca="1" si="305"/>
        <v>VIGENTE</v>
      </c>
      <c r="FV78" s="3"/>
      <c r="FW78" s="4">
        <v>45700</v>
      </c>
      <c r="FX78" s="4">
        <f t="shared" si="383"/>
        <v>46429</v>
      </c>
      <c r="FY78" s="8">
        <f t="shared" ca="1" si="306"/>
        <v>284</v>
      </c>
      <c r="FZ78" s="5" t="str">
        <f t="shared" ca="1" si="307"/>
        <v>VIGENTE</v>
      </c>
      <c r="GA78" s="3"/>
      <c r="GB78" s="4">
        <v>46030</v>
      </c>
      <c r="GC78" s="4">
        <f>DATE(YEAR(GB78)+2,MONTH(GB78),DAY(GB78))</f>
        <v>46760</v>
      </c>
      <c r="GD78" s="8">
        <f t="shared" ca="1" si="308"/>
        <v>615</v>
      </c>
      <c r="GE78" s="5" t="str">
        <f t="shared" ca="1" si="309"/>
        <v>VIGENTE</v>
      </c>
      <c r="GF78" s="3"/>
      <c r="GG78" s="4">
        <v>45672</v>
      </c>
      <c r="GH78" s="4">
        <f>DATE(YEAR(GG78)+2,MONTH(GG78),DAY(GG78)-1)</f>
        <v>46401</v>
      </c>
      <c r="GI78" s="8">
        <f t="shared" ca="1" si="310"/>
        <v>256</v>
      </c>
      <c r="GJ78" s="5" t="str">
        <f t="shared" ca="1" si="311"/>
        <v>VIGENTE</v>
      </c>
      <c r="GK78" s="3"/>
      <c r="GL78" s="4">
        <v>45608</v>
      </c>
      <c r="GM78" s="4">
        <f>DATE(YEAR(GL78)+2,MONTH(GL78),DAY(GL78)-1)</f>
        <v>46337</v>
      </c>
      <c r="GN78" s="8">
        <f t="shared" ca="1" si="312"/>
        <v>192</v>
      </c>
      <c r="GO78" s="5" t="str">
        <f t="shared" ca="1" si="313"/>
        <v>VIGENTE</v>
      </c>
      <c r="GP78" s="4"/>
      <c r="GQ78" s="4">
        <v>44966</v>
      </c>
      <c r="GR78" s="4">
        <f t="shared" si="314"/>
        <v>46792</v>
      </c>
      <c r="GS78" s="8">
        <f t="shared" ca="1" si="176"/>
        <v>647</v>
      </c>
      <c r="GT78" s="5" t="str">
        <f t="shared" ca="1" si="378"/>
        <v>VIGENTE</v>
      </c>
      <c r="GU78" s="3"/>
      <c r="GV78" s="4">
        <v>44952</v>
      </c>
      <c r="GW78" s="4">
        <f t="shared" si="316"/>
        <v>46778</v>
      </c>
      <c r="GX78" s="8">
        <f t="shared" ca="1" si="317"/>
        <v>633</v>
      </c>
      <c r="GY78" s="5" t="str">
        <f t="shared" ca="1" si="379"/>
        <v>VIGENTE</v>
      </c>
      <c r="GZ78" s="2"/>
      <c r="HA78" s="4">
        <v>44980</v>
      </c>
      <c r="HB78" s="4">
        <f t="shared" si="319"/>
        <v>46806</v>
      </c>
      <c r="HC78" s="8">
        <f t="shared" ca="1" si="320"/>
        <v>661</v>
      </c>
      <c r="HD78" s="5" t="str">
        <f t="shared" ca="1" si="380"/>
        <v>VIGENTE</v>
      </c>
      <c r="HE78" s="6"/>
      <c r="HF78" s="4">
        <v>44956</v>
      </c>
      <c r="HG78" s="4">
        <f t="shared" si="373"/>
        <v>46782</v>
      </c>
      <c r="HH78" s="8">
        <f t="shared" ca="1" si="374"/>
        <v>637</v>
      </c>
      <c r="HI78" s="5" t="str">
        <f t="shared" ca="1" si="381"/>
        <v>VIGENTE</v>
      </c>
      <c r="HJ78" s="2"/>
      <c r="HK78" s="6"/>
      <c r="HL78" s="4"/>
      <c r="HM78" s="8"/>
      <c r="HN78" s="5" t="str">
        <f t="shared" si="228"/>
        <v>NO APLICA</v>
      </c>
      <c r="HO78" s="2"/>
      <c r="HP78" s="2"/>
      <c r="HQ78" s="4"/>
      <c r="HR78" s="2"/>
      <c r="HS78" s="5" t="str">
        <f t="shared" si="322"/>
        <v>NO APLICA</v>
      </c>
      <c r="HT78" s="2"/>
      <c r="HU78" s="4">
        <v>44961</v>
      </c>
      <c r="HV78" s="4">
        <f>DATE(YEAR(HU78)+5,MONTH(HU78),DAY(HU78))</f>
        <v>46787</v>
      </c>
      <c r="HW78" s="8">
        <f ca="1">HV78-TODAY()</f>
        <v>642</v>
      </c>
      <c r="HX78" s="5" t="str">
        <f t="shared" ca="1" si="323"/>
        <v>VIGENTE</v>
      </c>
      <c r="HY78" s="2"/>
      <c r="HZ78" s="4">
        <v>44932</v>
      </c>
      <c r="IA78" s="4">
        <f>DATE(YEAR(HZ78)+5,MONTH(HZ78),DAY(HZ78))</f>
        <v>46758</v>
      </c>
      <c r="IB78" s="8">
        <f ca="1">IA78-TODAY()</f>
        <v>613</v>
      </c>
      <c r="IC78" s="5" t="str">
        <f t="shared" ca="1" si="324"/>
        <v>VIGENTE</v>
      </c>
      <c r="ID78" s="2"/>
      <c r="IE78" s="4">
        <v>44971</v>
      </c>
      <c r="IF78" s="4">
        <f>DATE(YEAR(IE78)+5,MONTH(IE78),DAY(IE78))</f>
        <v>46797</v>
      </c>
      <c r="IG78" s="8">
        <f ca="1">IF78-TODAY()</f>
        <v>652</v>
      </c>
      <c r="IH78" s="5" t="str">
        <f t="shared" ca="1" si="325"/>
        <v>VIGENTE</v>
      </c>
      <c r="II78" s="6"/>
      <c r="IJ78" s="4">
        <v>44965</v>
      </c>
      <c r="IK78" s="4">
        <f>DATE(YEAR(IJ78)+5,MONTH(IJ78),DAY(IJ78))</f>
        <v>46791</v>
      </c>
      <c r="IL78" s="8">
        <f ca="1">IK78-TODAY()</f>
        <v>646</v>
      </c>
      <c r="IM78" s="5" t="str">
        <f t="shared" ca="1" si="326"/>
        <v>VIGENTE</v>
      </c>
      <c r="IN78" s="2"/>
      <c r="IO78" s="4">
        <v>44977</v>
      </c>
      <c r="IP78" s="4">
        <f>DATE(YEAR(IO78)+5,MONTH(IO78),DAY(IO78))</f>
        <v>46803</v>
      </c>
      <c r="IQ78" s="8">
        <f ca="1">IP78-TODAY()</f>
        <v>658</v>
      </c>
      <c r="IR78" s="5" t="str">
        <f t="shared" ca="1" si="327"/>
        <v>VIGENTE</v>
      </c>
      <c r="IS78" s="2"/>
      <c r="IT78" s="4">
        <v>44970</v>
      </c>
      <c r="IU78" s="4">
        <f>DATE(YEAR(IT78)+5,MONTH(IT78),DAY(IT78))</f>
        <v>46796</v>
      </c>
      <c r="IV78" s="8">
        <f ca="1">IU78-TODAY()</f>
        <v>651</v>
      </c>
      <c r="IW78" s="5" t="str">
        <f t="shared" ca="1" si="328"/>
        <v>VIGENTE</v>
      </c>
      <c r="IX78" s="2"/>
      <c r="IY78" s="4">
        <v>44933</v>
      </c>
      <c r="IZ78" s="4">
        <f>DATE(YEAR(IY78)+5,MONTH(IY78),DAY(IY78))</f>
        <v>46759</v>
      </c>
      <c r="JA78" s="8">
        <f ca="1">IZ78-TODAY()</f>
        <v>614</v>
      </c>
      <c r="JB78" s="5" t="str">
        <f t="shared" ca="1" si="329"/>
        <v>VIGENTE</v>
      </c>
      <c r="JC78" s="3" t="s">
        <v>780</v>
      </c>
      <c r="JD78" s="3"/>
      <c r="JE78" s="4"/>
      <c r="JF78" s="8"/>
      <c r="JG78" s="5"/>
      <c r="JH78" s="3" t="s">
        <v>780</v>
      </c>
      <c r="JI78" s="6"/>
      <c r="JJ78" s="6"/>
      <c r="JK78" s="6"/>
      <c r="JL78" s="5"/>
      <c r="JM78" s="6" t="s">
        <v>780</v>
      </c>
      <c r="JN78" s="6"/>
      <c r="JO78" s="6"/>
      <c r="JP78" s="6"/>
      <c r="JQ78" s="5"/>
      <c r="JR78" s="6" t="s">
        <v>780</v>
      </c>
      <c r="JS78" s="6"/>
      <c r="JT78" s="6"/>
      <c r="JU78" s="6"/>
      <c r="JV78" s="5"/>
      <c r="JW78" s="6" t="s">
        <v>780</v>
      </c>
      <c r="JX78" s="5"/>
      <c r="JY78" s="5"/>
      <c r="JZ78" s="5"/>
      <c r="KA78" s="5"/>
      <c r="KB78" s="5"/>
      <c r="KC78" s="2"/>
      <c r="KD78" s="4"/>
      <c r="KE78" s="8"/>
      <c r="KF78" s="5" t="str">
        <f t="shared" si="330"/>
        <v>NO APLICA</v>
      </c>
      <c r="KG78" s="5"/>
      <c r="KH78" s="2"/>
      <c r="KI78" s="4"/>
      <c r="KJ78" s="8"/>
      <c r="KK78" s="5" t="str">
        <f t="shared" si="356"/>
        <v>NO APLICA</v>
      </c>
      <c r="KL78" s="5"/>
      <c r="KM78" s="2"/>
      <c r="KN78" s="4"/>
      <c r="KO78" s="8"/>
      <c r="KP78" s="5" t="str">
        <f t="shared" si="331"/>
        <v>NO APLICA</v>
      </c>
      <c r="KQ78" s="5"/>
      <c r="KR78" s="3">
        <v>45346</v>
      </c>
      <c r="KS78" s="4">
        <f>DATE(YEAR(KR78)+5,MONTH(KR78),DAY(KR78))</f>
        <v>47173</v>
      </c>
      <c r="KT78" s="8">
        <f ca="1">KS78-TODAY()</f>
        <v>1028</v>
      </c>
      <c r="KU78" s="5" t="str">
        <f t="shared" ca="1" si="357"/>
        <v>VIGENTE</v>
      </c>
      <c r="KV78" s="2"/>
      <c r="KW78" s="6"/>
      <c r="KX78" s="4"/>
      <c r="KY78" s="8"/>
      <c r="KZ78" s="5" t="str">
        <f t="shared" si="366"/>
        <v>NO APLICA</v>
      </c>
      <c r="LA78" s="5"/>
      <c r="LB78" s="6"/>
      <c r="LC78" s="4"/>
      <c r="LD78" s="8"/>
      <c r="LE78" s="5" t="str">
        <f t="shared" si="358"/>
        <v>NO APLICA</v>
      </c>
      <c r="LF78" s="6"/>
      <c r="LG78" s="6"/>
      <c r="LH78" s="4"/>
      <c r="LI78" s="8"/>
      <c r="LJ78" s="5" t="str">
        <f t="shared" si="332"/>
        <v>NO APLICA</v>
      </c>
      <c r="LK78" s="5"/>
      <c r="LL78" s="5"/>
      <c r="LM78" s="5"/>
      <c r="LN78" s="5"/>
      <c r="LO78" s="5" t="str">
        <f t="shared" si="367"/>
        <v>NO APLICA</v>
      </c>
      <c r="LP78" s="2"/>
      <c r="LQ78" s="6"/>
      <c r="LR78" s="4"/>
      <c r="LS78" s="8"/>
      <c r="LT78" s="5" t="str">
        <f t="shared" si="359"/>
        <v>NO APLICA</v>
      </c>
      <c r="LU78" s="6"/>
      <c r="LV78" s="6"/>
      <c r="LW78" s="4"/>
      <c r="LX78" s="8"/>
      <c r="LY78" s="5" t="str">
        <f t="shared" si="360"/>
        <v>NO APLICA</v>
      </c>
      <c r="LZ78" s="6"/>
      <c r="MA78" s="6"/>
      <c r="MB78" s="4"/>
      <c r="MC78" s="8"/>
      <c r="MD78" s="5" t="str">
        <f t="shared" si="361"/>
        <v>NO APLICA</v>
      </c>
      <c r="ME78" s="2"/>
      <c r="MF78" s="2"/>
      <c r="MG78" s="4"/>
      <c r="MH78" s="8"/>
      <c r="MI78" s="5" t="str">
        <f t="shared" si="333"/>
        <v>NO APLICA</v>
      </c>
      <c r="MJ78" s="2"/>
      <c r="MK78" s="2"/>
      <c r="ML78" s="4"/>
      <c r="MM78" s="8"/>
      <c r="MN78" s="5" t="str">
        <f t="shared" si="334"/>
        <v>NO APLICA</v>
      </c>
      <c r="MO78" s="5"/>
      <c r="MP78" s="2"/>
      <c r="MQ78" s="4"/>
      <c r="MR78" s="8"/>
      <c r="MS78" s="5" t="str">
        <f t="shared" si="335"/>
        <v>NO APLICA</v>
      </c>
      <c r="MT78" s="5"/>
      <c r="MU78" s="2"/>
      <c r="MV78" s="4"/>
      <c r="MW78" s="2"/>
      <c r="MX78" s="5" t="str">
        <f t="shared" si="336"/>
        <v>NO APLICA</v>
      </c>
      <c r="MY78" s="2"/>
      <c r="MZ78" s="6"/>
      <c r="NA78" s="4"/>
      <c r="NB78" s="8"/>
      <c r="NC78" s="5" t="str">
        <f t="shared" si="337"/>
        <v>NO APLICA</v>
      </c>
      <c r="ND78" s="2"/>
      <c r="NE78" s="6"/>
      <c r="NF78" s="4"/>
      <c r="NG78" s="8"/>
      <c r="NH78" s="5" t="str">
        <f t="shared" si="338"/>
        <v>NO APLICA</v>
      </c>
      <c r="NI78" s="2"/>
      <c r="NJ78" s="6"/>
      <c r="NK78" s="4"/>
      <c r="NL78" s="8"/>
      <c r="NM78" s="5" t="str">
        <f t="shared" si="339"/>
        <v>NO APLICA</v>
      </c>
      <c r="NN78" s="2"/>
      <c r="NO78" s="2"/>
      <c r="NP78" s="4"/>
      <c r="NQ78" s="2"/>
      <c r="NR78" s="5" t="str">
        <f t="shared" si="340"/>
        <v>NO APLICA</v>
      </c>
      <c r="NS78" s="2"/>
      <c r="NT78" s="2"/>
      <c r="NU78" s="4"/>
      <c r="NV78" s="2"/>
      <c r="NW78" s="5" t="str">
        <f t="shared" si="341"/>
        <v>NO APLICA</v>
      </c>
      <c r="NX78" s="6"/>
      <c r="NY78" s="6"/>
      <c r="NZ78" s="4"/>
      <c r="OA78" s="8"/>
      <c r="OB78" s="5" t="str">
        <f t="shared" si="342"/>
        <v>NO APLICA</v>
      </c>
      <c r="OC78" s="6"/>
      <c r="OD78" s="6"/>
      <c r="OE78" s="6"/>
      <c r="OF78" s="6"/>
      <c r="OG78" s="5" t="str">
        <f t="shared" si="343"/>
        <v>NO APLICA</v>
      </c>
      <c r="OH78" s="6"/>
      <c r="OI78" s="6"/>
      <c r="OJ78" s="4"/>
      <c r="OK78" s="8"/>
      <c r="OL78" s="5" t="str">
        <f t="shared" si="344"/>
        <v>NO APLICA</v>
      </c>
      <c r="OM78" s="6"/>
      <c r="ON78" s="6"/>
      <c r="OO78" s="6"/>
      <c r="OP78" s="6"/>
      <c r="OQ78" s="5" t="str">
        <f t="shared" si="345"/>
        <v>NO APLICA</v>
      </c>
      <c r="OR78" s="6"/>
      <c r="OS78" s="6"/>
      <c r="OT78" s="6"/>
      <c r="OU78" s="6"/>
      <c r="OV78" s="5" t="str">
        <f t="shared" si="346"/>
        <v>NO APLICA</v>
      </c>
      <c r="OW78" s="6"/>
      <c r="OX78" s="6"/>
      <c r="OY78" s="6"/>
      <c r="OZ78" s="6"/>
      <c r="PA78" s="5" t="str">
        <f t="shared" si="347"/>
        <v>NO APLICA</v>
      </c>
      <c r="PB78" s="6"/>
      <c r="PC78" s="6"/>
      <c r="PD78" s="6"/>
      <c r="PE78" s="6"/>
      <c r="PF78" s="5" t="str">
        <f t="shared" si="348"/>
        <v>NO APLICA</v>
      </c>
      <c r="PG78" s="6"/>
      <c r="PH78" s="6"/>
      <c r="PI78" s="6"/>
      <c r="PJ78" s="6"/>
      <c r="PK78" s="5" t="str">
        <f t="shared" si="349"/>
        <v>NO APLICA</v>
      </c>
      <c r="PL78" s="5"/>
      <c r="PM78" s="6"/>
      <c r="PN78" s="4"/>
      <c r="PO78" s="8"/>
      <c r="PP78" s="5" t="str">
        <f t="shared" si="350"/>
        <v>NO APLICA</v>
      </c>
      <c r="PQ78" s="6"/>
      <c r="PR78" s="6"/>
      <c r="PS78" s="6"/>
      <c r="PT78" s="6"/>
      <c r="PU78" s="5" t="str">
        <f t="shared" si="351"/>
        <v>NO APLICA</v>
      </c>
      <c r="PV78" s="5"/>
      <c r="PW78" s="6"/>
      <c r="PX78" s="6"/>
      <c r="PY78" s="6"/>
      <c r="PZ78" s="5" t="str">
        <f t="shared" si="352"/>
        <v>NO APLICA</v>
      </c>
    </row>
    <row r="79" spans="1:442" ht="15.6" hidden="1" thickTop="1" thickBot="1" x14ac:dyDescent="0.35">
      <c r="A79" s="26">
        <v>76</v>
      </c>
      <c r="B79" s="27">
        <v>1646</v>
      </c>
      <c r="C79" s="28" t="s">
        <v>288</v>
      </c>
      <c r="D79" s="29" t="s">
        <v>68</v>
      </c>
      <c r="E79" s="30" t="s">
        <v>73</v>
      </c>
      <c r="F79" s="6"/>
      <c r="G79" s="6"/>
      <c r="H79" s="6"/>
      <c r="I79" s="6"/>
      <c r="J79" s="5" t="str">
        <f t="shared" si="242"/>
        <v>NO APLICA</v>
      </c>
      <c r="K79" s="6"/>
      <c r="L79" s="6"/>
      <c r="M79" s="6"/>
      <c r="N79" s="6"/>
      <c r="O79" s="5" t="str">
        <f t="shared" si="243"/>
        <v>NO APLICA</v>
      </c>
      <c r="P79" s="6"/>
      <c r="Q79" s="6"/>
      <c r="R79" s="6"/>
      <c r="S79" s="6"/>
      <c r="T79" s="5" t="str">
        <f t="shared" si="353"/>
        <v>NO APLICA</v>
      </c>
      <c r="U79" s="5"/>
      <c r="V79" s="6" t="s">
        <v>289</v>
      </c>
      <c r="W79" s="4">
        <v>45159</v>
      </c>
      <c r="X79" s="4">
        <f t="shared" si="244"/>
        <v>46986</v>
      </c>
      <c r="Y79" s="8">
        <f t="shared" ca="1" si="245"/>
        <v>841</v>
      </c>
      <c r="Z79" s="5" t="str">
        <f t="shared" ca="1" si="246"/>
        <v>VIGENTE</v>
      </c>
      <c r="AA79" s="5"/>
      <c r="AB79" s="6" t="s">
        <v>290</v>
      </c>
      <c r="AC79" s="4">
        <v>45161</v>
      </c>
      <c r="AD79" s="4">
        <f t="shared" si="376"/>
        <v>46988</v>
      </c>
      <c r="AE79" s="8">
        <f t="shared" ca="1" si="377"/>
        <v>843</v>
      </c>
      <c r="AF79" s="5" t="str">
        <f t="shared" ca="1" si="247"/>
        <v>VIGENTE</v>
      </c>
      <c r="AG79" s="4"/>
      <c r="AH79" s="4">
        <v>45609</v>
      </c>
      <c r="AI79" s="4">
        <f>DATE(YEAR(AH79)+2,MONTH(AH79),DAY(AH79)-1)</f>
        <v>46338</v>
      </c>
      <c r="AJ79" s="8">
        <f t="shared" ca="1" si="248"/>
        <v>193</v>
      </c>
      <c r="AK79" s="5" t="str">
        <f t="shared" ca="1" si="219"/>
        <v>VIGENTE</v>
      </c>
      <c r="AL79" s="4"/>
      <c r="AM79" s="4">
        <v>45710</v>
      </c>
      <c r="AN79" s="4">
        <f>DATE(YEAR(AM79)+2,MONTH(AM79),DAY(AM79)-1)</f>
        <v>46439</v>
      </c>
      <c r="AO79" s="8">
        <f t="shared" ca="1" si="249"/>
        <v>294</v>
      </c>
      <c r="AP79" s="5" t="str">
        <f t="shared" ca="1" si="250"/>
        <v>VIGENTE</v>
      </c>
      <c r="AQ79" s="4"/>
      <c r="AR79" s="4">
        <v>45640</v>
      </c>
      <c r="AS79" s="4">
        <f>DATE(YEAR(AR79)+2,MONTH(AR79),DAY(AR79)-1)</f>
        <v>46369</v>
      </c>
      <c r="AT79" s="8">
        <f t="shared" ca="1" si="251"/>
        <v>224</v>
      </c>
      <c r="AU79" s="5" t="str">
        <f t="shared" ca="1" si="252"/>
        <v>VIGENTE</v>
      </c>
      <c r="AV79" s="4"/>
      <c r="AW79" s="4">
        <v>45644</v>
      </c>
      <c r="AX79" s="4">
        <f>DATE(YEAR(AW79)+2,MONTH(AW79),DAY(AW79)-1)</f>
        <v>46373</v>
      </c>
      <c r="AY79" s="8">
        <f t="shared" ca="1" si="253"/>
        <v>228</v>
      </c>
      <c r="AZ79" s="5" t="str">
        <f t="shared" ca="1" si="254"/>
        <v>VIGENTE</v>
      </c>
      <c r="BA79" s="4"/>
      <c r="BB79" s="4">
        <v>45622</v>
      </c>
      <c r="BC79" s="4">
        <f>DATE(YEAR(BB79)+2,MONTH(BB79),DAY(BB79)-1)</f>
        <v>46351</v>
      </c>
      <c r="BD79" s="8">
        <f t="shared" ca="1" si="255"/>
        <v>206</v>
      </c>
      <c r="BE79" s="5" t="str">
        <f t="shared" ca="1" si="256"/>
        <v>VIGENTE</v>
      </c>
      <c r="BF79" s="4"/>
      <c r="BG79" s="4">
        <v>45643</v>
      </c>
      <c r="BH79" s="4">
        <f>DATE(YEAR(BG79)+2,MONTH(BG79),DAY(BG79)-1)</f>
        <v>46372</v>
      </c>
      <c r="BI79" s="8">
        <f t="shared" ca="1" si="257"/>
        <v>227</v>
      </c>
      <c r="BJ79" s="5" t="str">
        <f t="shared" ca="1" si="258"/>
        <v>VIGENTE</v>
      </c>
      <c r="BK79" s="4"/>
      <c r="BL79" s="4">
        <v>45699</v>
      </c>
      <c r="BM79" s="4">
        <f>DATE(YEAR(BL79)+2,MONTH(BL79),DAY(BL79)-1)</f>
        <v>46428</v>
      </c>
      <c r="BN79" s="8">
        <f t="shared" ca="1" si="259"/>
        <v>283</v>
      </c>
      <c r="BO79" s="5" t="str">
        <f t="shared" ca="1" si="260"/>
        <v>VIGENTE</v>
      </c>
      <c r="BP79" s="4"/>
      <c r="BQ79" s="4">
        <v>45621</v>
      </c>
      <c r="BR79" s="4">
        <f>DATE(YEAR(BQ79)+2,MONTH(BQ79),DAY(BQ79)-1)</f>
        <v>46350</v>
      </c>
      <c r="BS79" s="8">
        <f t="shared" ca="1" si="261"/>
        <v>205</v>
      </c>
      <c r="BT79" s="5" t="str">
        <f t="shared" ca="1" si="262"/>
        <v>VIGENTE</v>
      </c>
      <c r="BU79" s="4"/>
      <c r="BV79" s="4">
        <v>45695</v>
      </c>
      <c r="BW79" s="4">
        <f>DATE(YEAR(BV79)+2,MONTH(BV79),DAY(BV79)-1)</f>
        <v>46424</v>
      </c>
      <c r="BX79" s="8">
        <f t="shared" ca="1" si="263"/>
        <v>279</v>
      </c>
      <c r="BY79" s="5" t="str">
        <f t="shared" ca="1" si="264"/>
        <v>VIGENTE</v>
      </c>
      <c r="BZ79" s="4"/>
      <c r="CA79" s="4">
        <v>45629</v>
      </c>
      <c r="CB79" s="4">
        <f>DATE(YEAR(CA79)+2,MONTH(CA79),DAY(CA79)-1)</f>
        <v>46358</v>
      </c>
      <c r="CC79" s="8">
        <f t="shared" ca="1" si="265"/>
        <v>213</v>
      </c>
      <c r="CD79" s="5" t="str">
        <f t="shared" ca="1" si="266"/>
        <v>VIGENTE</v>
      </c>
      <c r="CE79" s="6"/>
      <c r="CF79" s="4">
        <v>45723</v>
      </c>
      <c r="CG79" s="4">
        <f t="shared" si="267"/>
        <v>47184</v>
      </c>
      <c r="CH79" s="8">
        <f t="shared" ca="1" si="268"/>
        <v>1039</v>
      </c>
      <c r="CI79" s="5" t="str">
        <f t="shared" ca="1" si="269"/>
        <v>VIGENTE</v>
      </c>
      <c r="CJ79" s="4"/>
      <c r="CK79" s="4">
        <v>45688</v>
      </c>
      <c r="CL79" s="4">
        <f t="shared" si="375"/>
        <v>46417</v>
      </c>
      <c r="CM79" s="8">
        <f t="shared" ca="1" si="270"/>
        <v>272</v>
      </c>
      <c r="CN79" s="5" t="str">
        <f t="shared" ca="1" si="271"/>
        <v>VIGENTE</v>
      </c>
      <c r="CO79" s="4"/>
      <c r="CP79" s="4">
        <v>45684</v>
      </c>
      <c r="CQ79" s="4">
        <f t="shared" si="368"/>
        <v>46413</v>
      </c>
      <c r="CR79" s="8">
        <f t="shared" ca="1" si="272"/>
        <v>268</v>
      </c>
      <c r="CS79" s="5" t="str">
        <f t="shared" ca="1" si="273"/>
        <v>VIGENTE</v>
      </c>
      <c r="CT79" s="4"/>
      <c r="CU79" s="4">
        <v>45639</v>
      </c>
      <c r="CV79" s="4">
        <f>DATE(YEAR(CU79)+2,MONTH(CU79),DAY(CU79)-1)</f>
        <v>46368</v>
      </c>
      <c r="CW79" s="8">
        <f t="shared" ca="1" si="274"/>
        <v>223</v>
      </c>
      <c r="CX79" s="5" t="str">
        <f t="shared" ca="1" si="275"/>
        <v>VIGENTE</v>
      </c>
      <c r="CY79" s="4"/>
      <c r="CZ79" s="4">
        <v>45681</v>
      </c>
      <c r="DA79" s="4">
        <f>DATE(YEAR(CZ79)+2,MONTH(CZ79),DAY(CZ79)-1)</f>
        <v>46410</v>
      </c>
      <c r="DB79" s="8">
        <f t="shared" ca="1" si="276"/>
        <v>265</v>
      </c>
      <c r="DC79" s="5" t="str">
        <f t="shared" ca="1" si="277"/>
        <v>VIGENTE</v>
      </c>
      <c r="DD79" s="4"/>
      <c r="DE79" s="4">
        <v>45689</v>
      </c>
      <c r="DF79" s="4">
        <f t="shared" si="382"/>
        <v>46418</v>
      </c>
      <c r="DG79" s="8">
        <f t="shared" ca="1" si="278"/>
        <v>273</v>
      </c>
      <c r="DH79" s="5" t="str">
        <f t="shared" ca="1" si="279"/>
        <v>VIGENTE</v>
      </c>
      <c r="DI79" s="4"/>
      <c r="DJ79" s="4">
        <v>45696</v>
      </c>
      <c r="DK79" s="4">
        <f>DATE(YEAR(DJ79)+2,MONTH(DJ79),DAY(DJ79)-1)</f>
        <v>46425</v>
      </c>
      <c r="DL79" s="8">
        <f t="shared" ca="1" si="280"/>
        <v>280</v>
      </c>
      <c r="DM79" s="5" t="str">
        <f t="shared" ca="1" si="281"/>
        <v>VIGENTE</v>
      </c>
      <c r="DN79" s="4"/>
      <c r="DO79" s="4">
        <v>45731</v>
      </c>
      <c r="DP79" s="4">
        <f>DATE(YEAR(DO79)+2,MONTH(DO79),DAY(DO79)-1)</f>
        <v>46460</v>
      </c>
      <c r="DQ79" s="8">
        <f t="shared" ca="1" si="282"/>
        <v>315</v>
      </c>
      <c r="DR79" s="5" t="str">
        <f t="shared" ca="1" si="283"/>
        <v>VIGENTE</v>
      </c>
      <c r="DS79" s="4"/>
      <c r="DT79" s="4">
        <v>45728</v>
      </c>
      <c r="DU79" s="4">
        <f>DATE(YEAR(DT79)+2,MONTH(DT79),DAY(DT79)-1)</f>
        <v>46457</v>
      </c>
      <c r="DV79" s="8">
        <f t="shared" ca="1" si="284"/>
        <v>312</v>
      </c>
      <c r="DW79" s="5" t="str">
        <f t="shared" ca="1" si="285"/>
        <v>VIGENTE</v>
      </c>
      <c r="DX79" s="4"/>
      <c r="DY79" s="4">
        <v>45709</v>
      </c>
      <c r="DZ79" s="4">
        <f t="shared" si="354"/>
        <v>46438</v>
      </c>
      <c r="EA79" s="8">
        <f t="shared" ca="1" si="286"/>
        <v>293</v>
      </c>
      <c r="EB79" s="5" t="str">
        <f t="shared" ca="1" si="287"/>
        <v>VIGENTE</v>
      </c>
      <c r="EC79" s="4"/>
      <c r="ED79" s="4">
        <v>45642</v>
      </c>
      <c r="EE79" s="4">
        <f>DATE(YEAR(ED79)+2,MONTH(ED79),DAY(ED79)-1)</f>
        <v>46371</v>
      </c>
      <c r="EF79" s="8">
        <f t="shared" ca="1" si="288"/>
        <v>226</v>
      </c>
      <c r="EG79" s="5" t="str">
        <f t="shared" ca="1" si="289"/>
        <v>VIGENTE</v>
      </c>
      <c r="EH79" s="4"/>
      <c r="EI79" s="4">
        <v>46123</v>
      </c>
      <c r="EJ79" s="4">
        <f t="shared" si="355"/>
        <v>46488</v>
      </c>
      <c r="EK79" s="8">
        <f t="shared" ca="1" si="290"/>
        <v>343</v>
      </c>
      <c r="EL79" s="5" t="str">
        <f t="shared" ca="1" si="291"/>
        <v>VIGENTE</v>
      </c>
      <c r="EM79" s="4"/>
      <c r="EN79" s="4">
        <v>45660</v>
      </c>
      <c r="EO79" s="4">
        <f t="shared" si="371"/>
        <v>46389</v>
      </c>
      <c r="EP79" s="8">
        <f t="shared" ca="1" si="292"/>
        <v>244</v>
      </c>
      <c r="EQ79" s="5" t="str">
        <f t="shared" ca="1" si="293"/>
        <v>VIGENTE</v>
      </c>
      <c r="ER79" s="4"/>
      <c r="ES79" s="4">
        <v>45623</v>
      </c>
      <c r="ET79" s="4">
        <f>DATE(YEAR(ES79)+2,MONTH(ES79),DAY(ES79)-1)</f>
        <v>46352</v>
      </c>
      <c r="EU79" s="8">
        <f t="shared" ca="1" si="294"/>
        <v>207</v>
      </c>
      <c r="EV79" s="5" t="str">
        <f t="shared" ca="1" si="295"/>
        <v>VIGENTE</v>
      </c>
      <c r="EW79" s="4"/>
      <c r="EX79" s="4">
        <v>45610</v>
      </c>
      <c r="EY79" s="4">
        <f>DATE(YEAR(EX79)+2,MONTH(EX79),DAY(EX79)-1)</f>
        <v>46339</v>
      </c>
      <c r="EZ79" s="8">
        <f t="shared" ca="1" si="296"/>
        <v>194</v>
      </c>
      <c r="FA79" s="5" t="str">
        <f t="shared" ca="1" si="297"/>
        <v>VIGENTE</v>
      </c>
      <c r="FB79" s="4"/>
      <c r="FC79" s="4">
        <v>45666</v>
      </c>
      <c r="FD79" s="4">
        <f>DATE(YEAR(FC79)+2,MONTH(FC79),DAY(FC79)-1)</f>
        <v>46395</v>
      </c>
      <c r="FE79" s="8">
        <f t="shared" ca="1" si="298"/>
        <v>250</v>
      </c>
      <c r="FF79" s="5" t="str">
        <f t="shared" ca="1" si="299"/>
        <v>VIGENTE</v>
      </c>
      <c r="FG79" s="6"/>
      <c r="FH79" s="4">
        <v>45756</v>
      </c>
      <c r="FI79" s="4">
        <f>DATE(YEAR(FH79)+2,MONTH(FH79),DAY(FH79))</f>
        <v>46486</v>
      </c>
      <c r="FJ79" s="8">
        <f t="shared" ca="1" si="300"/>
        <v>341</v>
      </c>
      <c r="FK79" s="5" t="str">
        <f t="shared" ca="1" si="301"/>
        <v>VIGENTE</v>
      </c>
      <c r="FL79" s="4"/>
      <c r="FM79" s="4">
        <v>45637</v>
      </c>
      <c r="FN79" s="4">
        <f>DATE(YEAR(FM79)+2,MONTH(FM79),DAY(FM79)-1)</f>
        <v>46366</v>
      </c>
      <c r="FO79" s="8">
        <f t="shared" ca="1" si="302"/>
        <v>221</v>
      </c>
      <c r="FP79" s="5" t="str">
        <f t="shared" ca="1" si="303"/>
        <v>VIGENTE</v>
      </c>
      <c r="FQ79" s="4"/>
      <c r="FR79" s="4">
        <v>45605</v>
      </c>
      <c r="FS79" s="4">
        <f t="shared" si="372"/>
        <v>46334</v>
      </c>
      <c r="FT79" s="8">
        <f t="shared" ca="1" si="304"/>
        <v>189</v>
      </c>
      <c r="FU79" s="5" t="str">
        <f t="shared" ca="1" si="305"/>
        <v>VIGENTE</v>
      </c>
      <c r="FV79" s="4"/>
      <c r="FW79" s="4">
        <v>45616</v>
      </c>
      <c r="FX79" s="4">
        <f t="shared" si="383"/>
        <v>46345</v>
      </c>
      <c r="FY79" s="8">
        <f t="shared" ca="1" si="306"/>
        <v>200</v>
      </c>
      <c r="FZ79" s="5" t="str">
        <f t="shared" ca="1" si="307"/>
        <v>VIGENTE</v>
      </c>
      <c r="GA79" s="4"/>
      <c r="GB79" s="4">
        <v>45626</v>
      </c>
      <c r="GC79" s="4">
        <f>DATE(YEAR(GB79)+2,MONTH(GB79),DAY(GB79)-1)</f>
        <v>46355</v>
      </c>
      <c r="GD79" s="8">
        <f t="shared" ca="1" si="308"/>
        <v>210</v>
      </c>
      <c r="GE79" s="5" t="str">
        <f t="shared" ca="1" si="309"/>
        <v>VIGENTE</v>
      </c>
      <c r="GF79" s="4"/>
      <c r="GG79" s="4">
        <v>45672</v>
      </c>
      <c r="GH79" s="4">
        <f>DATE(YEAR(GG79)+2,MONTH(GG79),DAY(GG79)-1)</f>
        <v>46401</v>
      </c>
      <c r="GI79" s="8">
        <f t="shared" ca="1" si="310"/>
        <v>256</v>
      </c>
      <c r="GJ79" s="5" t="str">
        <f t="shared" ca="1" si="311"/>
        <v>VIGENTE</v>
      </c>
      <c r="GK79" s="4"/>
      <c r="GL79" s="4">
        <v>45608</v>
      </c>
      <c r="GM79" s="4">
        <f>DATE(YEAR(GL79)+2,MONTH(GL79),DAY(GL79)-1)</f>
        <v>46337</v>
      </c>
      <c r="GN79" s="8">
        <f t="shared" ca="1" si="312"/>
        <v>192</v>
      </c>
      <c r="GO79" s="5" t="str">
        <f t="shared" ca="1" si="313"/>
        <v>VIGENTE</v>
      </c>
      <c r="GP79" s="4"/>
      <c r="GQ79" s="4">
        <v>45677</v>
      </c>
      <c r="GR79" s="4">
        <f t="shared" si="314"/>
        <v>47503</v>
      </c>
      <c r="GS79" s="8">
        <f t="shared" ref="GS79:GS105" ca="1" si="384">GR79-TODAY()</f>
        <v>1358</v>
      </c>
      <c r="GT79" s="5" t="str">
        <f t="shared" ca="1" si="378"/>
        <v>VIGENTE</v>
      </c>
      <c r="GU79" s="4"/>
      <c r="GV79" s="4">
        <v>45680</v>
      </c>
      <c r="GW79" s="4">
        <f t="shared" si="316"/>
        <v>47506</v>
      </c>
      <c r="GX79" s="8">
        <f t="shared" ca="1" si="317"/>
        <v>1361</v>
      </c>
      <c r="GY79" s="5" t="str">
        <f t="shared" ca="1" si="379"/>
        <v>VIGENTE</v>
      </c>
      <c r="GZ79" s="6"/>
      <c r="HA79" s="4">
        <v>45678</v>
      </c>
      <c r="HB79" s="4">
        <f t="shared" si="319"/>
        <v>47504</v>
      </c>
      <c r="HC79" s="8">
        <f t="shared" ca="1" si="320"/>
        <v>1359</v>
      </c>
      <c r="HD79" s="5" t="str">
        <f t="shared" ca="1" si="380"/>
        <v>VIGENTE</v>
      </c>
      <c r="HE79" s="6"/>
      <c r="HF79" s="4">
        <v>45679</v>
      </c>
      <c r="HG79" s="4">
        <f t="shared" si="373"/>
        <v>47505</v>
      </c>
      <c r="HH79" s="8">
        <f t="shared" ca="1" si="374"/>
        <v>1360</v>
      </c>
      <c r="HI79" s="5" t="str">
        <f t="shared" ca="1" si="381"/>
        <v>VIGENTE</v>
      </c>
      <c r="HJ79" s="6"/>
      <c r="HK79" s="6"/>
      <c r="HL79" s="6"/>
      <c r="HM79" s="6"/>
      <c r="HN79" s="5" t="str">
        <f t="shared" si="228"/>
        <v>NO APLICA</v>
      </c>
      <c r="HO79" s="6"/>
      <c r="HP79" s="6"/>
      <c r="HQ79" s="6"/>
      <c r="HR79" s="6"/>
      <c r="HS79" s="5" t="str">
        <f t="shared" si="322"/>
        <v>NO APLICA</v>
      </c>
      <c r="HT79" s="6"/>
      <c r="HU79" s="6"/>
      <c r="HV79" s="6"/>
      <c r="HW79" s="6"/>
      <c r="HX79" s="5" t="str">
        <f t="shared" si="323"/>
        <v>NO APLICA</v>
      </c>
      <c r="HY79" s="6"/>
      <c r="HZ79" s="6"/>
      <c r="IA79" s="6"/>
      <c r="IB79" s="6"/>
      <c r="IC79" s="5" t="str">
        <f t="shared" si="324"/>
        <v>NO APLICA</v>
      </c>
      <c r="ID79" s="6"/>
      <c r="IE79" s="6"/>
      <c r="IF79" s="6"/>
      <c r="IG79" s="6"/>
      <c r="IH79" s="5" t="str">
        <f t="shared" si="325"/>
        <v>NO APLICA</v>
      </c>
      <c r="II79" s="6"/>
      <c r="IJ79" s="6"/>
      <c r="IK79" s="6"/>
      <c r="IL79" s="6"/>
      <c r="IM79" s="5" t="str">
        <f t="shared" si="326"/>
        <v>NO APLICA</v>
      </c>
      <c r="IN79" s="6"/>
      <c r="IO79" s="6"/>
      <c r="IP79" s="6"/>
      <c r="IQ79" s="6"/>
      <c r="IR79" s="5" t="str">
        <f t="shared" si="327"/>
        <v>NO APLICA</v>
      </c>
      <c r="IS79" s="6"/>
      <c r="IT79" s="6"/>
      <c r="IU79" s="6"/>
      <c r="IV79" s="6"/>
      <c r="IW79" s="5" t="str">
        <f t="shared" si="328"/>
        <v>NO APLICA</v>
      </c>
      <c r="IX79" s="6"/>
      <c r="IY79" s="6"/>
      <c r="IZ79" s="6"/>
      <c r="JA79" s="6"/>
      <c r="JB79" s="5" t="str">
        <f t="shared" si="329"/>
        <v>NO APLICA</v>
      </c>
      <c r="JC79" s="3" t="s">
        <v>780</v>
      </c>
      <c r="JD79" s="6"/>
      <c r="JE79" s="6"/>
      <c r="JF79" s="6"/>
      <c r="JG79" s="5"/>
      <c r="JH79" s="3" t="s">
        <v>780</v>
      </c>
      <c r="JI79" s="6"/>
      <c r="JJ79" s="6"/>
      <c r="JK79" s="6"/>
      <c r="JL79" s="5"/>
      <c r="JM79" s="6" t="s">
        <v>780</v>
      </c>
      <c r="JN79" s="6"/>
      <c r="JO79" s="6"/>
      <c r="JP79" s="6"/>
      <c r="JQ79" s="5"/>
      <c r="JR79" s="6" t="s">
        <v>780</v>
      </c>
      <c r="JS79" s="6"/>
      <c r="JT79" s="6"/>
      <c r="JU79" s="6"/>
      <c r="JV79" s="5"/>
      <c r="JW79" s="6" t="s">
        <v>780</v>
      </c>
      <c r="JX79" s="5"/>
      <c r="JY79" s="5"/>
      <c r="JZ79" s="5"/>
      <c r="KA79" s="5"/>
      <c r="KB79" s="5"/>
      <c r="KC79" s="6"/>
      <c r="KD79" s="6"/>
      <c r="KE79" s="6"/>
      <c r="KF79" s="5" t="str">
        <f t="shared" si="330"/>
        <v>NO APLICA</v>
      </c>
      <c r="KG79" s="5"/>
      <c r="KH79" s="6"/>
      <c r="KI79" s="6"/>
      <c r="KJ79" s="6"/>
      <c r="KK79" s="5" t="str">
        <f t="shared" si="356"/>
        <v>NO APLICA</v>
      </c>
      <c r="KL79" s="5"/>
      <c r="KM79" s="6"/>
      <c r="KN79" s="6"/>
      <c r="KO79" s="6"/>
      <c r="KP79" s="5" t="str">
        <f t="shared" si="331"/>
        <v>NO APLICA</v>
      </c>
      <c r="KQ79" s="5"/>
      <c r="KR79" s="6"/>
      <c r="KS79" s="6"/>
      <c r="KT79" s="6"/>
      <c r="KU79" s="5" t="str">
        <f t="shared" si="357"/>
        <v>NO APLICA</v>
      </c>
      <c r="KV79" s="6"/>
      <c r="KW79" s="6"/>
      <c r="KX79" s="6"/>
      <c r="KY79" s="6"/>
      <c r="KZ79" s="5" t="str">
        <f t="shared" si="366"/>
        <v>NO APLICA</v>
      </c>
      <c r="LA79" s="5"/>
      <c r="LB79" s="6"/>
      <c r="LC79" s="6"/>
      <c r="LD79" s="6"/>
      <c r="LE79" s="5" t="str">
        <f t="shared" si="358"/>
        <v>NO APLICA</v>
      </c>
      <c r="LF79" s="6"/>
      <c r="LG79" s="4"/>
      <c r="LH79" s="4"/>
      <c r="LI79" s="8"/>
      <c r="LJ79" s="5" t="str">
        <f t="shared" si="332"/>
        <v>NO APLICA</v>
      </c>
      <c r="LK79" s="5"/>
      <c r="LL79" s="5"/>
      <c r="LM79" s="5"/>
      <c r="LN79" s="5"/>
      <c r="LO79" s="5" t="str">
        <f t="shared" si="367"/>
        <v>NO APLICA</v>
      </c>
      <c r="LP79" s="6"/>
      <c r="LQ79" s="6"/>
      <c r="LR79" s="6"/>
      <c r="LS79" s="6"/>
      <c r="LT79" s="5" t="str">
        <f t="shared" si="359"/>
        <v>NO APLICA</v>
      </c>
      <c r="LU79" s="6"/>
      <c r="LV79" s="6"/>
      <c r="LW79" s="6"/>
      <c r="LX79" s="6"/>
      <c r="LY79" s="5" t="str">
        <f t="shared" si="360"/>
        <v>NO APLICA</v>
      </c>
      <c r="LZ79" s="6"/>
      <c r="MA79" s="6"/>
      <c r="MB79" s="6"/>
      <c r="MC79" s="6"/>
      <c r="MD79" s="5" t="str">
        <f t="shared" si="361"/>
        <v>NO APLICA</v>
      </c>
      <c r="ME79" s="6"/>
      <c r="MF79" s="6"/>
      <c r="MG79" s="6"/>
      <c r="MH79" s="6"/>
      <c r="MI79" s="5" t="str">
        <f t="shared" si="333"/>
        <v>NO APLICA</v>
      </c>
      <c r="MJ79" s="6"/>
      <c r="MK79" s="6"/>
      <c r="ML79" s="6"/>
      <c r="MM79" s="6"/>
      <c r="MN79" s="5" t="str">
        <f t="shared" si="334"/>
        <v>NO APLICA</v>
      </c>
      <c r="MO79" s="5"/>
      <c r="MP79" s="6"/>
      <c r="MQ79" s="6"/>
      <c r="MR79" s="6"/>
      <c r="MS79" s="5" t="str">
        <f t="shared" si="335"/>
        <v>NO APLICA</v>
      </c>
      <c r="MT79" s="5"/>
      <c r="MU79" s="6"/>
      <c r="MV79" s="6"/>
      <c r="MW79" s="6"/>
      <c r="MX79" s="5" t="str">
        <f t="shared" si="336"/>
        <v>NO APLICA</v>
      </c>
      <c r="MY79" s="6"/>
      <c r="MZ79" s="6"/>
      <c r="NA79" s="6"/>
      <c r="NB79" s="6"/>
      <c r="NC79" s="5" t="str">
        <f t="shared" si="337"/>
        <v>NO APLICA</v>
      </c>
      <c r="ND79" s="6"/>
      <c r="NE79" s="6"/>
      <c r="NF79" s="6"/>
      <c r="NG79" s="6"/>
      <c r="NH79" s="5" t="str">
        <f t="shared" si="338"/>
        <v>NO APLICA</v>
      </c>
      <c r="NI79" s="6"/>
      <c r="NJ79" s="6"/>
      <c r="NK79" s="6"/>
      <c r="NL79" s="6"/>
      <c r="NM79" s="5" t="str">
        <f t="shared" si="339"/>
        <v>NO APLICA</v>
      </c>
      <c r="NN79" s="6"/>
      <c r="NO79" s="6"/>
      <c r="NP79" s="6"/>
      <c r="NQ79" s="6"/>
      <c r="NR79" s="5" t="str">
        <f t="shared" si="340"/>
        <v>NO APLICA</v>
      </c>
      <c r="NS79" s="6"/>
      <c r="NT79" s="6"/>
      <c r="NU79" s="6"/>
      <c r="NV79" s="6"/>
      <c r="NW79" s="5" t="str">
        <f t="shared" si="341"/>
        <v>NO APLICA</v>
      </c>
      <c r="NX79" s="6"/>
      <c r="NY79" s="6"/>
      <c r="NZ79" s="6"/>
      <c r="OA79" s="6"/>
      <c r="OB79" s="5" t="str">
        <f t="shared" si="342"/>
        <v>NO APLICA</v>
      </c>
      <c r="OC79" s="6"/>
      <c r="OD79" s="6"/>
      <c r="OE79" s="6"/>
      <c r="OF79" s="6"/>
      <c r="OG79" s="5" t="str">
        <f t="shared" si="343"/>
        <v>NO APLICA</v>
      </c>
      <c r="OH79" s="6"/>
      <c r="OI79" s="6"/>
      <c r="OJ79" s="6"/>
      <c r="OK79" s="6"/>
      <c r="OL79" s="5" t="str">
        <f t="shared" si="344"/>
        <v>NO APLICA</v>
      </c>
      <c r="OM79" s="6"/>
      <c r="ON79" s="6"/>
      <c r="OO79" s="6"/>
      <c r="OP79" s="6"/>
      <c r="OQ79" s="5" t="str">
        <f t="shared" si="345"/>
        <v>NO APLICA</v>
      </c>
      <c r="OR79" s="6"/>
      <c r="OS79" s="6"/>
      <c r="OT79" s="6"/>
      <c r="OU79" s="6"/>
      <c r="OV79" s="5" t="str">
        <f t="shared" si="346"/>
        <v>NO APLICA</v>
      </c>
      <c r="OW79" s="6"/>
      <c r="OX79" s="6"/>
      <c r="OY79" s="6"/>
      <c r="OZ79" s="6"/>
      <c r="PA79" s="5" t="str">
        <f t="shared" si="347"/>
        <v>NO APLICA</v>
      </c>
      <c r="PB79" s="6"/>
      <c r="PC79" s="6"/>
      <c r="PD79" s="6"/>
      <c r="PE79" s="6"/>
      <c r="PF79" s="5" t="str">
        <f t="shared" si="348"/>
        <v>NO APLICA</v>
      </c>
      <c r="PG79" s="6"/>
      <c r="PH79" s="6"/>
      <c r="PI79" s="6"/>
      <c r="PJ79" s="6"/>
      <c r="PK79" s="5" t="str">
        <f t="shared" si="349"/>
        <v>NO APLICA</v>
      </c>
      <c r="PL79" s="5"/>
      <c r="PM79" s="6"/>
      <c r="PN79" s="6"/>
      <c r="PO79" s="6"/>
      <c r="PP79" s="5" t="str">
        <f t="shared" si="350"/>
        <v>NO APLICA</v>
      </c>
      <c r="PQ79" s="6"/>
      <c r="PR79" s="6"/>
      <c r="PS79" s="6"/>
      <c r="PT79" s="6"/>
      <c r="PU79" s="5" t="str">
        <f t="shared" si="351"/>
        <v>NO APLICA</v>
      </c>
      <c r="PV79" s="5"/>
      <c r="PW79" s="6"/>
      <c r="PX79" s="6"/>
      <c r="PY79" s="6"/>
      <c r="PZ79" s="5" t="str">
        <f t="shared" si="352"/>
        <v>NO APLICA</v>
      </c>
    </row>
    <row r="80" spans="1:442" ht="15.6" hidden="1" thickTop="1" thickBot="1" x14ac:dyDescent="0.35">
      <c r="A80" s="26">
        <v>77</v>
      </c>
      <c r="B80" s="31">
        <v>1653</v>
      </c>
      <c r="C80" s="28" t="s">
        <v>291</v>
      </c>
      <c r="D80" s="29" t="s">
        <v>68</v>
      </c>
      <c r="E80" s="30" t="s">
        <v>153</v>
      </c>
      <c r="F80" s="5"/>
      <c r="G80" s="6"/>
      <c r="H80" s="4"/>
      <c r="I80" s="8"/>
      <c r="J80" s="5" t="str">
        <f t="shared" si="242"/>
        <v>NO APLICA</v>
      </c>
      <c r="K80" s="5"/>
      <c r="L80" s="6"/>
      <c r="M80" s="6"/>
      <c r="N80" s="8"/>
      <c r="O80" s="5" t="str">
        <f t="shared" si="243"/>
        <v>NO APLICA</v>
      </c>
      <c r="P80" s="6"/>
      <c r="Q80" s="6"/>
      <c r="R80" s="4"/>
      <c r="S80" s="8"/>
      <c r="T80" s="5" t="str">
        <f t="shared" si="353"/>
        <v>NO APLICA</v>
      </c>
      <c r="U80" s="5"/>
      <c r="V80" s="2" t="s">
        <v>292</v>
      </c>
      <c r="W80" s="4">
        <v>44918</v>
      </c>
      <c r="X80" s="4">
        <f t="shared" si="244"/>
        <v>46744</v>
      </c>
      <c r="Y80" s="8">
        <f t="shared" ca="1" si="245"/>
        <v>599</v>
      </c>
      <c r="Z80" s="5" t="str">
        <f t="shared" ca="1" si="246"/>
        <v>VIGENTE</v>
      </c>
      <c r="AA80" s="5"/>
      <c r="AB80" s="2" t="s">
        <v>293</v>
      </c>
      <c r="AC80" s="4">
        <v>44988</v>
      </c>
      <c r="AD80" s="4">
        <f t="shared" si="376"/>
        <v>46815</v>
      </c>
      <c r="AE80" s="8">
        <f t="shared" ca="1" si="377"/>
        <v>670</v>
      </c>
      <c r="AF80" s="5" t="str">
        <f t="shared" ca="1" si="247"/>
        <v>VIGENTE</v>
      </c>
      <c r="AG80" s="3"/>
      <c r="AH80" s="4">
        <v>45589</v>
      </c>
      <c r="AI80" s="4">
        <f>DATE(YEAR(AH80)+2,MONTH(AH80),DAY(AH80)-1)</f>
        <v>46318</v>
      </c>
      <c r="AJ80" s="8">
        <f t="shared" ca="1" si="248"/>
        <v>173</v>
      </c>
      <c r="AK80" s="5" t="str">
        <f t="shared" ca="1" si="219"/>
        <v>VIGENTE</v>
      </c>
      <c r="AL80" s="3"/>
      <c r="AM80" s="4">
        <v>45748</v>
      </c>
      <c r="AN80" s="4">
        <f>DATE(YEAR(AM80)+2,MONTH(AM80),DAY(AM80)-1)</f>
        <v>46477</v>
      </c>
      <c r="AO80" s="8">
        <f t="shared" ca="1" si="249"/>
        <v>332</v>
      </c>
      <c r="AP80" s="5" t="str">
        <f t="shared" ca="1" si="250"/>
        <v>VIGENTE</v>
      </c>
      <c r="AQ80" s="3"/>
      <c r="AR80" s="4">
        <v>45529</v>
      </c>
      <c r="AS80" s="4">
        <f>DATE(YEAR(AR80)+2,MONTH(AR80),DAY(AR80)-1)</f>
        <v>46258</v>
      </c>
      <c r="AT80" s="8">
        <f t="shared" ca="1" si="251"/>
        <v>113</v>
      </c>
      <c r="AU80" s="5" t="str">
        <f t="shared" ca="1" si="252"/>
        <v>VIGENTE</v>
      </c>
      <c r="AV80" s="3"/>
      <c r="AW80" s="4">
        <v>45514</v>
      </c>
      <c r="AX80" s="4">
        <f>DATE(YEAR(AW80)+2,MONTH(AW80),DAY(AW80)-1)</f>
        <v>46243</v>
      </c>
      <c r="AY80" s="8">
        <f t="shared" ca="1" si="253"/>
        <v>98</v>
      </c>
      <c r="AZ80" s="5" t="str">
        <f t="shared" ca="1" si="254"/>
        <v>VIGENTE</v>
      </c>
      <c r="BA80" s="3"/>
      <c r="BB80" s="4">
        <v>46118</v>
      </c>
      <c r="BC80" s="4">
        <f>DATE(YEAR(BB80)+2,MONTH(BB80),DAY(BB80)-1)</f>
        <v>46848</v>
      </c>
      <c r="BD80" s="8">
        <f t="shared" ca="1" si="255"/>
        <v>703</v>
      </c>
      <c r="BE80" s="5" t="str">
        <f t="shared" ca="1" si="256"/>
        <v>VIGENTE</v>
      </c>
      <c r="BF80" s="3"/>
      <c r="BG80" s="4">
        <v>45488</v>
      </c>
      <c r="BH80" s="4">
        <f>DATE(YEAR(BG80)+2,MONTH(BG80),DAY(BG80)-1)</f>
        <v>46217</v>
      </c>
      <c r="BI80" s="8">
        <f t="shared" ca="1" si="257"/>
        <v>72</v>
      </c>
      <c r="BJ80" s="5" t="str">
        <f t="shared" ca="1" si="258"/>
        <v>POR VENCER</v>
      </c>
      <c r="BK80" s="3"/>
      <c r="BL80" s="4">
        <v>45519</v>
      </c>
      <c r="BM80" s="4">
        <f>DATE(YEAR(BL80)+2,MONTH(BL80),DAY(BL80)-1)</f>
        <v>46248</v>
      </c>
      <c r="BN80" s="8">
        <f t="shared" ca="1" si="259"/>
        <v>103</v>
      </c>
      <c r="BO80" s="5" t="str">
        <f t="shared" ca="1" si="260"/>
        <v>VIGENTE</v>
      </c>
      <c r="BP80" s="3"/>
      <c r="BQ80" s="39">
        <v>45701</v>
      </c>
      <c r="BR80" s="4">
        <f>DATE(YEAR(BQ80)+2,MONTH(BQ80),DAY(BQ80)-1)</f>
        <v>46430</v>
      </c>
      <c r="BS80" s="8">
        <f t="shared" ca="1" si="261"/>
        <v>285</v>
      </c>
      <c r="BT80" s="5" t="str">
        <f t="shared" ca="1" si="262"/>
        <v>VIGENTE</v>
      </c>
      <c r="BU80" s="3"/>
      <c r="BV80" s="4">
        <v>46116</v>
      </c>
      <c r="BW80" s="4">
        <f>DATE(YEAR(BV80)+2,MONTH(BV80),DAY(BV80)-1)</f>
        <v>46846</v>
      </c>
      <c r="BX80" s="8">
        <f t="shared" ca="1" si="263"/>
        <v>701</v>
      </c>
      <c r="BY80" s="5" t="str">
        <f t="shared" ca="1" si="264"/>
        <v>VIGENTE</v>
      </c>
      <c r="BZ80" s="3"/>
      <c r="CA80" s="4">
        <v>46065</v>
      </c>
      <c r="CB80" s="4">
        <f>DATE(YEAR(CA80)+2,MONTH(CA80),DAY(CA80))</f>
        <v>46795</v>
      </c>
      <c r="CC80" s="8">
        <f t="shared" ca="1" si="265"/>
        <v>650</v>
      </c>
      <c r="CD80" s="5" t="str">
        <f t="shared" ca="1" si="266"/>
        <v>VIGENTE</v>
      </c>
      <c r="CE80" s="6"/>
      <c r="CF80" s="4">
        <v>45262</v>
      </c>
      <c r="CG80" s="4">
        <f t="shared" si="267"/>
        <v>46723</v>
      </c>
      <c r="CH80" s="8">
        <f t="shared" ca="1" si="268"/>
        <v>578</v>
      </c>
      <c r="CI80" s="5" t="str">
        <f t="shared" ca="1" si="269"/>
        <v>VIGENTE</v>
      </c>
      <c r="CJ80" s="4"/>
      <c r="CK80" s="4">
        <v>46134</v>
      </c>
      <c r="CL80" s="4">
        <f t="shared" si="375"/>
        <v>46864</v>
      </c>
      <c r="CM80" s="8">
        <f t="shared" ca="1" si="270"/>
        <v>719</v>
      </c>
      <c r="CN80" s="5" t="str">
        <f t="shared" ca="1" si="271"/>
        <v>VIGENTE</v>
      </c>
      <c r="CO80" s="3"/>
      <c r="CP80" s="39">
        <v>45684</v>
      </c>
      <c r="CQ80" s="4">
        <f t="shared" si="368"/>
        <v>46413</v>
      </c>
      <c r="CR80" s="8">
        <f t="shared" ca="1" si="272"/>
        <v>268</v>
      </c>
      <c r="CS80" s="5" t="str">
        <f t="shared" ca="1" si="273"/>
        <v>VIGENTE</v>
      </c>
      <c r="CT80" s="3"/>
      <c r="CU80" s="4">
        <v>45645</v>
      </c>
      <c r="CV80" s="4">
        <f>DATE(YEAR(CU80)+2,MONTH(CU80),DAY(CU80)-1)</f>
        <v>46374</v>
      </c>
      <c r="CW80" s="8">
        <f t="shared" ca="1" si="274"/>
        <v>229</v>
      </c>
      <c r="CX80" s="5" t="str">
        <f t="shared" ca="1" si="275"/>
        <v>VIGENTE</v>
      </c>
      <c r="CY80" s="3"/>
      <c r="CZ80" s="4">
        <v>45665</v>
      </c>
      <c r="DA80" s="4">
        <f>DATE(YEAR(CZ80)+2,MONTH(CZ80),DAY(CZ80)-1)</f>
        <v>46394</v>
      </c>
      <c r="DB80" s="8">
        <f t="shared" ca="1" si="276"/>
        <v>249</v>
      </c>
      <c r="DC80" s="5" t="str">
        <f t="shared" ca="1" si="277"/>
        <v>VIGENTE</v>
      </c>
      <c r="DD80" s="3"/>
      <c r="DE80" s="39">
        <v>45689</v>
      </c>
      <c r="DF80" s="4">
        <f t="shared" si="382"/>
        <v>46418</v>
      </c>
      <c r="DG80" s="8">
        <f t="shared" ca="1" si="278"/>
        <v>273</v>
      </c>
      <c r="DH80" s="5" t="str">
        <f t="shared" ca="1" si="279"/>
        <v>VIGENTE</v>
      </c>
      <c r="DI80" s="3"/>
      <c r="DJ80" s="39">
        <v>45569</v>
      </c>
      <c r="DK80" s="4">
        <f>DATE(YEAR(DJ80)+2,MONTH(DJ80),DAY(DJ80)-1)</f>
        <v>46298</v>
      </c>
      <c r="DL80" s="8">
        <f t="shared" ca="1" si="280"/>
        <v>153</v>
      </c>
      <c r="DM80" s="5" t="str">
        <f t="shared" ca="1" si="281"/>
        <v>VIGENTE</v>
      </c>
      <c r="DN80" s="3"/>
      <c r="DO80" s="4">
        <v>45520</v>
      </c>
      <c r="DP80" s="4">
        <f>DATE(YEAR(DO80)+2,MONTH(DO80),DAY(DO80)-1)</f>
        <v>46249</v>
      </c>
      <c r="DQ80" s="8">
        <f t="shared" ca="1" si="282"/>
        <v>104</v>
      </c>
      <c r="DR80" s="5" t="str">
        <f t="shared" ca="1" si="283"/>
        <v>VIGENTE</v>
      </c>
      <c r="DS80" s="3"/>
      <c r="DT80" s="4">
        <v>45619</v>
      </c>
      <c r="DU80" s="4">
        <f>DATE(YEAR(DT80)+2,MONTH(DT80),DAY(DT80)-1)</f>
        <v>46348</v>
      </c>
      <c r="DV80" s="8">
        <f t="shared" ca="1" si="284"/>
        <v>203</v>
      </c>
      <c r="DW80" s="5" t="str">
        <f t="shared" ca="1" si="285"/>
        <v>VIGENTE</v>
      </c>
      <c r="DX80" s="3"/>
      <c r="DY80" s="4">
        <v>45582</v>
      </c>
      <c r="DZ80" s="4">
        <f t="shared" si="354"/>
        <v>46311</v>
      </c>
      <c r="EA80" s="8">
        <f t="shared" ca="1" si="286"/>
        <v>166</v>
      </c>
      <c r="EB80" s="5" t="str">
        <f t="shared" ca="1" si="287"/>
        <v>VIGENTE</v>
      </c>
      <c r="EC80" s="3"/>
      <c r="ED80" s="39">
        <v>45674</v>
      </c>
      <c r="EE80" s="4">
        <f>DATE(YEAR(ED80)+2,MONTH(ED80),DAY(ED80)-1)</f>
        <v>46403</v>
      </c>
      <c r="EF80" s="8">
        <f t="shared" ca="1" si="288"/>
        <v>258</v>
      </c>
      <c r="EG80" s="5" t="str">
        <f t="shared" ca="1" si="289"/>
        <v>VIGENTE</v>
      </c>
      <c r="EH80" s="3"/>
      <c r="EI80" s="4">
        <v>45948</v>
      </c>
      <c r="EJ80" s="4">
        <f t="shared" si="355"/>
        <v>46313</v>
      </c>
      <c r="EK80" s="8">
        <f t="shared" ca="1" si="290"/>
        <v>168</v>
      </c>
      <c r="EL80" s="5" t="str">
        <f t="shared" ca="1" si="291"/>
        <v>VIGENTE</v>
      </c>
      <c r="EM80" s="3"/>
      <c r="EN80" s="4">
        <v>45660</v>
      </c>
      <c r="EO80" s="4">
        <f t="shared" si="371"/>
        <v>46389</v>
      </c>
      <c r="EP80" s="8">
        <f t="shared" ca="1" si="292"/>
        <v>244</v>
      </c>
      <c r="EQ80" s="5" t="str">
        <f t="shared" ca="1" si="293"/>
        <v>VIGENTE</v>
      </c>
      <c r="ER80" s="3"/>
      <c r="ES80" s="39">
        <v>45539</v>
      </c>
      <c r="ET80" s="4">
        <f>DATE(YEAR(ES80)+2,MONTH(ES80),DAY(ES80)-1)</f>
        <v>46268</v>
      </c>
      <c r="EU80" s="8">
        <f t="shared" ca="1" si="294"/>
        <v>123</v>
      </c>
      <c r="EV80" s="5" t="str">
        <f t="shared" ca="1" si="295"/>
        <v>VIGENTE</v>
      </c>
      <c r="EW80" s="3"/>
      <c r="EX80" s="4">
        <v>45610</v>
      </c>
      <c r="EY80" s="4">
        <f>DATE(YEAR(EX80)+2,MONTH(EX80),DAY(EX80)-1)</f>
        <v>46339</v>
      </c>
      <c r="EZ80" s="8">
        <f t="shared" ca="1" si="296"/>
        <v>194</v>
      </c>
      <c r="FA80" s="5" t="str">
        <f t="shared" ca="1" si="297"/>
        <v>VIGENTE</v>
      </c>
      <c r="FB80" s="3"/>
      <c r="FC80" s="4">
        <v>45666</v>
      </c>
      <c r="FD80" s="4">
        <f>DATE(YEAR(FC80)+2,MONTH(FC80),DAY(FC80)-1)</f>
        <v>46395</v>
      </c>
      <c r="FE80" s="8">
        <f t="shared" ca="1" si="298"/>
        <v>250</v>
      </c>
      <c r="FF80" s="5" t="str">
        <f t="shared" ca="1" si="299"/>
        <v>VIGENTE</v>
      </c>
      <c r="FG80" s="3"/>
      <c r="FH80" s="4">
        <v>45668</v>
      </c>
      <c r="FI80" s="4">
        <f>DATE(YEAR(FH80)+2,MONTH(FH80),DAY(FH80)-1)</f>
        <v>46397</v>
      </c>
      <c r="FJ80" s="8">
        <f t="shared" ca="1" si="300"/>
        <v>252</v>
      </c>
      <c r="FK80" s="5" t="str">
        <f t="shared" ca="1" si="301"/>
        <v>VIGENTE</v>
      </c>
      <c r="FL80" s="3"/>
      <c r="FM80" s="39">
        <v>45528</v>
      </c>
      <c r="FN80" s="4">
        <f>DATE(YEAR(FM80)+2,MONTH(FM80),DAY(FM80)-1)</f>
        <v>46257</v>
      </c>
      <c r="FO80" s="8">
        <f t="shared" ca="1" si="302"/>
        <v>112</v>
      </c>
      <c r="FP80" s="5" t="str">
        <f t="shared" ca="1" si="303"/>
        <v>VIGENTE</v>
      </c>
      <c r="FQ80" s="3"/>
      <c r="FR80" s="39">
        <v>45556</v>
      </c>
      <c r="FS80" s="4">
        <f t="shared" si="372"/>
        <v>46285</v>
      </c>
      <c r="FT80" s="8">
        <f t="shared" ca="1" si="304"/>
        <v>140</v>
      </c>
      <c r="FU80" s="5" t="str">
        <f t="shared" ca="1" si="305"/>
        <v>VIGENTE</v>
      </c>
      <c r="FV80" s="4"/>
      <c r="FW80" s="4">
        <v>45574</v>
      </c>
      <c r="FX80" s="4">
        <f t="shared" si="383"/>
        <v>46303</v>
      </c>
      <c r="FY80" s="8">
        <f t="shared" ca="1" si="306"/>
        <v>158</v>
      </c>
      <c r="FZ80" s="5" t="str">
        <f t="shared" ca="1" si="307"/>
        <v>VIGENTE</v>
      </c>
      <c r="GA80" s="3"/>
      <c r="GB80" s="4">
        <v>45560</v>
      </c>
      <c r="GC80" s="4">
        <f>DATE(YEAR(GB80)+2,MONTH(GB80),DAY(GB80)-1)</f>
        <v>46289</v>
      </c>
      <c r="GD80" s="8">
        <f t="shared" ca="1" si="308"/>
        <v>144</v>
      </c>
      <c r="GE80" s="5" t="str">
        <f t="shared" ca="1" si="309"/>
        <v>VIGENTE</v>
      </c>
      <c r="GF80" s="3"/>
      <c r="GG80" s="4">
        <v>45570</v>
      </c>
      <c r="GH80" s="4">
        <f>DATE(YEAR(GG80)+2,MONTH(GG80),DAY(GG80)-1)</f>
        <v>46299</v>
      </c>
      <c r="GI80" s="8">
        <f t="shared" ca="1" si="310"/>
        <v>154</v>
      </c>
      <c r="GJ80" s="5" t="str">
        <f t="shared" ca="1" si="311"/>
        <v>VIGENTE</v>
      </c>
      <c r="GK80" s="3"/>
      <c r="GL80" s="4">
        <v>45557</v>
      </c>
      <c r="GM80" s="4">
        <f>DATE(YEAR(GL80)+2,MONTH(GL80),DAY(GL80)-1)</f>
        <v>46286</v>
      </c>
      <c r="GN80" s="8">
        <f t="shared" ca="1" si="312"/>
        <v>141</v>
      </c>
      <c r="GO80" s="5" t="str">
        <f t="shared" ca="1" si="313"/>
        <v>VIGENTE</v>
      </c>
      <c r="GP80" s="4"/>
      <c r="GQ80" s="4">
        <v>44912</v>
      </c>
      <c r="GR80" s="4">
        <f t="shared" si="314"/>
        <v>46738</v>
      </c>
      <c r="GS80" s="8">
        <f t="shared" ca="1" si="384"/>
        <v>593</v>
      </c>
      <c r="GT80" s="5" t="str">
        <f t="shared" ca="1" si="378"/>
        <v>VIGENTE</v>
      </c>
      <c r="GU80" s="3"/>
      <c r="GV80" s="4">
        <v>44979</v>
      </c>
      <c r="GW80" s="4">
        <f t="shared" si="316"/>
        <v>46805</v>
      </c>
      <c r="GX80" s="8">
        <f t="shared" ca="1" si="317"/>
        <v>660</v>
      </c>
      <c r="GY80" s="5" t="str">
        <f t="shared" ca="1" si="379"/>
        <v>VIGENTE</v>
      </c>
      <c r="GZ80" s="2"/>
      <c r="HA80" s="4">
        <v>44911</v>
      </c>
      <c r="HB80" s="4">
        <f t="shared" si="319"/>
        <v>46737</v>
      </c>
      <c r="HC80" s="8">
        <f t="shared" ca="1" si="320"/>
        <v>592</v>
      </c>
      <c r="HD80" s="5" t="str">
        <f t="shared" ca="1" si="380"/>
        <v>VIGENTE</v>
      </c>
      <c r="HE80" s="6"/>
      <c r="HF80" s="4">
        <v>44956</v>
      </c>
      <c r="HG80" s="4">
        <f t="shared" si="373"/>
        <v>46782</v>
      </c>
      <c r="HH80" s="8">
        <f t="shared" ca="1" si="374"/>
        <v>637</v>
      </c>
      <c r="HI80" s="5" t="str">
        <f t="shared" ca="1" si="381"/>
        <v>VIGENTE</v>
      </c>
      <c r="HJ80" s="2"/>
      <c r="HK80" s="6"/>
      <c r="HL80" s="4"/>
      <c r="HM80" s="8"/>
      <c r="HN80" s="5" t="str">
        <f>IF(HM80&gt;=61,"VIGENTE",IF(HM80&gt;=1,"POR VENCER",IF(HM80&lt;=-1,"PROGRAMAR",IF(HK80=0,"NO APLICA"))))</f>
        <v>NO APLICA</v>
      </c>
      <c r="HO80" s="2"/>
      <c r="HP80" s="2"/>
      <c r="HQ80" s="4"/>
      <c r="HR80" s="2"/>
      <c r="HS80" s="5" t="str">
        <f t="shared" si="322"/>
        <v>NO APLICA</v>
      </c>
      <c r="HT80" s="2"/>
      <c r="HU80" s="4">
        <v>45193</v>
      </c>
      <c r="HV80" s="4">
        <f>DATE(YEAR(HU80)+5,MONTH(HU80),DAY(HU80))</f>
        <v>47020</v>
      </c>
      <c r="HW80" s="8">
        <f ca="1">HV80-TODAY()</f>
        <v>875</v>
      </c>
      <c r="HX80" s="5" t="str">
        <f t="shared" ca="1" si="323"/>
        <v>VIGENTE</v>
      </c>
      <c r="HY80" s="2"/>
      <c r="HZ80" s="4">
        <v>45194</v>
      </c>
      <c r="IA80" s="4">
        <f>DATE(YEAR(HZ80)+5,MONTH(HZ80),DAY(HZ80))</f>
        <v>47021</v>
      </c>
      <c r="IB80" s="8">
        <f ca="1">IA80-TODAY()</f>
        <v>876</v>
      </c>
      <c r="IC80" s="5" t="str">
        <f t="shared" ca="1" si="324"/>
        <v>VIGENTE</v>
      </c>
      <c r="ID80" s="2"/>
      <c r="IE80" s="4">
        <v>45192</v>
      </c>
      <c r="IF80" s="4">
        <f>DATE(YEAR(IE80)+5,MONTH(IE80),DAY(IE80))</f>
        <v>47019</v>
      </c>
      <c r="IG80" s="8">
        <f ca="1">IF80-TODAY()</f>
        <v>874</v>
      </c>
      <c r="IH80" s="5" t="str">
        <f t="shared" ca="1" si="325"/>
        <v>VIGENTE</v>
      </c>
      <c r="II80" s="6"/>
      <c r="IJ80" s="4">
        <v>45156</v>
      </c>
      <c r="IK80" s="4">
        <f>DATE(YEAR(IJ80)+5,MONTH(IJ80),DAY(IJ80))</f>
        <v>46983</v>
      </c>
      <c r="IL80" s="8">
        <f ca="1">IK80-TODAY()</f>
        <v>838</v>
      </c>
      <c r="IM80" s="5" t="str">
        <f t="shared" ca="1" si="326"/>
        <v>VIGENTE</v>
      </c>
      <c r="IN80" s="2"/>
      <c r="IO80" s="4">
        <v>45157</v>
      </c>
      <c r="IP80" s="4">
        <f>DATE(YEAR(IO80)+5,MONTH(IO80),DAY(IO80))</f>
        <v>46984</v>
      </c>
      <c r="IQ80" s="8">
        <f ca="1">IP80-TODAY()</f>
        <v>839</v>
      </c>
      <c r="IR80" s="5" t="str">
        <f t="shared" ca="1" si="327"/>
        <v>VIGENTE</v>
      </c>
      <c r="IS80" s="2"/>
      <c r="IT80" s="4">
        <v>45171</v>
      </c>
      <c r="IU80" s="4">
        <f>DATE(YEAR(IT80)+5,MONTH(IT80),DAY(IT80))</f>
        <v>46998</v>
      </c>
      <c r="IV80" s="8">
        <f ca="1">IU80-TODAY()</f>
        <v>853</v>
      </c>
      <c r="IW80" s="5" t="str">
        <f t="shared" ca="1" si="328"/>
        <v>VIGENTE</v>
      </c>
      <c r="IX80" s="2"/>
      <c r="IY80" s="4">
        <v>45198</v>
      </c>
      <c r="IZ80" s="4">
        <f>DATE(YEAR(IY80)+5,MONTH(IY80),DAY(IY80))</f>
        <v>47025</v>
      </c>
      <c r="JA80" s="8">
        <f ca="1">IZ80-TODAY()</f>
        <v>880</v>
      </c>
      <c r="JB80" s="5" t="str">
        <f t="shared" ca="1" si="329"/>
        <v>VIGENTE</v>
      </c>
      <c r="JC80" s="3" t="s">
        <v>780</v>
      </c>
      <c r="JD80" s="3"/>
      <c r="JE80" s="4"/>
      <c r="JF80" s="8"/>
      <c r="JG80" s="5"/>
      <c r="JH80" s="3" t="s">
        <v>780</v>
      </c>
      <c r="JI80" s="6"/>
      <c r="JJ80" s="6"/>
      <c r="JK80" s="6"/>
      <c r="JL80" s="5"/>
      <c r="JM80" s="6" t="s">
        <v>780</v>
      </c>
      <c r="JN80" s="6"/>
      <c r="JO80" s="6"/>
      <c r="JP80" s="6"/>
      <c r="JQ80" s="5"/>
      <c r="JR80" s="6" t="s">
        <v>780</v>
      </c>
      <c r="JS80" s="6"/>
      <c r="JT80" s="6"/>
      <c r="JU80" s="6"/>
      <c r="JV80" s="5"/>
      <c r="JW80" s="6" t="s">
        <v>780</v>
      </c>
      <c r="JX80" s="5"/>
      <c r="JY80" s="5"/>
      <c r="JZ80" s="5"/>
      <c r="KA80" s="5"/>
      <c r="KB80" s="5"/>
      <c r="KC80" s="2"/>
      <c r="KD80" s="4"/>
      <c r="KE80" s="8"/>
      <c r="KF80" s="5" t="str">
        <f t="shared" si="330"/>
        <v>NO APLICA</v>
      </c>
      <c r="KG80" s="5"/>
      <c r="KH80" s="2"/>
      <c r="KI80" s="4"/>
      <c r="KJ80" s="8"/>
      <c r="KK80" s="5" t="str">
        <f t="shared" si="356"/>
        <v>NO APLICA</v>
      </c>
      <c r="KL80" s="5"/>
      <c r="KM80" s="2"/>
      <c r="KN80" s="4"/>
      <c r="KO80" s="8"/>
      <c r="KP80" s="5" t="str">
        <f t="shared" si="331"/>
        <v>NO APLICA</v>
      </c>
      <c r="KQ80" s="5"/>
      <c r="KR80" s="3">
        <v>45346</v>
      </c>
      <c r="KS80" s="4">
        <f>DATE(YEAR(KR80)+5,MONTH(KR80),DAY(KR80))</f>
        <v>47173</v>
      </c>
      <c r="KT80" s="8">
        <f ca="1">KS80-TODAY()</f>
        <v>1028</v>
      </c>
      <c r="KU80" s="5" t="str">
        <f t="shared" ca="1" si="357"/>
        <v>VIGENTE</v>
      </c>
      <c r="KV80" s="2"/>
      <c r="KW80" s="6"/>
      <c r="KX80" s="4"/>
      <c r="KY80" s="8"/>
      <c r="KZ80" s="5" t="str">
        <f t="shared" si="366"/>
        <v>NO APLICA</v>
      </c>
      <c r="LA80" s="5"/>
      <c r="LB80" s="6"/>
      <c r="LC80" s="4"/>
      <c r="LD80" s="8"/>
      <c r="LE80" s="5" t="str">
        <f t="shared" si="358"/>
        <v>NO APLICA</v>
      </c>
      <c r="LF80" s="6"/>
      <c r="LG80" s="4">
        <v>45611</v>
      </c>
      <c r="LH80" s="4">
        <f>DATE(YEAR(LG80)+2,MONTH(LG80),DAY(LG80))</f>
        <v>46341</v>
      </c>
      <c r="LI80" s="8">
        <f ca="1">LH80-TODAY()</f>
        <v>196</v>
      </c>
      <c r="LJ80" s="5" t="str">
        <f t="shared" ca="1" si="332"/>
        <v>VIGENTE</v>
      </c>
      <c r="LK80" s="5"/>
      <c r="LL80" s="5"/>
      <c r="LM80" s="4"/>
      <c r="LN80" s="8"/>
      <c r="LO80" s="5" t="str">
        <f t="shared" si="367"/>
        <v>NO APLICA</v>
      </c>
      <c r="LP80" s="2"/>
      <c r="LQ80" s="6"/>
      <c r="LR80" s="4"/>
      <c r="LS80" s="8"/>
      <c r="LT80" s="5" t="str">
        <f t="shared" si="359"/>
        <v>NO APLICA</v>
      </c>
      <c r="LU80" s="6"/>
      <c r="LV80" s="6"/>
      <c r="LW80" s="4"/>
      <c r="LX80" s="8"/>
      <c r="LY80" s="5" t="str">
        <f t="shared" si="360"/>
        <v>NO APLICA</v>
      </c>
      <c r="LZ80" s="6"/>
      <c r="MA80" s="6"/>
      <c r="MB80" s="4"/>
      <c r="MC80" s="8"/>
      <c r="MD80" s="5" t="str">
        <f t="shared" si="361"/>
        <v>NO APLICA</v>
      </c>
      <c r="ME80" s="2"/>
      <c r="MF80" s="2"/>
      <c r="MG80" s="4"/>
      <c r="MH80" s="8"/>
      <c r="MI80" s="5" t="str">
        <f t="shared" si="333"/>
        <v>NO APLICA</v>
      </c>
      <c r="MJ80" s="2"/>
      <c r="MK80" s="2"/>
      <c r="ML80" s="4"/>
      <c r="MM80" s="8"/>
      <c r="MN80" s="5" t="str">
        <f t="shared" si="334"/>
        <v>NO APLICA</v>
      </c>
      <c r="MO80" s="5"/>
      <c r="MP80" s="2"/>
      <c r="MQ80" s="4"/>
      <c r="MR80" s="8"/>
      <c r="MS80" s="5" t="str">
        <f t="shared" si="335"/>
        <v>NO APLICA</v>
      </c>
      <c r="MT80" s="5"/>
      <c r="MU80" s="2"/>
      <c r="MV80" s="4"/>
      <c r="MW80" s="2"/>
      <c r="MX80" s="5" t="str">
        <f t="shared" si="336"/>
        <v>NO APLICA</v>
      </c>
      <c r="MY80" s="2"/>
      <c r="MZ80" s="6"/>
      <c r="NA80" s="4"/>
      <c r="NB80" s="8"/>
      <c r="NC80" s="5" t="str">
        <f t="shared" si="337"/>
        <v>NO APLICA</v>
      </c>
      <c r="ND80" s="2"/>
      <c r="NE80" s="6"/>
      <c r="NF80" s="4"/>
      <c r="NG80" s="8"/>
      <c r="NH80" s="5" t="str">
        <f t="shared" si="338"/>
        <v>NO APLICA</v>
      </c>
      <c r="NI80" s="2"/>
      <c r="NJ80" s="6"/>
      <c r="NK80" s="4"/>
      <c r="NL80" s="8"/>
      <c r="NM80" s="5" t="str">
        <f t="shared" si="339"/>
        <v>NO APLICA</v>
      </c>
      <c r="NN80" s="2"/>
      <c r="NO80" s="2"/>
      <c r="NP80" s="4"/>
      <c r="NQ80" s="8"/>
      <c r="NR80" s="5" t="str">
        <f t="shared" si="340"/>
        <v>NO APLICA</v>
      </c>
      <c r="NS80" s="2"/>
      <c r="NT80" s="2"/>
      <c r="NU80" s="4"/>
      <c r="NV80" s="2"/>
      <c r="NW80" s="5" t="str">
        <f t="shared" si="341"/>
        <v>NO APLICA</v>
      </c>
      <c r="NX80" s="6"/>
      <c r="NY80" s="6"/>
      <c r="NZ80" s="4"/>
      <c r="OA80" s="8"/>
      <c r="OB80" s="5" t="str">
        <f t="shared" si="342"/>
        <v>NO APLICA</v>
      </c>
      <c r="OC80" s="6"/>
      <c r="OD80" s="6"/>
      <c r="OE80" s="6"/>
      <c r="OF80" s="6"/>
      <c r="OG80" s="5" t="str">
        <f t="shared" si="343"/>
        <v>NO APLICA</v>
      </c>
      <c r="OH80" s="2"/>
      <c r="OI80" s="2"/>
      <c r="OJ80" s="4"/>
      <c r="OK80" s="8"/>
      <c r="OL80" s="5" t="str">
        <f t="shared" si="344"/>
        <v>NO APLICA</v>
      </c>
      <c r="OM80" s="6"/>
      <c r="ON80" s="6"/>
      <c r="OO80" s="6"/>
      <c r="OP80" s="6"/>
      <c r="OQ80" s="5" t="str">
        <f t="shared" si="345"/>
        <v>NO APLICA</v>
      </c>
      <c r="OR80" s="6"/>
      <c r="OS80" s="6"/>
      <c r="OT80" s="6"/>
      <c r="OU80" s="6"/>
      <c r="OV80" s="5" t="str">
        <f t="shared" si="346"/>
        <v>NO APLICA</v>
      </c>
      <c r="OW80" s="6"/>
      <c r="OX80" s="6"/>
      <c r="OY80" s="6"/>
      <c r="OZ80" s="6"/>
      <c r="PA80" s="5" t="str">
        <f t="shared" si="347"/>
        <v>NO APLICA</v>
      </c>
      <c r="PB80" s="6"/>
      <c r="PC80" s="6"/>
      <c r="PD80" s="6"/>
      <c r="PE80" s="6"/>
      <c r="PF80" s="5" t="str">
        <f t="shared" si="348"/>
        <v>NO APLICA</v>
      </c>
      <c r="PG80" s="6"/>
      <c r="PH80" s="6"/>
      <c r="PI80" s="6"/>
      <c r="PJ80" s="6"/>
      <c r="PK80" s="5" t="str">
        <f t="shared" si="349"/>
        <v>NO APLICA</v>
      </c>
      <c r="PL80" s="5"/>
      <c r="PM80" s="6"/>
      <c r="PN80" s="4"/>
      <c r="PO80" s="8"/>
      <c r="PP80" s="5" t="str">
        <f t="shared" si="350"/>
        <v>NO APLICA</v>
      </c>
      <c r="PQ80" s="6"/>
      <c r="PR80" s="6"/>
      <c r="PS80" s="6"/>
      <c r="PT80" s="6"/>
      <c r="PU80" s="5" t="str">
        <f t="shared" si="351"/>
        <v>NO APLICA</v>
      </c>
      <c r="PV80" s="5"/>
      <c r="PW80" s="6"/>
      <c r="PX80" s="6"/>
      <c r="PY80" s="6"/>
      <c r="PZ80" s="5" t="str">
        <f t="shared" si="352"/>
        <v>NO APLICA</v>
      </c>
    </row>
    <row r="81" spans="1:442" ht="15.6" hidden="1" thickTop="1" thickBot="1" x14ac:dyDescent="0.35">
      <c r="A81" s="26">
        <v>78</v>
      </c>
      <c r="B81" s="31">
        <v>1270</v>
      </c>
      <c r="C81" s="28" t="s">
        <v>294</v>
      </c>
      <c r="D81" s="29" t="s">
        <v>68</v>
      </c>
      <c r="E81" s="30" t="s">
        <v>73</v>
      </c>
      <c r="F81" s="6"/>
      <c r="G81" s="6"/>
      <c r="H81" s="6"/>
      <c r="I81" s="8"/>
      <c r="J81" s="5" t="str">
        <f t="shared" si="242"/>
        <v>NO APLICA</v>
      </c>
      <c r="K81" s="6"/>
      <c r="L81" s="6"/>
      <c r="M81" s="6"/>
      <c r="N81" s="8"/>
      <c r="O81" s="5" t="str">
        <f t="shared" si="243"/>
        <v>NO APLICA</v>
      </c>
      <c r="P81" s="6"/>
      <c r="Q81" s="6"/>
      <c r="R81" s="4"/>
      <c r="S81" s="8"/>
      <c r="T81" s="5" t="str">
        <f t="shared" si="353"/>
        <v>NO APLICA</v>
      </c>
      <c r="U81" s="5"/>
      <c r="V81" s="2" t="s">
        <v>295</v>
      </c>
      <c r="W81" s="4">
        <v>45097</v>
      </c>
      <c r="X81" s="4">
        <f t="shared" si="244"/>
        <v>46924</v>
      </c>
      <c r="Y81" s="8">
        <f t="shared" ca="1" si="245"/>
        <v>779</v>
      </c>
      <c r="Z81" s="5" t="str">
        <f t="shared" ca="1" si="246"/>
        <v>VIGENTE</v>
      </c>
      <c r="AA81" s="5"/>
      <c r="AB81" s="2" t="s">
        <v>296</v>
      </c>
      <c r="AC81" s="4">
        <v>45113</v>
      </c>
      <c r="AD81" s="4">
        <f t="shared" si="376"/>
        <v>46940</v>
      </c>
      <c r="AE81" s="8">
        <f t="shared" ca="1" si="377"/>
        <v>795</v>
      </c>
      <c r="AF81" s="5" t="str">
        <f t="shared" ca="1" si="247"/>
        <v>VIGENTE</v>
      </c>
      <c r="AG81" s="4"/>
      <c r="AH81" s="4">
        <v>45902</v>
      </c>
      <c r="AI81" s="4">
        <f>DATE(YEAR(AH81)+2,MONTH(AH81),DAY(AH81))</f>
        <v>46632</v>
      </c>
      <c r="AJ81" s="8">
        <f t="shared" ca="1" si="248"/>
        <v>487</v>
      </c>
      <c r="AK81" s="5" t="str">
        <f t="shared" ca="1" si="219"/>
        <v>VIGENTE</v>
      </c>
      <c r="AL81" s="4"/>
      <c r="AM81" s="4">
        <v>45748</v>
      </c>
      <c r="AN81" s="4">
        <f>DATE(YEAR(AM81)+2,MONTH(AM81),DAY(AM81)-1)</f>
        <v>46477</v>
      </c>
      <c r="AO81" s="8">
        <f t="shared" ca="1" si="249"/>
        <v>332</v>
      </c>
      <c r="AP81" s="5" t="str">
        <f t="shared" ca="1" si="250"/>
        <v>VIGENTE</v>
      </c>
      <c r="AQ81" s="4"/>
      <c r="AR81" s="4">
        <v>45775</v>
      </c>
      <c r="AS81" s="4">
        <f>DATE(YEAR(AR81)+2,MONTH(AR81),DAY(AR81))</f>
        <v>46505</v>
      </c>
      <c r="AT81" s="8">
        <f t="shared" ca="1" si="251"/>
        <v>360</v>
      </c>
      <c r="AU81" s="5" t="str">
        <f t="shared" ca="1" si="252"/>
        <v>VIGENTE</v>
      </c>
      <c r="AV81" s="4"/>
      <c r="AW81" s="4">
        <v>45720</v>
      </c>
      <c r="AX81" s="4">
        <f>DATE(YEAR(AW81)+2,MONTH(AW81),DAY(AW81)-1)</f>
        <v>46449</v>
      </c>
      <c r="AY81" s="8">
        <f t="shared" ca="1" si="253"/>
        <v>304</v>
      </c>
      <c r="AZ81" s="5" t="str">
        <f t="shared" ca="1" si="254"/>
        <v>VIGENTE</v>
      </c>
      <c r="BA81" s="4"/>
      <c r="BB81" s="4">
        <v>45717</v>
      </c>
      <c r="BC81" s="4">
        <f>DATE(YEAR(BB81)+2,MONTH(BB81),DAY(BB81)-1)</f>
        <v>46446</v>
      </c>
      <c r="BD81" s="8">
        <f t="shared" ca="1" si="255"/>
        <v>301</v>
      </c>
      <c r="BE81" s="5" t="str">
        <f t="shared" ca="1" si="256"/>
        <v>VIGENTE</v>
      </c>
      <c r="BF81" s="4"/>
      <c r="BG81" s="4">
        <v>45880</v>
      </c>
      <c r="BH81" s="4">
        <f>DATE(YEAR(BG81)+2,MONTH(BG81),DAY(BG81))</f>
        <v>46610</v>
      </c>
      <c r="BI81" s="8">
        <f t="shared" ca="1" si="257"/>
        <v>465</v>
      </c>
      <c r="BJ81" s="5" t="str">
        <f t="shared" ca="1" si="258"/>
        <v>VIGENTE</v>
      </c>
      <c r="BK81" s="4"/>
      <c r="BL81" s="4">
        <v>45759</v>
      </c>
      <c r="BM81" s="4">
        <f>DATE(YEAR(BL81)+2,MONTH(BL81),DAY(BL81)-1)</f>
        <v>46488</v>
      </c>
      <c r="BN81" s="8">
        <f t="shared" ca="1" si="259"/>
        <v>343</v>
      </c>
      <c r="BO81" s="5" t="str">
        <f t="shared" ca="1" si="260"/>
        <v>VIGENTE</v>
      </c>
      <c r="BP81" s="4"/>
      <c r="BQ81" s="39">
        <v>45772</v>
      </c>
      <c r="BR81" s="4">
        <f>DATE(YEAR(BQ81)+2,MONTH(BQ81),DAY(BQ81))</f>
        <v>46502</v>
      </c>
      <c r="BS81" s="8">
        <f t="shared" ca="1" si="261"/>
        <v>357</v>
      </c>
      <c r="BT81" s="5" t="str">
        <f t="shared" ca="1" si="262"/>
        <v>VIGENTE</v>
      </c>
      <c r="BU81" s="4"/>
      <c r="BV81" s="4">
        <v>45776</v>
      </c>
      <c r="BW81" s="4">
        <f>DATE(YEAR(BV81)+2,MONTH(BV81),DAY(BV81))</f>
        <v>46506</v>
      </c>
      <c r="BX81" s="8">
        <f t="shared" ca="1" si="263"/>
        <v>361</v>
      </c>
      <c r="BY81" s="5" t="str">
        <f t="shared" ca="1" si="264"/>
        <v>VIGENTE</v>
      </c>
      <c r="BZ81" s="6"/>
      <c r="CA81" s="4">
        <v>45770</v>
      </c>
      <c r="CB81" s="4">
        <f>DATE(YEAR(CA81)+2,MONTH(CA81),DAY(CA81))</f>
        <v>46500</v>
      </c>
      <c r="CC81" s="8">
        <f t="shared" ca="1" si="265"/>
        <v>355</v>
      </c>
      <c r="CD81" s="5" t="str">
        <f t="shared" ca="1" si="266"/>
        <v>VIGENTE</v>
      </c>
      <c r="CE81" s="6"/>
      <c r="CF81" s="4">
        <v>45301</v>
      </c>
      <c r="CG81" s="4">
        <f t="shared" si="267"/>
        <v>46762</v>
      </c>
      <c r="CH81" s="8">
        <f t="shared" ca="1" si="268"/>
        <v>617</v>
      </c>
      <c r="CI81" s="5" t="str">
        <f t="shared" ca="1" si="269"/>
        <v>VIGENTE</v>
      </c>
      <c r="CJ81" s="4"/>
      <c r="CK81" s="4">
        <v>45723</v>
      </c>
      <c r="CL81" s="4">
        <f t="shared" si="375"/>
        <v>46452</v>
      </c>
      <c r="CM81" s="8">
        <f t="shared" ca="1" si="270"/>
        <v>307</v>
      </c>
      <c r="CN81" s="5" t="str">
        <f t="shared" ca="1" si="271"/>
        <v>VIGENTE</v>
      </c>
      <c r="CO81" s="6"/>
      <c r="CP81" s="39">
        <v>45769</v>
      </c>
      <c r="CQ81" s="4">
        <f>DATE(YEAR(CP81)+2,MONTH(CP81),DAY(CP81))</f>
        <v>46499</v>
      </c>
      <c r="CR81" s="8">
        <f t="shared" ca="1" si="272"/>
        <v>354</v>
      </c>
      <c r="CS81" s="5" t="str">
        <f t="shared" ca="1" si="273"/>
        <v>VIGENTE</v>
      </c>
      <c r="CT81" s="4"/>
      <c r="CU81" s="4">
        <v>45727</v>
      </c>
      <c r="CV81" s="4">
        <f>DATE(YEAR(CU81)+2,MONTH(CU81),DAY(CU81)-1)</f>
        <v>46456</v>
      </c>
      <c r="CW81" s="8">
        <f t="shared" ca="1" si="274"/>
        <v>311</v>
      </c>
      <c r="CX81" s="5" t="str">
        <f t="shared" ca="1" si="275"/>
        <v>VIGENTE</v>
      </c>
      <c r="CY81" s="4"/>
      <c r="CZ81" s="4">
        <v>45785</v>
      </c>
      <c r="DA81" s="4">
        <f>DATE(YEAR(CZ81)+2,MONTH(CZ81),DAY(CZ81))</f>
        <v>46515</v>
      </c>
      <c r="DB81" s="8">
        <f t="shared" ca="1" si="276"/>
        <v>370</v>
      </c>
      <c r="DC81" s="5" t="str">
        <f t="shared" ca="1" si="277"/>
        <v>VIGENTE</v>
      </c>
      <c r="DD81" s="4"/>
      <c r="DE81" s="39">
        <v>45761</v>
      </c>
      <c r="DF81" s="4">
        <f>DATE(YEAR(DE81)+2,MONTH(DE81),DAY(DE81))</f>
        <v>46491</v>
      </c>
      <c r="DG81" s="8">
        <f t="shared" ca="1" si="278"/>
        <v>346</v>
      </c>
      <c r="DH81" s="5" t="str">
        <f t="shared" ca="1" si="279"/>
        <v>VIGENTE</v>
      </c>
      <c r="DI81" s="6"/>
      <c r="DJ81" s="39">
        <v>45734</v>
      </c>
      <c r="DK81" s="4">
        <f>DATE(YEAR(DJ81)+2,MONTH(DJ81),DAY(DJ81)-1)</f>
        <v>46463</v>
      </c>
      <c r="DL81" s="8">
        <f t="shared" ca="1" si="280"/>
        <v>318</v>
      </c>
      <c r="DM81" s="5" t="str">
        <f t="shared" ca="1" si="281"/>
        <v>VIGENTE</v>
      </c>
      <c r="DN81" s="4"/>
      <c r="DO81" s="4">
        <v>45857</v>
      </c>
      <c r="DP81" s="4">
        <f>DATE(YEAR(DO81)+2,MONTH(DO81),DAY(DO81))</f>
        <v>46587</v>
      </c>
      <c r="DQ81" s="8">
        <f t="shared" ca="1" si="282"/>
        <v>442</v>
      </c>
      <c r="DR81" s="5" t="str">
        <f t="shared" ca="1" si="283"/>
        <v>VIGENTE</v>
      </c>
      <c r="DS81" s="4"/>
      <c r="DT81" s="4">
        <v>45800</v>
      </c>
      <c r="DU81" s="4">
        <f>DATE(YEAR(DT81)+2,MONTH(DT81),DAY(DT81))</f>
        <v>46530</v>
      </c>
      <c r="DV81" s="8">
        <f t="shared" ca="1" si="284"/>
        <v>385</v>
      </c>
      <c r="DW81" s="5" t="str">
        <f t="shared" ca="1" si="285"/>
        <v>VIGENTE</v>
      </c>
      <c r="DX81" s="4"/>
      <c r="DY81" s="4">
        <v>45751</v>
      </c>
      <c r="DZ81" s="4">
        <f t="shared" si="354"/>
        <v>46480</v>
      </c>
      <c r="EA81" s="8">
        <f t="shared" ca="1" si="286"/>
        <v>335</v>
      </c>
      <c r="EB81" s="5" t="str">
        <f t="shared" ca="1" si="287"/>
        <v>VIGENTE</v>
      </c>
      <c r="EC81" s="4"/>
      <c r="ED81" s="39">
        <v>45829</v>
      </c>
      <c r="EE81" s="4">
        <f>DATE(YEAR(ED81)+2,MONTH(ED81),DAY(ED81))</f>
        <v>46559</v>
      </c>
      <c r="EF81" s="8">
        <f t="shared" ca="1" si="288"/>
        <v>414</v>
      </c>
      <c r="EG81" s="5" t="str">
        <f t="shared" ca="1" si="289"/>
        <v>VIGENTE</v>
      </c>
      <c r="EH81" s="3"/>
      <c r="EI81" s="3">
        <v>46085</v>
      </c>
      <c r="EJ81" s="4">
        <f t="shared" si="355"/>
        <v>46450</v>
      </c>
      <c r="EK81" s="8">
        <f t="shared" ca="1" si="290"/>
        <v>305</v>
      </c>
      <c r="EL81" s="5" t="str">
        <f t="shared" ca="1" si="291"/>
        <v>VIGENTE</v>
      </c>
      <c r="EM81" s="4"/>
      <c r="EN81" s="4">
        <v>45737</v>
      </c>
      <c r="EO81" s="4">
        <f t="shared" si="371"/>
        <v>46466</v>
      </c>
      <c r="EP81" s="8">
        <f t="shared" ca="1" si="292"/>
        <v>321</v>
      </c>
      <c r="EQ81" s="5" t="str">
        <f t="shared" ca="1" si="293"/>
        <v>VIGENTE</v>
      </c>
      <c r="ER81" s="4"/>
      <c r="ES81" s="39">
        <v>45749</v>
      </c>
      <c r="ET81" s="4">
        <f>DATE(YEAR(ES81)+2,MONTH(ES81),DAY(ES81)-1)</f>
        <v>46478</v>
      </c>
      <c r="EU81" s="8">
        <f t="shared" ca="1" si="294"/>
        <v>333</v>
      </c>
      <c r="EV81" s="5" t="str">
        <f t="shared" ca="1" si="295"/>
        <v>VIGENTE</v>
      </c>
      <c r="EW81" s="4"/>
      <c r="EX81" s="4">
        <v>45917</v>
      </c>
      <c r="EY81" s="4">
        <f>DATE(YEAR(EX81)+2,MONTH(EX81),DAY(EX81))</f>
        <v>46647</v>
      </c>
      <c r="EZ81" s="8">
        <f t="shared" ca="1" si="296"/>
        <v>502</v>
      </c>
      <c r="FA81" s="5" t="str">
        <f t="shared" ca="1" si="297"/>
        <v>VIGENTE</v>
      </c>
      <c r="FB81" s="4"/>
      <c r="FC81" s="4">
        <v>45922</v>
      </c>
      <c r="FD81" s="4">
        <f>DATE(YEAR(FC81)+2,MONTH(FC81),DAY(FC81))</f>
        <v>46652</v>
      </c>
      <c r="FE81" s="8">
        <f t="shared" ca="1" si="298"/>
        <v>507</v>
      </c>
      <c r="FF81" s="5" t="str">
        <f t="shared" ca="1" si="299"/>
        <v>VIGENTE</v>
      </c>
      <c r="FG81" s="4"/>
      <c r="FH81" s="4">
        <v>45790</v>
      </c>
      <c r="FI81" s="4">
        <f>DATE(YEAR(FH81)+2,MONTH(FH81),DAY(FH81))</f>
        <v>46520</v>
      </c>
      <c r="FJ81" s="8">
        <f t="shared" ca="1" si="300"/>
        <v>375</v>
      </c>
      <c r="FK81" s="5" t="str">
        <f t="shared" ca="1" si="301"/>
        <v>VIGENTE</v>
      </c>
      <c r="FL81" s="4"/>
      <c r="FM81" s="39">
        <v>45850</v>
      </c>
      <c r="FN81" s="4">
        <f>DATE(YEAR(FM81)+2,MONTH(FM81),DAY(FM81))</f>
        <v>46580</v>
      </c>
      <c r="FO81" s="8">
        <f t="shared" ca="1" si="302"/>
        <v>435</v>
      </c>
      <c r="FP81" s="5" t="str">
        <f t="shared" ca="1" si="303"/>
        <v>VIGENTE</v>
      </c>
      <c r="FQ81" s="4"/>
      <c r="FR81" s="39">
        <v>45846</v>
      </c>
      <c r="FS81" s="4">
        <f>DATE(YEAR(FR81)+2,MONTH(FR81),DAY(FR81))</f>
        <v>46576</v>
      </c>
      <c r="FT81" s="8">
        <f t="shared" ca="1" si="304"/>
        <v>431</v>
      </c>
      <c r="FU81" s="5" t="str">
        <f t="shared" ca="1" si="305"/>
        <v>VIGENTE</v>
      </c>
      <c r="FV81" s="4"/>
      <c r="FW81" s="4">
        <v>45758</v>
      </c>
      <c r="FX81" s="4">
        <f t="shared" si="383"/>
        <v>46487</v>
      </c>
      <c r="FY81" s="8">
        <f t="shared" ca="1" si="306"/>
        <v>342</v>
      </c>
      <c r="FZ81" s="5" t="str">
        <f t="shared" ca="1" si="307"/>
        <v>VIGENTE</v>
      </c>
      <c r="GA81" s="4"/>
      <c r="GB81" s="4">
        <v>45757</v>
      </c>
      <c r="GC81" s="4">
        <f>DATE(YEAR(GB81)+2,MONTH(GB81),DAY(GB81)-1)</f>
        <v>46486</v>
      </c>
      <c r="GD81" s="8">
        <f t="shared" ca="1" si="308"/>
        <v>341</v>
      </c>
      <c r="GE81" s="5" t="str">
        <f t="shared" ca="1" si="309"/>
        <v>VIGENTE</v>
      </c>
      <c r="GF81" s="4"/>
      <c r="GG81" s="4">
        <v>45849</v>
      </c>
      <c r="GH81" s="4">
        <f>DATE(YEAR(GG81)+2,MONTH(GG81),DAY(GG81))</f>
        <v>46579</v>
      </c>
      <c r="GI81" s="8">
        <f t="shared" ca="1" si="310"/>
        <v>434</v>
      </c>
      <c r="GJ81" s="5" t="str">
        <f t="shared" ca="1" si="311"/>
        <v>VIGENTE</v>
      </c>
      <c r="GK81" s="4"/>
      <c r="GL81" s="4">
        <v>45848</v>
      </c>
      <c r="GM81" s="4">
        <f>DATE(YEAR(GL81)+2,MONTH(GL81),DAY(GL81))</f>
        <v>46578</v>
      </c>
      <c r="GN81" s="8">
        <f t="shared" ca="1" si="312"/>
        <v>433</v>
      </c>
      <c r="GO81" s="5" t="str">
        <f t="shared" ca="1" si="313"/>
        <v>VIGENTE</v>
      </c>
      <c r="GP81" s="4"/>
      <c r="GQ81" s="4">
        <v>45159</v>
      </c>
      <c r="GR81" s="4">
        <f t="shared" si="314"/>
        <v>46986</v>
      </c>
      <c r="GS81" s="8">
        <f t="shared" ca="1" si="384"/>
        <v>841</v>
      </c>
      <c r="GT81" s="5" t="str">
        <f t="shared" ca="1" si="378"/>
        <v>VIGENTE</v>
      </c>
      <c r="GU81" s="4"/>
      <c r="GV81" s="4">
        <v>45117</v>
      </c>
      <c r="GW81" s="4">
        <f t="shared" si="316"/>
        <v>46944</v>
      </c>
      <c r="GX81" s="8">
        <f t="shared" ca="1" si="317"/>
        <v>799</v>
      </c>
      <c r="GY81" s="5" t="str">
        <f t="shared" ca="1" si="379"/>
        <v>VIGENTE</v>
      </c>
      <c r="GZ81" s="6"/>
      <c r="HA81" s="4">
        <v>45160</v>
      </c>
      <c r="HB81" s="4">
        <f t="shared" si="319"/>
        <v>46987</v>
      </c>
      <c r="HC81" s="8">
        <f t="shared" ca="1" si="320"/>
        <v>842</v>
      </c>
      <c r="HD81" s="5" t="str">
        <f t="shared" ca="1" si="380"/>
        <v>VIGENTE</v>
      </c>
      <c r="HE81" s="6"/>
      <c r="HF81" s="4">
        <v>45222</v>
      </c>
      <c r="HG81" s="4">
        <f t="shared" si="373"/>
        <v>47049</v>
      </c>
      <c r="HH81" s="8">
        <f t="shared" ca="1" si="374"/>
        <v>904</v>
      </c>
      <c r="HI81" s="5" t="str">
        <f t="shared" ca="1" si="381"/>
        <v>VIGENTE</v>
      </c>
      <c r="HJ81" s="6"/>
      <c r="HK81" s="6"/>
      <c r="HL81" s="4"/>
      <c r="HM81" s="8"/>
      <c r="HN81" s="5" t="str">
        <f>IF(HM81&gt;=61,"VIGENTE",IF(HM81&gt;=1,"POR VENCER",IF(HM81&lt;=-1,"VENCIDA",IF(HK81=0,"NO APLICA"))))</f>
        <v>NO APLICA</v>
      </c>
      <c r="HO81" s="2"/>
      <c r="HP81" s="2"/>
      <c r="HQ81" s="4"/>
      <c r="HR81" s="2"/>
      <c r="HS81" s="5" t="str">
        <f t="shared" si="322"/>
        <v>NO APLICA</v>
      </c>
      <c r="HT81" s="6"/>
      <c r="HU81" s="4">
        <v>45193</v>
      </c>
      <c r="HV81" s="4">
        <f>DATE(YEAR(HU81)+5,MONTH(HU81),DAY(HU81))</f>
        <v>47020</v>
      </c>
      <c r="HW81" s="8">
        <f ca="1">HV81-TODAY()</f>
        <v>875</v>
      </c>
      <c r="HX81" s="5" t="str">
        <f t="shared" ca="1" si="323"/>
        <v>VIGENTE</v>
      </c>
      <c r="HY81" s="6"/>
      <c r="HZ81" s="4">
        <v>45194</v>
      </c>
      <c r="IA81" s="4">
        <f>DATE(YEAR(HZ81)+5,MONTH(HZ81),DAY(HZ81))</f>
        <v>47021</v>
      </c>
      <c r="IB81" s="8">
        <f ca="1">IA81-TODAY()</f>
        <v>876</v>
      </c>
      <c r="IC81" s="5" t="str">
        <f t="shared" ca="1" si="324"/>
        <v>VIGENTE</v>
      </c>
      <c r="ID81" s="6"/>
      <c r="IE81" s="4">
        <v>45192</v>
      </c>
      <c r="IF81" s="4">
        <f>DATE(YEAR(IE81)+5,MONTH(IE81),DAY(IE81))</f>
        <v>47019</v>
      </c>
      <c r="IG81" s="8">
        <f ca="1">IF81-TODAY()</f>
        <v>874</v>
      </c>
      <c r="IH81" s="5" t="str">
        <f t="shared" ca="1" si="325"/>
        <v>VIGENTE</v>
      </c>
      <c r="II81" s="6"/>
      <c r="IJ81" s="4">
        <v>45105</v>
      </c>
      <c r="IK81" s="4">
        <f>DATE(YEAR(IJ81)+5,MONTH(IJ81),DAY(IJ81))</f>
        <v>46932</v>
      </c>
      <c r="IL81" s="8">
        <f ca="1">IK81-TODAY()</f>
        <v>787</v>
      </c>
      <c r="IM81" s="5" t="str">
        <f t="shared" ca="1" si="326"/>
        <v>VIGENTE</v>
      </c>
      <c r="IN81" s="6"/>
      <c r="IO81" s="4">
        <v>45144</v>
      </c>
      <c r="IP81" s="4">
        <f>DATE(YEAR(IO81)+5,MONTH(IO81),DAY(IO81))</f>
        <v>46971</v>
      </c>
      <c r="IQ81" s="8">
        <f ca="1">IP81-TODAY()</f>
        <v>826</v>
      </c>
      <c r="IR81" s="5" t="str">
        <f t="shared" ca="1" si="327"/>
        <v>VIGENTE</v>
      </c>
      <c r="IS81" s="6"/>
      <c r="IT81" s="4">
        <v>45191</v>
      </c>
      <c r="IU81" s="4">
        <f>DATE(YEAR(IT81)+5,MONTH(IT81),DAY(IT81))</f>
        <v>47018</v>
      </c>
      <c r="IV81" s="8">
        <f ca="1">IU81-TODAY()</f>
        <v>873</v>
      </c>
      <c r="IW81" s="5" t="str">
        <f t="shared" ca="1" si="328"/>
        <v>VIGENTE</v>
      </c>
      <c r="IX81" s="6"/>
      <c r="IY81" s="4">
        <v>45107</v>
      </c>
      <c r="IZ81" s="4">
        <f>DATE(YEAR(IY81)+5,MONTH(IY81),DAY(IY81))</f>
        <v>46934</v>
      </c>
      <c r="JA81" s="8">
        <f ca="1">IZ81-TODAY()</f>
        <v>789</v>
      </c>
      <c r="JB81" s="5" t="str">
        <f t="shared" ca="1" si="329"/>
        <v>VIGENTE</v>
      </c>
      <c r="JC81" s="3" t="s">
        <v>780</v>
      </c>
      <c r="JD81" s="3"/>
      <c r="JE81" s="4"/>
      <c r="JF81" s="8"/>
      <c r="JG81" s="5"/>
      <c r="JH81" s="3" t="s">
        <v>780</v>
      </c>
      <c r="JI81" s="6"/>
      <c r="JJ81" s="6"/>
      <c r="JK81" s="6"/>
      <c r="JL81" s="5"/>
      <c r="JM81" s="6" t="s">
        <v>780</v>
      </c>
      <c r="JN81" s="6"/>
      <c r="JO81" s="6"/>
      <c r="JP81" s="6"/>
      <c r="JQ81" s="5"/>
      <c r="JR81" s="6" t="s">
        <v>780</v>
      </c>
      <c r="JS81" s="6"/>
      <c r="JT81" s="6"/>
      <c r="JU81" s="6"/>
      <c r="JV81" s="5"/>
      <c r="JW81" s="6" t="s">
        <v>780</v>
      </c>
      <c r="JX81" s="5"/>
      <c r="JY81" s="5"/>
      <c r="JZ81" s="5"/>
      <c r="KA81" s="5"/>
      <c r="KB81" s="5"/>
      <c r="KC81" s="2"/>
      <c r="KD81" s="4"/>
      <c r="KE81" s="8"/>
      <c r="KF81" s="5" t="str">
        <f t="shared" si="330"/>
        <v>NO APLICA</v>
      </c>
      <c r="KG81" s="5"/>
      <c r="KH81" s="2"/>
      <c r="KI81" s="4"/>
      <c r="KJ81" s="8"/>
      <c r="KK81" s="5" t="str">
        <f t="shared" si="356"/>
        <v>NO APLICA</v>
      </c>
      <c r="KL81" s="5"/>
      <c r="KM81" s="2"/>
      <c r="KN81" s="4"/>
      <c r="KO81" s="8"/>
      <c r="KP81" s="5" t="str">
        <f t="shared" si="331"/>
        <v>NO APLICA</v>
      </c>
      <c r="KQ81" s="5"/>
      <c r="KR81" s="2"/>
      <c r="KS81" s="4"/>
      <c r="KT81" s="8"/>
      <c r="KU81" s="5" t="str">
        <f t="shared" si="357"/>
        <v>NO APLICA</v>
      </c>
      <c r="KV81" s="6"/>
      <c r="KW81" s="6"/>
      <c r="KX81" s="4"/>
      <c r="KY81" s="8"/>
      <c r="KZ81" s="5" t="str">
        <f t="shared" si="366"/>
        <v>NO APLICA</v>
      </c>
      <c r="LA81" s="5"/>
      <c r="LB81" s="6"/>
      <c r="LC81" s="4"/>
      <c r="LD81" s="8"/>
      <c r="LE81" s="5" t="str">
        <f t="shared" si="358"/>
        <v>NO APLICA</v>
      </c>
      <c r="LF81" s="6"/>
      <c r="LG81" s="6"/>
      <c r="LH81" s="4"/>
      <c r="LI81" s="8"/>
      <c r="LJ81" s="5" t="str">
        <f t="shared" si="332"/>
        <v>NO APLICA</v>
      </c>
      <c r="LK81" s="5"/>
      <c r="LL81" s="5"/>
      <c r="LM81" s="4"/>
      <c r="LN81" s="8"/>
      <c r="LO81" s="5" t="str">
        <f t="shared" si="367"/>
        <v>NO APLICA</v>
      </c>
      <c r="LP81" s="6"/>
      <c r="LQ81" s="6"/>
      <c r="LR81" s="4"/>
      <c r="LS81" s="8"/>
      <c r="LT81" s="5" t="str">
        <f t="shared" si="359"/>
        <v>NO APLICA</v>
      </c>
      <c r="LU81" s="6"/>
      <c r="LV81" s="6"/>
      <c r="LW81" s="4"/>
      <c r="LX81" s="8"/>
      <c r="LY81" s="5" t="str">
        <f t="shared" si="360"/>
        <v>NO APLICA</v>
      </c>
      <c r="LZ81" s="6"/>
      <c r="MA81" s="6"/>
      <c r="MB81" s="4"/>
      <c r="MC81" s="8"/>
      <c r="MD81" s="5" t="str">
        <f t="shared" si="361"/>
        <v>NO APLICA</v>
      </c>
      <c r="ME81" s="2"/>
      <c r="MF81" s="2"/>
      <c r="MG81" s="4"/>
      <c r="MH81" s="8"/>
      <c r="MI81" s="5" t="str">
        <f t="shared" si="333"/>
        <v>NO APLICA</v>
      </c>
      <c r="MJ81" s="2"/>
      <c r="MK81" s="2"/>
      <c r="ML81" s="4"/>
      <c r="MM81" s="8"/>
      <c r="MN81" s="5" t="str">
        <f t="shared" si="334"/>
        <v>NO APLICA</v>
      </c>
      <c r="MO81" s="5"/>
      <c r="MP81" s="2"/>
      <c r="MQ81" s="4"/>
      <c r="MR81" s="8"/>
      <c r="MS81" s="5" t="str">
        <f t="shared" si="335"/>
        <v>NO APLICA</v>
      </c>
      <c r="MT81" s="5"/>
      <c r="MU81" s="2"/>
      <c r="MV81" s="4"/>
      <c r="MW81" s="2"/>
      <c r="MX81" s="5" t="str">
        <f t="shared" si="336"/>
        <v>NO APLICA</v>
      </c>
      <c r="MY81" s="6"/>
      <c r="MZ81" s="6"/>
      <c r="NA81" s="4"/>
      <c r="NB81" s="8"/>
      <c r="NC81" s="5" t="str">
        <f t="shared" si="337"/>
        <v>NO APLICA</v>
      </c>
      <c r="ND81" s="6"/>
      <c r="NE81" s="6"/>
      <c r="NF81" s="4"/>
      <c r="NG81" s="8"/>
      <c r="NH81" s="5" t="str">
        <f t="shared" si="338"/>
        <v>NO APLICA</v>
      </c>
      <c r="NI81" s="6"/>
      <c r="NJ81" s="6"/>
      <c r="NK81" s="4"/>
      <c r="NL81" s="8"/>
      <c r="NM81" s="5" t="str">
        <f t="shared" si="339"/>
        <v>NO APLICA</v>
      </c>
      <c r="NN81" s="2"/>
      <c r="NO81" s="2"/>
      <c r="NP81" s="4"/>
      <c r="NQ81" s="8"/>
      <c r="NR81" s="5" t="str">
        <f t="shared" si="340"/>
        <v>NO APLICA</v>
      </c>
      <c r="NS81" s="2"/>
      <c r="NT81" s="2"/>
      <c r="NU81" s="4"/>
      <c r="NV81" s="2"/>
      <c r="NW81" s="5" t="str">
        <f t="shared" si="341"/>
        <v>NO APLICA</v>
      </c>
      <c r="NX81" s="6"/>
      <c r="NY81" s="6"/>
      <c r="NZ81" s="4"/>
      <c r="OA81" s="8"/>
      <c r="OB81" s="5" t="str">
        <f t="shared" si="342"/>
        <v>NO APLICA</v>
      </c>
      <c r="OC81" s="6"/>
      <c r="OD81" s="6"/>
      <c r="OE81" s="6"/>
      <c r="OF81" s="6"/>
      <c r="OG81" s="5" t="str">
        <f t="shared" si="343"/>
        <v>NO APLICA</v>
      </c>
      <c r="OH81" s="2"/>
      <c r="OI81" s="2"/>
      <c r="OJ81" s="4"/>
      <c r="OK81" s="8"/>
      <c r="OL81" s="5" t="str">
        <f t="shared" si="344"/>
        <v>NO APLICA</v>
      </c>
      <c r="OM81" s="6"/>
      <c r="ON81" s="6"/>
      <c r="OO81" s="6"/>
      <c r="OP81" s="6"/>
      <c r="OQ81" s="5" t="str">
        <f t="shared" si="345"/>
        <v>NO APLICA</v>
      </c>
      <c r="OR81" s="6"/>
      <c r="OS81" s="6"/>
      <c r="OT81" s="6"/>
      <c r="OU81" s="6"/>
      <c r="OV81" s="5" t="str">
        <f t="shared" si="346"/>
        <v>NO APLICA</v>
      </c>
      <c r="OW81" s="6"/>
      <c r="OX81" s="6"/>
      <c r="OY81" s="6"/>
      <c r="OZ81" s="6"/>
      <c r="PA81" s="5" t="str">
        <f t="shared" si="347"/>
        <v>NO APLICA</v>
      </c>
      <c r="PB81" s="6"/>
      <c r="PC81" s="6"/>
      <c r="PD81" s="6"/>
      <c r="PE81" s="6"/>
      <c r="PF81" s="5" t="str">
        <f t="shared" si="348"/>
        <v>NO APLICA</v>
      </c>
      <c r="PG81" s="6"/>
      <c r="PH81" s="6"/>
      <c r="PI81" s="6"/>
      <c r="PJ81" s="6"/>
      <c r="PK81" s="5" t="str">
        <f t="shared" si="349"/>
        <v>NO APLICA</v>
      </c>
      <c r="PL81" s="5"/>
      <c r="PM81" s="6"/>
      <c r="PN81" s="4"/>
      <c r="PO81" s="8"/>
      <c r="PP81" s="5" t="str">
        <f t="shared" si="350"/>
        <v>NO APLICA</v>
      </c>
      <c r="PQ81" s="6"/>
      <c r="PR81" s="6"/>
      <c r="PS81" s="6"/>
      <c r="PT81" s="6"/>
      <c r="PU81" s="5" t="str">
        <f t="shared" si="351"/>
        <v>NO APLICA</v>
      </c>
      <c r="PV81" s="5"/>
      <c r="PW81" s="6"/>
      <c r="PX81" s="6"/>
      <c r="PY81" s="6"/>
      <c r="PZ81" s="5" t="str">
        <f t="shared" si="352"/>
        <v>NO APLICA</v>
      </c>
    </row>
    <row r="82" spans="1:442" ht="15.6" hidden="1" thickTop="1" thickBot="1" x14ac:dyDescent="0.35">
      <c r="A82" s="26">
        <v>79</v>
      </c>
      <c r="B82" s="31">
        <v>1694</v>
      </c>
      <c r="C82" s="28" t="s">
        <v>297</v>
      </c>
      <c r="D82" s="29" t="s">
        <v>68</v>
      </c>
      <c r="E82" s="30" t="s">
        <v>73</v>
      </c>
      <c r="F82" s="5"/>
      <c r="G82" s="6"/>
      <c r="H82" s="4"/>
      <c r="I82" s="8"/>
      <c r="J82" s="5" t="str">
        <f t="shared" si="242"/>
        <v>NO APLICA</v>
      </c>
      <c r="K82" s="2"/>
      <c r="L82" s="6"/>
      <c r="M82" s="6"/>
      <c r="N82" s="8"/>
      <c r="O82" s="5" t="str">
        <f t="shared" si="243"/>
        <v>NO APLICA</v>
      </c>
      <c r="P82" s="6"/>
      <c r="Q82" s="6"/>
      <c r="R82" s="4"/>
      <c r="S82" s="8"/>
      <c r="T82" s="5" t="str">
        <f t="shared" si="353"/>
        <v>NO APLICA</v>
      </c>
      <c r="U82" s="5"/>
      <c r="V82" s="3" t="s">
        <v>298</v>
      </c>
      <c r="W82" s="4">
        <v>45156</v>
      </c>
      <c r="X82" s="4">
        <f t="shared" si="244"/>
        <v>46983</v>
      </c>
      <c r="Y82" s="8">
        <f t="shared" ca="1" si="245"/>
        <v>838</v>
      </c>
      <c r="Z82" s="5" t="str">
        <f t="shared" ca="1" si="246"/>
        <v>VIGENTE</v>
      </c>
      <c r="AA82" s="5"/>
      <c r="AB82" s="2" t="s">
        <v>299</v>
      </c>
      <c r="AC82" s="4">
        <v>45162</v>
      </c>
      <c r="AD82" s="4">
        <f t="shared" si="376"/>
        <v>46989</v>
      </c>
      <c r="AE82" s="8">
        <f t="shared" ca="1" si="377"/>
        <v>844</v>
      </c>
      <c r="AF82" s="5" t="str">
        <f t="shared" ca="1" si="247"/>
        <v>VIGENTE</v>
      </c>
      <c r="AG82" s="3"/>
      <c r="AH82" s="4">
        <v>45902</v>
      </c>
      <c r="AI82" s="4">
        <f>DATE(YEAR(AH82)+2,MONTH(AH82),DAY(AH82))</f>
        <v>46632</v>
      </c>
      <c r="AJ82" s="8">
        <f t="shared" ca="1" si="248"/>
        <v>487</v>
      </c>
      <c r="AK82" s="5" t="str">
        <f t="shared" ca="1" si="219"/>
        <v>VIGENTE</v>
      </c>
      <c r="AL82" s="3"/>
      <c r="AM82" s="4">
        <v>45903</v>
      </c>
      <c r="AN82" s="4">
        <f>DATE(YEAR(AM82)+2,MONTH(AM82),DAY(AM82))</f>
        <v>46633</v>
      </c>
      <c r="AO82" s="8">
        <f t="shared" ca="1" si="249"/>
        <v>488</v>
      </c>
      <c r="AP82" s="5" t="str">
        <f t="shared" ca="1" si="250"/>
        <v>VIGENTE</v>
      </c>
      <c r="AQ82" s="3"/>
      <c r="AR82" s="4">
        <v>45820</v>
      </c>
      <c r="AS82" s="4">
        <f>DATE(YEAR(AR82)+2,MONTH(AR82),DAY(AR82))</f>
        <v>46550</v>
      </c>
      <c r="AT82" s="8">
        <f t="shared" ca="1" si="251"/>
        <v>405</v>
      </c>
      <c r="AU82" s="5" t="str">
        <f t="shared" ca="1" si="252"/>
        <v>VIGENTE</v>
      </c>
      <c r="AV82" s="2"/>
      <c r="AW82" s="4">
        <v>45952</v>
      </c>
      <c r="AX82" s="4">
        <f>DATE(YEAR(AW82)+2,MONTH(AW82),DAY(AW82))</f>
        <v>46682</v>
      </c>
      <c r="AY82" s="8">
        <f t="shared" ca="1" si="253"/>
        <v>537</v>
      </c>
      <c r="AZ82" s="5" t="str">
        <f t="shared" ca="1" si="254"/>
        <v>VIGENTE</v>
      </c>
      <c r="BA82" s="3"/>
      <c r="BB82" s="4">
        <v>45855</v>
      </c>
      <c r="BC82" s="4">
        <f>DATE(YEAR(BB82)+2,MONTH(BB82),DAY(BB82))</f>
        <v>46585</v>
      </c>
      <c r="BD82" s="8">
        <f t="shared" ca="1" si="255"/>
        <v>440</v>
      </c>
      <c r="BE82" s="5" t="str">
        <f t="shared" ca="1" si="256"/>
        <v>VIGENTE</v>
      </c>
      <c r="BF82" s="3"/>
      <c r="BG82" s="4">
        <v>45968</v>
      </c>
      <c r="BH82" s="4">
        <f>DATE(YEAR(BG82)+2,MONTH(BG82),DAY(BG82))</f>
        <v>46698</v>
      </c>
      <c r="BI82" s="8">
        <f t="shared" ca="1" si="257"/>
        <v>553</v>
      </c>
      <c r="BJ82" s="5" t="str">
        <f t="shared" ca="1" si="258"/>
        <v>VIGENTE</v>
      </c>
      <c r="BK82" s="3"/>
      <c r="BL82" s="4">
        <v>45976</v>
      </c>
      <c r="BM82" s="4">
        <f>DATE(YEAR(BL82)+2,MONTH(BL82),DAY(BL82))</f>
        <v>46706</v>
      </c>
      <c r="BN82" s="8">
        <f t="shared" ca="1" si="259"/>
        <v>561</v>
      </c>
      <c r="BO82" s="5" t="str">
        <f t="shared" ca="1" si="260"/>
        <v>VIGENTE</v>
      </c>
      <c r="BP82" s="3"/>
      <c r="BQ82" s="39">
        <v>45981</v>
      </c>
      <c r="BR82" s="4">
        <f>DATE(YEAR(BQ82)+2,MONTH(BQ82),DAY(BQ82))</f>
        <v>46711</v>
      </c>
      <c r="BS82" s="8">
        <f t="shared" ca="1" si="261"/>
        <v>566</v>
      </c>
      <c r="BT82" s="5" t="str">
        <f t="shared" ca="1" si="262"/>
        <v>VIGENTE</v>
      </c>
      <c r="BU82" s="2"/>
      <c r="BV82" s="4">
        <v>45950</v>
      </c>
      <c r="BW82" s="4">
        <f>DATE(YEAR(BV82)+2,MONTH(BV82),DAY(BV82))</f>
        <v>46680</v>
      </c>
      <c r="BX82" s="8">
        <f t="shared" ca="1" si="263"/>
        <v>535</v>
      </c>
      <c r="BY82" s="5" t="str">
        <f t="shared" ca="1" si="264"/>
        <v>VIGENTE</v>
      </c>
      <c r="BZ82" s="2"/>
      <c r="CA82" s="4">
        <v>45944</v>
      </c>
      <c r="CB82" s="4">
        <f>DATE(YEAR(CA82)+2,MONTH(CA82),DAY(CA82))</f>
        <v>46674</v>
      </c>
      <c r="CC82" s="8">
        <f t="shared" ca="1" si="265"/>
        <v>529</v>
      </c>
      <c r="CD82" s="5" t="str">
        <f t="shared" ca="1" si="266"/>
        <v>VIGENTE</v>
      </c>
      <c r="CE82" s="6"/>
      <c r="CF82" s="4">
        <v>45164</v>
      </c>
      <c r="CG82" s="4">
        <f t="shared" si="267"/>
        <v>46625</v>
      </c>
      <c r="CH82" s="8">
        <f t="shared" ca="1" si="268"/>
        <v>480</v>
      </c>
      <c r="CI82" s="5" t="str">
        <f t="shared" ca="1" si="269"/>
        <v>VIGENTE</v>
      </c>
      <c r="CJ82" s="4"/>
      <c r="CK82" s="4">
        <v>45895</v>
      </c>
      <c r="CL82" s="4">
        <f>DATE(YEAR(CK82)+2,MONTH(CK82),DAY(CK82))</f>
        <v>46625</v>
      </c>
      <c r="CM82" s="8">
        <f t="shared" ca="1" si="270"/>
        <v>480</v>
      </c>
      <c r="CN82" s="5" t="str">
        <f t="shared" ca="1" si="271"/>
        <v>VIGENTE</v>
      </c>
      <c r="CO82" s="4"/>
      <c r="CP82" s="39">
        <v>45979</v>
      </c>
      <c r="CQ82" s="4">
        <f>DATE(YEAR(CP82)+2,MONTH(CP82),DAY(CP82))</f>
        <v>46709</v>
      </c>
      <c r="CR82" s="8">
        <f t="shared" ca="1" si="272"/>
        <v>564</v>
      </c>
      <c r="CS82" s="5" t="str">
        <f t="shared" ca="1" si="273"/>
        <v>VIGENTE</v>
      </c>
      <c r="CT82" s="2"/>
      <c r="CU82" s="4">
        <v>45939</v>
      </c>
      <c r="CV82" s="4">
        <f>DATE(YEAR(CU82)+2,MONTH(CU82),DAY(CU82))</f>
        <v>46669</v>
      </c>
      <c r="CW82" s="8">
        <f t="shared" ca="1" si="274"/>
        <v>524</v>
      </c>
      <c r="CX82" s="5" t="str">
        <f t="shared" ca="1" si="275"/>
        <v>VIGENTE</v>
      </c>
      <c r="CY82" s="3"/>
      <c r="CZ82" s="4">
        <v>45878</v>
      </c>
      <c r="DA82" s="4">
        <f>DATE(YEAR(CZ82)+2,MONTH(CZ82),DAY(CZ82))</f>
        <v>46608</v>
      </c>
      <c r="DB82" s="8">
        <f t="shared" ca="1" si="276"/>
        <v>463</v>
      </c>
      <c r="DC82" s="5" t="str">
        <f t="shared" ca="1" si="277"/>
        <v>VIGENTE</v>
      </c>
      <c r="DD82" s="3"/>
      <c r="DE82" s="4">
        <v>46066</v>
      </c>
      <c r="DF82" s="4">
        <f>DATE(YEAR(DE82)+2,MONTH(DE82),DAY(DE82))</f>
        <v>46796</v>
      </c>
      <c r="DG82" s="8">
        <f t="shared" ca="1" si="278"/>
        <v>651</v>
      </c>
      <c r="DH82" s="5" t="str">
        <f t="shared" ca="1" si="279"/>
        <v>VIGENTE</v>
      </c>
      <c r="DI82" s="3"/>
      <c r="DJ82" s="39">
        <v>45779</v>
      </c>
      <c r="DK82" s="4">
        <f>DATE(YEAR(DJ82)+2,MONTH(DJ82),DAY(DJ82))</f>
        <v>46509</v>
      </c>
      <c r="DL82" s="8">
        <f t="shared" ca="1" si="280"/>
        <v>364</v>
      </c>
      <c r="DM82" s="5" t="str">
        <f t="shared" ca="1" si="281"/>
        <v>VIGENTE</v>
      </c>
      <c r="DN82" s="4"/>
      <c r="DO82" s="4">
        <v>45873</v>
      </c>
      <c r="DP82" s="4">
        <f>DATE(YEAR(DO82)+2,MONTH(DO82),DAY(DO82))</f>
        <v>46603</v>
      </c>
      <c r="DQ82" s="8">
        <f t="shared" ca="1" si="282"/>
        <v>458</v>
      </c>
      <c r="DR82" s="5" t="str">
        <f t="shared" ca="1" si="283"/>
        <v>VIGENTE</v>
      </c>
      <c r="DS82" s="4"/>
      <c r="DT82" s="4">
        <v>46018</v>
      </c>
      <c r="DU82" s="4">
        <f>DATE(YEAR(DT82)+2,MONTH(DT82),DAY(DT82))</f>
        <v>46748</v>
      </c>
      <c r="DV82" s="8">
        <f t="shared" ca="1" si="284"/>
        <v>603</v>
      </c>
      <c r="DW82" s="5" t="str">
        <f t="shared" ca="1" si="285"/>
        <v>VIGENTE</v>
      </c>
      <c r="DX82" s="4"/>
      <c r="DY82" s="4">
        <v>46032</v>
      </c>
      <c r="DZ82" s="4">
        <f>DATE(YEAR(DY82)+2,MONTH(DY82),DAY(DY82))</f>
        <v>46762</v>
      </c>
      <c r="EA82" s="8">
        <f t="shared" ca="1" si="286"/>
        <v>617</v>
      </c>
      <c r="EB82" s="5" t="str">
        <f t="shared" ca="1" si="287"/>
        <v>VIGENTE</v>
      </c>
      <c r="EC82" s="3"/>
      <c r="ED82" s="39">
        <v>45829</v>
      </c>
      <c r="EE82" s="4">
        <f>DATE(YEAR(ED82)+2,MONTH(ED82),DAY(ED82))</f>
        <v>46559</v>
      </c>
      <c r="EF82" s="8">
        <f t="shared" ca="1" si="288"/>
        <v>414</v>
      </c>
      <c r="EG82" s="5" t="str">
        <f t="shared" ca="1" si="289"/>
        <v>VIGENTE</v>
      </c>
      <c r="EH82" s="3"/>
      <c r="EI82" s="3">
        <v>46015</v>
      </c>
      <c r="EJ82" s="4">
        <f t="shared" si="355"/>
        <v>46380</v>
      </c>
      <c r="EK82" s="8">
        <f t="shared" ca="1" si="290"/>
        <v>235</v>
      </c>
      <c r="EL82" s="5" t="str">
        <f t="shared" ca="1" si="291"/>
        <v>VIGENTE</v>
      </c>
      <c r="EM82" s="3"/>
      <c r="EN82" s="4">
        <v>45966</v>
      </c>
      <c r="EO82" s="4">
        <f>DATE(YEAR(EN82)+2,MONTH(EN82),DAY(EN82))</f>
        <v>46696</v>
      </c>
      <c r="EP82" s="8">
        <f t="shared" ca="1" si="292"/>
        <v>551</v>
      </c>
      <c r="EQ82" s="5" t="str">
        <f t="shared" ca="1" si="293"/>
        <v>VIGENTE</v>
      </c>
      <c r="ER82" s="3"/>
      <c r="ES82" s="39">
        <v>45824</v>
      </c>
      <c r="ET82" s="4">
        <f>DATE(YEAR(ES82)+2,MONTH(ES82),DAY(ES82))</f>
        <v>46554</v>
      </c>
      <c r="EU82" s="8">
        <f t="shared" ca="1" si="294"/>
        <v>409</v>
      </c>
      <c r="EV82" s="5" t="str">
        <f t="shared" ca="1" si="295"/>
        <v>VIGENTE</v>
      </c>
      <c r="EW82" s="2"/>
      <c r="EX82" s="4">
        <v>45953</v>
      </c>
      <c r="EY82" s="4">
        <f>DATE(YEAR(EX82)+2,MONTH(EX82),DAY(EX82))</f>
        <v>46683</v>
      </c>
      <c r="EZ82" s="8">
        <f t="shared" ca="1" si="296"/>
        <v>538</v>
      </c>
      <c r="FA82" s="5" t="str">
        <f t="shared" ca="1" si="297"/>
        <v>VIGENTE</v>
      </c>
      <c r="FB82" s="3"/>
      <c r="FC82" s="4">
        <v>45922</v>
      </c>
      <c r="FD82" s="4">
        <f>DATE(YEAR(FC82)+2,MONTH(FC82),DAY(FC82))</f>
        <v>46652</v>
      </c>
      <c r="FE82" s="8">
        <f t="shared" ca="1" si="298"/>
        <v>507</v>
      </c>
      <c r="FF82" s="5" t="str">
        <f t="shared" ca="1" si="299"/>
        <v>VIGENTE</v>
      </c>
      <c r="FG82" s="3"/>
      <c r="FH82" s="4">
        <v>45932</v>
      </c>
      <c r="FI82" s="4">
        <f>DATE(YEAR(FH82)+2,MONTH(FH82),DAY(FH82))</f>
        <v>46662</v>
      </c>
      <c r="FJ82" s="8">
        <f t="shared" ca="1" si="300"/>
        <v>517</v>
      </c>
      <c r="FK82" s="5" t="str">
        <f t="shared" ca="1" si="301"/>
        <v>VIGENTE</v>
      </c>
      <c r="FL82" s="3"/>
      <c r="FM82" s="39">
        <v>45850</v>
      </c>
      <c r="FN82" s="4">
        <f>DATE(YEAR(FM82)+2,MONTH(FM82),DAY(FM82))</f>
        <v>46580</v>
      </c>
      <c r="FO82" s="8">
        <f t="shared" ca="1" si="302"/>
        <v>435</v>
      </c>
      <c r="FP82" s="5" t="str">
        <f t="shared" ca="1" si="303"/>
        <v>VIGENTE</v>
      </c>
      <c r="FQ82" s="3"/>
      <c r="FR82" s="39">
        <v>45846</v>
      </c>
      <c r="FS82" s="4">
        <f>DATE(YEAR(FR82)+2,MONTH(FR82),DAY(FR82))</f>
        <v>46576</v>
      </c>
      <c r="FT82" s="8">
        <f t="shared" ca="1" si="304"/>
        <v>431</v>
      </c>
      <c r="FU82" s="5" t="str">
        <f t="shared" ca="1" si="305"/>
        <v>VIGENTE</v>
      </c>
      <c r="FV82" s="3"/>
      <c r="FW82" s="4">
        <v>45961</v>
      </c>
      <c r="FX82" s="4">
        <f>DATE(YEAR(FW82)+2,MONTH(FW82),DAY(FW82))</f>
        <v>46691</v>
      </c>
      <c r="FY82" s="8">
        <f t="shared" ca="1" si="306"/>
        <v>546</v>
      </c>
      <c r="FZ82" s="5" t="str">
        <f t="shared" ca="1" si="307"/>
        <v>VIGENTE</v>
      </c>
      <c r="GA82" s="3"/>
      <c r="GB82" s="4">
        <v>45925</v>
      </c>
      <c r="GC82" s="4">
        <f>DATE(YEAR(GB82)+2,MONTH(GB82),DAY(GB82))</f>
        <v>46655</v>
      </c>
      <c r="GD82" s="8">
        <f t="shared" ca="1" si="308"/>
        <v>510</v>
      </c>
      <c r="GE82" s="5" t="str">
        <f t="shared" ca="1" si="309"/>
        <v>VIGENTE</v>
      </c>
      <c r="GF82" s="3"/>
      <c r="GG82" s="4">
        <v>45912</v>
      </c>
      <c r="GH82" s="4">
        <f>DATE(YEAR(GG82)+2,MONTH(GG82),DAY(GG82))</f>
        <v>46642</v>
      </c>
      <c r="GI82" s="8">
        <f t="shared" ca="1" si="310"/>
        <v>497</v>
      </c>
      <c r="GJ82" s="5" t="str">
        <f t="shared" ca="1" si="311"/>
        <v>VIGENTE</v>
      </c>
      <c r="GK82" s="3"/>
      <c r="GL82" s="4">
        <v>45848</v>
      </c>
      <c r="GM82" s="4">
        <f>DATE(YEAR(GL82)+2,MONTH(GL82),DAY(GL82))</f>
        <v>46578</v>
      </c>
      <c r="GN82" s="8">
        <f t="shared" ca="1" si="312"/>
        <v>433</v>
      </c>
      <c r="GO82" s="5" t="str">
        <f t="shared" ca="1" si="313"/>
        <v>VIGENTE</v>
      </c>
      <c r="GP82" s="4"/>
      <c r="GQ82" s="4">
        <v>45181</v>
      </c>
      <c r="GR82" s="4">
        <f t="shared" si="314"/>
        <v>47008</v>
      </c>
      <c r="GS82" s="8">
        <f t="shared" ca="1" si="384"/>
        <v>863</v>
      </c>
      <c r="GT82" s="5" t="str">
        <f t="shared" ca="1" si="378"/>
        <v>VIGENTE</v>
      </c>
      <c r="GU82" s="3"/>
      <c r="GV82" s="4">
        <v>45245</v>
      </c>
      <c r="GW82" s="4">
        <f t="shared" si="316"/>
        <v>47072</v>
      </c>
      <c r="GX82" s="8">
        <f t="shared" ca="1" si="317"/>
        <v>927</v>
      </c>
      <c r="GY82" s="5" t="str">
        <f t="shared" ca="1" si="379"/>
        <v>VIGENTE</v>
      </c>
      <c r="GZ82" s="2"/>
      <c r="HA82" s="4">
        <v>45251</v>
      </c>
      <c r="HB82" s="4">
        <f t="shared" si="319"/>
        <v>47078</v>
      </c>
      <c r="HC82" s="8">
        <f t="shared" ca="1" si="320"/>
        <v>933</v>
      </c>
      <c r="HD82" s="5" t="str">
        <f t="shared" ca="1" si="380"/>
        <v>VIGENTE</v>
      </c>
      <c r="HE82" s="6"/>
      <c r="HF82" s="4">
        <v>45317</v>
      </c>
      <c r="HG82" s="4">
        <f t="shared" si="373"/>
        <v>47144</v>
      </c>
      <c r="HH82" s="8">
        <f t="shared" ca="1" si="374"/>
        <v>999</v>
      </c>
      <c r="HI82" s="5" t="str">
        <f t="shared" ca="1" si="381"/>
        <v>VIGENTE</v>
      </c>
      <c r="HJ82" s="2"/>
      <c r="HK82" s="6"/>
      <c r="HL82" s="4"/>
      <c r="HM82" s="8"/>
      <c r="HN82" s="5" t="str">
        <f>IF(HM82&gt;=61,"VIGENTE",IF(HM82&gt;=1,"POR VENCER",IF(HM82&lt;=-1,"PROGRAMAR",IF(HK82=0,"NO APLICA"))))</f>
        <v>NO APLICA</v>
      </c>
      <c r="HO82" s="2"/>
      <c r="HP82" s="2"/>
      <c r="HQ82" s="4"/>
      <c r="HR82" s="2"/>
      <c r="HS82" s="5" t="str">
        <f t="shared" si="322"/>
        <v>NO APLICA</v>
      </c>
      <c r="HT82" s="2"/>
      <c r="HU82" s="6"/>
      <c r="HV82" s="4"/>
      <c r="HW82" s="8"/>
      <c r="HX82" s="5" t="str">
        <f t="shared" si="323"/>
        <v>NO APLICA</v>
      </c>
      <c r="HY82" s="2"/>
      <c r="HZ82" s="4">
        <v>45395</v>
      </c>
      <c r="IA82" s="4">
        <f>DATE(YEAR(HZ82)+5,MONTH(HZ82),DAY(HZ82))</f>
        <v>47221</v>
      </c>
      <c r="IB82" s="8">
        <f ca="1">IA82-TODAY()</f>
        <v>1076</v>
      </c>
      <c r="IC82" s="5" t="str">
        <f t="shared" ca="1" si="324"/>
        <v>VIGENTE</v>
      </c>
      <c r="ID82" s="2"/>
      <c r="IE82" s="4"/>
      <c r="IF82" s="4"/>
      <c r="IG82" s="8"/>
      <c r="IH82" s="5" t="str">
        <f t="shared" si="325"/>
        <v>NO APLICA</v>
      </c>
      <c r="II82" s="6"/>
      <c r="IJ82" s="6"/>
      <c r="IK82" s="4"/>
      <c r="IL82" s="8"/>
      <c r="IM82" s="5" t="str">
        <f t="shared" si="326"/>
        <v>NO APLICA</v>
      </c>
      <c r="IN82" s="2"/>
      <c r="IO82" s="6"/>
      <c r="IP82" s="4"/>
      <c r="IQ82" s="8"/>
      <c r="IR82" s="5" t="str">
        <f t="shared" si="327"/>
        <v>NO APLICA</v>
      </c>
      <c r="IS82" s="2"/>
      <c r="IT82" s="4">
        <v>45350</v>
      </c>
      <c r="IU82" s="4">
        <f>DATE(YEAR(IT82)+5,MONTH(IT82),DAY(IT82))</f>
        <v>47177</v>
      </c>
      <c r="IV82" s="8">
        <f ca="1">IU82-TODAY()</f>
        <v>1032</v>
      </c>
      <c r="IW82" s="5" t="str">
        <f t="shared" ca="1" si="328"/>
        <v>VIGENTE</v>
      </c>
      <c r="IX82" s="2"/>
      <c r="IY82" s="6"/>
      <c r="IZ82" s="4"/>
      <c r="JA82" s="8"/>
      <c r="JB82" s="5" t="str">
        <f t="shared" si="329"/>
        <v>NO APLICA</v>
      </c>
      <c r="JC82" s="3" t="s">
        <v>780</v>
      </c>
      <c r="JD82" s="3"/>
      <c r="JE82" s="4"/>
      <c r="JF82" s="8"/>
      <c r="JG82" s="5"/>
      <c r="JH82" s="3" t="s">
        <v>780</v>
      </c>
      <c r="JI82" s="6"/>
      <c r="JJ82" s="6"/>
      <c r="JK82" s="6"/>
      <c r="JL82" s="5"/>
      <c r="JM82" s="6" t="s">
        <v>780</v>
      </c>
      <c r="JN82" s="6"/>
      <c r="JO82" s="6"/>
      <c r="JP82" s="6"/>
      <c r="JQ82" s="5"/>
      <c r="JR82" s="6" t="s">
        <v>780</v>
      </c>
      <c r="JS82" s="6"/>
      <c r="JT82" s="6"/>
      <c r="JU82" s="6"/>
      <c r="JV82" s="5"/>
      <c r="JW82" s="6" t="s">
        <v>780</v>
      </c>
      <c r="JX82" s="5"/>
      <c r="JY82" s="5"/>
      <c r="JZ82" s="5"/>
      <c r="KA82" s="5"/>
      <c r="KB82" s="5"/>
      <c r="KC82" s="2"/>
      <c r="KD82" s="4"/>
      <c r="KE82" s="8"/>
      <c r="KF82" s="5" t="str">
        <f t="shared" si="330"/>
        <v>NO APLICA</v>
      </c>
      <c r="KG82" s="5"/>
      <c r="KH82" s="2"/>
      <c r="KI82" s="4"/>
      <c r="KJ82" s="8"/>
      <c r="KK82" s="5" t="str">
        <f t="shared" si="356"/>
        <v>NO APLICA</v>
      </c>
      <c r="KL82" s="5"/>
      <c r="KM82" s="2"/>
      <c r="KN82" s="4"/>
      <c r="KO82" s="8"/>
      <c r="KP82" s="5" t="str">
        <f t="shared" si="331"/>
        <v>NO APLICA</v>
      </c>
      <c r="KQ82" s="5"/>
      <c r="KR82" s="2"/>
      <c r="KS82" s="4"/>
      <c r="KT82" s="8"/>
      <c r="KU82" s="5" t="str">
        <f t="shared" si="357"/>
        <v>NO APLICA</v>
      </c>
      <c r="KV82" s="2"/>
      <c r="KW82" s="6"/>
      <c r="KX82" s="4"/>
      <c r="KY82" s="8"/>
      <c r="KZ82" s="5" t="str">
        <f t="shared" si="366"/>
        <v>NO APLICA</v>
      </c>
      <c r="LA82" s="5"/>
      <c r="LB82" s="6"/>
      <c r="LC82" s="4"/>
      <c r="LD82" s="8"/>
      <c r="LE82" s="5" t="str">
        <f t="shared" si="358"/>
        <v>NO APLICA</v>
      </c>
      <c r="LF82" s="6"/>
      <c r="LG82" s="6"/>
      <c r="LH82" s="4"/>
      <c r="LI82" s="8"/>
      <c r="LJ82" s="5" t="str">
        <f t="shared" si="332"/>
        <v>NO APLICA</v>
      </c>
      <c r="LK82" s="5"/>
      <c r="LL82" s="5"/>
      <c r="LM82" s="4"/>
      <c r="LN82" s="8"/>
      <c r="LO82" s="5" t="str">
        <f t="shared" si="367"/>
        <v>NO APLICA</v>
      </c>
      <c r="LP82" s="2"/>
      <c r="LQ82" s="6"/>
      <c r="LR82" s="4"/>
      <c r="LS82" s="8"/>
      <c r="LT82" s="5" t="str">
        <f t="shared" si="359"/>
        <v>NO APLICA</v>
      </c>
      <c r="LU82" s="6"/>
      <c r="LV82" s="6"/>
      <c r="LW82" s="4"/>
      <c r="LX82" s="8"/>
      <c r="LY82" s="5" t="str">
        <f t="shared" si="360"/>
        <v>NO APLICA</v>
      </c>
      <c r="LZ82" s="6"/>
      <c r="MA82" s="6"/>
      <c r="MB82" s="4"/>
      <c r="MC82" s="8"/>
      <c r="MD82" s="5" t="str">
        <f t="shared" si="361"/>
        <v>NO APLICA</v>
      </c>
      <c r="ME82" s="2"/>
      <c r="MF82" s="2"/>
      <c r="MG82" s="4"/>
      <c r="MH82" s="8"/>
      <c r="MI82" s="5" t="str">
        <f t="shared" si="333"/>
        <v>NO APLICA</v>
      </c>
      <c r="MJ82" s="2"/>
      <c r="MK82" s="2"/>
      <c r="ML82" s="4"/>
      <c r="MM82" s="8"/>
      <c r="MN82" s="5" t="str">
        <f t="shared" si="334"/>
        <v>NO APLICA</v>
      </c>
      <c r="MO82" s="5"/>
      <c r="MP82" s="2"/>
      <c r="MQ82" s="4"/>
      <c r="MR82" s="8"/>
      <c r="MS82" s="5" t="str">
        <f t="shared" si="335"/>
        <v>NO APLICA</v>
      </c>
      <c r="MT82" s="5"/>
      <c r="MU82" s="2"/>
      <c r="MV82" s="4"/>
      <c r="MW82" s="2"/>
      <c r="MX82" s="5" t="str">
        <f t="shared" si="336"/>
        <v>NO APLICA</v>
      </c>
      <c r="MY82" s="2"/>
      <c r="MZ82" s="6"/>
      <c r="NA82" s="4"/>
      <c r="NB82" s="8"/>
      <c r="NC82" s="5" t="str">
        <f t="shared" si="337"/>
        <v>NO APLICA</v>
      </c>
      <c r="ND82" s="2"/>
      <c r="NE82" s="6"/>
      <c r="NF82" s="4"/>
      <c r="NG82" s="8"/>
      <c r="NH82" s="5" t="str">
        <f t="shared" si="338"/>
        <v>NO APLICA</v>
      </c>
      <c r="NI82" s="2"/>
      <c r="NJ82" s="6"/>
      <c r="NK82" s="4"/>
      <c r="NL82" s="8"/>
      <c r="NM82" s="5" t="str">
        <f t="shared" si="339"/>
        <v>NO APLICA</v>
      </c>
      <c r="NN82" s="2"/>
      <c r="NO82" s="2"/>
      <c r="NP82" s="4"/>
      <c r="NQ82" s="8"/>
      <c r="NR82" s="5" t="str">
        <f t="shared" si="340"/>
        <v>NO APLICA</v>
      </c>
      <c r="NS82" s="2"/>
      <c r="NT82" s="2"/>
      <c r="NU82" s="4"/>
      <c r="NV82" s="2"/>
      <c r="NW82" s="5" t="str">
        <f t="shared" si="341"/>
        <v>NO APLICA</v>
      </c>
      <c r="NX82" s="6"/>
      <c r="NY82" s="6"/>
      <c r="NZ82" s="4"/>
      <c r="OA82" s="8"/>
      <c r="OB82" s="5" t="str">
        <f t="shared" si="342"/>
        <v>NO APLICA</v>
      </c>
      <c r="OC82" s="6"/>
      <c r="OD82" s="6"/>
      <c r="OE82" s="6"/>
      <c r="OF82" s="6"/>
      <c r="OG82" s="5" t="str">
        <f t="shared" si="343"/>
        <v>NO APLICA</v>
      </c>
      <c r="OH82" s="6"/>
      <c r="OI82" s="6"/>
      <c r="OJ82" s="4"/>
      <c r="OK82" s="8"/>
      <c r="OL82" s="5" t="str">
        <f t="shared" si="344"/>
        <v>NO APLICA</v>
      </c>
      <c r="OM82" s="6"/>
      <c r="ON82" s="6"/>
      <c r="OO82" s="6"/>
      <c r="OP82" s="6"/>
      <c r="OQ82" s="5" t="str">
        <f t="shared" si="345"/>
        <v>NO APLICA</v>
      </c>
      <c r="OR82" s="6"/>
      <c r="OS82" s="6"/>
      <c r="OT82" s="6"/>
      <c r="OU82" s="6"/>
      <c r="OV82" s="5" t="str">
        <f t="shared" si="346"/>
        <v>NO APLICA</v>
      </c>
      <c r="OW82" s="6"/>
      <c r="OX82" s="6"/>
      <c r="OY82" s="6"/>
      <c r="OZ82" s="6"/>
      <c r="PA82" s="5" t="str">
        <f t="shared" si="347"/>
        <v>NO APLICA</v>
      </c>
      <c r="PB82" s="6"/>
      <c r="PC82" s="6"/>
      <c r="PD82" s="6"/>
      <c r="PE82" s="6"/>
      <c r="PF82" s="5" t="str">
        <f t="shared" si="348"/>
        <v>NO APLICA</v>
      </c>
      <c r="PG82" s="6"/>
      <c r="PH82" s="6"/>
      <c r="PI82" s="6"/>
      <c r="PJ82" s="6"/>
      <c r="PK82" s="5" t="str">
        <f t="shared" si="349"/>
        <v>NO APLICA</v>
      </c>
      <c r="PL82" s="5"/>
      <c r="PM82" s="6"/>
      <c r="PN82" s="4"/>
      <c r="PO82" s="8"/>
      <c r="PP82" s="5" t="str">
        <f t="shared" si="350"/>
        <v>NO APLICA</v>
      </c>
      <c r="PQ82" s="6"/>
      <c r="PR82" s="6"/>
      <c r="PS82" s="6"/>
      <c r="PT82" s="6"/>
      <c r="PU82" s="5" t="str">
        <f t="shared" si="351"/>
        <v>NO APLICA</v>
      </c>
      <c r="PV82" s="5"/>
      <c r="PW82" s="6"/>
      <c r="PX82" s="6"/>
      <c r="PY82" s="6"/>
      <c r="PZ82" s="5" t="str">
        <f t="shared" si="352"/>
        <v>NO APLICA</v>
      </c>
    </row>
    <row r="83" spans="1:442" ht="15.6" hidden="1" thickTop="1" thickBot="1" x14ac:dyDescent="0.35">
      <c r="A83" s="26">
        <v>80</v>
      </c>
      <c r="B83" s="31">
        <v>1691</v>
      </c>
      <c r="C83" s="28" t="s">
        <v>300</v>
      </c>
      <c r="D83" s="29" t="s">
        <v>64</v>
      </c>
      <c r="E83" s="30" t="s">
        <v>81</v>
      </c>
      <c r="F83" s="5"/>
      <c r="G83" s="6"/>
      <c r="H83" s="4"/>
      <c r="I83" s="8"/>
      <c r="J83" s="5" t="str">
        <f t="shared" si="242"/>
        <v>NO APLICA</v>
      </c>
      <c r="K83" s="5"/>
      <c r="L83" s="6"/>
      <c r="M83" s="6"/>
      <c r="N83" s="8"/>
      <c r="O83" s="5" t="str">
        <f t="shared" si="243"/>
        <v>NO APLICA</v>
      </c>
      <c r="P83" s="4"/>
      <c r="Q83" s="4">
        <v>45597</v>
      </c>
      <c r="R83" s="4">
        <f>DATE(YEAR(Q83)+2,MONTH(Q83),DAY(Q83)-1)</f>
        <v>46326</v>
      </c>
      <c r="S83" s="8">
        <f ca="1">R83-TODAY()</f>
        <v>181</v>
      </c>
      <c r="T83" s="5" t="str">
        <f t="shared" ca="1" si="353"/>
        <v>VIGENTE</v>
      </c>
      <c r="U83" s="5"/>
      <c r="V83" s="2" t="s">
        <v>301</v>
      </c>
      <c r="W83" s="4">
        <v>45142</v>
      </c>
      <c r="X83" s="4">
        <f t="shared" si="244"/>
        <v>46969</v>
      </c>
      <c r="Y83" s="8">
        <f t="shared" ca="1" si="245"/>
        <v>824</v>
      </c>
      <c r="Z83" s="5" t="str">
        <f t="shared" ca="1" si="246"/>
        <v>VIGENTE</v>
      </c>
      <c r="AA83" s="5"/>
      <c r="AB83" s="2" t="s">
        <v>302</v>
      </c>
      <c r="AC83" s="4">
        <v>45192</v>
      </c>
      <c r="AD83" s="4">
        <f t="shared" si="376"/>
        <v>47019</v>
      </c>
      <c r="AE83" s="8">
        <f t="shared" ca="1" si="377"/>
        <v>874</v>
      </c>
      <c r="AF83" s="5" t="str">
        <f t="shared" ca="1" si="247"/>
        <v>VIGENTE</v>
      </c>
      <c r="AG83" s="2"/>
      <c r="AH83" s="4">
        <v>45936</v>
      </c>
      <c r="AI83" s="4">
        <f>DATE(YEAR(AH83)+2,MONTH(AH83),DAY(AH83))</f>
        <v>46666</v>
      </c>
      <c r="AJ83" s="8">
        <f t="shared" ca="1" si="248"/>
        <v>521</v>
      </c>
      <c r="AK83" s="5" t="str">
        <f t="shared" ca="1" si="219"/>
        <v>VIGENTE</v>
      </c>
      <c r="AL83" s="2"/>
      <c r="AM83" s="4">
        <v>45937</v>
      </c>
      <c r="AN83" s="4">
        <f>DATE(YEAR(AM83)+2,MONTH(AM83),DAY(AM83))</f>
        <v>46667</v>
      </c>
      <c r="AO83" s="8">
        <f t="shared" ca="1" si="249"/>
        <v>522</v>
      </c>
      <c r="AP83" s="5" t="str">
        <f t="shared" ca="1" si="250"/>
        <v>VIGENTE</v>
      </c>
      <c r="AQ83" s="2"/>
      <c r="AR83" s="4">
        <v>45904</v>
      </c>
      <c r="AS83" s="4">
        <f>DATE(YEAR(AR83)+2,MONTH(AR83),DAY(AR83))</f>
        <v>46634</v>
      </c>
      <c r="AT83" s="8">
        <f t="shared" ca="1" si="251"/>
        <v>489</v>
      </c>
      <c r="AU83" s="5" t="str">
        <f t="shared" ca="1" si="252"/>
        <v>VIGENTE</v>
      </c>
      <c r="AV83" s="2"/>
      <c r="AW83" s="4">
        <v>45927</v>
      </c>
      <c r="AX83" s="4">
        <f>DATE(YEAR(AW83)+2,MONTH(AW83),DAY(AW83))</f>
        <v>46657</v>
      </c>
      <c r="AY83" s="8">
        <f t="shared" ca="1" si="253"/>
        <v>512</v>
      </c>
      <c r="AZ83" s="5" t="str">
        <f t="shared" ca="1" si="254"/>
        <v>VIGENTE</v>
      </c>
      <c r="BA83" s="3"/>
      <c r="BB83" s="4">
        <v>46041</v>
      </c>
      <c r="BC83" s="4">
        <f>DATE(YEAR(BB83)+2,MONTH(BB83),DAY(BB83))</f>
        <v>46771</v>
      </c>
      <c r="BD83" s="8">
        <f t="shared" ca="1" si="255"/>
        <v>626</v>
      </c>
      <c r="BE83" s="5" t="str">
        <f t="shared" ca="1" si="256"/>
        <v>VIGENTE</v>
      </c>
      <c r="BF83" s="2"/>
      <c r="BG83" s="4">
        <v>45997</v>
      </c>
      <c r="BH83" s="4">
        <f>DATE(YEAR(BG83)+2,MONTH(BG83),DAY(BG83))</f>
        <v>46727</v>
      </c>
      <c r="BI83" s="8">
        <f t="shared" ca="1" si="257"/>
        <v>582</v>
      </c>
      <c r="BJ83" s="5" t="str">
        <f t="shared" ca="1" si="258"/>
        <v>VIGENTE</v>
      </c>
      <c r="BK83" s="3"/>
      <c r="BL83" s="4">
        <v>46017</v>
      </c>
      <c r="BM83" s="4">
        <f>DATE(YEAR(BL83)+2,MONTH(BL83),DAY(BL83))</f>
        <v>46747</v>
      </c>
      <c r="BN83" s="8">
        <f t="shared" ca="1" si="259"/>
        <v>602</v>
      </c>
      <c r="BO83" s="5" t="str">
        <f t="shared" ca="1" si="260"/>
        <v>VIGENTE</v>
      </c>
      <c r="BP83" s="3"/>
      <c r="BQ83" s="39">
        <v>45988</v>
      </c>
      <c r="BR83" s="4">
        <f>DATE(YEAR(BQ83)+2,MONTH(BQ83),DAY(BQ83))</f>
        <v>46718</v>
      </c>
      <c r="BS83" s="8">
        <f t="shared" ca="1" si="261"/>
        <v>573</v>
      </c>
      <c r="BT83" s="5" t="str">
        <f t="shared" ca="1" si="262"/>
        <v>VIGENTE</v>
      </c>
      <c r="BU83" s="3"/>
      <c r="BV83" s="4">
        <v>46031</v>
      </c>
      <c r="BW83" s="4">
        <f>DATE(YEAR(BV83)+2,MONTH(BV83),DAY(BV83))</f>
        <v>46761</v>
      </c>
      <c r="BX83" s="8">
        <f t="shared" ca="1" si="263"/>
        <v>616</v>
      </c>
      <c r="BY83" s="5" t="str">
        <f t="shared" ca="1" si="264"/>
        <v>VIGENTE</v>
      </c>
      <c r="BZ83" s="2"/>
      <c r="CA83" s="4">
        <v>45986</v>
      </c>
      <c r="CB83" s="4">
        <f>DATE(YEAR(CA83)+2,MONTH(CA83),DAY(CA83))</f>
        <v>46716</v>
      </c>
      <c r="CC83" s="8">
        <f t="shared" ca="1" si="265"/>
        <v>571</v>
      </c>
      <c r="CD83" s="5" t="str">
        <f t="shared" ca="1" si="266"/>
        <v>VIGENTE</v>
      </c>
      <c r="CE83" s="6"/>
      <c r="CF83" s="4">
        <v>45164</v>
      </c>
      <c r="CG83" s="4">
        <f t="shared" si="267"/>
        <v>46625</v>
      </c>
      <c r="CH83" s="8">
        <f t="shared" ca="1" si="268"/>
        <v>480</v>
      </c>
      <c r="CI83" s="5" t="str">
        <f t="shared" ca="1" si="269"/>
        <v>VIGENTE</v>
      </c>
      <c r="CJ83" s="4"/>
      <c r="CK83" s="4">
        <v>46018</v>
      </c>
      <c r="CL83" s="4">
        <f>DATE(YEAR(CK83)+2,MONTH(CK83),DAY(CK83))</f>
        <v>46748</v>
      </c>
      <c r="CM83" s="8">
        <f t="shared" ca="1" si="270"/>
        <v>603</v>
      </c>
      <c r="CN83" s="5" t="str">
        <f t="shared" ca="1" si="271"/>
        <v>VIGENTE</v>
      </c>
      <c r="CO83" s="3"/>
      <c r="CP83" s="39">
        <v>45994</v>
      </c>
      <c r="CQ83" s="4">
        <f>DATE(YEAR(CP83)+2,MONTH(CP83),DAY(CP83))</f>
        <v>46724</v>
      </c>
      <c r="CR83" s="8">
        <f t="shared" ca="1" si="272"/>
        <v>579</v>
      </c>
      <c r="CS83" s="5" t="str">
        <f t="shared" ca="1" si="273"/>
        <v>VIGENTE</v>
      </c>
      <c r="CT83" s="2"/>
      <c r="CU83" s="4">
        <v>45905</v>
      </c>
      <c r="CV83" s="4">
        <f>DATE(YEAR(CU83)+2,MONTH(CU83),DAY(CU83))</f>
        <v>46635</v>
      </c>
      <c r="CW83" s="8">
        <f t="shared" ca="1" si="274"/>
        <v>490</v>
      </c>
      <c r="CX83" s="5" t="str">
        <f t="shared" ca="1" si="275"/>
        <v>VIGENTE</v>
      </c>
      <c r="CY83" s="3"/>
      <c r="CZ83" s="4">
        <v>46000</v>
      </c>
      <c r="DA83" s="4">
        <f>DATE(YEAR(CZ83)+2,MONTH(CZ83),DAY(CZ83))</f>
        <v>46730</v>
      </c>
      <c r="DB83" s="8">
        <f t="shared" ca="1" si="276"/>
        <v>585</v>
      </c>
      <c r="DC83" s="5" t="str">
        <f t="shared" ca="1" si="277"/>
        <v>VIGENTE</v>
      </c>
      <c r="DD83" s="3"/>
      <c r="DE83" s="39">
        <v>45996</v>
      </c>
      <c r="DF83" s="4">
        <f>DATE(YEAR(DE83)+2,MONTH(DE83),DAY(DE83))</f>
        <v>46726</v>
      </c>
      <c r="DG83" s="8">
        <f t="shared" ca="1" si="278"/>
        <v>581</v>
      </c>
      <c r="DH83" s="5" t="str">
        <f t="shared" ca="1" si="279"/>
        <v>VIGENTE</v>
      </c>
      <c r="DI83" s="2"/>
      <c r="DJ83" s="39">
        <v>45975</v>
      </c>
      <c r="DK83" s="4">
        <f>DATE(YEAR(DJ83)+2,MONTH(DJ83),DAY(DJ83))</f>
        <v>46705</v>
      </c>
      <c r="DL83" s="8">
        <f t="shared" ca="1" si="280"/>
        <v>560</v>
      </c>
      <c r="DM83" s="5" t="str">
        <f t="shared" ca="1" si="281"/>
        <v>VIGENTE</v>
      </c>
      <c r="DN83" s="3"/>
      <c r="DO83" s="4">
        <v>46007</v>
      </c>
      <c r="DP83" s="4">
        <f>DATE(YEAR(DO83)+2,MONTH(DO83),DAY(DO83))</f>
        <v>46737</v>
      </c>
      <c r="DQ83" s="8">
        <f t="shared" ca="1" si="282"/>
        <v>592</v>
      </c>
      <c r="DR83" s="5" t="str">
        <f t="shared" ca="1" si="283"/>
        <v>VIGENTE</v>
      </c>
      <c r="DS83" s="4"/>
      <c r="DT83" s="3">
        <v>46009</v>
      </c>
      <c r="DU83" s="4">
        <f>DATE(YEAR(DT83)+2,MONTH(DT83),DAY(DT83))</f>
        <v>46739</v>
      </c>
      <c r="DV83" s="8">
        <f t="shared" ca="1" si="284"/>
        <v>594</v>
      </c>
      <c r="DW83" s="5" t="str">
        <f t="shared" ca="1" si="285"/>
        <v>VIGENTE</v>
      </c>
      <c r="DX83" s="4"/>
      <c r="DY83" s="4">
        <v>46032</v>
      </c>
      <c r="DZ83" s="4">
        <f>DATE(YEAR(DY83)+2,MONTH(DY83),DAY(DY83))</f>
        <v>46762</v>
      </c>
      <c r="EA83" s="8">
        <f t="shared" ca="1" si="286"/>
        <v>617</v>
      </c>
      <c r="EB83" s="5" t="str">
        <f t="shared" ca="1" si="287"/>
        <v>VIGENTE</v>
      </c>
      <c r="EC83" s="4"/>
      <c r="ED83" s="39">
        <v>45985</v>
      </c>
      <c r="EE83" s="4">
        <f>DATE(YEAR(ED83)+2,MONTH(ED83),DAY(ED83))</f>
        <v>46715</v>
      </c>
      <c r="EF83" s="8">
        <f t="shared" ca="1" si="288"/>
        <v>570</v>
      </c>
      <c r="EG83" s="5" t="str">
        <f t="shared" ca="1" si="289"/>
        <v>VIGENTE</v>
      </c>
      <c r="EH83" s="3"/>
      <c r="EI83" s="3">
        <v>46015</v>
      </c>
      <c r="EJ83" s="4">
        <f t="shared" si="355"/>
        <v>46380</v>
      </c>
      <c r="EK83" s="8">
        <f t="shared" ca="1" si="290"/>
        <v>235</v>
      </c>
      <c r="EL83" s="5" t="str">
        <f t="shared" ca="1" si="291"/>
        <v>VIGENTE</v>
      </c>
      <c r="EM83" s="3"/>
      <c r="EN83" s="4">
        <v>45995</v>
      </c>
      <c r="EO83" s="4">
        <f>DATE(YEAR(EN83)+2,MONTH(EN83),DAY(EN83))</f>
        <v>46725</v>
      </c>
      <c r="EP83" s="8">
        <f t="shared" ca="1" si="292"/>
        <v>580</v>
      </c>
      <c r="EQ83" s="5" t="str">
        <f t="shared" ca="1" si="293"/>
        <v>VIGENTE</v>
      </c>
      <c r="ER83" s="2"/>
      <c r="ES83" s="39">
        <v>45999</v>
      </c>
      <c r="ET83" s="4">
        <f>DATE(YEAR(ES83)+2,MONTH(ES83),DAY(ES83))</f>
        <v>46729</v>
      </c>
      <c r="EU83" s="8">
        <f t="shared" ca="1" si="294"/>
        <v>584</v>
      </c>
      <c r="EV83" s="5" t="str">
        <f t="shared" ca="1" si="295"/>
        <v>VIGENTE</v>
      </c>
      <c r="EW83" s="3"/>
      <c r="EX83" s="4">
        <v>46037</v>
      </c>
      <c r="EY83" s="4">
        <f>DATE(YEAR(EX83)+2,MONTH(EX83),DAY(EX83))</f>
        <v>46767</v>
      </c>
      <c r="EZ83" s="8">
        <f t="shared" ca="1" si="296"/>
        <v>622</v>
      </c>
      <c r="FA83" s="5" t="str">
        <f t="shared" ca="1" si="297"/>
        <v>VIGENTE</v>
      </c>
      <c r="FB83" s="3"/>
      <c r="FC83" s="4">
        <v>46010</v>
      </c>
      <c r="FD83" s="4">
        <f>DATE(YEAR(FC83)+2,MONTH(FC83),DAY(FC83))</f>
        <v>46740</v>
      </c>
      <c r="FE83" s="8">
        <f t="shared" ca="1" si="298"/>
        <v>595</v>
      </c>
      <c r="FF83" s="5" t="str">
        <f t="shared" ca="1" si="299"/>
        <v>VIGENTE</v>
      </c>
      <c r="FG83" s="3"/>
      <c r="FH83" s="4">
        <v>45962</v>
      </c>
      <c r="FI83" s="4">
        <f>DATE(YEAR(FH83)+2,MONTH(FH83),DAY(FH83))</f>
        <v>46692</v>
      </c>
      <c r="FJ83" s="8">
        <f t="shared" ca="1" si="300"/>
        <v>547</v>
      </c>
      <c r="FK83" s="5" t="str">
        <f t="shared" ca="1" si="301"/>
        <v>VIGENTE</v>
      </c>
      <c r="FL83" s="4"/>
      <c r="FM83" s="39">
        <v>46039</v>
      </c>
      <c r="FN83" s="4">
        <f>DATE(YEAR(FM83)+2,MONTH(FM83),DAY(FM83))</f>
        <v>46769</v>
      </c>
      <c r="FO83" s="8">
        <f t="shared" ca="1" si="302"/>
        <v>624</v>
      </c>
      <c r="FP83" s="5" t="str">
        <f t="shared" ca="1" si="303"/>
        <v>VIGENTE</v>
      </c>
      <c r="FQ83" s="4"/>
      <c r="FR83" s="39">
        <v>46034</v>
      </c>
      <c r="FS83" s="4">
        <f>DATE(YEAR(FR83)+2,MONTH(FR83),DAY(FR83))</f>
        <v>46764</v>
      </c>
      <c r="FT83" s="8">
        <f t="shared" ca="1" si="304"/>
        <v>619</v>
      </c>
      <c r="FU83" s="5" t="str">
        <f t="shared" ca="1" si="305"/>
        <v>VIGENTE</v>
      </c>
      <c r="FV83" s="4"/>
      <c r="FW83" s="4">
        <v>46004</v>
      </c>
      <c r="FX83" s="4">
        <f>DATE(YEAR(FW83)+2,MONTH(FW83),DAY(FW83))</f>
        <v>46734</v>
      </c>
      <c r="FY83" s="8">
        <f t="shared" ca="1" si="306"/>
        <v>589</v>
      </c>
      <c r="FZ83" s="5" t="str">
        <f t="shared" ca="1" si="307"/>
        <v>VIGENTE</v>
      </c>
      <c r="GA83" s="3"/>
      <c r="GB83" s="4">
        <v>45925</v>
      </c>
      <c r="GC83" s="4">
        <f>DATE(YEAR(GB83)+2,MONTH(GB83),DAY(GB83))</f>
        <v>46655</v>
      </c>
      <c r="GD83" s="8">
        <f t="shared" ca="1" si="308"/>
        <v>510</v>
      </c>
      <c r="GE83" s="5" t="str">
        <f t="shared" ca="1" si="309"/>
        <v>VIGENTE</v>
      </c>
      <c r="GF83" s="3"/>
      <c r="GG83" s="4">
        <v>45960</v>
      </c>
      <c r="GH83" s="4">
        <f>DATE(YEAR(GG83)+2,MONTH(GG83),DAY(GG83))</f>
        <v>46690</v>
      </c>
      <c r="GI83" s="8">
        <f t="shared" ca="1" si="310"/>
        <v>545</v>
      </c>
      <c r="GJ83" s="5" t="str">
        <f t="shared" ca="1" si="311"/>
        <v>VIGENTE</v>
      </c>
      <c r="GK83" s="3"/>
      <c r="GL83" s="4">
        <v>45499</v>
      </c>
      <c r="GM83" s="4">
        <f>DATE(YEAR(GL83)+2,MONTH(GL83),DAY(GL83)-1)</f>
        <v>46228</v>
      </c>
      <c r="GN83" s="8">
        <f t="shared" ca="1" si="312"/>
        <v>83</v>
      </c>
      <c r="GO83" s="5" t="str">
        <f t="shared" ca="1" si="313"/>
        <v>VIGENTE</v>
      </c>
      <c r="GP83" s="4"/>
      <c r="GQ83" s="4">
        <v>45299</v>
      </c>
      <c r="GR83" s="4">
        <f t="shared" si="314"/>
        <v>47126</v>
      </c>
      <c r="GS83" s="8">
        <f t="shared" ca="1" si="384"/>
        <v>981</v>
      </c>
      <c r="GT83" s="5" t="str">
        <f t="shared" ca="1" si="378"/>
        <v>VIGENTE</v>
      </c>
      <c r="GU83" s="3"/>
      <c r="GV83" s="4">
        <v>45329</v>
      </c>
      <c r="GW83" s="4">
        <f t="shared" si="316"/>
        <v>47156</v>
      </c>
      <c r="GX83" s="8">
        <f t="shared" ca="1" si="317"/>
        <v>1011</v>
      </c>
      <c r="GY83" s="5" t="str">
        <f t="shared" ca="1" si="379"/>
        <v>VIGENTE</v>
      </c>
      <c r="GZ83" s="2"/>
      <c r="HA83" s="4">
        <v>45343</v>
      </c>
      <c r="HB83" s="4">
        <f t="shared" si="319"/>
        <v>47170</v>
      </c>
      <c r="HC83" s="8">
        <f t="shared" ca="1" si="320"/>
        <v>1025</v>
      </c>
      <c r="HD83" s="5" t="str">
        <f t="shared" ca="1" si="380"/>
        <v>VIGENTE</v>
      </c>
      <c r="HE83" s="6"/>
      <c r="HF83" s="4">
        <v>45317</v>
      </c>
      <c r="HG83" s="4">
        <f t="shared" si="373"/>
        <v>47144</v>
      </c>
      <c r="HH83" s="8">
        <f t="shared" ca="1" si="374"/>
        <v>999</v>
      </c>
      <c r="HI83" s="5" t="str">
        <f t="shared" ca="1" si="381"/>
        <v>VIGENTE</v>
      </c>
      <c r="HJ83" s="2"/>
      <c r="HK83" s="6"/>
      <c r="HL83" s="4"/>
      <c r="HM83" s="8"/>
      <c r="HN83" s="5" t="str">
        <f t="shared" ref="HN83:HN105" si="385">IF(HM83&gt;=61,"VIGENTE",IF(HM83&gt;=1,"POR VENCER",IF(HM83&lt;=-1,"VENCIDA",IF(HK83=0,"NO APLICA"))))</f>
        <v>NO APLICA</v>
      </c>
      <c r="HO83" s="2"/>
      <c r="HP83" s="2"/>
      <c r="HQ83" s="4"/>
      <c r="HR83" s="2"/>
      <c r="HS83" s="5" t="str">
        <f t="shared" si="322"/>
        <v>NO APLICA</v>
      </c>
      <c r="HT83" s="2"/>
      <c r="HU83" s="6"/>
      <c r="HV83" s="4"/>
      <c r="HW83" s="8"/>
      <c r="HX83" s="5" t="str">
        <f t="shared" si="323"/>
        <v>NO APLICA</v>
      </c>
      <c r="HY83" s="2"/>
      <c r="HZ83" s="6"/>
      <c r="IA83" s="4"/>
      <c r="IB83" s="8"/>
      <c r="IC83" s="5" t="str">
        <f t="shared" si="324"/>
        <v>NO APLICA</v>
      </c>
      <c r="ID83" s="2"/>
      <c r="IE83" s="6"/>
      <c r="IF83" s="4"/>
      <c r="IG83" s="8"/>
      <c r="IH83" s="5" t="str">
        <f t="shared" si="325"/>
        <v>NO APLICA</v>
      </c>
      <c r="II83" s="6"/>
      <c r="IJ83" s="6"/>
      <c r="IK83" s="4"/>
      <c r="IL83" s="8"/>
      <c r="IM83" s="5" t="str">
        <f t="shared" si="326"/>
        <v>NO APLICA</v>
      </c>
      <c r="IN83" s="2"/>
      <c r="IO83" s="6"/>
      <c r="IP83" s="4"/>
      <c r="IQ83" s="8"/>
      <c r="IR83" s="5" t="str">
        <f t="shared" si="327"/>
        <v>NO APLICA</v>
      </c>
      <c r="IS83" s="2"/>
      <c r="IT83" s="6"/>
      <c r="IU83" s="4"/>
      <c r="IV83" s="8"/>
      <c r="IW83" s="5" t="str">
        <f t="shared" si="328"/>
        <v>NO APLICA</v>
      </c>
      <c r="IX83" s="2"/>
      <c r="IY83" s="6"/>
      <c r="IZ83" s="4"/>
      <c r="JA83" s="8"/>
      <c r="JB83" s="5" t="str">
        <f t="shared" si="329"/>
        <v>NO APLICA</v>
      </c>
      <c r="JC83" s="3" t="s">
        <v>780</v>
      </c>
      <c r="JD83" s="3"/>
      <c r="JE83" s="4"/>
      <c r="JF83" s="8"/>
      <c r="JG83" s="5"/>
      <c r="JH83" s="3" t="s">
        <v>780</v>
      </c>
      <c r="JI83" s="6"/>
      <c r="JJ83" s="6"/>
      <c r="JK83" s="6"/>
      <c r="JL83" s="5"/>
      <c r="JM83" s="6" t="s">
        <v>780</v>
      </c>
      <c r="JN83" s="6"/>
      <c r="JO83" s="6"/>
      <c r="JP83" s="6"/>
      <c r="JQ83" s="5"/>
      <c r="JR83" s="6" t="s">
        <v>780</v>
      </c>
      <c r="JS83" s="6"/>
      <c r="JT83" s="6"/>
      <c r="JU83" s="6"/>
      <c r="JV83" s="5"/>
      <c r="JW83" s="6" t="s">
        <v>780</v>
      </c>
      <c r="JX83" s="5"/>
      <c r="JY83" s="5"/>
      <c r="JZ83" s="5"/>
      <c r="KA83" s="5"/>
      <c r="KB83" s="5"/>
      <c r="KC83" s="2"/>
      <c r="KD83" s="4"/>
      <c r="KE83" s="8"/>
      <c r="KF83" s="5" t="str">
        <f t="shared" si="330"/>
        <v>NO APLICA</v>
      </c>
      <c r="KG83" s="5"/>
      <c r="KH83" s="2"/>
      <c r="KI83" s="4"/>
      <c r="KJ83" s="8"/>
      <c r="KK83" s="5" t="str">
        <f t="shared" si="356"/>
        <v>NO APLICA</v>
      </c>
      <c r="KL83" s="5"/>
      <c r="KM83" s="3">
        <v>45364</v>
      </c>
      <c r="KN83" s="4">
        <f>DATE(YEAR(KM83)+5,MONTH(KM83),DAY(KM83))</f>
        <v>47190</v>
      </c>
      <c r="KO83" s="8">
        <f ca="1">KN83-TODAY()</f>
        <v>1045</v>
      </c>
      <c r="KP83" s="5" t="str">
        <f t="shared" ca="1" si="331"/>
        <v>VIGENTE</v>
      </c>
      <c r="KQ83" s="5"/>
      <c r="KR83" s="3">
        <v>45346</v>
      </c>
      <c r="KS83" s="4">
        <f>DATE(YEAR(KR83)+5,MONTH(KR83),DAY(KR83))</f>
        <v>47173</v>
      </c>
      <c r="KT83" s="8">
        <f ca="1">KS83-TODAY()</f>
        <v>1028</v>
      </c>
      <c r="KU83" s="5" t="str">
        <f t="shared" ca="1" si="357"/>
        <v>VIGENTE</v>
      </c>
      <c r="KV83" s="2"/>
      <c r="KW83" s="6"/>
      <c r="KX83" s="4"/>
      <c r="KY83" s="8"/>
      <c r="KZ83" s="5" t="str">
        <f t="shared" si="366"/>
        <v>NO APLICA</v>
      </c>
      <c r="LA83" s="5"/>
      <c r="LB83" s="6"/>
      <c r="LC83" s="4"/>
      <c r="LD83" s="8"/>
      <c r="LE83" s="5" t="str">
        <f t="shared" si="358"/>
        <v>NO APLICA</v>
      </c>
      <c r="LF83" s="6"/>
      <c r="LG83" s="6"/>
      <c r="LH83" s="4"/>
      <c r="LI83" s="8"/>
      <c r="LJ83" s="5" t="str">
        <f t="shared" si="332"/>
        <v>NO APLICA</v>
      </c>
      <c r="LK83" s="5"/>
      <c r="LL83" s="5"/>
      <c r="LM83" s="4"/>
      <c r="LN83" s="8"/>
      <c r="LO83" s="5" t="str">
        <f t="shared" si="367"/>
        <v>NO APLICA</v>
      </c>
      <c r="LP83" s="2"/>
      <c r="LQ83" s="6"/>
      <c r="LR83" s="4"/>
      <c r="LS83" s="8"/>
      <c r="LT83" s="5" t="str">
        <f t="shared" si="359"/>
        <v>NO APLICA</v>
      </c>
      <c r="LU83" s="6"/>
      <c r="LV83" s="6"/>
      <c r="LW83" s="4"/>
      <c r="LX83" s="8"/>
      <c r="LY83" s="5" t="str">
        <f t="shared" si="360"/>
        <v>NO APLICA</v>
      </c>
      <c r="LZ83" s="6"/>
      <c r="MA83" s="6"/>
      <c r="MB83" s="4"/>
      <c r="MC83" s="8"/>
      <c r="MD83" s="5" t="str">
        <f t="shared" si="361"/>
        <v>NO APLICA</v>
      </c>
      <c r="ME83" s="2"/>
      <c r="MF83" s="2"/>
      <c r="MG83" s="4"/>
      <c r="MH83" s="8"/>
      <c r="MI83" s="5" t="str">
        <f t="shared" si="333"/>
        <v>NO APLICA</v>
      </c>
      <c r="MJ83" s="2"/>
      <c r="MK83" s="2"/>
      <c r="ML83" s="4"/>
      <c r="MM83" s="8"/>
      <c r="MN83" s="5" t="str">
        <f t="shared" si="334"/>
        <v>NO APLICA</v>
      </c>
      <c r="MO83" s="5"/>
      <c r="MP83" s="2"/>
      <c r="MQ83" s="4"/>
      <c r="MR83" s="8"/>
      <c r="MS83" s="5" t="str">
        <f t="shared" si="335"/>
        <v>NO APLICA</v>
      </c>
      <c r="MT83" s="5"/>
      <c r="MU83" s="2"/>
      <c r="MV83" s="4"/>
      <c r="MW83" s="2"/>
      <c r="MX83" s="5" t="str">
        <f t="shared" si="336"/>
        <v>NO APLICA</v>
      </c>
      <c r="MY83" s="2"/>
      <c r="MZ83" s="6"/>
      <c r="NA83" s="4"/>
      <c r="NB83" s="8"/>
      <c r="NC83" s="5" t="str">
        <f t="shared" si="337"/>
        <v>NO APLICA</v>
      </c>
      <c r="ND83" s="2"/>
      <c r="NE83" s="6"/>
      <c r="NF83" s="4"/>
      <c r="NG83" s="8"/>
      <c r="NH83" s="5" t="str">
        <f t="shared" si="338"/>
        <v>NO APLICA</v>
      </c>
      <c r="NI83" s="2"/>
      <c r="NJ83" s="6"/>
      <c r="NK83" s="4"/>
      <c r="NL83" s="8"/>
      <c r="NM83" s="5" t="str">
        <f t="shared" si="339"/>
        <v>NO APLICA</v>
      </c>
      <c r="NN83" s="2"/>
      <c r="NO83" s="2"/>
      <c r="NP83" s="4"/>
      <c r="NQ83" s="8"/>
      <c r="NR83" s="5" t="str">
        <f t="shared" si="340"/>
        <v>NO APLICA</v>
      </c>
      <c r="NS83" s="2"/>
      <c r="NT83" s="2"/>
      <c r="NU83" s="4"/>
      <c r="NV83" s="2"/>
      <c r="NW83" s="5" t="str">
        <f t="shared" si="341"/>
        <v>NO APLICA</v>
      </c>
      <c r="NX83" s="6"/>
      <c r="NY83" s="6"/>
      <c r="NZ83" s="4"/>
      <c r="OA83" s="8"/>
      <c r="OB83" s="5" t="str">
        <f t="shared" si="342"/>
        <v>NO APLICA</v>
      </c>
      <c r="OC83" s="6"/>
      <c r="OD83" s="6"/>
      <c r="OE83" s="6"/>
      <c r="OF83" s="6"/>
      <c r="OG83" s="5" t="str">
        <f t="shared" si="343"/>
        <v>NO APLICA</v>
      </c>
      <c r="OH83" s="6"/>
      <c r="OI83" s="6"/>
      <c r="OJ83" s="4"/>
      <c r="OK83" s="8"/>
      <c r="OL83" s="5" t="str">
        <f t="shared" si="344"/>
        <v>NO APLICA</v>
      </c>
      <c r="OM83" s="6"/>
      <c r="ON83" s="6"/>
      <c r="OO83" s="6"/>
      <c r="OP83" s="6"/>
      <c r="OQ83" s="5" t="str">
        <f t="shared" si="345"/>
        <v>NO APLICA</v>
      </c>
      <c r="OR83" s="6"/>
      <c r="OS83" s="6"/>
      <c r="OT83" s="6"/>
      <c r="OU83" s="6"/>
      <c r="OV83" s="5" t="str">
        <f t="shared" si="346"/>
        <v>NO APLICA</v>
      </c>
      <c r="OW83" s="6"/>
      <c r="OX83" s="6"/>
      <c r="OY83" s="6"/>
      <c r="OZ83" s="6"/>
      <c r="PA83" s="5" t="str">
        <f t="shared" si="347"/>
        <v>NO APLICA</v>
      </c>
      <c r="PB83" s="6"/>
      <c r="PC83" s="6"/>
      <c r="PD83" s="6"/>
      <c r="PE83" s="6"/>
      <c r="PF83" s="5" t="str">
        <f t="shared" si="348"/>
        <v>NO APLICA</v>
      </c>
      <c r="PG83" s="6"/>
      <c r="PH83" s="6"/>
      <c r="PI83" s="6"/>
      <c r="PJ83" s="6"/>
      <c r="PK83" s="5" t="str">
        <f t="shared" si="349"/>
        <v>NO APLICA</v>
      </c>
      <c r="PL83" s="5"/>
      <c r="PM83" s="6"/>
      <c r="PN83" s="4"/>
      <c r="PO83" s="8"/>
      <c r="PP83" s="5" t="str">
        <f t="shared" si="350"/>
        <v>NO APLICA</v>
      </c>
      <c r="PQ83" s="6"/>
      <c r="PR83" s="6"/>
      <c r="PS83" s="6"/>
      <c r="PT83" s="6"/>
      <c r="PU83" s="5" t="str">
        <f t="shared" si="351"/>
        <v>NO APLICA</v>
      </c>
      <c r="PV83" s="5"/>
      <c r="PW83" s="4">
        <v>46126</v>
      </c>
      <c r="PX83" s="4">
        <f>DATE(YEAR(PW83)+1,MONTH(PW83),DAY(PW83))</f>
        <v>46491</v>
      </c>
      <c r="PY83" s="8">
        <f ca="1">PX83-TODAY()</f>
        <v>346</v>
      </c>
      <c r="PZ83" s="5" t="str">
        <f t="shared" ca="1" si="352"/>
        <v>VIGENTE</v>
      </c>
    </row>
    <row r="84" spans="1:442" ht="15.6" hidden="1" thickTop="1" thickBot="1" x14ac:dyDescent="0.35">
      <c r="A84" s="26">
        <v>81</v>
      </c>
      <c r="B84" s="27">
        <v>758</v>
      </c>
      <c r="C84" s="28" t="s">
        <v>303</v>
      </c>
      <c r="D84" s="29" t="s">
        <v>113</v>
      </c>
      <c r="E84" s="30" t="s">
        <v>126</v>
      </c>
      <c r="F84" s="3"/>
      <c r="G84" s="4">
        <v>46060</v>
      </c>
      <c r="H84" s="4">
        <f>DATE(YEAR(G84)+2,MONTH(G84),DAY(G84))</f>
        <v>46790</v>
      </c>
      <c r="I84" s="8">
        <f ca="1">H84-TODAY()</f>
        <v>645</v>
      </c>
      <c r="J84" s="5" t="str">
        <f t="shared" ca="1" si="242"/>
        <v>VIGENTE</v>
      </c>
      <c r="K84" s="5"/>
      <c r="L84" s="6"/>
      <c r="M84" s="6"/>
      <c r="N84" s="8"/>
      <c r="O84" s="5" t="str">
        <f t="shared" si="243"/>
        <v>NO APLICA</v>
      </c>
      <c r="P84" s="6"/>
      <c r="Q84" s="6"/>
      <c r="R84" s="4"/>
      <c r="S84" s="8"/>
      <c r="T84" s="5" t="str">
        <f t="shared" si="353"/>
        <v>NO APLICA</v>
      </c>
      <c r="U84" s="5"/>
      <c r="V84" s="2" t="s">
        <v>304</v>
      </c>
      <c r="W84" s="4">
        <v>44801</v>
      </c>
      <c r="X84" s="4">
        <f t="shared" si="244"/>
        <v>46627</v>
      </c>
      <c r="Y84" s="8">
        <f t="shared" ca="1" si="245"/>
        <v>482</v>
      </c>
      <c r="Z84" s="5" t="str">
        <f t="shared" ca="1" si="246"/>
        <v>VIGENTE</v>
      </c>
      <c r="AA84" s="5"/>
      <c r="AB84" s="2"/>
      <c r="AC84" s="6"/>
      <c r="AD84" s="4"/>
      <c r="AE84" s="8"/>
      <c r="AF84" s="5" t="str">
        <f t="shared" si="247"/>
        <v>NO APLICA</v>
      </c>
      <c r="AG84" s="3"/>
      <c r="AH84" s="4">
        <v>45902</v>
      </c>
      <c r="AI84" s="4">
        <f>DATE(YEAR(AH84)+2,MONTH(AH84),DAY(AH84))</f>
        <v>46632</v>
      </c>
      <c r="AJ84" s="8">
        <f t="shared" ca="1" si="248"/>
        <v>487</v>
      </c>
      <c r="AK84" s="5" t="str">
        <f t="shared" ca="1" si="219"/>
        <v>VIGENTE</v>
      </c>
      <c r="AL84" s="3"/>
      <c r="AM84" s="4">
        <v>45959</v>
      </c>
      <c r="AN84" s="4">
        <f>DATE(YEAR(AM84)+2,MONTH(AM84),DAY(AM84))</f>
        <v>46689</v>
      </c>
      <c r="AO84" s="8">
        <f t="shared" ca="1" si="249"/>
        <v>544</v>
      </c>
      <c r="AP84" s="5" t="str">
        <f t="shared" ca="1" si="250"/>
        <v>VIGENTE</v>
      </c>
      <c r="AQ84" s="3"/>
      <c r="AR84" s="4">
        <v>45904</v>
      </c>
      <c r="AS84" s="4">
        <f>DATE(YEAR(AR84)+2,MONTH(AR84),DAY(AR84))</f>
        <v>46634</v>
      </c>
      <c r="AT84" s="8">
        <f t="shared" ca="1" si="251"/>
        <v>489</v>
      </c>
      <c r="AU84" s="5" t="str">
        <f t="shared" ca="1" si="252"/>
        <v>VIGENTE</v>
      </c>
      <c r="AV84" s="3"/>
      <c r="AW84" s="4">
        <v>45927</v>
      </c>
      <c r="AX84" s="4">
        <f>DATE(YEAR(AW84)+2,MONTH(AW84),DAY(AW84))</f>
        <v>46657</v>
      </c>
      <c r="AY84" s="8">
        <f t="shared" ca="1" si="253"/>
        <v>512</v>
      </c>
      <c r="AZ84" s="5" t="str">
        <f t="shared" ca="1" si="254"/>
        <v>VIGENTE</v>
      </c>
      <c r="BA84" s="3"/>
      <c r="BB84" s="4">
        <v>45717</v>
      </c>
      <c r="BC84" s="4">
        <f>DATE(YEAR(BB84)+2,MONTH(BB84),DAY(BB84)-1)</f>
        <v>46446</v>
      </c>
      <c r="BD84" s="8">
        <f t="shared" ca="1" si="255"/>
        <v>301</v>
      </c>
      <c r="BE84" s="5" t="str">
        <f t="shared" ca="1" si="256"/>
        <v>VIGENTE</v>
      </c>
      <c r="BF84" s="3"/>
      <c r="BG84" s="4">
        <v>45698</v>
      </c>
      <c r="BH84" s="4">
        <f>DATE(YEAR(BG84)+2,MONTH(BG84),DAY(BG84)-1)</f>
        <v>46427</v>
      </c>
      <c r="BI84" s="8">
        <f t="shared" ca="1" si="257"/>
        <v>282</v>
      </c>
      <c r="BJ84" s="5" t="str">
        <f t="shared" ca="1" si="258"/>
        <v>VIGENTE</v>
      </c>
      <c r="BK84" s="3"/>
      <c r="BL84" s="4">
        <v>46090</v>
      </c>
      <c r="BM84" s="4">
        <f>DATE(YEAR(BL84)+2,MONTH(BL84),DAY(BL84))</f>
        <v>46821</v>
      </c>
      <c r="BN84" s="8">
        <f t="shared" ca="1" si="259"/>
        <v>676</v>
      </c>
      <c r="BO84" s="5" t="str">
        <f t="shared" ca="1" si="260"/>
        <v>VIGENTE</v>
      </c>
      <c r="BP84" s="3"/>
      <c r="BQ84" s="39">
        <v>46120</v>
      </c>
      <c r="BR84" s="4">
        <f>DATE(YEAR(BQ84)+2,MONTH(BQ84),DAY(BQ84)-1)</f>
        <v>46850</v>
      </c>
      <c r="BS84" s="8">
        <f t="shared" ca="1" si="261"/>
        <v>705</v>
      </c>
      <c r="BT84" s="5" t="str">
        <f t="shared" ca="1" si="262"/>
        <v>VIGENTE</v>
      </c>
      <c r="BU84" s="3"/>
      <c r="BV84" s="4">
        <v>45611</v>
      </c>
      <c r="BW84" s="4">
        <f>DATE(YEAR(BV84)+2,MONTH(BV84),DAY(BV84)-1)</f>
        <v>46340</v>
      </c>
      <c r="BX84" s="8">
        <f t="shared" ca="1" si="263"/>
        <v>195</v>
      </c>
      <c r="BY84" s="5" t="str">
        <f t="shared" ca="1" si="264"/>
        <v>VIGENTE</v>
      </c>
      <c r="BZ84" s="3"/>
      <c r="CA84" s="4">
        <v>45911</v>
      </c>
      <c r="CB84" s="4">
        <f>DATE(YEAR(CA84)+2,MONTH(CA84),DAY(CA84))</f>
        <v>46641</v>
      </c>
      <c r="CC84" s="8">
        <f t="shared" ca="1" si="265"/>
        <v>496</v>
      </c>
      <c r="CD84" s="5" t="str">
        <f t="shared" ca="1" si="266"/>
        <v>VIGENTE</v>
      </c>
      <c r="CE84" s="6"/>
      <c r="CF84" s="4">
        <v>45616</v>
      </c>
      <c r="CG84" s="4">
        <f t="shared" si="267"/>
        <v>47077</v>
      </c>
      <c r="CH84" s="8">
        <f t="shared" ca="1" si="268"/>
        <v>932</v>
      </c>
      <c r="CI84" s="5" t="str">
        <f t="shared" ca="1" si="269"/>
        <v>VIGENTE</v>
      </c>
      <c r="CJ84" s="4"/>
      <c r="CK84" s="4">
        <v>45777</v>
      </c>
      <c r="CL84" s="4">
        <f>DATE(YEAR(CK84)+2,MONTH(CK84),DAY(CK84))</f>
        <v>46507</v>
      </c>
      <c r="CM84" s="8">
        <f t="shared" ca="1" si="270"/>
        <v>362</v>
      </c>
      <c r="CN84" s="5" t="str">
        <f t="shared" ca="1" si="271"/>
        <v>VIGENTE</v>
      </c>
      <c r="CO84" s="3"/>
      <c r="CP84" s="39">
        <v>45817</v>
      </c>
      <c r="CQ84" s="4">
        <f>DATE(YEAR(CP84)+2,MONTH(CP84),DAY(CP84))</f>
        <v>46547</v>
      </c>
      <c r="CR84" s="8">
        <f t="shared" ca="1" si="272"/>
        <v>402</v>
      </c>
      <c r="CS84" s="5" t="str">
        <f t="shared" ca="1" si="273"/>
        <v>VIGENTE</v>
      </c>
      <c r="CT84" s="3"/>
      <c r="CU84" s="4">
        <v>45905</v>
      </c>
      <c r="CV84" s="4">
        <f>DATE(YEAR(CU84)+2,MONTH(CU84),DAY(CU84))</f>
        <v>46635</v>
      </c>
      <c r="CW84" s="8">
        <f t="shared" ca="1" si="274"/>
        <v>490</v>
      </c>
      <c r="CX84" s="5" t="str">
        <f t="shared" ca="1" si="275"/>
        <v>VIGENTE</v>
      </c>
      <c r="CY84" s="3"/>
      <c r="CZ84" s="4">
        <v>46028</v>
      </c>
      <c r="DA84" s="4">
        <f>DATE(YEAR(CZ84)+2,MONTH(CZ84),DAY(CZ84))</f>
        <v>46758</v>
      </c>
      <c r="DB84" s="8">
        <f t="shared" ca="1" si="276"/>
        <v>613</v>
      </c>
      <c r="DC84" s="5" t="str">
        <f t="shared" ca="1" si="277"/>
        <v>VIGENTE</v>
      </c>
      <c r="DD84" s="3"/>
      <c r="DE84" s="39">
        <v>46123</v>
      </c>
      <c r="DF84" s="4">
        <f t="shared" ref="DF84:DF90" si="386">DATE(YEAR(DE84)+2,MONTH(DE84),DAY(DE84)-1)</f>
        <v>46853</v>
      </c>
      <c r="DG84" s="8">
        <f t="shared" ca="1" si="278"/>
        <v>708</v>
      </c>
      <c r="DH84" s="5" t="str">
        <f t="shared" ca="1" si="279"/>
        <v>VIGENTE</v>
      </c>
      <c r="DI84" s="3"/>
      <c r="DJ84" s="39">
        <v>46029</v>
      </c>
      <c r="DK84" s="4">
        <f>DATE(YEAR(DJ84)+2,MONTH(DJ84),DAY(DJ84))</f>
        <v>46759</v>
      </c>
      <c r="DL84" s="8">
        <f t="shared" ca="1" si="280"/>
        <v>614</v>
      </c>
      <c r="DM84" s="5" t="str">
        <f t="shared" ca="1" si="281"/>
        <v>VIGENTE</v>
      </c>
      <c r="DN84" s="3"/>
      <c r="DO84" s="4">
        <v>46007</v>
      </c>
      <c r="DP84" s="4">
        <f>DATE(YEAR(DO84)+2,MONTH(DO84),DAY(DO84))</f>
        <v>46737</v>
      </c>
      <c r="DQ84" s="8">
        <f t="shared" ca="1" si="282"/>
        <v>592</v>
      </c>
      <c r="DR84" s="5" t="str">
        <f t="shared" ca="1" si="283"/>
        <v>VIGENTE</v>
      </c>
      <c r="DS84" s="3"/>
      <c r="DT84" s="4">
        <v>45728</v>
      </c>
      <c r="DU84" s="4">
        <f>DATE(YEAR(DT84)+2,MONTH(DT84),DAY(DT84)-1)</f>
        <v>46457</v>
      </c>
      <c r="DV84" s="8">
        <f t="shared" ca="1" si="284"/>
        <v>312</v>
      </c>
      <c r="DW84" s="5" t="str">
        <f t="shared" ca="1" si="285"/>
        <v>VIGENTE</v>
      </c>
      <c r="DX84" s="3"/>
      <c r="DY84" s="4">
        <v>45663</v>
      </c>
      <c r="DZ84" s="4">
        <f>DATE(YEAR(DY84)+2,MONTH(DY84),DAY(DY84)-1)</f>
        <v>46392</v>
      </c>
      <c r="EA84" s="8">
        <f t="shared" ca="1" si="286"/>
        <v>247</v>
      </c>
      <c r="EB84" s="5" t="str">
        <f t="shared" ca="1" si="287"/>
        <v>VIGENTE</v>
      </c>
      <c r="EC84" s="3"/>
      <c r="ED84" s="39">
        <v>45674</v>
      </c>
      <c r="EE84" s="4">
        <f>DATE(YEAR(ED84)+2,MONTH(ED84),DAY(ED84)-1)</f>
        <v>46403</v>
      </c>
      <c r="EF84" s="8">
        <f t="shared" ca="1" si="288"/>
        <v>258</v>
      </c>
      <c r="EG84" s="5" t="str">
        <f t="shared" ca="1" si="289"/>
        <v>VIGENTE</v>
      </c>
      <c r="EH84" s="3"/>
      <c r="EI84" s="3">
        <v>46085</v>
      </c>
      <c r="EJ84" s="4">
        <f t="shared" si="355"/>
        <v>46450</v>
      </c>
      <c r="EK84" s="8">
        <f t="shared" ca="1" si="290"/>
        <v>305</v>
      </c>
      <c r="EL84" s="5" t="str">
        <f t="shared" ca="1" si="291"/>
        <v>VIGENTE</v>
      </c>
      <c r="EM84" s="3"/>
      <c r="EN84" s="4">
        <v>45465</v>
      </c>
      <c r="EO84" s="4">
        <f>DATE(YEAR(EN84)+2,MONTH(EN84),DAY(EN84)-1)</f>
        <v>46194</v>
      </c>
      <c r="EP84" s="8">
        <f t="shared" ca="1" si="292"/>
        <v>49</v>
      </c>
      <c r="EQ84" s="5" t="str">
        <f t="shared" ca="1" si="293"/>
        <v>POR VENCER</v>
      </c>
      <c r="ER84" s="3"/>
      <c r="ES84" s="39">
        <v>45677</v>
      </c>
      <c r="ET84" s="4">
        <f>DATE(YEAR(ES84)+2,MONTH(ES84),DAY(ES84)-1)</f>
        <v>46406</v>
      </c>
      <c r="EU84" s="8">
        <f t="shared" ca="1" si="294"/>
        <v>261</v>
      </c>
      <c r="EV84" s="5" t="str">
        <f t="shared" ca="1" si="295"/>
        <v>VIGENTE</v>
      </c>
      <c r="EW84" s="3"/>
      <c r="EX84" s="4">
        <v>45917</v>
      </c>
      <c r="EY84" s="4">
        <f>DATE(YEAR(EX84)+2,MONTH(EX84),DAY(EX84))</f>
        <v>46647</v>
      </c>
      <c r="EZ84" s="8">
        <f t="shared" ca="1" si="296"/>
        <v>502</v>
      </c>
      <c r="FA84" s="5" t="str">
        <f t="shared" ca="1" si="297"/>
        <v>VIGENTE</v>
      </c>
      <c r="FB84" s="3"/>
      <c r="FC84" s="4">
        <v>45931</v>
      </c>
      <c r="FD84" s="4">
        <f>DATE(YEAR(FC84)+2,MONTH(FC84),DAY(FC84))</f>
        <v>46661</v>
      </c>
      <c r="FE84" s="8">
        <f t="shared" ca="1" si="298"/>
        <v>516</v>
      </c>
      <c r="FF84" s="5" t="str">
        <f t="shared" ca="1" si="299"/>
        <v>VIGENTE</v>
      </c>
      <c r="FG84" s="3"/>
      <c r="FH84" s="4">
        <v>45932</v>
      </c>
      <c r="FI84" s="4">
        <f>DATE(YEAR(FH84)+2,MONTH(FH84),DAY(FH84))</f>
        <v>46662</v>
      </c>
      <c r="FJ84" s="8">
        <f t="shared" ca="1" si="300"/>
        <v>517</v>
      </c>
      <c r="FK84" s="5" t="str">
        <f t="shared" ca="1" si="301"/>
        <v>VIGENTE</v>
      </c>
      <c r="FL84" s="3"/>
      <c r="FM84" s="39">
        <v>45738</v>
      </c>
      <c r="FN84" s="4">
        <f>DATE(YEAR(FM84)+2,MONTH(FM84),DAY(FM84)-1)</f>
        <v>46467</v>
      </c>
      <c r="FO84" s="8">
        <f t="shared" ca="1" si="302"/>
        <v>322</v>
      </c>
      <c r="FP84" s="5" t="str">
        <f t="shared" ca="1" si="303"/>
        <v>VIGENTE</v>
      </c>
      <c r="FQ84" s="3"/>
      <c r="FR84" s="39">
        <v>45466</v>
      </c>
      <c r="FS84" s="4">
        <f>DATE(YEAR(FR84)+2,MONTH(FR84),DAY(FR84)-1)</f>
        <v>46195</v>
      </c>
      <c r="FT84" s="8">
        <f t="shared" ca="1" si="304"/>
        <v>50</v>
      </c>
      <c r="FU84" s="5" t="str">
        <f t="shared" ca="1" si="305"/>
        <v>POR VENCER</v>
      </c>
      <c r="FV84" s="3"/>
      <c r="FW84" s="4">
        <v>46014</v>
      </c>
      <c r="FX84" s="4">
        <f>DATE(YEAR(FW84)+2,MONTH(FW84),DAY(FW84))</f>
        <v>46744</v>
      </c>
      <c r="FY84" s="8">
        <f t="shared" ca="1" si="306"/>
        <v>599</v>
      </c>
      <c r="FZ84" s="5" t="str">
        <f t="shared" ca="1" si="307"/>
        <v>VIGENTE</v>
      </c>
      <c r="GA84" s="3"/>
      <c r="GB84" s="4">
        <v>45757</v>
      </c>
      <c r="GC84" s="4">
        <f>DATE(YEAR(GB84)+2,MONTH(GB84),DAY(GB84)-1)</f>
        <v>46486</v>
      </c>
      <c r="GD84" s="8">
        <f t="shared" ca="1" si="308"/>
        <v>341</v>
      </c>
      <c r="GE84" s="5" t="str">
        <f t="shared" ca="1" si="309"/>
        <v>VIGENTE</v>
      </c>
      <c r="GF84" s="3"/>
      <c r="GG84" s="4">
        <v>45472</v>
      </c>
      <c r="GH84" s="4">
        <f>DATE(YEAR(GG84)+2,MONTH(GG84),DAY(GG84)-1)</f>
        <v>46201</v>
      </c>
      <c r="GI84" s="8">
        <f t="shared" ca="1" si="310"/>
        <v>56</v>
      </c>
      <c r="GJ84" s="5" t="str">
        <f t="shared" ca="1" si="311"/>
        <v>POR VENCER</v>
      </c>
      <c r="GK84" s="3"/>
      <c r="GL84" s="4">
        <v>45687</v>
      </c>
      <c r="GM84" s="4">
        <f>DATE(YEAR(GL84)+2,MONTH(GL84),DAY(GL84)-1)</f>
        <v>46416</v>
      </c>
      <c r="GN84" s="8">
        <f t="shared" ca="1" si="312"/>
        <v>271</v>
      </c>
      <c r="GO84" s="5" t="str">
        <f t="shared" ca="1" si="313"/>
        <v>VIGENTE</v>
      </c>
      <c r="GP84" s="4"/>
      <c r="GQ84" s="4">
        <v>45048</v>
      </c>
      <c r="GR84" s="4">
        <f t="shared" si="314"/>
        <v>46875</v>
      </c>
      <c r="GS84" s="8">
        <f t="shared" ca="1" si="384"/>
        <v>730</v>
      </c>
      <c r="GT84" s="5" t="str">
        <f t="shared" ca="1" si="378"/>
        <v>VIGENTE</v>
      </c>
      <c r="GU84" s="3"/>
      <c r="GV84" s="4">
        <v>45089</v>
      </c>
      <c r="GW84" s="4">
        <f t="shared" si="316"/>
        <v>46916</v>
      </c>
      <c r="GX84" s="8">
        <f t="shared" ca="1" si="317"/>
        <v>771</v>
      </c>
      <c r="GY84" s="5" t="str">
        <f t="shared" ca="1" si="379"/>
        <v>VIGENTE</v>
      </c>
      <c r="GZ84" s="2"/>
      <c r="HA84" s="4">
        <v>45073</v>
      </c>
      <c r="HB84" s="4">
        <f t="shared" si="319"/>
        <v>46900</v>
      </c>
      <c r="HC84" s="8">
        <f t="shared" ca="1" si="320"/>
        <v>755</v>
      </c>
      <c r="HD84" s="5" t="str">
        <f t="shared" ca="1" si="380"/>
        <v>VIGENTE</v>
      </c>
      <c r="HE84" s="6"/>
      <c r="HF84" s="6"/>
      <c r="HG84" s="4"/>
      <c r="HH84" s="8"/>
      <c r="HI84" s="5" t="str">
        <f t="shared" si="381"/>
        <v>NO APLICA</v>
      </c>
      <c r="HJ84" s="2"/>
      <c r="HK84" s="6"/>
      <c r="HL84" s="4"/>
      <c r="HM84" s="8"/>
      <c r="HN84" s="5" t="str">
        <f t="shared" si="385"/>
        <v>NO APLICA</v>
      </c>
      <c r="HO84" s="2"/>
      <c r="HP84" s="2"/>
      <c r="HQ84" s="4"/>
      <c r="HR84" s="2"/>
      <c r="HS84" s="5" t="str">
        <f t="shared" si="322"/>
        <v>NO APLICA</v>
      </c>
      <c r="HT84" s="2"/>
      <c r="HU84" s="6"/>
      <c r="HV84" s="4"/>
      <c r="HW84" s="8"/>
      <c r="HX84" s="5" t="str">
        <f t="shared" si="323"/>
        <v>NO APLICA</v>
      </c>
      <c r="HY84" s="2"/>
      <c r="HZ84" s="6"/>
      <c r="IA84" s="4"/>
      <c r="IB84" s="8"/>
      <c r="IC84" s="5" t="str">
        <f t="shared" si="324"/>
        <v>NO APLICA</v>
      </c>
      <c r="ID84" s="2"/>
      <c r="IE84" s="6"/>
      <c r="IF84" s="4"/>
      <c r="IG84" s="8"/>
      <c r="IH84" s="5" t="str">
        <f t="shared" si="325"/>
        <v>NO APLICA</v>
      </c>
      <c r="II84" s="6"/>
      <c r="IJ84" s="6"/>
      <c r="IK84" s="4"/>
      <c r="IL84" s="8"/>
      <c r="IM84" s="5" t="str">
        <f t="shared" si="326"/>
        <v>NO APLICA</v>
      </c>
      <c r="IN84" s="2"/>
      <c r="IO84" s="6"/>
      <c r="IP84" s="4"/>
      <c r="IQ84" s="8"/>
      <c r="IR84" s="5" t="str">
        <f t="shared" si="327"/>
        <v>NO APLICA</v>
      </c>
      <c r="IS84" s="2"/>
      <c r="IT84" s="6"/>
      <c r="IU84" s="4"/>
      <c r="IV84" s="8"/>
      <c r="IW84" s="5" t="str">
        <f t="shared" si="328"/>
        <v>NO APLICA</v>
      </c>
      <c r="IX84" s="2"/>
      <c r="IY84" s="6"/>
      <c r="IZ84" s="4"/>
      <c r="JA84" s="8"/>
      <c r="JB84" s="5" t="str">
        <f t="shared" si="329"/>
        <v>NO APLICA</v>
      </c>
      <c r="JC84" s="3" t="s">
        <v>780</v>
      </c>
      <c r="JD84" s="3"/>
      <c r="JE84" s="4"/>
      <c r="JF84" s="8"/>
      <c r="JG84" s="5"/>
      <c r="JH84" s="3" t="s">
        <v>780</v>
      </c>
      <c r="JI84" s="6"/>
      <c r="JJ84" s="6"/>
      <c r="JK84" s="6"/>
      <c r="JL84" s="5"/>
      <c r="JM84" s="6" t="s">
        <v>780</v>
      </c>
      <c r="JN84" s="6"/>
      <c r="JO84" s="6"/>
      <c r="JP84" s="6"/>
      <c r="JQ84" s="5"/>
      <c r="JR84" s="6" t="s">
        <v>780</v>
      </c>
      <c r="JS84" s="6"/>
      <c r="JT84" s="6"/>
      <c r="JU84" s="6"/>
      <c r="JV84" s="5"/>
      <c r="JW84" s="6" t="s">
        <v>780</v>
      </c>
      <c r="JX84" s="3"/>
      <c r="JY84" s="4"/>
      <c r="JZ84" s="8"/>
      <c r="KA84" s="5"/>
      <c r="KB84" s="5"/>
      <c r="KC84" s="2"/>
      <c r="KD84" s="4"/>
      <c r="KE84" s="8"/>
      <c r="KF84" s="5" t="str">
        <f t="shared" si="330"/>
        <v>NO APLICA</v>
      </c>
      <c r="KG84" s="5"/>
      <c r="KH84" s="2"/>
      <c r="KI84" s="4"/>
      <c r="KJ84" s="8"/>
      <c r="KK84" s="5" t="str">
        <f t="shared" si="356"/>
        <v>NO APLICA</v>
      </c>
      <c r="KL84" s="5"/>
      <c r="KM84" s="2"/>
      <c r="KN84" s="4"/>
      <c r="KO84" s="8"/>
      <c r="KP84" s="5" t="str">
        <f t="shared" si="331"/>
        <v>NO APLICA</v>
      </c>
      <c r="KQ84" s="5"/>
      <c r="KR84" s="2"/>
      <c r="KS84" s="4"/>
      <c r="KT84" s="8"/>
      <c r="KU84" s="5" t="str">
        <f t="shared" si="357"/>
        <v>NO APLICA</v>
      </c>
      <c r="KV84" s="2"/>
      <c r="KW84" s="6"/>
      <c r="KX84" s="4"/>
      <c r="KY84" s="8"/>
      <c r="KZ84" s="5" t="str">
        <f t="shared" si="366"/>
        <v>NO APLICA</v>
      </c>
      <c r="LA84" s="5"/>
      <c r="LB84" s="6"/>
      <c r="LC84" s="4"/>
      <c r="LD84" s="8"/>
      <c r="LE84" s="5" t="str">
        <f t="shared" si="358"/>
        <v>NO APLICA</v>
      </c>
      <c r="LF84" s="6"/>
      <c r="LG84" s="6"/>
      <c r="LH84" s="4"/>
      <c r="LI84" s="8"/>
      <c r="LJ84" s="5" t="str">
        <f t="shared" si="332"/>
        <v>NO APLICA</v>
      </c>
      <c r="LK84" s="5"/>
      <c r="LL84" s="5"/>
      <c r="LM84" s="5"/>
      <c r="LN84" s="5"/>
      <c r="LO84" s="5" t="str">
        <f t="shared" si="367"/>
        <v>NO APLICA</v>
      </c>
      <c r="LP84" s="2"/>
      <c r="LQ84" s="6"/>
      <c r="LR84" s="4"/>
      <c r="LS84" s="8"/>
      <c r="LT84" s="5" t="str">
        <f t="shared" si="359"/>
        <v>NO APLICA</v>
      </c>
      <c r="LU84" s="6"/>
      <c r="LV84" s="6"/>
      <c r="LW84" s="4"/>
      <c r="LX84" s="8"/>
      <c r="LY84" s="5" t="str">
        <f t="shared" si="360"/>
        <v>NO APLICA</v>
      </c>
      <c r="LZ84" s="6"/>
      <c r="MA84" s="6"/>
      <c r="MB84" s="4"/>
      <c r="MC84" s="8"/>
      <c r="MD84" s="5" t="str">
        <f t="shared" si="361"/>
        <v>NO APLICA</v>
      </c>
      <c r="ME84" s="2"/>
      <c r="MF84" s="2"/>
      <c r="MG84" s="4"/>
      <c r="MH84" s="8"/>
      <c r="MI84" s="5" t="str">
        <f t="shared" si="333"/>
        <v>NO APLICA</v>
      </c>
      <c r="MJ84" s="2"/>
      <c r="MK84" s="2"/>
      <c r="ML84" s="4"/>
      <c r="MM84" s="8"/>
      <c r="MN84" s="5" t="str">
        <f t="shared" si="334"/>
        <v>NO APLICA</v>
      </c>
      <c r="MO84" s="5"/>
      <c r="MP84" s="2"/>
      <c r="MQ84" s="4"/>
      <c r="MR84" s="8"/>
      <c r="MS84" s="5" t="str">
        <f t="shared" si="335"/>
        <v>NO APLICA</v>
      </c>
      <c r="MT84" s="5"/>
      <c r="MU84" s="2"/>
      <c r="MV84" s="4"/>
      <c r="MW84" s="2"/>
      <c r="MX84" s="5" t="str">
        <f t="shared" si="336"/>
        <v>NO APLICA</v>
      </c>
      <c r="MY84" s="2"/>
      <c r="MZ84" s="6"/>
      <c r="NA84" s="4"/>
      <c r="NB84" s="8"/>
      <c r="NC84" s="5" t="str">
        <f t="shared" si="337"/>
        <v>NO APLICA</v>
      </c>
      <c r="ND84" s="2"/>
      <c r="NE84" s="6"/>
      <c r="NF84" s="4"/>
      <c r="NG84" s="8"/>
      <c r="NH84" s="5" t="str">
        <f t="shared" si="338"/>
        <v>NO APLICA</v>
      </c>
      <c r="NI84" s="2"/>
      <c r="NJ84" s="6"/>
      <c r="NK84" s="4"/>
      <c r="NL84" s="8"/>
      <c r="NM84" s="5" t="str">
        <f t="shared" si="339"/>
        <v>NO APLICA</v>
      </c>
      <c r="NN84" s="2"/>
      <c r="NO84" s="2"/>
      <c r="NP84" s="4"/>
      <c r="NQ84" s="2"/>
      <c r="NR84" s="5" t="str">
        <f t="shared" si="340"/>
        <v>NO APLICA</v>
      </c>
      <c r="NS84" s="2"/>
      <c r="NT84" s="2"/>
      <c r="NU84" s="2"/>
      <c r="NV84" s="2"/>
      <c r="NW84" s="5" t="str">
        <f t="shared" si="341"/>
        <v>NO APLICA</v>
      </c>
      <c r="NX84" s="6"/>
      <c r="NY84" s="6"/>
      <c r="NZ84" s="4"/>
      <c r="OA84" s="8"/>
      <c r="OB84" s="5" t="str">
        <f t="shared" si="342"/>
        <v>NO APLICA</v>
      </c>
      <c r="OC84" s="6"/>
      <c r="OD84" s="6"/>
      <c r="OE84" s="6"/>
      <c r="OF84" s="6"/>
      <c r="OG84" s="5" t="str">
        <f t="shared" si="343"/>
        <v>NO APLICA</v>
      </c>
      <c r="OH84" s="6"/>
      <c r="OI84" s="6"/>
      <c r="OJ84" s="4"/>
      <c r="OK84" s="8"/>
      <c r="OL84" s="5" t="str">
        <f t="shared" si="344"/>
        <v>NO APLICA</v>
      </c>
      <c r="OM84" s="6"/>
      <c r="ON84" s="6"/>
      <c r="OO84" s="6"/>
      <c r="OP84" s="6"/>
      <c r="OQ84" s="5" t="str">
        <f t="shared" si="345"/>
        <v>NO APLICA</v>
      </c>
      <c r="OR84" s="6"/>
      <c r="OS84" s="6"/>
      <c r="OT84" s="6"/>
      <c r="OU84" s="6"/>
      <c r="OV84" s="5" t="str">
        <f t="shared" si="346"/>
        <v>NO APLICA</v>
      </c>
      <c r="OW84" s="6"/>
      <c r="OX84" s="6"/>
      <c r="OY84" s="6"/>
      <c r="OZ84" s="6"/>
      <c r="PA84" s="5" t="str">
        <f t="shared" si="347"/>
        <v>NO APLICA</v>
      </c>
      <c r="PB84" s="6"/>
      <c r="PC84" s="6"/>
      <c r="PD84" s="6"/>
      <c r="PE84" s="6"/>
      <c r="PF84" s="5" t="str">
        <f t="shared" si="348"/>
        <v>NO APLICA</v>
      </c>
      <c r="PG84" s="6"/>
      <c r="PH84" s="6"/>
      <c r="PI84" s="6"/>
      <c r="PJ84" s="6"/>
      <c r="PK84" s="5" t="str">
        <f t="shared" si="349"/>
        <v>NO APLICA</v>
      </c>
      <c r="PL84" s="5"/>
      <c r="PM84" s="6"/>
      <c r="PN84" s="4"/>
      <c r="PO84" s="8"/>
      <c r="PP84" s="5" t="str">
        <f t="shared" si="350"/>
        <v>NO APLICA</v>
      </c>
      <c r="PQ84" s="6"/>
      <c r="PR84" s="6"/>
      <c r="PS84" s="6"/>
      <c r="PT84" s="6"/>
      <c r="PU84" s="5" t="str">
        <f t="shared" si="351"/>
        <v>NO APLICA</v>
      </c>
      <c r="PV84" s="5"/>
      <c r="PW84" s="6"/>
      <c r="PX84" s="6"/>
      <c r="PY84" s="6"/>
      <c r="PZ84" s="5" t="str">
        <f t="shared" si="352"/>
        <v>NO APLICA</v>
      </c>
    </row>
    <row r="85" spans="1:442" ht="15.6" hidden="1" thickTop="1" thickBot="1" x14ac:dyDescent="0.35">
      <c r="A85" s="26">
        <v>82</v>
      </c>
      <c r="B85" s="27">
        <v>557</v>
      </c>
      <c r="C85" s="28" t="s">
        <v>305</v>
      </c>
      <c r="D85" s="29" t="s">
        <v>68</v>
      </c>
      <c r="E85" s="30" t="s">
        <v>306</v>
      </c>
      <c r="F85" s="5"/>
      <c r="G85" s="6"/>
      <c r="H85" s="4"/>
      <c r="I85" s="8"/>
      <c r="J85" s="5" t="str">
        <f t="shared" si="242"/>
        <v>NO APLICA</v>
      </c>
      <c r="K85" s="5"/>
      <c r="L85" s="6"/>
      <c r="M85" s="6"/>
      <c r="N85" s="8"/>
      <c r="O85" s="5" t="str">
        <f t="shared" si="243"/>
        <v>NO APLICA</v>
      </c>
      <c r="P85" s="6"/>
      <c r="Q85" s="6"/>
      <c r="R85" s="4"/>
      <c r="S85" s="8"/>
      <c r="T85" s="5" t="str">
        <f t="shared" si="353"/>
        <v>NO APLICA</v>
      </c>
      <c r="U85" s="5"/>
      <c r="V85" s="2" t="s">
        <v>307</v>
      </c>
      <c r="W85" s="4">
        <v>45693</v>
      </c>
      <c r="X85" s="4">
        <f t="shared" si="244"/>
        <v>47519</v>
      </c>
      <c r="Y85" s="8">
        <f t="shared" ca="1" si="245"/>
        <v>1374</v>
      </c>
      <c r="Z85" s="5" t="str">
        <f t="shared" ca="1" si="246"/>
        <v>VIGENTE</v>
      </c>
      <c r="AA85" s="5"/>
      <c r="AB85" s="2"/>
      <c r="AC85" s="6"/>
      <c r="AD85" s="4"/>
      <c r="AE85" s="8"/>
      <c r="AF85" s="5" t="str">
        <f t="shared" si="247"/>
        <v>NO APLICA</v>
      </c>
      <c r="AG85" s="3"/>
      <c r="AH85" s="4">
        <v>45594</v>
      </c>
      <c r="AI85" s="4">
        <f>DATE(YEAR(AH85)+2,MONTH(AH85),DAY(AH85)-1)</f>
        <v>46323</v>
      </c>
      <c r="AJ85" s="8">
        <f t="shared" ca="1" si="248"/>
        <v>178</v>
      </c>
      <c r="AK85" s="5" t="str">
        <f t="shared" ca="1" si="219"/>
        <v>VIGENTE</v>
      </c>
      <c r="AL85" s="3"/>
      <c r="AM85" s="4">
        <v>45518</v>
      </c>
      <c r="AN85" s="4">
        <f>DATE(YEAR(AM85)+2,MONTH(AM85),DAY(AM85)-1)</f>
        <v>46247</v>
      </c>
      <c r="AO85" s="8">
        <f t="shared" ca="1" si="249"/>
        <v>102</v>
      </c>
      <c r="AP85" s="5" t="str">
        <f t="shared" ca="1" si="250"/>
        <v>VIGENTE</v>
      </c>
      <c r="AQ85" s="3"/>
      <c r="AR85" s="4">
        <v>45505</v>
      </c>
      <c r="AS85" s="4">
        <f>DATE(YEAR(AR85)+2,MONTH(AR85),DAY(AR85)-1)</f>
        <v>46234</v>
      </c>
      <c r="AT85" s="8">
        <f t="shared" ca="1" si="251"/>
        <v>89</v>
      </c>
      <c r="AU85" s="5" t="str">
        <f t="shared" ca="1" si="252"/>
        <v>POR VENCER</v>
      </c>
      <c r="AV85" s="3"/>
      <c r="AW85" s="4">
        <v>45514</v>
      </c>
      <c r="AX85" s="4">
        <f>DATE(YEAR(AW85)+2,MONTH(AW85),DAY(AW85)-1)</f>
        <v>46243</v>
      </c>
      <c r="AY85" s="8">
        <f t="shared" ca="1" si="253"/>
        <v>98</v>
      </c>
      <c r="AZ85" s="5" t="str">
        <f t="shared" ca="1" si="254"/>
        <v>VIGENTE</v>
      </c>
      <c r="BA85" s="3"/>
      <c r="BB85" s="4">
        <v>45603</v>
      </c>
      <c r="BC85" s="4">
        <f>DATE(YEAR(BB85)+2,MONTH(BB85),DAY(BB85)-1)</f>
        <v>46332</v>
      </c>
      <c r="BD85" s="8">
        <f t="shared" ca="1" si="255"/>
        <v>187</v>
      </c>
      <c r="BE85" s="5" t="str">
        <f t="shared" ca="1" si="256"/>
        <v>VIGENTE</v>
      </c>
      <c r="BF85" s="3"/>
      <c r="BG85" s="4">
        <v>45531</v>
      </c>
      <c r="BH85" s="4">
        <f>DATE(YEAR(BG85)+2,MONTH(BG85),DAY(BG85)-1)</f>
        <v>46260</v>
      </c>
      <c r="BI85" s="8">
        <f t="shared" ca="1" si="257"/>
        <v>115</v>
      </c>
      <c r="BJ85" s="5" t="str">
        <f t="shared" ca="1" si="258"/>
        <v>VIGENTE</v>
      </c>
      <c r="BK85" s="3"/>
      <c r="BL85" s="4">
        <v>45600</v>
      </c>
      <c r="BM85" s="4">
        <f>DATE(YEAR(BL85)+2,MONTH(BL85),DAY(BL85)-1)</f>
        <v>46329</v>
      </c>
      <c r="BN85" s="8">
        <f t="shared" ca="1" si="259"/>
        <v>184</v>
      </c>
      <c r="BO85" s="5" t="str">
        <f t="shared" ca="1" si="260"/>
        <v>VIGENTE</v>
      </c>
      <c r="BP85" s="3"/>
      <c r="BQ85" s="39">
        <v>45532</v>
      </c>
      <c r="BR85" s="4">
        <f>DATE(YEAR(BQ85)+2,MONTH(BQ85),DAY(BQ85)-1)</f>
        <v>46261</v>
      </c>
      <c r="BS85" s="8">
        <f t="shared" ca="1" si="261"/>
        <v>116</v>
      </c>
      <c r="BT85" s="5" t="str">
        <f t="shared" ca="1" si="262"/>
        <v>VIGENTE</v>
      </c>
      <c r="BU85" s="3"/>
      <c r="BV85" s="4">
        <v>45527</v>
      </c>
      <c r="BW85" s="4">
        <f>DATE(YEAR(BV85)+2,MONTH(BV85),DAY(BV85)-1)</f>
        <v>46256</v>
      </c>
      <c r="BX85" s="8">
        <f t="shared" ca="1" si="263"/>
        <v>111</v>
      </c>
      <c r="BY85" s="5" t="str">
        <f t="shared" ca="1" si="264"/>
        <v>VIGENTE</v>
      </c>
      <c r="BZ85" s="3"/>
      <c r="CA85" s="4">
        <v>45546</v>
      </c>
      <c r="CB85" s="4">
        <f>DATE(YEAR(CA85)+2,MONTH(CA85),DAY(CA85)-1)</f>
        <v>46275</v>
      </c>
      <c r="CC85" s="8">
        <f t="shared" ca="1" si="265"/>
        <v>130</v>
      </c>
      <c r="CD85" s="5" t="str">
        <f t="shared" ca="1" si="266"/>
        <v>VIGENTE</v>
      </c>
      <c r="CE85" s="6"/>
      <c r="CF85" s="24"/>
      <c r="CG85" s="4"/>
      <c r="CH85" s="8"/>
      <c r="CI85" s="5" t="str">
        <f t="shared" si="269"/>
        <v>NO APLICA</v>
      </c>
      <c r="CJ85" s="4"/>
      <c r="CK85" s="4">
        <v>45526</v>
      </c>
      <c r="CL85" s="4">
        <f>DATE(YEAR(CK85)+2,MONTH(CK85),DAY(CK85)-1)</f>
        <v>46255</v>
      </c>
      <c r="CM85" s="8">
        <f t="shared" ca="1" si="270"/>
        <v>110</v>
      </c>
      <c r="CN85" s="5" t="str">
        <f t="shared" ca="1" si="271"/>
        <v>VIGENTE</v>
      </c>
      <c r="CO85" s="3"/>
      <c r="CP85" s="39">
        <v>45517</v>
      </c>
      <c r="CQ85" s="4">
        <f>DATE(YEAR(CP85)+2,MONTH(CP85),DAY(CP85)-1)</f>
        <v>46246</v>
      </c>
      <c r="CR85" s="8">
        <f t="shared" ca="1" si="272"/>
        <v>101</v>
      </c>
      <c r="CS85" s="5" t="str">
        <f t="shared" ca="1" si="273"/>
        <v>VIGENTE</v>
      </c>
      <c r="CT85" s="3"/>
      <c r="CU85" s="4">
        <v>45624</v>
      </c>
      <c r="CV85" s="4">
        <f>DATE(YEAR(CU85)+2,MONTH(CU85),DAY(CU85)-1)</f>
        <v>46353</v>
      </c>
      <c r="CW85" s="8">
        <f t="shared" ca="1" si="274"/>
        <v>208</v>
      </c>
      <c r="CX85" s="5" t="str">
        <f t="shared" ca="1" si="275"/>
        <v>VIGENTE</v>
      </c>
      <c r="CY85" s="3"/>
      <c r="CZ85" s="4">
        <v>45661</v>
      </c>
      <c r="DA85" s="4">
        <f>DATE(YEAR(CZ85)+2,MONTH(CZ85),DAY(CZ85)-1)</f>
        <v>46390</v>
      </c>
      <c r="DB85" s="8">
        <f t="shared" ca="1" si="276"/>
        <v>245</v>
      </c>
      <c r="DC85" s="5" t="str">
        <f t="shared" ca="1" si="277"/>
        <v>VIGENTE</v>
      </c>
      <c r="DD85" s="3"/>
      <c r="DE85" s="39">
        <v>45535</v>
      </c>
      <c r="DF85" s="4">
        <f t="shared" si="386"/>
        <v>46264</v>
      </c>
      <c r="DG85" s="8">
        <f t="shared" ca="1" si="278"/>
        <v>119</v>
      </c>
      <c r="DH85" s="5" t="str">
        <f t="shared" ca="1" si="279"/>
        <v>VIGENTE</v>
      </c>
      <c r="DI85" s="3"/>
      <c r="DJ85" s="39">
        <v>45509</v>
      </c>
      <c r="DK85" s="4">
        <f>DATE(YEAR(DJ85)+2,MONTH(DJ85),DAY(DJ85)-1)</f>
        <v>46238</v>
      </c>
      <c r="DL85" s="8">
        <f t="shared" ca="1" si="280"/>
        <v>93</v>
      </c>
      <c r="DM85" s="5" t="str">
        <f t="shared" ca="1" si="281"/>
        <v>VIGENTE</v>
      </c>
      <c r="DN85" s="3"/>
      <c r="DO85" s="4">
        <v>45731</v>
      </c>
      <c r="DP85" s="4">
        <f>DATE(YEAR(DO85)+2,MONTH(DO85),DAY(DO85)-1)</f>
        <v>46460</v>
      </c>
      <c r="DQ85" s="8">
        <f t="shared" ca="1" si="282"/>
        <v>315</v>
      </c>
      <c r="DR85" s="5" t="str">
        <f t="shared" ca="1" si="283"/>
        <v>VIGENTE</v>
      </c>
      <c r="DS85" s="3"/>
      <c r="DT85" s="4">
        <v>45619</v>
      </c>
      <c r="DU85" s="4">
        <f>DATE(YEAR(DT85)+2,MONTH(DT85),DAY(DT85)-1)</f>
        <v>46348</v>
      </c>
      <c r="DV85" s="8">
        <f t="shared" ca="1" si="284"/>
        <v>203</v>
      </c>
      <c r="DW85" s="5" t="str">
        <f t="shared" ca="1" si="285"/>
        <v>VIGENTE</v>
      </c>
      <c r="DX85" s="3"/>
      <c r="DY85" s="4">
        <v>45582</v>
      </c>
      <c r="DZ85" s="4">
        <f>DATE(YEAR(DY85)+2,MONTH(DY85),DAY(DY85)-1)</f>
        <v>46311</v>
      </c>
      <c r="EA85" s="8">
        <f t="shared" ca="1" si="286"/>
        <v>166</v>
      </c>
      <c r="EB85" s="5" t="str">
        <f t="shared" ca="1" si="287"/>
        <v>VIGENTE</v>
      </c>
      <c r="EC85" s="3"/>
      <c r="ED85" s="39">
        <v>45602</v>
      </c>
      <c r="EE85" s="4">
        <f>DATE(YEAR(ED85)+2,MONTH(ED85),DAY(ED85)-1)</f>
        <v>46331</v>
      </c>
      <c r="EF85" s="8">
        <f t="shared" ca="1" si="288"/>
        <v>186</v>
      </c>
      <c r="EG85" s="5" t="str">
        <f t="shared" ca="1" si="289"/>
        <v>VIGENTE</v>
      </c>
      <c r="EH85" s="3"/>
      <c r="EI85" s="4">
        <v>46123</v>
      </c>
      <c r="EJ85" s="4">
        <f t="shared" si="355"/>
        <v>46488</v>
      </c>
      <c r="EK85" s="8">
        <f t="shared" ca="1" si="290"/>
        <v>343</v>
      </c>
      <c r="EL85" s="5" t="str">
        <f t="shared" ca="1" si="291"/>
        <v>VIGENTE</v>
      </c>
      <c r="EM85" s="3"/>
      <c r="EN85" s="4">
        <v>45660</v>
      </c>
      <c r="EO85" s="4">
        <f>DATE(YEAR(EN85)+2,MONTH(EN85),DAY(EN85)-1)</f>
        <v>46389</v>
      </c>
      <c r="EP85" s="8">
        <f t="shared" ca="1" si="292"/>
        <v>244</v>
      </c>
      <c r="EQ85" s="5" t="str">
        <f t="shared" ca="1" si="293"/>
        <v>VIGENTE</v>
      </c>
      <c r="ER85" s="3"/>
      <c r="ES85" s="39">
        <v>45677</v>
      </c>
      <c r="ET85" s="4">
        <f>DATE(YEAR(ES85)+2,MONTH(ES85),DAY(ES85)-1)</f>
        <v>46406</v>
      </c>
      <c r="EU85" s="8">
        <f t="shared" ca="1" si="294"/>
        <v>261</v>
      </c>
      <c r="EV85" s="5" t="str">
        <f t="shared" ca="1" si="295"/>
        <v>VIGENTE</v>
      </c>
      <c r="EW85" s="3"/>
      <c r="EX85" s="4">
        <v>46063</v>
      </c>
      <c r="EY85" s="4">
        <f>DATE(YEAR(EX85)+2,MONTH(EX85),DAY(EX85))</f>
        <v>46793</v>
      </c>
      <c r="EZ85" s="8">
        <f t="shared" ca="1" si="296"/>
        <v>648</v>
      </c>
      <c r="FA85" s="5" t="str">
        <f t="shared" ca="1" si="297"/>
        <v>VIGENTE</v>
      </c>
      <c r="FB85" s="3"/>
      <c r="FC85" s="4">
        <v>46091</v>
      </c>
      <c r="FD85" s="4">
        <f>DATE(YEAR(FC85)+2,MONTH(FC85),DAY(FC85))</f>
        <v>46822</v>
      </c>
      <c r="FE85" s="8">
        <f t="shared" ca="1" si="298"/>
        <v>677</v>
      </c>
      <c r="FF85" s="5" t="str">
        <f t="shared" ca="1" si="299"/>
        <v>VIGENTE</v>
      </c>
      <c r="FG85" s="3"/>
      <c r="FH85" s="4">
        <v>45668</v>
      </c>
      <c r="FI85" s="4">
        <f>DATE(YEAR(FH85)+2,MONTH(FH85),DAY(FH85)-1)</f>
        <v>46397</v>
      </c>
      <c r="FJ85" s="8">
        <f t="shared" ca="1" si="300"/>
        <v>252</v>
      </c>
      <c r="FK85" s="5" t="str">
        <f t="shared" ca="1" si="301"/>
        <v>VIGENTE</v>
      </c>
      <c r="FL85" s="3"/>
      <c r="FM85" s="39">
        <v>45670</v>
      </c>
      <c r="FN85" s="4">
        <f>DATE(YEAR(FM85)+2,MONTH(FM85),DAY(FM85)-1)</f>
        <v>46399</v>
      </c>
      <c r="FO85" s="8">
        <f t="shared" ca="1" si="302"/>
        <v>254</v>
      </c>
      <c r="FP85" s="5" t="str">
        <f t="shared" ca="1" si="303"/>
        <v>VIGENTE</v>
      </c>
      <c r="FQ85" s="3"/>
      <c r="FR85" s="39">
        <v>45586</v>
      </c>
      <c r="FS85" s="4">
        <f>DATE(YEAR(FR85)+2,MONTH(FR85),DAY(FR85)-1)</f>
        <v>46315</v>
      </c>
      <c r="FT85" s="8">
        <f t="shared" ca="1" si="304"/>
        <v>170</v>
      </c>
      <c r="FU85" s="5" t="str">
        <f t="shared" ca="1" si="305"/>
        <v>VIGENTE</v>
      </c>
      <c r="FV85" s="3"/>
      <c r="FW85" s="4">
        <v>45574</v>
      </c>
      <c r="FX85" s="4">
        <f>DATE(YEAR(FW85)+2,MONTH(FW85),DAY(FW85)-1)</f>
        <v>46303</v>
      </c>
      <c r="FY85" s="8">
        <f t="shared" ca="1" si="306"/>
        <v>158</v>
      </c>
      <c r="FZ85" s="5" t="str">
        <f t="shared" ca="1" si="307"/>
        <v>VIGENTE</v>
      </c>
      <c r="GA85" s="3"/>
      <c r="GB85" s="4">
        <v>45595</v>
      </c>
      <c r="GC85" s="4">
        <f>DATE(YEAR(GB85)+2,MONTH(GB85),DAY(GB85)-1)</f>
        <v>46324</v>
      </c>
      <c r="GD85" s="8">
        <f t="shared" ca="1" si="308"/>
        <v>179</v>
      </c>
      <c r="GE85" s="5" t="str">
        <f t="shared" ca="1" si="309"/>
        <v>VIGENTE</v>
      </c>
      <c r="GF85" s="3"/>
      <c r="GG85" s="4">
        <v>45579</v>
      </c>
      <c r="GH85" s="4">
        <f>DATE(YEAR(GG85)+2,MONTH(GG85),DAY(GG85)-1)</f>
        <v>46308</v>
      </c>
      <c r="GI85" s="8">
        <f t="shared" ca="1" si="310"/>
        <v>163</v>
      </c>
      <c r="GJ85" s="5" t="str">
        <f t="shared" ca="1" si="311"/>
        <v>VIGENTE</v>
      </c>
      <c r="GK85" s="3"/>
      <c r="GL85" s="4">
        <v>45567</v>
      </c>
      <c r="GM85" s="4">
        <f>DATE(YEAR(GL85)+2,MONTH(GL85),DAY(GL85)-1)</f>
        <v>46296</v>
      </c>
      <c r="GN85" s="8">
        <f t="shared" ca="1" si="312"/>
        <v>151</v>
      </c>
      <c r="GO85" s="5" t="str">
        <f t="shared" ca="1" si="313"/>
        <v>VIGENTE</v>
      </c>
      <c r="GP85" s="4"/>
      <c r="GQ85" s="4">
        <v>45495</v>
      </c>
      <c r="GR85" s="4">
        <f t="shared" si="314"/>
        <v>47321</v>
      </c>
      <c r="GS85" s="8">
        <f t="shared" ca="1" si="384"/>
        <v>1176</v>
      </c>
      <c r="GT85" s="5" t="str">
        <f t="shared" ca="1" si="378"/>
        <v>VIGENTE</v>
      </c>
      <c r="GU85" s="3"/>
      <c r="GV85" s="4">
        <v>45507</v>
      </c>
      <c r="GW85" s="4">
        <f t="shared" si="316"/>
        <v>47333</v>
      </c>
      <c r="GX85" s="8">
        <f t="shared" ca="1" si="317"/>
        <v>1188</v>
      </c>
      <c r="GY85" s="5" t="str">
        <f t="shared" ca="1" si="379"/>
        <v>VIGENTE</v>
      </c>
      <c r="GZ85" s="2"/>
      <c r="HA85" s="4">
        <v>44911</v>
      </c>
      <c r="HB85" s="4">
        <f t="shared" si="319"/>
        <v>46737</v>
      </c>
      <c r="HC85" s="8">
        <f t="shared" ca="1" si="320"/>
        <v>592</v>
      </c>
      <c r="HD85" s="5" t="str">
        <f t="shared" ca="1" si="380"/>
        <v>VIGENTE</v>
      </c>
      <c r="HE85" s="6"/>
      <c r="HF85" s="6"/>
      <c r="HG85" s="4"/>
      <c r="HH85" s="8"/>
      <c r="HI85" s="5" t="str">
        <f>IF(HH85&gt;=61,"VIGENTE",IF(HH85&gt;=1,"POR VENCER",IF(HH85&lt;=-1,"PROGRAMAR",IF(HF85=0,"NO APLICA"))))</f>
        <v>NO APLICA</v>
      </c>
      <c r="HJ85" s="2"/>
      <c r="HK85" s="6"/>
      <c r="HL85" s="4"/>
      <c r="HM85" s="8"/>
      <c r="HN85" s="5" t="str">
        <f t="shared" si="385"/>
        <v>NO APLICA</v>
      </c>
      <c r="HO85" s="2"/>
      <c r="HP85" s="5"/>
      <c r="HQ85" s="4"/>
      <c r="HR85" s="5"/>
      <c r="HS85" s="5" t="str">
        <f t="shared" si="322"/>
        <v>NO APLICA</v>
      </c>
      <c r="HT85" s="2"/>
      <c r="HU85" s="4">
        <v>44923</v>
      </c>
      <c r="HV85" s="4">
        <f>DATE(YEAR(HU85)+5,MONTH(HU85),DAY(HU85))</f>
        <v>46749</v>
      </c>
      <c r="HW85" s="8">
        <f ca="1">HV85-TODAY()</f>
        <v>604</v>
      </c>
      <c r="HX85" s="5" t="str">
        <f t="shared" ca="1" si="323"/>
        <v>VIGENTE</v>
      </c>
      <c r="HY85" s="2"/>
      <c r="HZ85" s="4">
        <v>45092</v>
      </c>
      <c r="IA85" s="4">
        <f>DATE(YEAR(HZ85)+5,MONTH(HZ85),DAY(HZ85))</f>
        <v>46919</v>
      </c>
      <c r="IB85" s="8">
        <f ca="1">IA85-TODAY()</f>
        <v>774</v>
      </c>
      <c r="IC85" s="5" t="str">
        <f t="shared" ca="1" si="324"/>
        <v>VIGENTE</v>
      </c>
      <c r="ID85" s="2"/>
      <c r="IE85" s="4">
        <v>44922</v>
      </c>
      <c r="IF85" s="4">
        <f>DATE(YEAR(IE85)+5,MONTH(IE85),DAY(IE85))</f>
        <v>46748</v>
      </c>
      <c r="IG85" s="8">
        <f ca="1">IF85-TODAY()</f>
        <v>603</v>
      </c>
      <c r="IH85" s="5" t="str">
        <f t="shared" ca="1" si="325"/>
        <v>VIGENTE</v>
      </c>
      <c r="II85" s="6"/>
      <c r="IJ85" s="6"/>
      <c r="IK85" s="4"/>
      <c r="IL85" s="8"/>
      <c r="IM85" s="5" t="str">
        <f t="shared" si="326"/>
        <v>NO APLICA</v>
      </c>
      <c r="IN85" s="2"/>
      <c r="IO85" s="6"/>
      <c r="IP85" s="4"/>
      <c r="IQ85" s="8"/>
      <c r="IR85" s="5" t="str">
        <f t="shared" si="327"/>
        <v>NO APLICA</v>
      </c>
      <c r="IS85" s="2"/>
      <c r="IT85" s="6"/>
      <c r="IU85" s="4"/>
      <c r="IV85" s="8"/>
      <c r="IW85" s="5" t="str">
        <f t="shared" si="328"/>
        <v>NO APLICA</v>
      </c>
      <c r="IX85" s="2"/>
      <c r="IY85" s="6"/>
      <c r="IZ85" s="4"/>
      <c r="JA85" s="8"/>
      <c r="JB85" s="5" t="str">
        <f t="shared" si="329"/>
        <v>NO APLICA</v>
      </c>
      <c r="JC85" s="3" t="s">
        <v>780</v>
      </c>
      <c r="JD85" s="3"/>
      <c r="JE85" s="4"/>
      <c r="JF85" s="8"/>
      <c r="JG85" s="5"/>
      <c r="JH85" s="3" t="s">
        <v>780</v>
      </c>
      <c r="JI85" s="6"/>
      <c r="JJ85" s="6"/>
      <c r="JK85" s="6"/>
      <c r="JL85" s="5"/>
      <c r="JM85" s="6" t="s">
        <v>780</v>
      </c>
      <c r="JN85" s="6"/>
      <c r="JO85" s="6"/>
      <c r="JP85" s="6"/>
      <c r="JQ85" s="5"/>
      <c r="JR85" s="6" t="s">
        <v>780</v>
      </c>
      <c r="JS85" s="6"/>
      <c r="JT85" s="6"/>
      <c r="JU85" s="6"/>
      <c r="JV85" s="5"/>
      <c r="JW85" s="6" t="s">
        <v>780</v>
      </c>
      <c r="JX85" s="5"/>
      <c r="JY85" s="5"/>
      <c r="JZ85" s="5"/>
      <c r="KA85" s="5"/>
      <c r="KB85" s="5"/>
      <c r="KC85" s="5"/>
      <c r="KD85" s="4"/>
      <c r="KE85" s="8"/>
      <c r="KF85" s="5" t="str">
        <f t="shared" si="330"/>
        <v>NO APLICA</v>
      </c>
      <c r="KG85" s="5"/>
      <c r="KH85" s="5"/>
      <c r="KI85" s="4"/>
      <c r="KJ85" s="8"/>
      <c r="KK85" s="5" t="str">
        <f t="shared" si="356"/>
        <v>NO APLICA</v>
      </c>
      <c r="KL85" s="5"/>
      <c r="KM85" s="5"/>
      <c r="KN85" s="4"/>
      <c r="KO85" s="8"/>
      <c r="KP85" s="5" t="str">
        <f t="shared" si="331"/>
        <v>NO APLICA</v>
      </c>
      <c r="KQ85" s="5"/>
      <c r="KR85" s="2"/>
      <c r="KS85" s="4"/>
      <c r="KT85" s="8"/>
      <c r="KU85" s="5" t="str">
        <f t="shared" si="357"/>
        <v>NO APLICA</v>
      </c>
      <c r="KV85" s="2"/>
      <c r="KW85" s="6"/>
      <c r="KX85" s="4"/>
      <c r="KY85" s="8"/>
      <c r="KZ85" s="5" t="str">
        <f t="shared" si="366"/>
        <v>NO APLICA</v>
      </c>
      <c r="LA85" s="5"/>
      <c r="LB85" s="4">
        <v>44614</v>
      </c>
      <c r="LC85" s="4">
        <f>DATE(YEAR(LB85)+5,MONTH(LB85),DAY(LB85))</f>
        <v>46440</v>
      </c>
      <c r="LD85" s="8">
        <f ca="1">LC85-TODAY()</f>
        <v>295</v>
      </c>
      <c r="LE85" s="5" t="str">
        <f t="shared" ca="1" si="358"/>
        <v>VIGENTE</v>
      </c>
      <c r="LF85" s="6"/>
      <c r="LG85" s="6"/>
      <c r="LH85" s="4"/>
      <c r="LI85" s="8"/>
      <c r="LJ85" s="5" t="str">
        <f t="shared" si="332"/>
        <v>NO APLICA</v>
      </c>
      <c r="LK85" s="5"/>
      <c r="LL85" s="5"/>
      <c r="LM85" s="4"/>
      <c r="LN85" s="8"/>
      <c r="LO85" s="5" t="str">
        <f t="shared" si="367"/>
        <v>NO APLICA</v>
      </c>
      <c r="LP85" s="5"/>
      <c r="LQ85" s="6"/>
      <c r="LR85" s="4"/>
      <c r="LS85" s="8"/>
      <c r="LT85" s="5" t="str">
        <f t="shared" si="359"/>
        <v>NO APLICA</v>
      </c>
      <c r="LU85" s="6"/>
      <c r="LV85" s="6"/>
      <c r="LW85" s="4"/>
      <c r="LX85" s="8"/>
      <c r="LY85" s="5" t="str">
        <f t="shared" si="360"/>
        <v>NO APLICA</v>
      </c>
      <c r="LZ85" s="6"/>
      <c r="MA85" s="6"/>
      <c r="MB85" s="4"/>
      <c r="MC85" s="8"/>
      <c r="MD85" s="5" t="str">
        <f t="shared" si="361"/>
        <v>NO APLICA</v>
      </c>
      <c r="ME85" s="5"/>
      <c r="MF85" s="5"/>
      <c r="MG85" s="4"/>
      <c r="MH85" s="8"/>
      <c r="MI85" s="5" t="str">
        <f t="shared" si="333"/>
        <v>NO APLICA</v>
      </c>
      <c r="MJ85" s="5"/>
      <c r="MK85" s="5"/>
      <c r="ML85" s="4"/>
      <c r="MM85" s="8"/>
      <c r="MN85" s="5" t="str">
        <f t="shared" si="334"/>
        <v>NO APLICA</v>
      </c>
      <c r="MO85" s="5"/>
      <c r="MP85" s="5"/>
      <c r="MQ85" s="4"/>
      <c r="MR85" s="8"/>
      <c r="MS85" s="5" t="str">
        <f t="shared" si="335"/>
        <v>NO APLICA</v>
      </c>
      <c r="MT85" s="5"/>
      <c r="MU85" s="5"/>
      <c r="MV85" s="4"/>
      <c r="MW85" s="5"/>
      <c r="MX85" s="5" t="str">
        <f t="shared" si="336"/>
        <v>NO APLICA</v>
      </c>
      <c r="MY85" s="5"/>
      <c r="MZ85" s="6"/>
      <c r="NA85" s="4"/>
      <c r="NB85" s="8"/>
      <c r="NC85" s="5" t="str">
        <f t="shared" si="337"/>
        <v>NO APLICA</v>
      </c>
      <c r="ND85" s="5"/>
      <c r="NE85" s="6"/>
      <c r="NF85" s="4"/>
      <c r="NG85" s="8"/>
      <c r="NH85" s="5" t="str">
        <f t="shared" si="338"/>
        <v>NO APLICA</v>
      </c>
      <c r="NI85" s="5"/>
      <c r="NJ85" s="6"/>
      <c r="NK85" s="4"/>
      <c r="NL85" s="8"/>
      <c r="NM85" s="5" t="str">
        <f t="shared" si="339"/>
        <v>NO APLICA</v>
      </c>
      <c r="NN85" s="5"/>
      <c r="NO85" s="5"/>
      <c r="NP85" s="4"/>
      <c r="NQ85" s="8"/>
      <c r="NR85" s="5" t="str">
        <f t="shared" si="340"/>
        <v>NO APLICA</v>
      </c>
      <c r="NS85" s="5"/>
      <c r="NT85" s="5"/>
      <c r="NU85" s="5"/>
      <c r="NV85" s="5"/>
      <c r="NW85" s="5" t="str">
        <f t="shared" si="341"/>
        <v>NO APLICA</v>
      </c>
      <c r="NX85" s="6"/>
      <c r="NY85" s="6"/>
      <c r="NZ85" s="4"/>
      <c r="OA85" s="8"/>
      <c r="OB85" s="5" t="str">
        <f t="shared" si="342"/>
        <v>NO APLICA</v>
      </c>
      <c r="OC85" s="6"/>
      <c r="OD85" s="6"/>
      <c r="OE85" s="6"/>
      <c r="OF85" s="6"/>
      <c r="OG85" s="5" t="str">
        <f t="shared" si="343"/>
        <v>NO APLICA</v>
      </c>
      <c r="OH85" s="5"/>
      <c r="OI85" s="5"/>
      <c r="OJ85" s="4"/>
      <c r="OK85" s="8"/>
      <c r="OL85" s="5" t="str">
        <f t="shared" si="344"/>
        <v>NO APLICA</v>
      </c>
      <c r="OM85" s="6"/>
      <c r="ON85" s="6"/>
      <c r="OO85" s="6"/>
      <c r="OP85" s="6"/>
      <c r="OQ85" s="5" t="str">
        <f t="shared" si="345"/>
        <v>NO APLICA</v>
      </c>
      <c r="OR85" s="4"/>
      <c r="OS85" s="4">
        <v>44551</v>
      </c>
      <c r="OT85" s="4">
        <f>DATE(YEAR(OS85)+3,MONTH(OS85),DAY(OS85))</f>
        <v>45647</v>
      </c>
      <c r="OU85" s="8">
        <f ca="1">OT85-TODAY()</f>
        <v>-498</v>
      </c>
      <c r="OV85" s="5" t="str">
        <f t="shared" ca="1" si="346"/>
        <v>VENCIDA</v>
      </c>
      <c r="OW85" s="4"/>
      <c r="OX85" s="4">
        <v>44770</v>
      </c>
      <c r="OY85" s="4">
        <f>DATE(YEAR(OX85)+5,MONTH(OX85),DAY(OX85))</f>
        <v>46596</v>
      </c>
      <c r="OZ85" s="8">
        <f ca="1">OY85-TODAY()</f>
        <v>451</v>
      </c>
      <c r="PA85" s="5" t="str">
        <f t="shared" ca="1" si="347"/>
        <v>VIGENTE</v>
      </c>
      <c r="PB85" s="4"/>
      <c r="PC85" s="4">
        <v>45009</v>
      </c>
      <c r="PD85" s="4">
        <f>DATE(YEAR(PC85)+5,MONTH(PC85),DAY(PC85))</f>
        <v>46836</v>
      </c>
      <c r="PE85" s="8">
        <f ca="1">PD85-TODAY()</f>
        <v>691</v>
      </c>
      <c r="PF85" s="5" t="str">
        <f t="shared" ca="1" si="348"/>
        <v>VIGENTE</v>
      </c>
      <c r="PG85" s="4"/>
      <c r="PH85" s="4">
        <v>44979</v>
      </c>
      <c r="PI85" s="4">
        <f>DATE(YEAR(PH85)+5,MONTH(PH85),DAY(PH85))</f>
        <v>46805</v>
      </c>
      <c r="PJ85" s="8">
        <f ca="1">PI85-TODAY()</f>
        <v>660</v>
      </c>
      <c r="PK85" s="5" t="str">
        <f t="shared" ca="1" si="349"/>
        <v>VIGENTE</v>
      </c>
      <c r="PL85" s="5"/>
      <c r="PM85" s="4">
        <v>44627</v>
      </c>
      <c r="PN85" s="4">
        <f>DATE(YEAR(PM85)+5,MONTH(PM85),DAY(PM85))</f>
        <v>46453</v>
      </c>
      <c r="PO85" s="8">
        <f ca="1">PN85-TODAY()</f>
        <v>308</v>
      </c>
      <c r="PP85" s="5" t="str">
        <f t="shared" ca="1" si="350"/>
        <v>VIGENTE</v>
      </c>
      <c r="PQ85" s="4"/>
      <c r="PR85" s="4">
        <v>44981</v>
      </c>
      <c r="PS85" s="4">
        <f>DATE(YEAR(PR85)+5,MONTH(PR85),DAY(PR85))</f>
        <v>46807</v>
      </c>
      <c r="PT85" s="8">
        <f ca="1">PS85-TODAY()</f>
        <v>662</v>
      </c>
      <c r="PU85" s="5" t="str">
        <f t="shared" ca="1" si="351"/>
        <v>VIGENTE</v>
      </c>
      <c r="PV85" s="5"/>
      <c r="PW85" s="6"/>
      <c r="PX85" s="6"/>
      <c r="PY85" s="6"/>
      <c r="PZ85" s="5" t="str">
        <f t="shared" si="352"/>
        <v>NO APLICA</v>
      </c>
    </row>
    <row r="86" spans="1:442" ht="15.6" hidden="1" thickTop="1" thickBot="1" x14ac:dyDescent="0.35">
      <c r="A86" s="26">
        <v>83</v>
      </c>
      <c r="B86" s="31">
        <v>1741</v>
      </c>
      <c r="C86" s="28" t="s">
        <v>308</v>
      </c>
      <c r="D86" s="29" t="s">
        <v>117</v>
      </c>
      <c r="E86" s="30" t="s">
        <v>118</v>
      </c>
      <c r="F86" s="6"/>
      <c r="G86" s="6"/>
      <c r="H86" s="6"/>
      <c r="I86" s="6"/>
      <c r="J86" s="5" t="str">
        <f t="shared" si="242"/>
        <v>NO APLICA</v>
      </c>
      <c r="K86" s="6"/>
      <c r="L86" s="6"/>
      <c r="M86" s="6"/>
      <c r="N86" s="6"/>
      <c r="O86" s="5" t="str">
        <f t="shared" si="243"/>
        <v>NO APLICA</v>
      </c>
      <c r="P86" s="6"/>
      <c r="Q86" s="6"/>
      <c r="R86" s="6"/>
      <c r="S86" s="6"/>
      <c r="T86" s="5" t="str">
        <f t="shared" si="353"/>
        <v>NO APLICA</v>
      </c>
      <c r="U86" s="5"/>
      <c r="V86" s="6" t="s">
        <v>309</v>
      </c>
      <c r="W86" s="4">
        <v>45320</v>
      </c>
      <c r="X86" s="4">
        <f t="shared" si="244"/>
        <v>47147</v>
      </c>
      <c r="Y86" s="8">
        <f t="shared" ca="1" si="245"/>
        <v>1002</v>
      </c>
      <c r="Z86" s="5" t="str">
        <f t="shared" ca="1" si="246"/>
        <v>VIGENTE</v>
      </c>
      <c r="AA86" s="5"/>
      <c r="AB86" s="6" t="s">
        <v>310</v>
      </c>
      <c r="AC86" s="4">
        <v>45631</v>
      </c>
      <c r="AD86" s="4">
        <f>DATE(YEAR(AC86)+5,MONTH(AC86),DAY(AC86))</f>
        <v>47457</v>
      </c>
      <c r="AE86" s="8">
        <f ca="1">AD86-TODAY()</f>
        <v>1312</v>
      </c>
      <c r="AF86" s="5" t="str">
        <f t="shared" ca="1" si="247"/>
        <v>VIGENTE</v>
      </c>
      <c r="AG86" s="6"/>
      <c r="AH86" s="4">
        <v>45589</v>
      </c>
      <c r="AI86" s="4">
        <f>DATE(YEAR(AH86)+2,MONTH(AH86),DAY(AH86)-1)</f>
        <v>46318</v>
      </c>
      <c r="AJ86" s="8">
        <f t="shared" ca="1" si="248"/>
        <v>173</v>
      </c>
      <c r="AK86" s="5" t="str">
        <f t="shared" ca="1" si="219"/>
        <v>VIGENTE</v>
      </c>
      <c r="AL86" s="4"/>
      <c r="AM86" s="4">
        <v>45518</v>
      </c>
      <c r="AN86" s="4">
        <f>DATE(YEAR(AM86)+2,MONTH(AM86),DAY(AM86)-1)</f>
        <v>46247</v>
      </c>
      <c r="AO86" s="8">
        <f t="shared" ca="1" si="249"/>
        <v>102</v>
      </c>
      <c r="AP86" s="5" t="str">
        <f t="shared" ca="1" si="250"/>
        <v>VIGENTE</v>
      </c>
      <c r="AQ86" s="4"/>
      <c r="AR86" s="4">
        <v>45505</v>
      </c>
      <c r="AS86" s="4">
        <f>DATE(YEAR(AR86)+2,MONTH(AR86),DAY(AR86)-1)</f>
        <v>46234</v>
      </c>
      <c r="AT86" s="8">
        <f t="shared" ca="1" si="251"/>
        <v>89</v>
      </c>
      <c r="AU86" s="5" t="str">
        <f t="shared" ca="1" si="252"/>
        <v>POR VENCER</v>
      </c>
      <c r="AV86" s="4"/>
      <c r="AW86" s="4">
        <v>45514</v>
      </c>
      <c r="AX86" s="4">
        <f>DATE(YEAR(AW86)+2,MONTH(AW86),DAY(AW86)-1)</f>
        <v>46243</v>
      </c>
      <c r="AY86" s="8">
        <f t="shared" ca="1" si="253"/>
        <v>98</v>
      </c>
      <c r="AZ86" s="5" t="str">
        <f t="shared" ca="1" si="254"/>
        <v>VIGENTE</v>
      </c>
      <c r="BA86" s="4"/>
      <c r="BB86" s="4">
        <v>45534</v>
      </c>
      <c r="BC86" s="4">
        <f>DATE(YEAR(BB86)+2,MONTH(BB86),DAY(BB86)-1)</f>
        <v>46263</v>
      </c>
      <c r="BD86" s="8">
        <f t="shared" ca="1" si="255"/>
        <v>118</v>
      </c>
      <c r="BE86" s="5" t="str">
        <f t="shared" ca="1" si="256"/>
        <v>VIGENTE</v>
      </c>
      <c r="BF86" s="4"/>
      <c r="BG86" s="4">
        <v>45531</v>
      </c>
      <c r="BH86" s="4">
        <f>DATE(YEAR(BG86)+2,MONTH(BG86),DAY(BG86)-1)</f>
        <v>46260</v>
      </c>
      <c r="BI86" s="8">
        <f t="shared" ca="1" si="257"/>
        <v>115</v>
      </c>
      <c r="BJ86" s="5" t="str">
        <f t="shared" ca="1" si="258"/>
        <v>VIGENTE</v>
      </c>
      <c r="BK86" s="4"/>
      <c r="BL86" s="4">
        <v>45600</v>
      </c>
      <c r="BM86" s="4">
        <f>DATE(YEAR(BL86)+2,MONTH(BL86),DAY(BL86)-1)</f>
        <v>46329</v>
      </c>
      <c r="BN86" s="8">
        <f t="shared" ca="1" si="259"/>
        <v>184</v>
      </c>
      <c r="BO86" s="5" t="str">
        <f t="shared" ca="1" si="260"/>
        <v>VIGENTE</v>
      </c>
      <c r="BP86" s="4"/>
      <c r="BQ86" s="4">
        <v>45532</v>
      </c>
      <c r="BR86" s="4">
        <f>DATE(YEAR(BQ86)+2,MONTH(BQ86),DAY(BQ86)-1)</f>
        <v>46261</v>
      </c>
      <c r="BS86" s="8">
        <f t="shared" ca="1" si="261"/>
        <v>116</v>
      </c>
      <c r="BT86" s="5" t="str">
        <f t="shared" ca="1" si="262"/>
        <v>VIGENTE</v>
      </c>
      <c r="BU86" s="4"/>
      <c r="BV86" s="4">
        <v>45568</v>
      </c>
      <c r="BW86" s="4">
        <f>DATE(YEAR(BV86)+2,MONTH(BV86),DAY(BV86)-1)</f>
        <v>46297</v>
      </c>
      <c r="BX86" s="8">
        <f t="shared" ca="1" si="263"/>
        <v>152</v>
      </c>
      <c r="BY86" s="5" t="str">
        <f t="shared" ca="1" si="264"/>
        <v>VIGENTE</v>
      </c>
      <c r="BZ86" s="4"/>
      <c r="CA86" s="4">
        <v>45525</v>
      </c>
      <c r="CB86" s="4">
        <f>DATE(YEAR(CA86)+2,MONTH(CA86),DAY(CA86)-1)</f>
        <v>46254</v>
      </c>
      <c r="CC86" s="8">
        <f t="shared" ca="1" si="265"/>
        <v>109</v>
      </c>
      <c r="CD86" s="5" t="str">
        <f t="shared" ca="1" si="266"/>
        <v>VIGENTE</v>
      </c>
      <c r="CE86" s="6"/>
      <c r="CF86" s="4">
        <v>45616</v>
      </c>
      <c r="CG86" s="4">
        <f t="shared" ref="CG86:CG108" si="387">DATE(YEAR(CF86)+4,MONTH(CF86),DAY(CF86))</f>
        <v>47077</v>
      </c>
      <c r="CH86" s="8">
        <f t="shared" ref="CH86:CH108" ca="1" si="388">CG86-TODAY()</f>
        <v>932</v>
      </c>
      <c r="CI86" s="5" t="str">
        <f t="shared" ca="1" si="269"/>
        <v>VIGENTE</v>
      </c>
      <c r="CJ86" s="4"/>
      <c r="CK86" s="4">
        <v>45511</v>
      </c>
      <c r="CL86" s="4">
        <f>DATE(YEAR(CK86)+2,MONTH(CK86),DAY(CK86)-1)</f>
        <v>46240</v>
      </c>
      <c r="CM86" s="8">
        <f t="shared" ca="1" si="270"/>
        <v>95</v>
      </c>
      <c r="CN86" s="5" t="str">
        <f t="shared" ca="1" si="271"/>
        <v>VIGENTE</v>
      </c>
      <c r="CO86" s="4"/>
      <c r="CP86" s="4">
        <v>45597</v>
      </c>
      <c r="CQ86" s="4">
        <f>DATE(YEAR(CP86)+2,MONTH(CP86),DAY(CP86)-1)</f>
        <v>46326</v>
      </c>
      <c r="CR86" s="8">
        <f t="shared" ca="1" si="272"/>
        <v>181</v>
      </c>
      <c r="CS86" s="5" t="str">
        <f t="shared" ca="1" si="273"/>
        <v>VIGENTE</v>
      </c>
      <c r="CT86" s="4"/>
      <c r="CU86" s="4">
        <v>45607</v>
      </c>
      <c r="CV86" s="4">
        <f>DATE(YEAR(CU86)+2,MONTH(CU86),DAY(CU86)-1)</f>
        <v>46336</v>
      </c>
      <c r="CW86" s="8">
        <f t="shared" ca="1" si="274"/>
        <v>191</v>
      </c>
      <c r="CX86" s="5" t="str">
        <f t="shared" ca="1" si="275"/>
        <v>VIGENTE</v>
      </c>
      <c r="CY86" s="4"/>
      <c r="CZ86" s="4">
        <v>45593</v>
      </c>
      <c r="DA86" s="4">
        <f>DATE(YEAR(CZ86)+2,MONTH(CZ86),DAY(CZ86)-1)</f>
        <v>46322</v>
      </c>
      <c r="DB86" s="8">
        <f t="shared" ca="1" si="276"/>
        <v>177</v>
      </c>
      <c r="DC86" s="5" t="str">
        <f t="shared" ca="1" si="277"/>
        <v>VIGENTE</v>
      </c>
      <c r="DD86" s="4"/>
      <c r="DE86" s="4">
        <v>45596</v>
      </c>
      <c r="DF86" s="4">
        <f t="shared" si="386"/>
        <v>46325</v>
      </c>
      <c r="DG86" s="8">
        <f t="shared" ca="1" si="278"/>
        <v>180</v>
      </c>
      <c r="DH86" s="5" t="str">
        <f t="shared" ca="1" si="279"/>
        <v>VIGENTE</v>
      </c>
      <c r="DI86" s="4"/>
      <c r="DJ86" s="4">
        <v>45569</v>
      </c>
      <c r="DK86" s="4">
        <f>DATE(YEAR(DJ86)+2,MONTH(DJ86),DAY(DJ86)-1)</f>
        <v>46298</v>
      </c>
      <c r="DL86" s="8">
        <f t="shared" ca="1" si="280"/>
        <v>153</v>
      </c>
      <c r="DM86" s="5" t="str">
        <f t="shared" ca="1" si="281"/>
        <v>VIGENTE</v>
      </c>
      <c r="DN86" s="4"/>
      <c r="DO86" s="4">
        <v>45577</v>
      </c>
      <c r="DP86" s="4">
        <f>DATE(YEAR(DO86)+2,MONTH(DO86),DAY(DO86)-1)</f>
        <v>46306</v>
      </c>
      <c r="DQ86" s="8">
        <f t="shared" ca="1" si="282"/>
        <v>161</v>
      </c>
      <c r="DR86" s="5" t="str">
        <f t="shared" ca="1" si="283"/>
        <v>VIGENTE</v>
      </c>
      <c r="DS86" s="4"/>
      <c r="DT86" s="4">
        <v>45540</v>
      </c>
      <c r="DU86" s="4">
        <f>DATE(YEAR(DT86)+2,MONTH(DT86),DAY(DT86)-1)</f>
        <v>46269</v>
      </c>
      <c r="DV86" s="8">
        <f t="shared" ca="1" si="284"/>
        <v>124</v>
      </c>
      <c r="DW86" s="5" t="str">
        <f t="shared" ca="1" si="285"/>
        <v>VIGENTE</v>
      </c>
      <c r="DX86" s="4"/>
      <c r="DY86" s="4">
        <v>45582</v>
      </c>
      <c r="DZ86" s="4">
        <f>DATE(YEAR(DY86)+2,MONTH(DY86),DAY(DY86)-1)</f>
        <v>46311</v>
      </c>
      <c r="EA86" s="8">
        <f t="shared" ca="1" si="286"/>
        <v>166</v>
      </c>
      <c r="EB86" s="5" t="str">
        <f t="shared" ca="1" si="287"/>
        <v>VIGENTE</v>
      </c>
      <c r="EC86" s="4"/>
      <c r="ED86" s="4">
        <v>45583</v>
      </c>
      <c r="EE86" s="4">
        <f>DATE(YEAR(ED86)+2,MONTH(ED86),DAY(ED86)-1)</f>
        <v>46312</v>
      </c>
      <c r="EF86" s="8">
        <f t="shared" ca="1" si="288"/>
        <v>167</v>
      </c>
      <c r="EG86" s="5" t="str">
        <f t="shared" ca="1" si="289"/>
        <v>VIGENTE</v>
      </c>
      <c r="EH86" s="3"/>
      <c r="EI86" s="3">
        <v>46107</v>
      </c>
      <c r="EJ86" s="4">
        <f t="shared" si="355"/>
        <v>46472</v>
      </c>
      <c r="EK86" s="8">
        <f t="shared" ca="1" si="290"/>
        <v>327</v>
      </c>
      <c r="EL86" s="5" t="str">
        <f t="shared" ca="1" si="291"/>
        <v>VIGENTE</v>
      </c>
      <c r="EM86" s="4"/>
      <c r="EN86" s="4">
        <v>45584</v>
      </c>
      <c r="EO86" s="4">
        <f>DATE(YEAR(EN86)+2,MONTH(EN86),DAY(EN86)-1)</f>
        <v>46313</v>
      </c>
      <c r="EP86" s="8">
        <f t="shared" ca="1" si="292"/>
        <v>168</v>
      </c>
      <c r="EQ86" s="5" t="str">
        <f t="shared" ca="1" si="293"/>
        <v>VIGENTE</v>
      </c>
      <c r="ER86" s="4"/>
      <c r="ES86" s="4">
        <v>45575</v>
      </c>
      <c r="ET86" s="4">
        <f>DATE(YEAR(ES86)+2,MONTH(ES86),DAY(ES86)-1)</f>
        <v>46304</v>
      </c>
      <c r="EU86" s="8">
        <f t="shared" ca="1" si="294"/>
        <v>159</v>
      </c>
      <c r="EV86" s="5" t="str">
        <f t="shared" ca="1" si="295"/>
        <v>VIGENTE</v>
      </c>
      <c r="EW86" s="4"/>
      <c r="EX86" s="4">
        <v>45502</v>
      </c>
      <c r="EY86" s="4">
        <f>DATE(YEAR(EX86)+2,MONTH(EX86),DAY(EX86)-1)</f>
        <v>46231</v>
      </c>
      <c r="EZ86" s="8">
        <f t="shared" ca="1" si="296"/>
        <v>86</v>
      </c>
      <c r="FA86" s="5" t="str">
        <f t="shared" ca="1" si="297"/>
        <v>POR VENCER</v>
      </c>
      <c r="FB86" s="4"/>
      <c r="FC86" s="4">
        <v>45538</v>
      </c>
      <c r="FD86" s="4">
        <f>DATE(YEAR(FC86)+2,MONTH(FC86),DAY(FC86)-1)</f>
        <v>46267</v>
      </c>
      <c r="FE86" s="8">
        <f t="shared" ca="1" si="298"/>
        <v>122</v>
      </c>
      <c r="FF86" s="5" t="str">
        <f t="shared" ca="1" si="299"/>
        <v>VIGENTE</v>
      </c>
      <c r="FG86" s="6"/>
      <c r="FH86" s="4">
        <v>45542</v>
      </c>
      <c r="FI86" s="4">
        <f>DATE(YEAR(FH86)+2,MONTH(FH86),DAY(FH86)-1)</f>
        <v>46271</v>
      </c>
      <c r="FJ86" s="8">
        <f t="shared" ca="1" si="300"/>
        <v>126</v>
      </c>
      <c r="FK86" s="5" t="str">
        <f t="shared" ca="1" si="301"/>
        <v>VIGENTE</v>
      </c>
      <c r="FL86" s="4"/>
      <c r="FM86" s="4">
        <v>45588</v>
      </c>
      <c r="FN86" s="4">
        <f>DATE(YEAR(FM86)+2,MONTH(FM86),DAY(FM86)-1)</f>
        <v>46317</v>
      </c>
      <c r="FO86" s="8">
        <f t="shared" ca="1" si="302"/>
        <v>172</v>
      </c>
      <c r="FP86" s="5" t="str">
        <f t="shared" ca="1" si="303"/>
        <v>VIGENTE</v>
      </c>
      <c r="FQ86" s="4"/>
      <c r="FR86" s="4">
        <v>45586</v>
      </c>
      <c r="FS86" s="4">
        <f>DATE(YEAR(FR86)+2,MONTH(FR86),DAY(FR86)-1)</f>
        <v>46315</v>
      </c>
      <c r="FT86" s="8">
        <f t="shared" ca="1" si="304"/>
        <v>170</v>
      </c>
      <c r="FU86" s="5" t="str">
        <f t="shared" ca="1" si="305"/>
        <v>VIGENTE</v>
      </c>
      <c r="FV86" s="4"/>
      <c r="FW86" s="4">
        <v>45581</v>
      </c>
      <c r="FX86" s="4">
        <f>DATE(YEAR(FW86)+2,MONTH(FW86),DAY(FW86)-1)</f>
        <v>46310</v>
      </c>
      <c r="FY86" s="8">
        <f t="shared" ca="1" si="306"/>
        <v>165</v>
      </c>
      <c r="FZ86" s="5" t="str">
        <f t="shared" ca="1" si="307"/>
        <v>VIGENTE</v>
      </c>
      <c r="GA86" s="4"/>
      <c r="GB86" s="4">
        <v>45595</v>
      </c>
      <c r="GC86" s="4">
        <f>DATE(YEAR(GB86)+2,MONTH(GB86),DAY(GB86)-1)</f>
        <v>46324</v>
      </c>
      <c r="GD86" s="8">
        <f t="shared" ca="1" si="308"/>
        <v>179</v>
      </c>
      <c r="GE86" s="5" t="str">
        <f t="shared" ca="1" si="309"/>
        <v>VIGENTE</v>
      </c>
      <c r="GF86" s="4"/>
      <c r="GG86" s="4">
        <v>45579</v>
      </c>
      <c r="GH86" s="4">
        <f>DATE(YEAR(GG86)+2,MONTH(GG86),DAY(GG86)-1)</f>
        <v>46308</v>
      </c>
      <c r="GI86" s="8">
        <f t="shared" ca="1" si="310"/>
        <v>163</v>
      </c>
      <c r="GJ86" s="5" t="str">
        <f t="shared" ca="1" si="311"/>
        <v>VIGENTE</v>
      </c>
      <c r="GK86" s="4"/>
      <c r="GL86" s="4">
        <v>45567</v>
      </c>
      <c r="GM86" s="4">
        <f>DATE(YEAR(GL86)+2,MONTH(GL86),DAY(GL86)-1)</f>
        <v>46296</v>
      </c>
      <c r="GN86" s="8">
        <f t="shared" ca="1" si="312"/>
        <v>151</v>
      </c>
      <c r="GO86" s="5" t="str">
        <f t="shared" ca="1" si="313"/>
        <v>VIGENTE</v>
      </c>
      <c r="GP86" s="4"/>
      <c r="GQ86" s="4">
        <v>45495</v>
      </c>
      <c r="GR86" s="4">
        <f t="shared" si="314"/>
        <v>47321</v>
      </c>
      <c r="GS86" s="8">
        <f t="shared" ca="1" si="384"/>
        <v>1176</v>
      </c>
      <c r="GT86" s="5" t="str">
        <f t="shared" ca="1" si="378"/>
        <v>VIGENTE</v>
      </c>
      <c r="GU86" s="4"/>
      <c r="GV86" s="4">
        <v>45507</v>
      </c>
      <c r="GW86" s="4">
        <f t="shared" si="316"/>
        <v>47333</v>
      </c>
      <c r="GX86" s="8">
        <f t="shared" ca="1" si="317"/>
        <v>1188</v>
      </c>
      <c r="GY86" s="5" t="str">
        <f t="shared" ca="1" si="379"/>
        <v>VIGENTE</v>
      </c>
      <c r="GZ86" s="6"/>
      <c r="HA86" s="4">
        <v>45497</v>
      </c>
      <c r="HB86" s="4">
        <f t="shared" si="319"/>
        <v>47323</v>
      </c>
      <c r="HC86" s="8">
        <f t="shared" ca="1" si="320"/>
        <v>1178</v>
      </c>
      <c r="HD86" s="5" t="str">
        <f t="shared" ca="1" si="380"/>
        <v>VIGENTE</v>
      </c>
      <c r="HE86" s="6"/>
      <c r="HF86" s="4">
        <v>45496</v>
      </c>
      <c r="HG86" s="4">
        <f>DATE(YEAR(HF86)+5,MONTH(HF86),DAY(HF86))</f>
        <v>47322</v>
      </c>
      <c r="HH86" s="8">
        <f ca="1">HG86-TODAY()</f>
        <v>1177</v>
      </c>
      <c r="HI86" s="5" t="str">
        <f t="shared" ref="HI86:HI98" ca="1" si="389">IF(HH86&gt;=61,"VIGENTE",IF(HH86&gt;=1,"POR VENCER",IF(HH86&lt;=-1,"VENCIDA",IF(HF86=0,"NO APLICA"))))</f>
        <v>VIGENTE</v>
      </c>
      <c r="HJ86" s="6"/>
      <c r="HK86" s="6"/>
      <c r="HL86" s="4"/>
      <c r="HM86" s="8"/>
      <c r="HN86" s="5" t="str">
        <f t="shared" si="385"/>
        <v>NO APLICA</v>
      </c>
      <c r="HO86" s="6"/>
      <c r="HP86" s="6"/>
      <c r="HQ86" s="4"/>
      <c r="HR86" s="6"/>
      <c r="HS86" s="5" t="str">
        <f t="shared" si="322"/>
        <v>NO APLICA</v>
      </c>
      <c r="HT86" s="6"/>
      <c r="HU86" s="6"/>
      <c r="HV86" s="4"/>
      <c r="HW86" s="6"/>
      <c r="HX86" s="5" t="str">
        <f t="shared" si="323"/>
        <v>NO APLICA</v>
      </c>
      <c r="HY86" s="6"/>
      <c r="HZ86" s="6"/>
      <c r="IA86" s="4"/>
      <c r="IB86" s="6"/>
      <c r="IC86" s="5" t="str">
        <f t="shared" si="324"/>
        <v>NO APLICA</v>
      </c>
      <c r="ID86" s="6"/>
      <c r="IE86" s="6"/>
      <c r="IF86" s="4"/>
      <c r="IG86" s="6"/>
      <c r="IH86" s="5" t="str">
        <f t="shared" si="325"/>
        <v>NO APLICA</v>
      </c>
      <c r="II86" s="6"/>
      <c r="IJ86" s="6"/>
      <c r="IK86" s="4"/>
      <c r="IL86" s="6"/>
      <c r="IM86" s="5" t="str">
        <f t="shared" si="326"/>
        <v>NO APLICA</v>
      </c>
      <c r="IN86" s="6"/>
      <c r="IO86" s="6"/>
      <c r="IP86" s="4"/>
      <c r="IQ86" s="8"/>
      <c r="IR86" s="5" t="str">
        <f t="shared" si="327"/>
        <v>NO APLICA</v>
      </c>
      <c r="IS86" s="6"/>
      <c r="IT86" s="6"/>
      <c r="IU86" s="4"/>
      <c r="IV86" s="6"/>
      <c r="IW86" s="5" t="str">
        <f t="shared" si="328"/>
        <v>NO APLICA</v>
      </c>
      <c r="IX86" s="6"/>
      <c r="IY86" s="6"/>
      <c r="IZ86" s="4"/>
      <c r="JA86" s="6"/>
      <c r="JB86" s="5" t="str">
        <f t="shared" si="329"/>
        <v>NO APLICA</v>
      </c>
      <c r="JC86" s="3" t="s">
        <v>780</v>
      </c>
      <c r="JD86" s="6"/>
      <c r="JE86" s="6"/>
      <c r="JF86" s="6"/>
      <c r="JG86" s="5"/>
      <c r="JH86" s="3" t="s">
        <v>780</v>
      </c>
      <c r="JI86" s="6"/>
      <c r="JJ86" s="6"/>
      <c r="JK86" s="6"/>
      <c r="JL86" s="5"/>
      <c r="JM86" s="6" t="s">
        <v>780</v>
      </c>
      <c r="JN86" s="6"/>
      <c r="JO86" s="6"/>
      <c r="JP86" s="6"/>
      <c r="JQ86" s="5"/>
      <c r="JR86" s="6" t="s">
        <v>780</v>
      </c>
      <c r="JS86" s="6"/>
      <c r="JT86" s="6"/>
      <c r="JU86" s="6"/>
      <c r="JV86" s="5"/>
      <c r="JW86" s="6" t="s">
        <v>780</v>
      </c>
      <c r="JX86" s="3"/>
      <c r="JY86" s="4"/>
      <c r="JZ86" s="8"/>
      <c r="KA86" s="5"/>
      <c r="KB86" s="5"/>
      <c r="KC86" s="6"/>
      <c r="KD86" s="4"/>
      <c r="KE86" s="6"/>
      <c r="KF86" s="5" t="str">
        <f t="shared" si="330"/>
        <v>NO APLICA</v>
      </c>
      <c r="KG86" s="5"/>
      <c r="KH86" s="6"/>
      <c r="KI86" s="4"/>
      <c r="KJ86" s="6"/>
      <c r="KK86" s="5" t="str">
        <f t="shared" si="356"/>
        <v>NO APLICA</v>
      </c>
      <c r="KL86" s="5"/>
      <c r="KM86" s="6"/>
      <c r="KN86" s="4"/>
      <c r="KO86" s="6"/>
      <c r="KP86" s="5" t="str">
        <f t="shared" si="331"/>
        <v>NO APLICA</v>
      </c>
      <c r="KQ86" s="5"/>
      <c r="KR86" s="2"/>
      <c r="KS86" s="2"/>
      <c r="KT86" s="2"/>
      <c r="KU86" s="5" t="str">
        <f t="shared" si="357"/>
        <v>NO APLICA</v>
      </c>
      <c r="KV86" s="6"/>
      <c r="KW86" s="6"/>
      <c r="KX86" s="4"/>
      <c r="KY86" s="6"/>
      <c r="KZ86" s="5" t="str">
        <f t="shared" si="366"/>
        <v>NO APLICA</v>
      </c>
      <c r="LA86" s="5"/>
      <c r="LB86" s="6"/>
      <c r="LC86" s="4"/>
      <c r="LD86" s="6"/>
      <c r="LE86" s="5" t="str">
        <f t="shared" si="358"/>
        <v>NO APLICA</v>
      </c>
      <c r="LF86" s="6"/>
      <c r="LG86" s="6"/>
      <c r="LH86" s="6"/>
      <c r="LI86" s="6"/>
      <c r="LJ86" s="5" t="str">
        <f t="shared" si="332"/>
        <v>NO APLICA</v>
      </c>
      <c r="LK86" s="5"/>
      <c r="LL86" s="5"/>
      <c r="LM86" s="4"/>
      <c r="LN86" s="8"/>
      <c r="LO86" s="5" t="str">
        <f t="shared" si="367"/>
        <v>NO APLICA</v>
      </c>
      <c r="LP86" s="6"/>
      <c r="LQ86" s="6"/>
      <c r="LR86" s="4"/>
      <c r="LS86" s="8"/>
      <c r="LT86" s="5" t="str">
        <f t="shared" si="359"/>
        <v>NO APLICA</v>
      </c>
      <c r="LU86" s="6"/>
      <c r="LV86" s="6"/>
      <c r="LW86" s="4"/>
      <c r="LX86" s="6"/>
      <c r="LY86" s="5" t="str">
        <f t="shared" si="360"/>
        <v>NO APLICA</v>
      </c>
      <c r="LZ86" s="6"/>
      <c r="MA86" s="6"/>
      <c r="MB86" s="4"/>
      <c r="MC86" s="6"/>
      <c r="MD86" s="5" t="str">
        <f t="shared" si="361"/>
        <v>NO APLICA</v>
      </c>
      <c r="ME86" s="6"/>
      <c r="MF86" s="6"/>
      <c r="MG86" s="4"/>
      <c r="MH86" s="6"/>
      <c r="MI86" s="5" t="str">
        <f t="shared" si="333"/>
        <v>NO APLICA</v>
      </c>
      <c r="MJ86" s="6"/>
      <c r="MK86" s="6"/>
      <c r="ML86" s="4"/>
      <c r="MM86" s="6"/>
      <c r="MN86" s="5" t="str">
        <f t="shared" si="334"/>
        <v>NO APLICA</v>
      </c>
      <c r="MO86" s="5"/>
      <c r="MP86" s="6"/>
      <c r="MQ86" s="4"/>
      <c r="MR86" s="6"/>
      <c r="MS86" s="5" t="str">
        <f t="shared" si="335"/>
        <v>NO APLICA</v>
      </c>
      <c r="MT86" s="5"/>
      <c r="MU86" s="6"/>
      <c r="MV86" s="6"/>
      <c r="MW86" s="6"/>
      <c r="MX86" s="5" t="str">
        <f t="shared" si="336"/>
        <v>NO APLICA</v>
      </c>
      <c r="MY86" s="6"/>
      <c r="MZ86" s="6"/>
      <c r="NA86" s="4"/>
      <c r="NB86" s="6"/>
      <c r="NC86" s="5" t="str">
        <f t="shared" si="337"/>
        <v>NO APLICA</v>
      </c>
      <c r="ND86" s="6"/>
      <c r="NE86" s="6"/>
      <c r="NF86" s="4"/>
      <c r="NG86" s="6"/>
      <c r="NH86" s="5" t="str">
        <f t="shared" si="338"/>
        <v>NO APLICA</v>
      </c>
      <c r="NI86" s="6"/>
      <c r="NJ86" s="6"/>
      <c r="NK86" s="4"/>
      <c r="NL86" s="6"/>
      <c r="NM86" s="5" t="str">
        <f t="shared" si="339"/>
        <v>NO APLICA</v>
      </c>
      <c r="NN86" s="6"/>
      <c r="NO86" s="6"/>
      <c r="NP86" s="4"/>
      <c r="NQ86" s="6"/>
      <c r="NR86" s="5" t="str">
        <f t="shared" si="340"/>
        <v>NO APLICA</v>
      </c>
      <c r="NS86" s="6"/>
      <c r="NT86" s="6"/>
      <c r="NU86" s="4"/>
      <c r="NV86" s="6"/>
      <c r="NW86" s="5" t="str">
        <f t="shared" si="341"/>
        <v>NO APLICA</v>
      </c>
      <c r="NX86" s="6"/>
      <c r="NY86" s="6"/>
      <c r="NZ86" s="4"/>
      <c r="OA86" s="8"/>
      <c r="OB86" s="5" t="str">
        <f t="shared" si="342"/>
        <v>NO APLICA</v>
      </c>
      <c r="OC86" s="6"/>
      <c r="OD86" s="6"/>
      <c r="OE86" s="6"/>
      <c r="OF86" s="6"/>
      <c r="OG86" s="5" t="str">
        <f t="shared" si="343"/>
        <v>NO APLICA</v>
      </c>
      <c r="OH86" s="6"/>
      <c r="OI86" s="6"/>
      <c r="OJ86" s="6"/>
      <c r="OK86" s="6"/>
      <c r="OL86" s="5" t="str">
        <f t="shared" si="344"/>
        <v>NO APLICA</v>
      </c>
      <c r="OM86" s="6"/>
      <c r="ON86" s="4">
        <v>45625</v>
      </c>
      <c r="OO86" s="4">
        <f>DATE(YEAR(ON86)+2,MONTH(ON86),DAY(ON86))</f>
        <v>46355</v>
      </c>
      <c r="OP86" s="8">
        <f ca="1">OO86-TODAY()</f>
        <v>210</v>
      </c>
      <c r="OQ86" s="5" t="str">
        <f t="shared" ca="1" si="345"/>
        <v>VIGENTE</v>
      </c>
      <c r="OR86" s="6"/>
      <c r="OS86" s="6"/>
      <c r="OT86" s="6"/>
      <c r="OU86" s="6"/>
      <c r="OV86" s="5" t="str">
        <f t="shared" si="346"/>
        <v>NO APLICA</v>
      </c>
      <c r="OW86" s="6"/>
      <c r="OX86" s="6"/>
      <c r="OY86" s="6"/>
      <c r="OZ86" s="6"/>
      <c r="PA86" s="5" t="str">
        <f t="shared" si="347"/>
        <v>NO APLICA</v>
      </c>
      <c r="PB86" s="6"/>
      <c r="PC86" s="6"/>
      <c r="PD86" s="6"/>
      <c r="PE86" s="6"/>
      <c r="PF86" s="5" t="str">
        <f t="shared" si="348"/>
        <v>NO APLICA</v>
      </c>
      <c r="PG86" s="6"/>
      <c r="PH86" s="6"/>
      <c r="PI86" s="6"/>
      <c r="PJ86" s="6"/>
      <c r="PK86" s="5" t="str">
        <f t="shared" si="349"/>
        <v>NO APLICA</v>
      </c>
      <c r="PL86" s="5"/>
      <c r="PM86" s="6"/>
      <c r="PN86" s="6"/>
      <c r="PO86" s="6"/>
      <c r="PP86" s="5" t="str">
        <f t="shared" si="350"/>
        <v>NO APLICA</v>
      </c>
      <c r="PQ86" s="6"/>
      <c r="PR86" s="6"/>
      <c r="PS86" s="6"/>
      <c r="PT86" s="6"/>
      <c r="PU86" s="5" t="str">
        <f t="shared" si="351"/>
        <v>NO APLICA</v>
      </c>
      <c r="PV86" s="5"/>
      <c r="PW86" s="4">
        <v>46126</v>
      </c>
      <c r="PX86" s="4">
        <f>DATE(YEAR(PW86)+1,MONTH(PW86),DAY(PW86))</f>
        <v>46491</v>
      </c>
      <c r="PY86" s="8">
        <f ca="1">PX86-TODAY()</f>
        <v>346</v>
      </c>
      <c r="PZ86" s="5" t="str">
        <f t="shared" ca="1" si="352"/>
        <v>VIGENTE</v>
      </c>
    </row>
    <row r="87" spans="1:442" ht="15.6" hidden="1" thickTop="1" thickBot="1" x14ac:dyDescent="0.35">
      <c r="A87" s="26">
        <v>84</v>
      </c>
      <c r="B87" s="27">
        <v>752</v>
      </c>
      <c r="C87" s="28" t="s">
        <v>311</v>
      </c>
      <c r="D87" s="29" t="s">
        <v>68</v>
      </c>
      <c r="E87" s="30" t="s">
        <v>77</v>
      </c>
      <c r="F87" s="5"/>
      <c r="G87" s="6"/>
      <c r="H87" s="4"/>
      <c r="I87" s="8"/>
      <c r="J87" s="5" t="str">
        <f t="shared" si="242"/>
        <v>NO APLICA</v>
      </c>
      <c r="K87" s="5"/>
      <c r="L87" s="6"/>
      <c r="M87" s="6"/>
      <c r="N87" s="8"/>
      <c r="O87" s="5" t="str">
        <f t="shared" si="243"/>
        <v>NO APLICA</v>
      </c>
      <c r="P87" s="6"/>
      <c r="Q87" s="6"/>
      <c r="R87" s="4"/>
      <c r="S87" s="8"/>
      <c r="T87" s="5" t="str">
        <f t="shared" si="353"/>
        <v>NO APLICA</v>
      </c>
      <c r="U87" s="5"/>
      <c r="V87" s="2" t="s">
        <v>312</v>
      </c>
      <c r="W87" s="4">
        <v>44801</v>
      </c>
      <c r="X87" s="4">
        <f t="shared" si="244"/>
        <v>46627</v>
      </c>
      <c r="Y87" s="8">
        <f t="shared" ca="1" si="245"/>
        <v>482</v>
      </c>
      <c r="Z87" s="5" t="str">
        <f t="shared" ca="1" si="246"/>
        <v>VIGENTE</v>
      </c>
      <c r="AA87" s="5"/>
      <c r="AB87" s="2" t="s">
        <v>313</v>
      </c>
      <c r="AC87" s="4">
        <v>44826</v>
      </c>
      <c r="AD87" s="4">
        <f>DATE(YEAR(AC87)+5,MONTH(AC87),DAY(AC87))</f>
        <v>46652</v>
      </c>
      <c r="AE87" s="8">
        <f ca="1">AD87-TODAY()</f>
        <v>507</v>
      </c>
      <c r="AF87" s="5" t="str">
        <f t="shared" ca="1" si="247"/>
        <v>VIGENTE</v>
      </c>
      <c r="AG87" s="3"/>
      <c r="AH87" s="4">
        <v>45609</v>
      </c>
      <c r="AI87" s="4">
        <f>DATE(YEAR(AH87)+2,MONTH(AH87),DAY(AH87)-1)</f>
        <v>46338</v>
      </c>
      <c r="AJ87" s="8">
        <f t="shared" ca="1" si="248"/>
        <v>193</v>
      </c>
      <c r="AK87" s="5" t="str">
        <f t="shared" ca="1" si="219"/>
        <v>VIGENTE</v>
      </c>
      <c r="AL87" s="3"/>
      <c r="AM87" s="4">
        <v>46062</v>
      </c>
      <c r="AN87" s="4">
        <f t="shared" ref="AN87:AN97" si="390">DATE(YEAR(AM87)+2,MONTH(AM87),DAY(AM87))</f>
        <v>46792</v>
      </c>
      <c r="AO87" s="8">
        <f t="shared" ca="1" si="249"/>
        <v>647</v>
      </c>
      <c r="AP87" s="5" t="str">
        <f t="shared" ca="1" si="250"/>
        <v>VIGENTE</v>
      </c>
      <c r="AQ87" s="3"/>
      <c r="AR87" s="4">
        <v>45967</v>
      </c>
      <c r="AS87" s="4">
        <f t="shared" ref="AS87:AS95" si="391">DATE(YEAR(AR87)+2,MONTH(AR87),DAY(AR87))</f>
        <v>46697</v>
      </c>
      <c r="AT87" s="8">
        <f t="shared" ca="1" si="251"/>
        <v>552</v>
      </c>
      <c r="AU87" s="5" t="str">
        <f t="shared" ca="1" si="252"/>
        <v>VIGENTE</v>
      </c>
      <c r="AV87" s="3"/>
      <c r="AW87" s="4">
        <v>45972</v>
      </c>
      <c r="AX87" s="4">
        <f t="shared" ref="AX87:AX95" si="392">DATE(YEAR(AW87)+2,MONTH(AW87),DAY(AW87))</f>
        <v>46702</v>
      </c>
      <c r="AY87" s="8">
        <f t="shared" ca="1" si="253"/>
        <v>557</v>
      </c>
      <c r="AZ87" s="5" t="str">
        <f t="shared" ca="1" si="254"/>
        <v>VIGENTE</v>
      </c>
      <c r="BA87" s="3"/>
      <c r="BB87" s="4">
        <v>46071</v>
      </c>
      <c r="BC87" s="4">
        <f>DATE(YEAR(BB87)+2,MONTH(BB87),DAY(BB87))</f>
        <v>46801</v>
      </c>
      <c r="BD87" s="8">
        <f t="shared" ca="1" si="255"/>
        <v>656</v>
      </c>
      <c r="BE87" s="5" t="str">
        <f t="shared" ca="1" si="256"/>
        <v>VIGENTE</v>
      </c>
      <c r="BF87" s="3"/>
      <c r="BG87" s="4">
        <v>46067</v>
      </c>
      <c r="BH87" s="4">
        <f>DATE(YEAR(BG87)+2,MONTH(BG87),DAY(BG87))</f>
        <v>46797</v>
      </c>
      <c r="BI87" s="8">
        <f t="shared" ca="1" si="257"/>
        <v>652</v>
      </c>
      <c r="BJ87" s="5" t="str">
        <f t="shared" ca="1" si="258"/>
        <v>VIGENTE</v>
      </c>
      <c r="BK87" s="3"/>
      <c r="BL87" s="4">
        <v>46056</v>
      </c>
      <c r="BM87" s="4">
        <f>DATE(YEAR(BL87)+2,MONTH(BL87),DAY(BL87))</f>
        <v>46786</v>
      </c>
      <c r="BN87" s="8">
        <f t="shared" ca="1" si="259"/>
        <v>641</v>
      </c>
      <c r="BO87" s="5" t="str">
        <f t="shared" ca="1" si="260"/>
        <v>VIGENTE</v>
      </c>
      <c r="BP87" s="3"/>
      <c r="BQ87" s="39">
        <v>46120</v>
      </c>
      <c r="BR87" s="4">
        <f>DATE(YEAR(BQ87)+2,MONTH(BQ87),DAY(BQ87)-1)</f>
        <v>46850</v>
      </c>
      <c r="BS87" s="8">
        <f t="shared" ca="1" si="261"/>
        <v>705</v>
      </c>
      <c r="BT87" s="5" t="str">
        <f t="shared" ca="1" si="262"/>
        <v>VIGENTE</v>
      </c>
      <c r="BU87" s="3"/>
      <c r="BV87" s="4">
        <v>46116</v>
      </c>
      <c r="BW87" s="4">
        <f>DATE(YEAR(BV87)+2,MONTH(BV87),DAY(BV87)-1)</f>
        <v>46846</v>
      </c>
      <c r="BX87" s="8">
        <f t="shared" ca="1" si="263"/>
        <v>701</v>
      </c>
      <c r="BY87" s="5" t="str">
        <f t="shared" ca="1" si="264"/>
        <v>VIGENTE</v>
      </c>
      <c r="BZ87" s="3"/>
      <c r="CA87" s="4">
        <v>45954</v>
      </c>
      <c r="CB87" s="4">
        <f t="shared" ref="CB87:CB97" si="393">DATE(YEAR(CA87)+2,MONTH(CA87),DAY(CA87))</f>
        <v>46684</v>
      </c>
      <c r="CC87" s="8">
        <f t="shared" ca="1" si="265"/>
        <v>539</v>
      </c>
      <c r="CD87" s="5" t="str">
        <f t="shared" ca="1" si="266"/>
        <v>VIGENTE</v>
      </c>
      <c r="CE87" s="6"/>
      <c r="CF87" s="4">
        <v>45211</v>
      </c>
      <c r="CG87" s="4">
        <f t="shared" si="387"/>
        <v>46672</v>
      </c>
      <c r="CH87" s="8">
        <f t="shared" ca="1" si="388"/>
        <v>527</v>
      </c>
      <c r="CI87" s="5" t="str">
        <f t="shared" ca="1" si="269"/>
        <v>VIGENTE</v>
      </c>
      <c r="CJ87" s="4"/>
      <c r="CK87" s="4">
        <v>46020</v>
      </c>
      <c r="CL87" s="4">
        <f>DATE(YEAR(CK87)+2,MONTH(CK87),DAY(CK87))</f>
        <v>46750</v>
      </c>
      <c r="CM87" s="8">
        <f t="shared" ca="1" si="270"/>
        <v>605</v>
      </c>
      <c r="CN87" s="5" t="str">
        <f t="shared" ca="1" si="271"/>
        <v>VIGENTE</v>
      </c>
      <c r="CO87" s="3"/>
      <c r="CP87" s="39">
        <v>45898</v>
      </c>
      <c r="CQ87" s="4">
        <f>DATE(YEAR(CP87)+2,MONTH(CP87),DAY(CP87))</f>
        <v>46628</v>
      </c>
      <c r="CR87" s="8">
        <f t="shared" ca="1" si="272"/>
        <v>483</v>
      </c>
      <c r="CS87" s="5" t="str">
        <f t="shared" ca="1" si="273"/>
        <v>VIGENTE</v>
      </c>
      <c r="CT87" s="3"/>
      <c r="CU87" s="4">
        <v>45631</v>
      </c>
      <c r="CV87" s="4">
        <f>DATE(YEAR(CU87)+2,MONTH(CU87),DAY(CU87)-1)</f>
        <v>46360</v>
      </c>
      <c r="CW87" s="8">
        <f t="shared" ca="1" si="274"/>
        <v>215</v>
      </c>
      <c r="CX87" s="5" t="str">
        <f t="shared" ca="1" si="275"/>
        <v>VIGENTE</v>
      </c>
      <c r="CY87" s="3"/>
      <c r="CZ87" s="4">
        <v>45661</v>
      </c>
      <c r="DA87" s="4">
        <f>DATE(YEAR(CZ87)+2,MONTH(CZ87),DAY(CZ87)-1)</f>
        <v>46390</v>
      </c>
      <c r="DB87" s="8">
        <f t="shared" ca="1" si="276"/>
        <v>245</v>
      </c>
      <c r="DC87" s="5" t="str">
        <f t="shared" ca="1" si="277"/>
        <v>VIGENTE</v>
      </c>
      <c r="DD87" s="3"/>
      <c r="DE87" s="39">
        <v>45689</v>
      </c>
      <c r="DF87" s="4">
        <f t="shared" si="386"/>
        <v>46418</v>
      </c>
      <c r="DG87" s="8">
        <f t="shared" ca="1" si="278"/>
        <v>273</v>
      </c>
      <c r="DH87" s="5" t="str">
        <f t="shared" ca="1" si="279"/>
        <v>VIGENTE</v>
      </c>
      <c r="DI87" s="3"/>
      <c r="DJ87" s="39">
        <v>45955</v>
      </c>
      <c r="DK87" s="4">
        <f t="shared" ref="DK87:DK92" si="394">DATE(YEAR(DJ87)+2,MONTH(DJ87),DAY(DJ87))</f>
        <v>46685</v>
      </c>
      <c r="DL87" s="8">
        <f t="shared" ca="1" si="280"/>
        <v>540</v>
      </c>
      <c r="DM87" s="5" t="str">
        <f t="shared" ca="1" si="281"/>
        <v>VIGENTE</v>
      </c>
      <c r="DN87" s="3"/>
      <c r="DO87" s="4">
        <v>45577</v>
      </c>
      <c r="DP87" s="4">
        <f>DATE(YEAR(DO87)+2,MONTH(DO87),DAY(DO87)-1)</f>
        <v>46306</v>
      </c>
      <c r="DQ87" s="8">
        <f t="shared" ca="1" si="282"/>
        <v>161</v>
      </c>
      <c r="DR87" s="5" t="str">
        <f t="shared" ca="1" si="283"/>
        <v>VIGENTE</v>
      </c>
      <c r="DS87" s="3"/>
      <c r="DT87" s="4">
        <v>46018</v>
      </c>
      <c r="DU87" s="4">
        <f>DATE(YEAR(DT87)+2,MONTH(DT87),DAY(DT87))</f>
        <v>46748</v>
      </c>
      <c r="DV87" s="8">
        <f t="shared" ca="1" si="284"/>
        <v>603</v>
      </c>
      <c r="DW87" s="5" t="str">
        <f t="shared" ca="1" si="285"/>
        <v>VIGENTE</v>
      </c>
      <c r="DX87" s="3"/>
      <c r="DY87" s="4">
        <v>45934</v>
      </c>
      <c r="DZ87" s="4">
        <f>DATE(YEAR(DY87)+2,MONTH(DY87),DAY(DY87))</f>
        <v>46664</v>
      </c>
      <c r="EA87" s="8">
        <f t="shared" ca="1" si="286"/>
        <v>519</v>
      </c>
      <c r="EB87" s="5" t="str">
        <f t="shared" ca="1" si="287"/>
        <v>VIGENTE</v>
      </c>
      <c r="EC87" s="3"/>
      <c r="ED87" s="39">
        <v>45938</v>
      </c>
      <c r="EE87" s="4">
        <f>DATE(YEAR(ED87)+2,MONTH(ED87),DAY(ED87))</f>
        <v>46668</v>
      </c>
      <c r="EF87" s="8">
        <f t="shared" ca="1" si="288"/>
        <v>523</v>
      </c>
      <c r="EG87" s="5" t="str">
        <f t="shared" ca="1" si="289"/>
        <v>VIGENTE</v>
      </c>
      <c r="EH87" s="3"/>
      <c r="EI87" s="4">
        <v>45948</v>
      </c>
      <c r="EJ87" s="4">
        <f t="shared" si="355"/>
        <v>46313</v>
      </c>
      <c r="EK87" s="8">
        <f t="shared" ca="1" si="290"/>
        <v>168</v>
      </c>
      <c r="EL87" s="5" t="str">
        <f t="shared" ca="1" si="291"/>
        <v>VIGENTE</v>
      </c>
      <c r="EM87" s="3"/>
      <c r="EN87" s="4">
        <v>45966</v>
      </c>
      <c r="EO87" s="4">
        <f>DATE(YEAR(EN87)+2,MONTH(EN87),DAY(EN87))</f>
        <v>46696</v>
      </c>
      <c r="EP87" s="8">
        <f t="shared" ca="1" si="292"/>
        <v>551</v>
      </c>
      <c r="EQ87" s="5" t="str">
        <f t="shared" ca="1" si="293"/>
        <v>VIGENTE</v>
      </c>
      <c r="ER87" s="3"/>
      <c r="ES87" s="39">
        <v>45993</v>
      </c>
      <c r="ET87" s="4">
        <f t="shared" ref="ET87:ET92" si="395">DATE(YEAR(ES87)+2,MONTH(ES87),DAY(ES87))</f>
        <v>46723</v>
      </c>
      <c r="EU87" s="8">
        <f t="shared" ca="1" si="294"/>
        <v>578</v>
      </c>
      <c r="EV87" s="5" t="str">
        <f t="shared" ca="1" si="295"/>
        <v>VIGENTE</v>
      </c>
      <c r="EW87" s="3"/>
      <c r="EX87" s="4">
        <v>45953</v>
      </c>
      <c r="EY87" s="4">
        <f>DATE(YEAR(EX87)+2,MONTH(EX87),DAY(EX87))</f>
        <v>46683</v>
      </c>
      <c r="EZ87" s="8">
        <f t="shared" ca="1" si="296"/>
        <v>538</v>
      </c>
      <c r="FA87" s="5" t="str">
        <f t="shared" ca="1" si="297"/>
        <v>VIGENTE</v>
      </c>
      <c r="FB87" s="3"/>
      <c r="FC87" s="4">
        <v>45988</v>
      </c>
      <c r="FD87" s="4">
        <f t="shared" ref="FD87:FD97" si="396">DATE(YEAR(FC87)+2,MONTH(FC87),DAY(FC87))</f>
        <v>46718</v>
      </c>
      <c r="FE87" s="8">
        <f t="shared" ca="1" si="298"/>
        <v>573</v>
      </c>
      <c r="FF87" s="5" t="str">
        <f t="shared" ca="1" si="299"/>
        <v>VIGENTE</v>
      </c>
      <c r="FG87" s="3"/>
      <c r="FH87" s="4">
        <v>45992</v>
      </c>
      <c r="FI87" s="4">
        <f t="shared" ref="FI87:FI98" si="397">DATE(YEAR(FH87)+2,MONTH(FH87),DAY(FH87))</f>
        <v>46722</v>
      </c>
      <c r="FJ87" s="8">
        <f t="shared" ca="1" si="300"/>
        <v>577</v>
      </c>
      <c r="FK87" s="5" t="str">
        <f t="shared" ca="1" si="301"/>
        <v>VIGENTE</v>
      </c>
      <c r="FL87" s="3"/>
      <c r="FM87" s="39">
        <v>46102</v>
      </c>
      <c r="FN87" s="4">
        <f>DATE(YEAR(FM87)+2,MONTH(FM87),DAY(FM87))</f>
        <v>46833</v>
      </c>
      <c r="FO87" s="8">
        <f t="shared" ca="1" si="302"/>
        <v>688</v>
      </c>
      <c r="FP87" s="5" t="str">
        <f t="shared" ca="1" si="303"/>
        <v>VIGENTE</v>
      </c>
      <c r="FQ87" s="3"/>
      <c r="FR87" s="39">
        <v>46034</v>
      </c>
      <c r="FS87" s="4">
        <f>DATE(YEAR(FR87)+2,MONTH(FR87),DAY(FR87))</f>
        <v>46764</v>
      </c>
      <c r="FT87" s="8">
        <f t="shared" ca="1" si="304"/>
        <v>619</v>
      </c>
      <c r="FU87" s="5" t="str">
        <f t="shared" ca="1" si="305"/>
        <v>VIGENTE</v>
      </c>
      <c r="FV87" s="3"/>
      <c r="FW87" s="4">
        <v>45587</v>
      </c>
      <c r="FX87" s="4">
        <f>DATE(YEAR(FW87)+2,MONTH(FW87),DAY(FW87)-1)</f>
        <v>46316</v>
      </c>
      <c r="FY87" s="8">
        <f t="shared" ca="1" si="306"/>
        <v>171</v>
      </c>
      <c r="FZ87" s="5" t="str">
        <f t="shared" ca="1" si="307"/>
        <v>VIGENTE</v>
      </c>
      <c r="GA87" s="3"/>
      <c r="GB87" s="4">
        <v>46030</v>
      </c>
      <c r="GC87" s="4">
        <f>DATE(YEAR(GB87)+2,MONTH(GB87),DAY(GB87))</f>
        <v>46760</v>
      </c>
      <c r="GD87" s="8">
        <f t="shared" ca="1" si="308"/>
        <v>615</v>
      </c>
      <c r="GE87" s="5" t="str">
        <f t="shared" ca="1" si="309"/>
        <v>VIGENTE</v>
      </c>
      <c r="GF87" s="3"/>
      <c r="GG87" s="4">
        <v>45912</v>
      </c>
      <c r="GH87" s="4">
        <f>DATE(YEAR(GG87)+2,MONTH(GG87),DAY(GG87))</f>
        <v>46642</v>
      </c>
      <c r="GI87" s="8">
        <f t="shared" ca="1" si="310"/>
        <v>497</v>
      </c>
      <c r="GJ87" s="5" t="str">
        <f t="shared" ca="1" si="311"/>
        <v>VIGENTE</v>
      </c>
      <c r="GK87" s="3"/>
      <c r="GL87" s="4">
        <v>45923</v>
      </c>
      <c r="GM87" s="4">
        <f>DATE(YEAR(GL87)+2,MONTH(GL87),DAY(GL87))</f>
        <v>46653</v>
      </c>
      <c r="GN87" s="8">
        <f t="shared" ca="1" si="312"/>
        <v>508</v>
      </c>
      <c r="GO87" s="5" t="str">
        <f t="shared" ca="1" si="313"/>
        <v>VIGENTE</v>
      </c>
      <c r="GP87" s="4"/>
      <c r="GQ87" s="4">
        <v>44966</v>
      </c>
      <c r="GR87" s="4">
        <f t="shared" si="314"/>
        <v>46792</v>
      </c>
      <c r="GS87" s="8">
        <f t="shared" ca="1" si="384"/>
        <v>647</v>
      </c>
      <c r="GT87" s="5" t="str">
        <f t="shared" ca="1" si="378"/>
        <v>VIGENTE</v>
      </c>
      <c r="GU87" s="3"/>
      <c r="GV87" s="4">
        <v>44984</v>
      </c>
      <c r="GW87" s="4">
        <f t="shared" si="316"/>
        <v>46810</v>
      </c>
      <c r="GX87" s="8">
        <f t="shared" ca="1" si="317"/>
        <v>665</v>
      </c>
      <c r="GY87" s="5" t="str">
        <f t="shared" ca="1" si="379"/>
        <v>VIGENTE</v>
      </c>
      <c r="GZ87" s="3"/>
      <c r="HA87" s="4">
        <v>45330</v>
      </c>
      <c r="HB87" s="4">
        <f t="shared" si="319"/>
        <v>47157</v>
      </c>
      <c r="HC87" s="8">
        <f t="shared" ca="1" si="320"/>
        <v>1012</v>
      </c>
      <c r="HD87" s="5" t="str">
        <f t="shared" ca="1" si="380"/>
        <v>VIGENTE</v>
      </c>
      <c r="HE87" s="6"/>
      <c r="HF87" s="4">
        <v>45094</v>
      </c>
      <c r="HG87" s="4">
        <f>DATE(YEAR(HF87)+5,MONTH(HF87),DAY(HF87))</f>
        <v>46921</v>
      </c>
      <c r="HH87" s="8">
        <f ca="1">HG87-TODAY()</f>
        <v>776</v>
      </c>
      <c r="HI87" s="5" t="str">
        <f t="shared" ca="1" si="389"/>
        <v>VIGENTE</v>
      </c>
      <c r="HJ87" s="2"/>
      <c r="HK87" s="6"/>
      <c r="HL87" s="4"/>
      <c r="HM87" s="8"/>
      <c r="HN87" s="5" t="str">
        <f t="shared" si="385"/>
        <v>NO APLICA</v>
      </c>
      <c r="HO87" s="2"/>
      <c r="HP87" s="2"/>
      <c r="HQ87" s="4"/>
      <c r="HR87" s="2"/>
      <c r="HS87" s="5" t="str">
        <f t="shared" si="322"/>
        <v>NO APLICA</v>
      </c>
      <c r="HT87" s="3"/>
      <c r="HU87" s="4">
        <v>45469</v>
      </c>
      <c r="HV87" s="4">
        <f>DATE(YEAR(HU87)+5,MONTH(HU87),DAY(HU87))</f>
        <v>47295</v>
      </c>
      <c r="HW87" s="8">
        <f ca="1">HV87-TODAY()</f>
        <v>1150</v>
      </c>
      <c r="HX87" s="5" t="str">
        <f t="shared" ca="1" si="323"/>
        <v>VIGENTE</v>
      </c>
      <c r="HY87" s="3"/>
      <c r="HZ87" s="4">
        <v>45428</v>
      </c>
      <c r="IA87" s="4">
        <f>DATE(YEAR(HZ87)+5,MONTH(HZ87),DAY(HZ87))</f>
        <v>47254</v>
      </c>
      <c r="IB87" s="8">
        <f ca="1">IA87-TODAY()</f>
        <v>1109</v>
      </c>
      <c r="IC87" s="5" t="str">
        <f t="shared" ca="1" si="324"/>
        <v>VIGENTE</v>
      </c>
      <c r="ID87" s="3"/>
      <c r="IE87" s="4">
        <v>45386</v>
      </c>
      <c r="IF87" s="4">
        <f>DATE(YEAR(IE87)+5,MONTH(IE87),DAY(IE87))</f>
        <v>47212</v>
      </c>
      <c r="IG87" s="8">
        <f ca="1">IF87-TODAY()</f>
        <v>1067</v>
      </c>
      <c r="IH87" s="5" t="str">
        <f t="shared" ca="1" si="325"/>
        <v>VIGENTE</v>
      </c>
      <c r="II87" s="4"/>
      <c r="IJ87" s="4">
        <v>45266</v>
      </c>
      <c r="IK87" s="4">
        <f>DATE(YEAR(IJ87)+5,MONTH(IJ87),DAY(IJ87))</f>
        <v>47093</v>
      </c>
      <c r="IL87" s="8">
        <f ca="1">IK87-TODAY()</f>
        <v>948</v>
      </c>
      <c r="IM87" s="5" t="str">
        <f t="shared" ca="1" si="326"/>
        <v>VIGENTE</v>
      </c>
      <c r="IN87" s="3"/>
      <c r="IO87" s="4">
        <v>45354</v>
      </c>
      <c r="IP87" s="4">
        <f>DATE(YEAR(IO87)+5,MONTH(IO87),DAY(IO87))</f>
        <v>47180</v>
      </c>
      <c r="IQ87" s="8">
        <f ca="1">IP87-TODAY()</f>
        <v>1035</v>
      </c>
      <c r="IR87" s="5" t="str">
        <f t="shared" ca="1" si="327"/>
        <v>VIGENTE</v>
      </c>
      <c r="IS87" s="3"/>
      <c r="IT87" s="4">
        <v>45350</v>
      </c>
      <c r="IU87" s="4">
        <f>DATE(YEAR(IT87)+5,MONTH(IT87),DAY(IT87))</f>
        <v>47177</v>
      </c>
      <c r="IV87" s="8">
        <f ca="1">IU87-TODAY()</f>
        <v>1032</v>
      </c>
      <c r="IW87" s="5" t="str">
        <f t="shared" ca="1" si="328"/>
        <v>VIGENTE</v>
      </c>
      <c r="IX87" s="3"/>
      <c r="IY87" s="4">
        <v>45461</v>
      </c>
      <c r="IZ87" s="4">
        <f>DATE(YEAR(IY87)+5,MONTH(IY87),DAY(IY87))</f>
        <v>47287</v>
      </c>
      <c r="JA87" s="8">
        <f ca="1">IZ87-TODAY()</f>
        <v>1142</v>
      </c>
      <c r="JB87" s="5" t="str">
        <f t="shared" ca="1" si="329"/>
        <v>VIGENTE</v>
      </c>
      <c r="JC87" s="3" t="s">
        <v>780</v>
      </c>
      <c r="JD87" s="3"/>
      <c r="JE87" s="4"/>
      <c r="JF87" s="8"/>
      <c r="JG87" s="5"/>
      <c r="JH87" s="3" t="s">
        <v>780</v>
      </c>
      <c r="JI87" s="6"/>
      <c r="JJ87" s="6"/>
      <c r="JK87" s="6"/>
      <c r="JL87" s="5"/>
      <c r="JM87" s="6" t="s">
        <v>780</v>
      </c>
      <c r="JN87" s="6"/>
      <c r="JO87" s="6"/>
      <c r="JP87" s="6"/>
      <c r="JQ87" s="5"/>
      <c r="JR87" s="6" t="s">
        <v>780</v>
      </c>
      <c r="JS87" s="6"/>
      <c r="JT87" s="6"/>
      <c r="JU87" s="6"/>
      <c r="JV87" s="5"/>
      <c r="JW87" s="6" t="s">
        <v>780</v>
      </c>
      <c r="JX87" s="5"/>
      <c r="JY87" s="5"/>
      <c r="JZ87" s="5"/>
      <c r="KA87" s="5"/>
      <c r="KB87" s="5"/>
      <c r="KC87" s="2"/>
      <c r="KD87" s="4"/>
      <c r="KE87" s="8"/>
      <c r="KF87" s="5" t="str">
        <f t="shared" si="330"/>
        <v>NO APLICA</v>
      </c>
      <c r="KG87" s="5"/>
      <c r="KH87" s="3">
        <v>45328</v>
      </c>
      <c r="KI87" s="4">
        <f>DATE(YEAR(KH87)+5,MONTH(KH87),DAY(KH87)-1)</f>
        <v>47154</v>
      </c>
      <c r="KJ87" s="8">
        <f ca="1">KI87-TODAY()</f>
        <v>1009</v>
      </c>
      <c r="KK87" s="5" t="str">
        <f t="shared" ca="1" si="356"/>
        <v>VIGENTE</v>
      </c>
      <c r="KL87" s="5"/>
      <c r="KM87" s="2"/>
      <c r="KN87" s="4"/>
      <c r="KO87" s="8"/>
      <c r="KP87" s="5" t="str">
        <f t="shared" si="331"/>
        <v>NO APLICA</v>
      </c>
      <c r="KQ87" s="5"/>
      <c r="KR87" s="2"/>
      <c r="KS87" s="4"/>
      <c r="KT87" s="8"/>
      <c r="KU87" s="5" t="str">
        <f t="shared" si="357"/>
        <v>NO APLICA</v>
      </c>
      <c r="KV87" s="3"/>
      <c r="KW87" s="4">
        <v>44658</v>
      </c>
      <c r="KX87" s="4">
        <f>DATE(YEAR(KW87)+5,MONTH(KW87),DAY(KW87))</f>
        <v>46484</v>
      </c>
      <c r="KY87" s="8">
        <f ca="1">KX87-TODAY()</f>
        <v>339</v>
      </c>
      <c r="KZ87" s="5" t="str">
        <f t="shared" ca="1" si="366"/>
        <v>VIGENTE</v>
      </c>
      <c r="LA87" s="5"/>
      <c r="LB87" s="6"/>
      <c r="LC87" s="4"/>
      <c r="LD87" s="8"/>
      <c r="LE87" s="5" t="str">
        <f t="shared" si="358"/>
        <v>NO APLICA</v>
      </c>
      <c r="LF87" s="4"/>
      <c r="LG87" s="4"/>
      <c r="LH87" s="4"/>
      <c r="LI87" s="8"/>
      <c r="LJ87" s="5" t="str">
        <f t="shared" si="332"/>
        <v>NO APLICA</v>
      </c>
      <c r="LK87" s="5"/>
      <c r="LL87" s="5"/>
      <c r="LM87" s="4"/>
      <c r="LN87" s="8"/>
      <c r="LO87" s="5" t="str">
        <f t="shared" si="367"/>
        <v>NO APLICA</v>
      </c>
      <c r="LP87" s="2"/>
      <c r="LQ87" s="6"/>
      <c r="LR87" s="4"/>
      <c r="LS87" s="8"/>
      <c r="LT87" s="5" t="str">
        <f t="shared" si="359"/>
        <v>NO APLICA</v>
      </c>
      <c r="LU87" s="6"/>
      <c r="LV87" s="6"/>
      <c r="LW87" s="4"/>
      <c r="LX87" s="8"/>
      <c r="LY87" s="5" t="str">
        <f t="shared" si="360"/>
        <v>NO APLICA</v>
      </c>
      <c r="LZ87" s="6"/>
      <c r="MA87" s="6"/>
      <c r="MB87" s="4"/>
      <c r="MC87" s="8"/>
      <c r="MD87" s="5" t="str">
        <f t="shared" si="361"/>
        <v>NO APLICA</v>
      </c>
      <c r="ME87" s="2"/>
      <c r="MF87" s="2"/>
      <c r="MG87" s="4"/>
      <c r="MH87" s="8"/>
      <c r="MI87" s="5" t="str">
        <f t="shared" si="333"/>
        <v>NO APLICA</v>
      </c>
      <c r="MJ87" s="2"/>
      <c r="MK87" s="2"/>
      <c r="ML87" s="4"/>
      <c r="MM87" s="8"/>
      <c r="MN87" s="5" t="str">
        <f t="shared" si="334"/>
        <v>NO APLICA</v>
      </c>
      <c r="MO87" s="5"/>
      <c r="MP87" s="2"/>
      <c r="MQ87" s="4"/>
      <c r="MR87" s="8"/>
      <c r="MS87" s="5" t="str">
        <f t="shared" si="335"/>
        <v>NO APLICA</v>
      </c>
      <c r="MT87" s="5"/>
      <c r="MU87" s="2"/>
      <c r="MV87" s="4"/>
      <c r="MW87" s="2"/>
      <c r="MX87" s="5" t="str">
        <f t="shared" si="336"/>
        <v>NO APLICA</v>
      </c>
      <c r="MY87" s="2"/>
      <c r="MZ87" s="6"/>
      <c r="NA87" s="4"/>
      <c r="NB87" s="8"/>
      <c r="NC87" s="5" t="str">
        <f t="shared" si="337"/>
        <v>NO APLICA</v>
      </c>
      <c r="ND87" s="2"/>
      <c r="NE87" s="6"/>
      <c r="NF87" s="4"/>
      <c r="NG87" s="8"/>
      <c r="NH87" s="5" t="str">
        <f t="shared" si="338"/>
        <v>NO APLICA</v>
      </c>
      <c r="NI87" s="2"/>
      <c r="NJ87" s="6"/>
      <c r="NK87" s="4"/>
      <c r="NL87" s="8"/>
      <c r="NM87" s="5" t="str">
        <f t="shared" si="339"/>
        <v>NO APLICA</v>
      </c>
      <c r="NN87" s="2"/>
      <c r="NO87" s="2"/>
      <c r="NP87" s="4"/>
      <c r="NQ87" s="2"/>
      <c r="NR87" s="5" t="str">
        <f t="shared" si="340"/>
        <v>NO APLICA</v>
      </c>
      <c r="NS87" s="2"/>
      <c r="NT87" s="2"/>
      <c r="NU87" s="2"/>
      <c r="NV87" s="2"/>
      <c r="NW87" s="5" t="str">
        <f t="shared" si="341"/>
        <v>NO APLICA</v>
      </c>
      <c r="NX87" s="6"/>
      <c r="NY87" s="6"/>
      <c r="NZ87" s="4"/>
      <c r="OA87" s="8"/>
      <c r="OB87" s="5" t="str">
        <f t="shared" si="342"/>
        <v>NO APLICA</v>
      </c>
      <c r="OC87" s="6"/>
      <c r="OD87" s="6"/>
      <c r="OE87" s="6"/>
      <c r="OF87" s="6"/>
      <c r="OG87" s="5" t="str">
        <f t="shared" si="343"/>
        <v>NO APLICA</v>
      </c>
      <c r="OH87" s="6"/>
      <c r="OI87" s="6"/>
      <c r="OJ87" s="4"/>
      <c r="OK87" s="8"/>
      <c r="OL87" s="5" t="str">
        <f t="shared" si="344"/>
        <v>NO APLICA</v>
      </c>
      <c r="OM87" s="6"/>
      <c r="ON87" s="6"/>
      <c r="OO87" s="6"/>
      <c r="OP87" s="6"/>
      <c r="OQ87" s="5" t="str">
        <f t="shared" si="345"/>
        <v>NO APLICA</v>
      </c>
      <c r="OR87" s="6"/>
      <c r="OS87" s="6"/>
      <c r="OT87" s="6"/>
      <c r="OU87" s="6"/>
      <c r="OV87" s="5" t="str">
        <f t="shared" si="346"/>
        <v>NO APLICA</v>
      </c>
      <c r="OW87" s="6"/>
      <c r="OX87" s="6"/>
      <c r="OY87" s="6"/>
      <c r="OZ87" s="6"/>
      <c r="PA87" s="5" t="str">
        <f t="shared" si="347"/>
        <v>NO APLICA</v>
      </c>
      <c r="PB87" s="6"/>
      <c r="PC87" s="6"/>
      <c r="PD87" s="6"/>
      <c r="PE87" s="6"/>
      <c r="PF87" s="5" t="str">
        <f t="shared" si="348"/>
        <v>NO APLICA</v>
      </c>
      <c r="PG87" s="6"/>
      <c r="PH87" s="6"/>
      <c r="PI87" s="6"/>
      <c r="PJ87" s="6"/>
      <c r="PK87" s="5" t="str">
        <f t="shared" si="349"/>
        <v>NO APLICA</v>
      </c>
      <c r="PL87" s="5"/>
      <c r="PM87" s="6"/>
      <c r="PN87" s="4"/>
      <c r="PO87" s="8"/>
      <c r="PP87" s="5" t="str">
        <f t="shared" si="350"/>
        <v>NO APLICA</v>
      </c>
      <c r="PQ87" s="6"/>
      <c r="PR87" s="6"/>
      <c r="PS87" s="6"/>
      <c r="PT87" s="6"/>
      <c r="PU87" s="5" t="str">
        <f t="shared" si="351"/>
        <v>NO APLICA</v>
      </c>
      <c r="PV87" s="5"/>
      <c r="PW87" s="6"/>
      <c r="PX87" s="6"/>
      <c r="PY87" s="6"/>
      <c r="PZ87" s="5" t="str">
        <f t="shared" si="352"/>
        <v>NO APLICA</v>
      </c>
    </row>
    <row r="88" spans="1:442" ht="15.6" hidden="1" thickTop="1" thickBot="1" x14ac:dyDescent="0.35">
      <c r="A88" s="26">
        <v>85</v>
      </c>
      <c r="B88" s="27">
        <v>1562</v>
      </c>
      <c r="C88" s="28" t="s">
        <v>314</v>
      </c>
      <c r="D88" s="29" t="s">
        <v>113</v>
      </c>
      <c r="E88" s="30" t="s">
        <v>114</v>
      </c>
      <c r="F88" s="5"/>
      <c r="G88" s="6"/>
      <c r="H88" s="4"/>
      <c r="I88" s="8"/>
      <c r="J88" s="5" t="str">
        <f t="shared" si="242"/>
        <v>NO APLICA</v>
      </c>
      <c r="K88" s="5"/>
      <c r="L88" s="6"/>
      <c r="M88" s="6"/>
      <c r="N88" s="8"/>
      <c r="O88" s="5" t="str">
        <f t="shared" si="243"/>
        <v>NO APLICA</v>
      </c>
      <c r="P88" s="6"/>
      <c r="Q88" s="6"/>
      <c r="R88" s="4"/>
      <c r="S88" s="8"/>
      <c r="T88" s="5" t="str">
        <f t="shared" si="353"/>
        <v>NO APLICA</v>
      </c>
      <c r="U88" s="5"/>
      <c r="V88" s="2" t="s">
        <v>315</v>
      </c>
      <c r="W88" s="4">
        <v>45693</v>
      </c>
      <c r="X88" s="4">
        <f t="shared" si="244"/>
        <v>47519</v>
      </c>
      <c r="Y88" s="8">
        <f t="shared" ca="1" si="245"/>
        <v>1374</v>
      </c>
      <c r="Z88" s="5" t="str">
        <f t="shared" ca="1" si="246"/>
        <v>VIGENTE</v>
      </c>
      <c r="AA88" s="5"/>
      <c r="AB88" s="2"/>
      <c r="AC88" s="6"/>
      <c r="AD88" s="4"/>
      <c r="AE88" s="8"/>
      <c r="AF88" s="5" t="str">
        <f t="shared" si="247"/>
        <v>NO APLICA</v>
      </c>
      <c r="AG88" s="3"/>
      <c r="AH88" s="4">
        <v>45902</v>
      </c>
      <c r="AI88" s="4">
        <f>DATE(YEAR(AH88)+2,MONTH(AH88),DAY(AH88))</f>
        <v>46632</v>
      </c>
      <c r="AJ88" s="8">
        <f t="shared" ca="1" si="248"/>
        <v>487</v>
      </c>
      <c r="AK88" s="5" t="str">
        <f t="shared" ca="1" si="219"/>
        <v>VIGENTE</v>
      </c>
      <c r="AL88" s="3"/>
      <c r="AM88" s="4">
        <v>45937</v>
      </c>
      <c r="AN88" s="4">
        <f t="shared" si="390"/>
        <v>46667</v>
      </c>
      <c r="AO88" s="8">
        <f t="shared" ca="1" si="249"/>
        <v>522</v>
      </c>
      <c r="AP88" s="5" t="str">
        <f t="shared" ca="1" si="250"/>
        <v>VIGENTE</v>
      </c>
      <c r="AQ88" s="3"/>
      <c r="AR88" s="4">
        <v>45971</v>
      </c>
      <c r="AS88" s="4">
        <f t="shared" si="391"/>
        <v>46701</v>
      </c>
      <c r="AT88" s="8">
        <f t="shared" ca="1" si="251"/>
        <v>556</v>
      </c>
      <c r="AU88" s="5" t="str">
        <f t="shared" ca="1" si="252"/>
        <v>VIGENTE</v>
      </c>
      <c r="AV88" s="3"/>
      <c r="AW88" s="4">
        <v>45990</v>
      </c>
      <c r="AX88" s="4">
        <f t="shared" si="392"/>
        <v>46720</v>
      </c>
      <c r="AY88" s="8">
        <f t="shared" ca="1" si="253"/>
        <v>575</v>
      </c>
      <c r="AZ88" s="5" t="str">
        <f t="shared" ca="1" si="254"/>
        <v>VIGENTE</v>
      </c>
      <c r="BA88" s="3"/>
      <c r="BB88" s="4">
        <v>45717</v>
      </c>
      <c r="BC88" s="4">
        <f>DATE(YEAR(BB88)+2,MONTH(BB88),DAY(BB88)-1)</f>
        <v>46446</v>
      </c>
      <c r="BD88" s="8">
        <f t="shared" ca="1" si="255"/>
        <v>301</v>
      </c>
      <c r="BE88" s="5" t="str">
        <f t="shared" ca="1" si="256"/>
        <v>VIGENTE</v>
      </c>
      <c r="BF88" s="3"/>
      <c r="BG88" s="4">
        <v>45698</v>
      </c>
      <c r="BH88" s="4">
        <f>DATE(YEAR(BG88)+2,MONTH(BG88),DAY(BG88)-1)</f>
        <v>46427</v>
      </c>
      <c r="BI88" s="8">
        <f t="shared" ca="1" si="257"/>
        <v>282</v>
      </c>
      <c r="BJ88" s="5" t="str">
        <f t="shared" ca="1" si="258"/>
        <v>VIGENTE</v>
      </c>
      <c r="BK88" s="3"/>
      <c r="BL88" s="4">
        <v>45797</v>
      </c>
      <c r="BM88" s="4">
        <f>DATE(YEAR(BL88)+2,MONTH(BL88),DAY(BL88))</f>
        <v>46527</v>
      </c>
      <c r="BN88" s="8">
        <f t="shared" ca="1" si="259"/>
        <v>382</v>
      </c>
      <c r="BO88" s="5" t="str">
        <f t="shared" ca="1" si="260"/>
        <v>VIGENTE</v>
      </c>
      <c r="BP88" s="3"/>
      <c r="BQ88" s="39">
        <v>45701</v>
      </c>
      <c r="BR88" s="4">
        <f>DATE(YEAR(BQ88)+2,MONTH(BQ88),DAY(BQ88)-1)</f>
        <v>46430</v>
      </c>
      <c r="BS88" s="8">
        <f t="shared" ca="1" si="261"/>
        <v>285</v>
      </c>
      <c r="BT88" s="5" t="str">
        <f t="shared" ca="1" si="262"/>
        <v>VIGENTE</v>
      </c>
      <c r="BU88" s="2"/>
      <c r="BV88" s="4">
        <v>45736</v>
      </c>
      <c r="BW88" s="4">
        <f>DATE(YEAR(BV88)+2,MONTH(BV88),DAY(BV88)-1)</f>
        <v>46465</v>
      </c>
      <c r="BX88" s="8">
        <f t="shared" ca="1" si="263"/>
        <v>320</v>
      </c>
      <c r="BY88" s="5" t="str">
        <f t="shared" ca="1" si="264"/>
        <v>VIGENTE</v>
      </c>
      <c r="BZ88" s="3"/>
      <c r="CA88" s="4">
        <v>45944</v>
      </c>
      <c r="CB88" s="4">
        <f t="shared" si="393"/>
        <v>46674</v>
      </c>
      <c r="CC88" s="8">
        <f t="shared" ca="1" si="265"/>
        <v>529</v>
      </c>
      <c r="CD88" s="5" t="str">
        <f t="shared" ca="1" si="266"/>
        <v>VIGENTE</v>
      </c>
      <c r="CE88" s="6"/>
      <c r="CF88" s="4">
        <v>45616</v>
      </c>
      <c r="CG88" s="4">
        <f t="shared" si="387"/>
        <v>47077</v>
      </c>
      <c r="CH88" s="8">
        <f t="shared" ca="1" si="388"/>
        <v>932</v>
      </c>
      <c r="CI88" s="5" t="str">
        <f t="shared" ca="1" si="269"/>
        <v>VIGENTE</v>
      </c>
      <c r="CJ88" s="4"/>
      <c r="CK88" s="4">
        <v>45688</v>
      </c>
      <c r="CL88" s="4">
        <f>DATE(YEAR(CK88)+2,MONTH(CK88),DAY(CK88)-1)</f>
        <v>46417</v>
      </c>
      <c r="CM88" s="8">
        <f t="shared" ca="1" si="270"/>
        <v>272</v>
      </c>
      <c r="CN88" s="5" t="str">
        <f t="shared" ca="1" si="271"/>
        <v>VIGENTE</v>
      </c>
      <c r="CO88" s="3"/>
      <c r="CP88" s="39">
        <v>45684</v>
      </c>
      <c r="CQ88" s="4">
        <f>DATE(YEAR(CP88)+2,MONTH(CP88),DAY(CP88)-1)</f>
        <v>46413</v>
      </c>
      <c r="CR88" s="8">
        <f t="shared" ca="1" si="272"/>
        <v>268</v>
      </c>
      <c r="CS88" s="5" t="str">
        <f t="shared" ca="1" si="273"/>
        <v>VIGENTE</v>
      </c>
      <c r="CT88" s="3"/>
      <c r="CU88" s="4">
        <v>45905</v>
      </c>
      <c r="CV88" s="4">
        <f>DATE(YEAR(CU88)+2,MONTH(CU88),DAY(CU88))</f>
        <v>46635</v>
      </c>
      <c r="CW88" s="8">
        <f t="shared" ca="1" si="274"/>
        <v>490</v>
      </c>
      <c r="CX88" s="5" t="str">
        <f t="shared" ca="1" si="275"/>
        <v>VIGENTE</v>
      </c>
      <c r="CY88" s="3"/>
      <c r="CZ88" s="4">
        <v>46000</v>
      </c>
      <c r="DA88" s="4">
        <f>DATE(YEAR(CZ88)+2,MONTH(CZ88),DAY(CZ88))</f>
        <v>46730</v>
      </c>
      <c r="DB88" s="8">
        <f t="shared" ca="1" si="276"/>
        <v>585</v>
      </c>
      <c r="DC88" s="5" t="str">
        <f t="shared" ca="1" si="277"/>
        <v>VIGENTE</v>
      </c>
      <c r="DD88" s="3"/>
      <c r="DE88" s="39">
        <v>45689</v>
      </c>
      <c r="DF88" s="4">
        <f t="shared" si="386"/>
        <v>46418</v>
      </c>
      <c r="DG88" s="8">
        <f t="shared" ca="1" si="278"/>
        <v>273</v>
      </c>
      <c r="DH88" s="5" t="str">
        <f t="shared" ca="1" si="279"/>
        <v>VIGENTE</v>
      </c>
      <c r="DI88" s="3"/>
      <c r="DJ88" s="39">
        <v>45975</v>
      </c>
      <c r="DK88" s="4">
        <f t="shared" si="394"/>
        <v>46705</v>
      </c>
      <c r="DL88" s="8">
        <f t="shared" ca="1" si="280"/>
        <v>560</v>
      </c>
      <c r="DM88" s="5" t="str">
        <f t="shared" ca="1" si="281"/>
        <v>VIGENTE</v>
      </c>
      <c r="DN88" s="3"/>
      <c r="DO88" s="4">
        <v>45982</v>
      </c>
      <c r="DP88" s="4">
        <f>DATE(YEAR(DO88)+2,MONTH(DO88),DAY(DO88))</f>
        <v>46712</v>
      </c>
      <c r="DQ88" s="8">
        <f t="shared" ca="1" si="282"/>
        <v>567</v>
      </c>
      <c r="DR88" s="5" t="str">
        <f t="shared" ca="1" si="283"/>
        <v>VIGENTE</v>
      </c>
      <c r="DS88" s="3"/>
      <c r="DT88" s="4">
        <v>45685</v>
      </c>
      <c r="DU88" s="4">
        <f>DATE(YEAR(DT88)+2,MONTH(DT88),DAY(DT88)-1)</f>
        <v>46414</v>
      </c>
      <c r="DV88" s="8">
        <f t="shared" ca="1" si="284"/>
        <v>269</v>
      </c>
      <c r="DW88" s="5" t="str">
        <f t="shared" ca="1" si="285"/>
        <v>VIGENTE</v>
      </c>
      <c r="DX88" s="3"/>
      <c r="DY88" s="4">
        <v>45663</v>
      </c>
      <c r="DZ88" s="4">
        <f>DATE(YEAR(DY88)+2,MONTH(DY88),DAY(DY88)-1)</f>
        <v>46392</v>
      </c>
      <c r="EA88" s="8">
        <f t="shared" ca="1" si="286"/>
        <v>247</v>
      </c>
      <c r="EB88" s="5" t="str">
        <f t="shared" ca="1" si="287"/>
        <v>VIGENTE</v>
      </c>
      <c r="EC88" s="3"/>
      <c r="ED88" s="39">
        <v>45674</v>
      </c>
      <c r="EE88" s="4">
        <f>DATE(YEAR(ED88)+2,MONTH(ED88),DAY(ED88)-1)</f>
        <v>46403</v>
      </c>
      <c r="EF88" s="8">
        <f t="shared" ca="1" si="288"/>
        <v>258</v>
      </c>
      <c r="EG88" s="5" t="str">
        <f t="shared" ca="1" si="289"/>
        <v>VIGENTE</v>
      </c>
      <c r="EH88" s="3"/>
      <c r="EI88" s="3">
        <v>46085</v>
      </c>
      <c r="EJ88" s="4">
        <f t="shared" si="355"/>
        <v>46450</v>
      </c>
      <c r="EK88" s="8">
        <f t="shared" ca="1" si="290"/>
        <v>305</v>
      </c>
      <c r="EL88" s="5" t="str">
        <f t="shared" ca="1" si="291"/>
        <v>VIGENTE</v>
      </c>
      <c r="EM88" s="3"/>
      <c r="EN88" s="4">
        <v>45671</v>
      </c>
      <c r="EO88" s="4">
        <f>DATE(YEAR(EN88)+2,MONTH(EN88),DAY(EN88)-1)</f>
        <v>46400</v>
      </c>
      <c r="EP88" s="8">
        <f t="shared" ca="1" si="292"/>
        <v>255</v>
      </c>
      <c r="EQ88" s="5" t="str">
        <f t="shared" ca="1" si="293"/>
        <v>VIGENTE</v>
      </c>
      <c r="ER88" s="3"/>
      <c r="ES88" s="39">
        <v>45796</v>
      </c>
      <c r="ET88" s="4">
        <f t="shared" si="395"/>
        <v>46526</v>
      </c>
      <c r="EU88" s="8">
        <f t="shared" ca="1" si="294"/>
        <v>381</v>
      </c>
      <c r="EV88" s="5" t="str">
        <f t="shared" ca="1" si="295"/>
        <v>VIGENTE</v>
      </c>
      <c r="EW88" s="3"/>
      <c r="EX88" s="4">
        <v>45917</v>
      </c>
      <c r="EY88" s="4">
        <f>DATE(YEAR(EX88)+2,MONTH(EX88),DAY(EX88))</f>
        <v>46647</v>
      </c>
      <c r="EZ88" s="8">
        <f t="shared" ca="1" si="296"/>
        <v>502</v>
      </c>
      <c r="FA88" s="5" t="str">
        <f t="shared" ca="1" si="297"/>
        <v>VIGENTE</v>
      </c>
      <c r="FB88" s="3"/>
      <c r="FC88" s="4">
        <v>45931</v>
      </c>
      <c r="FD88" s="4">
        <f t="shared" si="396"/>
        <v>46661</v>
      </c>
      <c r="FE88" s="8">
        <f t="shared" ca="1" si="298"/>
        <v>516</v>
      </c>
      <c r="FF88" s="5" t="str">
        <f t="shared" ca="1" si="299"/>
        <v>VIGENTE</v>
      </c>
      <c r="FG88" s="3"/>
      <c r="FH88" s="4">
        <v>45932</v>
      </c>
      <c r="FI88" s="4">
        <f t="shared" si="397"/>
        <v>46662</v>
      </c>
      <c r="FJ88" s="8">
        <f t="shared" ca="1" si="300"/>
        <v>517</v>
      </c>
      <c r="FK88" s="5" t="str">
        <f t="shared" ca="1" si="301"/>
        <v>VIGENTE</v>
      </c>
      <c r="FL88" s="3"/>
      <c r="FM88" s="39">
        <v>45738</v>
      </c>
      <c r="FN88" s="4">
        <f>DATE(YEAR(FM88)+2,MONTH(FM88),DAY(FM88)-1)</f>
        <v>46467</v>
      </c>
      <c r="FO88" s="8">
        <f t="shared" ca="1" si="302"/>
        <v>322</v>
      </c>
      <c r="FP88" s="5" t="str">
        <f t="shared" ca="1" si="303"/>
        <v>VIGENTE</v>
      </c>
      <c r="FQ88" s="3"/>
      <c r="FR88" s="39">
        <v>45747</v>
      </c>
      <c r="FS88" s="4">
        <f>DATE(YEAR(FR88)+2,MONTH(FR88),DAY(FR88)-1)</f>
        <v>46476</v>
      </c>
      <c r="FT88" s="8">
        <f t="shared" ca="1" si="304"/>
        <v>331</v>
      </c>
      <c r="FU88" s="5" t="str">
        <f t="shared" ca="1" si="305"/>
        <v>VIGENTE</v>
      </c>
      <c r="FV88" s="3"/>
      <c r="FW88" s="4">
        <v>45941</v>
      </c>
      <c r="FX88" s="4">
        <f>DATE(YEAR(FW88)+2,MONTH(FW88),DAY(FW88))</f>
        <v>46671</v>
      </c>
      <c r="FY88" s="8">
        <f t="shared" ca="1" si="306"/>
        <v>526</v>
      </c>
      <c r="FZ88" s="5" t="str">
        <f t="shared" ca="1" si="307"/>
        <v>VIGENTE</v>
      </c>
      <c r="GA88" s="3"/>
      <c r="GB88" s="4">
        <v>45667</v>
      </c>
      <c r="GC88" s="4">
        <f>DATE(YEAR(GB88)+2,MONTH(GB88),DAY(GB88)-1)</f>
        <v>46396</v>
      </c>
      <c r="GD88" s="8">
        <f t="shared" ca="1" si="308"/>
        <v>251</v>
      </c>
      <c r="GE88" s="5" t="str">
        <f t="shared" ca="1" si="309"/>
        <v>VIGENTE</v>
      </c>
      <c r="GF88" s="3"/>
      <c r="GG88" s="4">
        <v>45672</v>
      </c>
      <c r="GH88" s="4">
        <f>DATE(YEAR(GG88)+2,MONTH(GG88),DAY(GG88)-1)</f>
        <v>46401</v>
      </c>
      <c r="GI88" s="8">
        <f t="shared" ca="1" si="310"/>
        <v>256</v>
      </c>
      <c r="GJ88" s="5" t="str">
        <f t="shared" ca="1" si="311"/>
        <v>VIGENTE</v>
      </c>
      <c r="GK88" s="3"/>
      <c r="GL88" s="4">
        <v>45764</v>
      </c>
      <c r="GM88" s="4">
        <f>DATE(YEAR(GL88)+2,MONTH(GL88),DAY(GL88))</f>
        <v>46494</v>
      </c>
      <c r="GN88" s="8">
        <f t="shared" ca="1" si="312"/>
        <v>349</v>
      </c>
      <c r="GO88" s="5" t="str">
        <f t="shared" ca="1" si="313"/>
        <v>VIGENTE</v>
      </c>
      <c r="GP88" s="4"/>
      <c r="GQ88" s="4">
        <v>45017</v>
      </c>
      <c r="GR88" s="4">
        <f t="shared" si="314"/>
        <v>46844</v>
      </c>
      <c r="GS88" s="8">
        <f t="shared" ca="1" si="384"/>
        <v>699</v>
      </c>
      <c r="GT88" s="5" t="str">
        <f t="shared" ca="1" si="378"/>
        <v>VIGENTE</v>
      </c>
      <c r="GU88" s="3"/>
      <c r="GV88" s="4">
        <v>44979</v>
      </c>
      <c r="GW88" s="4">
        <f t="shared" si="316"/>
        <v>46805</v>
      </c>
      <c r="GX88" s="8">
        <f t="shared" ca="1" si="317"/>
        <v>660</v>
      </c>
      <c r="GY88" s="5" t="str">
        <f t="shared" ca="1" si="379"/>
        <v>VIGENTE</v>
      </c>
      <c r="GZ88" s="2"/>
      <c r="HA88" s="4">
        <v>45016</v>
      </c>
      <c r="HB88" s="4">
        <f t="shared" si="319"/>
        <v>46843</v>
      </c>
      <c r="HC88" s="8">
        <f t="shared" ca="1" si="320"/>
        <v>698</v>
      </c>
      <c r="HD88" s="5" t="str">
        <f t="shared" ca="1" si="380"/>
        <v>VIGENTE</v>
      </c>
      <c r="HE88" s="6"/>
      <c r="HF88" s="6"/>
      <c r="HG88" s="4"/>
      <c r="HH88" s="8"/>
      <c r="HI88" s="5" t="str">
        <f t="shared" si="389"/>
        <v>NO APLICA</v>
      </c>
      <c r="HJ88" s="2"/>
      <c r="HK88" s="6"/>
      <c r="HL88" s="4"/>
      <c r="HM88" s="8"/>
      <c r="HN88" s="5" t="str">
        <f t="shared" si="385"/>
        <v>NO APLICA</v>
      </c>
      <c r="HO88" s="2"/>
      <c r="HP88" s="2"/>
      <c r="HQ88" s="4"/>
      <c r="HR88" s="2"/>
      <c r="HS88" s="5" t="str">
        <f t="shared" si="322"/>
        <v>NO APLICA</v>
      </c>
      <c r="HT88" s="2"/>
      <c r="HU88" s="6"/>
      <c r="HV88" s="4"/>
      <c r="HW88" s="8"/>
      <c r="HX88" s="5" t="str">
        <f t="shared" si="323"/>
        <v>NO APLICA</v>
      </c>
      <c r="HY88" s="2"/>
      <c r="HZ88" s="6"/>
      <c r="IA88" s="4"/>
      <c r="IB88" s="8"/>
      <c r="IC88" s="5" t="str">
        <f t="shared" si="324"/>
        <v>NO APLICA</v>
      </c>
      <c r="ID88" s="2"/>
      <c r="IE88" s="6"/>
      <c r="IF88" s="4"/>
      <c r="IG88" s="8"/>
      <c r="IH88" s="5" t="str">
        <f t="shared" si="325"/>
        <v>NO APLICA</v>
      </c>
      <c r="II88" s="6"/>
      <c r="IJ88" s="6"/>
      <c r="IK88" s="4"/>
      <c r="IL88" s="8"/>
      <c r="IM88" s="5" t="str">
        <f t="shared" si="326"/>
        <v>NO APLICA</v>
      </c>
      <c r="IN88" s="2"/>
      <c r="IO88" s="6"/>
      <c r="IP88" s="4"/>
      <c r="IQ88" s="8"/>
      <c r="IR88" s="5" t="str">
        <f t="shared" si="327"/>
        <v>NO APLICA</v>
      </c>
      <c r="IS88" s="2"/>
      <c r="IT88" s="6"/>
      <c r="IU88" s="4"/>
      <c r="IV88" s="8"/>
      <c r="IW88" s="5" t="str">
        <f t="shared" si="328"/>
        <v>NO APLICA</v>
      </c>
      <c r="IX88" s="2"/>
      <c r="IY88" s="6"/>
      <c r="IZ88" s="4"/>
      <c r="JA88" s="8"/>
      <c r="JB88" s="5" t="str">
        <f t="shared" si="329"/>
        <v>NO APLICA</v>
      </c>
      <c r="JC88" s="3" t="s">
        <v>780</v>
      </c>
      <c r="JD88" s="3"/>
      <c r="JE88" s="4"/>
      <c r="JF88" s="8"/>
      <c r="JG88" s="5"/>
      <c r="JH88" s="3" t="s">
        <v>780</v>
      </c>
      <c r="JI88" s="6"/>
      <c r="JJ88" s="6"/>
      <c r="JK88" s="6"/>
      <c r="JL88" s="5"/>
      <c r="JM88" s="6" t="s">
        <v>780</v>
      </c>
      <c r="JN88" s="6"/>
      <c r="JO88" s="6"/>
      <c r="JP88" s="6"/>
      <c r="JQ88" s="5"/>
      <c r="JR88" s="6" t="s">
        <v>780</v>
      </c>
      <c r="JS88" s="6"/>
      <c r="JT88" s="6"/>
      <c r="JU88" s="6"/>
      <c r="JV88" s="5"/>
      <c r="JW88" s="6" t="s">
        <v>780</v>
      </c>
      <c r="JX88" s="5"/>
      <c r="JY88" s="5"/>
      <c r="JZ88" s="5"/>
      <c r="KA88" s="5"/>
      <c r="KB88" s="5"/>
      <c r="KC88" s="2"/>
      <c r="KD88" s="4"/>
      <c r="KE88" s="8"/>
      <c r="KF88" s="5" t="str">
        <f t="shared" si="330"/>
        <v>NO APLICA</v>
      </c>
      <c r="KG88" s="5"/>
      <c r="KH88" s="2"/>
      <c r="KI88" s="4"/>
      <c r="KJ88" s="8"/>
      <c r="KK88" s="5" t="str">
        <f t="shared" si="356"/>
        <v>NO APLICA</v>
      </c>
      <c r="KL88" s="5"/>
      <c r="KM88" s="2"/>
      <c r="KN88" s="4"/>
      <c r="KO88" s="8"/>
      <c r="KP88" s="5" t="str">
        <f t="shared" si="331"/>
        <v>NO APLICA</v>
      </c>
      <c r="KQ88" s="5"/>
      <c r="KR88" s="2"/>
      <c r="KS88" s="4"/>
      <c r="KT88" s="8"/>
      <c r="KU88" s="5" t="str">
        <f t="shared" si="357"/>
        <v>NO APLICA</v>
      </c>
      <c r="KV88" s="2"/>
      <c r="KW88" s="6"/>
      <c r="KX88" s="4"/>
      <c r="KY88" s="8"/>
      <c r="KZ88" s="5" t="str">
        <f t="shared" si="366"/>
        <v>NO APLICA</v>
      </c>
      <c r="LA88" s="5"/>
      <c r="LB88" s="6"/>
      <c r="LC88" s="4"/>
      <c r="LD88" s="8"/>
      <c r="LE88" s="5" t="str">
        <f t="shared" si="358"/>
        <v>NO APLICA</v>
      </c>
      <c r="LF88" s="6"/>
      <c r="LG88" s="6"/>
      <c r="LH88" s="4"/>
      <c r="LI88" s="8"/>
      <c r="LJ88" s="5" t="str">
        <f t="shared" si="332"/>
        <v>NO APLICA</v>
      </c>
      <c r="LK88" s="5"/>
      <c r="LL88" s="5"/>
      <c r="LM88" s="5"/>
      <c r="LN88" s="5"/>
      <c r="LO88" s="5" t="str">
        <f t="shared" si="367"/>
        <v>NO APLICA</v>
      </c>
      <c r="LP88" s="2"/>
      <c r="LQ88" s="6"/>
      <c r="LR88" s="4"/>
      <c r="LS88" s="8"/>
      <c r="LT88" s="5" t="str">
        <f t="shared" si="359"/>
        <v>NO APLICA</v>
      </c>
      <c r="LU88" s="6"/>
      <c r="LV88" s="6"/>
      <c r="LW88" s="4"/>
      <c r="LX88" s="8"/>
      <c r="LY88" s="5" t="str">
        <f t="shared" si="360"/>
        <v>NO APLICA</v>
      </c>
      <c r="LZ88" s="6"/>
      <c r="MA88" s="6"/>
      <c r="MB88" s="4"/>
      <c r="MC88" s="8"/>
      <c r="MD88" s="5" t="str">
        <f t="shared" si="361"/>
        <v>NO APLICA</v>
      </c>
      <c r="ME88" s="2"/>
      <c r="MF88" s="2"/>
      <c r="MG88" s="4"/>
      <c r="MH88" s="8"/>
      <c r="MI88" s="5" t="str">
        <f t="shared" si="333"/>
        <v>NO APLICA</v>
      </c>
      <c r="MJ88" s="2"/>
      <c r="MK88" s="2"/>
      <c r="ML88" s="4"/>
      <c r="MM88" s="8"/>
      <c r="MN88" s="5" t="str">
        <f t="shared" si="334"/>
        <v>NO APLICA</v>
      </c>
      <c r="MO88" s="5"/>
      <c r="MP88" s="2"/>
      <c r="MQ88" s="4"/>
      <c r="MR88" s="8"/>
      <c r="MS88" s="5" t="str">
        <f t="shared" si="335"/>
        <v>NO APLICA</v>
      </c>
      <c r="MT88" s="5"/>
      <c r="MU88" s="2"/>
      <c r="MV88" s="4"/>
      <c r="MW88" s="2"/>
      <c r="MX88" s="5" t="str">
        <f t="shared" si="336"/>
        <v>NO APLICA</v>
      </c>
      <c r="MY88" s="2"/>
      <c r="MZ88" s="6"/>
      <c r="NA88" s="4"/>
      <c r="NB88" s="8"/>
      <c r="NC88" s="5" t="str">
        <f t="shared" si="337"/>
        <v>NO APLICA</v>
      </c>
      <c r="ND88" s="2"/>
      <c r="NE88" s="6"/>
      <c r="NF88" s="4"/>
      <c r="NG88" s="8"/>
      <c r="NH88" s="5" t="str">
        <f t="shared" si="338"/>
        <v>NO APLICA</v>
      </c>
      <c r="NI88" s="2"/>
      <c r="NJ88" s="6"/>
      <c r="NK88" s="4"/>
      <c r="NL88" s="8"/>
      <c r="NM88" s="5" t="str">
        <f t="shared" si="339"/>
        <v>NO APLICA</v>
      </c>
      <c r="NN88" s="2"/>
      <c r="NO88" s="2"/>
      <c r="NP88" s="4"/>
      <c r="NQ88" s="2"/>
      <c r="NR88" s="5" t="str">
        <f t="shared" si="340"/>
        <v>NO APLICA</v>
      </c>
      <c r="NS88" s="2"/>
      <c r="NT88" s="2"/>
      <c r="NU88" s="4"/>
      <c r="NV88" s="2"/>
      <c r="NW88" s="5" t="str">
        <f t="shared" si="341"/>
        <v>NO APLICA</v>
      </c>
      <c r="NX88" s="6"/>
      <c r="NY88" s="6"/>
      <c r="NZ88" s="4"/>
      <c r="OA88" s="8"/>
      <c r="OB88" s="5" t="str">
        <f t="shared" si="342"/>
        <v>NO APLICA</v>
      </c>
      <c r="OC88" s="6"/>
      <c r="OD88" s="6"/>
      <c r="OE88" s="6"/>
      <c r="OF88" s="6"/>
      <c r="OG88" s="5" t="str">
        <f t="shared" si="343"/>
        <v>NO APLICA</v>
      </c>
      <c r="OH88" s="6"/>
      <c r="OI88" s="6"/>
      <c r="OJ88" s="4"/>
      <c r="OK88" s="8"/>
      <c r="OL88" s="5" t="str">
        <f t="shared" si="344"/>
        <v>NO APLICA</v>
      </c>
      <c r="OM88" s="6"/>
      <c r="ON88" s="6"/>
      <c r="OO88" s="6"/>
      <c r="OP88" s="6"/>
      <c r="OQ88" s="5" t="str">
        <f t="shared" si="345"/>
        <v>NO APLICA</v>
      </c>
      <c r="OR88" s="6"/>
      <c r="OS88" s="6"/>
      <c r="OT88" s="6"/>
      <c r="OU88" s="6"/>
      <c r="OV88" s="5" t="str">
        <f t="shared" si="346"/>
        <v>NO APLICA</v>
      </c>
      <c r="OW88" s="6"/>
      <c r="OX88" s="6"/>
      <c r="OY88" s="6"/>
      <c r="OZ88" s="6"/>
      <c r="PA88" s="5" t="str">
        <f t="shared" si="347"/>
        <v>NO APLICA</v>
      </c>
      <c r="PB88" s="6"/>
      <c r="PC88" s="6"/>
      <c r="PD88" s="6"/>
      <c r="PE88" s="6"/>
      <c r="PF88" s="5" t="str">
        <f t="shared" si="348"/>
        <v>NO APLICA</v>
      </c>
      <c r="PG88" s="6"/>
      <c r="PH88" s="6"/>
      <c r="PI88" s="6"/>
      <c r="PJ88" s="6"/>
      <c r="PK88" s="5" t="str">
        <f t="shared" si="349"/>
        <v>NO APLICA</v>
      </c>
      <c r="PL88" s="5"/>
      <c r="PM88" s="4"/>
      <c r="PN88" s="4"/>
      <c r="PO88" s="8"/>
      <c r="PP88" s="5" t="str">
        <f t="shared" si="350"/>
        <v>NO APLICA</v>
      </c>
      <c r="PQ88" s="6"/>
      <c r="PR88" s="6"/>
      <c r="PS88" s="6"/>
      <c r="PT88" s="6"/>
      <c r="PU88" s="5" t="str">
        <f t="shared" si="351"/>
        <v>NO APLICA</v>
      </c>
      <c r="PV88" s="5"/>
      <c r="PW88" s="4">
        <v>46126</v>
      </c>
      <c r="PX88" s="4">
        <f>DATE(YEAR(PW88)+1,MONTH(PW88),DAY(PW88))</f>
        <v>46491</v>
      </c>
      <c r="PY88" s="8">
        <f ca="1">PX88-TODAY()</f>
        <v>346</v>
      </c>
      <c r="PZ88" s="5" t="str">
        <f t="shared" ca="1" si="352"/>
        <v>VIGENTE</v>
      </c>
    </row>
    <row r="89" spans="1:442" ht="15.6" hidden="1" thickTop="1" thickBot="1" x14ac:dyDescent="0.35">
      <c r="A89" s="26">
        <v>86</v>
      </c>
      <c r="B89" s="31">
        <v>8</v>
      </c>
      <c r="C89" s="28" t="s">
        <v>316</v>
      </c>
      <c r="D89" s="29" t="s">
        <v>68</v>
      </c>
      <c r="E89" s="30" t="s">
        <v>317</v>
      </c>
      <c r="F89" s="6"/>
      <c r="G89" s="6"/>
      <c r="H89" s="6"/>
      <c r="I89" s="8"/>
      <c r="J89" s="5" t="str">
        <f t="shared" si="242"/>
        <v>NO APLICA</v>
      </c>
      <c r="K89" s="6"/>
      <c r="L89" s="6"/>
      <c r="M89" s="6"/>
      <c r="N89" s="8"/>
      <c r="O89" s="5" t="str">
        <f t="shared" si="243"/>
        <v>NO APLICA</v>
      </c>
      <c r="P89" s="6"/>
      <c r="Q89" s="6"/>
      <c r="R89" s="4"/>
      <c r="S89" s="8"/>
      <c r="T89" s="5" t="str">
        <f t="shared" si="353"/>
        <v>NO APLICA</v>
      </c>
      <c r="U89" s="5"/>
      <c r="V89" s="2" t="s">
        <v>318</v>
      </c>
      <c r="W89" s="4">
        <v>45426</v>
      </c>
      <c r="X89" s="4">
        <f t="shared" si="244"/>
        <v>47252</v>
      </c>
      <c r="Y89" s="8">
        <f t="shared" ca="1" si="245"/>
        <v>1107</v>
      </c>
      <c r="Z89" s="5" t="str">
        <f t="shared" ca="1" si="246"/>
        <v>VIGENTE</v>
      </c>
      <c r="AA89" s="5"/>
      <c r="AB89" s="2" t="s">
        <v>319</v>
      </c>
      <c r="AC89" s="4">
        <v>44828</v>
      </c>
      <c r="AD89" s="4">
        <f>DATE(YEAR(AC89)+5,MONTH(AC89),DAY(AC89))</f>
        <v>46654</v>
      </c>
      <c r="AE89" s="8">
        <f ca="1">AD89-TODAY()</f>
        <v>509</v>
      </c>
      <c r="AF89" s="5" t="str">
        <f t="shared" ca="1" si="247"/>
        <v>VIGENTE</v>
      </c>
      <c r="AG89" s="4"/>
      <c r="AH89" s="4">
        <v>45902</v>
      </c>
      <c r="AI89" s="4">
        <f>DATE(YEAR(AH89)+2,MONTH(AH89),DAY(AH89))</f>
        <v>46632</v>
      </c>
      <c r="AJ89" s="8">
        <f t="shared" ca="1" si="248"/>
        <v>487</v>
      </c>
      <c r="AK89" s="5" t="str">
        <f t="shared" ca="1" si="219"/>
        <v>VIGENTE</v>
      </c>
      <c r="AL89" s="4"/>
      <c r="AM89" s="4">
        <v>45926</v>
      </c>
      <c r="AN89" s="4">
        <f t="shared" si="390"/>
        <v>46656</v>
      </c>
      <c r="AO89" s="8">
        <f t="shared" ca="1" si="249"/>
        <v>511</v>
      </c>
      <c r="AP89" s="5" t="str">
        <f t="shared" ca="1" si="250"/>
        <v>VIGENTE</v>
      </c>
      <c r="AQ89" s="4"/>
      <c r="AR89" s="4">
        <v>45904</v>
      </c>
      <c r="AS89" s="4">
        <f t="shared" si="391"/>
        <v>46634</v>
      </c>
      <c r="AT89" s="8">
        <f t="shared" ca="1" si="251"/>
        <v>489</v>
      </c>
      <c r="AU89" s="5" t="str">
        <f t="shared" ca="1" si="252"/>
        <v>VIGENTE</v>
      </c>
      <c r="AV89" s="4"/>
      <c r="AW89" s="4">
        <v>45906</v>
      </c>
      <c r="AX89" s="4">
        <f t="shared" si="392"/>
        <v>46636</v>
      </c>
      <c r="AY89" s="8">
        <f t="shared" ca="1" si="253"/>
        <v>491</v>
      </c>
      <c r="AZ89" s="5" t="str">
        <f t="shared" ca="1" si="254"/>
        <v>VIGENTE</v>
      </c>
      <c r="BA89" s="4"/>
      <c r="BB89" s="4">
        <v>45943</v>
      </c>
      <c r="BC89" s="4">
        <f>DATE(YEAR(BB89)+2,MONTH(BB89),DAY(BB89))</f>
        <v>46673</v>
      </c>
      <c r="BD89" s="8">
        <f t="shared" ca="1" si="255"/>
        <v>528</v>
      </c>
      <c r="BE89" s="5" t="str">
        <f t="shared" ca="1" si="256"/>
        <v>VIGENTE</v>
      </c>
      <c r="BF89" s="4"/>
      <c r="BG89" s="4">
        <v>45968</v>
      </c>
      <c r="BH89" s="4">
        <f t="shared" ref="BH89:BH97" si="398">DATE(YEAR(BG89)+2,MONTH(BG89),DAY(BG89))</f>
        <v>46698</v>
      </c>
      <c r="BI89" s="8">
        <f t="shared" ca="1" si="257"/>
        <v>553</v>
      </c>
      <c r="BJ89" s="5" t="str">
        <f t="shared" ca="1" si="258"/>
        <v>VIGENTE</v>
      </c>
      <c r="BK89" s="4"/>
      <c r="BL89" s="4">
        <v>46035</v>
      </c>
      <c r="BM89" s="4">
        <f>DATE(YEAR(BL89)+2,MONTH(BL89),DAY(BL89))</f>
        <v>46765</v>
      </c>
      <c r="BN89" s="8">
        <f t="shared" ca="1" si="259"/>
        <v>620</v>
      </c>
      <c r="BO89" s="5" t="str">
        <f t="shared" ca="1" si="260"/>
        <v>VIGENTE</v>
      </c>
      <c r="BP89" s="4"/>
      <c r="BQ89" s="39">
        <v>45981</v>
      </c>
      <c r="BR89" s="4">
        <f>DATE(YEAR(BQ89)+2,MONTH(BQ89),DAY(BQ89))</f>
        <v>46711</v>
      </c>
      <c r="BS89" s="8">
        <f t="shared" ca="1" si="261"/>
        <v>566</v>
      </c>
      <c r="BT89" s="5" t="str">
        <f t="shared" ca="1" si="262"/>
        <v>VIGENTE</v>
      </c>
      <c r="BU89" s="4"/>
      <c r="BV89" s="4">
        <v>45950</v>
      </c>
      <c r="BW89" s="4">
        <f>DATE(YEAR(BV89)+2,MONTH(BV89),DAY(BV89))</f>
        <v>46680</v>
      </c>
      <c r="BX89" s="8">
        <f t="shared" ca="1" si="263"/>
        <v>535</v>
      </c>
      <c r="BY89" s="5" t="str">
        <f t="shared" ca="1" si="264"/>
        <v>VIGENTE</v>
      </c>
      <c r="BZ89" s="4"/>
      <c r="CA89" s="4">
        <v>45944</v>
      </c>
      <c r="CB89" s="4">
        <f t="shared" si="393"/>
        <v>46674</v>
      </c>
      <c r="CC89" s="8">
        <f t="shared" ca="1" si="265"/>
        <v>529</v>
      </c>
      <c r="CD89" s="5" t="str">
        <f t="shared" ca="1" si="266"/>
        <v>VIGENTE</v>
      </c>
      <c r="CE89" s="6"/>
      <c r="CF89" s="4">
        <v>44901</v>
      </c>
      <c r="CG89" s="4">
        <f t="shared" si="387"/>
        <v>46362</v>
      </c>
      <c r="CH89" s="8">
        <f t="shared" ca="1" si="388"/>
        <v>217</v>
      </c>
      <c r="CI89" s="5" t="str">
        <f t="shared" ca="1" si="269"/>
        <v>VIGENTE</v>
      </c>
      <c r="CJ89" s="4"/>
      <c r="CK89" s="4">
        <v>45929</v>
      </c>
      <c r="CL89" s="4">
        <f>DATE(YEAR(CK89)+2,MONTH(CK89),DAY(CK89))</f>
        <v>46659</v>
      </c>
      <c r="CM89" s="8">
        <f t="shared" ca="1" si="270"/>
        <v>514</v>
      </c>
      <c r="CN89" s="5" t="str">
        <f t="shared" ca="1" si="271"/>
        <v>VIGENTE</v>
      </c>
      <c r="CO89" s="4"/>
      <c r="CP89" s="39">
        <v>45979</v>
      </c>
      <c r="CQ89" s="4">
        <f>DATE(YEAR(CP89)+2,MONTH(CP89),DAY(CP89))</f>
        <v>46709</v>
      </c>
      <c r="CR89" s="8">
        <f t="shared" ca="1" si="272"/>
        <v>564</v>
      </c>
      <c r="CS89" s="5" t="str">
        <f t="shared" ca="1" si="273"/>
        <v>VIGENTE</v>
      </c>
      <c r="CT89" s="4"/>
      <c r="CU89" s="4">
        <v>45939</v>
      </c>
      <c r="CV89" s="4">
        <f>DATE(YEAR(CU89)+2,MONTH(CU89),DAY(CU89))</f>
        <v>46669</v>
      </c>
      <c r="CW89" s="8">
        <f t="shared" ca="1" si="274"/>
        <v>524</v>
      </c>
      <c r="CX89" s="5" t="str">
        <f t="shared" ca="1" si="275"/>
        <v>VIGENTE</v>
      </c>
      <c r="CY89" s="4"/>
      <c r="CZ89" s="4">
        <v>45924</v>
      </c>
      <c r="DA89" s="4">
        <f>DATE(YEAR(CZ89)+2,MONTH(CZ89),DAY(CZ89))</f>
        <v>46654</v>
      </c>
      <c r="DB89" s="8">
        <f t="shared" ca="1" si="276"/>
        <v>509</v>
      </c>
      <c r="DC89" s="5" t="str">
        <f t="shared" ca="1" si="277"/>
        <v>VIGENTE</v>
      </c>
      <c r="DD89" s="4"/>
      <c r="DE89" s="39">
        <v>45535</v>
      </c>
      <c r="DF89" s="4">
        <f t="shared" si="386"/>
        <v>46264</v>
      </c>
      <c r="DG89" s="8">
        <f t="shared" ca="1" si="278"/>
        <v>119</v>
      </c>
      <c r="DH89" s="5" t="str">
        <f t="shared" ca="1" si="279"/>
        <v>VIGENTE</v>
      </c>
      <c r="DI89" s="4"/>
      <c r="DJ89" s="39">
        <v>45955</v>
      </c>
      <c r="DK89" s="4">
        <f t="shared" si="394"/>
        <v>46685</v>
      </c>
      <c r="DL89" s="8">
        <f t="shared" ca="1" si="280"/>
        <v>540</v>
      </c>
      <c r="DM89" s="5" t="str">
        <f t="shared" ca="1" si="281"/>
        <v>VIGENTE</v>
      </c>
      <c r="DN89" s="4"/>
      <c r="DO89" s="4">
        <v>45577</v>
      </c>
      <c r="DP89" s="4">
        <f>DATE(YEAR(DO89)+2,MONTH(DO89),DAY(DO89)-1)</f>
        <v>46306</v>
      </c>
      <c r="DQ89" s="8">
        <f t="shared" ca="1" si="282"/>
        <v>161</v>
      </c>
      <c r="DR89" s="5" t="str">
        <f t="shared" ca="1" si="283"/>
        <v>VIGENTE</v>
      </c>
      <c r="DS89" s="4"/>
      <c r="DT89" s="4">
        <v>45918</v>
      </c>
      <c r="DU89" s="4">
        <f>DATE(YEAR(DT89)+2,MONTH(DT89),DAY(DT89))</f>
        <v>46648</v>
      </c>
      <c r="DV89" s="8">
        <f t="shared" ca="1" si="284"/>
        <v>503</v>
      </c>
      <c r="DW89" s="5" t="str">
        <f t="shared" ca="1" si="285"/>
        <v>VIGENTE</v>
      </c>
      <c r="DX89" s="4"/>
      <c r="DY89" s="4">
        <v>45934</v>
      </c>
      <c r="DZ89" s="4">
        <f>DATE(YEAR(DY89)+2,MONTH(DY89),DAY(DY89))</f>
        <v>46664</v>
      </c>
      <c r="EA89" s="8">
        <f t="shared" ca="1" si="286"/>
        <v>519</v>
      </c>
      <c r="EB89" s="5" t="str">
        <f t="shared" ca="1" si="287"/>
        <v>VIGENTE</v>
      </c>
      <c r="EC89" s="4"/>
      <c r="ED89" s="39">
        <v>45938</v>
      </c>
      <c r="EE89" s="4">
        <f>DATE(YEAR(ED89)+2,MONTH(ED89),DAY(ED89))</f>
        <v>46668</v>
      </c>
      <c r="EF89" s="8">
        <f t="shared" ca="1" si="288"/>
        <v>523</v>
      </c>
      <c r="EG89" s="5" t="str">
        <f t="shared" ca="1" si="289"/>
        <v>VIGENTE</v>
      </c>
      <c r="EH89" s="4"/>
      <c r="EI89" s="4">
        <v>46123</v>
      </c>
      <c r="EJ89" s="4">
        <f t="shared" si="355"/>
        <v>46488</v>
      </c>
      <c r="EK89" s="8">
        <f t="shared" ca="1" si="290"/>
        <v>343</v>
      </c>
      <c r="EL89" s="5" t="str">
        <f t="shared" ca="1" si="291"/>
        <v>VIGENTE</v>
      </c>
      <c r="EM89" s="4"/>
      <c r="EN89" s="4">
        <v>45940</v>
      </c>
      <c r="EO89" s="4">
        <f>DATE(YEAR(EN89)+2,MONTH(EN89),DAY(EN89))</f>
        <v>46670</v>
      </c>
      <c r="EP89" s="8">
        <f t="shared" ca="1" si="292"/>
        <v>525</v>
      </c>
      <c r="EQ89" s="5" t="str">
        <f t="shared" ca="1" si="293"/>
        <v>VIGENTE</v>
      </c>
      <c r="ER89" s="4"/>
      <c r="ES89" s="39">
        <v>45922</v>
      </c>
      <c r="ET89" s="4">
        <f t="shared" si="395"/>
        <v>46652</v>
      </c>
      <c r="EU89" s="8">
        <f t="shared" ca="1" si="294"/>
        <v>507</v>
      </c>
      <c r="EV89" s="5" t="str">
        <f t="shared" ca="1" si="295"/>
        <v>VIGENTE</v>
      </c>
      <c r="EW89" s="4"/>
      <c r="EX89" s="4">
        <v>45953</v>
      </c>
      <c r="EY89" s="4">
        <f>DATE(YEAR(EX89)+2,MONTH(EX89),DAY(EX89))</f>
        <v>46683</v>
      </c>
      <c r="EZ89" s="8">
        <f t="shared" ca="1" si="296"/>
        <v>538</v>
      </c>
      <c r="FA89" s="5" t="str">
        <f t="shared" ca="1" si="297"/>
        <v>VIGENTE</v>
      </c>
      <c r="FB89" s="4"/>
      <c r="FC89" s="4">
        <v>45931</v>
      </c>
      <c r="FD89" s="4">
        <f t="shared" si="396"/>
        <v>46661</v>
      </c>
      <c r="FE89" s="8">
        <f t="shared" ca="1" si="298"/>
        <v>516</v>
      </c>
      <c r="FF89" s="5" t="str">
        <f t="shared" ca="1" si="299"/>
        <v>VIGENTE</v>
      </c>
      <c r="FG89" s="4"/>
      <c r="FH89" s="4">
        <v>45932</v>
      </c>
      <c r="FI89" s="4">
        <f t="shared" si="397"/>
        <v>46662</v>
      </c>
      <c r="FJ89" s="8">
        <f t="shared" ca="1" si="300"/>
        <v>517</v>
      </c>
      <c r="FK89" s="5" t="str">
        <f t="shared" ca="1" si="301"/>
        <v>VIGENTE</v>
      </c>
      <c r="FL89" s="4"/>
      <c r="FM89" s="39">
        <v>45933</v>
      </c>
      <c r="FN89" s="4">
        <f>DATE(YEAR(FM89)+2,MONTH(FM89),DAY(FM89))</f>
        <v>46663</v>
      </c>
      <c r="FO89" s="8">
        <f t="shared" ca="1" si="302"/>
        <v>518</v>
      </c>
      <c r="FP89" s="5" t="str">
        <f t="shared" ca="1" si="303"/>
        <v>VIGENTE</v>
      </c>
      <c r="FQ89" s="4"/>
      <c r="FR89" s="39">
        <v>45586</v>
      </c>
      <c r="FS89" s="4">
        <f>DATE(YEAR(FR89)+2,MONTH(FR89),DAY(FR89)-1)</f>
        <v>46315</v>
      </c>
      <c r="FT89" s="8">
        <f t="shared" ca="1" si="304"/>
        <v>170</v>
      </c>
      <c r="FU89" s="5" t="str">
        <f t="shared" ca="1" si="305"/>
        <v>VIGENTE</v>
      </c>
      <c r="FV89" s="4"/>
      <c r="FW89" s="4">
        <v>45941</v>
      </c>
      <c r="FX89" s="4">
        <f>DATE(YEAR(FW89)+2,MONTH(FW89),DAY(FW89))</f>
        <v>46671</v>
      </c>
      <c r="FY89" s="8">
        <f t="shared" ca="1" si="306"/>
        <v>526</v>
      </c>
      <c r="FZ89" s="5" t="str">
        <f t="shared" ca="1" si="307"/>
        <v>VIGENTE</v>
      </c>
      <c r="GA89" s="4"/>
      <c r="GB89" s="4">
        <v>45595</v>
      </c>
      <c r="GC89" s="4">
        <f>DATE(YEAR(GB89)+2,MONTH(GB89),DAY(GB89)-1)</f>
        <v>46324</v>
      </c>
      <c r="GD89" s="8">
        <f t="shared" ca="1" si="308"/>
        <v>179</v>
      </c>
      <c r="GE89" s="5" t="str">
        <f t="shared" ca="1" si="309"/>
        <v>VIGENTE</v>
      </c>
      <c r="GF89" s="4"/>
      <c r="GG89" s="4">
        <v>45960</v>
      </c>
      <c r="GH89" s="4">
        <f>DATE(YEAR(GG89)+2,MONTH(GG89),DAY(GG89))</f>
        <v>46690</v>
      </c>
      <c r="GI89" s="8">
        <f t="shared" ca="1" si="310"/>
        <v>545</v>
      </c>
      <c r="GJ89" s="5" t="str">
        <f t="shared" ca="1" si="311"/>
        <v>VIGENTE</v>
      </c>
      <c r="GK89" s="4"/>
      <c r="GL89" s="4">
        <v>45608</v>
      </c>
      <c r="GM89" s="4">
        <f>DATE(YEAR(GL89)+2,MONTH(GL89),DAY(GL89)-1)</f>
        <v>46337</v>
      </c>
      <c r="GN89" s="8">
        <f t="shared" ca="1" si="312"/>
        <v>192</v>
      </c>
      <c r="GO89" s="5" t="str">
        <f t="shared" ca="1" si="313"/>
        <v>VIGENTE</v>
      </c>
      <c r="GP89" s="4"/>
      <c r="GQ89" s="4">
        <v>45299</v>
      </c>
      <c r="GR89" s="4">
        <f t="shared" si="314"/>
        <v>47126</v>
      </c>
      <c r="GS89" s="8">
        <f t="shared" ca="1" si="384"/>
        <v>981</v>
      </c>
      <c r="GT89" s="5" t="str">
        <f t="shared" ca="1" si="378"/>
        <v>VIGENTE</v>
      </c>
      <c r="GU89" s="4"/>
      <c r="GV89" s="4">
        <v>45329</v>
      </c>
      <c r="GW89" s="4">
        <f t="shared" si="316"/>
        <v>47156</v>
      </c>
      <c r="GX89" s="8">
        <f t="shared" ca="1" si="317"/>
        <v>1011</v>
      </c>
      <c r="GY89" s="5" t="str">
        <f t="shared" ca="1" si="379"/>
        <v>VIGENTE</v>
      </c>
      <c r="GZ89" s="4"/>
      <c r="HA89" s="4">
        <v>45294</v>
      </c>
      <c r="HB89" s="4">
        <f t="shared" si="319"/>
        <v>47121</v>
      </c>
      <c r="HC89" s="8">
        <f t="shared" ca="1" si="320"/>
        <v>976</v>
      </c>
      <c r="HD89" s="5" t="str">
        <f t="shared" ca="1" si="380"/>
        <v>VIGENTE</v>
      </c>
      <c r="HE89" s="6"/>
      <c r="HF89" s="4">
        <v>44879</v>
      </c>
      <c r="HG89" s="4">
        <f>DATE(YEAR(HF89)+5,MONTH(HF89),DAY(HF89))</f>
        <v>46705</v>
      </c>
      <c r="HH89" s="8">
        <f ca="1">HG89-TODAY()</f>
        <v>560</v>
      </c>
      <c r="HI89" s="5" t="str">
        <f t="shared" ca="1" si="389"/>
        <v>VIGENTE</v>
      </c>
      <c r="HJ89" s="6"/>
      <c r="HK89" s="6"/>
      <c r="HL89" s="4"/>
      <c r="HM89" s="8"/>
      <c r="HN89" s="5" t="str">
        <f t="shared" si="385"/>
        <v>NO APLICA</v>
      </c>
      <c r="HO89" s="2"/>
      <c r="HP89" s="5"/>
      <c r="HQ89" s="5"/>
      <c r="HR89" s="5"/>
      <c r="HS89" s="5" t="str">
        <f t="shared" si="322"/>
        <v>NO APLICA</v>
      </c>
      <c r="HT89" s="6"/>
      <c r="HU89" s="4">
        <v>44923</v>
      </c>
      <c r="HV89" s="4">
        <f>DATE(YEAR(HU89)+5,MONTH(HU89),DAY(HU89))</f>
        <v>46749</v>
      </c>
      <c r="HW89" s="8">
        <f ca="1">HV89-TODAY()</f>
        <v>604</v>
      </c>
      <c r="HX89" s="5" t="str">
        <f t="shared" ca="1" si="323"/>
        <v>VIGENTE</v>
      </c>
      <c r="HY89" s="6"/>
      <c r="HZ89" s="4">
        <v>44978</v>
      </c>
      <c r="IA89" s="4">
        <f>DATE(YEAR(HZ89)+5,MONTH(HZ89),DAY(HZ89))</f>
        <v>46804</v>
      </c>
      <c r="IB89" s="8">
        <f ca="1">IA89-TODAY()</f>
        <v>659</v>
      </c>
      <c r="IC89" s="5" t="str">
        <f t="shared" ca="1" si="324"/>
        <v>VIGENTE</v>
      </c>
      <c r="ID89" s="6"/>
      <c r="IE89" s="4">
        <v>44972</v>
      </c>
      <c r="IF89" s="4">
        <f>DATE(YEAR(IE89)+5,MONTH(IE89),DAY(IE89))</f>
        <v>46798</v>
      </c>
      <c r="IG89" s="8">
        <f ca="1">IF89-TODAY()</f>
        <v>653</v>
      </c>
      <c r="IH89" s="5" t="str">
        <f t="shared" ca="1" si="325"/>
        <v>VIGENTE</v>
      </c>
      <c r="II89" s="6"/>
      <c r="IJ89" s="4">
        <v>45009</v>
      </c>
      <c r="IK89" s="4">
        <f>DATE(YEAR(IJ89)+5,MONTH(IJ89),DAY(IJ89))</f>
        <v>46836</v>
      </c>
      <c r="IL89" s="8">
        <f ca="1">IK89-TODAY()</f>
        <v>691</v>
      </c>
      <c r="IM89" s="5" t="str">
        <f t="shared" ca="1" si="326"/>
        <v>VIGENTE</v>
      </c>
      <c r="IN89" s="6"/>
      <c r="IO89" s="4">
        <v>44893</v>
      </c>
      <c r="IP89" s="4">
        <f>DATE(YEAR(IO89)+5,MONTH(IO89),DAY(IO89))</f>
        <v>46719</v>
      </c>
      <c r="IQ89" s="8">
        <f ca="1">IP89-TODAY()</f>
        <v>574</v>
      </c>
      <c r="IR89" s="5" t="str">
        <f t="shared" ca="1" si="327"/>
        <v>VIGENTE</v>
      </c>
      <c r="IS89" s="6"/>
      <c r="IT89" s="4">
        <v>45013</v>
      </c>
      <c r="IU89" s="4">
        <f>DATE(YEAR(IT89)+5,MONTH(IT89),DAY(IT89))</f>
        <v>46840</v>
      </c>
      <c r="IV89" s="8">
        <f ca="1">IU89-TODAY()</f>
        <v>695</v>
      </c>
      <c r="IW89" s="5" t="str">
        <f t="shared" ca="1" si="328"/>
        <v>VIGENTE</v>
      </c>
      <c r="IX89" s="6"/>
      <c r="IY89" s="4">
        <v>44973</v>
      </c>
      <c r="IZ89" s="4">
        <f>DATE(YEAR(IY89)+5,MONTH(IY89),DAY(IY89))</f>
        <v>46799</v>
      </c>
      <c r="JA89" s="8">
        <f ca="1">IZ89-TODAY()</f>
        <v>654</v>
      </c>
      <c r="JB89" s="5" t="str">
        <f t="shared" ca="1" si="329"/>
        <v>VIGENTE</v>
      </c>
      <c r="JC89" s="3" t="s">
        <v>780</v>
      </c>
      <c r="JD89" s="3"/>
      <c r="JE89" s="4"/>
      <c r="JF89" s="8"/>
      <c r="JG89" s="5"/>
      <c r="JH89" s="3" t="s">
        <v>780</v>
      </c>
      <c r="JI89" s="3"/>
      <c r="JJ89" s="4"/>
      <c r="JK89" s="8"/>
      <c r="JL89" s="5"/>
      <c r="JM89" s="6" t="s">
        <v>780</v>
      </c>
      <c r="JN89" s="3"/>
      <c r="JO89" s="4"/>
      <c r="JP89" s="8"/>
      <c r="JQ89" s="5"/>
      <c r="JR89" s="6" t="s">
        <v>780</v>
      </c>
      <c r="JS89" s="3"/>
      <c r="JT89" s="4"/>
      <c r="JU89" s="8"/>
      <c r="JV89" s="5"/>
      <c r="JW89" s="6" t="s">
        <v>780</v>
      </c>
      <c r="JX89" s="5"/>
      <c r="JY89" s="5"/>
      <c r="JZ89" s="5"/>
      <c r="KA89" s="5"/>
      <c r="KB89" s="5"/>
      <c r="KC89" s="5"/>
      <c r="KD89" s="4"/>
      <c r="KE89" s="8"/>
      <c r="KF89" s="5" t="str">
        <f t="shared" si="330"/>
        <v>NO APLICA</v>
      </c>
      <c r="KG89" s="5"/>
      <c r="KH89" s="5"/>
      <c r="KI89" s="4"/>
      <c r="KJ89" s="8"/>
      <c r="KK89" s="5" t="str">
        <f t="shared" si="356"/>
        <v>NO APLICA</v>
      </c>
      <c r="KL89" s="5"/>
      <c r="KM89" s="5"/>
      <c r="KN89" s="4"/>
      <c r="KO89" s="8"/>
      <c r="KP89" s="5" t="str">
        <f t="shared" si="331"/>
        <v>NO APLICA</v>
      </c>
      <c r="KQ89" s="5"/>
      <c r="KR89" s="3">
        <v>45346</v>
      </c>
      <c r="KS89" s="4">
        <f>DATE(YEAR(KR89)+5,MONTH(KR89),DAY(KR89))</f>
        <v>47173</v>
      </c>
      <c r="KT89" s="8">
        <f ca="1">KS89-TODAY()</f>
        <v>1028</v>
      </c>
      <c r="KU89" s="5" t="str">
        <f t="shared" ca="1" si="357"/>
        <v>VIGENTE</v>
      </c>
      <c r="KV89" s="6"/>
      <c r="KW89" s="6"/>
      <c r="KX89" s="4"/>
      <c r="KY89" s="8"/>
      <c r="KZ89" s="5" t="str">
        <f t="shared" si="366"/>
        <v>NO APLICA</v>
      </c>
      <c r="LA89" s="5"/>
      <c r="LB89" s="4">
        <v>44545</v>
      </c>
      <c r="LC89" s="4">
        <f>DATE(YEAR(LB89)+5,MONTH(LB89),DAY(LB89))</f>
        <v>46371</v>
      </c>
      <c r="LD89" s="8">
        <f ca="1">LC89-TODAY()</f>
        <v>226</v>
      </c>
      <c r="LE89" s="5" t="str">
        <f t="shared" ca="1" si="358"/>
        <v>VIGENTE</v>
      </c>
      <c r="LF89" s="6"/>
      <c r="LG89" s="6"/>
      <c r="LH89" s="4"/>
      <c r="LI89" s="8"/>
      <c r="LJ89" s="5" t="str">
        <f t="shared" si="332"/>
        <v>NO APLICA</v>
      </c>
      <c r="LK89" s="5"/>
      <c r="LL89" s="5"/>
      <c r="LM89" s="4"/>
      <c r="LN89" s="8"/>
      <c r="LO89" s="5" t="str">
        <f t="shared" si="367"/>
        <v>NO APLICA</v>
      </c>
      <c r="LP89" s="6"/>
      <c r="LQ89" s="6"/>
      <c r="LR89" s="4"/>
      <c r="LS89" s="8"/>
      <c r="LT89" s="5" t="str">
        <f t="shared" si="359"/>
        <v>NO APLICA</v>
      </c>
      <c r="LU89" s="4"/>
      <c r="LV89" s="4">
        <v>44986</v>
      </c>
      <c r="LW89" s="4">
        <f>DATE(YEAR(LV89)+5,MONTH(LV89),DAY(LV89))</f>
        <v>46813</v>
      </c>
      <c r="LX89" s="8">
        <f ca="1">LW89-TODAY()</f>
        <v>668</v>
      </c>
      <c r="LY89" s="5" t="str">
        <f t="shared" ca="1" si="360"/>
        <v>VIGENTE</v>
      </c>
      <c r="LZ89" s="4"/>
      <c r="MA89" s="4">
        <v>44988</v>
      </c>
      <c r="MB89" s="4">
        <f>DATE(YEAR(MA89)+5,MONTH(MA89),DAY(MA89))</f>
        <v>46815</v>
      </c>
      <c r="MC89" s="8">
        <f ca="1">MB89-TODAY()</f>
        <v>670</v>
      </c>
      <c r="MD89" s="5" t="str">
        <f t="shared" ca="1" si="361"/>
        <v>VIGENTE</v>
      </c>
      <c r="ME89" s="5"/>
      <c r="MF89" s="5"/>
      <c r="MG89" s="4"/>
      <c r="MH89" s="8"/>
      <c r="MI89" s="5" t="str">
        <f t="shared" si="333"/>
        <v>NO APLICA</v>
      </c>
      <c r="MJ89" s="5"/>
      <c r="MK89" s="5"/>
      <c r="ML89" s="4"/>
      <c r="MM89" s="8"/>
      <c r="MN89" s="5" t="str">
        <f t="shared" si="334"/>
        <v>NO APLICA</v>
      </c>
      <c r="MO89" s="5"/>
      <c r="MP89" s="3">
        <v>45154</v>
      </c>
      <c r="MQ89" s="4">
        <f>DATE(YEAR(MP89)+5,MONTH(MP89),DAY(MP89))</f>
        <v>46981</v>
      </c>
      <c r="MR89" s="8">
        <f ca="1">MQ89-TODAY()</f>
        <v>836</v>
      </c>
      <c r="MS89" s="5" t="str">
        <f t="shared" ca="1" si="335"/>
        <v>VIGENTE</v>
      </c>
      <c r="MT89" s="5"/>
      <c r="MU89" s="3">
        <v>45155</v>
      </c>
      <c r="MV89" s="4">
        <f>DATE(YEAR(MU89)+5,MONTH(MU89),DAY(MU89))</f>
        <v>46982</v>
      </c>
      <c r="MW89" s="8">
        <f ca="1">MV89-TODAY()</f>
        <v>837</v>
      </c>
      <c r="MX89" s="5" t="str">
        <f t="shared" ca="1" si="336"/>
        <v>VIGENTE</v>
      </c>
      <c r="MY89" s="6"/>
      <c r="MZ89" s="6"/>
      <c r="NA89" s="4"/>
      <c r="NB89" s="8"/>
      <c r="NC89" s="5" t="str">
        <f t="shared" si="337"/>
        <v>NO APLICA</v>
      </c>
      <c r="ND89" s="6"/>
      <c r="NE89" s="6"/>
      <c r="NF89" s="4"/>
      <c r="NG89" s="8"/>
      <c r="NH89" s="5" t="str">
        <f t="shared" si="338"/>
        <v>NO APLICA</v>
      </c>
      <c r="NI89" s="6"/>
      <c r="NJ89" s="6"/>
      <c r="NK89" s="4"/>
      <c r="NL89" s="8"/>
      <c r="NM89" s="5" t="str">
        <f t="shared" si="339"/>
        <v>NO APLICA</v>
      </c>
      <c r="NN89" s="5"/>
      <c r="NO89" s="5"/>
      <c r="NP89" s="4"/>
      <c r="NQ89" s="8"/>
      <c r="NR89" s="5" t="str">
        <f t="shared" si="340"/>
        <v>NO APLICA</v>
      </c>
      <c r="NS89" s="5"/>
      <c r="NT89" s="5"/>
      <c r="NU89" s="5"/>
      <c r="NV89" s="5"/>
      <c r="NW89" s="5" t="str">
        <f t="shared" si="341"/>
        <v>NO APLICA</v>
      </c>
      <c r="NX89" s="6"/>
      <c r="NY89" s="6"/>
      <c r="NZ89" s="6"/>
      <c r="OA89" s="6"/>
      <c r="OB89" s="5" t="str">
        <f t="shared" si="342"/>
        <v>NO APLICA</v>
      </c>
      <c r="OC89" s="6"/>
      <c r="OD89" s="6"/>
      <c r="OE89" s="6"/>
      <c r="OF89" s="6"/>
      <c r="OG89" s="5" t="str">
        <f t="shared" si="343"/>
        <v>NO APLICA</v>
      </c>
      <c r="OH89" s="5"/>
      <c r="OI89" s="5"/>
      <c r="OJ89" s="4"/>
      <c r="OK89" s="8"/>
      <c r="OL89" s="5" t="str">
        <f t="shared" si="344"/>
        <v>NO APLICA</v>
      </c>
      <c r="OM89" s="6"/>
      <c r="ON89" s="6"/>
      <c r="OO89" s="6"/>
      <c r="OP89" s="6"/>
      <c r="OQ89" s="5" t="str">
        <f t="shared" si="345"/>
        <v>NO APLICA</v>
      </c>
      <c r="OR89" s="6"/>
      <c r="OS89" s="6"/>
      <c r="OT89" s="6"/>
      <c r="OU89" s="6"/>
      <c r="OV89" s="5" t="str">
        <f t="shared" si="346"/>
        <v>NO APLICA</v>
      </c>
      <c r="OW89" s="6"/>
      <c r="OX89" s="6"/>
      <c r="OY89" s="6"/>
      <c r="OZ89" s="6"/>
      <c r="PA89" s="5" t="str">
        <f t="shared" si="347"/>
        <v>NO APLICA</v>
      </c>
      <c r="PB89" s="6"/>
      <c r="PC89" s="6"/>
      <c r="PD89" s="6"/>
      <c r="PE89" s="6"/>
      <c r="PF89" s="5" t="str">
        <f t="shared" si="348"/>
        <v>NO APLICA</v>
      </c>
      <c r="PG89" s="6"/>
      <c r="PH89" s="6"/>
      <c r="PI89" s="6"/>
      <c r="PJ89" s="6"/>
      <c r="PK89" s="5" t="str">
        <f t="shared" si="349"/>
        <v>NO APLICA</v>
      </c>
      <c r="PL89" s="5"/>
      <c r="PM89" s="6"/>
      <c r="PN89" s="4"/>
      <c r="PO89" s="8"/>
      <c r="PP89" s="5" t="str">
        <f t="shared" si="350"/>
        <v>NO APLICA</v>
      </c>
      <c r="PQ89" s="6"/>
      <c r="PR89" s="6"/>
      <c r="PS89" s="6"/>
      <c r="PT89" s="6"/>
      <c r="PU89" s="5" t="str">
        <f t="shared" si="351"/>
        <v>NO APLICA</v>
      </c>
      <c r="PV89" s="5"/>
      <c r="PW89" s="6"/>
      <c r="PX89" s="6"/>
      <c r="PY89" s="6"/>
      <c r="PZ89" s="5" t="str">
        <f t="shared" si="352"/>
        <v>NO APLICA</v>
      </c>
    </row>
    <row r="90" spans="1:442" ht="15.6" hidden="1" thickTop="1" thickBot="1" x14ac:dyDescent="0.35">
      <c r="A90" s="26">
        <v>87</v>
      </c>
      <c r="B90" s="27">
        <v>1504</v>
      </c>
      <c r="C90" s="28" t="s">
        <v>320</v>
      </c>
      <c r="D90" s="29" t="s">
        <v>68</v>
      </c>
      <c r="E90" s="30" t="s">
        <v>129</v>
      </c>
      <c r="F90" s="5"/>
      <c r="G90" s="6"/>
      <c r="H90" s="4"/>
      <c r="I90" s="8"/>
      <c r="J90" s="5" t="str">
        <f t="shared" si="242"/>
        <v>NO APLICA</v>
      </c>
      <c r="K90" s="5"/>
      <c r="L90" s="6"/>
      <c r="M90" s="6"/>
      <c r="N90" s="8"/>
      <c r="O90" s="5" t="str">
        <f t="shared" si="243"/>
        <v>NO APLICA</v>
      </c>
      <c r="P90" s="6"/>
      <c r="Q90" s="6"/>
      <c r="R90" s="4"/>
      <c r="S90" s="8"/>
      <c r="T90" s="5" t="str">
        <f t="shared" si="353"/>
        <v>NO APLICA</v>
      </c>
      <c r="U90" s="5"/>
      <c r="V90" s="2" t="s">
        <v>321</v>
      </c>
      <c r="W90" s="4">
        <v>44838</v>
      </c>
      <c r="X90" s="4">
        <f t="shared" si="244"/>
        <v>46664</v>
      </c>
      <c r="Y90" s="8">
        <f t="shared" ca="1" si="245"/>
        <v>519</v>
      </c>
      <c r="Z90" s="5" t="str">
        <f t="shared" ca="1" si="246"/>
        <v>VIGENTE</v>
      </c>
      <c r="AA90" s="5"/>
      <c r="AB90" s="2" t="s">
        <v>322</v>
      </c>
      <c r="AC90" s="4">
        <v>44826</v>
      </c>
      <c r="AD90" s="4">
        <f>DATE(YEAR(AC90)+5,MONTH(AC90),DAY(AC90))</f>
        <v>46652</v>
      </c>
      <c r="AE90" s="8">
        <f ca="1">AD90-TODAY()</f>
        <v>507</v>
      </c>
      <c r="AF90" s="5" t="str">
        <f t="shared" ca="1" si="247"/>
        <v>VIGENTE</v>
      </c>
      <c r="AG90" s="3"/>
      <c r="AH90" s="4">
        <v>45589</v>
      </c>
      <c r="AI90" s="4">
        <f>DATE(YEAR(AH90)+2,MONTH(AH90),DAY(AH90)-1)</f>
        <v>46318</v>
      </c>
      <c r="AJ90" s="8">
        <f t="shared" ca="1" si="248"/>
        <v>173</v>
      </c>
      <c r="AK90" s="5" t="str">
        <f t="shared" ca="1" si="219"/>
        <v>VIGENTE</v>
      </c>
      <c r="AL90" s="3"/>
      <c r="AM90" s="4">
        <v>45926</v>
      </c>
      <c r="AN90" s="4">
        <f t="shared" si="390"/>
        <v>46656</v>
      </c>
      <c r="AO90" s="8">
        <f t="shared" ca="1" si="249"/>
        <v>511</v>
      </c>
      <c r="AP90" s="5" t="str">
        <f t="shared" ca="1" si="250"/>
        <v>VIGENTE</v>
      </c>
      <c r="AQ90" s="3"/>
      <c r="AR90" s="4">
        <v>45967</v>
      </c>
      <c r="AS90" s="4">
        <f t="shared" si="391"/>
        <v>46697</v>
      </c>
      <c r="AT90" s="8">
        <f t="shared" ca="1" si="251"/>
        <v>552</v>
      </c>
      <c r="AU90" s="5" t="str">
        <f t="shared" ca="1" si="252"/>
        <v>VIGENTE</v>
      </c>
      <c r="AV90" s="3"/>
      <c r="AW90" s="4">
        <v>45972</v>
      </c>
      <c r="AX90" s="4">
        <f t="shared" si="392"/>
        <v>46702</v>
      </c>
      <c r="AY90" s="8">
        <f t="shared" ca="1" si="253"/>
        <v>557</v>
      </c>
      <c r="AZ90" s="5" t="str">
        <f t="shared" ca="1" si="254"/>
        <v>VIGENTE</v>
      </c>
      <c r="BA90" s="3"/>
      <c r="BB90" s="4">
        <v>46041</v>
      </c>
      <c r="BC90" s="4">
        <f>DATE(YEAR(BB90)+2,MONTH(BB90),DAY(BB90))</f>
        <v>46771</v>
      </c>
      <c r="BD90" s="8">
        <f t="shared" ca="1" si="255"/>
        <v>626</v>
      </c>
      <c r="BE90" s="5" t="str">
        <f t="shared" ca="1" si="256"/>
        <v>VIGENTE</v>
      </c>
      <c r="BF90" s="3"/>
      <c r="BG90" s="4">
        <v>46027</v>
      </c>
      <c r="BH90" s="4">
        <f t="shared" si="398"/>
        <v>46757</v>
      </c>
      <c r="BI90" s="8">
        <f t="shared" ca="1" si="257"/>
        <v>612</v>
      </c>
      <c r="BJ90" s="5" t="str">
        <f t="shared" ca="1" si="258"/>
        <v>VIGENTE</v>
      </c>
      <c r="BK90" s="3"/>
      <c r="BL90" s="4">
        <v>46065</v>
      </c>
      <c r="BM90" s="4">
        <f>DATE(YEAR(BL90)+2,MONTH(BL90),DAY(BL90))</f>
        <v>46795</v>
      </c>
      <c r="BN90" s="8">
        <f t="shared" ca="1" si="259"/>
        <v>650</v>
      </c>
      <c r="BO90" s="5" t="str">
        <f t="shared" ca="1" si="260"/>
        <v>VIGENTE</v>
      </c>
      <c r="BP90" s="3"/>
      <c r="BQ90" s="39">
        <v>46069</v>
      </c>
      <c r="BR90" s="4">
        <f>DATE(YEAR(BQ90)+2,MONTH(BQ90),DAY(BQ90))</f>
        <v>46799</v>
      </c>
      <c r="BS90" s="8">
        <f t="shared" ca="1" si="261"/>
        <v>654</v>
      </c>
      <c r="BT90" s="5" t="str">
        <f t="shared" ca="1" si="262"/>
        <v>VIGENTE</v>
      </c>
      <c r="BU90" s="3"/>
      <c r="BV90" s="4">
        <v>46126</v>
      </c>
      <c r="BW90" s="4">
        <f>DATE(YEAR(BV90)+2,MONTH(BV90),DAY(BV90)-1)</f>
        <v>46856</v>
      </c>
      <c r="BX90" s="8">
        <f t="shared" ca="1" si="263"/>
        <v>711</v>
      </c>
      <c r="BY90" s="5" t="str">
        <f t="shared" ca="1" si="264"/>
        <v>VIGENTE</v>
      </c>
      <c r="BZ90" s="3"/>
      <c r="CA90" s="4">
        <v>45944</v>
      </c>
      <c r="CB90" s="4">
        <f t="shared" si="393"/>
        <v>46674</v>
      </c>
      <c r="CC90" s="8">
        <f t="shared" ca="1" si="265"/>
        <v>529</v>
      </c>
      <c r="CD90" s="5" t="str">
        <f t="shared" ca="1" si="266"/>
        <v>VIGENTE</v>
      </c>
      <c r="CE90" s="6"/>
      <c r="CF90" s="4">
        <v>45211</v>
      </c>
      <c r="CG90" s="4">
        <f t="shared" si="387"/>
        <v>46672</v>
      </c>
      <c r="CH90" s="8">
        <f t="shared" ca="1" si="388"/>
        <v>527</v>
      </c>
      <c r="CI90" s="5" t="str">
        <f t="shared" ca="1" si="269"/>
        <v>VIGENTE</v>
      </c>
      <c r="CJ90" s="4"/>
      <c r="CK90" s="4">
        <v>45973</v>
      </c>
      <c r="CL90" s="4">
        <f>DATE(YEAR(CK90)+2,MONTH(CK90),DAY(CK90))</f>
        <v>46703</v>
      </c>
      <c r="CM90" s="8">
        <f t="shared" ca="1" si="270"/>
        <v>558</v>
      </c>
      <c r="CN90" s="5" t="str">
        <f t="shared" ca="1" si="271"/>
        <v>VIGENTE</v>
      </c>
      <c r="CO90" s="3"/>
      <c r="CP90" s="39">
        <v>45979</v>
      </c>
      <c r="CQ90" s="4">
        <f>DATE(YEAR(CP90)+2,MONTH(CP90),DAY(CP90))</f>
        <v>46709</v>
      </c>
      <c r="CR90" s="8">
        <f t="shared" ca="1" si="272"/>
        <v>564</v>
      </c>
      <c r="CS90" s="5" t="str">
        <f t="shared" ca="1" si="273"/>
        <v>VIGENTE</v>
      </c>
      <c r="CT90" s="3"/>
      <c r="CU90" s="4">
        <v>45631</v>
      </c>
      <c r="CV90" s="4">
        <f>DATE(YEAR(CU90)+2,MONTH(CU90),DAY(CU90)-1)</f>
        <v>46360</v>
      </c>
      <c r="CW90" s="8">
        <f t="shared" ca="1" si="274"/>
        <v>215</v>
      </c>
      <c r="CX90" s="5" t="str">
        <f t="shared" ca="1" si="275"/>
        <v>VIGENTE</v>
      </c>
      <c r="CY90" s="3"/>
      <c r="CZ90" s="4">
        <v>45665</v>
      </c>
      <c r="DA90" s="4">
        <f>DATE(YEAR(CZ90)+2,MONTH(CZ90),DAY(CZ90)-1)</f>
        <v>46394</v>
      </c>
      <c r="DB90" s="8">
        <f t="shared" ca="1" si="276"/>
        <v>249</v>
      </c>
      <c r="DC90" s="5" t="str">
        <f t="shared" ca="1" si="277"/>
        <v>VIGENTE</v>
      </c>
      <c r="DD90" s="3"/>
      <c r="DE90" s="39">
        <v>45689</v>
      </c>
      <c r="DF90" s="4">
        <f t="shared" si="386"/>
        <v>46418</v>
      </c>
      <c r="DG90" s="8">
        <f t="shared" ca="1" si="278"/>
        <v>273</v>
      </c>
      <c r="DH90" s="5" t="str">
        <f t="shared" ca="1" si="279"/>
        <v>VIGENTE</v>
      </c>
      <c r="DI90" s="3"/>
      <c r="DJ90" s="39">
        <v>45955</v>
      </c>
      <c r="DK90" s="4">
        <f t="shared" si="394"/>
        <v>46685</v>
      </c>
      <c r="DL90" s="8">
        <f t="shared" ca="1" si="280"/>
        <v>540</v>
      </c>
      <c r="DM90" s="5" t="str">
        <f t="shared" ca="1" si="281"/>
        <v>VIGENTE</v>
      </c>
      <c r="DN90" s="3"/>
      <c r="DO90" s="4">
        <v>45520</v>
      </c>
      <c r="DP90" s="4">
        <f>DATE(YEAR(DO90)+2,MONTH(DO90),DAY(DO90)-1)</f>
        <v>46249</v>
      </c>
      <c r="DQ90" s="8">
        <f t="shared" ca="1" si="282"/>
        <v>104</v>
      </c>
      <c r="DR90" s="5" t="str">
        <f t="shared" ca="1" si="283"/>
        <v>VIGENTE</v>
      </c>
      <c r="DS90" s="3"/>
      <c r="DT90" s="4">
        <v>46072</v>
      </c>
      <c r="DU90" s="4">
        <f>DATE(YEAR(DT90)+2,MONTH(DT90),DAY(DT90))</f>
        <v>46802</v>
      </c>
      <c r="DV90" s="8">
        <f t="shared" ca="1" si="284"/>
        <v>657</v>
      </c>
      <c r="DW90" s="5" t="str">
        <f t="shared" ca="1" si="285"/>
        <v>VIGENTE</v>
      </c>
      <c r="DX90" s="3"/>
      <c r="DY90" s="4">
        <v>46020</v>
      </c>
      <c r="DZ90" s="4">
        <f>DATE(YEAR(DY90)+2,MONTH(DY90),DAY(DY90))</f>
        <v>46750</v>
      </c>
      <c r="EA90" s="8">
        <f t="shared" ca="1" si="286"/>
        <v>605</v>
      </c>
      <c r="EB90" s="5" t="str">
        <f t="shared" ca="1" si="287"/>
        <v>VIGENTE</v>
      </c>
      <c r="EC90" s="3"/>
      <c r="ED90" s="39">
        <v>45938</v>
      </c>
      <c r="EE90" s="4">
        <f>DATE(YEAR(ED90)+2,MONTH(ED90),DAY(ED90))</f>
        <v>46668</v>
      </c>
      <c r="EF90" s="8">
        <f t="shared" ca="1" si="288"/>
        <v>523</v>
      </c>
      <c r="EG90" s="5" t="str">
        <f t="shared" ca="1" si="289"/>
        <v>VIGENTE</v>
      </c>
      <c r="EH90" s="3"/>
      <c r="EI90" s="4">
        <v>45948</v>
      </c>
      <c r="EJ90" s="4">
        <f t="shared" si="355"/>
        <v>46313</v>
      </c>
      <c r="EK90" s="8">
        <f t="shared" ca="1" si="290"/>
        <v>168</v>
      </c>
      <c r="EL90" s="5" t="str">
        <f t="shared" ca="1" si="291"/>
        <v>VIGENTE</v>
      </c>
      <c r="EM90" s="3"/>
      <c r="EN90" s="4">
        <v>45983</v>
      </c>
      <c r="EO90" s="4">
        <f>DATE(YEAR(EN90)+2,MONTH(EN90),DAY(EN90))</f>
        <v>46713</v>
      </c>
      <c r="EP90" s="8">
        <f t="shared" ca="1" si="292"/>
        <v>568</v>
      </c>
      <c r="EQ90" s="5" t="str">
        <f t="shared" ca="1" si="293"/>
        <v>VIGENTE</v>
      </c>
      <c r="ER90" s="3"/>
      <c r="ES90" s="39">
        <v>46094</v>
      </c>
      <c r="ET90" s="4">
        <f t="shared" si="395"/>
        <v>46825</v>
      </c>
      <c r="EU90" s="8">
        <f t="shared" ca="1" si="294"/>
        <v>680</v>
      </c>
      <c r="EV90" s="5" t="str">
        <f t="shared" ca="1" si="295"/>
        <v>VIGENTE</v>
      </c>
      <c r="EW90" s="3"/>
      <c r="EX90" s="4">
        <v>45953</v>
      </c>
      <c r="EY90" s="4">
        <f>DATE(YEAR(EX90)+2,MONTH(EX90),DAY(EX90))</f>
        <v>46683</v>
      </c>
      <c r="EZ90" s="8">
        <f t="shared" ca="1" si="296"/>
        <v>538</v>
      </c>
      <c r="FA90" s="5" t="str">
        <f t="shared" ca="1" si="297"/>
        <v>VIGENTE</v>
      </c>
      <c r="FB90" s="3"/>
      <c r="FC90" s="4">
        <v>45951</v>
      </c>
      <c r="FD90" s="4">
        <f t="shared" si="396"/>
        <v>46681</v>
      </c>
      <c r="FE90" s="8">
        <f t="shared" ca="1" si="298"/>
        <v>536</v>
      </c>
      <c r="FF90" s="5" t="str">
        <f t="shared" ca="1" si="299"/>
        <v>VIGENTE</v>
      </c>
      <c r="FG90" s="4"/>
      <c r="FH90" s="4">
        <v>45932</v>
      </c>
      <c r="FI90" s="4">
        <f t="shared" si="397"/>
        <v>46662</v>
      </c>
      <c r="FJ90" s="8">
        <f t="shared" ca="1" si="300"/>
        <v>517</v>
      </c>
      <c r="FK90" s="5" t="str">
        <f t="shared" ca="1" si="301"/>
        <v>VIGENTE</v>
      </c>
      <c r="FL90" s="3"/>
      <c r="FM90" s="39">
        <v>45933</v>
      </c>
      <c r="FN90" s="4">
        <f>DATE(YEAR(FM90)+2,MONTH(FM90),DAY(FM90))</f>
        <v>46663</v>
      </c>
      <c r="FO90" s="8">
        <f t="shared" ca="1" si="302"/>
        <v>518</v>
      </c>
      <c r="FP90" s="5" t="str">
        <f t="shared" ca="1" si="303"/>
        <v>VIGENTE</v>
      </c>
      <c r="FQ90" s="3"/>
      <c r="FR90" s="39">
        <v>45957</v>
      </c>
      <c r="FS90" s="4">
        <f>DATE(YEAR(FR90)+2,MONTH(FR90),DAY(FR90))</f>
        <v>46687</v>
      </c>
      <c r="FT90" s="8">
        <f t="shared" ca="1" si="304"/>
        <v>542</v>
      </c>
      <c r="FU90" s="5" t="str">
        <f t="shared" ca="1" si="305"/>
        <v>VIGENTE</v>
      </c>
      <c r="FV90" s="3"/>
      <c r="FW90" s="4">
        <v>45547</v>
      </c>
      <c r="FX90" s="4">
        <f>DATE(YEAR(FW90)+2,MONTH(FW90),DAY(FW90)-1)</f>
        <v>46276</v>
      </c>
      <c r="FY90" s="8">
        <f t="shared" ca="1" si="306"/>
        <v>131</v>
      </c>
      <c r="FZ90" s="5" t="str">
        <f t="shared" ca="1" si="307"/>
        <v>VIGENTE</v>
      </c>
      <c r="GA90" s="3"/>
      <c r="GB90" s="4">
        <v>46030</v>
      </c>
      <c r="GC90" s="4">
        <f>DATE(YEAR(GB90)+2,MONTH(GB90),DAY(GB90))</f>
        <v>46760</v>
      </c>
      <c r="GD90" s="8">
        <f t="shared" ca="1" si="308"/>
        <v>615</v>
      </c>
      <c r="GE90" s="5" t="str">
        <f t="shared" ca="1" si="309"/>
        <v>VIGENTE</v>
      </c>
      <c r="GF90" s="3"/>
      <c r="GG90" s="4">
        <v>45912</v>
      </c>
      <c r="GH90" s="4">
        <f>DATE(YEAR(GG90)+2,MONTH(GG90),DAY(GG90))</f>
        <v>46642</v>
      </c>
      <c r="GI90" s="8">
        <f t="shared" ca="1" si="310"/>
        <v>497</v>
      </c>
      <c r="GJ90" s="5" t="str">
        <f t="shared" ca="1" si="311"/>
        <v>VIGENTE</v>
      </c>
      <c r="GK90" s="3"/>
      <c r="GL90" s="4">
        <v>45945</v>
      </c>
      <c r="GM90" s="4">
        <f>DATE(YEAR(GL90)+2,MONTH(GL90),DAY(GL90))</f>
        <v>46675</v>
      </c>
      <c r="GN90" s="8">
        <f t="shared" ca="1" si="312"/>
        <v>530</v>
      </c>
      <c r="GO90" s="5" t="str">
        <f t="shared" ca="1" si="313"/>
        <v>VIGENTE</v>
      </c>
      <c r="GP90" s="4"/>
      <c r="GQ90" s="4">
        <v>44966</v>
      </c>
      <c r="GR90" s="4">
        <f t="shared" si="314"/>
        <v>46792</v>
      </c>
      <c r="GS90" s="8">
        <f t="shared" ca="1" si="384"/>
        <v>647</v>
      </c>
      <c r="GT90" s="5" t="str">
        <f t="shared" ca="1" si="378"/>
        <v>VIGENTE</v>
      </c>
      <c r="GU90" s="3"/>
      <c r="GV90" s="4">
        <v>45006</v>
      </c>
      <c r="GW90" s="4">
        <f t="shared" si="316"/>
        <v>46833</v>
      </c>
      <c r="GX90" s="8">
        <f t="shared" ca="1" si="317"/>
        <v>688</v>
      </c>
      <c r="GY90" s="5" t="str">
        <f t="shared" ca="1" si="379"/>
        <v>VIGENTE</v>
      </c>
      <c r="GZ90" s="3"/>
      <c r="HA90" s="4">
        <v>45415</v>
      </c>
      <c r="HB90" s="4">
        <f t="shared" si="319"/>
        <v>47241</v>
      </c>
      <c r="HC90" s="8">
        <f t="shared" ca="1" si="320"/>
        <v>1096</v>
      </c>
      <c r="HD90" s="5" t="str">
        <f t="shared" ca="1" si="380"/>
        <v>VIGENTE</v>
      </c>
      <c r="HE90" s="6"/>
      <c r="HF90" s="4">
        <v>45150</v>
      </c>
      <c r="HG90" s="4">
        <f>DATE(YEAR(HF90)+5,MONTH(HF90),DAY(HF90))</f>
        <v>46977</v>
      </c>
      <c r="HH90" s="8">
        <f ca="1">HG90-TODAY()</f>
        <v>832</v>
      </c>
      <c r="HI90" s="5" t="str">
        <f t="shared" ca="1" si="389"/>
        <v>VIGENTE</v>
      </c>
      <c r="HJ90" s="3"/>
      <c r="HK90" s="4">
        <v>45480</v>
      </c>
      <c r="HL90" s="4">
        <f>DATE(YEAR(HK90)+5,MONTH(HK90),DAY(HK90))</f>
        <v>47306</v>
      </c>
      <c r="HM90" s="8">
        <f ca="1">HL90-TODAY()</f>
        <v>1161</v>
      </c>
      <c r="HN90" s="5" t="str">
        <f t="shared" ca="1" si="385"/>
        <v>VIGENTE</v>
      </c>
      <c r="HO90" s="2"/>
      <c r="HP90" s="2"/>
      <c r="HQ90" s="4"/>
      <c r="HR90" s="2"/>
      <c r="HS90" s="5" t="str">
        <f t="shared" si="322"/>
        <v>NO APLICA</v>
      </c>
      <c r="HT90" s="3"/>
      <c r="HU90" s="4">
        <v>45420</v>
      </c>
      <c r="HV90" s="4">
        <f>DATE(YEAR(HU90)+5,MONTH(HU90),DAY(HU90))</f>
        <v>47246</v>
      </c>
      <c r="HW90" s="8">
        <f ca="1">HV90-TODAY()</f>
        <v>1101</v>
      </c>
      <c r="HX90" s="5" t="str">
        <f t="shared" ca="1" si="323"/>
        <v>VIGENTE</v>
      </c>
      <c r="HY90" s="3"/>
      <c r="HZ90" s="4">
        <v>45395</v>
      </c>
      <c r="IA90" s="4">
        <f>DATE(YEAR(HZ90)+5,MONTH(HZ90),DAY(HZ90))</f>
        <v>47221</v>
      </c>
      <c r="IB90" s="8">
        <f ca="1">IA90-TODAY()</f>
        <v>1076</v>
      </c>
      <c r="IC90" s="5" t="str">
        <f t="shared" ca="1" si="324"/>
        <v>VIGENTE</v>
      </c>
      <c r="ID90" s="3"/>
      <c r="IE90" s="4">
        <v>45406</v>
      </c>
      <c r="IF90" s="4">
        <f>DATE(YEAR(IE90)+5,MONTH(IE90),DAY(IE90))</f>
        <v>47232</v>
      </c>
      <c r="IG90" s="8">
        <f ca="1">IF90-TODAY()</f>
        <v>1087</v>
      </c>
      <c r="IH90" s="5" t="str">
        <f t="shared" ca="1" si="325"/>
        <v>VIGENTE</v>
      </c>
      <c r="II90" s="4"/>
      <c r="IJ90" s="4">
        <v>45266</v>
      </c>
      <c r="IK90" s="4">
        <f>DATE(YEAR(IJ90)+5,MONTH(IJ90),DAY(IJ90))</f>
        <v>47093</v>
      </c>
      <c r="IL90" s="8">
        <f ca="1">IK90-TODAY()</f>
        <v>948</v>
      </c>
      <c r="IM90" s="5" t="str">
        <f t="shared" ca="1" si="326"/>
        <v>VIGENTE</v>
      </c>
      <c r="IN90" s="3"/>
      <c r="IO90" s="4">
        <v>44893</v>
      </c>
      <c r="IP90" s="4">
        <f>DATE(YEAR(IO90)+5,MONTH(IO90),DAY(IO90))</f>
        <v>46719</v>
      </c>
      <c r="IQ90" s="8">
        <f ca="1">IP90-TODAY()</f>
        <v>574</v>
      </c>
      <c r="IR90" s="5" t="str">
        <f t="shared" ca="1" si="327"/>
        <v>VIGENTE</v>
      </c>
      <c r="IS90" s="3"/>
      <c r="IT90" s="4">
        <v>45350</v>
      </c>
      <c r="IU90" s="4">
        <f>DATE(YEAR(IT90)+5,MONTH(IT90),DAY(IT90))</f>
        <v>47177</v>
      </c>
      <c r="IV90" s="8">
        <f ca="1">IU90-TODAY()</f>
        <v>1032</v>
      </c>
      <c r="IW90" s="5" t="str">
        <f t="shared" ca="1" si="328"/>
        <v>VIGENTE</v>
      </c>
      <c r="IX90" s="3"/>
      <c r="IY90" s="4">
        <v>45419</v>
      </c>
      <c r="IZ90" s="4">
        <f>DATE(YEAR(IY90)+5,MONTH(IY90),DAY(IY90))</f>
        <v>47245</v>
      </c>
      <c r="JA90" s="8">
        <f ca="1">IZ90-TODAY()</f>
        <v>1100</v>
      </c>
      <c r="JB90" s="5" t="str">
        <f t="shared" ca="1" si="329"/>
        <v>VIGENTE</v>
      </c>
      <c r="JC90" s="3" t="s">
        <v>780</v>
      </c>
      <c r="JD90" s="3"/>
      <c r="JE90" s="4"/>
      <c r="JF90" s="8"/>
      <c r="JG90" s="5"/>
      <c r="JH90" s="3" t="s">
        <v>780</v>
      </c>
      <c r="JI90" s="6"/>
      <c r="JJ90" s="6"/>
      <c r="JK90" s="6"/>
      <c r="JL90" s="5"/>
      <c r="JM90" s="6" t="s">
        <v>780</v>
      </c>
      <c r="JN90" s="6"/>
      <c r="JO90" s="6"/>
      <c r="JP90" s="6"/>
      <c r="JQ90" s="5"/>
      <c r="JR90" s="6" t="s">
        <v>780</v>
      </c>
      <c r="JS90" s="6"/>
      <c r="JT90" s="6"/>
      <c r="JU90" s="6"/>
      <c r="JV90" s="5"/>
      <c r="JW90" s="6" t="s">
        <v>780</v>
      </c>
      <c r="JX90" s="5"/>
      <c r="JY90" s="5"/>
      <c r="JZ90" s="5"/>
      <c r="KA90" s="5"/>
      <c r="KB90" s="5"/>
      <c r="KC90" s="2"/>
      <c r="KD90" s="4"/>
      <c r="KE90" s="8"/>
      <c r="KF90" s="5" t="str">
        <f t="shared" si="330"/>
        <v>NO APLICA</v>
      </c>
      <c r="KG90" s="5"/>
      <c r="KH90" s="2"/>
      <c r="KI90" s="4"/>
      <c r="KJ90" s="8"/>
      <c r="KK90" s="5" t="str">
        <f t="shared" si="356"/>
        <v>NO APLICA</v>
      </c>
      <c r="KL90" s="5"/>
      <c r="KM90" s="2"/>
      <c r="KN90" s="4"/>
      <c r="KO90" s="8"/>
      <c r="KP90" s="5" t="str">
        <f t="shared" si="331"/>
        <v>NO APLICA</v>
      </c>
      <c r="KQ90" s="5"/>
      <c r="KR90" s="2"/>
      <c r="KS90" s="4"/>
      <c r="KT90" s="8"/>
      <c r="KU90" s="5" t="str">
        <f t="shared" si="357"/>
        <v>NO APLICA</v>
      </c>
      <c r="KV90" s="3"/>
      <c r="KW90" s="4">
        <v>44658</v>
      </c>
      <c r="KX90" s="4">
        <f>DATE(YEAR(KW90)+5,MONTH(KW90),DAY(KW90))</f>
        <v>46484</v>
      </c>
      <c r="KY90" s="8">
        <f ca="1">KX90-TODAY()</f>
        <v>339</v>
      </c>
      <c r="KZ90" s="5" t="str">
        <f t="shared" ca="1" si="366"/>
        <v>VIGENTE</v>
      </c>
      <c r="LA90" s="5"/>
      <c r="LB90" s="4">
        <v>44607</v>
      </c>
      <c r="LC90" s="4">
        <f>DATE(YEAR(LB90)+5,MONTH(LB90),DAY(LB90))</f>
        <v>46433</v>
      </c>
      <c r="LD90" s="8">
        <f ca="1">LC90-TODAY()</f>
        <v>288</v>
      </c>
      <c r="LE90" s="5" t="str">
        <f t="shared" ca="1" si="358"/>
        <v>VIGENTE</v>
      </c>
      <c r="LF90" s="6"/>
      <c r="LG90" s="4"/>
      <c r="LH90" s="4"/>
      <c r="LI90" s="8"/>
      <c r="LJ90" s="5" t="str">
        <f t="shared" si="332"/>
        <v>NO APLICA</v>
      </c>
      <c r="LK90" s="5"/>
      <c r="LL90" s="5"/>
      <c r="LM90" s="4"/>
      <c r="LN90" s="8"/>
      <c r="LO90" s="5" t="str">
        <f t="shared" si="367"/>
        <v>NO APLICA</v>
      </c>
      <c r="LP90" s="2"/>
      <c r="LQ90" s="6"/>
      <c r="LR90" s="4"/>
      <c r="LS90" s="8"/>
      <c r="LT90" s="5" t="str">
        <f t="shared" si="359"/>
        <v>NO APLICA</v>
      </c>
      <c r="LU90" s="6"/>
      <c r="LV90" s="6"/>
      <c r="LW90" s="4"/>
      <c r="LX90" s="8"/>
      <c r="LY90" s="5" t="str">
        <f t="shared" si="360"/>
        <v>NO APLICA</v>
      </c>
      <c r="LZ90" s="6"/>
      <c r="MA90" s="6"/>
      <c r="MB90" s="4"/>
      <c r="MC90" s="8"/>
      <c r="MD90" s="5" t="str">
        <f t="shared" si="361"/>
        <v>NO APLICA</v>
      </c>
      <c r="ME90" s="2"/>
      <c r="MF90" s="2"/>
      <c r="MG90" s="4"/>
      <c r="MH90" s="8"/>
      <c r="MI90" s="5" t="str">
        <f t="shared" si="333"/>
        <v>NO APLICA</v>
      </c>
      <c r="MJ90" s="2"/>
      <c r="MK90" s="2"/>
      <c r="ML90" s="4"/>
      <c r="MM90" s="8"/>
      <c r="MN90" s="5" t="str">
        <f t="shared" si="334"/>
        <v>NO APLICA</v>
      </c>
      <c r="MO90" s="5"/>
      <c r="MP90" s="2"/>
      <c r="MQ90" s="4"/>
      <c r="MR90" s="8"/>
      <c r="MS90" s="5" t="str">
        <f t="shared" si="335"/>
        <v>NO APLICA</v>
      </c>
      <c r="MT90" s="5"/>
      <c r="MU90" s="2"/>
      <c r="MV90" s="4"/>
      <c r="MW90" s="2"/>
      <c r="MX90" s="5" t="str">
        <f t="shared" si="336"/>
        <v>NO APLICA</v>
      </c>
      <c r="MY90" s="2"/>
      <c r="MZ90" s="6"/>
      <c r="NA90" s="4"/>
      <c r="NB90" s="8"/>
      <c r="NC90" s="5" t="str">
        <f t="shared" si="337"/>
        <v>NO APLICA</v>
      </c>
      <c r="ND90" s="2"/>
      <c r="NE90" s="6"/>
      <c r="NF90" s="4"/>
      <c r="NG90" s="8"/>
      <c r="NH90" s="5" t="str">
        <f t="shared" si="338"/>
        <v>NO APLICA</v>
      </c>
      <c r="NI90" s="2"/>
      <c r="NJ90" s="6"/>
      <c r="NK90" s="4"/>
      <c r="NL90" s="8"/>
      <c r="NM90" s="5" t="str">
        <f t="shared" si="339"/>
        <v>NO APLICA</v>
      </c>
      <c r="NN90" s="2"/>
      <c r="NO90" s="2"/>
      <c r="NP90" s="4"/>
      <c r="NQ90" s="2"/>
      <c r="NR90" s="5" t="str">
        <f t="shared" si="340"/>
        <v>NO APLICA</v>
      </c>
      <c r="NS90" s="2"/>
      <c r="NT90" s="2"/>
      <c r="NU90" s="4"/>
      <c r="NV90" s="2"/>
      <c r="NW90" s="5" t="str">
        <f t="shared" si="341"/>
        <v>NO APLICA</v>
      </c>
      <c r="NX90" s="6"/>
      <c r="NY90" s="6"/>
      <c r="NZ90" s="4"/>
      <c r="OA90" s="8"/>
      <c r="OB90" s="5" t="str">
        <f t="shared" si="342"/>
        <v>NO APLICA</v>
      </c>
      <c r="OC90" s="6"/>
      <c r="OD90" s="6"/>
      <c r="OE90" s="6"/>
      <c r="OF90" s="6"/>
      <c r="OG90" s="5" t="str">
        <f t="shared" si="343"/>
        <v>NO APLICA</v>
      </c>
      <c r="OH90" s="2"/>
      <c r="OI90" s="2"/>
      <c r="OJ90" s="4"/>
      <c r="OK90" s="8"/>
      <c r="OL90" s="5" t="str">
        <f t="shared" si="344"/>
        <v>NO APLICA</v>
      </c>
      <c r="OM90" s="6"/>
      <c r="ON90" s="6"/>
      <c r="OO90" s="6"/>
      <c r="OP90" s="6"/>
      <c r="OQ90" s="5" t="str">
        <f t="shared" si="345"/>
        <v>NO APLICA</v>
      </c>
      <c r="OR90" s="6"/>
      <c r="OS90" s="6"/>
      <c r="OT90" s="6"/>
      <c r="OU90" s="6"/>
      <c r="OV90" s="5" t="str">
        <f t="shared" si="346"/>
        <v>NO APLICA</v>
      </c>
      <c r="OW90" s="6"/>
      <c r="OX90" s="6"/>
      <c r="OY90" s="6"/>
      <c r="OZ90" s="6"/>
      <c r="PA90" s="5" t="str">
        <f t="shared" si="347"/>
        <v>NO APLICA</v>
      </c>
      <c r="PB90" s="6"/>
      <c r="PC90" s="6"/>
      <c r="PD90" s="6"/>
      <c r="PE90" s="6"/>
      <c r="PF90" s="5" t="str">
        <f t="shared" si="348"/>
        <v>NO APLICA</v>
      </c>
      <c r="PG90" s="6"/>
      <c r="PH90" s="6"/>
      <c r="PI90" s="6"/>
      <c r="PJ90" s="6"/>
      <c r="PK90" s="5" t="str">
        <f t="shared" si="349"/>
        <v>NO APLICA</v>
      </c>
      <c r="PL90" s="5"/>
      <c r="PM90" s="6"/>
      <c r="PN90" s="4"/>
      <c r="PO90" s="8"/>
      <c r="PP90" s="5" t="str">
        <f t="shared" si="350"/>
        <v>NO APLICA</v>
      </c>
      <c r="PQ90" s="6"/>
      <c r="PR90" s="6"/>
      <c r="PS90" s="6"/>
      <c r="PT90" s="6"/>
      <c r="PU90" s="5" t="str">
        <f t="shared" si="351"/>
        <v>NO APLICA</v>
      </c>
      <c r="PV90" s="5"/>
      <c r="PW90" s="6"/>
      <c r="PX90" s="6"/>
      <c r="PY90" s="6"/>
      <c r="PZ90" s="5" t="str">
        <f t="shared" si="352"/>
        <v>NO APLICA</v>
      </c>
    </row>
    <row r="91" spans="1:442" ht="15.6" hidden="1" thickTop="1" thickBot="1" x14ac:dyDescent="0.35">
      <c r="A91" s="26">
        <v>88</v>
      </c>
      <c r="B91" s="31">
        <v>1655</v>
      </c>
      <c r="C91" s="28" t="s">
        <v>323</v>
      </c>
      <c r="D91" s="29" t="s">
        <v>68</v>
      </c>
      <c r="E91" s="30" t="s">
        <v>73</v>
      </c>
      <c r="F91" s="5"/>
      <c r="G91" s="6"/>
      <c r="H91" s="4"/>
      <c r="I91" s="8"/>
      <c r="J91" s="5" t="str">
        <f t="shared" si="242"/>
        <v>NO APLICA</v>
      </c>
      <c r="K91" s="5"/>
      <c r="L91" s="6"/>
      <c r="M91" s="6"/>
      <c r="N91" s="8"/>
      <c r="O91" s="5" t="str">
        <f t="shared" si="243"/>
        <v>NO APLICA</v>
      </c>
      <c r="P91" s="4"/>
      <c r="Q91" s="4"/>
      <c r="R91" s="4"/>
      <c r="S91" s="8"/>
      <c r="T91" s="5" t="str">
        <f t="shared" si="353"/>
        <v>NO APLICA</v>
      </c>
      <c r="U91" s="5"/>
      <c r="V91" s="2" t="s">
        <v>324</v>
      </c>
      <c r="W91" s="4">
        <v>44422</v>
      </c>
      <c r="X91" s="4">
        <f t="shared" si="244"/>
        <v>46248</v>
      </c>
      <c r="Y91" s="8">
        <f t="shared" ca="1" si="245"/>
        <v>103</v>
      </c>
      <c r="Z91" s="5" t="str">
        <f t="shared" ca="1" si="246"/>
        <v>VIGENTE</v>
      </c>
      <c r="AA91" s="5"/>
      <c r="AB91" s="2" t="s">
        <v>325</v>
      </c>
      <c r="AC91" s="4">
        <v>45192</v>
      </c>
      <c r="AD91" s="4">
        <f>DATE(YEAR(AC91)+5,MONTH(AC91),DAY(AC91))</f>
        <v>47019</v>
      </c>
      <c r="AE91" s="8">
        <f ca="1">AD91-TODAY()</f>
        <v>874</v>
      </c>
      <c r="AF91" s="5" t="str">
        <f t="shared" ca="1" si="247"/>
        <v>VIGENTE</v>
      </c>
      <c r="AG91" s="3"/>
      <c r="AH91" s="4">
        <v>46006</v>
      </c>
      <c r="AI91" s="4">
        <f>DATE(YEAR(AH91)+2,MONTH(AH91),DAY(AH91))</f>
        <v>46736</v>
      </c>
      <c r="AJ91" s="8">
        <f t="shared" ca="1" si="248"/>
        <v>591</v>
      </c>
      <c r="AK91" s="5" t="str">
        <f t="shared" ca="1" si="219"/>
        <v>VIGENTE</v>
      </c>
      <c r="AL91" s="2"/>
      <c r="AM91" s="4">
        <v>45937</v>
      </c>
      <c r="AN91" s="4">
        <f t="shared" si="390"/>
        <v>46667</v>
      </c>
      <c r="AO91" s="8">
        <f t="shared" ca="1" si="249"/>
        <v>522</v>
      </c>
      <c r="AP91" s="5" t="str">
        <f t="shared" ca="1" si="250"/>
        <v>VIGENTE</v>
      </c>
      <c r="AQ91" s="3"/>
      <c r="AR91" s="4">
        <v>45967</v>
      </c>
      <c r="AS91" s="4">
        <f t="shared" si="391"/>
        <v>46697</v>
      </c>
      <c r="AT91" s="8">
        <f t="shared" ca="1" si="251"/>
        <v>552</v>
      </c>
      <c r="AU91" s="5" t="str">
        <f t="shared" ca="1" si="252"/>
        <v>VIGENTE</v>
      </c>
      <c r="AV91" s="3"/>
      <c r="AW91" s="4">
        <v>45972</v>
      </c>
      <c r="AX91" s="4">
        <f t="shared" si="392"/>
        <v>46702</v>
      </c>
      <c r="AY91" s="8">
        <f t="shared" ca="1" si="253"/>
        <v>557</v>
      </c>
      <c r="AZ91" s="5" t="str">
        <f t="shared" ca="1" si="254"/>
        <v>VIGENTE</v>
      </c>
      <c r="BA91" s="3"/>
      <c r="BB91" s="4">
        <v>45930</v>
      </c>
      <c r="BC91" s="4">
        <f>DATE(YEAR(BB91)+2,MONTH(BB91),DAY(BB91))</f>
        <v>46660</v>
      </c>
      <c r="BD91" s="8">
        <f t="shared" ca="1" si="255"/>
        <v>515</v>
      </c>
      <c r="BE91" s="5" t="str">
        <f t="shared" ca="1" si="256"/>
        <v>VIGENTE</v>
      </c>
      <c r="BF91" s="2"/>
      <c r="BG91" s="4">
        <v>45987</v>
      </c>
      <c r="BH91" s="4">
        <f t="shared" si="398"/>
        <v>46717</v>
      </c>
      <c r="BI91" s="8">
        <f t="shared" ca="1" si="257"/>
        <v>572</v>
      </c>
      <c r="BJ91" s="5" t="str">
        <f t="shared" ca="1" si="258"/>
        <v>VIGENTE</v>
      </c>
      <c r="BK91" s="3"/>
      <c r="BL91" s="4">
        <v>46017</v>
      </c>
      <c r="BM91" s="4">
        <f>DATE(YEAR(BL91)+2,MONTH(BL91),DAY(BL91))</f>
        <v>46747</v>
      </c>
      <c r="BN91" s="8">
        <f t="shared" ca="1" si="259"/>
        <v>602</v>
      </c>
      <c r="BO91" s="5" t="str">
        <f t="shared" ca="1" si="260"/>
        <v>VIGENTE</v>
      </c>
      <c r="BP91" s="4"/>
      <c r="BQ91" s="39">
        <v>45981</v>
      </c>
      <c r="BR91" s="4">
        <f>DATE(YEAR(BQ91)+2,MONTH(BQ91),DAY(BQ91))</f>
        <v>46711</v>
      </c>
      <c r="BS91" s="8">
        <f t="shared" ca="1" si="261"/>
        <v>566</v>
      </c>
      <c r="BT91" s="5" t="str">
        <f t="shared" ca="1" si="262"/>
        <v>VIGENTE</v>
      </c>
      <c r="BU91" s="3"/>
      <c r="BV91" s="4">
        <v>46031</v>
      </c>
      <c r="BW91" s="4">
        <f>DATE(YEAR(BV91)+2,MONTH(BV91),DAY(BV91))</f>
        <v>46761</v>
      </c>
      <c r="BX91" s="8">
        <f t="shared" ca="1" si="263"/>
        <v>616</v>
      </c>
      <c r="BY91" s="5" t="str">
        <f t="shared" ca="1" si="264"/>
        <v>VIGENTE</v>
      </c>
      <c r="BZ91" s="2"/>
      <c r="CA91" s="4">
        <v>45986</v>
      </c>
      <c r="CB91" s="4">
        <f t="shared" si="393"/>
        <v>46716</v>
      </c>
      <c r="CC91" s="8">
        <f t="shared" ca="1" si="265"/>
        <v>571</v>
      </c>
      <c r="CD91" s="5" t="str">
        <f t="shared" ca="1" si="266"/>
        <v>VIGENTE</v>
      </c>
      <c r="CE91" s="6"/>
      <c r="CF91" s="4">
        <v>45547</v>
      </c>
      <c r="CG91" s="4">
        <f t="shared" si="387"/>
        <v>47008</v>
      </c>
      <c r="CH91" s="8">
        <f t="shared" ca="1" si="388"/>
        <v>863</v>
      </c>
      <c r="CI91" s="5" t="str">
        <f t="shared" ca="1" si="269"/>
        <v>VIGENTE</v>
      </c>
      <c r="CJ91" s="4"/>
      <c r="CK91" s="4">
        <v>46020</v>
      </c>
      <c r="CL91" s="4">
        <f>DATE(YEAR(CK91)+2,MONTH(CK91),DAY(CK91))</f>
        <v>46750</v>
      </c>
      <c r="CM91" s="8">
        <f t="shared" ca="1" si="270"/>
        <v>605</v>
      </c>
      <c r="CN91" s="5" t="str">
        <f t="shared" ca="1" si="271"/>
        <v>VIGENTE</v>
      </c>
      <c r="CO91" s="4"/>
      <c r="CP91" s="39">
        <v>45979</v>
      </c>
      <c r="CQ91" s="4">
        <f>DATE(YEAR(CP91)+2,MONTH(CP91),DAY(CP91))</f>
        <v>46709</v>
      </c>
      <c r="CR91" s="8">
        <f t="shared" ca="1" si="272"/>
        <v>564</v>
      </c>
      <c r="CS91" s="5" t="str">
        <f t="shared" ca="1" si="273"/>
        <v>VIGENTE</v>
      </c>
      <c r="CT91" s="2"/>
      <c r="CU91" s="4">
        <v>45939</v>
      </c>
      <c r="CV91" s="4">
        <f>DATE(YEAR(CU91)+2,MONTH(CU91),DAY(CU91))</f>
        <v>46669</v>
      </c>
      <c r="CW91" s="8">
        <f t="shared" ca="1" si="274"/>
        <v>524</v>
      </c>
      <c r="CX91" s="5" t="str">
        <f t="shared" ca="1" si="275"/>
        <v>VIGENTE</v>
      </c>
      <c r="CY91" s="3"/>
      <c r="CZ91" s="4">
        <v>45924</v>
      </c>
      <c r="DA91" s="4">
        <f>DATE(YEAR(CZ91)+2,MONTH(CZ91),DAY(CZ91))</f>
        <v>46654</v>
      </c>
      <c r="DB91" s="8">
        <f t="shared" ca="1" si="276"/>
        <v>509</v>
      </c>
      <c r="DC91" s="5" t="str">
        <f t="shared" ca="1" si="277"/>
        <v>VIGENTE</v>
      </c>
      <c r="DD91" s="4"/>
      <c r="DE91" s="39">
        <v>46045</v>
      </c>
      <c r="DF91" s="4">
        <f>DATE(YEAR(DE91)+2,MONTH(DE91),DAY(DE91))</f>
        <v>46775</v>
      </c>
      <c r="DG91" s="8">
        <f t="shared" ca="1" si="278"/>
        <v>630</v>
      </c>
      <c r="DH91" s="5" t="str">
        <f t="shared" ca="1" si="279"/>
        <v>VIGENTE</v>
      </c>
      <c r="DI91" s="3"/>
      <c r="DJ91" s="39">
        <v>45955</v>
      </c>
      <c r="DK91" s="4">
        <f t="shared" si="394"/>
        <v>46685</v>
      </c>
      <c r="DL91" s="8">
        <f t="shared" ca="1" si="280"/>
        <v>540</v>
      </c>
      <c r="DM91" s="5" t="str">
        <f t="shared" ca="1" si="281"/>
        <v>VIGENTE</v>
      </c>
      <c r="DN91" s="3"/>
      <c r="DO91" s="4">
        <v>45982</v>
      </c>
      <c r="DP91" s="4">
        <f>DATE(YEAR(DO91)+2,MONTH(DO91),DAY(DO91))</f>
        <v>46712</v>
      </c>
      <c r="DQ91" s="8">
        <f t="shared" ca="1" si="282"/>
        <v>567</v>
      </c>
      <c r="DR91" s="5" t="str">
        <f t="shared" ca="1" si="283"/>
        <v>VIGENTE</v>
      </c>
      <c r="DS91" s="4"/>
      <c r="DT91" s="4">
        <v>46018</v>
      </c>
      <c r="DU91" s="4">
        <f>DATE(YEAR(DT91)+2,MONTH(DT91),DAY(DT91))</f>
        <v>46748</v>
      </c>
      <c r="DV91" s="8">
        <f t="shared" ca="1" si="284"/>
        <v>603</v>
      </c>
      <c r="DW91" s="5" t="str">
        <f t="shared" ca="1" si="285"/>
        <v>VIGENTE</v>
      </c>
      <c r="DX91" s="3"/>
      <c r="DY91" s="4">
        <v>45934</v>
      </c>
      <c r="DZ91" s="4">
        <f>DATE(YEAR(DY91)+2,MONTH(DY91),DAY(DY91))</f>
        <v>46664</v>
      </c>
      <c r="EA91" s="8">
        <f t="shared" ca="1" si="286"/>
        <v>519</v>
      </c>
      <c r="EB91" s="5" t="str">
        <f t="shared" ca="1" si="287"/>
        <v>VIGENTE</v>
      </c>
      <c r="EC91" s="3"/>
      <c r="ED91" s="39">
        <v>45938</v>
      </c>
      <c r="EE91" s="4">
        <f>DATE(YEAR(ED91)+2,MONTH(ED91),DAY(ED91))</f>
        <v>46668</v>
      </c>
      <c r="EF91" s="8">
        <f t="shared" ca="1" si="288"/>
        <v>523</v>
      </c>
      <c r="EG91" s="5" t="str">
        <f t="shared" ca="1" si="289"/>
        <v>VIGENTE</v>
      </c>
      <c r="EH91" s="3"/>
      <c r="EI91" s="4">
        <v>46115</v>
      </c>
      <c r="EJ91" s="4">
        <f t="shared" si="355"/>
        <v>46480</v>
      </c>
      <c r="EK91" s="8">
        <f t="shared" ca="1" si="290"/>
        <v>335</v>
      </c>
      <c r="EL91" s="5" t="str">
        <f t="shared" ca="1" si="291"/>
        <v>VIGENTE</v>
      </c>
      <c r="EM91" s="3"/>
      <c r="EN91" s="4">
        <v>45940</v>
      </c>
      <c r="EO91" s="4">
        <f>DATE(YEAR(EN91)+2,MONTH(EN91),DAY(EN91))</f>
        <v>46670</v>
      </c>
      <c r="EP91" s="8">
        <f t="shared" ca="1" si="292"/>
        <v>525</v>
      </c>
      <c r="EQ91" s="5" t="str">
        <f t="shared" ca="1" si="293"/>
        <v>VIGENTE</v>
      </c>
      <c r="ER91" s="3"/>
      <c r="ES91" s="39">
        <v>45993</v>
      </c>
      <c r="ET91" s="4">
        <f t="shared" si="395"/>
        <v>46723</v>
      </c>
      <c r="EU91" s="8">
        <f t="shared" ca="1" si="294"/>
        <v>578</v>
      </c>
      <c r="EV91" s="5" t="str">
        <f t="shared" ca="1" si="295"/>
        <v>VIGENTE</v>
      </c>
      <c r="EW91" s="3"/>
      <c r="EX91" s="4">
        <v>46037</v>
      </c>
      <c r="EY91" s="4">
        <f>DATE(YEAR(EX91)+2,MONTH(EX91),DAY(EX91))</f>
        <v>46767</v>
      </c>
      <c r="EZ91" s="8">
        <f t="shared" ca="1" si="296"/>
        <v>622</v>
      </c>
      <c r="FA91" s="5" t="str">
        <f t="shared" ca="1" si="297"/>
        <v>VIGENTE</v>
      </c>
      <c r="FB91" s="2"/>
      <c r="FC91" s="4">
        <v>45988</v>
      </c>
      <c r="FD91" s="4">
        <f t="shared" si="396"/>
        <v>46718</v>
      </c>
      <c r="FE91" s="8">
        <f t="shared" ca="1" si="298"/>
        <v>573</v>
      </c>
      <c r="FF91" s="5" t="str">
        <f t="shared" ca="1" si="299"/>
        <v>VIGENTE</v>
      </c>
      <c r="FG91" s="2"/>
      <c r="FH91" s="4">
        <v>45992</v>
      </c>
      <c r="FI91" s="4">
        <f t="shared" si="397"/>
        <v>46722</v>
      </c>
      <c r="FJ91" s="8">
        <f t="shared" ca="1" si="300"/>
        <v>577</v>
      </c>
      <c r="FK91" s="5" t="str">
        <f t="shared" ca="1" si="301"/>
        <v>VIGENTE</v>
      </c>
      <c r="FL91" s="4"/>
      <c r="FM91" s="39">
        <v>46039</v>
      </c>
      <c r="FN91" s="4">
        <f>DATE(YEAR(FM91)+2,MONTH(FM91),DAY(FM91))</f>
        <v>46769</v>
      </c>
      <c r="FO91" s="8">
        <f t="shared" ca="1" si="302"/>
        <v>624</v>
      </c>
      <c r="FP91" s="5" t="str">
        <f t="shared" ca="1" si="303"/>
        <v>VIGENTE</v>
      </c>
      <c r="FQ91" s="3"/>
      <c r="FR91" s="39">
        <v>45957</v>
      </c>
      <c r="FS91" s="4">
        <f>DATE(YEAR(FR91)+2,MONTH(FR91),DAY(FR91))</f>
        <v>46687</v>
      </c>
      <c r="FT91" s="8">
        <f t="shared" ca="1" si="304"/>
        <v>542</v>
      </c>
      <c r="FU91" s="5" t="str">
        <f t="shared" ca="1" si="305"/>
        <v>VIGENTE</v>
      </c>
      <c r="FV91" s="3"/>
      <c r="FW91" s="4">
        <v>46014</v>
      </c>
      <c r="FX91" s="4">
        <f>DATE(YEAR(FW91)+2,MONTH(FW91),DAY(FW91))</f>
        <v>46744</v>
      </c>
      <c r="FY91" s="8">
        <f t="shared" ca="1" si="306"/>
        <v>599</v>
      </c>
      <c r="FZ91" s="5" t="str">
        <f t="shared" ca="1" si="307"/>
        <v>VIGENTE</v>
      </c>
      <c r="GA91" s="3"/>
      <c r="GB91" s="4">
        <v>45925</v>
      </c>
      <c r="GC91" s="4">
        <f>DATE(YEAR(GB91)+2,MONTH(GB91),DAY(GB91))</f>
        <v>46655</v>
      </c>
      <c r="GD91" s="8">
        <f t="shared" ca="1" si="308"/>
        <v>510</v>
      </c>
      <c r="GE91" s="5" t="str">
        <f t="shared" ca="1" si="309"/>
        <v>VIGENTE</v>
      </c>
      <c r="GF91" s="3"/>
      <c r="GG91" s="4">
        <v>45960</v>
      </c>
      <c r="GH91" s="4">
        <f>DATE(YEAR(GG91)+2,MONTH(GG91),DAY(GG91))</f>
        <v>46690</v>
      </c>
      <c r="GI91" s="8">
        <f t="shared" ca="1" si="310"/>
        <v>545</v>
      </c>
      <c r="GJ91" s="5" t="str">
        <f t="shared" ca="1" si="311"/>
        <v>VIGENTE</v>
      </c>
      <c r="GK91" s="3"/>
      <c r="GL91" s="4">
        <v>45945</v>
      </c>
      <c r="GM91" s="4">
        <f>DATE(YEAR(GL91)+2,MONTH(GL91),DAY(GL91))</f>
        <v>46675</v>
      </c>
      <c r="GN91" s="8">
        <f t="shared" ca="1" si="312"/>
        <v>530</v>
      </c>
      <c r="GO91" s="5" t="str">
        <f t="shared" ca="1" si="313"/>
        <v>VIGENTE</v>
      </c>
      <c r="GP91" s="4"/>
      <c r="GQ91" s="4">
        <v>45295</v>
      </c>
      <c r="GR91" s="4">
        <f t="shared" si="314"/>
        <v>47122</v>
      </c>
      <c r="GS91" s="8">
        <f t="shared" ca="1" si="384"/>
        <v>977</v>
      </c>
      <c r="GT91" s="5" t="str">
        <f t="shared" ca="1" si="378"/>
        <v>VIGENTE</v>
      </c>
      <c r="GU91" s="3"/>
      <c r="GV91" s="4">
        <v>45329</v>
      </c>
      <c r="GW91" s="4">
        <f t="shared" si="316"/>
        <v>47156</v>
      </c>
      <c r="GX91" s="8">
        <f t="shared" ca="1" si="317"/>
        <v>1011</v>
      </c>
      <c r="GY91" s="5" t="str">
        <f t="shared" ca="1" si="379"/>
        <v>VIGENTE</v>
      </c>
      <c r="GZ91" s="2"/>
      <c r="HA91" s="4">
        <v>45293</v>
      </c>
      <c r="HB91" s="4">
        <f t="shared" si="319"/>
        <v>47120</v>
      </c>
      <c r="HC91" s="8">
        <f t="shared" ca="1" si="320"/>
        <v>975</v>
      </c>
      <c r="HD91" s="5" t="str">
        <f t="shared" ca="1" si="380"/>
        <v>VIGENTE</v>
      </c>
      <c r="HE91" s="6"/>
      <c r="HF91" s="4">
        <v>45267</v>
      </c>
      <c r="HG91" s="4">
        <f>DATE(YEAR(HF91)+5,MONTH(HF91),DAY(HF91))</f>
        <v>47094</v>
      </c>
      <c r="HH91" s="8">
        <f ca="1">HG91-TODAY()</f>
        <v>949</v>
      </c>
      <c r="HI91" s="5" t="str">
        <f t="shared" ca="1" si="389"/>
        <v>VIGENTE</v>
      </c>
      <c r="HJ91" s="2"/>
      <c r="HK91" s="6"/>
      <c r="HL91" s="4"/>
      <c r="HM91" s="8"/>
      <c r="HN91" s="5" t="str">
        <f t="shared" si="385"/>
        <v>NO APLICA</v>
      </c>
      <c r="HO91" s="2"/>
      <c r="HP91" s="2"/>
      <c r="HQ91" s="4"/>
      <c r="HR91" s="2"/>
      <c r="HS91" s="5" t="str">
        <f t="shared" si="322"/>
        <v>NO APLICA</v>
      </c>
      <c r="HT91" s="2"/>
      <c r="HU91" s="6"/>
      <c r="HV91" s="4"/>
      <c r="HW91" s="8"/>
      <c r="HX91" s="5" t="str">
        <f t="shared" si="323"/>
        <v>NO APLICA</v>
      </c>
      <c r="HY91" s="2"/>
      <c r="HZ91" s="6"/>
      <c r="IA91" s="4"/>
      <c r="IB91" s="8"/>
      <c r="IC91" s="5" t="str">
        <f t="shared" si="324"/>
        <v>NO APLICA</v>
      </c>
      <c r="ID91" s="2"/>
      <c r="IE91" s="6"/>
      <c r="IF91" s="4"/>
      <c r="IG91" s="8"/>
      <c r="IH91" s="5" t="str">
        <f t="shared" si="325"/>
        <v>NO APLICA</v>
      </c>
      <c r="II91" s="6"/>
      <c r="IJ91" s="6"/>
      <c r="IK91" s="4"/>
      <c r="IL91" s="8"/>
      <c r="IM91" s="5" t="str">
        <f t="shared" si="326"/>
        <v>NO APLICA</v>
      </c>
      <c r="IN91" s="2"/>
      <c r="IO91" s="6"/>
      <c r="IP91" s="4"/>
      <c r="IQ91" s="8"/>
      <c r="IR91" s="5" t="str">
        <f t="shared" si="327"/>
        <v>NO APLICA</v>
      </c>
      <c r="IS91" s="2"/>
      <c r="IT91" s="6"/>
      <c r="IU91" s="4"/>
      <c r="IV91" s="8"/>
      <c r="IW91" s="5" t="str">
        <f t="shared" si="328"/>
        <v>NO APLICA</v>
      </c>
      <c r="IX91" s="2"/>
      <c r="IY91" s="6"/>
      <c r="IZ91" s="4"/>
      <c r="JA91" s="8"/>
      <c r="JB91" s="5" t="str">
        <f t="shared" si="329"/>
        <v>NO APLICA</v>
      </c>
      <c r="JC91" s="3" t="s">
        <v>780</v>
      </c>
      <c r="JD91" s="3"/>
      <c r="JE91" s="4"/>
      <c r="JF91" s="8"/>
      <c r="JG91" s="5"/>
      <c r="JH91" s="3" t="s">
        <v>780</v>
      </c>
      <c r="JI91" s="6"/>
      <c r="JJ91" s="6"/>
      <c r="JK91" s="6"/>
      <c r="JL91" s="5"/>
      <c r="JM91" s="6" t="s">
        <v>780</v>
      </c>
      <c r="JN91" s="6"/>
      <c r="JO91" s="6"/>
      <c r="JP91" s="6"/>
      <c r="JQ91" s="5"/>
      <c r="JR91" s="6" t="s">
        <v>780</v>
      </c>
      <c r="JS91" s="6"/>
      <c r="JT91" s="6"/>
      <c r="JU91" s="6"/>
      <c r="JV91" s="5"/>
      <c r="JW91" s="6" t="s">
        <v>780</v>
      </c>
      <c r="JX91" s="5"/>
      <c r="JY91" s="5"/>
      <c r="JZ91" s="5"/>
      <c r="KA91" s="5"/>
      <c r="KB91" s="5"/>
      <c r="KC91" s="2"/>
      <c r="KD91" s="4"/>
      <c r="KE91" s="8"/>
      <c r="KF91" s="5" t="str">
        <f t="shared" si="330"/>
        <v>NO APLICA</v>
      </c>
      <c r="KG91" s="5"/>
      <c r="KH91" s="3">
        <v>45328</v>
      </c>
      <c r="KI91" s="4">
        <f>DATE(YEAR(KH91)+5,MONTH(KH91),DAY(KH91)-1)</f>
        <v>47154</v>
      </c>
      <c r="KJ91" s="8">
        <f ca="1">KI91-TODAY()</f>
        <v>1009</v>
      </c>
      <c r="KK91" s="5" t="str">
        <f t="shared" ca="1" si="356"/>
        <v>VIGENTE</v>
      </c>
      <c r="KL91" s="5"/>
      <c r="KM91" s="2"/>
      <c r="KN91" s="4"/>
      <c r="KO91" s="8"/>
      <c r="KP91" s="5" t="str">
        <f t="shared" si="331"/>
        <v>NO APLICA</v>
      </c>
      <c r="KQ91" s="5"/>
      <c r="KR91" s="2"/>
      <c r="KS91" s="4"/>
      <c r="KT91" s="8"/>
      <c r="KU91" s="5" t="str">
        <f t="shared" si="357"/>
        <v>NO APLICA</v>
      </c>
      <c r="KV91" s="2"/>
      <c r="KW91" s="6"/>
      <c r="KX91" s="4"/>
      <c r="KY91" s="8"/>
      <c r="KZ91" s="5" t="str">
        <f t="shared" si="366"/>
        <v>NO APLICA</v>
      </c>
      <c r="LA91" s="5"/>
      <c r="LB91" s="6"/>
      <c r="LC91" s="4"/>
      <c r="LD91" s="8"/>
      <c r="LE91" s="5" t="str">
        <f t="shared" si="358"/>
        <v>NO APLICA</v>
      </c>
      <c r="LF91" s="6"/>
      <c r="LG91" s="4"/>
      <c r="LH91" s="4"/>
      <c r="LI91" s="8"/>
      <c r="LJ91" s="5" t="str">
        <f t="shared" si="332"/>
        <v>NO APLICA</v>
      </c>
      <c r="LK91" s="5"/>
      <c r="LL91" s="5"/>
      <c r="LM91" s="4"/>
      <c r="LN91" s="8"/>
      <c r="LO91" s="5" t="str">
        <f t="shared" si="367"/>
        <v>NO APLICA</v>
      </c>
      <c r="LP91" s="2"/>
      <c r="LQ91" s="6"/>
      <c r="LR91" s="4"/>
      <c r="LS91" s="8"/>
      <c r="LT91" s="5" t="str">
        <f t="shared" si="359"/>
        <v>NO APLICA</v>
      </c>
      <c r="LU91" s="6"/>
      <c r="LV91" s="6"/>
      <c r="LW91" s="4"/>
      <c r="LX91" s="8"/>
      <c r="LY91" s="5" t="str">
        <f t="shared" si="360"/>
        <v>NO APLICA</v>
      </c>
      <c r="LZ91" s="6"/>
      <c r="MA91" s="6"/>
      <c r="MB91" s="4"/>
      <c r="MC91" s="8"/>
      <c r="MD91" s="5" t="str">
        <f t="shared" si="361"/>
        <v>NO APLICA</v>
      </c>
      <c r="ME91" s="2"/>
      <c r="MF91" s="2"/>
      <c r="MG91" s="4"/>
      <c r="MH91" s="8"/>
      <c r="MI91" s="5" t="str">
        <f t="shared" si="333"/>
        <v>NO APLICA</v>
      </c>
      <c r="MJ91" s="2"/>
      <c r="MK91" s="2"/>
      <c r="ML91" s="4"/>
      <c r="MM91" s="8"/>
      <c r="MN91" s="5" t="str">
        <f t="shared" si="334"/>
        <v>NO APLICA</v>
      </c>
      <c r="MO91" s="5"/>
      <c r="MP91" s="2"/>
      <c r="MQ91" s="4"/>
      <c r="MR91" s="8"/>
      <c r="MS91" s="5" t="str">
        <f t="shared" si="335"/>
        <v>NO APLICA</v>
      </c>
      <c r="MT91" s="5"/>
      <c r="MU91" s="2"/>
      <c r="MV91" s="4"/>
      <c r="MW91" s="2"/>
      <c r="MX91" s="5" t="str">
        <f t="shared" si="336"/>
        <v>NO APLICA</v>
      </c>
      <c r="MY91" s="2"/>
      <c r="MZ91" s="6"/>
      <c r="NA91" s="4"/>
      <c r="NB91" s="8"/>
      <c r="NC91" s="5" t="str">
        <f t="shared" si="337"/>
        <v>NO APLICA</v>
      </c>
      <c r="ND91" s="2"/>
      <c r="NE91" s="6"/>
      <c r="NF91" s="4"/>
      <c r="NG91" s="8"/>
      <c r="NH91" s="5" t="str">
        <f t="shared" si="338"/>
        <v>NO APLICA</v>
      </c>
      <c r="NI91" s="2"/>
      <c r="NJ91" s="6"/>
      <c r="NK91" s="4"/>
      <c r="NL91" s="8"/>
      <c r="NM91" s="5" t="str">
        <f t="shared" si="339"/>
        <v>NO APLICA</v>
      </c>
      <c r="NN91" s="2"/>
      <c r="NO91" s="2"/>
      <c r="NP91" s="4"/>
      <c r="NQ91" s="8"/>
      <c r="NR91" s="5" t="str">
        <f t="shared" si="340"/>
        <v>NO APLICA</v>
      </c>
      <c r="NS91" s="2"/>
      <c r="NT91" s="2"/>
      <c r="NU91" s="4"/>
      <c r="NV91" s="2"/>
      <c r="NW91" s="5" t="str">
        <f t="shared" si="341"/>
        <v>NO APLICA</v>
      </c>
      <c r="NX91" s="6"/>
      <c r="NY91" s="6"/>
      <c r="NZ91" s="4"/>
      <c r="OA91" s="8"/>
      <c r="OB91" s="5" t="str">
        <f t="shared" si="342"/>
        <v>NO APLICA</v>
      </c>
      <c r="OC91" s="6"/>
      <c r="OD91" s="6"/>
      <c r="OE91" s="6"/>
      <c r="OF91" s="6"/>
      <c r="OG91" s="5" t="str">
        <f t="shared" si="343"/>
        <v>NO APLICA</v>
      </c>
      <c r="OH91" s="2"/>
      <c r="OI91" s="2"/>
      <c r="OJ91" s="4"/>
      <c r="OK91" s="8"/>
      <c r="OL91" s="5" t="str">
        <f t="shared" si="344"/>
        <v>NO APLICA</v>
      </c>
      <c r="OM91" s="6"/>
      <c r="ON91" s="6"/>
      <c r="OO91" s="6"/>
      <c r="OP91" s="6"/>
      <c r="OQ91" s="5" t="str">
        <f t="shared" si="345"/>
        <v>NO APLICA</v>
      </c>
      <c r="OR91" s="6"/>
      <c r="OS91" s="6"/>
      <c r="OT91" s="6"/>
      <c r="OU91" s="6"/>
      <c r="OV91" s="5" t="str">
        <f t="shared" si="346"/>
        <v>NO APLICA</v>
      </c>
      <c r="OW91" s="6"/>
      <c r="OX91" s="6"/>
      <c r="OY91" s="6"/>
      <c r="OZ91" s="6"/>
      <c r="PA91" s="5" t="str">
        <f t="shared" si="347"/>
        <v>NO APLICA</v>
      </c>
      <c r="PB91" s="6"/>
      <c r="PC91" s="6"/>
      <c r="PD91" s="6"/>
      <c r="PE91" s="6"/>
      <c r="PF91" s="5" t="str">
        <f t="shared" si="348"/>
        <v>NO APLICA</v>
      </c>
      <c r="PG91" s="6"/>
      <c r="PH91" s="6"/>
      <c r="PI91" s="6"/>
      <c r="PJ91" s="6"/>
      <c r="PK91" s="5" t="str">
        <f t="shared" si="349"/>
        <v>NO APLICA</v>
      </c>
      <c r="PL91" s="5"/>
      <c r="PM91" s="6"/>
      <c r="PN91" s="4"/>
      <c r="PO91" s="8"/>
      <c r="PP91" s="5" t="str">
        <f t="shared" si="350"/>
        <v>NO APLICA</v>
      </c>
      <c r="PQ91" s="6"/>
      <c r="PR91" s="6"/>
      <c r="PS91" s="6"/>
      <c r="PT91" s="6"/>
      <c r="PU91" s="5" t="str">
        <f t="shared" si="351"/>
        <v>NO APLICA</v>
      </c>
      <c r="PV91" s="5"/>
      <c r="PW91" s="6"/>
      <c r="PX91" s="6"/>
      <c r="PY91" s="6"/>
      <c r="PZ91" s="5" t="str">
        <f t="shared" si="352"/>
        <v>NO APLICA</v>
      </c>
    </row>
    <row r="92" spans="1:442" ht="15.6" hidden="1" thickTop="1" thickBot="1" x14ac:dyDescent="0.35">
      <c r="A92" s="26">
        <v>89</v>
      </c>
      <c r="B92" s="27">
        <v>877</v>
      </c>
      <c r="C92" s="28" t="s">
        <v>326</v>
      </c>
      <c r="D92" s="29" t="s">
        <v>113</v>
      </c>
      <c r="E92" s="30" t="s">
        <v>126</v>
      </c>
      <c r="F92" s="3"/>
      <c r="G92" s="4">
        <v>46119</v>
      </c>
      <c r="H92" s="4">
        <f>DATE(YEAR(G92)+2,MONTH(G92),DAY(G92))</f>
        <v>46850</v>
      </c>
      <c r="I92" s="8">
        <f ca="1">H92-TODAY()</f>
        <v>705</v>
      </c>
      <c r="J92" s="5" t="str">
        <f t="shared" ca="1" si="242"/>
        <v>VIGENTE</v>
      </c>
      <c r="K92" s="2"/>
      <c r="L92" s="6"/>
      <c r="M92" s="6"/>
      <c r="N92" s="8"/>
      <c r="O92" s="5" t="str">
        <f t="shared" si="243"/>
        <v>NO APLICA</v>
      </c>
      <c r="P92" s="6"/>
      <c r="Q92" s="6"/>
      <c r="R92" s="4"/>
      <c r="S92" s="8"/>
      <c r="T92" s="5" t="str">
        <f t="shared" si="353"/>
        <v>NO APLICA</v>
      </c>
      <c r="U92" s="5"/>
      <c r="V92" s="2" t="s">
        <v>327</v>
      </c>
      <c r="W92" s="4">
        <v>45735</v>
      </c>
      <c r="X92" s="4">
        <f t="shared" si="244"/>
        <v>47561</v>
      </c>
      <c r="Y92" s="8">
        <f t="shared" ca="1" si="245"/>
        <v>1416</v>
      </c>
      <c r="Z92" s="5" t="str">
        <f t="shared" ca="1" si="246"/>
        <v>VIGENTE</v>
      </c>
      <c r="AA92" s="5"/>
      <c r="AB92" s="2"/>
      <c r="AC92" s="6"/>
      <c r="AD92" s="4"/>
      <c r="AE92" s="8"/>
      <c r="AF92" s="5" t="str">
        <f t="shared" si="247"/>
        <v>NO APLICA</v>
      </c>
      <c r="AG92" s="3"/>
      <c r="AH92" s="4">
        <v>45902</v>
      </c>
      <c r="AI92" s="4">
        <f>DATE(YEAR(AH92)+2,MONTH(AH92),DAY(AH92))</f>
        <v>46632</v>
      </c>
      <c r="AJ92" s="8">
        <f t="shared" ca="1" si="248"/>
        <v>487</v>
      </c>
      <c r="AK92" s="5" t="str">
        <f t="shared" ca="1" si="219"/>
        <v>VIGENTE</v>
      </c>
      <c r="AL92" s="3"/>
      <c r="AM92" s="4">
        <v>45903</v>
      </c>
      <c r="AN92" s="4">
        <f t="shared" si="390"/>
        <v>46633</v>
      </c>
      <c r="AO92" s="8">
        <f t="shared" ca="1" si="249"/>
        <v>488</v>
      </c>
      <c r="AP92" s="5" t="str">
        <f t="shared" ca="1" si="250"/>
        <v>VIGENTE</v>
      </c>
      <c r="AQ92" s="3"/>
      <c r="AR92" s="4">
        <v>45989</v>
      </c>
      <c r="AS92" s="4">
        <f t="shared" si="391"/>
        <v>46719</v>
      </c>
      <c r="AT92" s="8">
        <f t="shared" ca="1" si="251"/>
        <v>574</v>
      </c>
      <c r="AU92" s="5" t="str">
        <f t="shared" ca="1" si="252"/>
        <v>VIGENTE</v>
      </c>
      <c r="AV92" s="3"/>
      <c r="AW92" s="4">
        <v>45927</v>
      </c>
      <c r="AX92" s="4">
        <f t="shared" si="392"/>
        <v>46657</v>
      </c>
      <c r="AY92" s="8">
        <f t="shared" ca="1" si="253"/>
        <v>512</v>
      </c>
      <c r="AZ92" s="5" t="str">
        <f t="shared" ca="1" si="254"/>
        <v>VIGENTE</v>
      </c>
      <c r="BA92" s="3"/>
      <c r="BB92" s="4">
        <v>46071</v>
      </c>
      <c r="BC92" s="4">
        <f>DATE(YEAR(BB92)+2,MONTH(BB92),DAY(BB92))</f>
        <v>46801</v>
      </c>
      <c r="BD92" s="8">
        <f t="shared" ca="1" si="255"/>
        <v>656</v>
      </c>
      <c r="BE92" s="5" t="str">
        <f t="shared" ca="1" si="256"/>
        <v>VIGENTE</v>
      </c>
      <c r="BF92" s="3"/>
      <c r="BG92" s="4">
        <v>46067</v>
      </c>
      <c r="BH92" s="4">
        <f t="shared" si="398"/>
        <v>46797</v>
      </c>
      <c r="BI92" s="8">
        <f t="shared" ca="1" si="257"/>
        <v>652</v>
      </c>
      <c r="BJ92" s="5" t="str">
        <f t="shared" ca="1" si="258"/>
        <v>VIGENTE</v>
      </c>
      <c r="BK92" s="3"/>
      <c r="BL92" s="4">
        <v>45570</v>
      </c>
      <c r="BM92" s="4">
        <f>DATE(YEAR(BL92)+2,MONTH(BL92),DAY(BL92)-1)</f>
        <v>46299</v>
      </c>
      <c r="BN92" s="8">
        <f t="shared" ca="1" si="259"/>
        <v>154</v>
      </c>
      <c r="BO92" s="5" t="str">
        <f t="shared" ca="1" si="260"/>
        <v>VIGENTE</v>
      </c>
      <c r="BP92" s="3"/>
      <c r="BQ92" s="39">
        <v>45701</v>
      </c>
      <c r="BR92" s="4">
        <f>DATE(YEAR(BQ92)+2,MONTH(BQ92),DAY(BQ92)-1)</f>
        <v>46430</v>
      </c>
      <c r="BS92" s="8">
        <f t="shared" ca="1" si="261"/>
        <v>285</v>
      </c>
      <c r="BT92" s="5" t="str">
        <f t="shared" ca="1" si="262"/>
        <v>VIGENTE</v>
      </c>
      <c r="BU92" s="3"/>
      <c r="BV92" s="4">
        <v>45950</v>
      </c>
      <c r="BW92" s="4">
        <f>DATE(YEAR(BV92)+2,MONTH(BV92),DAY(BV92))</f>
        <v>46680</v>
      </c>
      <c r="BX92" s="8">
        <f t="shared" ca="1" si="263"/>
        <v>535</v>
      </c>
      <c r="BY92" s="5" t="str">
        <f t="shared" ca="1" si="264"/>
        <v>VIGENTE</v>
      </c>
      <c r="BZ92" s="3"/>
      <c r="CA92" s="4">
        <v>45944</v>
      </c>
      <c r="CB92" s="4">
        <f t="shared" si="393"/>
        <v>46674</v>
      </c>
      <c r="CC92" s="8">
        <f t="shared" ca="1" si="265"/>
        <v>529</v>
      </c>
      <c r="CD92" s="5" t="str">
        <f t="shared" ca="1" si="266"/>
        <v>VIGENTE</v>
      </c>
      <c r="CE92" s="6"/>
      <c r="CF92" s="4">
        <v>45828</v>
      </c>
      <c r="CG92" s="4">
        <f t="shared" si="387"/>
        <v>47289</v>
      </c>
      <c r="CH92" s="8">
        <f t="shared" ca="1" si="388"/>
        <v>1144</v>
      </c>
      <c r="CI92" s="5" t="str">
        <f t="shared" ca="1" si="269"/>
        <v>VIGENTE</v>
      </c>
      <c r="CJ92" s="4"/>
      <c r="CK92" s="4">
        <v>45688</v>
      </c>
      <c r="CL92" s="4">
        <f>DATE(YEAR(CK92)+2,MONTH(CK92),DAY(CK92)-1)</f>
        <v>46417</v>
      </c>
      <c r="CM92" s="8">
        <f t="shared" ca="1" si="270"/>
        <v>272</v>
      </c>
      <c r="CN92" s="5" t="str">
        <f t="shared" ca="1" si="271"/>
        <v>VIGENTE</v>
      </c>
      <c r="CO92" s="3"/>
      <c r="CP92" s="39">
        <v>45684</v>
      </c>
      <c r="CQ92" s="4">
        <f>DATE(YEAR(CP92)+2,MONTH(CP92),DAY(CP92)-1)</f>
        <v>46413</v>
      </c>
      <c r="CR92" s="8">
        <f t="shared" ca="1" si="272"/>
        <v>268</v>
      </c>
      <c r="CS92" s="5" t="str">
        <f t="shared" ca="1" si="273"/>
        <v>VIGENTE</v>
      </c>
      <c r="CT92" s="3"/>
      <c r="CU92" s="4">
        <v>45905</v>
      </c>
      <c r="CV92" s="4">
        <f>DATE(YEAR(CU92)+2,MONTH(CU92),DAY(CU92))</f>
        <v>46635</v>
      </c>
      <c r="CW92" s="8">
        <f t="shared" ca="1" si="274"/>
        <v>490</v>
      </c>
      <c r="CX92" s="5" t="str">
        <f t="shared" ca="1" si="275"/>
        <v>VIGENTE</v>
      </c>
      <c r="CY92" s="3"/>
      <c r="CZ92" s="4">
        <v>46000</v>
      </c>
      <c r="DA92" s="4">
        <f>DATE(YEAR(CZ92)+2,MONTH(CZ92),DAY(CZ92))</f>
        <v>46730</v>
      </c>
      <c r="DB92" s="8">
        <f t="shared" ca="1" si="276"/>
        <v>585</v>
      </c>
      <c r="DC92" s="5" t="str">
        <f t="shared" ca="1" si="277"/>
        <v>VIGENTE</v>
      </c>
      <c r="DD92" s="3"/>
      <c r="DE92" s="39">
        <v>45723</v>
      </c>
      <c r="DF92" s="4">
        <f>DATE(YEAR(DE92)+2,MONTH(DE92),DAY(DE92)-1)</f>
        <v>46452</v>
      </c>
      <c r="DG92" s="8">
        <f t="shared" ca="1" si="278"/>
        <v>307</v>
      </c>
      <c r="DH92" s="5" t="str">
        <f t="shared" ca="1" si="279"/>
        <v>VIGENTE</v>
      </c>
      <c r="DI92" s="3"/>
      <c r="DJ92" s="39">
        <v>45975</v>
      </c>
      <c r="DK92" s="4">
        <f t="shared" si="394"/>
        <v>46705</v>
      </c>
      <c r="DL92" s="8">
        <f t="shared" ca="1" si="280"/>
        <v>560</v>
      </c>
      <c r="DM92" s="5" t="str">
        <f t="shared" ca="1" si="281"/>
        <v>VIGENTE</v>
      </c>
      <c r="DN92" s="3"/>
      <c r="DO92" s="4">
        <v>45982</v>
      </c>
      <c r="DP92" s="4">
        <f>DATE(YEAR(DO92)+2,MONTH(DO92),DAY(DO92))</f>
        <v>46712</v>
      </c>
      <c r="DQ92" s="8">
        <f t="shared" ca="1" si="282"/>
        <v>567</v>
      </c>
      <c r="DR92" s="5" t="str">
        <f t="shared" ca="1" si="283"/>
        <v>VIGENTE</v>
      </c>
      <c r="DS92" s="3"/>
      <c r="DT92" s="4">
        <v>46072</v>
      </c>
      <c r="DU92" s="4">
        <f>DATE(YEAR(DT92)+2,MONTH(DT92),DAY(DT92))</f>
        <v>46802</v>
      </c>
      <c r="DV92" s="8">
        <f t="shared" ca="1" si="284"/>
        <v>657</v>
      </c>
      <c r="DW92" s="5" t="str">
        <f t="shared" ca="1" si="285"/>
        <v>VIGENTE</v>
      </c>
      <c r="DX92" s="3"/>
      <c r="DY92" s="4">
        <v>45663</v>
      </c>
      <c r="DZ92" s="4">
        <f>DATE(YEAR(DY92)+2,MONTH(DY92),DAY(DY92)-1)</f>
        <v>46392</v>
      </c>
      <c r="EA92" s="8">
        <f t="shared" ca="1" si="286"/>
        <v>247</v>
      </c>
      <c r="EB92" s="5" t="str">
        <f t="shared" ca="1" si="287"/>
        <v>VIGENTE</v>
      </c>
      <c r="EC92" s="3"/>
      <c r="ED92" s="39">
        <v>45715</v>
      </c>
      <c r="EE92" s="4">
        <f>DATE(YEAR(ED92)+2,MONTH(ED92),DAY(ED92)-1)</f>
        <v>46444</v>
      </c>
      <c r="EF92" s="8">
        <f t="shared" ca="1" si="288"/>
        <v>299</v>
      </c>
      <c r="EG92" s="5" t="str">
        <f t="shared" ca="1" si="289"/>
        <v>VIGENTE</v>
      </c>
      <c r="EH92" s="3"/>
      <c r="EI92" s="3">
        <v>46085</v>
      </c>
      <c r="EJ92" s="4">
        <f t="shared" si="355"/>
        <v>46450</v>
      </c>
      <c r="EK92" s="8">
        <f t="shared" ca="1" si="290"/>
        <v>305</v>
      </c>
      <c r="EL92" s="5" t="str">
        <f t="shared" ca="1" si="291"/>
        <v>VIGENTE</v>
      </c>
      <c r="EM92" s="3"/>
      <c r="EN92" s="4">
        <v>45671</v>
      </c>
      <c r="EO92" s="4">
        <f>DATE(YEAR(EN92)+2,MONTH(EN92),DAY(EN92)-1)</f>
        <v>46400</v>
      </c>
      <c r="EP92" s="8">
        <f t="shared" ca="1" si="292"/>
        <v>255</v>
      </c>
      <c r="EQ92" s="5" t="str">
        <f t="shared" ca="1" si="293"/>
        <v>VIGENTE</v>
      </c>
      <c r="ER92" s="3"/>
      <c r="ES92" s="39">
        <v>45987</v>
      </c>
      <c r="ET92" s="4">
        <f t="shared" si="395"/>
        <v>46717</v>
      </c>
      <c r="EU92" s="8">
        <f t="shared" ca="1" si="294"/>
        <v>572</v>
      </c>
      <c r="EV92" s="5" t="str">
        <f t="shared" ca="1" si="295"/>
        <v>VIGENTE</v>
      </c>
      <c r="EW92" s="3"/>
      <c r="EX92" s="4">
        <v>45694</v>
      </c>
      <c r="EY92" s="4">
        <f>DATE(YEAR(EX92)+2,MONTH(EX92),DAY(EX92)-1)</f>
        <v>46423</v>
      </c>
      <c r="EZ92" s="8">
        <f t="shared" ca="1" si="296"/>
        <v>278</v>
      </c>
      <c r="FA92" s="5" t="str">
        <f t="shared" ca="1" si="297"/>
        <v>VIGENTE</v>
      </c>
      <c r="FB92" s="3"/>
      <c r="FC92" s="4">
        <v>45931</v>
      </c>
      <c r="FD92" s="4">
        <f t="shared" si="396"/>
        <v>46661</v>
      </c>
      <c r="FE92" s="8">
        <f t="shared" ca="1" si="298"/>
        <v>516</v>
      </c>
      <c r="FF92" s="5" t="str">
        <f t="shared" ca="1" si="299"/>
        <v>VIGENTE</v>
      </c>
      <c r="FG92" s="3"/>
      <c r="FH92" s="4">
        <v>45962</v>
      </c>
      <c r="FI92" s="4">
        <f t="shared" si="397"/>
        <v>46692</v>
      </c>
      <c r="FJ92" s="8">
        <f t="shared" ca="1" si="300"/>
        <v>547</v>
      </c>
      <c r="FK92" s="5" t="str">
        <f t="shared" ca="1" si="301"/>
        <v>VIGENTE</v>
      </c>
      <c r="FL92" s="3"/>
      <c r="FM92" s="39">
        <v>45670</v>
      </c>
      <c r="FN92" s="4">
        <f>DATE(YEAR(FM92)+2,MONTH(FM92),DAY(FM92)-1)</f>
        <v>46399</v>
      </c>
      <c r="FO92" s="8">
        <f t="shared" ca="1" si="302"/>
        <v>254</v>
      </c>
      <c r="FP92" s="5" t="str">
        <f t="shared" ca="1" si="303"/>
        <v>VIGENTE</v>
      </c>
      <c r="FQ92" s="3"/>
      <c r="FR92" s="39">
        <v>45724</v>
      </c>
      <c r="FS92" s="4">
        <f>DATE(YEAR(FR92)+2,MONTH(FR92),DAY(FR92)-1)</f>
        <v>46453</v>
      </c>
      <c r="FT92" s="8">
        <f t="shared" ca="1" si="304"/>
        <v>308</v>
      </c>
      <c r="FU92" s="5" t="str">
        <f t="shared" ca="1" si="305"/>
        <v>VIGENTE</v>
      </c>
      <c r="FV92" s="3"/>
      <c r="FW92" s="4">
        <v>45993</v>
      </c>
      <c r="FX92" s="4">
        <f>DATE(YEAR(FW92)+2,MONTH(FW92),DAY(FW92))</f>
        <v>46723</v>
      </c>
      <c r="FY92" s="8">
        <f t="shared" ca="1" si="306"/>
        <v>578</v>
      </c>
      <c r="FZ92" s="5" t="str">
        <f t="shared" ca="1" si="307"/>
        <v>VIGENTE</v>
      </c>
      <c r="GA92" s="3"/>
      <c r="GB92" s="4">
        <v>45925</v>
      </c>
      <c r="GC92" s="4">
        <f>DATE(YEAR(GB92)+2,MONTH(GB92),DAY(GB92))</f>
        <v>46655</v>
      </c>
      <c r="GD92" s="8">
        <f t="shared" ca="1" si="308"/>
        <v>510</v>
      </c>
      <c r="GE92" s="5" t="str">
        <f t="shared" ca="1" si="309"/>
        <v>VIGENTE</v>
      </c>
      <c r="GF92" s="3"/>
      <c r="GG92" s="4">
        <v>45672</v>
      </c>
      <c r="GH92" s="4">
        <f>DATE(YEAR(GG92)+2,MONTH(GG92),DAY(GG92)-1)</f>
        <v>46401</v>
      </c>
      <c r="GI92" s="8">
        <f t="shared" ca="1" si="310"/>
        <v>256</v>
      </c>
      <c r="GJ92" s="5" t="str">
        <f t="shared" ca="1" si="311"/>
        <v>VIGENTE</v>
      </c>
      <c r="GK92" s="3"/>
      <c r="GL92" s="4">
        <v>45687</v>
      </c>
      <c r="GM92" s="4">
        <f>DATE(YEAR(GL92)+2,MONTH(GL92),DAY(GL92)-1)</f>
        <v>46416</v>
      </c>
      <c r="GN92" s="8">
        <f t="shared" ca="1" si="312"/>
        <v>271</v>
      </c>
      <c r="GO92" s="5" t="str">
        <f t="shared" ca="1" si="313"/>
        <v>VIGENTE</v>
      </c>
      <c r="GP92" s="4"/>
      <c r="GQ92" s="4">
        <v>45072</v>
      </c>
      <c r="GR92" s="4">
        <f t="shared" si="314"/>
        <v>46899</v>
      </c>
      <c r="GS92" s="8">
        <f t="shared" ca="1" si="384"/>
        <v>754</v>
      </c>
      <c r="GT92" s="5" t="str">
        <f t="shared" ca="1" si="378"/>
        <v>VIGENTE</v>
      </c>
      <c r="GU92" s="3"/>
      <c r="GV92" s="4">
        <v>45089</v>
      </c>
      <c r="GW92" s="4">
        <f t="shared" si="316"/>
        <v>46916</v>
      </c>
      <c r="GX92" s="8">
        <f t="shared" ca="1" si="317"/>
        <v>771</v>
      </c>
      <c r="GY92" s="5" t="str">
        <f t="shared" ca="1" si="379"/>
        <v>VIGENTE</v>
      </c>
      <c r="GZ92" s="2"/>
      <c r="HA92" s="4">
        <v>45016</v>
      </c>
      <c r="HB92" s="4">
        <f t="shared" si="319"/>
        <v>46843</v>
      </c>
      <c r="HC92" s="8">
        <f t="shared" ca="1" si="320"/>
        <v>698</v>
      </c>
      <c r="HD92" s="5" t="str">
        <f t="shared" ca="1" si="380"/>
        <v>VIGENTE</v>
      </c>
      <c r="HE92" s="6"/>
      <c r="HF92" s="6"/>
      <c r="HG92" s="4"/>
      <c r="HH92" s="8"/>
      <c r="HI92" s="5" t="str">
        <f t="shared" si="389"/>
        <v>NO APLICA</v>
      </c>
      <c r="HJ92" s="2"/>
      <c r="HK92" s="6"/>
      <c r="HL92" s="4"/>
      <c r="HM92" s="8"/>
      <c r="HN92" s="5" t="str">
        <f t="shared" si="385"/>
        <v>NO APLICA</v>
      </c>
      <c r="HO92" s="2"/>
      <c r="HP92" s="2"/>
      <c r="HQ92" s="4"/>
      <c r="HR92" s="2"/>
      <c r="HS92" s="5" t="str">
        <f t="shared" si="322"/>
        <v>NO APLICA</v>
      </c>
      <c r="HT92" s="2"/>
      <c r="HU92" s="6"/>
      <c r="HV92" s="4"/>
      <c r="HW92" s="8"/>
      <c r="HX92" s="5" t="str">
        <f t="shared" si="323"/>
        <v>NO APLICA</v>
      </c>
      <c r="HY92" s="2"/>
      <c r="HZ92" s="6"/>
      <c r="IA92" s="4"/>
      <c r="IB92" s="8"/>
      <c r="IC92" s="5" t="str">
        <f t="shared" si="324"/>
        <v>NO APLICA</v>
      </c>
      <c r="ID92" s="2"/>
      <c r="IE92" s="6"/>
      <c r="IF92" s="4"/>
      <c r="IG92" s="8"/>
      <c r="IH92" s="5" t="str">
        <f t="shared" si="325"/>
        <v>NO APLICA</v>
      </c>
      <c r="II92" s="6"/>
      <c r="IJ92" s="6"/>
      <c r="IK92" s="4"/>
      <c r="IL92" s="8"/>
      <c r="IM92" s="5" t="str">
        <f t="shared" si="326"/>
        <v>NO APLICA</v>
      </c>
      <c r="IN92" s="2"/>
      <c r="IO92" s="6"/>
      <c r="IP92" s="4"/>
      <c r="IQ92" s="8"/>
      <c r="IR92" s="5" t="str">
        <f t="shared" si="327"/>
        <v>NO APLICA</v>
      </c>
      <c r="IS92" s="2"/>
      <c r="IT92" s="6"/>
      <c r="IU92" s="4"/>
      <c r="IV92" s="8"/>
      <c r="IW92" s="5" t="str">
        <f t="shared" si="328"/>
        <v>NO APLICA</v>
      </c>
      <c r="IX92" s="2"/>
      <c r="IY92" s="6"/>
      <c r="IZ92" s="4"/>
      <c r="JA92" s="8"/>
      <c r="JB92" s="5" t="str">
        <f t="shared" si="329"/>
        <v>NO APLICA</v>
      </c>
      <c r="JC92" s="3" t="s">
        <v>780</v>
      </c>
      <c r="JD92" s="3"/>
      <c r="JE92" s="4"/>
      <c r="JF92" s="8"/>
      <c r="JG92" s="5"/>
      <c r="JH92" s="3" t="s">
        <v>780</v>
      </c>
      <c r="JI92" s="6"/>
      <c r="JJ92" s="6"/>
      <c r="JK92" s="6"/>
      <c r="JL92" s="5"/>
      <c r="JM92" s="6" t="s">
        <v>780</v>
      </c>
      <c r="JN92" s="6"/>
      <c r="JO92" s="6"/>
      <c r="JP92" s="6"/>
      <c r="JQ92" s="5"/>
      <c r="JR92" s="6" t="s">
        <v>780</v>
      </c>
      <c r="JS92" s="6"/>
      <c r="JT92" s="6"/>
      <c r="JU92" s="6"/>
      <c r="JV92" s="5"/>
      <c r="JW92" s="6" t="s">
        <v>780</v>
      </c>
      <c r="JX92" s="5"/>
      <c r="JY92" s="5"/>
      <c r="JZ92" s="5"/>
      <c r="KA92" s="5"/>
      <c r="KB92" s="5"/>
      <c r="KC92" s="2"/>
      <c r="KD92" s="4"/>
      <c r="KE92" s="8"/>
      <c r="KF92" s="5" t="str">
        <f t="shared" si="330"/>
        <v>NO APLICA</v>
      </c>
      <c r="KG92" s="5"/>
      <c r="KH92" s="2"/>
      <c r="KI92" s="4"/>
      <c r="KJ92" s="8"/>
      <c r="KK92" s="5" t="str">
        <f t="shared" si="356"/>
        <v>NO APLICA</v>
      </c>
      <c r="KL92" s="5"/>
      <c r="KM92" s="2"/>
      <c r="KN92" s="4"/>
      <c r="KO92" s="8"/>
      <c r="KP92" s="5" t="str">
        <f t="shared" si="331"/>
        <v>NO APLICA</v>
      </c>
      <c r="KQ92" s="5"/>
      <c r="KR92" s="2"/>
      <c r="KS92" s="4"/>
      <c r="KT92" s="8"/>
      <c r="KU92" s="5" t="str">
        <f t="shared" si="357"/>
        <v>NO APLICA</v>
      </c>
      <c r="KV92" s="2"/>
      <c r="KW92" s="6"/>
      <c r="KX92" s="4"/>
      <c r="KY92" s="8"/>
      <c r="KZ92" s="5" t="str">
        <f t="shared" si="366"/>
        <v>NO APLICA</v>
      </c>
      <c r="LA92" s="5"/>
      <c r="LB92" s="6"/>
      <c r="LC92" s="4"/>
      <c r="LD92" s="8"/>
      <c r="LE92" s="5" t="str">
        <f t="shared" si="358"/>
        <v>NO APLICA</v>
      </c>
      <c r="LF92" s="6"/>
      <c r="LG92" s="6"/>
      <c r="LH92" s="4"/>
      <c r="LI92" s="8"/>
      <c r="LJ92" s="5" t="str">
        <f t="shared" si="332"/>
        <v>NO APLICA</v>
      </c>
      <c r="LK92" s="5"/>
      <c r="LL92" s="5"/>
      <c r="LM92" s="4"/>
      <c r="LN92" s="8"/>
      <c r="LO92" s="5" t="str">
        <f t="shared" si="367"/>
        <v>NO APLICA</v>
      </c>
      <c r="LP92" s="2"/>
      <c r="LQ92" s="6"/>
      <c r="LR92" s="4"/>
      <c r="LS92" s="8"/>
      <c r="LT92" s="5" t="str">
        <f t="shared" si="359"/>
        <v>NO APLICA</v>
      </c>
      <c r="LU92" s="6"/>
      <c r="LV92" s="6"/>
      <c r="LW92" s="4"/>
      <c r="LX92" s="8"/>
      <c r="LY92" s="5" t="str">
        <f t="shared" si="360"/>
        <v>NO APLICA</v>
      </c>
      <c r="LZ92" s="6"/>
      <c r="MA92" s="6"/>
      <c r="MB92" s="4"/>
      <c r="MC92" s="8"/>
      <c r="MD92" s="5" t="str">
        <f t="shared" si="361"/>
        <v>NO APLICA</v>
      </c>
      <c r="ME92" s="2"/>
      <c r="MF92" s="2"/>
      <c r="MG92" s="4"/>
      <c r="MH92" s="8"/>
      <c r="MI92" s="5" t="str">
        <f t="shared" si="333"/>
        <v>NO APLICA</v>
      </c>
      <c r="MJ92" s="2"/>
      <c r="MK92" s="2"/>
      <c r="ML92" s="4"/>
      <c r="MM92" s="8"/>
      <c r="MN92" s="5" t="str">
        <f t="shared" si="334"/>
        <v>NO APLICA</v>
      </c>
      <c r="MO92" s="5"/>
      <c r="MP92" s="2"/>
      <c r="MQ92" s="4"/>
      <c r="MR92" s="8"/>
      <c r="MS92" s="5" t="str">
        <f t="shared" si="335"/>
        <v>NO APLICA</v>
      </c>
      <c r="MT92" s="5"/>
      <c r="MU92" s="2"/>
      <c r="MV92" s="4"/>
      <c r="MW92" s="2"/>
      <c r="MX92" s="5" t="str">
        <f t="shared" si="336"/>
        <v>NO APLICA</v>
      </c>
      <c r="MY92" s="2"/>
      <c r="MZ92" s="6"/>
      <c r="NA92" s="4"/>
      <c r="NB92" s="8"/>
      <c r="NC92" s="5" t="str">
        <f t="shared" si="337"/>
        <v>NO APLICA</v>
      </c>
      <c r="ND92" s="2"/>
      <c r="NE92" s="6"/>
      <c r="NF92" s="4"/>
      <c r="NG92" s="8"/>
      <c r="NH92" s="5" t="str">
        <f t="shared" si="338"/>
        <v>NO APLICA</v>
      </c>
      <c r="NI92" s="2"/>
      <c r="NJ92" s="6"/>
      <c r="NK92" s="4"/>
      <c r="NL92" s="8"/>
      <c r="NM92" s="5" t="str">
        <f t="shared" si="339"/>
        <v>NO APLICA</v>
      </c>
      <c r="NN92" s="2"/>
      <c r="NO92" s="2"/>
      <c r="NP92" s="4"/>
      <c r="NQ92" s="8"/>
      <c r="NR92" s="5" t="str">
        <f t="shared" si="340"/>
        <v>NO APLICA</v>
      </c>
      <c r="NS92" s="2"/>
      <c r="NT92" s="2"/>
      <c r="NU92" s="2"/>
      <c r="NV92" s="2"/>
      <c r="NW92" s="5" t="str">
        <f t="shared" si="341"/>
        <v>NO APLICA</v>
      </c>
      <c r="NX92" s="6"/>
      <c r="NY92" s="6"/>
      <c r="NZ92" s="4"/>
      <c r="OA92" s="8"/>
      <c r="OB92" s="5" t="str">
        <f t="shared" si="342"/>
        <v>NO APLICA</v>
      </c>
      <c r="OC92" s="6"/>
      <c r="OD92" s="6"/>
      <c r="OE92" s="6"/>
      <c r="OF92" s="6"/>
      <c r="OG92" s="5" t="str">
        <f t="shared" si="343"/>
        <v>NO APLICA</v>
      </c>
      <c r="OH92" s="2"/>
      <c r="OI92" s="2"/>
      <c r="OJ92" s="4"/>
      <c r="OK92" s="8"/>
      <c r="OL92" s="5" t="str">
        <f t="shared" si="344"/>
        <v>NO APLICA</v>
      </c>
      <c r="OM92" s="6"/>
      <c r="ON92" s="6"/>
      <c r="OO92" s="6"/>
      <c r="OP92" s="6"/>
      <c r="OQ92" s="5" t="str">
        <f t="shared" si="345"/>
        <v>NO APLICA</v>
      </c>
      <c r="OR92" s="6"/>
      <c r="OS92" s="6"/>
      <c r="OT92" s="6"/>
      <c r="OU92" s="6"/>
      <c r="OV92" s="5" t="str">
        <f t="shared" si="346"/>
        <v>NO APLICA</v>
      </c>
      <c r="OW92" s="6"/>
      <c r="OX92" s="6"/>
      <c r="OY92" s="6"/>
      <c r="OZ92" s="6"/>
      <c r="PA92" s="5" t="str">
        <f t="shared" si="347"/>
        <v>NO APLICA</v>
      </c>
      <c r="PB92" s="6"/>
      <c r="PC92" s="6"/>
      <c r="PD92" s="6"/>
      <c r="PE92" s="6"/>
      <c r="PF92" s="5" t="str">
        <f t="shared" si="348"/>
        <v>NO APLICA</v>
      </c>
      <c r="PG92" s="6"/>
      <c r="PH92" s="6"/>
      <c r="PI92" s="6"/>
      <c r="PJ92" s="6"/>
      <c r="PK92" s="5" t="str">
        <f t="shared" si="349"/>
        <v>NO APLICA</v>
      </c>
      <c r="PL92" s="5"/>
      <c r="PM92" s="6"/>
      <c r="PN92" s="4"/>
      <c r="PO92" s="8"/>
      <c r="PP92" s="5" t="str">
        <f t="shared" si="350"/>
        <v>NO APLICA</v>
      </c>
      <c r="PQ92" s="6"/>
      <c r="PR92" s="6"/>
      <c r="PS92" s="6"/>
      <c r="PT92" s="6"/>
      <c r="PU92" s="5" t="str">
        <f t="shared" si="351"/>
        <v>NO APLICA</v>
      </c>
      <c r="PV92" s="5"/>
      <c r="PW92" s="6"/>
      <c r="PX92" s="6"/>
      <c r="PY92" s="6"/>
      <c r="PZ92" s="5" t="str">
        <f t="shared" si="352"/>
        <v>NO APLICA</v>
      </c>
    </row>
    <row r="93" spans="1:442" ht="15.6" hidden="1" thickTop="1" thickBot="1" x14ac:dyDescent="0.35">
      <c r="A93" s="26">
        <v>90</v>
      </c>
      <c r="B93" s="27">
        <v>1349</v>
      </c>
      <c r="C93" s="28" t="s">
        <v>759</v>
      </c>
      <c r="D93" s="29" t="s">
        <v>68</v>
      </c>
      <c r="E93" s="30" t="s">
        <v>73</v>
      </c>
      <c r="F93" s="5"/>
      <c r="G93" s="6"/>
      <c r="H93" s="4"/>
      <c r="I93" s="8"/>
      <c r="J93" s="5" t="str">
        <f t="shared" si="242"/>
        <v>NO APLICA</v>
      </c>
      <c r="K93" s="5"/>
      <c r="L93" s="6"/>
      <c r="M93" s="6"/>
      <c r="N93" s="8"/>
      <c r="O93" s="5" t="str">
        <f t="shared" si="243"/>
        <v>NO APLICA</v>
      </c>
      <c r="P93" s="6"/>
      <c r="Q93" s="6"/>
      <c r="R93" s="4"/>
      <c r="S93" s="8"/>
      <c r="T93" s="5" t="str">
        <f t="shared" si="353"/>
        <v>NO APLICA</v>
      </c>
      <c r="U93" s="5"/>
      <c r="V93" s="2" t="s">
        <v>328</v>
      </c>
      <c r="W93" s="4">
        <v>45337</v>
      </c>
      <c r="X93" s="4">
        <f t="shared" si="244"/>
        <v>47164</v>
      </c>
      <c r="Y93" s="8">
        <f t="shared" ca="1" si="245"/>
        <v>1019</v>
      </c>
      <c r="Z93" s="5" t="str">
        <f t="shared" ca="1" si="246"/>
        <v>VIGENTE</v>
      </c>
      <c r="AA93" s="5"/>
      <c r="AB93" s="2" t="s">
        <v>329</v>
      </c>
      <c r="AC93" s="4">
        <v>44826</v>
      </c>
      <c r="AD93" s="4">
        <f>DATE(YEAR(AC93)+5,MONTH(AC93),DAY(AC93))</f>
        <v>46652</v>
      </c>
      <c r="AE93" s="8">
        <f ca="1">AD93-TODAY()</f>
        <v>507</v>
      </c>
      <c r="AF93" s="5" t="str">
        <f t="shared" ca="1" si="247"/>
        <v>VIGENTE</v>
      </c>
      <c r="AG93" s="3"/>
      <c r="AH93" s="4">
        <v>45589</v>
      </c>
      <c r="AI93" s="4">
        <f>DATE(YEAR(AH93)+2,MONTH(AH93),DAY(AH93)-1)</f>
        <v>46318</v>
      </c>
      <c r="AJ93" s="8">
        <f t="shared" ca="1" si="248"/>
        <v>173</v>
      </c>
      <c r="AK93" s="5" t="str">
        <f t="shared" ca="1" si="219"/>
        <v>VIGENTE</v>
      </c>
      <c r="AL93" s="3"/>
      <c r="AM93" s="4">
        <v>45937</v>
      </c>
      <c r="AN93" s="4">
        <f t="shared" si="390"/>
        <v>46667</v>
      </c>
      <c r="AO93" s="8">
        <f t="shared" ca="1" si="249"/>
        <v>522</v>
      </c>
      <c r="AP93" s="5" t="str">
        <f t="shared" ca="1" si="250"/>
        <v>VIGENTE</v>
      </c>
      <c r="AQ93" s="3"/>
      <c r="AR93" s="4">
        <v>45967</v>
      </c>
      <c r="AS93" s="4">
        <f t="shared" si="391"/>
        <v>46697</v>
      </c>
      <c r="AT93" s="8">
        <f t="shared" ca="1" si="251"/>
        <v>552</v>
      </c>
      <c r="AU93" s="5" t="str">
        <f t="shared" ca="1" si="252"/>
        <v>VIGENTE</v>
      </c>
      <c r="AV93" s="3"/>
      <c r="AW93" s="4">
        <v>45952</v>
      </c>
      <c r="AX93" s="4">
        <f t="shared" si="392"/>
        <v>46682</v>
      </c>
      <c r="AY93" s="8">
        <f t="shared" ca="1" si="253"/>
        <v>537</v>
      </c>
      <c r="AZ93" s="5" t="str">
        <f t="shared" ca="1" si="254"/>
        <v>VIGENTE</v>
      </c>
      <c r="BA93" s="3"/>
      <c r="BB93" s="4">
        <v>45717</v>
      </c>
      <c r="BC93" s="4">
        <f>DATE(YEAR(BB93)+2,MONTH(BB93),DAY(BB93)-1)</f>
        <v>46446</v>
      </c>
      <c r="BD93" s="8">
        <f t="shared" ca="1" si="255"/>
        <v>301</v>
      </c>
      <c r="BE93" s="5" t="str">
        <f t="shared" ca="1" si="256"/>
        <v>VIGENTE</v>
      </c>
      <c r="BF93" s="3"/>
      <c r="BG93" s="4">
        <v>45987</v>
      </c>
      <c r="BH93" s="4">
        <f t="shared" si="398"/>
        <v>46717</v>
      </c>
      <c r="BI93" s="8">
        <f t="shared" ca="1" si="257"/>
        <v>572</v>
      </c>
      <c r="BJ93" s="5" t="str">
        <f t="shared" ca="1" si="258"/>
        <v>VIGENTE</v>
      </c>
      <c r="BK93" s="3"/>
      <c r="BL93" s="4">
        <v>46056</v>
      </c>
      <c r="BM93" s="4">
        <f>DATE(YEAR(BL93)+2,MONTH(BL93),DAY(BL93))</f>
        <v>46786</v>
      </c>
      <c r="BN93" s="8">
        <f t="shared" ca="1" si="259"/>
        <v>641</v>
      </c>
      <c r="BO93" s="5" t="str">
        <f t="shared" ca="1" si="260"/>
        <v>VIGENTE</v>
      </c>
      <c r="BP93" s="3"/>
      <c r="BQ93" s="39">
        <v>46069</v>
      </c>
      <c r="BR93" s="4">
        <f>DATE(YEAR(BQ93)+2,MONTH(BQ93),DAY(BQ93))</f>
        <v>46799</v>
      </c>
      <c r="BS93" s="8">
        <f t="shared" ca="1" si="261"/>
        <v>654</v>
      </c>
      <c r="BT93" s="5" t="str">
        <f t="shared" ca="1" si="262"/>
        <v>VIGENTE</v>
      </c>
      <c r="BU93" s="3"/>
      <c r="BV93" s="4">
        <v>46116</v>
      </c>
      <c r="BW93" s="4">
        <f>DATE(YEAR(BV93)+2,MONTH(BV93),DAY(BV93)-1)</f>
        <v>46846</v>
      </c>
      <c r="BX93" s="8">
        <f t="shared" ca="1" si="263"/>
        <v>701</v>
      </c>
      <c r="BY93" s="5" t="str">
        <f t="shared" ca="1" si="264"/>
        <v>VIGENTE</v>
      </c>
      <c r="BZ93" s="3"/>
      <c r="CA93" s="4">
        <v>45944</v>
      </c>
      <c r="CB93" s="4">
        <f t="shared" si="393"/>
        <v>46674</v>
      </c>
      <c r="CC93" s="8">
        <f t="shared" ca="1" si="265"/>
        <v>529</v>
      </c>
      <c r="CD93" s="5" t="str">
        <f t="shared" ca="1" si="266"/>
        <v>VIGENTE</v>
      </c>
      <c r="CE93" s="6"/>
      <c r="CF93" s="4">
        <v>45301</v>
      </c>
      <c r="CG93" s="4">
        <f t="shared" si="387"/>
        <v>46762</v>
      </c>
      <c r="CH93" s="8">
        <f t="shared" ca="1" si="388"/>
        <v>617</v>
      </c>
      <c r="CI93" s="5" t="str">
        <f t="shared" ca="1" si="269"/>
        <v>VIGENTE</v>
      </c>
      <c r="CJ93" s="4"/>
      <c r="CK93" s="4">
        <v>45511</v>
      </c>
      <c r="CL93" s="4">
        <f>DATE(YEAR(CK93)+2,MONTH(CK93),DAY(CK93)-1)</f>
        <v>46240</v>
      </c>
      <c r="CM93" s="8">
        <f t="shared" ca="1" si="270"/>
        <v>95</v>
      </c>
      <c r="CN93" s="5" t="str">
        <f t="shared" ca="1" si="271"/>
        <v>VIGENTE</v>
      </c>
      <c r="CO93" s="3"/>
      <c r="CP93" s="39">
        <v>45517</v>
      </c>
      <c r="CQ93" s="4">
        <f>DATE(YEAR(CP93)+2,MONTH(CP93),DAY(CP93)-1)</f>
        <v>46246</v>
      </c>
      <c r="CR93" s="8">
        <f t="shared" ca="1" si="272"/>
        <v>101</v>
      </c>
      <c r="CS93" s="5" t="str">
        <f t="shared" ca="1" si="273"/>
        <v>VIGENTE</v>
      </c>
      <c r="CT93" s="3"/>
      <c r="CU93" s="4">
        <v>45631</v>
      </c>
      <c r="CV93" s="4">
        <f>DATE(YEAR(CU93)+2,MONTH(CU93),DAY(CU93)-1)</f>
        <v>46360</v>
      </c>
      <c r="CW93" s="8">
        <f t="shared" ca="1" si="274"/>
        <v>215</v>
      </c>
      <c r="CX93" s="5" t="str">
        <f t="shared" ca="1" si="275"/>
        <v>VIGENTE</v>
      </c>
      <c r="CY93" s="3"/>
      <c r="CZ93" s="4">
        <v>45661</v>
      </c>
      <c r="DA93" s="4">
        <f>DATE(YEAR(CZ93)+2,MONTH(CZ93),DAY(CZ93)-1)</f>
        <v>46390</v>
      </c>
      <c r="DB93" s="8">
        <f t="shared" ca="1" si="276"/>
        <v>245</v>
      </c>
      <c r="DC93" s="5" t="str">
        <f t="shared" ca="1" si="277"/>
        <v>VIGENTE</v>
      </c>
      <c r="DD93" s="3"/>
      <c r="DE93" s="39">
        <v>45689</v>
      </c>
      <c r="DF93" s="4">
        <f>DATE(YEAR(DE93)+2,MONTH(DE93),DAY(DE93)-1)</f>
        <v>46418</v>
      </c>
      <c r="DG93" s="8">
        <f t="shared" ca="1" si="278"/>
        <v>273</v>
      </c>
      <c r="DH93" s="5" t="str">
        <f t="shared" ca="1" si="279"/>
        <v>VIGENTE</v>
      </c>
      <c r="DI93" s="3"/>
      <c r="DJ93" s="39">
        <v>45734</v>
      </c>
      <c r="DK93" s="4">
        <f>DATE(YEAR(DJ93)+2,MONTH(DJ93),DAY(DJ93)-1)</f>
        <v>46463</v>
      </c>
      <c r="DL93" s="8">
        <f t="shared" ca="1" si="280"/>
        <v>318</v>
      </c>
      <c r="DM93" s="5" t="str">
        <f t="shared" ca="1" si="281"/>
        <v>VIGENTE</v>
      </c>
      <c r="DN93" s="3"/>
      <c r="DO93" s="4">
        <v>45473</v>
      </c>
      <c r="DP93" s="4">
        <f>DATE(YEAR(DO93)+2,MONTH(DO93),DAY(DO93)-1)</f>
        <v>46202</v>
      </c>
      <c r="DQ93" s="8">
        <f t="shared" ca="1" si="282"/>
        <v>57</v>
      </c>
      <c r="DR93" s="5" t="str">
        <f t="shared" ca="1" si="283"/>
        <v>POR VENCER</v>
      </c>
      <c r="DS93" s="3"/>
      <c r="DT93" s="4">
        <v>45685</v>
      </c>
      <c r="DU93" s="4">
        <f>DATE(YEAR(DT93)+2,MONTH(DT93),DAY(DT93)-1)</f>
        <v>46414</v>
      </c>
      <c r="DV93" s="8">
        <f t="shared" ca="1" si="284"/>
        <v>269</v>
      </c>
      <c r="DW93" s="5" t="str">
        <f t="shared" ca="1" si="285"/>
        <v>VIGENTE</v>
      </c>
      <c r="DX93" s="3"/>
      <c r="DY93" s="4">
        <v>45682</v>
      </c>
      <c r="DZ93" s="4">
        <f>DATE(YEAR(DY93)+2,MONTH(DY93),DAY(DY93)-1)</f>
        <v>46411</v>
      </c>
      <c r="EA93" s="8">
        <f t="shared" ca="1" si="286"/>
        <v>266</v>
      </c>
      <c r="EB93" s="5" t="str">
        <f t="shared" ca="1" si="287"/>
        <v>VIGENTE</v>
      </c>
      <c r="EC93" s="3"/>
      <c r="ED93" s="39">
        <v>45674</v>
      </c>
      <c r="EE93" s="4">
        <f>DATE(YEAR(ED93)+2,MONTH(ED93),DAY(ED93)-1)</f>
        <v>46403</v>
      </c>
      <c r="EF93" s="8">
        <f t="shared" ca="1" si="288"/>
        <v>258</v>
      </c>
      <c r="EG93" s="5" t="str">
        <f t="shared" ca="1" si="289"/>
        <v>VIGENTE</v>
      </c>
      <c r="EH93" s="3"/>
      <c r="EI93" s="3">
        <v>46085</v>
      </c>
      <c r="EJ93" s="4">
        <f t="shared" si="355"/>
        <v>46450</v>
      </c>
      <c r="EK93" s="8">
        <f t="shared" ca="1" si="290"/>
        <v>305</v>
      </c>
      <c r="EL93" s="5" t="str">
        <f t="shared" ca="1" si="291"/>
        <v>VIGENTE</v>
      </c>
      <c r="EM93" s="3"/>
      <c r="EN93" s="4">
        <v>45660</v>
      </c>
      <c r="EO93" s="4">
        <f>DATE(YEAR(EN93)+2,MONTH(EN93),DAY(EN93)-1)</f>
        <v>46389</v>
      </c>
      <c r="EP93" s="8">
        <f t="shared" ca="1" si="292"/>
        <v>244</v>
      </c>
      <c r="EQ93" s="5" t="str">
        <f t="shared" ca="1" si="293"/>
        <v>VIGENTE</v>
      </c>
      <c r="ER93" s="3"/>
      <c r="ES93" s="39">
        <v>45735</v>
      </c>
      <c r="ET93" s="4">
        <f>DATE(YEAR(ES93)+2,MONTH(ES93),DAY(ES93)-1)</f>
        <v>46464</v>
      </c>
      <c r="EU93" s="8">
        <f t="shared" ca="1" si="294"/>
        <v>319</v>
      </c>
      <c r="EV93" s="5" t="str">
        <f t="shared" ca="1" si="295"/>
        <v>VIGENTE</v>
      </c>
      <c r="EW93" s="3"/>
      <c r="EX93" s="4">
        <v>45953</v>
      </c>
      <c r="EY93" s="4">
        <f>DATE(YEAR(EX93)+2,MONTH(EX93),DAY(EX93))</f>
        <v>46683</v>
      </c>
      <c r="EZ93" s="8">
        <f t="shared" ca="1" si="296"/>
        <v>538</v>
      </c>
      <c r="FA93" s="5" t="str">
        <f t="shared" ca="1" si="297"/>
        <v>VIGENTE</v>
      </c>
      <c r="FB93" s="3"/>
      <c r="FC93" s="4">
        <v>45951</v>
      </c>
      <c r="FD93" s="4">
        <f t="shared" si="396"/>
        <v>46681</v>
      </c>
      <c r="FE93" s="8">
        <f t="shared" ca="1" si="298"/>
        <v>536</v>
      </c>
      <c r="FF93" s="5" t="str">
        <f t="shared" ca="1" si="299"/>
        <v>VIGENTE</v>
      </c>
      <c r="FG93" s="3"/>
      <c r="FH93" s="4">
        <v>45992</v>
      </c>
      <c r="FI93" s="4">
        <f t="shared" si="397"/>
        <v>46722</v>
      </c>
      <c r="FJ93" s="8">
        <f t="shared" ca="1" si="300"/>
        <v>577</v>
      </c>
      <c r="FK93" s="5" t="str">
        <f t="shared" ca="1" si="301"/>
        <v>VIGENTE</v>
      </c>
      <c r="FL93" s="3"/>
      <c r="FM93" s="39">
        <v>45738</v>
      </c>
      <c r="FN93" s="4">
        <f>DATE(YEAR(FM93)+2,MONTH(FM93),DAY(FM93)-1)</f>
        <v>46467</v>
      </c>
      <c r="FO93" s="8">
        <f t="shared" ca="1" si="302"/>
        <v>322</v>
      </c>
      <c r="FP93" s="5" t="str">
        <f t="shared" ca="1" si="303"/>
        <v>VIGENTE</v>
      </c>
      <c r="FQ93" s="3"/>
      <c r="FR93" s="39">
        <v>45678</v>
      </c>
      <c r="FS93" s="4">
        <f>DATE(YEAR(FR93)+2,MONTH(FR93),DAY(FR93)-1)</f>
        <v>46407</v>
      </c>
      <c r="FT93" s="8">
        <f t="shared" ca="1" si="304"/>
        <v>262</v>
      </c>
      <c r="FU93" s="5" t="str">
        <f t="shared" ca="1" si="305"/>
        <v>VIGENTE</v>
      </c>
      <c r="FV93" s="3"/>
      <c r="FW93" s="4">
        <v>45616</v>
      </c>
      <c r="FX93" s="4">
        <f>DATE(YEAR(FW93)+2,MONTH(FW93),DAY(FW93)-1)</f>
        <v>46345</v>
      </c>
      <c r="FY93" s="8">
        <f t="shared" ca="1" si="306"/>
        <v>200</v>
      </c>
      <c r="FZ93" s="5" t="str">
        <f t="shared" ca="1" si="307"/>
        <v>VIGENTE</v>
      </c>
      <c r="GA93" s="3"/>
      <c r="GB93" s="4">
        <v>45741</v>
      </c>
      <c r="GC93" s="4">
        <f>DATE(YEAR(GB93)+2,MONTH(GB93),DAY(GB93)-1)</f>
        <v>46470</v>
      </c>
      <c r="GD93" s="8">
        <f t="shared" ca="1" si="308"/>
        <v>325</v>
      </c>
      <c r="GE93" s="5" t="str">
        <f t="shared" ca="1" si="309"/>
        <v>VIGENTE</v>
      </c>
      <c r="GF93" s="3"/>
      <c r="GG93" s="4">
        <v>45712</v>
      </c>
      <c r="GH93" s="4">
        <f>DATE(YEAR(GG93)+2,MONTH(GG93),DAY(GG93)-1)</f>
        <v>46441</v>
      </c>
      <c r="GI93" s="8">
        <f t="shared" ca="1" si="310"/>
        <v>296</v>
      </c>
      <c r="GJ93" s="5" t="str">
        <f t="shared" ca="1" si="311"/>
        <v>VIGENTE</v>
      </c>
      <c r="GK93" s="3"/>
      <c r="GL93" s="4">
        <v>45923</v>
      </c>
      <c r="GM93" s="4">
        <f>DATE(YEAR(GL93)+2,MONTH(GL93),DAY(GL93))</f>
        <v>46653</v>
      </c>
      <c r="GN93" s="8">
        <f t="shared" ca="1" si="312"/>
        <v>508</v>
      </c>
      <c r="GO93" s="5" t="str">
        <f t="shared" ca="1" si="313"/>
        <v>VIGENTE</v>
      </c>
      <c r="GP93" s="4"/>
      <c r="GQ93" s="4">
        <v>45224</v>
      </c>
      <c r="GR93" s="4">
        <f t="shared" si="314"/>
        <v>47051</v>
      </c>
      <c r="GS93" s="8">
        <f t="shared" ca="1" si="384"/>
        <v>906</v>
      </c>
      <c r="GT93" s="5" t="str">
        <f t="shared" ca="1" si="378"/>
        <v>VIGENTE</v>
      </c>
      <c r="GU93" s="3"/>
      <c r="GV93" s="4">
        <v>45478</v>
      </c>
      <c r="GW93" s="4">
        <f t="shared" si="316"/>
        <v>47304</v>
      </c>
      <c r="GX93" s="8">
        <f t="shared" ca="1" si="317"/>
        <v>1159</v>
      </c>
      <c r="GY93" s="5" t="str">
        <f t="shared" ca="1" si="379"/>
        <v>VIGENTE</v>
      </c>
      <c r="GZ93" s="3"/>
      <c r="HA93" s="4">
        <v>45258</v>
      </c>
      <c r="HB93" s="4">
        <f t="shared" si="319"/>
        <v>47085</v>
      </c>
      <c r="HC93" s="8">
        <f t="shared" ca="1" si="320"/>
        <v>940</v>
      </c>
      <c r="HD93" s="5" t="str">
        <f t="shared" ca="1" si="380"/>
        <v>VIGENTE</v>
      </c>
      <c r="HE93" s="6"/>
      <c r="HF93" s="4">
        <v>44879</v>
      </c>
      <c r="HG93" s="4">
        <f>DATE(YEAR(HF93)+5,MONTH(HF93),DAY(HF93))</f>
        <v>46705</v>
      </c>
      <c r="HH93" s="8">
        <f ca="1">HG93-TODAY()</f>
        <v>560</v>
      </c>
      <c r="HI93" s="5" t="str">
        <f t="shared" ca="1" si="389"/>
        <v>VIGENTE</v>
      </c>
      <c r="HJ93" s="2"/>
      <c r="HK93" s="4">
        <v>45370</v>
      </c>
      <c r="HL93" s="4">
        <f>DATE(YEAR(HK93)+5,MONTH(HK93),DAY(HK93))</f>
        <v>47196</v>
      </c>
      <c r="HM93" s="8">
        <f ca="1">HL93-TODAY()</f>
        <v>1051</v>
      </c>
      <c r="HN93" s="5" t="str">
        <f t="shared" ca="1" si="385"/>
        <v>VIGENTE</v>
      </c>
      <c r="HO93" s="2"/>
      <c r="HP93" s="3">
        <v>45374</v>
      </c>
      <c r="HQ93" s="4">
        <f>DATE(YEAR(HP93)+5,MONTH(HP93),DAY(HP93))</f>
        <v>47200</v>
      </c>
      <c r="HR93" s="8">
        <f ca="1">HQ93-TODAY()</f>
        <v>1055</v>
      </c>
      <c r="HS93" s="5" t="str">
        <f t="shared" ca="1" si="322"/>
        <v>VIGENTE</v>
      </c>
      <c r="HT93" s="2"/>
      <c r="HU93" s="4">
        <v>44987</v>
      </c>
      <c r="HV93" s="4">
        <f>DATE(YEAR(HU93)+5,MONTH(HU93),DAY(HU93))</f>
        <v>46814</v>
      </c>
      <c r="HW93" s="8">
        <f ca="1">HV93-TODAY()</f>
        <v>669</v>
      </c>
      <c r="HX93" s="5" t="str">
        <f t="shared" ca="1" si="323"/>
        <v>VIGENTE</v>
      </c>
      <c r="HY93" s="2"/>
      <c r="HZ93" s="4">
        <v>44988</v>
      </c>
      <c r="IA93" s="4">
        <f>DATE(YEAR(HZ93)+5,MONTH(HZ93),DAY(HZ93))</f>
        <v>46815</v>
      </c>
      <c r="IB93" s="8">
        <f ca="1">IA93-TODAY()</f>
        <v>670</v>
      </c>
      <c r="IC93" s="5" t="str">
        <f t="shared" ca="1" si="324"/>
        <v>VIGENTE</v>
      </c>
      <c r="ID93" s="2"/>
      <c r="IE93" s="4">
        <v>45049</v>
      </c>
      <c r="IF93" s="4">
        <f>DATE(YEAR(IE93)+5,MONTH(IE93),DAY(IE93))</f>
        <v>46876</v>
      </c>
      <c r="IG93" s="8">
        <f ca="1">IF93-TODAY()</f>
        <v>731</v>
      </c>
      <c r="IH93" s="5" t="str">
        <f t="shared" ca="1" si="325"/>
        <v>VIGENTE</v>
      </c>
      <c r="II93" s="6"/>
      <c r="IJ93" s="4">
        <v>45009</v>
      </c>
      <c r="IK93" s="4">
        <f>DATE(YEAR(IJ93)+5,MONTH(IJ93),DAY(IJ93))</f>
        <v>46836</v>
      </c>
      <c r="IL93" s="8">
        <f ca="1">IK93-TODAY()</f>
        <v>691</v>
      </c>
      <c r="IM93" s="5" t="str">
        <f t="shared" ca="1" si="326"/>
        <v>VIGENTE</v>
      </c>
      <c r="IN93" s="2"/>
      <c r="IO93" s="4">
        <v>45064</v>
      </c>
      <c r="IP93" s="4">
        <f>DATE(YEAR(IO93)+5,MONTH(IO93),DAY(IO93))</f>
        <v>46891</v>
      </c>
      <c r="IQ93" s="8">
        <f ca="1">IP93-TODAY()</f>
        <v>746</v>
      </c>
      <c r="IR93" s="5" t="str">
        <f t="shared" ca="1" si="327"/>
        <v>VIGENTE</v>
      </c>
      <c r="IS93" s="2"/>
      <c r="IT93" s="4">
        <v>45013</v>
      </c>
      <c r="IU93" s="4">
        <f>DATE(YEAR(IT93)+5,MONTH(IT93),DAY(IT93))</f>
        <v>46840</v>
      </c>
      <c r="IV93" s="8">
        <f ca="1">IU93-TODAY()</f>
        <v>695</v>
      </c>
      <c r="IW93" s="5" t="str">
        <f t="shared" ca="1" si="328"/>
        <v>VIGENTE</v>
      </c>
      <c r="IX93" s="2"/>
      <c r="IY93" s="4">
        <v>44996</v>
      </c>
      <c r="IZ93" s="4">
        <f>DATE(YEAR(IY93)+5,MONTH(IY93),DAY(IY93))</f>
        <v>46823</v>
      </c>
      <c r="JA93" s="8">
        <f ca="1">IZ93-TODAY()</f>
        <v>678</v>
      </c>
      <c r="JB93" s="5" t="str">
        <f t="shared" ca="1" si="329"/>
        <v>VIGENTE</v>
      </c>
      <c r="JC93" s="3" t="s">
        <v>780</v>
      </c>
      <c r="JD93" s="3"/>
      <c r="JE93" s="4"/>
      <c r="JF93" s="8"/>
      <c r="JG93" s="5"/>
      <c r="JH93" s="3" t="s">
        <v>780</v>
      </c>
      <c r="JI93" s="6"/>
      <c r="JJ93" s="6"/>
      <c r="JK93" s="6"/>
      <c r="JL93" s="5"/>
      <c r="JM93" s="6" t="s">
        <v>780</v>
      </c>
      <c r="JN93" s="6"/>
      <c r="JO93" s="6"/>
      <c r="JP93" s="6"/>
      <c r="JQ93" s="5"/>
      <c r="JR93" s="6" t="s">
        <v>780</v>
      </c>
      <c r="JS93" s="6"/>
      <c r="JT93" s="6"/>
      <c r="JU93" s="6"/>
      <c r="JV93" s="5"/>
      <c r="JW93" s="6" t="s">
        <v>780</v>
      </c>
      <c r="JX93" s="5"/>
      <c r="JY93" s="5"/>
      <c r="JZ93" s="5"/>
      <c r="KA93" s="5"/>
      <c r="KB93" s="5"/>
      <c r="KC93" s="2"/>
      <c r="KD93" s="4"/>
      <c r="KE93" s="8"/>
      <c r="KF93" s="5" t="str">
        <f t="shared" si="330"/>
        <v>NO APLICA</v>
      </c>
      <c r="KG93" s="5"/>
      <c r="KH93" s="2"/>
      <c r="KI93" s="4"/>
      <c r="KJ93" s="8"/>
      <c r="KK93" s="5" t="str">
        <f t="shared" si="356"/>
        <v>NO APLICA</v>
      </c>
      <c r="KL93" s="5"/>
      <c r="KM93" s="2"/>
      <c r="KN93" s="4"/>
      <c r="KO93" s="8"/>
      <c r="KP93" s="5" t="str">
        <f t="shared" si="331"/>
        <v>NO APLICA</v>
      </c>
      <c r="KQ93" s="5"/>
      <c r="KR93" s="2"/>
      <c r="KS93" s="4"/>
      <c r="KT93" s="8"/>
      <c r="KU93" s="5" t="str">
        <f t="shared" si="357"/>
        <v>NO APLICA</v>
      </c>
      <c r="KV93" s="2"/>
      <c r="KW93" s="6"/>
      <c r="KX93" s="4"/>
      <c r="KY93" s="8"/>
      <c r="KZ93" s="5" t="str">
        <f t="shared" si="366"/>
        <v>NO APLICA</v>
      </c>
      <c r="LA93" s="5"/>
      <c r="LB93" s="6"/>
      <c r="LC93" s="4"/>
      <c r="LD93" s="8"/>
      <c r="LE93" s="5" t="str">
        <f t="shared" si="358"/>
        <v>NO APLICA</v>
      </c>
      <c r="LF93" s="6"/>
      <c r="LG93" s="4">
        <v>45611</v>
      </c>
      <c r="LH93" s="4">
        <f>DATE(YEAR(LG93)+2,MONTH(LG93),DAY(LG93))</f>
        <v>46341</v>
      </c>
      <c r="LI93" s="8">
        <f ca="1">LH93-TODAY()</f>
        <v>196</v>
      </c>
      <c r="LJ93" s="5" t="str">
        <f t="shared" ca="1" si="332"/>
        <v>VIGENTE</v>
      </c>
      <c r="LK93" s="5"/>
      <c r="LL93" s="5"/>
      <c r="LM93" s="4"/>
      <c r="LN93" s="8"/>
      <c r="LO93" s="5" t="str">
        <f t="shared" si="367"/>
        <v>NO APLICA</v>
      </c>
      <c r="LP93" s="2"/>
      <c r="LQ93" s="6"/>
      <c r="LR93" s="4"/>
      <c r="LS93" s="8"/>
      <c r="LT93" s="5" t="str">
        <f t="shared" si="359"/>
        <v>NO APLICA</v>
      </c>
      <c r="LU93" s="6"/>
      <c r="LV93" s="6"/>
      <c r="LW93" s="4"/>
      <c r="LX93" s="8"/>
      <c r="LY93" s="5" t="str">
        <f t="shared" si="360"/>
        <v>NO APLICA</v>
      </c>
      <c r="LZ93" s="6"/>
      <c r="MA93" s="6"/>
      <c r="MB93" s="4"/>
      <c r="MC93" s="8"/>
      <c r="MD93" s="5" t="str">
        <f t="shared" si="361"/>
        <v>NO APLICA</v>
      </c>
      <c r="ME93" s="2"/>
      <c r="MF93" s="2"/>
      <c r="MG93" s="4"/>
      <c r="MH93" s="8"/>
      <c r="MI93" s="5" t="str">
        <f t="shared" si="333"/>
        <v>NO APLICA</v>
      </c>
      <c r="MJ93" s="2"/>
      <c r="MK93" s="2"/>
      <c r="ML93" s="4"/>
      <c r="MM93" s="8"/>
      <c r="MN93" s="5" t="str">
        <f t="shared" si="334"/>
        <v>NO APLICA</v>
      </c>
      <c r="MO93" s="5"/>
      <c r="MP93" s="2"/>
      <c r="MQ93" s="4"/>
      <c r="MR93" s="8"/>
      <c r="MS93" s="5" t="str">
        <f t="shared" si="335"/>
        <v>NO APLICA</v>
      </c>
      <c r="MT93" s="5"/>
      <c r="MU93" s="2"/>
      <c r="MV93" s="4"/>
      <c r="MW93" s="2"/>
      <c r="MX93" s="5" t="str">
        <f t="shared" si="336"/>
        <v>NO APLICA</v>
      </c>
      <c r="MY93" s="2"/>
      <c r="MZ93" s="6"/>
      <c r="NA93" s="4"/>
      <c r="NB93" s="8"/>
      <c r="NC93" s="5" t="str">
        <f t="shared" si="337"/>
        <v>NO APLICA</v>
      </c>
      <c r="ND93" s="2"/>
      <c r="NE93" s="6"/>
      <c r="NF93" s="4"/>
      <c r="NG93" s="8"/>
      <c r="NH93" s="5" t="str">
        <f t="shared" si="338"/>
        <v>NO APLICA</v>
      </c>
      <c r="NI93" s="2"/>
      <c r="NJ93" s="6"/>
      <c r="NK93" s="4"/>
      <c r="NL93" s="8"/>
      <c r="NM93" s="5" t="str">
        <f t="shared" si="339"/>
        <v>NO APLICA</v>
      </c>
      <c r="NN93" s="2"/>
      <c r="NO93" s="2"/>
      <c r="NP93" s="4"/>
      <c r="NQ93" s="8"/>
      <c r="NR93" s="5" t="str">
        <f t="shared" si="340"/>
        <v>NO APLICA</v>
      </c>
      <c r="NS93" s="2"/>
      <c r="NT93" s="2"/>
      <c r="NU93" s="4"/>
      <c r="NV93" s="2"/>
      <c r="NW93" s="5" t="str">
        <f t="shared" si="341"/>
        <v>NO APLICA</v>
      </c>
      <c r="NX93" s="6"/>
      <c r="NY93" s="6"/>
      <c r="NZ93" s="4"/>
      <c r="OA93" s="8"/>
      <c r="OB93" s="5" t="str">
        <f t="shared" si="342"/>
        <v>NO APLICA</v>
      </c>
      <c r="OC93" s="6"/>
      <c r="OD93" s="6"/>
      <c r="OE93" s="6"/>
      <c r="OF93" s="6"/>
      <c r="OG93" s="5" t="str">
        <f t="shared" si="343"/>
        <v>NO APLICA</v>
      </c>
      <c r="OH93" s="2"/>
      <c r="OI93" s="2"/>
      <c r="OJ93" s="4"/>
      <c r="OK93" s="8"/>
      <c r="OL93" s="5" t="str">
        <f t="shared" si="344"/>
        <v>NO APLICA</v>
      </c>
      <c r="OM93" s="6"/>
      <c r="ON93" s="6"/>
      <c r="OO93" s="6"/>
      <c r="OP93" s="6"/>
      <c r="OQ93" s="5" t="str">
        <f t="shared" si="345"/>
        <v>NO APLICA</v>
      </c>
      <c r="OR93" s="6"/>
      <c r="OS93" s="6"/>
      <c r="OT93" s="6"/>
      <c r="OU93" s="6"/>
      <c r="OV93" s="5" t="str">
        <f t="shared" si="346"/>
        <v>NO APLICA</v>
      </c>
      <c r="OW93" s="6"/>
      <c r="OX93" s="6"/>
      <c r="OY93" s="6"/>
      <c r="OZ93" s="6"/>
      <c r="PA93" s="5" t="str">
        <f t="shared" si="347"/>
        <v>NO APLICA</v>
      </c>
      <c r="PB93" s="6"/>
      <c r="PC93" s="6"/>
      <c r="PD93" s="6"/>
      <c r="PE93" s="6"/>
      <c r="PF93" s="5" t="str">
        <f t="shared" si="348"/>
        <v>NO APLICA</v>
      </c>
      <c r="PG93" s="6"/>
      <c r="PH93" s="6"/>
      <c r="PI93" s="6"/>
      <c r="PJ93" s="6"/>
      <c r="PK93" s="5" t="str">
        <f t="shared" si="349"/>
        <v>NO APLICA</v>
      </c>
      <c r="PL93" s="5"/>
      <c r="PM93" s="6"/>
      <c r="PN93" s="4"/>
      <c r="PO93" s="8"/>
      <c r="PP93" s="5" t="str">
        <f t="shared" si="350"/>
        <v>NO APLICA</v>
      </c>
      <c r="PQ93" s="6"/>
      <c r="PR93" s="6"/>
      <c r="PS93" s="6"/>
      <c r="PT93" s="6"/>
      <c r="PU93" s="5" t="str">
        <f t="shared" si="351"/>
        <v>NO APLICA</v>
      </c>
      <c r="PV93" s="5"/>
      <c r="PW93" s="6"/>
      <c r="PX93" s="6"/>
      <c r="PY93" s="6"/>
      <c r="PZ93" s="5" t="str">
        <f t="shared" si="352"/>
        <v>NO APLICA</v>
      </c>
    </row>
    <row r="94" spans="1:442" ht="15.6" hidden="1" thickTop="1" thickBot="1" x14ac:dyDescent="0.35">
      <c r="A94" s="26">
        <v>91</v>
      </c>
      <c r="B94" s="31">
        <v>1718</v>
      </c>
      <c r="C94" s="28" t="s">
        <v>330</v>
      </c>
      <c r="D94" s="29" t="s">
        <v>64</v>
      </c>
      <c r="E94" s="30" t="s">
        <v>81</v>
      </c>
      <c r="F94" s="6"/>
      <c r="G94" s="6"/>
      <c r="H94" s="6"/>
      <c r="I94" s="6"/>
      <c r="J94" s="5" t="str">
        <f t="shared" si="242"/>
        <v>NO APLICA</v>
      </c>
      <c r="K94" s="6"/>
      <c r="L94" s="6"/>
      <c r="M94" s="6"/>
      <c r="N94" s="6"/>
      <c r="O94" s="5" t="str">
        <f t="shared" si="243"/>
        <v>NO APLICA</v>
      </c>
      <c r="P94" s="4"/>
      <c r="Q94" s="4">
        <v>45583</v>
      </c>
      <c r="R94" s="4">
        <f>DATE(YEAR(Q94)+2,MONTH(Q94),DAY(Q94)-1)</f>
        <v>46312</v>
      </c>
      <c r="S94" s="8">
        <f ca="1">R94-TODAY()</f>
        <v>167</v>
      </c>
      <c r="T94" s="5" t="str">
        <f t="shared" ca="1" si="353"/>
        <v>VIGENTE</v>
      </c>
      <c r="U94" s="5"/>
      <c r="V94" s="6" t="s">
        <v>331</v>
      </c>
      <c r="W94" s="4">
        <v>45309</v>
      </c>
      <c r="X94" s="4">
        <f t="shared" si="244"/>
        <v>47136</v>
      </c>
      <c r="Y94" s="8">
        <f t="shared" ca="1" si="245"/>
        <v>991</v>
      </c>
      <c r="Z94" s="5" t="str">
        <f t="shared" ca="1" si="246"/>
        <v>VIGENTE</v>
      </c>
      <c r="AA94" s="5"/>
      <c r="AB94" s="6"/>
      <c r="AC94" s="6"/>
      <c r="AD94" s="4"/>
      <c r="AE94" s="8"/>
      <c r="AF94" s="5" t="str">
        <f t="shared" si="247"/>
        <v>NO APLICA</v>
      </c>
      <c r="AG94" s="6"/>
      <c r="AH94" s="4">
        <v>45936</v>
      </c>
      <c r="AI94" s="4">
        <f>DATE(YEAR(AH94)+2,MONTH(AH94),DAY(AH94))</f>
        <v>46666</v>
      </c>
      <c r="AJ94" s="8">
        <f t="shared" ca="1" si="248"/>
        <v>521</v>
      </c>
      <c r="AK94" s="5" t="str">
        <f t="shared" ca="1" si="219"/>
        <v>VIGENTE</v>
      </c>
      <c r="AL94" s="6"/>
      <c r="AM94" s="4">
        <v>45937</v>
      </c>
      <c r="AN94" s="4">
        <f t="shared" si="390"/>
        <v>46667</v>
      </c>
      <c r="AO94" s="8">
        <f t="shared" ca="1" si="249"/>
        <v>522</v>
      </c>
      <c r="AP94" s="5" t="str">
        <f t="shared" ca="1" si="250"/>
        <v>VIGENTE</v>
      </c>
      <c r="AQ94" s="4"/>
      <c r="AR94" s="4">
        <v>45989</v>
      </c>
      <c r="AS94" s="4">
        <f t="shared" si="391"/>
        <v>46719</v>
      </c>
      <c r="AT94" s="8">
        <f t="shared" ca="1" si="251"/>
        <v>574</v>
      </c>
      <c r="AU94" s="5" t="str">
        <f t="shared" ca="1" si="252"/>
        <v>VIGENTE</v>
      </c>
      <c r="AV94" s="4"/>
      <c r="AW94" s="4">
        <v>45972</v>
      </c>
      <c r="AX94" s="4">
        <f t="shared" si="392"/>
        <v>46702</v>
      </c>
      <c r="AY94" s="8">
        <f t="shared" ca="1" si="253"/>
        <v>557</v>
      </c>
      <c r="AZ94" s="5" t="str">
        <f t="shared" ca="1" si="254"/>
        <v>VIGENTE</v>
      </c>
      <c r="BA94" s="3"/>
      <c r="BB94" s="4">
        <v>46041</v>
      </c>
      <c r="BC94" s="4">
        <f>DATE(YEAR(BB94)+2,MONTH(BB94),DAY(BB94))</f>
        <v>46771</v>
      </c>
      <c r="BD94" s="8">
        <f t="shared" ca="1" si="255"/>
        <v>626</v>
      </c>
      <c r="BE94" s="5" t="str">
        <f t="shared" ca="1" si="256"/>
        <v>VIGENTE</v>
      </c>
      <c r="BF94" s="6"/>
      <c r="BG94" s="4">
        <v>45997</v>
      </c>
      <c r="BH94" s="4">
        <f t="shared" si="398"/>
        <v>46727</v>
      </c>
      <c r="BI94" s="8">
        <f t="shared" ca="1" si="257"/>
        <v>582</v>
      </c>
      <c r="BJ94" s="5" t="str">
        <f t="shared" ca="1" si="258"/>
        <v>VIGENTE</v>
      </c>
      <c r="BK94" s="4"/>
      <c r="BL94" s="4">
        <v>46017</v>
      </c>
      <c r="BM94" s="4">
        <f>DATE(YEAR(BL94)+2,MONTH(BL94),DAY(BL94))</f>
        <v>46747</v>
      </c>
      <c r="BN94" s="8">
        <f t="shared" ca="1" si="259"/>
        <v>602</v>
      </c>
      <c r="BO94" s="5" t="str">
        <f t="shared" ca="1" si="260"/>
        <v>VIGENTE</v>
      </c>
      <c r="BP94" s="4"/>
      <c r="BQ94" s="39">
        <v>46050</v>
      </c>
      <c r="BR94" s="4">
        <f>DATE(YEAR(BQ94)+2,MONTH(BQ94),DAY(BQ94))</f>
        <v>46780</v>
      </c>
      <c r="BS94" s="8">
        <f t="shared" ca="1" si="261"/>
        <v>635</v>
      </c>
      <c r="BT94" s="5" t="str">
        <f t="shared" ca="1" si="262"/>
        <v>VIGENTE</v>
      </c>
      <c r="BU94" s="3"/>
      <c r="BV94" s="4">
        <v>46031</v>
      </c>
      <c r="BW94" s="4">
        <f>DATE(YEAR(BV94)+2,MONTH(BV94),DAY(BV94))</f>
        <v>46761</v>
      </c>
      <c r="BX94" s="8">
        <f t="shared" ca="1" si="263"/>
        <v>616</v>
      </c>
      <c r="BY94" s="5" t="str">
        <f t="shared" ca="1" si="264"/>
        <v>VIGENTE</v>
      </c>
      <c r="BZ94" s="6"/>
      <c r="CA94" s="4">
        <v>45986</v>
      </c>
      <c r="CB94" s="4">
        <f t="shared" si="393"/>
        <v>46716</v>
      </c>
      <c r="CC94" s="8">
        <f t="shared" ca="1" si="265"/>
        <v>571</v>
      </c>
      <c r="CD94" s="5" t="str">
        <f t="shared" ca="1" si="266"/>
        <v>VIGENTE</v>
      </c>
      <c r="CE94" s="6"/>
      <c r="CF94" s="4">
        <v>45723</v>
      </c>
      <c r="CG94" s="4">
        <f t="shared" si="387"/>
        <v>47184</v>
      </c>
      <c r="CH94" s="8">
        <f t="shared" ca="1" si="388"/>
        <v>1039</v>
      </c>
      <c r="CI94" s="5" t="str">
        <f t="shared" ca="1" si="269"/>
        <v>VIGENTE</v>
      </c>
      <c r="CJ94" s="4"/>
      <c r="CK94" s="4">
        <v>46018</v>
      </c>
      <c r="CL94" s="4">
        <f>DATE(YEAR(CK94)+2,MONTH(CK94),DAY(CK94))</f>
        <v>46748</v>
      </c>
      <c r="CM94" s="8">
        <f t="shared" ca="1" si="270"/>
        <v>603</v>
      </c>
      <c r="CN94" s="5" t="str">
        <f t="shared" ca="1" si="271"/>
        <v>VIGENTE</v>
      </c>
      <c r="CO94" s="4"/>
      <c r="CP94" s="39">
        <v>45979</v>
      </c>
      <c r="CQ94" s="4">
        <f>DATE(YEAR(CP94)+2,MONTH(CP94),DAY(CP94))</f>
        <v>46709</v>
      </c>
      <c r="CR94" s="8">
        <f t="shared" ca="1" si="272"/>
        <v>564</v>
      </c>
      <c r="CS94" s="5" t="str">
        <f t="shared" ca="1" si="273"/>
        <v>VIGENTE</v>
      </c>
      <c r="CT94" s="4"/>
      <c r="CU94" s="4">
        <v>46043</v>
      </c>
      <c r="CV94" s="4">
        <f>DATE(YEAR(CU94)+2,MONTH(CU94),DAY(CU94))</f>
        <v>46773</v>
      </c>
      <c r="CW94" s="8">
        <f t="shared" ca="1" si="274"/>
        <v>628</v>
      </c>
      <c r="CX94" s="5" t="str">
        <f t="shared" ca="1" si="275"/>
        <v>VIGENTE</v>
      </c>
      <c r="CY94" s="4"/>
      <c r="CZ94" s="4">
        <v>46000</v>
      </c>
      <c r="DA94" s="4">
        <f>DATE(YEAR(CZ94)+2,MONTH(CZ94),DAY(CZ94))</f>
        <v>46730</v>
      </c>
      <c r="DB94" s="8">
        <f t="shared" ca="1" si="276"/>
        <v>585</v>
      </c>
      <c r="DC94" s="5" t="str">
        <f t="shared" ca="1" si="277"/>
        <v>VIGENTE</v>
      </c>
      <c r="DD94" s="3"/>
      <c r="DE94" s="39">
        <v>45996</v>
      </c>
      <c r="DF94" s="4">
        <f>DATE(YEAR(DE94)+2,MONTH(DE94),DAY(DE94))</f>
        <v>46726</v>
      </c>
      <c r="DG94" s="8">
        <f t="shared" ca="1" si="278"/>
        <v>581</v>
      </c>
      <c r="DH94" s="5" t="str">
        <f t="shared" ca="1" si="279"/>
        <v>VIGENTE</v>
      </c>
      <c r="DI94" s="4"/>
      <c r="DJ94" s="39">
        <v>45975</v>
      </c>
      <c r="DK94" s="4">
        <f>DATE(YEAR(DJ94)+2,MONTH(DJ94),DAY(DJ94))</f>
        <v>46705</v>
      </c>
      <c r="DL94" s="8">
        <f t="shared" ca="1" si="280"/>
        <v>560</v>
      </c>
      <c r="DM94" s="5" t="str">
        <f t="shared" ca="1" si="281"/>
        <v>VIGENTE</v>
      </c>
      <c r="DN94" s="4"/>
      <c r="DO94" s="4">
        <v>45982</v>
      </c>
      <c r="DP94" s="4">
        <f>DATE(YEAR(DO94)+2,MONTH(DO94),DAY(DO94))</f>
        <v>46712</v>
      </c>
      <c r="DQ94" s="8">
        <f t="shared" ca="1" si="282"/>
        <v>567</v>
      </c>
      <c r="DR94" s="5" t="str">
        <f t="shared" ca="1" si="283"/>
        <v>VIGENTE</v>
      </c>
      <c r="DS94" s="4"/>
      <c r="DT94" s="3">
        <v>46009</v>
      </c>
      <c r="DU94" s="4">
        <f>DATE(YEAR(DT94)+2,MONTH(DT94),DAY(DT94))</f>
        <v>46739</v>
      </c>
      <c r="DV94" s="8">
        <f t="shared" ca="1" si="284"/>
        <v>594</v>
      </c>
      <c r="DW94" s="5" t="str">
        <f t="shared" ca="1" si="285"/>
        <v>VIGENTE</v>
      </c>
      <c r="DX94" s="4"/>
      <c r="DY94" s="4">
        <v>46032</v>
      </c>
      <c r="DZ94" s="4">
        <f>DATE(YEAR(DY94)+2,MONTH(DY94),DAY(DY94))</f>
        <v>46762</v>
      </c>
      <c r="EA94" s="8">
        <f t="shared" ca="1" si="286"/>
        <v>617</v>
      </c>
      <c r="EB94" s="5" t="str">
        <f t="shared" ca="1" si="287"/>
        <v>VIGENTE</v>
      </c>
      <c r="EC94" s="4"/>
      <c r="ED94" s="39">
        <v>45994</v>
      </c>
      <c r="EE94" s="4">
        <f>DATE(YEAR(ED94)+2,MONTH(ED94),DAY(ED94))</f>
        <v>46724</v>
      </c>
      <c r="EF94" s="8">
        <f t="shared" ca="1" si="288"/>
        <v>579</v>
      </c>
      <c r="EG94" s="5" t="str">
        <f t="shared" ca="1" si="289"/>
        <v>VIGENTE</v>
      </c>
      <c r="EH94" s="3"/>
      <c r="EI94" s="3">
        <v>46015</v>
      </c>
      <c r="EJ94" s="4">
        <f t="shared" si="355"/>
        <v>46380</v>
      </c>
      <c r="EK94" s="8">
        <f t="shared" ca="1" si="290"/>
        <v>235</v>
      </c>
      <c r="EL94" s="5" t="str">
        <f t="shared" ca="1" si="291"/>
        <v>VIGENTE</v>
      </c>
      <c r="EM94" s="4"/>
      <c r="EN94" s="4">
        <v>45995</v>
      </c>
      <c r="EO94" s="4">
        <f>DATE(YEAR(EN94)+2,MONTH(EN94),DAY(EN94))</f>
        <v>46725</v>
      </c>
      <c r="EP94" s="8">
        <f t="shared" ca="1" si="292"/>
        <v>580</v>
      </c>
      <c r="EQ94" s="5" t="str">
        <f t="shared" ca="1" si="293"/>
        <v>VIGENTE</v>
      </c>
      <c r="ER94" s="6"/>
      <c r="ES94" s="39">
        <v>45999</v>
      </c>
      <c r="ET94" s="4">
        <f>DATE(YEAR(ES94)+2,MONTH(ES94),DAY(ES94))</f>
        <v>46729</v>
      </c>
      <c r="EU94" s="8">
        <f t="shared" ca="1" si="294"/>
        <v>584</v>
      </c>
      <c r="EV94" s="5" t="str">
        <f t="shared" ca="1" si="295"/>
        <v>VIGENTE</v>
      </c>
      <c r="EW94" s="4"/>
      <c r="EX94" s="4">
        <v>45964</v>
      </c>
      <c r="EY94" s="4">
        <f>DATE(YEAR(EX94)+2,MONTH(EX94),DAY(EX94))</f>
        <v>46694</v>
      </c>
      <c r="EZ94" s="8">
        <f t="shared" ca="1" si="296"/>
        <v>549</v>
      </c>
      <c r="FA94" s="5" t="str">
        <f t="shared" ca="1" si="297"/>
        <v>VIGENTE</v>
      </c>
      <c r="FB94" s="6"/>
      <c r="FC94" s="4">
        <v>45988</v>
      </c>
      <c r="FD94" s="4">
        <f t="shared" si="396"/>
        <v>46718</v>
      </c>
      <c r="FE94" s="8">
        <f t="shared" ca="1" si="298"/>
        <v>573</v>
      </c>
      <c r="FF94" s="5" t="str">
        <f t="shared" ca="1" si="299"/>
        <v>VIGENTE</v>
      </c>
      <c r="FG94" s="4"/>
      <c r="FH94" s="4">
        <v>45962</v>
      </c>
      <c r="FI94" s="4">
        <f t="shared" si="397"/>
        <v>46692</v>
      </c>
      <c r="FJ94" s="8">
        <f t="shared" ca="1" si="300"/>
        <v>547</v>
      </c>
      <c r="FK94" s="5" t="str">
        <f t="shared" ca="1" si="301"/>
        <v>VIGENTE</v>
      </c>
      <c r="FL94" s="4"/>
      <c r="FM94" s="39">
        <v>46039</v>
      </c>
      <c r="FN94" s="4">
        <f>DATE(YEAR(FM94)+2,MONTH(FM94),DAY(FM94))</f>
        <v>46769</v>
      </c>
      <c r="FO94" s="8">
        <f t="shared" ca="1" si="302"/>
        <v>624</v>
      </c>
      <c r="FP94" s="5" t="str">
        <f t="shared" ca="1" si="303"/>
        <v>VIGENTE</v>
      </c>
      <c r="FQ94" s="4"/>
      <c r="FR94" s="39">
        <v>46034</v>
      </c>
      <c r="FS94" s="4">
        <f>DATE(YEAR(FR94)+2,MONTH(FR94),DAY(FR94))</f>
        <v>46764</v>
      </c>
      <c r="FT94" s="8">
        <f t="shared" ca="1" si="304"/>
        <v>619</v>
      </c>
      <c r="FU94" s="5" t="str">
        <f t="shared" ca="1" si="305"/>
        <v>VIGENTE</v>
      </c>
      <c r="FV94" s="4"/>
      <c r="FW94" s="4">
        <v>46004</v>
      </c>
      <c r="FX94" s="4">
        <f>DATE(YEAR(FW94)+2,MONTH(FW94),DAY(FW94))</f>
        <v>46734</v>
      </c>
      <c r="FY94" s="8">
        <f t="shared" ca="1" si="306"/>
        <v>589</v>
      </c>
      <c r="FZ94" s="5" t="str">
        <f t="shared" ca="1" si="307"/>
        <v>VIGENTE</v>
      </c>
      <c r="GA94" s="4"/>
      <c r="GB94" s="4">
        <v>45925</v>
      </c>
      <c r="GC94" s="4">
        <f>DATE(YEAR(GB94)+2,MONTH(GB94),DAY(GB94))</f>
        <v>46655</v>
      </c>
      <c r="GD94" s="8">
        <f t="shared" ca="1" si="308"/>
        <v>510</v>
      </c>
      <c r="GE94" s="5" t="str">
        <f t="shared" ca="1" si="309"/>
        <v>VIGENTE</v>
      </c>
      <c r="GF94" s="4"/>
      <c r="GG94" s="4">
        <v>45960</v>
      </c>
      <c r="GH94" s="4">
        <f>DATE(YEAR(GG94)+2,MONTH(GG94),DAY(GG94))</f>
        <v>46690</v>
      </c>
      <c r="GI94" s="8">
        <f t="shared" ca="1" si="310"/>
        <v>545</v>
      </c>
      <c r="GJ94" s="5" t="str">
        <f t="shared" ca="1" si="311"/>
        <v>VIGENTE</v>
      </c>
      <c r="GK94" s="4"/>
      <c r="GL94" s="4">
        <v>45499</v>
      </c>
      <c r="GM94" s="4">
        <f>DATE(YEAR(GL94)+2,MONTH(GL94),DAY(GL94)-1)</f>
        <v>46228</v>
      </c>
      <c r="GN94" s="8">
        <f t="shared" ca="1" si="312"/>
        <v>83</v>
      </c>
      <c r="GO94" s="5" t="str">
        <f t="shared" ca="1" si="313"/>
        <v>VIGENTE</v>
      </c>
      <c r="GP94" s="4"/>
      <c r="GQ94" s="4">
        <v>45299</v>
      </c>
      <c r="GR94" s="4">
        <f t="shared" si="314"/>
        <v>47126</v>
      </c>
      <c r="GS94" s="8">
        <f t="shared" ca="1" si="384"/>
        <v>981</v>
      </c>
      <c r="GT94" s="5" t="str">
        <f t="shared" ca="1" si="378"/>
        <v>VIGENTE</v>
      </c>
      <c r="GU94" s="4"/>
      <c r="GV94" s="4">
        <v>45329</v>
      </c>
      <c r="GW94" s="4">
        <f t="shared" si="316"/>
        <v>47156</v>
      </c>
      <c r="GX94" s="8">
        <f t="shared" ca="1" si="317"/>
        <v>1011</v>
      </c>
      <c r="GY94" s="5" t="str">
        <f t="shared" ca="1" si="379"/>
        <v>VIGENTE</v>
      </c>
      <c r="GZ94" s="6"/>
      <c r="HA94" s="4">
        <v>45343</v>
      </c>
      <c r="HB94" s="4">
        <f t="shared" si="319"/>
        <v>47170</v>
      </c>
      <c r="HC94" s="8">
        <f t="shared" ca="1" si="320"/>
        <v>1025</v>
      </c>
      <c r="HD94" s="5" t="str">
        <f t="shared" ca="1" si="380"/>
        <v>VIGENTE</v>
      </c>
      <c r="HE94" s="6"/>
      <c r="HF94" s="4">
        <v>45317</v>
      </c>
      <c r="HG94" s="4">
        <f>DATE(YEAR(HF94)+5,MONTH(HF94),DAY(HF94))</f>
        <v>47144</v>
      </c>
      <c r="HH94" s="8">
        <f ca="1">HG94-TODAY()</f>
        <v>999</v>
      </c>
      <c r="HI94" s="5" t="str">
        <f t="shared" ca="1" si="389"/>
        <v>VIGENTE</v>
      </c>
      <c r="HJ94" s="6"/>
      <c r="HK94" s="6"/>
      <c r="HL94" s="4"/>
      <c r="HM94" s="8"/>
      <c r="HN94" s="5" t="str">
        <f t="shared" si="385"/>
        <v>NO APLICA</v>
      </c>
      <c r="HO94" s="2"/>
      <c r="HP94" s="2"/>
      <c r="HQ94" s="4"/>
      <c r="HR94" s="2"/>
      <c r="HS94" s="5" t="str">
        <f t="shared" si="322"/>
        <v>NO APLICA</v>
      </c>
      <c r="HT94" s="6"/>
      <c r="HU94" s="6"/>
      <c r="HV94" s="4"/>
      <c r="HW94" s="8"/>
      <c r="HX94" s="5" t="str">
        <f t="shared" si="323"/>
        <v>NO APLICA</v>
      </c>
      <c r="HY94" s="6"/>
      <c r="HZ94" s="6"/>
      <c r="IA94" s="4"/>
      <c r="IB94" s="8"/>
      <c r="IC94" s="5" t="str">
        <f t="shared" si="324"/>
        <v>NO APLICA</v>
      </c>
      <c r="ID94" s="6"/>
      <c r="IE94" s="6"/>
      <c r="IF94" s="4"/>
      <c r="IG94" s="8"/>
      <c r="IH94" s="5" t="str">
        <f t="shared" si="325"/>
        <v>NO APLICA</v>
      </c>
      <c r="II94" s="6"/>
      <c r="IJ94" s="6"/>
      <c r="IK94" s="4"/>
      <c r="IL94" s="6"/>
      <c r="IM94" s="5" t="str">
        <f t="shared" si="326"/>
        <v>NO APLICA</v>
      </c>
      <c r="IN94" s="6"/>
      <c r="IO94" s="6"/>
      <c r="IP94" s="4"/>
      <c r="IQ94" s="8"/>
      <c r="IR94" s="5" t="str">
        <f t="shared" si="327"/>
        <v>NO APLICA</v>
      </c>
      <c r="IS94" s="6"/>
      <c r="IT94" s="6"/>
      <c r="IU94" s="4"/>
      <c r="IV94" s="8"/>
      <c r="IW94" s="5" t="str">
        <f t="shared" si="328"/>
        <v>NO APLICA</v>
      </c>
      <c r="IX94" s="6"/>
      <c r="IY94" s="6"/>
      <c r="IZ94" s="4"/>
      <c r="JA94" s="8"/>
      <c r="JB94" s="5" t="str">
        <f t="shared" si="329"/>
        <v>NO APLICA</v>
      </c>
      <c r="JC94" s="3" t="s">
        <v>780</v>
      </c>
      <c r="JD94" s="3"/>
      <c r="JE94" s="4"/>
      <c r="JF94" s="8"/>
      <c r="JG94" s="5"/>
      <c r="JH94" s="3" t="s">
        <v>780</v>
      </c>
      <c r="JI94" s="6"/>
      <c r="JJ94" s="6"/>
      <c r="JK94" s="6"/>
      <c r="JL94" s="5"/>
      <c r="JM94" s="6" t="s">
        <v>780</v>
      </c>
      <c r="JN94" s="6"/>
      <c r="JO94" s="6"/>
      <c r="JP94" s="6"/>
      <c r="JQ94" s="5"/>
      <c r="JR94" s="6" t="s">
        <v>780</v>
      </c>
      <c r="JS94" s="6"/>
      <c r="JT94" s="6"/>
      <c r="JU94" s="6"/>
      <c r="JV94" s="5"/>
      <c r="JW94" s="6" t="s">
        <v>780</v>
      </c>
      <c r="JX94" s="5"/>
      <c r="JY94" s="5"/>
      <c r="JZ94" s="5"/>
      <c r="KA94" s="5"/>
      <c r="KB94" s="5"/>
      <c r="KC94" s="2"/>
      <c r="KD94" s="4"/>
      <c r="KE94" s="8"/>
      <c r="KF94" s="5" t="str">
        <f t="shared" si="330"/>
        <v>NO APLICA</v>
      </c>
      <c r="KG94" s="5"/>
      <c r="KH94" s="2"/>
      <c r="KI94" s="4"/>
      <c r="KJ94" s="8"/>
      <c r="KK94" s="5" t="str">
        <f t="shared" si="356"/>
        <v>NO APLICA</v>
      </c>
      <c r="KL94" s="5"/>
      <c r="KM94" s="2"/>
      <c r="KN94" s="4"/>
      <c r="KO94" s="8"/>
      <c r="KP94" s="5" t="str">
        <f t="shared" si="331"/>
        <v>NO APLICA</v>
      </c>
      <c r="KQ94" s="5"/>
      <c r="KR94" s="3">
        <v>45346</v>
      </c>
      <c r="KS94" s="4">
        <f>DATE(YEAR(KR94)+5,MONTH(KR94),DAY(KR94))</f>
        <v>47173</v>
      </c>
      <c r="KT94" s="8">
        <f ca="1">KS94-TODAY()</f>
        <v>1028</v>
      </c>
      <c r="KU94" s="5" t="str">
        <f t="shared" ca="1" si="357"/>
        <v>VIGENTE</v>
      </c>
      <c r="KV94" s="6"/>
      <c r="KW94" s="6"/>
      <c r="KX94" s="4"/>
      <c r="KY94" s="6"/>
      <c r="KZ94" s="5" t="str">
        <f t="shared" si="366"/>
        <v>NO APLICA</v>
      </c>
      <c r="LA94" s="5"/>
      <c r="LB94" s="6"/>
      <c r="LC94" s="4"/>
      <c r="LD94" s="6"/>
      <c r="LE94" s="5" t="str">
        <f t="shared" si="358"/>
        <v>NO APLICA</v>
      </c>
      <c r="LF94" s="6"/>
      <c r="LG94" s="6"/>
      <c r="LH94" s="6"/>
      <c r="LI94" s="6"/>
      <c r="LJ94" s="5" t="str">
        <f t="shared" si="332"/>
        <v>NO APLICA</v>
      </c>
      <c r="LK94" s="5"/>
      <c r="LL94" s="5"/>
      <c r="LM94" s="4"/>
      <c r="LN94" s="8"/>
      <c r="LO94" s="5" t="str">
        <f t="shared" si="367"/>
        <v>NO APLICA</v>
      </c>
      <c r="LP94" s="6"/>
      <c r="LQ94" s="6"/>
      <c r="LR94" s="4"/>
      <c r="LS94" s="8"/>
      <c r="LT94" s="5" t="str">
        <f t="shared" si="359"/>
        <v>NO APLICA</v>
      </c>
      <c r="LU94" s="6"/>
      <c r="LV94" s="6"/>
      <c r="LW94" s="4"/>
      <c r="LX94" s="6"/>
      <c r="LY94" s="5" t="str">
        <f t="shared" si="360"/>
        <v>NO APLICA</v>
      </c>
      <c r="LZ94" s="6"/>
      <c r="MA94" s="6"/>
      <c r="MB94" s="4"/>
      <c r="MC94" s="6"/>
      <c r="MD94" s="5" t="str">
        <f t="shared" si="361"/>
        <v>NO APLICA</v>
      </c>
      <c r="ME94" s="6"/>
      <c r="MF94" s="6"/>
      <c r="MG94" s="4"/>
      <c r="MH94" s="6"/>
      <c r="MI94" s="5" t="str">
        <f t="shared" si="333"/>
        <v>NO APLICA</v>
      </c>
      <c r="MJ94" s="6"/>
      <c r="MK94" s="6"/>
      <c r="ML94" s="4"/>
      <c r="MM94" s="6"/>
      <c r="MN94" s="5" t="str">
        <f t="shared" si="334"/>
        <v>NO APLICA</v>
      </c>
      <c r="MO94" s="5"/>
      <c r="MP94" s="6"/>
      <c r="MQ94" s="4"/>
      <c r="MR94" s="6"/>
      <c r="MS94" s="5" t="str">
        <f t="shared" si="335"/>
        <v>NO APLICA</v>
      </c>
      <c r="MT94" s="5"/>
      <c r="MU94" s="6"/>
      <c r="MV94" s="6"/>
      <c r="MW94" s="6"/>
      <c r="MX94" s="5" t="str">
        <f t="shared" si="336"/>
        <v>NO APLICA</v>
      </c>
      <c r="MY94" s="6"/>
      <c r="MZ94" s="6"/>
      <c r="NA94" s="4"/>
      <c r="NB94" s="6"/>
      <c r="NC94" s="5" t="str">
        <f t="shared" si="337"/>
        <v>NO APLICA</v>
      </c>
      <c r="ND94" s="6"/>
      <c r="NE94" s="6"/>
      <c r="NF94" s="4"/>
      <c r="NG94" s="6"/>
      <c r="NH94" s="5" t="str">
        <f t="shared" si="338"/>
        <v>NO APLICA</v>
      </c>
      <c r="NI94" s="6"/>
      <c r="NJ94" s="6"/>
      <c r="NK94" s="4"/>
      <c r="NL94" s="6"/>
      <c r="NM94" s="5" t="str">
        <f t="shared" si="339"/>
        <v>NO APLICA</v>
      </c>
      <c r="NN94" s="6"/>
      <c r="NO94" s="6"/>
      <c r="NP94" s="4"/>
      <c r="NQ94" s="6"/>
      <c r="NR94" s="5" t="str">
        <f t="shared" si="340"/>
        <v>NO APLICA</v>
      </c>
      <c r="NS94" s="6"/>
      <c r="NT94" s="6"/>
      <c r="NU94" s="4"/>
      <c r="NV94" s="6"/>
      <c r="NW94" s="5" t="str">
        <f t="shared" si="341"/>
        <v>NO APLICA</v>
      </c>
      <c r="NX94" s="6"/>
      <c r="NY94" s="6"/>
      <c r="NZ94" s="4"/>
      <c r="OA94" s="8"/>
      <c r="OB94" s="5" t="str">
        <f t="shared" si="342"/>
        <v>NO APLICA</v>
      </c>
      <c r="OC94" s="6"/>
      <c r="OD94" s="6"/>
      <c r="OE94" s="6"/>
      <c r="OF94" s="6"/>
      <c r="OG94" s="5" t="str">
        <f t="shared" si="343"/>
        <v>NO APLICA</v>
      </c>
      <c r="OH94" s="6"/>
      <c r="OI94" s="6"/>
      <c r="OJ94" s="6"/>
      <c r="OK94" s="6"/>
      <c r="OL94" s="5" t="str">
        <f t="shared" si="344"/>
        <v>NO APLICA</v>
      </c>
      <c r="OM94" s="6"/>
      <c r="ON94" s="6"/>
      <c r="OO94" s="6"/>
      <c r="OP94" s="6"/>
      <c r="OQ94" s="5" t="str">
        <f t="shared" si="345"/>
        <v>NO APLICA</v>
      </c>
      <c r="OR94" s="6"/>
      <c r="OS94" s="6"/>
      <c r="OT94" s="6"/>
      <c r="OU94" s="6"/>
      <c r="OV94" s="5" t="str">
        <f t="shared" si="346"/>
        <v>NO APLICA</v>
      </c>
      <c r="OW94" s="6"/>
      <c r="OX94" s="6"/>
      <c r="OY94" s="6"/>
      <c r="OZ94" s="6"/>
      <c r="PA94" s="5" t="str">
        <f t="shared" si="347"/>
        <v>NO APLICA</v>
      </c>
      <c r="PB94" s="6"/>
      <c r="PC94" s="6"/>
      <c r="PD94" s="6"/>
      <c r="PE94" s="6"/>
      <c r="PF94" s="5" t="str">
        <f t="shared" si="348"/>
        <v>NO APLICA</v>
      </c>
      <c r="PG94" s="6"/>
      <c r="PH94" s="6"/>
      <c r="PI94" s="6"/>
      <c r="PJ94" s="6"/>
      <c r="PK94" s="5" t="str">
        <f t="shared" si="349"/>
        <v>NO APLICA</v>
      </c>
      <c r="PL94" s="5"/>
      <c r="PM94" s="6"/>
      <c r="PN94" s="6"/>
      <c r="PO94" s="6"/>
      <c r="PP94" s="5" t="str">
        <f t="shared" si="350"/>
        <v>NO APLICA</v>
      </c>
      <c r="PQ94" s="6"/>
      <c r="PR94" s="6"/>
      <c r="PS94" s="6"/>
      <c r="PT94" s="6"/>
      <c r="PU94" s="5" t="str">
        <f t="shared" si="351"/>
        <v>NO APLICA</v>
      </c>
      <c r="PV94" s="5"/>
      <c r="PW94" s="6"/>
      <c r="PX94" s="6"/>
      <c r="PY94" s="6"/>
      <c r="PZ94" s="5" t="str">
        <f t="shared" si="352"/>
        <v>NO APLICA</v>
      </c>
    </row>
    <row r="95" spans="1:442" ht="15.6" hidden="1" thickTop="1" thickBot="1" x14ac:dyDescent="0.35">
      <c r="A95" s="26">
        <v>92</v>
      </c>
      <c r="B95" s="31">
        <v>1695</v>
      </c>
      <c r="C95" s="28" t="s">
        <v>332</v>
      </c>
      <c r="D95" s="29" t="s">
        <v>68</v>
      </c>
      <c r="E95" s="30" t="s">
        <v>73</v>
      </c>
      <c r="F95" s="5"/>
      <c r="G95" s="6"/>
      <c r="H95" s="4"/>
      <c r="I95" s="8"/>
      <c r="J95" s="5" t="str">
        <f t="shared" si="242"/>
        <v>NO APLICA</v>
      </c>
      <c r="K95" s="5"/>
      <c r="L95" s="6"/>
      <c r="M95" s="6"/>
      <c r="N95" s="8"/>
      <c r="O95" s="5" t="str">
        <f t="shared" si="243"/>
        <v>NO APLICA</v>
      </c>
      <c r="P95" s="6"/>
      <c r="Q95" s="6"/>
      <c r="R95" s="4"/>
      <c r="S95" s="8"/>
      <c r="T95" s="5" t="str">
        <f t="shared" si="353"/>
        <v>NO APLICA</v>
      </c>
      <c r="U95" s="5"/>
      <c r="V95" s="2" t="s">
        <v>333</v>
      </c>
      <c r="W95" s="4">
        <v>45156</v>
      </c>
      <c r="X95" s="4">
        <f t="shared" si="244"/>
        <v>46983</v>
      </c>
      <c r="Y95" s="8">
        <f t="shared" ca="1" si="245"/>
        <v>838</v>
      </c>
      <c r="Z95" s="5" t="str">
        <f t="shared" ca="1" si="246"/>
        <v>VIGENTE</v>
      </c>
      <c r="AA95" s="5"/>
      <c r="AB95" s="2" t="s">
        <v>334</v>
      </c>
      <c r="AC95" s="4">
        <v>45162</v>
      </c>
      <c r="AD95" s="4">
        <f>DATE(YEAR(AC95)+5,MONTH(AC95),DAY(AC95))</f>
        <v>46989</v>
      </c>
      <c r="AE95" s="8">
        <f ca="1">AD95-TODAY()</f>
        <v>844</v>
      </c>
      <c r="AF95" s="5" t="str">
        <f t="shared" ca="1" si="247"/>
        <v>VIGENTE</v>
      </c>
      <c r="AG95" s="3"/>
      <c r="AH95" s="4">
        <v>45902</v>
      </c>
      <c r="AI95" s="4">
        <f>DATE(YEAR(AH95)+2,MONTH(AH95),DAY(AH95))</f>
        <v>46632</v>
      </c>
      <c r="AJ95" s="8">
        <f t="shared" ca="1" si="248"/>
        <v>487</v>
      </c>
      <c r="AK95" s="5" t="str">
        <f t="shared" ca="1" si="219"/>
        <v>VIGENTE</v>
      </c>
      <c r="AL95" s="3"/>
      <c r="AM95" s="4">
        <v>45903</v>
      </c>
      <c r="AN95" s="4">
        <f t="shared" si="390"/>
        <v>46633</v>
      </c>
      <c r="AO95" s="8">
        <f t="shared" ca="1" si="249"/>
        <v>488</v>
      </c>
      <c r="AP95" s="5" t="str">
        <f t="shared" ca="1" si="250"/>
        <v>VIGENTE</v>
      </c>
      <c r="AQ95" s="3"/>
      <c r="AR95" s="4">
        <v>45989</v>
      </c>
      <c r="AS95" s="4">
        <f t="shared" si="391"/>
        <v>46719</v>
      </c>
      <c r="AT95" s="8">
        <f t="shared" ca="1" si="251"/>
        <v>574</v>
      </c>
      <c r="AU95" s="5" t="str">
        <f t="shared" ca="1" si="252"/>
        <v>VIGENTE</v>
      </c>
      <c r="AV95" s="3"/>
      <c r="AW95" s="4">
        <v>45972</v>
      </c>
      <c r="AX95" s="4">
        <f t="shared" si="392"/>
        <v>46702</v>
      </c>
      <c r="AY95" s="8">
        <f t="shared" ca="1" si="253"/>
        <v>557</v>
      </c>
      <c r="AZ95" s="5" t="str">
        <f t="shared" ca="1" si="254"/>
        <v>VIGENTE</v>
      </c>
      <c r="BA95" s="3"/>
      <c r="BB95" s="4">
        <v>45943</v>
      </c>
      <c r="BC95" s="4">
        <f>DATE(YEAR(BB95)+2,MONTH(BB95),DAY(BB95))</f>
        <v>46673</v>
      </c>
      <c r="BD95" s="8">
        <f t="shared" ca="1" si="255"/>
        <v>528</v>
      </c>
      <c r="BE95" s="5" t="str">
        <f t="shared" ca="1" si="256"/>
        <v>VIGENTE</v>
      </c>
      <c r="BF95" s="2"/>
      <c r="BG95" s="4">
        <v>45987</v>
      </c>
      <c r="BH95" s="4">
        <f t="shared" si="398"/>
        <v>46717</v>
      </c>
      <c r="BI95" s="8">
        <f t="shared" ca="1" si="257"/>
        <v>572</v>
      </c>
      <c r="BJ95" s="5" t="str">
        <f t="shared" ca="1" si="258"/>
        <v>VIGENTE</v>
      </c>
      <c r="BK95" s="3"/>
      <c r="BL95" s="4">
        <v>45976</v>
      </c>
      <c r="BM95" s="4">
        <f>DATE(YEAR(BL95)+2,MONTH(BL95),DAY(BL95))</f>
        <v>46706</v>
      </c>
      <c r="BN95" s="8">
        <f t="shared" ca="1" si="259"/>
        <v>561</v>
      </c>
      <c r="BO95" s="5" t="str">
        <f t="shared" ca="1" si="260"/>
        <v>VIGENTE</v>
      </c>
      <c r="BP95" s="3"/>
      <c r="BQ95" s="39">
        <v>45876</v>
      </c>
      <c r="BR95" s="4">
        <f>DATE(YEAR(BQ95)+2,MONTH(BQ95),DAY(BQ95))</f>
        <v>46606</v>
      </c>
      <c r="BS95" s="8">
        <f t="shared" ca="1" si="261"/>
        <v>461</v>
      </c>
      <c r="BT95" s="5" t="str">
        <f t="shared" ca="1" si="262"/>
        <v>VIGENTE</v>
      </c>
      <c r="BU95" s="3"/>
      <c r="BV95" s="4">
        <v>45853</v>
      </c>
      <c r="BW95" s="4">
        <f>DATE(YEAR(BV95)+2,MONTH(BV95),DAY(BV95))</f>
        <v>46583</v>
      </c>
      <c r="BX95" s="8">
        <f t="shared" ca="1" si="263"/>
        <v>438</v>
      </c>
      <c r="BY95" s="5" t="str">
        <f t="shared" ca="1" si="264"/>
        <v>VIGENTE</v>
      </c>
      <c r="BZ95" s="3"/>
      <c r="CA95" s="4">
        <v>45974</v>
      </c>
      <c r="CB95" s="4">
        <f t="shared" si="393"/>
        <v>46704</v>
      </c>
      <c r="CC95" s="8">
        <f t="shared" ca="1" si="265"/>
        <v>559</v>
      </c>
      <c r="CD95" s="5" t="str">
        <f t="shared" ca="1" si="266"/>
        <v>VIGENTE</v>
      </c>
      <c r="CE95" s="6"/>
      <c r="CF95" s="4">
        <v>45164</v>
      </c>
      <c r="CG95" s="4">
        <f t="shared" si="387"/>
        <v>46625</v>
      </c>
      <c r="CH95" s="8">
        <f t="shared" ca="1" si="388"/>
        <v>480</v>
      </c>
      <c r="CI95" s="5" t="str">
        <f t="shared" ca="1" si="269"/>
        <v>VIGENTE</v>
      </c>
      <c r="CJ95" s="4"/>
      <c r="CK95" s="4">
        <v>45895</v>
      </c>
      <c r="CL95" s="4">
        <f>DATE(YEAR(CK95)+2,MONTH(CK95),DAY(CK95))</f>
        <v>46625</v>
      </c>
      <c r="CM95" s="8">
        <f t="shared" ca="1" si="270"/>
        <v>480</v>
      </c>
      <c r="CN95" s="5" t="str">
        <f t="shared" ca="1" si="271"/>
        <v>VIGENTE</v>
      </c>
      <c r="CO95" s="4"/>
      <c r="CP95" s="39">
        <v>45979</v>
      </c>
      <c r="CQ95" s="4">
        <f>DATE(YEAR(CP95)+2,MONTH(CP95),DAY(CP95))</f>
        <v>46709</v>
      </c>
      <c r="CR95" s="8">
        <f t="shared" ca="1" si="272"/>
        <v>564</v>
      </c>
      <c r="CS95" s="5" t="str">
        <f t="shared" ca="1" si="273"/>
        <v>VIGENTE</v>
      </c>
      <c r="CT95" s="2"/>
      <c r="CU95" s="4">
        <v>45939</v>
      </c>
      <c r="CV95" s="4">
        <f>DATE(YEAR(CU95)+2,MONTH(CU95),DAY(CU95))</f>
        <v>46669</v>
      </c>
      <c r="CW95" s="8">
        <f t="shared" ca="1" si="274"/>
        <v>524</v>
      </c>
      <c r="CX95" s="5" t="str">
        <f t="shared" ca="1" si="275"/>
        <v>VIGENTE</v>
      </c>
      <c r="CY95" s="3"/>
      <c r="CZ95" s="4">
        <v>46000</v>
      </c>
      <c r="DA95" s="4">
        <f>DATE(YEAR(CZ95)+2,MONTH(CZ95),DAY(CZ95))</f>
        <v>46730</v>
      </c>
      <c r="DB95" s="8">
        <f t="shared" ca="1" si="276"/>
        <v>585</v>
      </c>
      <c r="DC95" s="5" t="str">
        <f t="shared" ca="1" si="277"/>
        <v>VIGENTE</v>
      </c>
      <c r="DD95" s="3"/>
      <c r="DE95" s="39">
        <v>45836</v>
      </c>
      <c r="DF95" s="4">
        <f>DATE(YEAR(DE95)+2,MONTH(DE95),DAY(DE95))</f>
        <v>46566</v>
      </c>
      <c r="DG95" s="8">
        <f t="shared" ca="1" si="278"/>
        <v>421</v>
      </c>
      <c r="DH95" s="5" t="str">
        <f t="shared" ca="1" si="279"/>
        <v>VIGENTE</v>
      </c>
      <c r="DI95" s="3"/>
      <c r="DJ95" s="39">
        <v>45924</v>
      </c>
      <c r="DK95" s="4">
        <f>DATE(YEAR(DJ95)+2,MONTH(DJ95),DAY(DJ95))</f>
        <v>46654</v>
      </c>
      <c r="DL95" s="8">
        <f t="shared" ca="1" si="280"/>
        <v>509</v>
      </c>
      <c r="DM95" s="5" t="str">
        <f t="shared" ca="1" si="281"/>
        <v>VIGENTE</v>
      </c>
      <c r="DN95" s="3"/>
      <c r="DO95" s="4">
        <v>45857</v>
      </c>
      <c r="DP95" s="4">
        <f>DATE(YEAR(DO95)+2,MONTH(DO95),DAY(DO95))</f>
        <v>46587</v>
      </c>
      <c r="DQ95" s="8">
        <f t="shared" ca="1" si="282"/>
        <v>442</v>
      </c>
      <c r="DR95" s="5" t="str">
        <f t="shared" ca="1" si="283"/>
        <v>VIGENTE</v>
      </c>
      <c r="DS95" s="4"/>
      <c r="DT95" s="4">
        <v>46018</v>
      </c>
      <c r="DU95" s="4">
        <f>DATE(YEAR(DT95)+2,MONTH(DT95),DAY(DT95))</f>
        <v>46748</v>
      </c>
      <c r="DV95" s="8">
        <f t="shared" ca="1" si="284"/>
        <v>603</v>
      </c>
      <c r="DW95" s="5" t="str">
        <f t="shared" ca="1" si="285"/>
        <v>VIGENTE</v>
      </c>
      <c r="DX95" s="3"/>
      <c r="DY95" s="4">
        <v>46020</v>
      </c>
      <c r="DZ95" s="4">
        <f>DATE(YEAR(DY95)+2,MONTH(DY95),DAY(DY95))</f>
        <v>46750</v>
      </c>
      <c r="EA95" s="8">
        <f t="shared" ca="1" si="286"/>
        <v>605</v>
      </c>
      <c r="EB95" s="5" t="str">
        <f t="shared" ca="1" si="287"/>
        <v>VIGENTE</v>
      </c>
      <c r="EC95" s="3"/>
      <c r="ED95" s="39">
        <v>45829</v>
      </c>
      <c r="EE95" s="4">
        <f>DATE(YEAR(ED95)+2,MONTH(ED95),DAY(ED95))</f>
        <v>46559</v>
      </c>
      <c r="EF95" s="8">
        <f t="shared" ca="1" si="288"/>
        <v>414</v>
      </c>
      <c r="EG95" s="5" t="str">
        <f t="shared" ca="1" si="289"/>
        <v>VIGENTE</v>
      </c>
      <c r="EH95" s="4"/>
      <c r="EI95" s="4">
        <v>46115</v>
      </c>
      <c r="EJ95" s="4">
        <f t="shared" si="355"/>
        <v>46480</v>
      </c>
      <c r="EK95" s="8">
        <f t="shared" ca="1" si="290"/>
        <v>335</v>
      </c>
      <c r="EL95" s="5" t="str">
        <f t="shared" ca="1" si="291"/>
        <v>VIGENTE</v>
      </c>
      <c r="EM95" s="3"/>
      <c r="EN95" s="4">
        <v>45983</v>
      </c>
      <c r="EO95" s="4">
        <f>DATE(YEAR(EN95)+2,MONTH(EN95),DAY(EN95))</f>
        <v>46713</v>
      </c>
      <c r="EP95" s="8">
        <f t="shared" ca="1" si="292"/>
        <v>568</v>
      </c>
      <c r="EQ95" s="5" t="str">
        <f t="shared" ca="1" si="293"/>
        <v>VIGENTE</v>
      </c>
      <c r="ER95" s="2"/>
      <c r="ES95" s="39">
        <v>45999</v>
      </c>
      <c r="ET95" s="4">
        <f>DATE(YEAR(ES95)+2,MONTH(ES95),DAY(ES95))</f>
        <v>46729</v>
      </c>
      <c r="EU95" s="8">
        <f t="shared" ca="1" si="294"/>
        <v>584</v>
      </c>
      <c r="EV95" s="5" t="str">
        <f t="shared" ca="1" si="295"/>
        <v>VIGENTE</v>
      </c>
      <c r="EW95" s="3"/>
      <c r="EX95" s="4">
        <v>45973</v>
      </c>
      <c r="EY95" s="4">
        <f>DATE(YEAR(EX95)+2,MONTH(EX95),DAY(EX95))</f>
        <v>46703</v>
      </c>
      <c r="EZ95" s="8">
        <f t="shared" ca="1" si="296"/>
        <v>558</v>
      </c>
      <c r="FA95" s="5" t="str">
        <f t="shared" ca="1" si="297"/>
        <v>VIGENTE</v>
      </c>
      <c r="FB95" s="3"/>
      <c r="FC95" s="4">
        <v>45922</v>
      </c>
      <c r="FD95" s="4">
        <f t="shared" si="396"/>
        <v>46652</v>
      </c>
      <c r="FE95" s="8">
        <f t="shared" ca="1" si="298"/>
        <v>507</v>
      </c>
      <c r="FF95" s="5" t="str">
        <f t="shared" ca="1" si="299"/>
        <v>VIGENTE</v>
      </c>
      <c r="FG95" s="2"/>
      <c r="FH95" s="4">
        <v>46009</v>
      </c>
      <c r="FI95" s="4">
        <f t="shared" si="397"/>
        <v>46739</v>
      </c>
      <c r="FJ95" s="8">
        <f t="shared" ca="1" si="300"/>
        <v>594</v>
      </c>
      <c r="FK95" s="5" t="str">
        <f t="shared" ca="1" si="301"/>
        <v>VIGENTE</v>
      </c>
      <c r="FL95" s="3"/>
      <c r="FM95" s="39">
        <v>45850</v>
      </c>
      <c r="FN95" s="4">
        <f>DATE(YEAR(FM95)+2,MONTH(FM95),DAY(FM95))</f>
        <v>46580</v>
      </c>
      <c r="FO95" s="8">
        <f t="shared" ca="1" si="302"/>
        <v>435</v>
      </c>
      <c r="FP95" s="5" t="str">
        <f t="shared" ca="1" si="303"/>
        <v>VIGENTE</v>
      </c>
      <c r="FQ95" s="3"/>
      <c r="FR95" s="39">
        <v>45957</v>
      </c>
      <c r="FS95" s="4">
        <f>DATE(YEAR(FR95)+2,MONTH(FR95),DAY(FR95))</f>
        <v>46687</v>
      </c>
      <c r="FT95" s="8">
        <f t="shared" ca="1" si="304"/>
        <v>542</v>
      </c>
      <c r="FU95" s="5" t="str">
        <f t="shared" ca="1" si="305"/>
        <v>VIGENTE</v>
      </c>
      <c r="FV95" s="3"/>
      <c r="FW95" s="4">
        <v>46014</v>
      </c>
      <c r="FX95" s="4">
        <f>DATE(YEAR(FW95)+2,MONTH(FW95),DAY(FW95))</f>
        <v>46744</v>
      </c>
      <c r="FY95" s="8">
        <f t="shared" ca="1" si="306"/>
        <v>599</v>
      </c>
      <c r="FZ95" s="5" t="str">
        <f t="shared" ca="1" si="307"/>
        <v>VIGENTE</v>
      </c>
      <c r="GA95" s="3"/>
      <c r="GB95" s="4">
        <v>46030</v>
      </c>
      <c r="GC95" s="4">
        <f>DATE(YEAR(GB95)+2,MONTH(GB95),DAY(GB95))</f>
        <v>46760</v>
      </c>
      <c r="GD95" s="8">
        <f t="shared" ca="1" si="308"/>
        <v>615</v>
      </c>
      <c r="GE95" s="5" t="str">
        <f t="shared" ca="1" si="309"/>
        <v>VIGENTE</v>
      </c>
      <c r="GF95" s="3"/>
      <c r="GG95" s="4">
        <v>45912</v>
      </c>
      <c r="GH95" s="4">
        <f>DATE(YEAR(GG95)+2,MONTH(GG95),DAY(GG95))</f>
        <v>46642</v>
      </c>
      <c r="GI95" s="8">
        <f t="shared" ca="1" si="310"/>
        <v>497</v>
      </c>
      <c r="GJ95" s="5" t="str">
        <f t="shared" ca="1" si="311"/>
        <v>VIGENTE</v>
      </c>
      <c r="GK95" s="3"/>
      <c r="GL95" s="4">
        <v>45923</v>
      </c>
      <c r="GM95" s="4">
        <f>DATE(YEAR(GL95)+2,MONTH(GL95),DAY(GL95))</f>
        <v>46653</v>
      </c>
      <c r="GN95" s="8">
        <f t="shared" ca="1" si="312"/>
        <v>508</v>
      </c>
      <c r="GO95" s="5" t="str">
        <f t="shared" ca="1" si="313"/>
        <v>VIGENTE</v>
      </c>
      <c r="GP95" s="4"/>
      <c r="GQ95" s="4">
        <v>45299</v>
      </c>
      <c r="GR95" s="4">
        <f t="shared" si="314"/>
        <v>47126</v>
      </c>
      <c r="GS95" s="8">
        <f t="shared" ca="1" si="384"/>
        <v>981</v>
      </c>
      <c r="GT95" s="5" t="str">
        <f t="shared" ca="1" si="378"/>
        <v>VIGENTE</v>
      </c>
      <c r="GU95" s="3"/>
      <c r="GV95" s="4">
        <v>45195</v>
      </c>
      <c r="GW95" s="4">
        <f t="shared" si="316"/>
        <v>47022</v>
      </c>
      <c r="GX95" s="8">
        <f t="shared" ca="1" si="317"/>
        <v>877</v>
      </c>
      <c r="GY95" s="5" t="str">
        <f t="shared" ca="1" si="379"/>
        <v>VIGENTE</v>
      </c>
      <c r="GZ95" s="2"/>
      <c r="HA95" s="4">
        <v>45251</v>
      </c>
      <c r="HB95" s="4">
        <f t="shared" si="319"/>
        <v>47078</v>
      </c>
      <c r="HC95" s="8">
        <f t="shared" ca="1" si="320"/>
        <v>933</v>
      </c>
      <c r="HD95" s="5" t="str">
        <f t="shared" ca="1" si="380"/>
        <v>VIGENTE</v>
      </c>
      <c r="HE95" s="6"/>
      <c r="HF95" s="4">
        <v>45227</v>
      </c>
      <c r="HG95" s="4">
        <f>DATE(YEAR(HF95)+5,MONTH(HF95),DAY(HF95))</f>
        <v>47054</v>
      </c>
      <c r="HH95" s="8">
        <f ca="1">HG95-TODAY()</f>
        <v>909</v>
      </c>
      <c r="HI95" s="5" t="str">
        <f t="shared" ca="1" si="389"/>
        <v>VIGENTE</v>
      </c>
      <c r="HJ95" s="2"/>
      <c r="HK95" s="6"/>
      <c r="HL95" s="4"/>
      <c r="HM95" s="8"/>
      <c r="HN95" s="5" t="str">
        <f t="shared" si="385"/>
        <v>NO APLICA</v>
      </c>
      <c r="HO95" s="2"/>
      <c r="HP95" s="2"/>
      <c r="HQ95" s="4"/>
      <c r="HR95" s="2"/>
      <c r="HS95" s="5" t="str">
        <f t="shared" si="322"/>
        <v>NO APLICA</v>
      </c>
      <c r="HT95" s="2"/>
      <c r="HU95" s="6"/>
      <c r="HV95" s="4"/>
      <c r="HW95" s="8"/>
      <c r="HX95" s="5" t="str">
        <f t="shared" si="323"/>
        <v>NO APLICA</v>
      </c>
      <c r="HY95" s="2"/>
      <c r="HZ95" s="4">
        <v>45395</v>
      </c>
      <c r="IA95" s="4">
        <f>DATE(YEAR(HZ95)+5,MONTH(HZ95),DAY(HZ95))</f>
        <v>47221</v>
      </c>
      <c r="IB95" s="8">
        <f ca="1">IA95-TODAY()</f>
        <v>1076</v>
      </c>
      <c r="IC95" s="5" t="str">
        <f t="shared" ca="1" si="324"/>
        <v>VIGENTE</v>
      </c>
      <c r="ID95" s="2"/>
      <c r="IE95" s="4">
        <v>45355</v>
      </c>
      <c r="IF95" s="4">
        <f>DATE(YEAR(IE95)+5,MONTH(IE95),DAY(IE95))</f>
        <v>47181</v>
      </c>
      <c r="IG95" s="8">
        <f ca="1">IF95-TODAY()</f>
        <v>1036</v>
      </c>
      <c r="IH95" s="5" t="str">
        <f t="shared" ca="1" si="325"/>
        <v>VIGENTE</v>
      </c>
      <c r="II95" s="6"/>
      <c r="IJ95" s="6"/>
      <c r="IK95" s="4"/>
      <c r="IL95" s="8"/>
      <c r="IM95" s="5" t="str">
        <f t="shared" si="326"/>
        <v>NO APLICA</v>
      </c>
      <c r="IN95" s="2"/>
      <c r="IO95" s="4">
        <v>45304</v>
      </c>
      <c r="IP95" s="4">
        <f>DATE(YEAR(IO95)+5,MONTH(IO95),DAY(IO95))</f>
        <v>47131</v>
      </c>
      <c r="IQ95" s="8">
        <f ca="1">IP95-TODAY()</f>
        <v>986</v>
      </c>
      <c r="IR95" s="5" t="str">
        <f t="shared" ca="1" si="327"/>
        <v>VIGENTE</v>
      </c>
      <c r="IS95" s="2"/>
      <c r="IT95" s="4">
        <v>45288</v>
      </c>
      <c r="IU95" s="4">
        <f>DATE(YEAR(IT95)+5,MONTH(IT95),DAY(IT95))</f>
        <v>47115</v>
      </c>
      <c r="IV95" s="8">
        <f ca="1">IU95-TODAY()</f>
        <v>970</v>
      </c>
      <c r="IW95" s="5" t="str">
        <f t="shared" ca="1" si="328"/>
        <v>VIGENTE</v>
      </c>
      <c r="IX95" s="2"/>
      <c r="IY95" s="6"/>
      <c r="IZ95" s="4"/>
      <c r="JA95" s="8"/>
      <c r="JB95" s="5" t="str">
        <f t="shared" si="329"/>
        <v>NO APLICA</v>
      </c>
      <c r="JC95" s="3" t="s">
        <v>780</v>
      </c>
      <c r="JD95" s="3"/>
      <c r="JE95" s="4"/>
      <c r="JF95" s="8"/>
      <c r="JG95" s="5"/>
      <c r="JH95" s="3" t="s">
        <v>780</v>
      </c>
      <c r="JI95" s="6"/>
      <c r="JJ95" s="6"/>
      <c r="JK95" s="6"/>
      <c r="JL95" s="5"/>
      <c r="JM95" s="6" t="s">
        <v>780</v>
      </c>
      <c r="JN95" s="6"/>
      <c r="JO95" s="6"/>
      <c r="JP95" s="6"/>
      <c r="JQ95" s="5"/>
      <c r="JR95" s="6" t="s">
        <v>780</v>
      </c>
      <c r="JS95" s="6"/>
      <c r="JT95" s="6"/>
      <c r="JU95" s="6"/>
      <c r="JV95" s="5"/>
      <c r="JW95" s="6" t="s">
        <v>780</v>
      </c>
      <c r="JX95" s="5"/>
      <c r="JY95" s="5"/>
      <c r="JZ95" s="5"/>
      <c r="KA95" s="5"/>
      <c r="KB95" s="5"/>
      <c r="KC95" s="2"/>
      <c r="KD95" s="4"/>
      <c r="KE95" s="8"/>
      <c r="KF95" s="5" t="str">
        <f t="shared" si="330"/>
        <v>NO APLICA</v>
      </c>
      <c r="KG95" s="5"/>
      <c r="KH95" s="2"/>
      <c r="KI95" s="4"/>
      <c r="KJ95" s="8"/>
      <c r="KK95" s="5" t="str">
        <f t="shared" si="356"/>
        <v>NO APLICA</v>
      </c>
      <c r="KL95" s="5"/>
      <c r="KM95" s="2"/>
      <c r="KN95" s="4"/>
      <c r="KO95" s="8"/>
      <c r="KP95" s="5" t="str">
        <f t="shared" si="331"/>
        <v>NO APLICA</v>
      </c>
      <c r="KQ95" s="5"/>
      <c r="KR95" s="2"/>
      <c r="KS95" s="4"/>
      <c r="KT95" s="8"/>
      <c r="KU95" s="5" t="str">
        <f t="shared" si="357"/>
        <v>NO APLICA</v>
      </c>
      <c r="KV95" s="2"/>
      <c r="KW95" s="6"/>
      <c r="KX95" s="4"/>
      <c r="KY95" s="8"/>
      <c r="KZ95" s="5" t="str">
        <f t="shared" si="366"/>
        <v>NO APLICA</v>
      </c>
      <c r="LA95" s="5"/>
      <c r="LB95" s="6"/>
      <c r="LC95" s="4"/>
      <c r="LD95" s="8"/>
      <c r="LE95" s="5" t="str">
        <f t="shared" si="358"/>
        <v>NO APLICA</v>
      </c>
      <c r="LF95" s="6"/>
      <c r="LG95" s="6"/>
      <c r="LH95" s="4"/>
      <c r="LI95" s="8"/>
      <c r="LJ95" s="5" t="str">
        <f t="shared" si="332"/>
        <v>NO APLICA</v>
      </c>
      <c r="LK95" s="5"/>
      <c r="LL95" s="5"/>
      <c r="LM95" s="4"/>
      <c r="LN95" s="8"/>
      <c r="LO95" s="5" t="str">
        <f t="shared" si="367"/>
        <v>NO APLICA</v>
      </c>
      <c r="LP95" s="2"/>
      <c r="LQ95" s="6"/>
      <c r="LR95" s="4"/>
      <c r="LS95" s="8"/>
      <c r="LT95" s="5" t="str">
        <f t="shared" si="359"/>
        <v>NO APLICA</v>
      </c>
      <c r="LU95" s="6"/>
      <c r="LV95" s="6"/>
      <c r="LW95" s="4"/>
      <c r="LX95" s="8"/>
      <c r="LY95" s="5" t="str">
        <f t="shared" si="360"/>
        <v>NO APLICA</v>
      </c>
      <c r="LZ95" s="6"/>
      <c r="MA95" s="6"/>
      <c r="MB95" s="4"/>
      <c r="MC95" s="8"/>
      <c r="MD95" s="5" t="str">
        <f t="shared" si="361"/>
        <v>NO APLICA</v>
      </c>
      <c r="ME95" s="2"/>
      <c r="MF95" s="2"/>
      <c r="MG95" s="4"/>
      <c r="MH95" s="8"/>
      <c r="MI95" s="5" t="str">
        <f t="shared" si="333"/>
        <v>NO APLICA</v>
      </c>
      <c r="MJ95" s="2"/>
      <c r="MK95" s="2"/>
      <c r="ML95" s="4"/>
      <c r="MM95" s="8"/>
      <c r="MN95" s="5" t="str">
        <f t="shared" si="334"/>
        <v>NO APLICA</v>
      </c>
      <c r="MO95" s="5"/>
      <c r="MP95" s="2"/>
      <c r="MQ95" s="4"/>
      <c r="MR95" s="8"/>
      <c r="MS95" s="5" t="str">
        <f t="shared" si="335"/>
        <v>NO APLICA</v>
      </c>
      <c r="MT95" s="5"/>
      <c r="MU95" s="2"/>
      <c r="MV95" s="4"/>
      <c r="MW95" s="2"/>
      <c r="MX95" s="5" t="str">
        <f t="shared" si="336"/>
        <v>NO APLICA</v>
      </c>
      <c r="MY95" s="2"/>
      <c r="MZ95" s="6"/>
      <c r="NA95" s="4"/>
      <c r="NB95" s="8"/>
      <c r="NC95" s="5" t="str">
        <f t="shared" si="337"/>
        <v>NO APLICA</v>
      </c>
      <c r="ND95" s="2"/>
      <c r="NE95" s="6"/>
      <c r="NF95" s="4"/>
      <c r="NG95" s="8"/>
      <c r="NH95" s="5" t="str">
        <f t="shared" si="338"/>
        <v>NO APLICA</v>
      </c>
      <c r="NI95" s="2"/>
      <c r="NJ95" s="6"/>
      <c r="NK95" s="4"/>
      <c r="NL95" s="8"/>
      <c r="NM95" s="5" t="str">
        <f t="shared" si="339"/>
        <v>NO APLICA</v>
      </c>
      <c r="NN95" s="2"/>
      <c r="NO95" s="2"/>
      <c r="NP95" s="4"/>
      <c r="NQ95" s="8"/>
      <c r="NR95" s="5" t="str">
        <f t="shared" si="340"/>
        <v>NO APLICA</v>
      </c>
      <c r="NS95" s="2"/>
      <c r="NT95" s="2"/>
      <c r="NU95" s="4"/>
      <c r="NV95" s="2"/>
      <c r="NW95" s="5" t="str">
        <f t="shared" si="341"/>
        <v>NO APLICA</v>
      </c>
      <c r="NX95" s="6"/>
      <c r="NY95" s="6"/>
      <c r="NZ95" s="4"/>
      <c r="OA95" s="8"/>
      <c r="OB95" s="5" t="str">
        <f t="shared" si="342"/>
        <v>NO APLICA</v>
      </c>
      <c r="OC95" s="6"/>
      <c r="OD95" s="6"/>
      <c r="OE95" s="6"/>
      <c r="OF95" s="6"/>
      <c r="OG95" s="5" t="str">
        <f t="shared" si="343"/>
        <v>NO APLICA</v>
      </c>
      <c r="OH95" s="6"/>
      <c r="OI95" s="6"/>
      <c r="OJ95" s="4"/>
      <c r="OK95" s="8"/>
      <c r="OL95" s="5" t="str">
        <f t="shared" si="344"/>
        <v>NO APLICA</v>
      </c>
      <c r="OM95" s="6"/>
      <c r="ON95" s="6"/>
      <c r="OO95" s="6"/>
      <c r="OP95" s="6"/>
      <c r="OQ95" s="5" t="str">
        <f t="shared" si="345"/>
        <v>NO APLICA</v>
      </c>
      <c r="OR95" s="6"/>
      <c r="OS95" s="6"/>
      <c r="OT95" s="6"/>
      <c r="OU95" s="6"/>
      <c r="OV95" s="5" t="str">
        <f t="shared" si="346"/>
        <v>NO APLICA</v>
      </c>
      <c r="OW95" s="6"/>
      <c r="OX95" s="6"/>
      <c r="OY95" s="6"/>
      <c r="OZ95" s="6"/>
      <c r="PA95" s="5" t="str">
        <f t="shared" si="347"/>
        <v>NO APLICA</v>
      </c>
      <c r="PB95" s="6"/>
      <c r="PC95" s="6"/>
      <c r="PD95" s="6"/>
      <c r="PE95" s="6"/>
      <c r="PF95" s="5" t="str">
        <f t="shared" si="348"/>
        <v>NO APLICA</v>
      </c>
      <c r="PG95" s="6"/>
      <c r="PH95" s="6"/>
      <c r="PI95" s="6"/>
      <c r="PJ95" s="6"/>
      <c r="PK95" s="5" t="str">
        <f t="shared" si="349"/>
        <v>NO APLICA</v>
      </c>
      <c r="PL95" s="5"/>
      <c r="PM95" s="6"/>
      <c r="PN95" s="4"/>
      <c r="PO95" s="8"/>
      <c r="PP95" s="5" t="str">
        <f t="shared" si="350"/>
        <v>NO APLICA</v>
      </c>
      <c r="PQ95" s="6"/>
      <c r="PR95" s="6"/>
      <c r="PS95" s="6"/>
      <c r="PT95" s="6"/>
      <c r="PU95" s="5" t="str">
        <f t="shared" si="351"/>
        <v>NO APLICA</v>
      </c>
      <c r="PV95" s="5"/>
      <c r="PW95" s="6"/>
      <c r="PX95" s="6"/>
      <c r="PY95" s="6"/>
      <c r="PZ95" s="5" t="str">
        <f t="shared" si="352"/>
        <v>NO APLICA</v>
      </c>
    </row>
    <row r="96" spans="1:442" ht="15.6" hidden="1" thickTop="1" thickBot="1" x14ac:dyDescent="0.35">
      <c r="A96" s="26">
        <v>93</v>
      </c>
      <c r="B96" s="27">
        <v>1573</v>
      </c>
      <c r="C96" s="28" t="s">
        <v>335</v>
      </c>
      <c r="D96" s="29" t="s">
        <v>68</v>
      </c>
      <c r="E96" s="30" t="s">
        <v>73</v>
      </c>
      <c r="F96" s="5"/>
      <c r="G96" s="6"/>
      <c r="H96" s="4"/>
      <c r="I96" s="8"/>
      <c r="J96" s="5" t="str">
        <f t="shared" si="242"/>
        <v>NO APLICA</v>
      </c>
      <c r="K96" s="2"/>
      <c r="L96" s="6"/>
      <c r="M96" s="6"/>
      <c r="N96" s="8"/>
      <c r="O96" s="5" t="str">
        <f t="shared" si="243"/>
        <v>NO APLICA</v>
      </c>
      <c r="P96" s="6"/>
      <c r="Q96" s="6"/>
      <c r="R96" s="4"/>
      <c r="S96" s="8"/>
      <c r="T96" s="5" t="str">
        <f t="shared" si="353"/>
        <v>NO APLICA</v>
      </c>
      <c r="U96" s="5"/>
      <c r="V96" s="2" t="s">
        <v>336</v>
      </c>
      <c r="W96" s="4">
        <v>45500</v>
      </c>
      <c r="X96" s="4">
        <f t="shared" si="244"/>
        <v>47326</v>
      </c>
      <c r="Y96" s="8">
        <f t="shared" ca="1" si="245"/>
        <v>1181</v>
      </c>
      <c r="Z96" s="5" t="str">
        <f t="shared" ca="1" si="246"/>
        <v>VIGENTE</v>
      </c>
      <c r="AA96" s="5"/>
      <c r="AB96" s="2" t="s">
        <v>337</v>
      </c>
      <c r="AC96" s="4">
        <v>44988</v>
      </c>
      <c r="AD96" s="4">
        <f>DATE(YEAR(AC96)+5,MONTH(AC96),DAY(AC96))</f>
        <v>46815</v>
      </c>
      <c r="AE96" s="8">
        <f ca="1">AD96-TODAY()</f>
        <v>670</v>
      </c>
      <c r="AF96" s="5" t="str">
        <f t="shared" ca="1" si="247"/>
        <v>VIGENTE</v>
      </c>
      <c r="AG96" s="3"/>
      <c r="AH96" s="4">
        <v>45609</v>
      </c>
      <c r="AI96" s="4">
        <f>DATE(YEAR(AH96)+2,MONTH(AH96),DAY(AH96)-1)</f>
        <v>46338</v>
      </c>
      <c r="AJ96" s="8">
        <f t="shared" ca="1" si="248"/>
        <v>193</v>
      </c>
      <c r="AK96" s="5" t="str">
        <f t="shared" ca="1" si="219"/>
        <v>VIGENTE</v>
      </c>
      <c r="AL96" s="3"/>
      <c r="AM96" s="4">
        <v>45959</v>
      </c>
      <c r="AN96" s="4">
        <f t="shared" si="390"/>
        <v>46689</v>
      </c>
      <c r="AO96" s="8">
        <f t="shared" ca="1" si="249"/>
        <v>544</v>
      </c>
      <c r="AP96" s="5" t="str">
        <f t="shared" ca="1" si="250"/>
        <v>VIGENTE</v>
      </c>
      <c r="AQ96" s="3"/>
      <c r="AR96" s="4">
        <v>45703</v>
      </c>
      <c r="AS96" s="4">
        <f>DATE(YEAR(AR96)+2,MONTH(AR96),DAY(AR96)-1)</f>
        <v>46432</v>
      </c>
      <c r="AT96" s="8">
        <f t="shared" ca="1" si="251"/>
        <v>287</v>
      </c>
      <c r="AU96" s="5" t="str">
        <f t="shared" ca="1" si="252"/>
        <v>VIGENTE</v>
      </c>
      <c r="AV96" s="3"/>
      <c r="AW96" s="4">
        <v>45720</v>
      </c>
      <c r="AX96" s="4">
        <f>DATE(YEAR(AW96)+2,MONTH(AW96),DAY(AW96)-1)</f>
        <v>46449</v>
      </c>
      <c r="AY96" s="8">
        <f t="shared" ca="1" si="253"/>
        <v>304</v>
      </c>
      <c r="AZ96" s="5" t="str">
        <f t="shared" ca="1" si="254"/>
        <v>VIGENTE</v>
      </c>
      <c r="BA96" s="3"/>
      <c r="BB96" s="4">
        <v>45717</v>
      </c>
      <c r="BC96" s="4">
        <f>DATE(YEAR(BB96)+2,MONTH(BB96),DAY(BB96)-1)</f>
        <v>46446</v>
      </c>
      <c r="BD96" s="8">
        <f t="shared" ca="1" si="255"/>
        <v>301</v>
      </c>
      <c r="BE96" s="5" t="str">
        <f t="shared" ca="1" si="256"/>
        <v>VIGENTE</v>
      </c>
      <c r="BF96" s="3"/>
      <c r="BG96" s="4">
        <v>45968</v>
      </c>
      <c r="BH96" s="4">
        <f t="shared" si="398"/>
        <v>46698</v>
      </c>
      <c r="BI96" s="8">
        <f t="shared" ca="1" si="257"/>
        <v>553</v>
      </c>
      <c r="BJ96" s="5" t="str">
        <f t="shared" ca="1" si="258"/>
        <v>VIGENTE</v>
      </c>
      <c r="BK96" s="3"/>
      <c r="BL96" s="4">
        <v>46035</v>
      </c>
      <c r="BM96" s="4">
        <f>DATE(YEAR(BL96)+2,MONTH(BL96),DAY(BL96))</f>
        <v>46765</v>
      </c>
      <c r="BN96" s="8">
        <f t="shared" ca="1" si="259"/>
        <v>620</v>
      </c>
      <c r="BO96" s="5" t="str">
        <f t="shared" ca="1" si="260"/>
        <v>VIGENTE</v>
      </c>
      <c r="BP96" s="3"/>
      <c r="BQ96" s="39">
        <v>45701</v>
      </c>
      <c r="BR96" s="4">
        <f>DATE(YEAR(BQ96)+2,MONTH(BQ96),DAY(BQ96)-1)</f>
        <v>46430</v>
      </c>
      <c r="BS96" s="8">
        <f t="shared" ca="1" si="261"/>
        <v>285</v>
      </c>
      <c r="BT96" s="5" t="str">
        <f t="shared" ca="1" si="262"/>
        <v>VIGENTE</v>
      </c>
      <c r="BU96" s="3"/>
      <c r="BV96" s="4">
        <v>45736</v>
      </c>
      <c r="BW96" s="4">
        <f>DATE(YEAR(BV96)+2,MONTH(BV96),DAY(BV96)-1)</f>
        <v>46465</v>
      </c>
      <c r="BX96" s="8">
        <f t="shared" ca="1" si="263"/>
        <v>320</v>
      </c>
      <c r="BY96" s="5" t="str">
        <f t="shared" ca="1" si="264"/>
        <v>VIGENTE</v>
      </c>
      <c r="BZ96" s="3"/>
      <c r="CA96" s="4">
        <v>45954</v>
      </c>
      <c r="CB96" s="4">
        <f t="shared" si="393"/>
        <v>46684</v>
      </c>
      <c r="CC96" s="8">
        <f t="shared" ca="1" si="265"/>
        <v>539</v>
      </c>
      <c r="CD96" s="5" t="str">
        <f t="shared" ca="1" si="266"/>
        <v>VIGENTE</v>
      </c>
      <c r="CE96" s="6"/>
      <c r="CF96" s="4">
        <v>45301</v>
      </c>
      <c r="CG96" s="4">
        <f t="shared" si="387"/>
        <v>46762</v>
      </c>
      <c r="CH96" s="8">
        <f t="shared" ca="1" si="388"/>
        <v>617</v>
      </c>
      <c r="CI96" s="5" t="str">
        <f t="shared" ca="1" si="269"/>
        <v>VIGENTE</v>
      </c>
      <c r="CJ96" s="4"/>
      <c r="CK96" s="4">
        <v>45929</v>
      </c>
      <c r="CL96" s="4">
        <f>DATE(YEAR(CK96)+2,MONTH(CK96),DAY(CK96))</f>
        <v>46659</v>
      </c>
      <c r="CM96" s="8">
        <f t="shared" ca="1" si="270"/>
        <v>514</v>
      </c>
      <c r="CN96" s="5" t="str">
        <f t="shared" ca="1" si="271"/>
        <v>VIGENTE</v>
      </c>
      <c r="CO96" s="3"/>
      <c r="CP96" s="39">
        <v>45684</v>
      </c>
      <c r="CQ96" s="4">
        <f>DATE(YEAR(CP96)+2,MONTH(CP96),DAY(CP96)-1)</f>
        <v>46413</v>
      </c>
      <c r="CR96" s="8">
        <f t="shared" ca="1" si="272"/>
        <v>268</v>
      </c>
      <c r="CS96" s="5" t="str">
        <f t="shared" ca="1" si="273"/>
        <v>VIGENTE</v>
      </c>
      <c r="CT96" s="3"/>
      <c r="CU96" s="4">
        <v>45645</v>
      </c>
      <c r="CV96" s="4">
        <f>DATE(YEAR(CU96)+2,MONTH(CU96),DAY(CU96)-1)</f>
        <v>46374</v>
      </c>
      <c r="CW96" s="8">
        <f t="shared" ca="1" si="274"/>
        <v>229</v>
      </c>
      <c r="CX96" s="5" t="str">
        <f t="shared" ca="1" si="275"/>
        <v>VIGENTE</v>
      </c>
      <c r="CY96" s="3"/>
      <c r="CZ96" s="4">
        <v>45661</v>
      </c>
      <c r="DA96" s="4">
        <f>DATE(YEAR(CZ96)+2,MONTH(CZ96),DAY(CZ96)-1)</f>
        <v>46390</v>
      </c>
      <c r="DB96" s="8">
        <f t="shared" ca="1" si="276"/>
        <v>245</v>
      </c>
      <c r="DC96" s="5" t="str">
        <f t="shared" ca="1" si="277"/>
        <v>VIGENTE</v>
      </c>
      <c r="DD96" s="3"/>
      <c r="DE96" s="39">
        <v>45549</v>
      </c>
      <c r="DF96" s="4">
        <f>DATE(YEAR(DE96)+2,MONTH(DE96),DAY(DE96)-1)</f>
        <v>46278</v>
      </c>
      <c r="DG96" s="8">
        <f t="shared" ca="1" si="278"/>
        <v>133</v>
      </c>
      <c r="DH96" s="5" t="str">
        <f t="shared" ca="1" si="279"/>
        <v>VIGENTE</v>
      </c>
      <c r="DI96" s="3"/>
      <c r="DJ96" s="39">
        <v>45734</v>
      </c>
      <c r="DK96" s="4">
        <f>DATE(YEAR(DJ96)+2,MONTH(DJ96),DAY(DJ96)-1)</f>
        <v>46463</v>
      </c>
      <c r="DL96" s="8">
        <f t="shared" ca="1" si="280"/>
        <v>318</v>
      </c>
      <c r="DM96" s="5" t="str">
        <f t="shared" ca="1" si="281"/>
        <v>VIGENTE</v>
      </c>
      <c r="DN96" s="3"/>
      <c r="DO96" s="4">
        <v>45731</v>
      </c>
      <c r="DP96" s="4">
        <f>DATE(YEAR(DO96)+2,MONTH(DO96),DAY(DO96)-1)</f>
        <v>46460</v>
      </c>
      <c r="DQ96" s="8">
        <f t="shared" ca="1" si="282"/>
        <v>315</v>
      </c>
      <c r="DR96" s="5" t="str">
        <f t="shared" ca="1" si="283"/>
        <v>VIGENTE</v>
      </c>
      <c r="DS96" s="3"/>
      <c r="DT96" s="4">
        <v>45685</v>
      </c>
      <c r="DU96" s="4">
        <f>DATE(YEAR(DT96)+2,MONTH(DT96),DAY(DT96)-1)</f>
        <v>46414</v>
      </c>
      <c r="DV96" s="8">
        <f t="shared" ca="1" si="284"/>
        <v>269</v>
      </c>
      <c r="DW96" s="5" t="str">
        <f t="shared" ca="1" si="285"/>
        <v>VIGENTE</v>
      </c>
      <c r="DX96" s="3"/>
      <c r="DY96" s="4">
        <v>45751</v>
      </c>
      <c r="DZ96" s="4">
        <f>DATE(YEAR(DY96)+2,MONTH(DY96),DAY(DY96)-1)</f>
        <v>46480</v>
      </c>
      <c r="EA96" s="8">
        <f t="shared" ca="1" si="286"/>
        <v>335</v>
      </c>
      <c r="EB96" s="5" t="str">
        <f t="shared" ca="1" si="287"/>
        <v>VIGENTE</v>
      </c>
      <c r="EC96" s="3"/>
      <c r="ED96" s="39">
        <v>45583</v>
      </c>
      <c r="EE96" s="4">
        <f>DATE(YEAR(ED96)+2,MONTH(ED96),DAY(ED96)-1)</f>
        <v>46312</v>
      </c>
      <c r="EF96" s="8">
        <f t="shared" ca="1" si="288"/>
        <v>167</v>
      </c>
      <c r="EG96" s="5" t="str">
        <f t="shared" ca="1" si="289"/>
        <v>VIGENTE</v>
      </c>
      <c r="EH96" s="3"/>
      <c r="EI96" s="4">
        <v>46123</v>
      </c>
      <c r="EJ96" s="4">
        <f t="shared" si="355"/>
        <v>46488</v>
      </c>
      <c r="EK96" s="8">
        <f t="shared" ca="1" si="290"/>
        <v>343</v>
      </c>
      <c r="EL96" s="5" t="str">
        <f t="shared" ca="1" si="291"/>
        <v>VIGENTE</v>
      </c>
      <c r="EM96" s="3"/>
      <c r="EN96" s="4">
        <v>45660</v>
      </c>
      <c r="EO96" s="4">
        <f>DATE(YEAR(EN96)+2,MONTH(EN96),DAY(EN96)-1)</f>
        <v>46389</v>
      </c>
      <c r="EP96" s="8">
        <f t="shared" ca="1" si="292"/>
        <v>244</v>
      </c>
      <c r="EQ96" s="5" t="str">
        <f t="shared" ca="1" si="293"/>
        <v>VIGENTE</v>
      </c>
      <c r="ER96" s="2"/>
      <c r="ES96" s="39">
        <v>45755</v>
      </c>
      <c r="ET96" s="4">
        <f>DATE(YEAR(ES96)+2,MONTH(ES96),DAY(ES96)-1)</f>
        <v>46484</v>
      </c>
      <c r="EU96" s="8">
        <f t="shared" ca="1" si="294"/>
        <v>339</v>
      </c>
      <c r="EV96" s="5" t="str">
        <f t="shared" ca="1" si="295"/>
        <v>VIGENTE</v>
      </c>
      <c r="EW96" s="3"/>
      <c r="EX96" s="4">
        <v>45953</v>
      </c>
      <c r="EY96" s="4">
        <f>DATE(YEAR(EX96)+2,MONTH(EX96),DAY(EX96))</f>
        <v>46683</v>
      </c>
      <c r="EZ96" s="8">
        <f t="shared" ca="1" si="296"/>
        <v>538</v>
      </c>
      <c r="FA96" s="5" t="str">
        <f t="shared" ca="1" si="297"/>
        <v>VIGENTE</v>
      </c>
      <c r="FB96" s="3"/>
      <c r="FC96" s="4">
        <v>45931</v>
      </c>
      <c r="FD96" s="4">
        <f t="shared" si="396"/>
        <v>46661</v>
      </c>
      <c r="FE96" s="8">
        <f t="shared" ca="1" si="298"/>
        <v>516</v>
      </c>
      <c r="FF96" s="5" t="str">
        <f t="shared" ca="1" si="299"/>
        <v>VIGENTE</v>
      </c>
      <c r="FG96" s="3"/>
      <c r="FH96" s="4">
        <v>45932</v>
      </c>
      <c r="FI96" s="4">
        <f t="shared" si="397"/>
        <v>46662</v>
      </c>
      <c r="FJ96" s="8">
        <f t="shared" ca="1" si="300"/>
        <v>517</v>
      </c>
      <c r="FK96" s="5" t="str">
        <f t="shared" ca="1" si="301"/>
        <v>VIGENTE</v>
      </c>
      <c r="FL96" s="3"/>
      <c r="FM96" s="39">
        <v>45670</v>
      </c>
      <c r="FN96" s="4">
        <f>DATE(YEAR(FM96)+2,MONTH(FM96),DAY(FM96)-1)</f>
        <v>46399</v>
      </c>
      <c r="FO96" s="8">
        <f t="shared" ca="1" si="302"/>
        <v>254</v>
      </c>
      <c r="FP96" s="5" t="str">
        <f t="shared" ca="1" si="303"/>
        <v>VIGENTE</v>
      </c>
      <c r="FQ96" s="3"/>
      <c r="FR96" s="39">
        <v>45678</v>
      </c>
      <c r="FS96" s="4">
        <f>DATE(YEAR(FR96)+2,MONTH(FR96),DAY(FR96)-1)</f>
        <v>46407</v>
      </c>
      <c r="FT96" s="8">
        <f t="shared" ca="1" si="304"/>
        <v>262</v>
      </c>
      <c r="FU96" s="5" t="str">
        <f t="shared" ca="1" si="305"/>
        <v>VIGENTE</v>
      </c>
      <c r="FV96" s="3"/>
      <c r="FW96" s="4">
        <v>45941</v>
      </c>
      <c r="FX96" s="4">
        <f>DATE(YEAR(FW96)+2,MONTH(FW96),DAY(FW96))</f>
        <v>46671</v>
      </c>
      <c r="FY96" s="8">
        <f t="shared" ca="1" si="306"/>
        <v>526</v>
      </c>
      <c r="FZ96" s="5" t="str">
        <f t="shared" ca="1" si="307"/>
        <v>VIGENTE</v>
      </c>
      <c r="GA96" s="3"/>
      <c r="GB96" s="4">
        <v>45715</v>
      </c>
      <c r="GC96" s="4">
        <f>DATE(YEAR(GB96)+2,MONTH(GB96),DAY(GB96)-1)</f>
        <v>46444</v>
      </c>
      <c r="GD96" s="8">
        <f t="shared" ca="1" si="308"/>
        <v>299</v>
      </c>
      <c r="GE96" s="5" t="str">
        <f t="shared" ca="1" si="309"/>
        <v>VIGENTE</v>
      </c>
      <c r="GF96" s="3"/>
      <c r="GG96" s="4">
        <v>45672</v>
      </c>
      <c r="GH96" s="4">
        <f>DATE(YEAR(GG96)+2,MONTH(GG96),DAY(GG96)-1)</f>
        <v>46401</v>
      </c>
      <c r="GI96" s="8">
        <f t="shared" ca="1" si="310"/>
        <v>256</v>
      </c>
      <c r="GJ96" s="5" t="str">
        <f t="shared" ca="1" si="311"/>
        <v>VIGENTE</v>
      </c>
      <c r="GK96" s="3"/>
      <c r="GL96" s="4">
        <v>45687</v>
      </c>
      <c r="GM96" s="4">
        <f>DATE(YEAR(GL96)+2,MONTH(GL96),DAY(GL96)-1)</f>
        <v>46416</v>
      </c>
      <c r="GN96" s="8">
        <f t="shared" ca="1" si="312"/>
        <v>271</v>
      </c>
      <c r="GO96" s="5" t="str">
        <f t="shared" ca="1" si="313"/>
        <v>VIGENTE</v>
      </c>
      <c r="GP96" s="4"/>
      <c r="GQ96" s="4">
        <v>45159</v>
      </c>
      <c r="GR96" s="4">
        <f t="shared" si="314"/>
        <v>46986</v>
      </c>
      <c r="GS96" s="8">
        <f t="shared" ca="1" si="384"/>
        <v>841</v>
      </c>
      <c r="GT96" s="5" t="str">
        <f t="shared" ca="1" si="378"/>
        <v>VIGENTE</v>
      </c>
      <c r="GU96" s="3"/>
      <c r="GV96" s="4">
        <v>44979</v>
      </c>
      <c r="GW96" s="4">
        <f t="shared" si="316"/>
        <v>46805</v>
      </c>
      <c r="GX96" s="8">
        <f t="shared" ca="1" si="317"/>
        <v>660</v>
      </c>
      <c r="GY96" s="5" t="str">
        <f t="shared" ca="1" si="379"/>
        <v>VIGENTE</v>
      </c>
      <c r="GZ96" s="3"/>
      <c r="HA96" s="4">
        <v>45160</v>
      </c>
      <c r="HB96" s="4">
        <f t="shared" si="319"/>
        <v>46987</v>
      </c>
      <c r="HC96" s="8">
        <f t="shared" ca="1" si="320"/>
        <v>842</v>
      </c>
      <c r="HD96" s="5" t="str">
        <f t="shared" ca="1" si="380"/>
        <v>VIGENTE</v>
      </c>
      <c r="HE96" s="6"/>
      <c r="HF96" s="4">
        <v>45196</v>
      </c>
      <c r="HG96" s="4">
        <f>DATE(YEAR(HF96)+5,MONTH(HF96),DAY(HF96))</f>
        <v>47023</v>
      </c>
      <c r="HH96" s="8">
        <f ca="1">HG96-TODAY()</f>
        <v>878</v>
      </c>
      <c r="HI96" s="5" t="str">
        <f t="shared" ca="1" si="389"/>
        <v>VIGENTE</v>
      </c>
      <c r="HJ96" s="2"/>
      <c r="HK96" s="6"/>
      <c r="HL96" s="4"/>
      <c r="HM96" s="8"/>
      <c r="HN96" s="5" t="str">
        <f t="shared" si="385"/>
        <v>NO APLICA</v>
      </c>
      <c r="HO96" s="2"/>
      <c r="HP96" s="2"/>
      <c r="HQ96" s="4"/>
      <c r="HR96" s="2"/>
      <c r="HS96" s="5" t="str">
        <f t="shared" si="322"/>
        <v>NO APLICA</v>
      </c>
      <c r="HT96" s="3"/>
      <c r="HU96" s="4">
        <v>45260</v>
      </c>
      <c r="HV96" s="4">
        <f>DATE(YEAR(HU96)+5,MONTH(HU96),DAY(HU96))</f>
        <v>47087</v>
      </c>
      <c r="HW96" s="8">
        <f ca="1">HV96-TODAY()</f>
        <v>942</v>
      </c>
      <c r="HX96" s="5" t="str">
        <f t="shared" ca="1" si="323"/>
        <v>VIGENTE</v>
      </c>
      <c r="HY96" s="3"/>
      <c r="HZ96" s="4">
        <v>45205</v>
      </c>
      <c r="IA96" s="4">
        <f>DATE(YEAR(HZ96)+5,MONTH(HZ96),DAY(HZ96))</f>
        <v>47032</v>
      </c>
      <c r="IB96" s="8">
        <f ca="1">IA96-TODAY()</f>
        <v>887</v>
      </c>
      <c r="IC96" s="5" t="str">
        <f t="shared" ca="1" si="324"/>
        <v>VIGENTE</v>
      </c>
      <c r="ID96" s="3"/>
      <c r="IE96" s="4">
        <v>45154</v>
      </c>
      <c r="IF96" s="4">
        <f>DATE(YEAR(IE96)+5,MONTH(IE96),DAY(IE96))</f>
        <v>46981</v>
      </c>
      <c r="IG96" s="8">
        <f ca="1">IF96-TODAY()</f>
        <v>836</v>
      </c>
      <c r="IH96" s="5" t="str">
        <f t="shared" ca="1" si="325"/>
        <v>VIGENTE</v>
      </c>
      <c r="II96" s="4"/>
      <c r="IJ96" s="4">
        <v>45246</v>
      </c>
      <c r="IK96" s="4">
        <f>DATE(YEAR(IJ96)+5,MONTH(IJ96),DAY(IJ96))</f>
        <v>47073</v>
      </c>
      <c r="IL96" s="8">
        <f ca="1">IK96-TODAY()</f>
        <v>928</v>
      </c>
      <c r="IM96" s="5" t="str">
        <f t="shared" ca="1" si="326"/>
        <v>VIGENTE</v>
      </c>
      <c r="IN96" s="3"/>
      <c r="IO96" s="4">
        <v>45259</v>
      </c>
      <c r="IP96" s="4">
        <f>DATE(YEAR(IO96)+5,MONTH(IO96),DAY(IO96))</f>
        <v>47086</v>
      </c>
      <c r="IQ96" s="8">
        <f ca="1">IP96-TODAY()</f>
        <v>941</v>
      </c>
      <c r="IR96" s="5" t="str">
        <f t="shared" ca="1" si="327"/>
        <v>VIGENTE</v>
      </c>
      <c r="IS96" s="3"/>
      <c r="IT96" s="4">
        <v>45191</v>
      </c>
      <c r="IU96" s="4">
        <f>DATE(YEAR(IT96)+5,MONTH(IT96),DAY(IT96))</f>
        <v>47018</v>
      </c>
      <c r="IV96" s="8">
        <f ca="1">IU96-TODAY()</f>
        <v>873</v>
      </c>
      <c r="IW96" s="5" t="str">
        <f t="shared" ca="1" si="328"/>
        <v>VIGENTE</v>
      </c>
      <c r="IX96" s="3"/>
      <c r="IY96" s="4">
        <v>45289</v>
      </c>
      <c r="IZ96" s="4">
        <f>DATE(YEAR(IY96)+5,MONTH(IY96),DAY(IY96))</f>
        <v>47116</v>
      </c>
      <c r="JA96" s="8">
        <f ca="1">IZ96-TODAY()</f>
        <v>971</v>
      </c>
      <c r="JB96" s="5" t="str">
        <f t="shared" ca="1" si="329"/>
        <v>VIGENTE</v>
      </c>
      <c r="JC96" s="3" t="s">
        <v>780</v>
      </c>
      <c r="JD96" s="3"/>
      <c r="JE96" s="4"/>
      <c r="JF96" s="8"/>
      <c r="JG96" s="5"/>
      <c r="JH96" s="3" t="s">
        <v>780</v>
      </c>
      <c r="JI96" s="6"/>
      <c r="JJ96" s="6"/>
      <c r="JK96" s="6"/>
      <c r="JL96" s="5"/>
      <c r="JM96" s="6" t="s">
        <v>780</v>
      </c>
      <c r="JN96" s="6"/>
      <c r="JO96" s="6"/>
      <c r="JP96" s="6"/>
      <c r="JQ96" s="5"/>
      <c r="JR96" s="6" t="s">
        <v>780</v>
      </c>
      <c r="JS96" s="6"/>
      <c r="JT96" s="6"/>
      <c r="JU96" s="6"/>
      <c r="JV96" s="5"/>
      <c r="JW96" s="6" t="s">
        <v>780</v>
      </c>
      <c r="JX96" s="5"/>
      <c r="JY96" s="5"/>
      <c r="JZ96" s="5"/>
      <c r="KA96" s="5"/>
      <c r="KB96" s="5"/>
      <c r="KC96" s="2"/>
      <c r="KD96" s="4"/>
      <c r="KE96" s="8"/>
      <c r="KF96" s="5" t="str">
        <f t="shared" si="330"/>
        <v>NO APLICA</v>
      </c>
      <c r="KG96" s="5"/>
      <c r="KH96" s="2"/>
      <c r="KI96" s="4"/>
      <c r="KJ96" s="8"/>
      <c r="KK96" s="5" t="str">
        <f t="shared" si="356"/>
        <v>NO APLICA</v>
      </c>
      <c r="KL96" s="5"/>
      <c r="KM96" s="2"/>
      <c r="KN96" s="4"/>
      <c r="KO96" s="8"/>
      <c r="KP96" s="5" t="str">
        <f t="shared" si="331"/>
        <v>NO APLICA</v>
      </c>
      <c r="KQ96" s="5"/>
      <c r="KR96" s="2"/>
      <c r="KS96" s="4"/>
      <c r="KT96" s="8"/>
      <c r="KU96" s="5" t="str">
        <f t="shared" si="357"/>
        <v>NO APLICA</v>
      </c>
      <c r="KV96" s="2"/>
      <c r="KW96" s="6"/>
      <c r="KX96" s="4"/>
      <c r="KY96" s="8"/>
      <c r="KZ96" s="5" t="str">
        <f t="shared" si="366"/>
        <v>NO APLICA</v>
      </c>
      <c r="LA96" s="5"/>
      <c r="LB96" s="4">
        <v>44603</v>
      </c>
      <c r="LC96" s="4">
        <f>DATE(YEAR(LB96)+5,MONTH(LB96),DAY(LB96))</f>
        <v>46429</v>
      </c>
      <c r="LD96" s="8">
        <f ca="1">LC96-TODAY()</f>
        <v>284</v>
      </c>
      <c r="LE96" s="5" t="str">
        <f t="shared" ca="1" si="358"/>
        <v>VIGENTE</v>
      </c>
      <c r="LF96" s="6"/>
      <c r="LG96" s="6"/>
      <c r="LH96" s="4"/>
      <c r="LI96" s="8"/>
      <c r="LJ96" s="5" t="str">
        <f t="shared" si="332"/>
        <v>NO APLICA</v>
      </c>
      <c r="LK96" s="5"/>
      <c r="LL96" s="5"/>
      <c r="LM96" s="4"/>
      <c r="LN96" s="8"/>
      <c r="LO96" s="5" t="str">
        <f t="shared" si="367"/>
        <v>NO APLICA</v>
      </c>
      <c r="LP96" s="2"/>
      <c r="LQ96" s="6"/>
      <c r="LR96" s="4"/>
      <c r="LS96" s="8"/>
      <c r="LT96" s="5" t="str">
        <f t="shared" si="359"/>
        <v>NO APLICA</v>
      </c>
      <c r="LU96" s="6"/>
      <c r="LV96" s="6"/>
      <c r="LW96" s="4"/>
      <c r="LX96" s="8"/>
      <c r="LY96" s="5" t="str">
        <f t="shared" si="360"/>
        <v>NO APLICA</v>
      </c>
      <c r="LZ96" s="6"/>
      <c r="MA96" s="6"/>
      <c r="MB96" s="4"/>
      <c r="MC96" s="8"/>
      <c r="MD96" s="5" t="str">
        <f t="shared" si="361"/>
        <v>NO APLICA</v>
      </c>
      <c r="ME96" s="2"/>
      <c r="MF96" s="2"/>
      <c r="MG96" s="4"/>
      <c r="MH96" s="8"/>
      <c r="MI96" s="5" t="str">
        <f t="shared" si="333"/>
        <v>NO APLICA</v>
      </c>
      <c r="MJ96" s="2"/>
      <c r="MK96" s="2"/>
      <c r="ML96" s="4"/>
      <c r="MM96" s="8"/>
      <c r="MN96" s="5" t="str">
        <f t="shared" si="334"/>
        <v>NO APLICA</v>
      </c>
      <c r="MO96" s="5"/>
      <c r="MP96" s="2"/>
      <c r="MQ96" s="4"/>
      <c r="MR96" s="8"/>
      <c r="MS96" s="5" t="str">
        <f t="shared" si="335"/>
        <v>NO APLICA</v>
      </c>
      <c r="MT96" s="5"/>
      <c r="MU96" s="2"/>
      <c r="MV96" s="4"/>
      <c r="MW96" s="2"/>
      <c r="MX96" s="5" t="str">
        <f t="shared" si="336"/>
        <v>NO APLICA</v>
      </c>
      <c r="MY96" s="2"/>
      <c r="MZ96" s="6"/>
      <c r="NA96" s="4"/>
      <c r="NB96" s="8"/>
      <c r="NC96" s="5" t="str">
        <f t="shared" si="337"/>
        <v>NO APLICA</v>
      </c>
      <c r="ND96" s="2"/>
      <c r="NE96" s="6"/>
      <c r="NF96" s="4"/>
      <c r="NG96" s="8"/>
      <c r="NH96" s="5" t="str">
        <f t="shared" si="338"/>
        <v>NO APLICA</v>
      </c>
      <c r="NI96" s="2"/>
      <c r="NJ96" s="6"/>
      <c r="NK96" s="4"/>
      <c r="NL96" s="8"/>
      <c r="NM96" s="5" t="str">
        <f t="shared" si="339"/>
        <v>NO APLICA</v>
      </c>
      <c r="NN96" s="2"/>
      <c r="NO96" s="2"/>
      <c r="NP96" s="4"/>
      <c r="NQ96" s="8"/>
      <c r="NR96" s="5" t="str">
        <f t="shared" si="340"/>
        <v>NO APLICA</v>
      </c>
      <c r="NS96" s="2"/>
      <c r="NT96" s="2"/>
      <c r="NU96" s="4"/>
      <c r="NV96" s="2"/>
      <c r="NW96" s="5" t="str">
        <f t="shared" si="341"/>
        <v>NO APLICA</v>
      </c>
      <c r="NX96" s="6"/>
      <c r="NY96" s="6"/>
      <c r="NZ96" s="4"/>
      <c r="OA96" s="8"/>
      <c r="OB96" s="5" t="str">
        <f t="shared" si="342"/>
        <v>NO APLICA</v>
      </c>
      <c r="OC96" s="6"/>
      <c r="OD96" s="6"/>
      <c r="OE96" s="6"/>
      <c r="OF96" s="6"/>
      <c r="OG96" s="5" t="str">
        <f t="shared" si="343"/>
        <v>NO APLICA</v>
      </c>
      <c r="OH96" s="2"/>
      <c r="OI96" s="2"/>
      <c r="OJ96" s="4"/>
      <c r="OK96" s="8"/>
      <c r="OL96" s="5" t="str">
        <f t="shared" si="344"/>
        <v>NO APLICA</v>
      </c>
      <c r="OM96" s="6"/>
      <c r="ON96" s="6"/>
      <c r="OO96" s="6"/>
      <c r="OP96" s="6"/>
      <c r="OQ96" s="5" t="str">
        <f t="shared" si="345"/>
        <v>NO APLICA</v>
      </c>
      <c r="OR96" s="6"/>
      <c r="OS96" s="6"/>
      <c r="OT96" s="6"/>
      <c r="OU96" s="6"/>
      <c r="OV96" s="5" t="str">
        <f t="shared" si="346"/>
        <v>NO APLICA</v>
      </c>
      <c r="OW96" s="6"/>
      <c r="OX96" s="6"/>
      <c r="OY96" s="6"/>
      <c r="OZ96" s="6"/>
      <c r="PA96" s="5" t="str">
        <f t="shared" si="347"/>
        <v>NO APLICA</v>
      </c>
      <c r="PB96" s="6"/>
      <c r="PC96" s="6"/>
      <c r="PD96" s="6"/>
      <c r="PE96" s="6"/>
      <c r="PF96" s="5" t="str">
        <f t="shared" si="348"/>
        <v>NO APLICA</v>
      </c>
      <c r="PG96" s="6"/>
      <c r="PH96" s="6"/>
      <c r="PI96" s="6"/>
      <c r="PJ96" s="6"/>
      <c r="PK96" s="5" t="str">
        <f t="shared" si="349"/>
        <v>NO APLICA</v>
      </c>
      <c r="PL96" s="5"/>
      <c r="PM96" s="6"/>
      <c r="PN96" s="4"/>
      <c r="PO96" s="8"/>
      <c r="PP96" s="5" t="str">
        <f t="shared" si="350"/>
        <v>NO APLICA</v>
      </c>
      <c r="PQ96" s="6"/>
      <c r="PR96" s="6"/>
      <c r="PS96" s="6"/>
      <c r="PT96" s="6"/>
      <c r="PU96" s="5" t="str">
        <f t="shared" si="351"/>
        <v>NO APLICA</v>
      </c>
      <c r="PV96" s="5"/>
      <c r="PW96" s="6"/>
      <c r="PX96" s="6"/>
      <c r="PY96" s="6"/>
      <c r="PZ96" s="5" t="str">
        <f t="shared" si="352"/>
        <v>NO APLICA</v>
      </c>
    </row>
    <row r="97" spans="1:442" ht="15.6" hidden="1" thickTop="1" thickBot="1" x14ac:dyDescent="0.35">
      <c r="A97" s="26">
        <v>94</v>
      </c>
      <c r="B97" s="31">
        <v>1186</v>
      </c>
      <c r="C97" s="28" t="s">
        <v>338</v>
      </c>
      <c r="D97" s="29" t="s">
        <v>68</v>
      </c>
      <c r="E97" s="30" t="s">
        <v>73</v>
      </c>
      <c r="F97" s="5"/>
      <c r="G97" s="6"/>
      <c r="H97" s="4"/>
      <c r="I97" s="8"/>
      <c r="J97" s="5" t="str">
        <f t="shared" si="242"/>
        <v>NO APLICA</v>
      </c>
      <c r="K97" s="5"/>
      <c r="L97" s="6"/>
      <c r="M97" s="6"/>
      <c r="N97" s="8"/>
      <c r="O97" s="5" t="str">
        <f t="shared" si="243"/>
        <v>NO APLICA</v>
      </c>
      <c r="P97" s="6"/>
      <c r="Q97" s="6"/>
      <c r="R97" s="4"/>
      <c r="S97" s="8"/>
      <c r="T97" s="5" t="str">
        <f t="shared" si="353"/>
        <v>NO APLICA</v>
      </c>
      <c r="U97" s="5"/>
      <c r="V97" s="2" t="s">
        <v>339</v>
      </c>
      <c r="W97" s="4">
        <v>45391</v>
      </c>
      <c r="X97" s="4">
        <f t="shared" si="244"/>
        <v>47217</v>
      </c>
      <c r="Y97" s="8">
        <f t="shared" ca="1" si="245"/>
        <v>1072</v>
      </c>
      <c r="Z97" s="5" t="str">
        <f t="shared" ca="1" si="246"/>
        <v>VIGENTE</v>
      </c>
      <c r="AA97" s="5"/>
      <c r="AB97" s="2" t="s">
        <v>340</v>
      </c>
      <c r="AC97" s="4">
        <v>45233</v>
      </c>
      <c r="AD97" s="4">
        <f>DATE(YEAR(AC97)+5,MONTH(AC97),DAY(AC97))</f>
        <v>47060</v>
      </c>
      <c r="AE97" s="8">
        <f ca="1">AD97-TODAY()</f>
        <v>915</v>
      </c>
      <c r="AF97" s="5" t="str">
        <f t="shared" ca="1" si="247"/>
        <v>VIGENTE</v>
      </c>
      <c r="AG97" s="3"/>
      <c r="AH97" s="4">
        <v>45902</v>
      </c>
      <c r="AI97" s="4">
        <f>DATE(YEAR(AH97)+2,MONTH(AH97),DAY(AH97))</f>
        <v>46632</v>
      </c>
      <c r="AJ97" s="8">
        <f t="shared" ca="1" si="248"/>
        <v>487</v>
      </c>
      <c r="AK97" s="5" t="str">
        <f t="shared" ca="1" si="219"/>
        <v>VIGENTE</v>
      </c>
      <c r="AL97" s="3"/>
      <c r="AM97" s="4">
        <v>45903</v>
      </c>
      <c r="AN97" s="4">
        <f t="shared" si="390"/>
        <v>46633</v>
      </c>
      <c r="AO97" s="8">
        <f t="shared" ca="1" si="249"/>
        <v>488</v>
      </c>
      <c r="AP97" s="5" t="str">
        <f t="shared" ca="1" si="250"/>
        <v>VIGENTE</v>
      </c>
      <c r="AQ97" s="3"/>
      <c r="AR97" s="4">
        <v>45904</v>
      </c>
      <c r="AS97" s="4">
        <f>DATE(YEAR(AR97)+2,MONTH(AR97),DAY(AR97))</f>
        <v>46634</v>
      </c>
      <c r="AT97" s="8">
        <f t="shared" ca="1" si="251"/>
        <v>489</v>
      </c>
      <c r="AU97" s="5" t="str">
        <f t="shared" ca="1" si="252"/>
        <v>VIGENTE</v>
      </c>
      <c r="AV97" s="2"/>
      <c r="AW97" s="4">
        <v>45952</v>
      </c>
      <c r="AX97" s="4">
        <f>DATE(YEAR(AW97)+2,MONTH(AW97),DAY(AW97))</f>
        <v>46682</v>
      </c>
      <c r="AY97" s="8">
        <f t="shared" ca="1" si="253"/>
        <v>537</v>
      </c>
      <c r="AZ97" s="5" t="str">
        <f t="shared" ca="1" si="254"/>
        <v>VIGENTE</v>
      </c>
      <c r="BA97" s="3"/>
      <c r="BB97" s="4">
        <v>45943</v>
      </c>
      <c r="BC97" s="4">
        <f>DATE(YEAR(BB97)+2,MONTH(BB97),DAY(BB97))</f>
        <v>46673</v>
      </c>
      <c r="BD97" s="8">
        <f t="shared" ca="1" si="255"/>
        <v>528</v>
      </c>
      <c r="BE97" s="5" t="str">
        <f t="shared" ca="1" si="256"/>
        <v>VIGENTE</v>
      </c>
      <c r="BF97" s="2"/>
      <c r="BG97" s="4">
        <v>45997</v>
      </c>
      <c r="BH97" s="4">
        <f t="shared" si="398"/>
        <v>46727</v>
      </c>
      <c r="BI97" s="8">
        <f t="shared" ca="1" si="257"/>
        <v>582</v>
      </c>
      <c r="BJ97" s="5" t="str">
        <f t="shared" ca="1" si="258"/>
        <v>VIGENTE</v>
      </c>
      <c r="BK97" s="3"/>
      <c r="BL97" s="4">
        <v>45976</v>
      </c>
      <c r="BM97" s="4">
        <f>DATE(YEAR(BL97)+2,MONTH(BL97),DAY(BL97))</f>
        <v>46706</v>
      </c>
      <c r="BN97" s="8">
        <f t="shared" ca="1" si="259"/>
        <v>561</v>
      </c>
      <c r="BO97" s="5" t="str">
        <f t="shared" ca="1" si="260"/>
        <v>VIGENTE</v>
      </c>
      <c r="BP97" s="4"/>
      <c r="BQ97" s="39">
        <v>45981</v>
      </c>
      <c r="BR97" s="4">
        <f>DATE(YEAR(BQ97)+2,MONTH(BQ97),DAY(BQ97))</f>
        <v>46711</v>
      </c>
      <c r="BS97" s="8">
        <f t="shared" ca="1" si="261"/>
        <v>566</v>
      </c>
      <c r="BT97" s="5" t="str">
        <f t="shared" ca="1" si="262"/>
        <v>VIGENTE</v>
      </c>
      <c r="BU97" s="3"/>
      <c r="BV97" s="4">
        <v>45871</v>
      </c>
      <c r="BW97" s="4">
        <f>DATE(YEAR(BV97)+2,MONTH(BV97),DAY(BV97))</f>
        <v>46601</v>
      </c>
      <c r="BX97" s="8">
        <f t="shared" ca="1" si="263"/>
        <v>456</v>
      </c>
      <c r="BY97" s="5" t="str">
        <f t="shared" ca="1" si="264"/>
        <v>VIGENTE</v>
      </c>
      <c r="BZ97" s="3"/>
      <c r="CA97" s="4">
        <v>46011</v>
      </c>
      <c r="CB97" s="4">
        <f t="shared" si="393"/>
        <v>46741</v>
      </c>
      <c r="CC97" s="8">
        <f t="shared" ca="1" si="265"/>
        <v>596</v>
      </c>
      <c r="CD97" s="5" t="str">
        <f t="shared" ca="1" si="266"/>
        <v>VIGENTE</v>
      </c>
      <c r="CE97" s="6"/>
      <c r="CF97" s="4">
        <v>45266</v>
      </c>
      <c r="CG97" s="4">
        <f t="shared" si="387"/>
        <v>46727</v>
      </c>
      <c r="CH97" s="8">
        <f t="shared" ca="1" si="388"/>
        <v>582</v>
      </c>
      <c r="CI97" s="5" t="str">
        <f t="shared" ca="1" si="269"/>
        <v>VIGENTE</v>
      </c>
      <c r="CJ97" s="4"/>
      <c r="CK97" s="4">
        <v>46018</v>
      </c>
      <c r="CL97" s="4">
        <f>DATE(YEAR(CK97)+2,MONTH(CK97),DAY(CK97))</f>
        <v>46748</v>
      </c>
      <c r="CM97" s="8">
        <f t="shared" ca="1" si="270"/>
        <v>603</v>
      </c>
      <c r="CN97" s="5" t="str">
        <f t="shared" ca="1" si="271"/>
        <v>VIGENTE</v>
      </c>
      <c r="CO97" s="4"/>
      <c r="CP97" s="39">
        <v>45979</v>
      </c>
      <c r="CQ97" s="4">
        <f>DATE(YEAR(CP97)+2,MONTH(CP97),DAY(CP97))</f>
        <v>46709</v>
      </c>
      <c r="CR97" s="8">
        <f t="shared" ca="1" si="272"/>
        <v>564</v>
      </c>
      <c r="CS97" s="5" t="str">
        <f t="shared" ca="1" si="273"/>
        <v>VIGENTE</v>
      </c>
      <c r="CT97" s="3"/>
      <c r="CU97" s="4">
        <v>45965</v>
      </c>
      <c r="CV97" s="4">
        <f>DATE(YEAR(CU97)+2,MONTH(CU97),DAY(CU97))</f>
        <v>46695</v>
      </c>
      <c r="CW97" s="8">
        <f t="shared" ca="1" si="274"/>
        <v>550</v>
      </c>
      <c r="CX97" s="5" t="str">
        <f t="shared" ca="1" si="275"/>
        <v>VIGENTE</v>
      </c>
      <c r="CY97" s="3"/>
      <c r="CZ97" s="4">
        <v>45878</v>
      </c>
      <c r="DA97" s="4">
        <f>DATE(YEAR(CZ97)+2,MONTH(CZ97),DAY(CZ97))</f>
        <v>46608</v>
      </c>
      <c r="DB97" s="8">
        <f t="shared" ca="1" si="276"/>
        <v>463</v>
      </c>
      <c r="DC97" s="5" t="str">
        <f t="shared" ca="1" si="277"/>
        <v>VIGENTE</v>
      </c>
      <c r="DD97" s="4"/>
      <c r="DE97" s="39">
        <v>46045</v>
      </c>
      <c r="DF97" s="4">
        <f>DATE(YEAR(DE97)+2,MONTH(DE97),DAY(DE97))</f>
        <v>46775</v>
      </c>
      <c r="DG97" s="8">
        <f t="shared" ca="1" si="278"/>
        <v>630</v>
      </c>
      <c r="DH97" s="5" t="str">
        <f t="shared" ca="1" si="279"/>
        <v>VIGENTE</v>
      </c>
      <c r="DI97" s="3"/>
      <c r="DJ97" s="39">
        <v>45924</v>
      </c>
      <c r="DK97" s="4">
        <f>DATE(YEAR(DJ97)+2,MONTH(DJ97),DAY(DJ97))</f>
        <v>46654</v>
      </c>
      <c r="DL97" s="8">
        <f t="shared" ca="1" si="280"/>
        <v>509</v>
      </c>
      <c r="DM97" s="5" t="str">
        <f t="shared" ca="1" si="281"/>
        <v>VIGENTE</v>
      </c>
      <c r="DN97" s="3"/>
      <c r="DO97" s="4">
        <v>45982</v>
      </c>
      <c r="DP97" s="4">
        <f>DATE(YEAR(DO97)+2,MONTH(DO97),DAY(DO97))</f>
        <v>46712</v>
      </c>
      <c r="DQ97" s="8">
        <f t="shared" ca="1" si="282"/>
        <v>567</v>
      </c>
      <c r="DR97" s="5" t="str">
        <f t="shared" ca="1" si="283"/>
        <v>VIGENTE</v>
      </c>
      <c r="DS97" s="3"/>
      <c r="DT97" s="4">
        <v>45918</v>
      </c>
      <c r="DU97" s="4">
        <f>DATE(YEAR(DT97)+2,MONTH(DT97),DAY(DT97))</f>
        <v>46648</v>
      </c>
      <c r="DV97" s="8">
        <f t="shared" ca="1" si="284"/>
        <v>503</v>
      </c>
      <c r="DW97" s="5" t="str">
        <f t="shared" ca="1" si="285"/>
        <v>VIGENTE</v>
      </c>
      <c r="DX97" s="3"/>
      <c r="DY97" s="4">
        <v>46099</v>
      </c>
      <c r="DZ97" s="4">
        <f>DATE(YEAR(DY97)+2,MONTH(DY97),DAY(DY97))</f>
        <v>46830</v>
      </c>
      <c r="EA97" s="8">
        <f t="shared" ca="1" si="286"/>
        <v>685</v>
      </c>
      <c r="EB97" s="5" t="str">
        <f t="shared" ca="1" si="287"/>
        <v>VIGENTE</v>
      </c>
      <c r="EC97" s="4"/>
      <c r="ED97" s="39">
        <v>45994</v>
      </c>
      <c r="EE97" s="4">
        <f>DATE(YEAR(ED97)+2,MONTH(ED97),DAY(ED97))</f>
        <v>46724</v>
      </c>
      <c r="EF97" s="8">
        <f t="shared" ca="1" si="288"/>
        <v>579</v>
      </c>
      <c r="EG97" s="5" t="str">
        <f t="shared" ca="1" si="289"/>
        <v>VIGENTE</v>
      </c>
      <c r="EH97" s="3"/>
      <c r="EI97" s="4">
        <v>45948</v>
      </c>
      <c r="EJ97" s="4">
        <f t="shared" si="355"/>
        <v>46313</v>
      </c>
      <c r="EK97" s="8">
        <f t="shared" ca="1" si="290"/>
        <v>168</v>
      </c>
      <c r="EL97" s="5" t="str">
        <f t="shared" ca="1" si="291"/>
        <v>VIGENTE</v>
      </c>
      <c r="EM97" s="3"/>
      <c r="EN97" s="4">
        <v>45983</v>
      </c>
      <c r="EO97" s="4">
        <f>DATE(YEAR(EN97)+2,MONTH(EN97),DAY(EN97))</f>
        <v>46713</v>
      </c>
      <c r="EP97" s="8">
        <f t="shared" ca="1" si="292"/>
        <v>568</v>
      </c>
      <c r="EQ97" s="5" t="str">
        <f t="shared" ca="1" si="293"/>
        <v>VIGENTE</v>
      </c>
      <c r="ER97" s="2"/>
      <c r="ES97" s="39">
        <v>45999</v>
      </c>
      <c r="ET97" s="4">
        <f>DATE(YEAR(ES97)+2,MONTH(ES97),DAY(ES97))</f>
        <v>46729</v>
      </c>
      <c r="EU97" s="8">
        <f t="shared" ca="1" si="294"/>
        <v>584</v>
      </c>
      <c r="EV97" s="5" t="str">
        <f t="shared" ca="1" si="295"/>
        <v>VIGENTE</v>
      </c>
      <c r="EW97" s="3"/>
      <c r="EX97" s="4">
        <v>46037</v>
      </c>
      <c r="EY97" s="4">
        <f>DATE(YEAR(EX97)+2,MONTH(EX97),DAY(EX97))</f>
        <v>46767</v>
      </c>
      <c r="EZ97" s="8">
        <f t="shared" ca="1" si="296"/>
        <v>622</v>
      </c>
      <c r="FA97" s="5" t="str">
        <f t="shared" ca="1" si="297"/>
        <v>VIGENTE</v>
      </c>
      <c r="FB97" s="3"/>
      <c r="FC97" s="4">
        <v>46017</v>
      </c>
      <c r="FD97" s="4">
        <f t="shared" si="396"/>
        <v>46747</v>
      </c>
      <c r="FE97" s="8">
        <f t="shared" ca="1" si="298"/>
        <v>602</v>
      </c>
      <c r="FF97" s="5" t="str">
        <f t="shared" ca="1" si="299"/>
        <v>VIGENTE</v>
      </c>
      <c r="FG97" s="3"/>
      <c r="FH97" s="4">
        <v>45969</v>
      </c>
      <c r="FI97" s="4">
        <f t="shared" si="397"/>
        <v>46699</v>
      </c>
      <c r="FJ97" s="8">
        <f t="shared" ca="1" si="300"/>
        <v>554</v>
      </c>
      <c r="FK97" s="5" t="str">
        <f t="shared" ca="1" si="301"/>
        <v>VIGENTE</v>
      </c>
      <c r="FL97" s="3"/>
      <c r="FM97" s="39">
        <v>45920</v>
      </c>
      <c r="FN97" s="4">
        <f>DATE(YEAR(FM97)+2,MONTH(FM97),DAY(FM97))</f>
        <v>46650</v>
      </c>
      <c r="FO97" s="8">
        <f t="shared" ca="1" si="302"/>
        <v>505</v>
      </c>
      <c r="FP97" s="5" t="str">
        <f t="shared" ca="1" si="303"/>
        <v>VIGENTE</v>
      </c>
      <c r="FQ97" s="3"/>
      <c r="FR97" s="39">
        <v>45957</v>
      </c>
      <c r="FS97" s="4">
        <f>DATE(YEAR(FR97)+2,MONTH(FR97),DAY(FR97))</f>
        <v>46687</v>
      </c>
      <c r="FT97" s="8">
        <f t="shared" ca="1" si="304"/>
        <v>542</v>
      </c>
      <c r="FU97" s="5" t="str">
        <f t="shared" ca="1" si="305"/>
        <v>VIGENTE</v>
      </c>
      <c r="FV97" s="3"/>
      <c r="FW97" s="4">
        <v>45875</v>
      </c>
      <c r="FX97" s="4">
        <f>DATE(YEAR(FW97)+2,MONTH(FW97),DAY(FW97))</f>
        <v>46605</v>
      </c>
      <c r="FY97" s="8">
        <f t="shared" ca="1" si="306"/>
        <v>460</v>
      </c>
      <c r="FZ97" s="5" t="str">
        <f t="shared" ca="1" si="307"/>
        <v>VIGENTE</v>
      </c>
      <c r="GA97" s="3"/>
      <c r="GB97" s="4">
        <v>45874</v>
      </c>
      <c r="GC97" s="4">
        <f>DATE(YEAR(GB97)+2,MONTH(GB97),DAY(GB97))</f>
        <v>46604</v>
      </c>
      <c r="GD97" s="8">
        <f t="shared" ca="1" si="308"/>
        <v>459</v>
      </c>
      <c r="GE97" s="5" t="str">
        <f t="shared" ca="1" si="309"/>
        <v>VIGENTE</v>
      </c>
      <c r="GF97" s="3"/>
      <c r="GG97" s="4">
        <v>45912</v>
      </c>
      <c r="GH97" s="4">
        <f>DATE(YEAR(GG97)+2,MONTH(GG97),DAY(GG97))</f>
        <v>46642</v>
      </c>
      <c r="GI97" s="8">
        <f t="shared" ca="1" si="310"/>
        <v>497</v>
      </c>
      <c r="GJ97" s="5" t="str">
        <f t="shared" ca="1" si="311"/>
        <v>VIGENTE</v>
      </c>
      <c r="GK97" s="3"/>
      <c r="GL97" s="4">
        <v>46044</v>
      </c>
      <c r="GM97" s="4">
        <f>DATE(YEAR(GL97)+2,MONTH(GL97),DAY(GL97))</f>
        <v>46774</v>
      </c>
      <c r="GN97" s="8">
        <f t="shared" ca="1" si="312"/>
        <v>629</v>
      </c>
      <c r="GO97" s="5" t="str">
        <f t="shared" ca="1" si="313"/>
        <v>VIGENTE</v>
      </c>
      <c r="GP97" s="4"/>
      <c r="GQ97" s="4">
        <v>45367</v>
      </c>
      <c r="GR97" s="4">
        <f t="shared" si="314"/>
        <v>47193</v>
      </c>
      <c r="GS97" s="8">
        <f t="shared" ca="1" si="384"/>
        <v>1048</v>
      </c>
      <c r="GT97" s="5" t="str">
        <f t="shared" ca="1" si="378"/>
        <v>VIGENTE</v>
      </c>
      <c r="GU97" s="3"/>
      <c r="GV97" s="4">
        <v>45329</v>
      </c>
      <c r="GW97" s="4">
        <f t="shared" si="316"/>
        <v>47156</v>
      </c>
      <c r="GX97" s="8">
        <f t="shared" ca="1" si="317"/>
        <v>1011</v>
      </c>
      <c r="GY97" s="5" t="str">
        <f t="shared" ca="1" si="379"/>
        <v>VIGENTE</v>
      </c>
      <c r="GZ97" s="2"/>
      <c r="HA97" s="4">
        <v>45479</v>
      </c>
      <c r="HB97" s="4">
        <f t="shared" si="319"/>
        <v>47305</v>
      </c>
      <c r="HC97" s="8">
        <f t="shared" ca="1" si="320"/>
        <v>1160</v>
      </c>
      <c r="HD97" s="5" t="str">
        <f t="shared" ca="1" si="380"/>
        <v>VIGENTE</v>
      </c>
      <c r="HE97" s="6"/>
      <c r="HF97" s="4">
        <v>45222</v>
      </c>
      <c r="HG97" s="4">
        <f>DATE(YEAR(HF97)+5,MONTH(HF97),DAY(HF97))</f>
        <v>47049</v>
      </c>
      <c r="HH97" s="8">
        <f ca="1">HG97-TODAY()</f>
        <v>904</v>
      </c>
      <c r="HI97" s="5" t="str">
        <f t="shared" ca="1" si="389"/>
        <v>VIGENTE</v>
      </c>
      <c r="HJ97" s="2"/>
      <c r="HK97" s="6"/>
      <c r="HL97" s="4"/>
      <c r="HM97" s="8"/>
      <c r="HN97" s="5" t="str">
        <f t="shared" si="385"/>
        <v>NO APLICA</v>
      </c>
      <c r="HO97" s="2"/>
      <c r="HP97" s="2"/>
      <c r="HQ97" s="4"/>
      <c r="HR97" s="2"/>
      <c r="HS97" s="5" t="str">
        <f t="shared" si="322"/>
        <v>NO APLICA</v>
      </c>
      <c r="HT97" s="2"/>
      <c r="HU97" s="4">
        <v>45300</v>
      </c>
      <c r="HV97" s="4">
        <f>DATE(YEAR(HU97)+5,MONTH(HU97),DAY(HU97))</f>
        <v>47127</v>
      </c>
      <c r="HW97" s="8">
        <f ca="1">HV97-TODAY()</f>
        <v>982</v>
      </c>
      <c r="HX97" s="5" t="str">
        <f t="shared" ca="1" si="323"/>
        <v>VIGENTE</v>
      </c>
      <c r="HY97" s="2"/>
      <c r="HZ97" s="6"/>
      <c r="IA97" s="4"/>
      <c r="IB97" s="8"/>
      <c r="IC97" s="5" t="str">
        <f t="shared" si="324"/>
        <v>NO APLICA</v>
      </c>
      <c r="ID97" s="2"/>
      <c r="IE97" s="6"/>
      <c r="IF97" s="4"/>
      <c r="IG97" s="8"/>
      <c r="IH97" s="5" t="str">
        <f t="shared" si="325"/>
        <v>NO APLICA</v>
      </c>
      <c r="II97" s="6"/>
      <c r="IJ97" s="6"/>
      <c r="IK97" s="4"/>
      <c r="IL97" s="8"/>
      <c r="IM97" s="5" t="str">
        <f t="shared" si="326"/>
        <v>NO APLICA</v>
      </c>
      <c r="IN97" s="2"/>
      <c r="IO97" s="6"/>
      <c r="IP97" s="4"/>
      <c r="IQ97" s="8"/>
      <c r="IR97" s="5" t="str">
        <f t="shared" si="327"/>
        <v>NO APLICA</v>
      </c>
      <c r="IS97" s="2"/>
      <c r="IT97" s="4">
        <v>45350</v>
      </c>
      <c r="IU97" s="4">
        <f>DATE(YEAR(IT97)+5,MONTH(IT97),DAY(IT97))</f>
        <v>47177</v>
      </c>
      <c r="IV97" s="8">
        <f ca="1">IU97-TODAY()</f>
        <v>1032</v>
      </c>
      <c r="IW97" s="5" t="str">
        <f t="shared" ca="1" si="328"/>
        <v>VIGENTE</v>
      </c>
      <c r="IX97" s="2"/>
      <c r="IY97" s="6"/>
      <c r="IZ97" s="4"/>
      <c r="JA97" s="8"/>
      <c r="JB97" s="5" t="str">
        <f t="shared" si="329"/>
        <v>NO APLICA</v>
      </c>
      <c r="JC97" s="3" t="s">
        <v>780</v>
      </c>
      <c r="JD97" s="3"/>
      <c r="JE97" s="4"/>
      <c r="JF97" s="8"/>
      <c r="JG97" s="5"/>
      <c r="JH97" s="3" t="s">
        <v>780</v>
      </c>
      <c r="JI97" s="6"/>
      <c r="JJ97" s="6"/>
      <c r="JK97" s="6"/>
      <c r="JL97" s="5"/>
      <c r="JM97" s="6" t="s">
        <v>780</v>
      </c>
      <c r="JN97" s="6"/>
      <c r="JO97" s="6"/>
      <c r="JP97" s="6"/>
      <c r="JQ97" s="5"/>
      <c r="JR97" s="6" t="s">
        <v>780</v>
      </c>
      <c r="JS97" s="6"/>
      <c r="JT97" s="6"/>
      <c r="JU97" s="6"/>
      <c r="JV97" s="5"/>
      <c r="JW97" s="6" t="s">
        <v>780</v>
      </c>
      <c r="JX97" s="5"/>
      <c r="JY97" s="5"/>
      <c r="JZ97" s="5"/>
      <c r="KA97" s="5"/>
      <c r="KB97" s="5"/>
      <c r="KC97" s="2"/>
      <c r="KD97" s="4"/>
      <c r="KE97" s="8"/>
      <c r="KF97" s="5" t="str">
        <f t="shared" si="330"/>
        <v>NO APLICA</v>
      </c>
      <c r="KG97" s="5"/>
      <c r="KH97" s="3">
        <v>45328</v>
      </c>
      <c r="KI97" s="4">
        <f>DATE(YEAR(KH97)+5,MONTH(KH97),DAY(KH97)-1)</f>
        <v>47154</v>
      </c>
      <c r="KJ97" s="8">
        <f ca="1">KI97-TODAY()</f>
        <v>1009</v>
      </c>
      <c r="KK97" s="5" t="str">
        <f t="shared" ca="1" si="356"/>
        <v>VIGENTE</v>
      </c>
      <c r="KL97" s="5"/>
      <c r="KM97" s="2"/>
      <c r="KN97" s="4"/>
      <c r="KO97" s="8"/>
      <c r="KP97" s="5" t="str">
        <f t="shared" si="331"/>
        <v>NO APLICA</v>
      </c>
      <c r="KQ97" s="5"/>
      <c r="KR97" s="3">
        <v>45346</v>
      </c>
      <c r="KS97" s="4">
        <f>DATE(YEAR(KR97)+5,MONTH(KR97),DAY(KR97))</f>
        <v>47173</v>
      </c>
      <c r="KT97" s="8">
        <f ca="1">KS97-TODAY()</f>
        <v>1028</v>
      </c>
      <c r="KU97" s="5" t="str">
        <f t="shared" ca="1" si="357"/>
        <v>VIGENTE</v>
      </c>
      <c r="KV97" s="2"/>
      <c r="KW97" s="6"/>
      <c r="KX97" s="4"/>
      <c r="KY97" s="8"/>
      <c r="KZ97" s="5" t="str">
        <f t="shared" si="366"/>
        <v>NO APLICA</v>
      </c>
      <c r="LA97" s="5"/>
      <c r="LB97" s="6"/>
      <c r="LC97" s="4"/>
      <c r="LD97" s="8"/>
      <c r="LE97" s="5" t="str">
        <f t="shared" si="358"/>
        <v>NO APLICA</v>
      </c>
      <c r="LF97" s="6"/>
      <c r="LG97" s="4"/>
      <c r="LH97" s="4"/>
      <c r="LI97" s="8"/>
      <c r="LJ97" s="5" t="str">
        <f t="shared" si="332"/>
        <v>NO APLICA</v>
      </c>
      <c r="LK97" s="5"/>
      <c r="LL97" s="5"/>
      <c r="LM97" s="5"/>
      <c r="LN97" s="5"/>
      <c r="LO97" s="5" t="str">
        <f t="shared" si="367"/>
        <v>NO APLICA</v>
      </c>
      <c r="LP97" s="2"/>
      <c r="LQ97" s="6"/>
      <c r="LR97" s="4"/>
      <c r="LS97" s="8"/>
      <c r="LT97" s="5" t="str">
        <f t="shared" si="359"/>
        <v>NO APLICA</v>
      </c>
      <c r="LU97" s="6"/>
      <c r="LV97" s="6"/>
      <c r="LW97" s="4"/>
      <c r="LX97" s="8"/>
      <c r="LY97" s="5" t="str">
        <f t="shared" si="360"/>
        <v>NO APLICA</v>
      </c>
      <c r="LZ97" s="6"/>
      <c r="MA97" s="6"/>
      <c r="MB97" s="4"/>
      <c r="MC97" s="8"/>
      <c r="MD97" s="5" t="str">
        <f t="shared" si="361"/>
        <v>NO APLICA</v>
      </c>
      <c r="ME97" s="2"/>
      <c r="MF97" s="2"/>
      <c r="MG97" s="4"/>
      <c r="MH97" s="8"/>
      <c r="MI97" s="5" t="str">
        <f t="shared" si="333"/>
        <v>NO APLICA</v>
      </c>
      <c r="MJ97" s="2"/>
      <c r="MK97" s="2"/>
      <c r="ML97" s="4"/>
      <c r="MM97" s="8"/>
      <c r="MN97" s="5" t="str">
        <f t="shared" si="334"/>
        <v>NO APLICA</v>
      </c>
      <c r="MO97" s="5"/>
      <c r="MP97" s="2"/>
      <c r="MQ97" s="4"/>
      <c r="MR97" s="8"/>
      <c r="MS97" s="5" t="str">
        <f t="shared" si="335"/>
        <v>NO APLICA</v>
      </c>
      <c r="MT97" s="5"/>
      <c r="MU97" s="2"/>
      <c r="MV97" s="2"/>
      <c r="MW97" s="2"/>
      <c r="MX97" s="5" t="str">
        <f t="shared" si="336"/>
        <v>NO APLICA</v>
      </c>
      <c r="MY97" s="2"/>
      <c r="MZ97" s="6"/>
      <c r="NA97" s="4"/>
      <c r="NB97" s="8"/>
      <c r="NC97" s="5" t="str">
        <f t="shared" si="337"/>
        <v>NO APLICA</v>
      </c>
      <c r="ND97" s="2"/>
      <c r="NE97" s="6"/>
      <c r="NF97" s="4"/>
      <c r="NG97" s="8"/>
      <c r="NH97" s="5" t="str">
        <f t="shared" si="338"/>
        <v>NO APLICA</v>
      </c>
      <c r="NI97" s="2"/>
      <c r="NJ97" s="6"/>
      <c r="NK97" s="4"/>
      <c r="NL97" s="8"/>
      <c r="NM97" s="5" t="str">
        <f t="shared" si="339"/>
        <v>NO APLICA</v>
      </c>
      <c r="NN97" s="2"/>
      <c r="NO97" s="2"/>
      <c r="NP97" s="4"/>
      <c r="NQ97" s="8"/>
      <c r="NR97" s="5" t="str">
        <f t="shared" si="340"/>
        <v>NO APLICA</v>
      </c>
      <c r="NS97" s="2"/>
      <c r="NT97" s="2"/>
      <c r="NU97" s="4"/>
      <c r="NV97" s="2"/>
      <c r="NW97" s="5" t="str">
        <f t="shared" si="341"/>
        <v>NO APLICA</v>
      </c>
      <c r="NX97" s="6"/>
      <c r="NY97" s="6"/>
      <c r="NZ97" s="4"/>
      <c r="OA97" s="8"/>
      <c r="OB97" s="5" t="str">
        <f t="shared" si="342"/>
        <v>NO APLICA</v>
      </c>
      <c r="OC97" s="6"/>
      <c r="OD97" s="6"/>
      <c r="OE97" s="6"/>
      <c r="OF97" s="6"/>
      <c r="OG97" s="5" t="str">
        <f t="shared" si="343"/>
        <v>NO APLICA</v>
      </c>
      <c r="OH97" s="6"/>
      <c r="OI97" s="6"/>
      <c r="OJ97" s="4"/>
      <c r="OK97" s="8"/>
      <c r="OL97" s="5" t="str">
        <f t="shared" si="344"/>
        <v>NO APLICA</v>
      </c>
      <c r="OM97" s="6"/>
      <c r="ON97" s="6"/>
      <c r="OO97" s="6"/>
      <c r="OP97" s="6"/>
      <c r="OQ97" s="5" t="str">
        <f t="shared" si="345"/>
        <v>NO APLICA</v>
      </c>
      <c r="OR97" s="6"/>
      <c r="OS97" s="6"/>
      <c r="OT97" s="6"/>
      <c r="OU97" s="6"/>
      <c r="OV97" s="5" t="str">
        <f t="shared" si="346"/>
        <v>NO APLICA</v>
      </c>
      <c r="OW97" s="6"/>
      <c r="OX97" s="6"/>
      <c r="OY97" s="6"/>
      <c r="OZ97" s="6"/>
      <c r="PA97" s="5" t="str">
        <f t="shared" si="347"/>
        <v>NO APLICA</v>
      </c>
      <c r="PB97" s="6"/>
      <c r="PC97" s="6"/>
      <c r="PD97" s="6"/>
      <c r="PE97" s="6"/>
      <c r="PF97" s="5" t="str">
        <f t="shared" si="348"/>
        <v>NO APLICA</v>
      </c>
      <c r="PG97" s="6"/>
      <c r="PH97" s="6"/>
      <c r="PI97" s="6"/>
      <c r="PJ97" s="6"/>
      <c r="PK97" s="5" t="str">
        <f t="shared" si="349"/>
        <v>NO APLICA</v>
      </c>
      <c r="PL97" s="5"/>
      <c r="PM97" s="6"/>
      <c r="PN97" s="4"/>
      <c r="PO97" s="8"/>
      <c r="PP97" s="5" t="str">
        <f t="shared" si="350"/>
        <v>NO APLICA</v>
      </c>
      <c r="PQ97" s="6"/>
      <c r="PR97" s="6"/>
      <c r="PS97" s="6"/>
      <c r="PT97" s="6"/>
      <c r="PU97" s="5" t="str">
        <f t="shared" si="351"/>
        <v>NO APLICA</v>
      </c>
      <c r="PV97" s="5"/>
      <c r="PW97" s="6"/>
      <c r="PX97" s="6"/>
      <c r="PY97" s="6"/>
      <c r="PZ97" s="5" t="str">
        <f t="shared" si="352"/>
        <v>NO APLICA</v>
      </c>
    </row>
    <row r="98" spans="1:442" ht="15.6" hidden="1" thickTop="1" thickBot="1" x14ac:dyDescent="0.35">
      <c r="A98" s="26">
        <v>95</v>
      </c>
      <c r="B98" s="31">
        <v>1106</v>
      </c>
      <c r="C98" s="28" t="s">
        <v>341</v>
      </c>
      <c r="D98" s="29" t="s">
        <v>113</v>
      </c>
      <c r="E98" s="30" t="s">
        <v>148</v>
      </c>
      <c r="F98" s="3"/>
      <c r="G98" s="4">
        <v>46119</v>
      </c>
      <c r="H98" s="4">
        <f>DATE(YEAR(G98)+2,MONTH(G98),DAY(G98))</f>
        <v>46850</v>
      </c>
      <c r="I98" s="8">
        <f ca="1">H98-TODAY()</f>
        <v>705</v>
      </c>
      <c r="J98" s="5" t="str">
        <f t="shared" ca="1" si="242"/>
        <v>VIGENTE</v>
      </c>
      <c r="K98" s="2"/>
      <c r="L98" s="6"/>
      <c r="M98" s="6"/>
      <c r="N98" s="8"/>
      <c r="O98" s="5" t="str">
        <f t="shared" si="243"/>
        <v>NO APLICA</v>
      </c>
      <c r="P98" s="6"/>
      <c r="Q98" s="6"/>
      <c r="R98" s="4"/>
      <c r="S98" s="8"/>
      <c r="T98" s="5" t="str">
        <f t="shared" si="353"/>
        <v>NO APLICA</v>
      </c>
      <c r="U98" s="5"/>
      <c r="V98" s="2" t="s">
        <v>342</v>
      </c>
      <c r="W98" s="4">
        <v>45041</v>
      </c>
      <c r="X98" s="4">
        <f t="shared" si="244"/>
        <v>46868</v>
      </c>
      <c r="Y98" s="8">
        <f t="shared" ca="1" si="245"/>
        <v>723</v>
      </c>
      <c r="Z98" s="5" t="str">
        <f t="shared" ca="1" si="246"/>
        <v>VIGENTE</v>
      </c>
      <c r="AA98" s="5"/>
      <c r="AB98" s="2"/>
      <c r="AC98" s="6"/>
      <c r="AD98" s="4"/>
      <c r="AE98" s="8"/>
      <c r="AF98" s="5" t="str">
        <f t="shared" si="247"/>
        <v>NO APLICA</v>
      </c>
      <c r="AG98" s="3"/>
      <c r="AH98" s="4">
        <v>45721</v>
      </c>
      <c r="AI98" s="4">
        <f>DATE(YEAR(AH98)+2,MONTH(AH98),DAY(AH98)-1)</f>
        <v>46450</v>
      </c>
      <c r="AJ98" s="8">
        <f t="shared" ca="1" si="248"/>
        <v>305</v>
      </c>
      <c r="AK98" s="5" t="str">
        <f t="shared" ca="1" si="219"/>
        <v>VIGENTE</v>
      </c>
      <c r="AL98" s="3"/>
      <c r="AM98" s="4">
        <v>45602</v>
      </c>
      <c r="AN98" s="4">
        <f>DATE(YEAR(AM98)+2,MONTH(AM98),DAY(AM98)-1)</f>
        <v>46331</v>
      </c>
      <c r="AO98" s="8">
        <f t="shared" ca="1" si="249"/>
        <v>186</v>
      </c>
      <c r="AP98" s="5" t="str">
        <f t="shared" ca="1" si="250"/>
        <v>VIGENTE</v>
      </c>
      <c r="AQ98" s="3"/>
      <c r="AR98" s="4">
        <v>45703</v>
      </c>
      <c r="AS98" s="4">
        <f>DATE(YEAR(AR98)+2,MONTH(AR98),DAY(AR98)-1)</f>
        <v>46432</v>
      </c>
      <c r="AT98" s="8">
        <f t="shared" ca="1" si="251"/>
        <v>287</v>
      </c>
      <c r="AU98" s="5" t="str">
        <f t="shared" ca="1" si="252"/>
        <v>VIGENTE</v>
      </c>
      <c r="AV98" s="3"/>
      <c r="AW98" s="4">
        <v>45702</v>
      </c>
      <c r="AX98" s="4">
        <f>DATE(YEAR(AW98)+2,MONTH(AW98),DAY(AW98)-1)</f>
        <v>46431</v>
      </c>
      <c r="AY98" s="8">
        <f t="shared" ca="1" si="253"/>
        <v>286</v>
      </c>
      <c r="AZ98" s="5" t="str">
        <f t="shared" ca="1" si="254"/>
        <v>VIGENTE</v>
      </c>
      <c r="BA98" s="3"/>
      <c r="BB98" s="4">
        <v>45717</v>
      </c>
      <c r="BC98" s="4">
        <f>DATE(YEAR(BB98)+2,MONTH(BB98),DAY(BB98)-1)</f>
        <v>46446</v>
      </c>
      <c r="BD98" s="8">
        <f t="shared" ca="1" si="255"/>
        <v>301</v>
      </c>
      <c r="BE98" s="5" t="str">
        <f t="shared" ca="1" si="256"/>
        <v>VIGENTE</v>
      </c>
      <c r="BF98" s="3"/>
      <c r="BG98" s="4">
        <v>45698</v>
      </c>
      <c r="BH98" s="4">
        <f>DATE(YEAR(BG98)+2,MONTH(BG98),DAY(BG98)-1)</f>
        <v>46427</v>
      </c>
      <c r="BI98" s="8">
        <f t="shared" ca="1" si="257"/>
        <v>282</v>
      </c>
      <c r="BJ98" s="5" t="str">
        <f t="shared" ca="1" si="258"/>
        <v>VIGENTE</v>
      </c>
      <c r="BK98" s="3"/>
      <c r="BL98" s="4">
        <v>45600</v>
      </c>
      <c r="BM98" s="4">
        <f>DATE(YEAR(BL98)+2,MONTH(BL98),DAY(BL98)-1)</f>
        <v>46329</v>
      </c>
      <c r="BN98" s="8">
        <f t="shared" ca="1" si="259"/>
        <v>184</v>
      </c>
      <c r="BO98" s="5" t="str">
        <f t="shared" ca="1" si="260"/>
        <v>VIGENTE</v>
      </c>
      <c r="BP98" s="3"/>
      <c r="BQ98" s="39">
        <v>45701</v>
      </c>
      <c r="BR98" s="4">
        <f>DATE(YEAR(BQ98)+2,MONTH(BQ98),DAY(BQ98)-1)</f>
        <v>46430</v>
      </c>
      <c r="BS98" s="8">
        <f t="shared" ca="1" si="261"/>
        <v>285</v>
      </c>
      <c r="BT98" s="5" t="str">
        <f t="shared" ca="1" si="262"/>
        <v>VIGENTE</v>
      </c>
      <c r="BU98" s="3"/>
      <c r="BV98" s="4">
        <v>45611</v>
      </c>
      <c r="BW98" s="4">
        <f>DATE(YEAR(BV98)+2,MONTH(BV98),DAY(BV98)-1)</f>
        <v>46340</v>
      </c>
      <c r="BX98" s="8">
        <f t="shared" ca="1" si="263"/>
        <v>195</v>
      </c>
      <c r="BY98" s="5" t="str">
        <f t="shared" ca="1" si="264"/>
        <v>VIGENTE</v>
      </c>
      <c r="BZ98" s="3"/>
      <c r="CA98" s="4">
        <v>45629</v>
      </c>
      <c r="CB98" s="4">
        <f>DATE(YEAR(CA98)+2,MONTH(CA98),DAY(CA98)-1)</f>
        <v>46358</v>
      </c>
      <c r="CC98" s="8">
        <f t="shared" ca="1" si="265"/>
        <v>213</v>
      </c>
      <c r="CD98" s="5" t="str">
        <f t="shared" ca="1" si="266"/>
        <v>VIGENTE</v>
      </c>
      <c r="CE98" s="6"/>
      <c r="CF98" s="4">
        <v>45828</v>
      </c>
      <c r="CG98" s="4">
        <f t="shared" si="387"/>
        <v>47289</v>
      </c>
      <c r="CH98" s="8">
        <f t="shared" ca="1" si="388"/>
        <v>1144</v>
      </c>
      <c r="CI98" s="5" t="str">
        <f t="shared" ca="1" si="269"/>
        <v>VIGENTE</v>
      </c>
      <c r="CJ98" s="4"/>
      <c r="CK98" s="4">
        <v>45688</v>
      </c>
      <c r="CL98" s="4">
        <f>DATE(YEAR(CK98)+2,MONTH(CK98),DAY(CK98)-1)</f>
        <v>46417</v>
      </c>
      <c r="CM98" s="8">
        <f t="shared" ca="1" si="270"/>
        <v>272</v>
      </c>
      <c r="CN98" s="5" t="str">
        <f t="shared" ca="1" si="271"/>
        <v>VIGENTE</v>
      </c>
      <c r="CO98" s="3"/>
      <c r="CP98" s="39">
        <v>45684</v>
      </c>
      <c r="CQ98" s="4">
        <f>DATE(YEAR(CP98)+2,MONTH(CP98),DAY(CP98)-1)</f>
        <v>46413</v>
      </c>
      <c r="CR98" s="8">
        <f t="shared" ca="1" si="272"/>
        <v>268</v>
      </c>
      <c r="CS98" s="5" t="str">
        <f t="shared" ca="1" si="273"/>
        <v>VIGENTE</v>
      </c>
      <c r="CT98" s="3"/>
      <c r="CU98" s="4">
        <v>45624</v>
      </c>
      <c r="CV98" s="4">
        <f>DATE(YEAR(CU98)+2,MONTH(CU98),DAY(CU98)-1)</f>
        <v>46353</v>
      </c>
      <c r="CW98" s="8">
        <f t="shared" ca="1" si="274"/>
        <v>208</v>
      </c>
      <c r="CX98" s="5" t="str">
        <f t="shared" ca="1" si="275"/>
        <v>VIGENTE</v>
      </c>
      <c r="CY98" s="3"/>
      <c r="CZ98" s="4">
        <v>45744</v>
      </c>
      <c r="DA98" s="4">
        <f t="shared" ref="DA98:DA103" si="399">DATE(YEAR(CZ98)+2,MONTH(CZ98),DAY(CZ98)-1)</f>
        <v>46473</v>
      </c>
      <c r="DB98" s="8">
        <f t="shared" ca="1" si="276"/>
        <v>328</v>
      </c>
      <c r="DC98" s="5" t="str">
        <f t="shared" ca="1" si="277"/>
        <v>VIGENTE</v>
      </c>
      <c r="DD98" s="3"/>
      <c r="DE98" s="39">
        <v>45689</v>
      </c>
      <c r="DF98" s="4">
        <f>DATE(YEAR(DE98)+2,MONTH(DE98),DAY(DE98)-1)</f>
        <v>46418</v>
      </c>
      <c r="DG98" s="8">
        <f t="shared" ca="1" si="278"/>
        <v>273</v>
      </c>
      <c r="DH98" s="5" t="str">
        <f t="shared" ca="1" si="279"/>
        <v>VIGENTE</v>
      </c>
      <c r="DI98" s="3"/>
      <c r="DJ98" s="39">
        <v>45696</v>
      </c>
      <c r="DK98" s="4">
        <f>DATE(YEAR(DJ98)+2,MONTH(DJ98),DAY(DJ98)-1)</f>
        <v>46425</v>
      </c>
      <c r="DL98" s="8">
        <f t="shared" ca="1" si="280"/>
        <v>280</v>
      </c>
      <c r="DM98" s="5" t="str">
        <f t="shared" ca="1" si="281"/>
        <v>VIGENTE</v>
      </c>
      <c r="DN98" s="3"/>
      <c r="DO98" s="4">
        <v>45731</v>
      </c>
      <c r="DP98" s="4">
        <f>DATE(YEAR(DO98)+2,MONTH(DO98),DAY(DO98)-1)</f>
        <v>46460</v>
      </c>
      <c r="DQ98" s="8">
        <f t="shared" ca="1" si="282"/>
        <v>315</v>
      </c>
      <c r="DR98" s="5" t="str">
        <f t="shared" ca="1" si="283"/>
        <v>VIGENTE</v>
      </c>
      <c r="DS98" s="3"/>
      <c r="DT98" s="4">
        <v>45707</v>
      </c>
      <c r="DU98" s="4">
        <f>DATE(YEAR(DT98)+2,MONTH(DT98),DAY(DT98)-1)</f>
        <v>46436</v>
      </c>
      <c r="DV98" s="8">
        <f t="shared" ca="1" si="284"/>
        <v>291</v>
      </c>
      <c r="DW98" s="5" t="str">
        <f t="shared" ca="1" si="285"/>
        <v>VIGENTE</v>
      </c>
      <c r="DX98" s="3"/>
      <c r="DY98" s="4">
        <v>45663</v>
      </c>
      <c r="DZ98" s="4">
        <f>DATE(YEAR(DY98)+2,MONTH(DY98),DAY(DY98)-1)</f>
        <v>46392</v>
      </c>
      <c r="EA98" s="8">
        <f t="shared" ca="1" si="286"/>
        <v>247</v>
      </c>
      <c r="EB98" s="5" t="str">
        <f t="shared" ca="1" si="287"/>
        <v>VIGENTE</v>
      </c>
      <c r="EC98" s="3"/>
      <c r="ED98" s="39">
        <v>45674</v>
      </c>
      <c r="EE98" s="4">
        <f>DATE(YEAR(ED98)+2,MONTH(ED98),DAY(ED98)-1)</f>
        <v>46403</v>
      </c>
      <c r="EF98" s="8">
        <f t="shared" ca="1" si="288"/>
        <v>258</v>
      </c>
      <c r="EG98" s="5" t="str">
        <f t="shared" ca="1" si="289"/>
        <v>VIGENTE</v>
      </c>
      <c r="EH98" s="3"/>
      <c r="EI98" s="3">
        <v>46085</v>
      </c>
      <c r="EJ98" s="4">
        <f t="shared" si="355"/>
        <v>46450</v>
      </c>
      <c r="EK98" s="8">
        <f t="shared" ca="1" si="290"/>
        <v>305</v>
      </c>
      <c r="EL98" s="5" t="str">
        <f t="shared" ca="1" si="291"/>
        <v>VIGENTE</v>
      </c>
      <c r="EM98" s="3"/>
      <c r="EN98" s="4">
        <v>45705</v>
      </c>
      <c r="EO98" s="4">
        <f>DATE(YEAR(EN98)+2,MONTH(EN98),DAY(EN98)-1)</f>
        <v>46434</v>
      </c>
      <c r="EP98" s="8">
        <f t="shared" ca="1" si="292"/>
        <v>289</v>
      </c>
      <c r="EQ98" s="5" t="str">
        <f t="shared" ca="1" si="293"/>
        <v>VIGENTE</v>
      </c>
      <c r="ER98" s="3"/>
      <c r="ES98" s="39">
        <v>45677</v>
      </c>
      <c r="ET98" s="4">
        <f>DATE(YEAR(ES98)+2,MONTH(ES98),DAY(ES98)-1)</f>
        <v>46406</v>
      </c>
      <c r="EU98" s="8">
        <f t="shared" ca="1" si="294"/>
        <v>261</v>
      </c>
      <c r="EV98" s="5" t="str">
        <f t="shared" ca="1" si="295"/>
        <v>VIGENTE</v>
      </c>
      <c r="EW98" s="3"/>
      <c r="EX98" s="4">
        <v>45694</v>
      </c>
      <c r="EY98" s="4">
        <f>DATE(YEAR(EX98)+2,MONTH(EX98),DAY(EX98)-1)</f>
        <v>46423</v>
      </c>
      <c r="EZ98" s="8">
        <f t="shared" ca="1" si="296"/>
        <v>278</v>
      </c>
      <c r="FA98" s="5" t="str">
        <f t="shared" ca="1" si="297"/>
        <v>VIGENTE</v>
      </c>
      <c r="FB98" s="3"/>
      <c r="FC98" s="4">
        <v>45666</v>
      </c>
      <c r="FD98" s="4">
        <f>DATE(YEAR(FC98)+2,MONTH(FC98),DAY(FC98)-1)</f>
        <v>46395</v>
      </c>
      <c r="FE98" s="8">
        <f t="shared" ca="1" si="298"/>
        <v>250</v>
      </c>
      <c r="FF98" s="5" t="str">
        <f t="shared" ca="1" si="299"/>
        <v>VIGENTE</v>
      </c>
      <c r="FG98" s="3"/>
      <c r="FH98" s="4">
        <v>45722</v>
      </c>
      <c r="FI98" s="4">
        <f t="shared" si="397"/>
        <v>46452</v>
      </c>
      <c r="FJ98" s="8">
        <f t="shared" ca="1" si="300"/>
        <v>307</v>
      </c>
      <c r="FK98" s="5" t="str">
        <f t="shared" ca="1" si="301"/>
        <v>VIGENTE</v>
      </c>
      <c r="FL98" s="3"/>
      <c r="FM98" s="39">
        <v>45670</v>
      </c>
      <c r="FN98" s="4">
        <f>DATE(YEAR(FM98)+2,MONTH(FM98),DAY(FM98)-1)</f>
        <v>46399</v>
      </c>
      <c r="FO98" s="8">
        <f t="shared" ca="1" si="302"/>
        <v>254</v>
      </c>
      <c r="FP98" s="5" t="str">
        <f t="shared" ca="1" si="303"/>
        <v>VIGENTE</v>
      </c>
      <c r="FQ98" s="3"/>
      <c r="FR98" s="39">
        <v>45678</v>
      </c>
      <c r="FS98" s="4">
        <f>DATE(YEAR(FR98)+2,MONTH(FR98),DAY(FR98)-1)</f>
        <v>46407</v>
      </c>
      <c r="FT98" s="8">
        <f t="shared" ca="1" si="304"/>
        <v>262</v>
      </c>
      <c r="FU98" s="5" t="str">
        <f t="shared" ca="1" si="305"/>
        <v>VIGENTE</v>
      </c>
      <c r="FV98" s="3"/>
      <c r="FW98" s="4">
        <v>45700</v>
      </c>
      <c r="FX98" s="4">
        <f t="shared" ref="FX98:FX103" si="400">DATE(YEAR(FW98)+2,MONTH(FW98),DAY(FW98)-1)</f>
        <v>46429</v>
      </c>
      <c r="FY98" s="8">
        <f t="shared" ca="1" si="306"/>
        <v>284</v>
      </c>
      <c r="FZ98" s="5" t="str">
        <f t="shared" ca="1" si="307"/>
        <v>VIGENTE</v>
      </c>
      <c r="GA98" s="3"/>
      <c r="GB98" s="4">
        <v>45667</v>
      </c>
      <c r="GC98" s="4">
        <f>DATE(YEAR(GB98)+2,MONTH(GB98),DAY(GB98)-1)</f>
        <v>46396</v>
      </c>
      <c r="GD98" s="8">
        <f t="shared" ca="1" si="308"/>
        <v>251</v>
      </c>
      <c r="GE98" s="5" t="str">
        <f t="shared" ca="1" si="309"/>
        <v>VIGENTE</v>
      </c>
      <c r="GF98" s="3"/>
      <c r="GG98" s="4">
        <v>45672</v>
      </c>
      <c r="GH98" s="4">
        <f>DATE(YEAR(GG98)+2,MONTH(GG98),DAY(GG98)-1)</f>
        <v>46401</v>
      </c>
      <c r="GI98" s="8">
        <f t="shared" ca="1" si="310"/>
        <v>256</v>
      </c>
      <c r="GJ98" s="5" t="str">
        <f t="shared" ca="1" si="311"/>
        <v>VIGENTE</v>
      </c>
      <c r="GK98" s="3"/>
      <c r="GL98" s="4">
        <v>45615</v>
      </c>
      <c r="GM98" s="4">
        <f>DATE(YEAR(GL98)+2,MONTH(GL98),DAY(GL98)-1)</f>
        <v>46344</v>
      </c>
      <c r="GN98" s="8">
        <f t="shared" ca="1" si="312"/>
        <v>199</v>
      </c>
      <c r="GO98" s="5" t="str">
        <f t="shared" ca="1" si="313"/>
        <v>VIGENTE</v>
      </c>
      <c r="GP98" s="4"/>
      <c r="GQ98" s="4">
        <v>45013</v>
      </c>
      <c r="GR98" s="4">
        <f t="shared" si="314"/>
        <v>46840</v>
      </c>
      <c r="GS98" s="8">
        <f t="shared" ca="1" si="384"/>
        <v>695</v>
      </c>
      <c r="GT98" s="5" t="str">
        <f t="shared" ca="1" si="378"/>
        <v>VIGENTE</v>
      </c>
      <c r="GU98" s="3"/>
      <c r="GV98" s="4">
        <v>45099</v>
      </c>
      <c r="GW98" s="4">
        <f t="shared" si="316"/>
        <v>46926</v>
      </c>
      <c r="GX98" s="8">
        <f t="shared" ca="1" si="317"/>
        <v>781</v>
      </c>
      <c r="GY98" s="5" t="str">
        <f t="shared" ca="1" si="379"/>
        <v>VIGENTE</v>
      </c>
      <c r="GZ98" s="2"/>
      <c r="HA98" s="4">
        <v>45073</v>
      </c>
      <c r="HB98" s="4">
        <f t="shared" si="319"/>
        <v>46900</v>
      </c>
      <c r="HC98" s="8">
        <f t="shared" ca="1" si="320"/>
        <v>755</v>
      </c>
      <c r="HD98" s="5" t="str">
        <f t="shared" ca="1" si="380"/>
        <v>VIGENTE</v>
      </c>
      <c r="HE98" s="6"/>
      <c r="HF98" s="6"/>
      <c r="HG98" s="4"/>
      <c r="HH98" s="8"/>
      <c r="HI98" s="5" t="str">
        <f t="shared" si="389"/>
        <v>NO APLICA</v>
      </c>
      <c r="HJ98" s="2"/>
      <c r="HK98" s="6"/>
      <c r="HL98" s="4"/>
      <c r="HM98" s="8"/>
      <c r="HN98" s="5" t="str">
        <f t="shared" si="385"/>
        <v>NO APLICA</v>
      </c>
      <c r="HO98" s="2"/>
      <c r="HP98" s="2"/>
      <c r="HQ98" s="4"/>
      <c r="HR98" s="2"/>
      <c r="HS98" s="5" t="str">
        <f t="shared" si="322"/>
        <v>NO APLICA</v>
      </c>
      <c r="HT98" s="2"/>
      <c r="HU98" s="6"/>
      <c r="HV98" s="4"/>
      <c r="HW98" s="8"/>
      <c r="HX98" s="5" t="str">
        <f t="shared" si="323"/>
        <v>NO APLICA</v>
      </c>
      <c r="HY98" s="2"/>
      <c r="HZ98" s="6"/>
      <c r="IA98" s="4"/>
      <c r="IB98" s="8"/>
      <c r="IC98" s="5" t="str">
        <f t="shared" si="324"/>
        <v>NO APLICA</v>
      </c>
      <c r="ID98" s="2"/>
      <c r="IE98" s="6"/>
      <c r="IF98" s="4"/>
      <c r="IG98" s="8"/>
      <c r="IH98" s="5" t="str">
        <f t="shared" si="325"/>
        <v>NO APLICA</v>
      </c>
      <c r="II98" s="6"/>
      <c r="IJ98" s="6"/>
      <c r="IK98" s="4"/>
      <c r="IL98" s="8"/>
      <c r="IM98" s="5" t="str">
        <f t="shared" si="326"/>
        <v>NO APLICA</v>
      </c>
      <c r="IN98" s="2"/>
      <c r="IO98" s="6"/>
      <c r="IP98" s="4"/>
      <c r="IQ98" s="8"/>
      <c r="IR98" s="5" t="str">
        <f t="shared" si="327"/>
        <v>NO APLICA</v>
      </c>
      <c r="IS98" s="2"/>
      <c r="IT98" s="6"/>
      <c r="IU98" s="4"/>
      <c r="IV98" s="8"/>
      <c r="IW98" s="5" t="str">
        <f t="shared" si="328"/>
        <v>NO APLICA</v>
      </c>
      <c r="IX98" s="2"/>
      <c r="IY98" s="6"/>
      <c r="IZ98" s="4"/>
      <c r="JA98" s="8"/>
      <c r="JB98" s="5" t="str">
        <f t="shared" si="329"/>
        <v>NO APLICA</v>
      </c>
      <c r="JC98" s="3" t="s">
        <v>780</v>
      </c>
      <c r="JD98" s="3"/>
      <c r="JE98" s="4"/>
      <c r="JF98" s="8"/>
      <c r="JG98" s="5"/>
      <c r="JH98" s="3" t="s">
        <v>780</v>
      </c>
      <c r="JI98" s="6"/>
      <c r="JJ98" s="6"/>
      <c r="JK98" s="6"/>
      <c r="JL98" s="5"/>
      <c r="JM98" s="6" t="s">
        <v>780</v>
      </c>
      <c r="JN98" s="6"/>
      <c r="JO98" s="6"/>
      <c r="JP98" s="6"/>
      <c r="JQ98" s="5"/>
      <c r="JR98" s="6" t="s">
        <v>780</v>
      </c>
      <c r="JS98" s="6"/>
      <c r="JT98" s="6"/>
      <c r="JU98" s="6"/>
      <c r="JV98" s="5"/>
      <c r="JW98" s="6" t="s">
        <v>780</v>
      </c>
      <c r="JX98" s="5"/>
      <c r="JY98" s="5"/>
      <c r="JZ98" s="5"/>
      <c r="KA98" s="5"/>
      <c r="KB98" s="5"/>
      <c r="KC98" s="2"/>
      <c r="KD98" s="4"/>
      <c r="KE98" s="8"/>
      <c r="KF98" s="5" t="str">
        <f t="shared" si="330"/>
        <v>NO APLICA</v>
      </c>
      <c r="KG98" s="5"/>
      <c r="KH98" s="2"/>
      <c r="KI98" s="4"/>
      <c r="KJ98" s="8"/>
      <c r="KK98" s="5" t="str">
        <f t="shared" si="356"/>
        <v>NO APLICA</v>
      </c>
      <c r="KL98" s="5"/>
      <c r="KM98" s="2"/>
      <c r="KN98" s="4"/>
      <c r="KO98" s="8"/>
      <c r="KP98" s="5" t="str">
        <f t="shared" si="331"/>
        <v>NO APLICA</v>
      </c>
      <c r="KQ98" s="5"/>
      <c r="KR98" s="2"/>
      <c r="KS98" s="4"/>
      <c r="KT98" s="8"/>
      <c r="KU98" s="5" t="str">
        <f t="shared" si="357"/>
        <v>NO APLICA</v>
      </c>
      <c r="KV98" s="2"/>
      <c r="KW98" s="6"/>
      <c r="KX98" s="4"/>
      <c r="KY98" s="8"/>
      <c r="KZ98" s="5" t="str">
        <f t="shared" si="366"/>
        <v>NO APLICA</v>
      </c>
      <c r="LA98" s="5"/>
      <c r="LB98" s="6"/>
      <c r="LC98" s="4"/>
      <c r="LD98" s="8"/>
      <c r="LE98" s="5" t="str">
        <f t="shared" si="358"/>
        <v>NO APLICA</v>
      </c>
      <c r="LF98" s="6"/>
      <c r="LG98" s="6"/>
      <c r="LH98" s="4"/>
      <c r="LI98" s="8"/>
      <c r="LJ98" s="5" t="str">
        <f t="shared" si="332"/>
        <v>NO APLICA</v>
      </c>
      <c r="LK98" s="5"/>
      <c r="LL98" s="5"/>
      <c r="LM98" s="4"/>
      <c r="LN98" s="8"/>
      <c r="LO98" s="5" t="str">
        <f t="shared" si="367"/>
        <v>NO APLICA</v>
      </c>
      <c r="LP98" s="2"/>
      <c r="LQ98" s="6"/>
      <c r="LR98" s="4"/>
      <c r="LS98" s="8"/>
      <c r="LT98" s="5" t="str">
        <f t="shared" si="359"/>
        <v>NO APLICA</v>
      </c>
      <c r="LU98" s="6"/>
      <c r="LV98" s="6"/>
      <c r="LW98" s="4"/>
      <c r="LX98" s="8"/>
      <c r="LY98" s="5" t="str">
        <f t="shared" si="360"/>
        <v>NO APLICA</v>
      </c>
      <c r="LZ98" s="6"/>
      <c r="MA98" s="6"/>
      <c r="MB98" s="4"/>
      <c r="MC98" s="8"/>
      <c r="MD98" s="5" t="str">
        <f t="shared" si="361"/>
        <v>NO APLICA</v>
      </c>
      <c r="ME98" s="2"/>
      <c r="MF98" s="2"/>
      <c r="MG98" s="4"/>
      <c r="MH98" s="8"/>
      <c r="MI98" s="5" t="str">
        <f t="shared" si="333"/>
        <v>NO APLICA</v>
      </c>
      <c r="MJ98" s="2"/>
      <c r="MK98" s="2"/>
      <c r="ML98" s="4"/>
      <c r="MM98" s="8"/>
      <c r="MN98" s="5" t="str">
        <f t="shared" si="334"/>
        <v>NO APLICA</v>
      </c>
      <c r="MO98" s="5"/>
      <c r="MP98" s="2"/>
      <c r="MQ98" s="4"/>
      <c r="MR98" s="8"/>
      <c r="MS98" s="5" t="str">
        <f t="shared" si="335"/>
        <v>NO APLICA</v>
      </c>
      <c r="MT98" s="5"/>
      <c r="MU98" s="2"/>
      <c r="MV98" s="4"/>
      <c r="MW98" s="2"/>
      <c r="MX98" s="5" t="str">
        <f t="shared" si="336"/>
        <v>NO APLICA</v>
      </c>
      <c r="MY98" s="2"/>
      <c r="MZ98" s="6"/>
      <c r="NA98" s="4"/>
      <c r="NB98" s="8"/>
      <c r="NC98" s="5" t="str">
        <f t="shared" si="337"/>
        <v>NO APLICA</v>
      </c>
      <c r="ND98" s="2"/>
      <c r="NE98" s="6"/>
      <c r="NF98" s="4"/>
      <c r="NG98" s="8"/>
      <c r="NH98" s="5" t="str">
        <f t="shared" si="338"/>
        <v>NO APLICA</v>
      </c>
      <c r="NI98" s="2"/>
      <c r="NJ98" s="6"/>
      <c r="NK98" s="4"/>
      <c r="NL98" s="8"/>
      <c r="NM98" s="5" t="str">
        <f t="shared" si="339"/>
        <v>NO APLICA</v>
      </c>
      <c r="NN98" s="2"/>
      <c r="NO98" s="2"/>
      <c r="NP98" s="4"/>
      <c r="NQ98" s="8"/>
      <c r="NR98" s="5" t="str">
        <f t="shared" si="340"/>
        <v>NO APLICA</v>
      </c>
      <c r="NS98" s="2"/>
      <c r="NT98" s="2"/>
      <c r="NU98" s="4"/>
      <c r="NV98" s="2"/>
      <c r="NW98" s="5" t="str">
        <f t="shared" si="341"/>
        <v>NO APLICA</v>
      </c>
      <c r="NX98" s="6"/>
      <c r="NY98" s="6"/>
      <c r="NZ98" s="4"/>
      <c r="OA98" s="8"/>
      <c r="OB98" s="5" t="str">
        <f t="shared" si="342"/>
        <v>NO APLICA</v>
      </c>
      <c r="OC98" s="6"/>
      <c r="OD98" s="6"/>
      <c r="OE98" s="6"/>
      <c r="OF98" s="6"/>
      <c r="OG98" s="5" t="str">
        <f t="shared" si="343"/>
        <v>NO APLICA</v>
      </c>
      <c r="OH98" s="2"/>
      <c r="OI98" s="2"/>
      <c r="OJ98" s="4"/>
      <c r="OK98" s="8"/>
      <c r="OL98" s="5" t="str">
        <f t="shared" si="344"/>
        <v>NO APLICA</v>
      </c>
      <c r="OM98" s="6"/>
      <c r="ON98" s="6"/>
      <c r="OO98" s="6"/>
      <c r="OP98" s="6"/>
      <c r="OQ98" s="5" t="str">
        <f t="shared" si="345"/>
        <v>NO APLICA</v>
      </c>
      <c r="OR98" s="6"/>
      <c r="OS98" s="6"/>
      <c r="OT98" s="6"/>
      <c r="OU98" s="6"/>
      <c r="OV98" s="5" t="str">
        <f t="shared" si="346"/>
        <v>NO APLICA</v>
      </c>
      <c r="OW98" s="6"/>
      <c r="OX98" s="6"/>
      <c r="OY98" s="6"/>
      <c r="OZ98" s="6"/>
      <c r="PA98" s="5" t="str">
        <f t="shared" si="347"/>
        <v>NO APLICA</v>
      </c>
      <c r="PB98" s="6"/>
      <c r="PC98" s="6"/>
      <c r="PD98" s="6"/>
      <c r="PE98" s="6"/>
      <c r="PF98" s="5" t="str">
        <f t="shared" si="348"/>
        <v>NO APLICA</v>
      </c>
      <c r="PG98" s="6"/>
      <c r="PH98" s="6"/>
      <c r="PI98" s="6"/>
      <c r="PJ98" s="6"/>
      <c r="PK98" s="5" t="str">
        <f t="shared" si="349"/>
        <v>NO APLICA</v>
      </c>
      <c r="PL98" s="5"/>
      <c r="PM98" s="6"/>
      <c r="PN98" s="4"/>
      <c r="PO98" s="8"/>
      <c r="PP98" s="5" t="str">
        <f t="shared" si="350"/>
        <v>NO APLICA</v>
      </c>
      <c r="PQ98" s="6"/>
      <c r="PR98" s="6"/>
      <c r="PS98" s="6"/>
      <c r="PT98" s="6"/>
      <c r="PU98" s="5" t="str">
        <f t="shared" si="351"/>
        <v>NO APLICA</v>
      </c>
      <c r="PV98" s="5"/>
      <c r="PW98" s="6"/>
      <c r="PX98" s="6"/>
      <c r="PY98" s="6"/>
      <c r="PZ98" s="5" t="str">
        <f t="shared" si="352"/>
        <v>NO APLICA</v>
      </c>
    </row>
    <row r="99" spans="1:442" ht="15.6" hidden="1" thickTop="1" thickBot="1" x14ac:dyDescent="0.35">
      <c r="A99" s="26">
        <v>96</v>
      </c>
      <c r="B99" s="31">
        <v>1724</v>
      </c>
      <c r="C99" s="28" t="s">
        <v>343</v>
      </c>
      <c r="D99" s="29" t="s">
        <v>68</v>
      </c>
      <c r="E99" s="30" t="s">
        <v>73</v>
      </c>
      <c r="F99" s="6"/>
      <c r="G99" s="6"/>
      <c r="H99" s="6"/>
      <c r="I99" s="6"/>
      <c r="J99" s="5" t="str">
        <f t="shared" si="242"/>
        <v>NO APLICA</v>
      </c>
      <c r="K99" s="6"/>
      <c r="L99" s="6"/>
      <c r="M99" s="6"/>
      <c r="N99" s="6"/>
      <c r="O99" s="5" t="str">
        <f t="shared" si="243"/>
        <v>NO APLICA</v>
      </c>
      <c r="P99" s="6"/>
      <c r="Q99" s="6"/>
      <c r="R99" s="6"/>
      <c r="S99" s="6"/>
      <c r="T99" s="5" t="str">
        <f t="shared" si="353"/>
        <v>NO APLICA</v>
      </c>
      <c r="U99" s="5"/>
      <c r="V99" s="6" t="s">
        <v>344</v>
      </c>
      <c r="W99" s="4">
        <v>45309</v>
      </c>
      <c r="X99" s="4">
        <f t="shared" si="244"/>
        <v>47136</v>
      </c>
      <c r="Y99" s="8">
        <f t="shared" ca="1" si="245"/>
        <v>991</v>
      </c>
      <c r="Z99" s="5" t="str">
        <f t="shared" ca="1" si="246"/>
        <v>VIGENTE</v>
      </c>
      <c r="AA99" s="5"/>
      <c r="AB99" s="6" t="s">
        <v>345</v>
      </c>
      <c r="AC99" s="4">
        <v>45577</v>
      </c>
      <c r="AD99" s="4">
        <f>DATE(YEAR(AC99)+5,MONTH(AC99),DAY(AC99))</f>
        <v>47403</v>
      </c>
      <c r="AE99" s="8">
        <f ca="1">AD99-TODAY()</f>
        <v>1258</v>
      </c>
      <c r="AF99" s="5" t="str">
        <f t="shared" ca="1" si="247"/>
        <v>VIGENTE</v>
      </c>
      <c r="AG99" s="4"/>
      <c r="AH99" s="4">
        <v>46006</v>
      </c>
      <c r="AI99" s="4">
        <f>DATE(YEAR(AH99)+2,MONTH(AH99),DAY(AH99))</f>
        <v>46736</v>
      </c>
      <c r="AJ99" s="8">
        <f t="shared" ca="1" si="248"/>
        <v>591</v>
      </c>
      <c r="AK99" s="5" t="str">
        <f t="shared" ca="1" si="219"/>
        <v>VIGENTE</v>
      </c>
      <c r="AL99" s="4"/>
      <c r="AM99" s="4">
        <v>45959</v>
      </c>
      <c r="AN99" s="4">
        <f>DATE(YEAR(AM99)+2,MONTH(AM99),DAY(AM99))</f>
        <v>46689</v>
      </c>
      <c r="AO99" s="8">
        <f t="shared" ca="1" si="249"/>
        <v>544</v>
      </c>
      <c r="AP99" s="5" t="str">
        <f t="shared" ca="1" si="250"/>
        <v>VIGENTE</v>
      </c>
      <c r="AQ99" s="6"/>
      <c r="AR99" s="4">
        <v>46048</v>
      </c>
      <c r="AS99" s="4">
        <f>DATE(YEAR(AR99)+2,MONTH(AR99),DAY(AR99))</f>
        <v>46778</v>
      </c>
      <c r="AT99" s="8">
        <f t="shared" ca="1" si="251"/>
        <v>633</v>
      </c>
      <c r="AU99" s="5" t="str">
        <f t="shared" ca="1" si="252"/>
        <v>VIGENTE</v>
      </c>
      <c r="AV99" s="4"/>
      <c r="AW99" s="4">
        <v>45972</v>
      </c>
      <c r="AX99" s="4">
        <f>DATE(YEAR(AW99)+2,MONTH(AW99),DAY(AW99))</f>
        <v>46702</v>
      </c>
      <c r="AY99" s="8">
        <f t="shared" ca="1" si="253"/>
        <v>557</v>
      </c>
      <c r="AZ99" s="5" t="str">
        <f t="shared" ca="1" si="254"/>
        <v>VIGENTE</v>
      </c>
      <c r="BA99" s="3"/>
      <c r="BB99" s="4">
        <v>46041</v>
      </c>
      <c r="BC99" s="4">
        <f>DATE(YEAR(BB99)+2,MONTH(BB99),DAY(BB99))</f>
        <v>46771</v>
      </c>
      <c r="BD99" s="8">
        <f t="shared" ca="1" si="255"/>
        <v>626</v>
      </c>
      <c r="BE99" s="5" t="str">
        <f t="shared" ca="1" si="256"/>
        <v>VIGENTE</v>
      </c>
      <c r="BF99" s="6"/>
      <c r="BG99" s="4">
        <v>45987</v>
      </c>
      <c r="BH99" s="4">
        <f>DATE(YEAR(BG99)+2,MONTH(BG99),DAY(BG99))</f>
        <v>46717</v>
      </c>
      <c r="BI99" s="8">
        <f t="shared" ca="1" si="257"/>
        <v>572</v>
      </c>
      <c r="BJ99" s="5" t="str">
        <f t="shared" ca="1" si="258"/>
        <v>VIGENTE</v>
      </c>
      <c r="BK99" s="4"/>
      <c r="BL99" s="4">
        <v>46056</v>
      </c>
      <c r="BM99" s="4">
        <f>DATE(YEAR(BL99)+2,MONTH(BL99),DAY(BL99))</f>
        <v>46786</v>
      </c>
      <c r="BN99" s="8">
        <f t="shared" ca="1" si="259"/>
        <v>641</v>
      </c>
      <c r="BO99" s="5" t="str">
        <f t="shared" ca="1" si="260"/>
        <v>VIGENTE</v>
      </c>
      <c r="BP99" s="4"/>
      <c r="BQ99" s="39">
        <v>45988</v>
      </c>
      <c r="BR99" s="4">
        <f>DATE(YEAR(BQ99)+2,MONTH(BQ99),DAY(BQ99))</f>
        <v>46718</v>
      </c>
      <c r="BS99" s="8">
        <f t="shared" ca="1" si="261"/>
        <v>573</v>
      </c>
      <c r="BT99" s="5" t="str">
        <f t="shared" ca="1" si="262"/>
        <v>VIGENTE</v>
      </c>
      <c r="BU99" s="3"/>
      <c r="BV99" s="4">
        <v>46031</v>
      </c>
      <c r="BW99" s="4">
        <f>DATE(YEAR(BV99)+2,MONTH(BV99),DAY(BV99))</f>
        <v>46761</v>
      </c>
      <c r="BX99" s="8">
        <f t="shared" ca="1" si="263"/>
        <v>616</v>
      </c>
      <c r="BY99" s="5" t="str">
        <f t="shared" ca="1" si="264"/>
        <v>VIGENTE</v>
      </c>
      <c r="BZ99" s="4"/>
      <c r="CA99" s="4">
        <v>45974</v>
      </c>
      <c r="CB99" s="4">
        <f>DATE(YEAR(CA99)+2,MONTH(CA99),DAY(CA99))</f>
        <v>46704</v>
      </c>
      <c r="CC99" s="8">
        <f t="shared" ca="1" si="265"/>
        <v>559</v>
      </c>
      <c r="CD99" s="5" t="str">
        <f t="shared" ca="1" si="266"/>
        <v>VIGENTE</v>
      </c>
      <c r="CE99" s="6"/>
      <c r="CF99" s="4">
        <v>45565</v>
      </c>
      <c r="CG99" s="4">
        <f t="shared" si="387"/>
        <v>47026</v>
      </c>
      <c r="CH99" s="8">
        <f t="shared" ca="1" si="388"/>
        <v>881</v>
      </c>
      <c r="CI99" s="5" t="str">
        <f t="shared" ca="1" si="269"/>
        <v>VIGENTE</v>
      </c>
      <c r="CJ99" s="4"/>
      <c r="CK99" s="4">
        <v>46018</v>
      </c>
      <c r="CL99" s="4">
        <f>DATE(YEAR(CK99)+2,MONTH(CK99),DAY(CK99))</f>
        <v>46748</v>
      </c>
      <c r="CM99" s="8">
        <f t="shared" ca="1" si="270"/>
        <v>603</v>
      </c>
      <c r="CN99" s="5" t="str">
        <f t="shared" ca="1" si="271"/>
        <v>VIGENTE</v>
      </c>
      <c r="CO99" s="4"/>
      <c r="CP99" s="39">
        <v>46038</v>
      </c>
      <c r="CQ99" s="4">
        <f>DATE(YEAR(CP99)+2,MONTH(CP99),DAY(CP99))</f>
        <v>46768</v>
      </c>
      <c r="CR99" s="8">
        <f t="shared" ca="1" si="272"/>
        <v>623</v>
      </c>
      <c r="CS99" s="5" t="str">
        <f t="shared" ca="1" si="273"/>
        <v>VIGENTE</v>
      </c>
      <c r="CT99" s="4"/>
      <c r="CU99" s="4">
        <v>46043</v>
      </c>
      <c r="CV99" s="4">
        <f>DATE(YEAR(CU99)+2,MONTH(CU99),DAY(CU99))</f>
        <v>46773</v>
      </c>
      <c r="CW99" s="8">
        <f t="shared" ca="1" si="274"/>
        <v>628</v>
      </c>
      <c r="CX99" s="5" t="str">
        <f t="shared" ca="1" si="275"/>
        <v>VIGENTE</v>
      </c>
      <c r="CY99" s="4"/>
      <c r="CZ99" s="4">
        <v>45646</v>
      </c>
      <c r="DA99" s="4">
        <f t="shared" si="399"/>
        <v>46375</v>
      </c>
      <c r="DB99" s="8">
        <f t="shared" ca="1" si="276"/>
        <v>230</v>
      </c>
      <c r="DC99" s="5" t="str">
        <f t="shared" ca="1" si="277"/>
        <v>VIGENTE</v>
      </c>
      <c r="DD99" s="4"/>
      <c r="DE99" s="4">
        <v>45996</v>
      </c>
      <c r="DF99" s="4">
        <f>DATE(YEAR(DE99)+2,MONTH(DE99),DAY(DE99))</f>
        <v>46726</v>
      </c>
      <c r="DG99" s="8">
        <f t="shared" ca="1" si="278"/>
        <v>581</v>
      </c>
      <c r="DH99" s="5" t="str">
        <f t="shared" ca="1" si="279"/>
        <v>VIGENTE</v>
      </c>
      <c r="DI99" s="4"/>
      <c r="DJ99" s="4">
        <v>46073</v>
      </c>
      <c r="DK99" s="4">
        <f>DATE(YEAR(DJ99)+2,MONTH(DJ99),DAY(DJ99))</f>
        <v>46803</v>
      </c>
      <c r="DL99" s="8">
        <f t="shared" ca="1" si="280"/>
        <v>658</v>
      </c>
      <c r="DM99" s="5" t="str">
        <f t="shared" ca="1" si="281"/>
        <v>VIGENTE</v>
      </c>
      <c r="DN99" s="4"/>
      <c r="DO99" s="4">
        <v>46046</v>
      </c>
      <c r="DP99" s="4">
        <f>DATE(YEAR(DO99)+2,MONTH(DO99),DAY(DO99))</f>
        <v>46776</v>
      </c>
      <c r="DQ99" s="8">
        <f t="shared" ca="1" si="282"/>
        <v>631</v>
      </c>
      <c r="DR99" s="5" t="str">
        <f t="shared" ca="1" si="283"/>
        <v>VIGENTE</v>
      </c>
      <c r="DS99" s="6"/>
      <c r="DT99" s="4">
        <v>46072</v>
      </c>
      <c r="DU99" s="4">
        <f>DATE(YEAR(DT99)+2,MONTH(DT99),DAY(DT99))</f>
        <v>46802</v>
      </c>
      <c r="DV99" s="8">
        <f t="shared" ca="1" si="284"/>
        <v>657</v>
      </c>
      <c r="DW99" s="5" t="str">
        <f t="shared" ca="1" si="285"/>
        <v>VIGENTE</v>
      </c>
      <c r="DX99" s="4"/>
      <c r="DY99" s="4">
        <v>46032</v>
      </c>
      <c r="DZ99" s="4">
        <f>DATE(YEAR(DY99)+2,MONTH(DY99),DAY(DY99))</f>
        <v>46762</v>
      </c>
      <c r="EA99" s="8">
        <f t="shared" ca="1" si="286"/>
        <v>617</v>
      </c>
      <c r="EB99" s="5" t="str">
        <f t="shared" ca="1" si="287"/>
        <v>VIGENTE</v>
      </c>
      <c r="EC99" s="4"/>
      <c r="ED99" s="4">
        <v>46112</v>
      </c>
      <c r="EE99" s="4">
        <f>DATE(YEAR(ED99)+2,MONTH(ED99),DAY(ED99)-1)</f>
        <v>46842</v>
      </c>
      <c r="EF99" s="8">
        <f t="shared" ca="1" si="288"/>
        <v>697</v>
      </c>
      <c r="EG99" s="5" t="str">
        <f t="shared" ca="1" si="289"/>
        <v>VIGENTE</v>
      </c>
      <c r="EH99" s="3"/>
      <c r="EI99" s="4">
        <v>46115</v>
      </c>
      <c r="EJ99" s="4">
        <f t="shared" si="355"/>
        <v>46480</v>
      </c>
      <c r="EK99" s="8">
        <f t="shared" ca="1" si="290"/>
        <v>335</v>
      </c>
      <c r="EL99" s="5" t="str">
        <f t="shared" ca="1" si="291"/>
        <v>VIGENTE</v>
      </c>
      <c r="EM99" s="3"/>
      <c r="EN99" s="4">
        <v>45983</v>
      </c>
      <c r="EO99" s="4">
        <f>DATE(YEAR(EN99)+2,MONTH(EN99),DAY(EN99))</f>
        <v>46713</v>
      </c>
      <c r="EP99" s="8">
        <f t="shared" ca="1" si="292"/>
        <v>568</v>
      </c>
      <c r="EQ99" s="5" t="str">
        <f t="shared" ca="1" si="293"/>
        <v>VIGENTE</v>
      </c>
      <c r="ER99" s="6"/>
      <c r="ES99" s="39">
        <v>45999</v>
      </c>
      <c r="ET99" s="4">
        <f>DATE(YEAR(ES99)+2,MONTH(ES99),DAY(ES99))</f>
        <v>46729</v>
      </c>
      <c r="EU99" s="8">
        <f t="shared" ca="1" si="294"/>
        <v>584</v>
      </c>
      <c r="EV99" s="5" t="str">
        <f t="shared" ca="1" si="295"/>
        <v>VIGENTE</v>
      </c>
      <c r="EW99" s="3"/>
      <c r="EX99" s="4">
        <v>46037</v>
      </c>
      <c r="EY99" s="4">
        <f>DATE(YEAR(EX99)+2,MONTH(EX99),DAY(EX99))</f>
        <v>46767</v>
      </c>
      <c r="EZ99" s="8">
        <f t="shared" ca="1" si="296"/>
        <v>622</v>
      </c>
      <c r="FA99" s="5" t="str">
        <f t="shared" ca="1" si="297"/>
        <v>VIGENTE</v>
      </c>
      <c r="FB99" s="6"/>
      <c r="FC99" s="4">
        <v>46091</v>
      </c>
      <c r="FD99" s="4">
        <f>DATE(YEAR(FC99)+2,MONTH(FC99),DAY(FC99))</f>
        <v>46822</v>
      </c>
      <c r="FE99" s="8">
        <f t="shared" ca="1" si="298"/>
        <v>677</v>
      </c>
      <c r="FF99" s="5" t="str">
        <f t="shared" ca="1" si="299"/>
        <v>VIGENTE</v>
      </c>
      <c r="FG99" s="6"/>
      <c r="FH99" s="4">
        <v>45506</v>
      </c>
      <c r="FI99" s="4">
        <f>DATE(YEAR(FH99)+2,MONTH(FH99),DAY(FH99)-1)</f>
        <v>46235</v>
      </c>
      <c r="FJ99" s="8">
        <f t="shared" ca="1" si="300"/>
        <v>90</v>
      </c>
      <c r="FK99" s="5" t="str">
        <f t="shared" ca="1" si="301"/>
        <v>POR VENCER</v>
      </c>
      <c r="FL99" s="4"/>
      <c r="FM99" s="39">
        <v>46049</v>
      </c>
      <c r="FN99" s="4">
        <f>DATE(YEAR(FM99)+2,MONTH(FM99),DAY(FM99))</f>
        <v>46779</v>
      </c>
      <c r="FO99" s="8">
        <f t="shared" ca="1" si="302"/>
        <v>634</v>
      </c>
      <c r="FP99" s="5" t="str">
        <f t="shared" ca="1" si="303"/>
        <v>VIGENTE</v>
      </c>
      <c r="FQ99" s="4"/>
      <c r="FR99" s="4">
        <v>46057</v>
      </c>
      <c r="FS99" s="4">
        <f>DATE(YEAR(FR99)+2,MONTH(FR99),DAY(FR99))</f>
        <v>46787</v>
      </c>
      <c r="FT99" s="8">
        <f t="shared" ca="1" si="304"/>
        <v>642</v>
      </c>
      <c r="FU99" s="5" t="str">
        <f t="shared" ca="1" si="305"/>
        <v>VIGENTE</v>
      </c>
      <c r="FV99" s="4"/>
      <c r="FW99" s="4">
        <v>45587</v>
      </c>
      <c r="FX99" s="4">
        <f t="shared" si="400"/>
        <v>46316</v>
      </c>
      <c r="FY99" s="8">
        <f t="shared" ca="1" si="306"/>
        <v>171</v>
      </c>
      <c r="FZ99" s="5" t="str">
        <f t="shared" ca="1" si="307"/>
        <v>VIGENTE</v>
      </c>
      <c r="GA99" s="4"/>
      <c r="GB99" s="4">
        <v>46030</v>
      </c>
      <c r="GC99" s="4">
        <f>DATE(YEAR(GB99)+2,MONTH(GB99),DAY(GB99))</f>
        <v>46760</v>
      </c>
      <c r="GD99" s="8">
        <f t="shared" ca="1" si="308"/>
        <v>615</v>
      </c>
      <c r="GE99" s="5" t="str">
        <f t="shared" ca="1" si="309"/>
        <v>VIGENTE</v>
      </c>
      <c r="GF99" s="4"/>
      <c r="GG99" s="4">
        <v>46079</v>
      </c>
      <c r="GH99" s="4">
        <f>DATE(YEAR(GG99)+2,MONTH(GG99),DAY(GG99))</f>
        <v>46809</v>
      </c>
      <c r="GI99" s="8">
        <f t="shared" ca="1" si="310"/>
        <v>664</v>
      </c>
      <c r="GJ99" s="5" t="str">
        <f t="shared" ca="1" si="311"/>
        <v>VIGENTE</v>
      </c>
      <c r="GK99" s="3"/>
      <c r="GL99" s="4">
        <v>46044</v>
      </c>
      <c r="GM99" s="4">
        <f>DATE(YEAR(GL99)+2,MONTH(GL99),DAY(GL99))</f>
        <v>46774</v>
      </c>
      <c r="GN99" s="8">
        <f t="shared" ca="1" si="312"/>
        <v>629</v>
      </c>
      <c r="GO99" s="5" t="str">
        <f t="shared" ca="1" si="313"/>
        <v>VIGENTE</v>
      </c>
      <c r="GP99" s="4"/>
      <c r="GQ99" s="4">
        <v>45367</v>
      </c>
      <c r="GR99" s="4">
        <f t="shared" si="314"/>
        <v>47193</v>
      </c>
      <c r="GS99" s="8">
        <f t="shared" ca="1" si="384"/>
        <v>1048</v>
      </c>
      <c r="GT99" s="5" t="str">
        <f t="shared" ca="1" si="378"/>
        <v>VIGENTE</v>
      </c>
      <c r="GU99" s="4"/>
      <c r="GV99" s="4">
        <v>45507</v>
      </c>
      <c r="GW99" s="4">
        <f t="shared" si="316"/>
        <v>47333</v>
      </c>
      <c r="GX99" s="8">
        <f t="shared" ca="1" si="317"/>
        <v>1188</v>
      </c>
      <c r="GY99" s="5" t="str">
        <f t="shared" ca="1" si="379"/>
        <v>VIGENTE</v>
      </c>
      <c r="GZ99" s="6"/>
      <c r="HA99" s="6"/>
      <c r="HB99" s="4"/>
      <c r="HC99" s="8"/>
      <c r="HD99" s="5" t="str">
        <f>IF(HC99&gt;=61,"VIGENTE",IF(HC99&gt;=1,"POR VENCER",IF(HC99&lt;=-1,"PROGRAMAR",IF(HA99=0,"NO APLICA"))))</f>
        <v>NO APLICA</v>
      </c>
      <c r="HE99" s="6"/>
      <c r="HF99" s="6"/>
      <c r="HG99" s="4"/>
      <c r="HH99" s="8"/>
      <c r="HI99" s="5" t="str">
        <f>IF(HH99&gt;=61,"VIGENTE",IF(HH99&gt;=1,"POR VENCER",IF(HH99&lt;=-1,"PROGRAMAR",IF(HF99=0,"NO APLICA"))))</f>
        <v>NO APLICA</v>
      </c>
      <c r="HJ99" s="6"/>
      <c r="HK99" s="6"/>
      <c r="HL99" s="4"/>
      <c r="HM99" s="8"/>
      <c r="HN99" s="5" t="str">
        <f t="shared" si="385"/>
        <v>NO APLICA</v>
      </c>
      <c r="HO99" s="2"/>
      <c r="HP99" s="2"/>
      <c r="HQ99" s="4"/>
      <c r="HR99" s="2"/>
      <c r="HS99" s="5" t="str">
        <f t="shared" si="322"/>
        <v>NO APLICA</v>
      </c>
      <c r="HT99" s="6"/>
      <c r="HU99" s="6"/>
      <c r="HV99" s="4"/>
      <c r="HW99" s="8"/>
      <c r="HX99" s="5" t="str">
        <f t="shared" si="323"/>
        <v>NO APLICA</v>
      </c>
      <c r="HY99" s="6"/>
      <c r="HZ99" s="6"/>
      <c r="IA99" s="4"/>
      <c r="IB99" s="8"/>
      <c r="IC99" s="5" t="str">
        <f t="shared" si="324"/>
        <v>NO APLICA</v>
      </c>
      <c r="ID99" s="6"/>
      <c r="IE99" s="4"/>
      <c r="IF99" s="4"/>
      <c r="IG99" s="8"/>
      <c r="IH99" s="5" t="str">
        <f t="shared" si="325"/>
        <v>NO APLICA</v>
      </c>
      <c r="II99" s="6"/>
      <c r="IJ99" s="6"/>
      <c r="IK99" s="4"/>
      <c r="IL99" s="6"/>
      <c r="IM99" s="5" t="str">
        <f t="shared" si="326"/>
        <v>NO APLICA</v>
      </c>
      <c r="IN99" s="6"/>
      <c r="IO99" s="6"/>
      <c r="IP99" s="4"/>
      <c r="IQ99" s="8"/>
      <c r="IR99" s="5" t="str">
        <f t="shared" si="327"/>
        <v>NO APLICA</v>
      </c>
      <c r="IS99" s="6"/>
      <c r="IT99" s="4">
        <v>45402</v>
      </c>
      <c r="IU99" s="4">
        <f>DATE(YEAR(IT99)+5,MONTH(IT99),DAY(IT99))</f>
        <v>47228</v>
      </c>
      <c r="IV99" s="8">
        <f ca="1">IU99-TODAY()</f>
        <v>1083</v>
      </c>
      <c r="IW99" s="5" t="str">
        <f t="shared" ca="1" si="328"/>
        <v>VIGENTE</v>
      </c>
      <c r="IX99" s="6"/>
      <c r="IY99" s="6"/>
      <c r="IZ99" s="4"/>
      <c r="JA99" s="8"/>
      <c r="JB99" s="5" t="str">
        <f t="shared" si="329"/>
        <v>NO APLICA</v>
      </c>
      <c r="JC99" s="3" t="s">
        <v>780</v>
      </c>
      <c r="JD99" s="3"/>
      <c r="JE99" s="4"/>
      <c r="JF99" s="8"/>
      <c r="JG99" s="5"/>
      <c r="JH99" s="3" t="s">
        <v>780</v>
      </c>
      <c r="JI99" s="6"/>
      <c r="JJ99" s="6"/>
      <c r="JK99" s="6"/>
      <c r="JL99" s="5"/>
      <c r="JM99" s="6" t="s">
        <v>780</v>
      </c>
      <c r="JN99" s="6"/>
      <c r="JO99" s="6"/>
      <c r="JP99" s="6"/>
      <c r="JQ99" s="5"/>
      <c r="JR99" s="6" t="s">
        <v>780</v>
      </c>
      <c r="JS99" s="6"/>
      <c r="JT99" s="6"/>
      <c r="JU99" s="6"/>
      <c r="JV99" s="5"/>
      <c r="JW99" s="6" t="s">
        <v>780</v>
      </c>
      <c r="JX99" s="5"/>
      <c r="JY99" s="5"/>
      <c r="JZ99" s="5"/>
      <c r="KA99" s="5"/>
      <c r="KB99" s="5"/>
      <c r="KC99" s="2"/>
      <c r="KD99" s="4"/>
      <c r="KE99" s="8"/>
      <c r="KF99" s="5" t="str">
        <f t="shared" si="330"/>
        <v>NO APLICA</v>
      </c>
      <c r="KG99" s="5"/>
      <c r="KH99" s="3">
        <v>45328</v>
      </c>
      <c r="KI99" s="4">
        <f>DATE(YEAR(KH99)+5,MONTH(KH99),DAY(KH99)-1)</f>
        <v>47154</v>
      </c>
      <c r="KJ99" s="8">
        <f ca="1">KI99-TODAY()</f>
        <v>1009</v>
      </c>
      <c r="KK99" s="5" t="str">
        <f t="shared" ca="1" si="356"/>
        <v>VIGENTE</v>
      </c>
      <c r="KL99" s="5"/>
      <c r="KM99" s="2"/>
      <c r="KN99" s="4"/>
      <c r="KO99" s="8"/>
      <c r="KP99" s="5" t="str">
        <f t="shared" si="331"/>
        <v>NO APLICA</v>
      </c>
      <c r="KQ99" s="5"/>
      <c r="KR99" s="3">
        <v>45346</v>
      </c>
      <c r="KS99" s="4">
        <f>DATE(YEAR(KR99)+5,MONTH(KR99),DAY(KR99))</f>
        <v>47173</v>
      </c>
      <c r="KT99" s="8">
        <f ca="1">KS99-TODAY()</f>
        <v>1028</v>
      </c>
      <c r="KU99" s="5" t="str">
        <f t="shared" ca="1" si="357"/>
        <v>VIGENTE</v>
      </c>
      <c r="KV99" s="6"/>
      <c r="KW99" s="6"/>
      <c r="KX99" s="4"/>
      <c r="KY99" s="6"/>
      <c r="KZ99" s="5" t="str">
        <f t="shared" si="366"/>
        <v>NO APLICA</v>
      </c>
      <c r="LA99" s="5"/>
      <c r="LB99" s="6"/>
      <c r="LC99" s="4"/>
      <c r="LD99" s="6"/>
      <c r="LE99" s="5" t="str">
        <f t="shared" si="358"/>
        <v>NO APLICA</v>
      </c>
      <c r="LF99" s="6"/>
      <c r="LG99" s="4"/>
      <c r="LH99" s="4"/>
      <c r="LI99" s="8"/>
      <c r="LJ99" s="5" t="str">
        <f t="shared" si="332"/>
        <v>NO APLICA</v>
      </c>
      <c r="LK99" s="5"/>
      <c r="LL99" s="5"/>
      <c r="LM99" s="4"/>
      <c r="LN99" s="8"/>
      <c r="LO99" s="5" t="str">
        <f t="shared" si="367"/>
        <v>NO APLICA</v>
      </c>
      <c r="LP99" s="6"/>
      <c r="LQ99" s="6"/>
      <c r="LR99" s="4"/>
      <c r="LS99" s="8"/>
      <c r="LT99" s="5" t="str">
        <f t="shared" si="359"/>
        <v>NO APLICA</v>
      </c>
      <c r="LU99" s="6"/>
      <c r="LV99" s="6"/>
      <c r="LW99" s="4"/>
      <c r="LX99" s="6"/>
      <c r="LY99" s="5" t="str">
        <f t="shared" si="360"/>
        <v>NO APLICA</v>
      </c>
      <c r="LZ99" s="6"/>
      <c r="MA99" s="6"/>
      <c r="MB99" s="4"/>
      <c r="MC99" s="6"/>
      <c r="MD99" s="5" t="str">
        <f t="shared" si="361"/>
        <v>NO APLICA</v>
      </c>
      <c r="ME99" s="6"/>
      <c r="MF99" s="6"/>
      <c r="MG99" s="4"/>
      <c r="MH99" s="6"/>
      <c r="MI99" s="5" t="str">
        <f t="shared" si="333"/>
        <v>NO APLICA</v>
      </c>
      <c r="MJ99" s="6"/>
      <c r="MK99" s="6"/>
      <c r="ML99" s="4"/>
      <c r="MM99" s="6"/>
      <c r="MN99" s="5" t="str">
        <f t="shared" si="334"/>
        <v>NO APLICA</v>
      </c>
      <c r="MO99" s="5"/>
      <c r="MP99" s="6"/>
      <c r="MQ99" s="4"/>
      <c r="MR99" s="6"/>
      <c r="MS99" s="5" t="str">
        <f t="shared" si="335"/>
        <v>NO APLICA</v>
      </c>
      <c r="MT99" s="5"/>
      <c r="MU99" s="6"/>
      <c r="MV99" s="6"/>
      <c r="MW99" s="6"/>
      <c r="MX99" s="5" t="str">
        <f t="shared" si="336"/>
        <v>NO APLICA</v>
      </c>
      <c r="MY99" s="6"/>
      <c r="MZ99" s="6"/>
      <c r="NA99" s="4"/>
      <c r="NB99" s="6"/>
      <c r="NC99" s="5" t="str">
        <f t="shared" si="337"/>
        <v>NO APLICA</v>
      </c>
      <c r="ND99" s="6"/>
      <c r="NE99" s="6"/>
      <c r="NF99" s="4"/>
      <c r="NG99" s="6"/>
      <c r="NH99" s="5" t="str">
        <f t="shared" si="338"/>
        <v>NO APLICA</v>
      </c>
      <c r="NI99" s="6"/>
      <c r="NJ99" s="6"/>
      <c r="NK99" s="4"/>
      <c r="NL99" s="6"/>
      <c r="NM99" s="5" t="str">
        <f t="shared" si="339"/>
        <v>NO APLICA</v>
      </c>
      <c r="NN99" s="6"/>
      <c r="NO99" s="6"/>
      <c r="NP99" s="4"/>
      <c r="NQ99" s="6"/>
      <c r="NR99" s="5" t="str">
        <f t="shared" si="340"/>
        <v>NO APLICA</v>
      </c>
      <c r="NS99" s="6"/>
      <c r="NT99" s="6"/>
      <c r="NU99" s="4"/>
      <c r="NV99" s="6"/>
      <c r="NW99" s="5" t="str">
        <f t="shared" si="341"/>
        <v>NO APLICA</v>
      </c>
      <c r="NX99" s="6"/>
      <c r="NY99" s="6"/>
      <c r="NZ99" s="4"/>
      <c r="OA99" s="8"/>
      <c r="OB99" s="5" t="str">
        <f t="shared" si="342"/>
        <v>NO APLICA</v>
      </c>
      <c r="OC99" s="6"/>
      <c r="OD99" s="6"/>
      <c r="OE99" s="6"/>
      <c r="OF99" s="6"/>
      <c r="OG99" s="5" t="str">
        <f t="shared" si="343"/>
        <v>NO APLICA</v>
      </c>
      <c r="OH99" s="6"/>
      <c r="OI99" s="6"/>
      <c r="OJ99" s="6"/>
      <c r="OK99" s="6"/>
      <c r="OL99" s="5" t="str">
        <f t="shared" si="344"/>
        <v>NO APLICA</v>
      </c>
      <c r="OM99" s="6"/>
      <c r="ON99" s="6"/>
      <c r="OO99" s="6"/>
      <c r="OP99" s="6"/>
      <c r="OQ99" s="5" t="str">
        <f t="shared" si="345"/>
        <v>NO APLICA</v>
      </c>
      <c r="OR99" s="6"/>
      <c r="OS99" s="6"/>
      <c r="OT99" s="6"/>
      <c r="OU99" s="6"/>
      <c r="OV99" s="5" t="str">
        <f t="shared" si="346"/>
        <v>NO APLICA</v>
      </c>
      <c r="OW99" s="6"/>
      <c r="OX99" s="6"/>
      <c r="OY99" s="6"/>
      <c r="OZ99" s="6"/>
      <c r="PA99" s="5" t="str">
        <f t="shared" si="347"/>
        <v>NO APLICA</v>
      </c>
      <c r="PB99" s="6"/>
      <c r="PC99" s="6"/>
      <c r="PD99" s="6"/>
      <c r="PE99" s="6"/>
      <c r="PF99" s="5" t="str">
        <f t="shared" si="348"/>
        <v>NO APLICA</v>
      </c>
      <c r="PG99" s="6"/>
      <c r="PH99" s="6"/>
      <c r="PI99" s="6"/>
      <c r="PJ99" s="6"/>
      <c r="PK99" s="5" t="str">
        <f t="shared" si="349"/>
        <v>NO APLICA</v>
      </c>
      <c r="PL99" s="5"/>
      <c r="PM99" s="6"/>
      <c r="PN99" s="6"/>
      <c r="PO99" s="6"/>
      <c r="PP99" s="5" t="str">
        <f t="shared" si="350"/>
        <v>NO APLICA</v>
      </c>
      <c r="PQ99" s="6"/>
      <c r="PR99" s="6"/>
      <c r="PS99" s="6"/>
      <c r="PT99" s="6"/>
      <c r="PU99" s="5" t="str">
        <f t="shared" si="351"/>
        <v>NO APLICA</v>
      </c>
      <c r="PV99" s="5"/>
      <c r="PW99" s="6"/>
      <c r="PX99" s="6"/>
      <c r="PY99" s="6"/>
      <c r="PZ99" s="5" t="str">
        <f t="shared" si="352"/>
        <v>NO APLICA</v>
      </c>
    </row>
    <row r="100" spans="1:442" ht="15.6" hidden="1" thickTop="1" thickBot="1" x14ac:dyDescent="0.35">
      <c r="A100" s="26">
        <v>97</v>
      </c>
      <c r="B100" s="27">
        <v>996</v>
      </c>
      <c r="C100" s="28" t="s">
        <v>346</v>
      </c>
      <c r="D100" s="29" t="s">
        <v>68</v>
      </c>
      <c r="E100" s="30" t="s">
        <v>122</v>
      </c>
      <c r="F100" s="5"/>
      <c r="G100" s="6"/>
      <c r="H100" s="4"/>
      <c r="I100" s="8"/>
      <c r="J100" s="5" t="str">
        <f t="shared" si="242"/>
        <v>NO APLICA</v>
      </c>
      <c r="K100" s="5"/>
      <c r="L100" s="6"/>
      <c r="M100" s="6"/>
      <c r="N100" s="8"/>
      <c r="O100" s="5" t="str">
        <f t="shared" si="243"/>
        <v>NO APLICA</v>
      </c>
      <c r="P100" s="6"/>
      <c r="Q100" s="6"/>
      <c r="R100" s="4"/>
      <c r="S100" s="8"/>
      <c r="T100" s="5" t="str">
        <f t="shared" si="353"/>
        <v>NO APLICA</v>
      </c>
      <c r="U100" s="5"/>
      <c r="V100" s="2" t="s">
        <v>347</v>
      </c>
      <c r="W100" s="4">
        <v>45500</v>
      </c>
      <c r="X100" s="4">
        <f t="shared" si="244"/>
        <v>47326</v>
      </c>
      <c r="Y100" s="8">
        <f t="shared" ca="1" si="245"/>
        <v>1181</v>
      </c>
      <c r="Z100" s="5" t="str">
        <f t="shared" ca="1" si="246"/>
        <v>VIGENTE</v>
      </c>
      <c r="AA100" s="5"/>
      <c r="AB100" s="2" t="s">
        <v>348</v>
      </c>
      <c r="AC100" s="4">
        <v>44603</v>
      </c>
      <c r="AD100" s="4">
        <f>DATE(YEAR(AC100)+5,MONTH(AC100),DAY(AC100))</f>
        <v>46429</v>
      </c>
      <c r="AE100" s="8">
        <f ca="1">AD100-TODAY()</f>
        <v>284</v>
      </c>
      <c r="AF100" s="5" t="str">
        <f t="shared" ca="1" si="247"/>
        <v>VIGENTE</v>
      </c>
      <c r="AG100" s="3"/>
      <c r="AH100" s="4">
        <v>45902</v>
      </c>
      <c r="AI100" s="4">
        <f>DATE(YEAR(AH100)+2,MONTH(AH100),DAY(AH100))</f>
        <v>46632</v>
      </c>
      <c r="AJ100" s="8">
        <f t="shared" ca="1" si="248"/>
        <v>487</v>
      </c>
      <c r="AK100" s="5" t="str">
        <f t="shared" ca="1" si="219"/>
        <v>VIGENTE</v>
      </c>
      <c r="AL100" s="3"/>
      <c r="AM100" s="4">
        <v>45926</v>
      </c>
      <c r="AN100" s="4">
        <f>DATE(YEAR(AM100)+2,MONTH(AM100),DAY(AM100))</f>
        <v>46656</v>
      </c>
      <c r="AO100" s="8">
        <f t="shared" ca="1" si="249"/>
        <v>511</v>
      </c>
      <c r="AP100" s="5" t="str">
        <f t="shared" ca="1" si="250"/>
        <v>VIGENTE</v>
      </c>
      <c r="AQ100" s="3"/>
      <c r="AR100" s="4">
        <v>45904</v>
      </c>
      <c r="AS100" s="4">
        <f>DATE(YEAR(AR100)+2,MONTH(AR100),DAY(AR100))</f>
        <v>46634</v>
      </c>
      <c r="AT100" s="8">
        <f t="shared" ca="1" si="251"/>
        <v>489</v>
      </c>
      <c r="AU100" s="5" t="str">
        <f t="shared" ca="1" si="252"/>
        <v>VIGENTE</v>
      </c>
      <c r="AV100" s="3"/>
      <c r="AW100" s="4">
        <v>45990</v>
      </c>
      <c r="AX100" s="4">
        <f>DATE(YEAR(AW100)+2,MONTH(AW100),DAY(AW100))</f>
        <v>46720</v>
      </c>
      <c r="AY100" s="8">
        <f t="shared" ca="1" si="253"/>
        <v>575</v>
      </c>
      <c r="AZ100" s="5" t="str">
        <f t="shared" ca="1" si="254"/>
        <v>VIGENTE</v>
      </c>
      <c r="BA100" s="3"/>
      <c r="BB100" s="4">
        <v>45980</v>
      </c>
      <c r="BC100" s="4">
        <f>DATE(YEAR(BB100)+2,MONTH(BB100),DAY(BB100))</f>
        <v>46710</v>
      </c>
      <c r="BD100" s="8">
        <f t="shared" ca="1" si="255"/>
        <v>565</v>
      </c>
      <c r="BE100" s="5" t="str">
        <f t="shared" ca="1" si="256"/>
        <v>VIGENTE</v>
      </c>
      <c r="BF100" s="3"/>
      <c r="BG100" s="4">
        <v>45987</v>
      </c>
      <c r="BH100" s="4">
        <f>DATE(YEAR(BG100)+2,MONTH(BG100),DAY(BG100))</f>
        <v>46717</v>
      </c>
      <c r="BI100" s="8">
        <f t="shared" ca="1" si="257"/>
        <v>572</v>
      </c>
      <c r="BJ100" s="5" t="str">
        <f t="shared" ca="1" si="258"/>
        <v>VIGENTE</v>
      </c>
      <c r="BK100" s="3"/>
      <c r="BL100" s="4">
        <v>46035</v>
      </c>
      <c r="BM100" s="4">
        <f>DATE(YEAR(BL100)+2,MONTH(BL100),DAY(BL100))</f>
        <v>46765</v>
      </c>
      <c r="BN100" s="8">
        <f t="shared" ca="1" si="259"/>
        <v>620</v>
      </c>
      <c r="BO100" s="5" t="str">
        <f t="shared" ca="1" si="260"/>
        <v>VIGENTE</v>
      </c>
      <c r="BP100" s="3"/>
      <c r="BQ100" s="39">
        <v>46069</v>
      </c>
      <c r="BR100" s="4">
        <f>DATE(YEAR(BQ100)+2,MONTH(BQ100),DAY(BQ100))</f>
        <v>46799</v>
      </c>
      <c r="BS100" s="8">
        <f t="shared" ca="1" si="261"/>
        <v>654</v>
      </c>
      <c r="BT100" s="5" t="str">
        <f t="shared" ca="1" si="262"/>
        <v>VIGENTE</v>
      </c>
      <c r="BU100" s="3"/>
      <c r="BV100" s="4">
        <v>45871</v>
      </c>
      <c r="BW100" s="4">
        <f>DATE(YEAR(BV100)+2,MONTH(BV100),DAY(BV100))</f>
        <v>46601</v>
      </c>
      <c r="BX100" s="8">
        <f t="shared" ca="1" si="263"/>
        <v>456</v>
      </c>
      <c r="BY100" s="5" t="str">
        <f t="shared" ca="1" si="264"/>
        <v>VIGENTE</v>
      </c>
      <c r="BZ100" s="3"/>
      <c r="CA100" s="4">
        <v>45954</v>
      </c>
      <c r="CB100" s="4">
        <f>DATE(YEAR(CA100)+2,MONTH(CA100),DAY(CA100))</f>
        <v>46684</v>
      </c>
      <c r="CC100" s="8">
        <f t="shared" ca="1" si="265"/>
        <v>539</v>
      </c>
      <c r="CD100" s="5" t="str">
        <f t="shared" ca="1" si="266"/>
        <v>VIGENTE</v>
      </c>
      <c r="CE100" s="6"/>
      <c r="CF100" s="4">
        <v>45301</v>
      </c>
      <c r="CG100" s="4">
        <f t="shared" si="387"/>
        <v>46762</v>
      </c>
      <c r="CH100" s="8">
        <f t="shared" ca="1" si="388"/>
        <v>617</v>
      </c>
      <c r="CI100" s="5" t="str">
        <f t="shared" ca="1" si="269"/>
        <v>VIGENTE</v>
      </c>
      <c r="CJ100" s="4"/>
      <c r="CK100" s="4">
        <v>45929</v>
      </c>
      <c r="CL100" s="4">
        <f>DATE(YEAR(CK100)+2,MONTH(CK100),DAY(CK100))</f>
        <v>46659</v>
      </c>
      <c r="CM100" s="8">
        <f t="shared" ca="1" si="270"/>
        <v>514</v>
      </c>
      <c r="CN100" s="5" t="str">
        <f t="shared" ca="1" si="271"/>
        <v>VIGENTE</v>
      </c>
      <c r="CO100" s="3"/>
      <c r="CP100" s="39">
        <v>45898</v>
      </c>
      <c r="CQ100" s="4">
        <f>DATE(YEAR(CP100)+2,MONTH(CP100),DAY(CP100))</f>
        <v>46628</v>
      </c>
      <c r="CR100" s="8">
        <f t="shared" ca="1" si="272"/>
        <v>483</v>
      </c>
      <c r="CS100" s="5" t="str">
        <f t="shared" ca="1" si="273"/>
        <v>VIGENTE</v>
      </c>
      <c r="CT100" s="4"/>
      <c r="CU100" s="4">
        <v>45631</v>
      </c>
      <c r="CV100" s="4">
        <f>DATE(YEAR(CU100)+2,MONTH(CU100),DAY(CU100)-1)</f>
        <v>46360</v>
      </c>
      <c r="CW100" s="8">
        <f t="shared" ca="1" si="274"/>
        <v>215</v>
      </c>
      <c r="CX100" s="5" t="str">
        <f t="shared" ca="1" si="275"/>
        <v>VIGENTE</v>
      </c>
      <c r="CY100" s="3"/>
      <c r="CZ100" s="4">
        <v>45665</v>
      </c>
      <c r="DA100" s="4">
        <f t="shared" si="399"/>
        <v>46394</v>
      </c>
      <c r="DB100" s="8">
        <f t="shared" ca="1" si="276"/>
        <v>249</v>
      </c>
      <c r="DC100" s="5" t="str">
        <f t="shared" ca="1" si="277"/>
        <v>VIGENTE</v>
      </c>
      <c r="DD100" s="4"/>
      <c r="DE100" s="39">
        <v>45689</v>
      </c>
      <c r="DF100" s="4">
        <f>DATE(YEAR(DE100)+2,MONTH(DE100),DAY(DE100)-1)</f>
        <v>46418</v>
      </c>
      <c r="DG100" s="8">
        <f t="shared" ca="1" si="278"/>
        <v>273</v>
      </c>
      <c r="DH100" s="5" t="str">
        <f t="shared" ca="1" si="279"/>
        <v>VIGENTE</v>
      </c>
      <c r="DI100" s="3"/>
      <c r="DJ100" s="39">
        <v>45899</v>
      </c>
      <c r="DK100" s="4">
        <f>DATE(YEAR(DJ100)+2,MONTH(DJ100),DAY(DJ100))</f>
        <v>46629</v>
      </c>
      <c r="DL100" s="8">
        <f t="shared" ca="1" si="280"/>
        <v>484</v>
      </c>
      <c r="DM100" s="5" t="str">
        <f t="shared" ca="1" si="281"/>
        <v>VIGENTE</v>
      </c>
      <c r="DN100" s="3"/>
      <c r="DO100" s="4">
        <v>46128</v>
      </c>
      <c r="DP100" s="4">
        <f>DATE(YEAR(DO100)+2,MONTH(DO100),DAY(DO100)-1)</f>
        <v>46858</v>
      </c>
      <c r="DQ100" s="8">
        <f t="shared" ca="1" si="282"/>
        <v>713</v>
      </c>
      <c r="DR100" s="5" t="str">
        <f t="shared" ca="1" si="283"/>
        <v>VIGENTE</v>
      </c>
      <c r="DS100" s="3"/>
      <c r="DT100" s="4">
        <v>45852</v>
      </c>
      <c r="DU100" s="4">
        <f>DATE(YEAR(DT100)+2,MONTH(DT100),DAY(DT100)-1)</f>
        <v>46581</v>
      </c>
      <c r="DV100" s="8">
        <f t="shared" ca="1" si="284"/>
        <v>436</v>
      </c>
      <c r="DW100" s="5" t="str">
        <f t="shared" ca="1" si="285"/>
        <v>VIGENTE</v>
      </c>
      <c r="DX100" s="3"/>
      <c r="DY100" s="4">
        <v>45934</v>
      </c>
      <c r="DZ100" s="4">
        <f>DATE(YEAR(DY100)+2,MONTH(DY100),DAY(DY100))</f>
        <v>46664</v>
      </c>
      <c r="EA100" s="8">
        <f t="shared" ca="1" si="286"/>
        <v>519</v>
      </c>
      <c r="EB100" s="5" t="str">
        <f t="shared" ca="1" si="287"/>
        <v>VIGENTE</v>
      </c>
      <c r="EC100" s="3"/>
      <c r="ED100" s="39">
        <v>45883</v>
      </c>
      <c r="EE100" s="4">
        <f>DATE(YEAR(ED100)+2,MONTH(ED100),DAY(ED100))</f>
        <v>46613</v>
      </c>
      <c r="EF100" s="8">
        <f t="shared" ca="1" si="288"/>
        <v>468</v>
      </c>
      <c r="EG100" s="5" t="str">
        <f t="shared" ca="1" si="289"/>
        <v>VIGENTE</v>
      </c>
      <c r="EH100" s="3"/>
      <c r="EI100" s="3">
        <v>46002</v>
      </c>
      <c r="EJ100" s="4">
        <f t="shared" si="355"/>
        <v>46367</v>
      </c>
      <c r="EK100" s="8">
        <f t="shared" ca="1" si="290"/>
        <v>222</v>
      </c>
      <c r="EL100" s="5" t="str">
        <f t="shared" ca="1" si="291"/>
        <v>VIGENTE</v>
      </c>
      <c r="EM100" s="3"/>
      <c r="EN100" s="4">
        <v>45966</v>
      </c>
      <c r="EO100" s="4">
        <f>DATE(YEAR(EN100)+2,MONTH(EN100),DAY(EN100))</f>
        <v>46696</v>
      </c>
      <c r="EP100" s="8">
        <f t="shared" ca="1" si="292"/>
        <v>551</v>
      </c>
      <c r="EQ100" s="5" t="str">
        <f t="shared" ca="1" si="293"/>
        <v>VIGENTE</v>
      </c>
      <c r="ER100" s="3"/>
      <c r="ES100" s="39">
        <v>45999</v>
      </c>
      <c r="ET100" s="4">
        <f>DATE(YEAR(ES100)+2,MONTH(ES100),DAY(ES100))</f>
        <v>46729</v>
      </c>
      <c r="EU100" s="8">
        <f t="shared" ca="1" si="294"/>
        <v>584</v>
      </c>
      <c r="EV100" s="5" t="str">
        <f t="shared" ca="1" si="295"/>
        <v>VIGENTE</v>
      </c>
      <c r="EW100" s="3"/>
      <c r="EX100" s="4">
        <v>45953</v>
      </c>
      <c r="EY100" s="4">
        <f>DATE(YEAR(EX100)+2,MONTH(EX100),DAY(EX100))</f>
        <v>46683</v>
      </c>
      <c r="EZ100" s="8">
        <f t="shared" ca="1" si="296"/>
        <v>538</v>
      </c>
      <c r="FA100" s="5" t="str">
        <f t="shared" ca="1" si="297"/>
        <v>VIGENTE</v>
      </c>
      <c r="FB100" s="3"/>
      <c r="FC100" s="4">
        <v>45922</v>
      </c>
      <c r="FD100" s="4">
        <f>DATE(YEAR(FC100)+2,MONTH(FC100),DAY(FC100))</f>
        <v>46652</v>
      </c>
      <c r="FE100" s="8">
        <f t="shared" ca="1" si="298"/>
        <v>507</v>
      </c>
      <c r="FF100" s="5" t="str">
        <f t="shared" ca="1" si="299"/>
        <v>VIGENTE</v>
      </c>
      <c r="FG100" s="3"/>
      <c r="FH100" s="4">
        <v>45962</v>
      </c>
      <c r="FI100" s="4">
        <f>DATE(YEAR(FH100)+2,MONTH(FH100),DAY(FH100))</f>
        <v>46692</v>
      </c>
      <c r="FJ100" s="8">
        <f t="shared" ca="1" si="300"/>
        <v>547</v>
      </c>
      <c r="FK100" s="5" t="str">
        <f t="shared" ca="1" si="301"/>
        <v>VIGENTE</v>
      </c>
      <c r="FL100" s="3"/>
      <c r="FM100" s="39">
        <v>45920</v>
      </c>
      <c r="FN100" s="4">
        <f>DATE(YEAR(FM100)+2,MONTH(FM100),DAY(FM100))</f>
        <v>46650</v>
      </c>
      <c r="FO100" s="8">
        <f t="shared" ca="1" si="302"/>
        <v>505</v>
      </c>
      <c r="FP100" s="5" t="str">
        <f t="shared" ca="1" si="303"/>
        <v>VIGENTE</v>
      </c>
      <c r="FQ100" s="3"/>
      <c r="FR100" s="39">
        <v>45957</v>
      </c>
      <c r="FS100" s="4">
        <f>DATE(YEAR(FR100)+2,MONTH(FR100),DAY(FR100))</f>
        <v>46687</v>
      </c>
      <c r="FT100" s="8">
        <f t="shared" ca="1" si="304"/>
        <v>542</v>
      </c>
      <c r="FU100" s="5" t="str">
        <f t="shared" ca="1" si="305"/>
        <v>VIGENTE</v>
      </c>
      <c r="FV100" s="4"/>
      <c r="FW100" s="4">
        <v>45574</v>
      </c>
      <c r="FX100" s="4">
        <f t="shared" si="400"/>
        <v>46303</v>
      </c>
      <c r="FY100" s="8">
        <f t="shared" ca="1" si="306"/>
        <v>158</v>
      </c>
      <c r="FZ100" s="5" t="str">
        <f t="shared" ca="1" si="307"/>
        <v>VIGENTE</v>
      </c>
      <c r="GA100" s="3"/>
      <c r="GB100" s="4">
        <v>46030</v>
      </c>
      <c r="GC100" s="4">
        <f>DATE(YEAR(GB100)+2,MONTH(GB100),DAY(GB100))</f>
        <v>46760</v>
      </c>
      <c r="GD100" s="8">
        <f t="shared" ca="1" si="308"/>
        <v>615</v>
      </c>
      <c r="GE100" s="5" t="str">
        <f t="shared" ca="1" si="309"/>
        <v>VIGENTE</v>
      </c>
      <c r="GF100" s="3"/>
      <c r="GG100" s="4">
        <v>45960</v>
      </c>
      <c r="GH100" s="4">
        <f>DATE(YEAR(GG100)+2,MONTH(GG100),DAY(GG100))</f>
        <v>46690</v>
      </c>
      <c r="GI100" s="8">
        <f t="shared" ca="1" si="310"/>
        <v>545</v>
      </c>
      <c r="GJ100" s="5" t="str">
        <f t="shared" ca="1" si="311"/>
        <v>VIGENTE</v>
      </c>
      <c r="GK100" s="3"/>
      <c r="GL100" s="4">
        <v>45958</v>
      </c>
      <c r="GM100" s="4">
        <f>DATE(YEAR(GL100)+2,MONTH(GL100),DAY(GL100))</f>
        <v>46688</v>
      </c>
      <c r="GN100" s="8">
        <f t="shared" ca="1" si="312"/>
        <v>543</v>
      </c>
      <c r="GO100" s="5" t="str">
        <f t="shared" ca="1" si="313"/>
        <v>VIGENTE</v>
      </c>
      <c r="GP100" s="4"/>
      <c r="GQ100" s="4">
        <v>45265</v>
      </c>
      <c r="GR100" s="4">
        <f t="shared" si="314"/>
        <v>47092</v>
      </c>
      <c r="GS100" s="8">
        <f t="shared" ca="1" si="384"/>
        <v>947</v>
      </c>
      <c r="GT100" s="5" t="str">
        <f t="shared" ca="1" si="378"/>
        <v>VIGENTE</v>
      </c>
      <c r="GU100" s="3"/>
      <c r="GV100" s="4">
        <v>45329</v>
      </c>
      <c r="GW100" s="4">
        <f t="shared" si="316"/>
        <v>47156</v>
      </c>
      <c r="GX100" s="8">
        <f t="shared" ca="1" si="317"/>
        <v>1011</v>
      </c>
      <c r="GY100" s="5" t="str">
        <f t="shared" ca="1" si="379"/>
        <v>VIGENTE</v>
      </c>
      <c r="GZ100" s="3"/>
      <c r="HA100" s="4">
        <v>45268</v>
      </c>
      <c r="HB100" s="4">
        <f t="shared" si="319"/>
        <v>47095</v>
      </c>
      <c r="HC100" s="8">
        <f t="shared" ca="1" si="320"/>
        <v>950</v>
      </c>
      <c r="HD100" s="5" t="str">
        <f t="shared" ref="HD100:HD105" ca="1" si="401">IF(HC100&gt;=91,"VIGENTE",IF(HC100&gt;=1,"POR VENCER",IF(HC100&lt;=-1,"VENCIDA",IF(HA100=0,"NO APLICA"))))</f>
        <v>VIGENTE</v>
      </c>
      <c r="HE100" s="6"/>
      <c r="HF100" s="4">
        <v>44876</v>
      </c>
      <c r="HG100" s="4">
        <f t="shared" ref="HG100:HG104" si="402">DATE(YEAR(HF100)+5,MONTH(HF100),DAY(HF100))</f>
        <v>46702</v>
      </c>
      <c r="HH100" s="8">
        <f t="shared" ref="HH100:HH104" ca="1" si="403">HG100-TODAY()</f>
        <v>557</v>
      </c>
      <c r="HI100" s="5" t="str">
        <f t="shared" ref="HI100:HI105" ca="1" si="404">IF(HH100&gt;=61,"VIGENTE",IF(HH100&gt;=1,"POR VENCER",IF(HH100&lt;=-1,"VENCIDA",IF(HF100=0,"NO APLICA"))))</f>
        <v>VIGENTE</v>
      </c>
      <c r="HJ100" s="2"/>
      <c r="HK100" s="6"/>
      <c r="HL100" s="4"/>
      <c r="HM100" s="8"/>
      <c r="HN100" s="5" t="str">
        <f t="shared" si="385"/>
        <v>NO APLICA</v>
      </c>
      <c r="HO100" s="2"/>
      <c r="HP100" s="2"/>
      <c r="HQ100" s="4"/>
      <c r="HR100" s="2"/>
      <c r="HS100" s="5" t="str">
        <f t="shared" si="322"/>
        <v>NO APLICA</v>
      </c>
      <c r="HT100" s="3"/>
      <c r="HU100" s="4">
        <v>45306</v>
      </c>
      <c r="HV100" s="4">
        <f>DATE(YEAR(HU100)+5,MONTH(HU100),DAY(HU100))</f>
        <v>47133</v>
      </c>
      <c r="HW100" s="8">
        <f ca="1">HV100-TODAY()</f>
        <v>988</v>
      </c>
      <c r="HX100" s="5" t="str">
        <f t="shared" ca="1" si="323"/>
        <v>VIGENTE</v>
      </c>
      <c r="HY100" s="3"/>
      <c r="HZ100" s="4">
        <v>45475</v>
      </c>
      <c r="IA100" s="4">
        <f>DATE(YEAR(HZ100)+5,MONTH(HZ100),DAY(HZ100))</f>
        <v>47301</v>
      </c>
      <c r="IB100" s="8">
        <f ca="1">IA100-TODAY()</f>
        <v>1156</v>
      </c>
      <c r="IC100" s="5" t="str">
        <f t="shared" ca="1" si="324"/>
        <v>VIGENTE</v>
      </c>
      <c r="ID100" s="3"/>
      <c r="IE100" s="4">
        <v>45483</v>
      </c>
      <c r="IF100" s="4">
        <f>DATE(YEAR(IE100)+5,MONTH(IE100),DAY(IE100))</f>
        <v>47309</v>
      </c>
      <c r="IG100" s="8">
        <f ca="1">IF100-TODAY()</f>
        <v>1164</v>
      </c>
      <c r="IH100" s="5" t="str">
        <f t="shared" ca="1" si="325"/>
        <v>VIGENTE</v>
      </c>
      <c r="II100" s="4"/>
      <c r="IJ100" s="4">
        <v>45429</v>
      </c>
      <c r="IK100" s="4">
        <f>DATE(YEAR(IJ100)+5,MONTH(IJ100),DAY(IJ100))</f>
        <v>47255</v>
      </c>
      <c r="IL100" s="8">
        <f ca="1">IK100-TODAY()</f>
        <v>1110</v>
      </c>
      <c r="IM100" s="5" t="str">
        <f t="shared" ca="1" si="326"/>
        <v>VIGENTE</v>
      </c>
      <c r="IN100" s="3"/>
      <c r="IO100" s="4">
        <v>45460</v>
      </c>
      <c r="IP100" s="4">
        <f>DATE(YEAR(IO100)+5,MONTH(IO100),DAY(IO100))</f>
        <v>47286</v>
      </c>
      <c r="IQ100" s="8">
        <f ca="1">IP100-TODAY()</f>
        <v>1141</v>
      </c>
      <c r="IR100" s="5" t="str">
        <f t="shared" ca="1" si="327"/>
        <v>VIGENTE</v>
      </c>
      <c r="IS100" s="3"/>
      <c r="IT100" s="4">
        <v>45435</v>
      </c>
      <c r="IU100" s="4">
        <f>DATE(YEAR(IT100)+5,MONTH(IT100),DAY(IT100))</f>
        <v>47261</v>
      </c>
      <c r="IV100" s="8">
        <f ca="1">IU100-TODAY()</f>
        <v>1116</v>
      </c>
      <c r="IW100" s="5" t="str">
        <f t="shared" ca="1" si="328"/>
        <v>VIGENTE</v>
      </c>
      <c r="IX100" s="3"/>
      <c r="IY100" s="4">
        <v>45446</v>
      </c>
      <c r="IZ100" s="4">
        <f>DATE(YEAR(IY100)+5,MONTH(IY100),DAY(IY100))</f>
        <v>47272</v>
      </c>
      <c r="JA100" s="8">
        <f ca="1">IZ100-TODAY()</f>
        <v>1127</v>
      </c>
      <c r="JB100" s="5" t="str">
        <f t="shared" ca="1" si="329"/>
        <v>VIGENTE</v>
      </c>
      <c r="JC100" s="3" t="s">
        <v>780</v>
      </c>
      <c r="JD100" s="3"/>
      <c r="JE100" s="4"/>
      <c r="JF100" s="8"/>
      <c r="JG100" s="5"/>
      <c r="JH100" s="3" t="s">
        <v>780</v>
      </c>
      <c r="JI100" s="4"/>
      <c r="JJ100" s="4"/>
      <c r="JK100" s="8"/>
      <c r="JL100" s="5"/>
      <c r="JM100" s="6" t="s">
        <v>780</v>
      </c>
      <c r="JN100" s="4"/>
      <c r="JO100" s="4"/>
      <c r="JP100" s="8"/>
      <c r="JQ100" s="5"/>
      <c r="JR100" s="6" t="s">
        <v>780</v>
      </c>
      <c r="JS100" s="4"/>
      <c r="JT100" s="4"/>
      <c r="JU100" s="8"/>
      <c r="JV100" s="5"/>
      <c r="JW100" s="6" t="s">
        <v>780</v>
      </c>
      <c r="JX100" s="5"/>
      <c r="JY100" s="5"/>
      <c r="JZ100" s="5"/>
      <c r="KA100" s="5"/>
      <c r="KB100" s="5"/>
      <c r="KC100" s="2"/>
      <c r="KD100" s="4"/>
      <c r="KE100" s="8"/>
      <c r="KF100" s="5" t="str">
        <f t="shared" si="330"/>
        <v>NO APLICA</v>
      </c>
      <c r="KG100" s="5"/>
      <c r="KH100" s="2"/>
      <c r="KI100" s="4"/>
      <c r="KJ100" s="8"/>
      <c r="KK100" s="5" t="str">
        <f t="shared" si="356"/>
        <v>NO APLICA</v>
      </c>
      <c r="KL100" s="5"/>
      <c r="KM100" s="2"/>
      <c r="KN100" s="4"/>
      <c r="KO100" s="8"/>
      <c r="KP100" s="5" t="str">
        <f t="shared" si="331"/>
        <v>NO APLICA</v>
      </c>
      <c r="KQ100" s="5"/>
      <c r="KR100" s="2"/>
      <c r="KS100" s="4"/>
      <c r="KT100" s="8"/>
      <c r="KU100" s="5" t="str">
        <f t="shared" si="357"/>
        <v>NO APLICA</v>
      </c>
      <c r="KV100" s="2"/>
      <c r="KW100" s="6"/>
      <c r="KX100" s="4"/>
      <c r="KY100" s="8"/>
      <c r="KZ100" s="5" t="str">
        <f t="shared" si="366"/>
        <v>NO APLICA</v>
      </c>
      <c r="LA100" s="5"/>
      <c r="LB100" s="6"/>
      <c r="LC100" s="4"/>
      <c r="LD100" s="8"/>
      <c r="LE100" s="5" t="str">
        <f t="shared" si="358"/>
        <v>NO APLICA</v>
      </c>
      <c r="LF100" s="6"/>
      <c r="LG100" s="4"/>
      <c r="LH100" s="4"/>
      <c r="LI100" s="8"/>
      <c r="LJ100" s="5" t="str">
        <f t="shared" si="332"/>
        <v>NO APLICA</v>
      </c>
      <c r="LK100" s="5"/>
      <c r="LL100" s="5"/>
      <c r="LM100" s="4"/>
      <c r="LN100" s="8"/>
      <c r="LO100" s="5" t="str">
        <f t="shared" si="367"/>
        <v>NO APLICA</v>
      </c>
      <c r="LP100" s="2"/>
      <c r="LQ100" s="6"/>
      <c r="LR100" s="4"/>
      <c r="LS100" s="8"/>
      <c r="LT100" s="5" t="str">
        <f t="shared" si="359"/>
        <v>NO APLICA</v>
      </c>
      <c r="LU100" s="6"/>
      <c r="LV100" s="6"/>
      <c r="LW100" s="4"/>
      <c r="LX100" s="8"/>
      <c r="LY100" s="5" t="str">
        <f t="shared" si="360"/>
        <v>NO APLICA</v>
      </c>
      <c r="LZ100" s="6"/>
      <c r="MA100" s="6"/>
      <c r="MB100" s="4"/>
      <c r="MC100" s="8"/>
      <c r="MD100" s="5" t="str">
        <f t="shared" si="361"/>
        <v>NO APLICA</v>
      </c>
      <c r="ME100" s="2"/>
      <c r="MF100" s="2"/>
      <c r="MG100" s="4"/>
      <c r="MH100" s="8"/>
      <c r="MI100" s="5" t="str">
        <f t="shared" si="333"/>
        <v>NO APLICA</v>
      </c>
      <c r="MJ100" s="2"/>
      <c r="MK100" s="2"/>
      <c r="ML100" s="4"/>
      <c r="MM100" s="8"/>
      <c r="MN100" s="5" t="str">
        <f t="shared" si="334"/>
        <v>NO APLICA</v>
      </c>
      <c r="MO100" s="5"/>
      <c r="MP100" s="2"/>
      <c r="MQ100" s="4"/>
      <c r="MR100" s="8"/>
      <c r="MS100" s="5" t="str">
        <f t="shared" si="335"/>
        <v>NO APLICA</v>
      </c>
      <c r="MT100" s="5"/>
      <c r="MU100" s="2"/>
      <c r="MV100" s="4"/>
      <c r="MW100" s="2"/>
      <c r="MX100" s="5" t="str">
        <f t="shared" si="336"/>
        <v>NO APLICA</v>
      </c>
      <c r="MY100" s="2"/>
      <c r="MZ100" s="6"/>
      <c r="NA100" s="4"/>
      <c r="NB100" s="8"/>
      <c r="NC100" s="5" t="str">
        <f t="shared" si="337"/>
        <v>NO APLICA</v>
      </c>
      <c r="ND100" s="2"/>
      <c r="NE100" s="6"/>
      <c r="NF100" s="4"/>
      <c r="NG100" s="8"/>
      <c r="NH100" s="5" t="str">
        <f t="shared" si="338"/>
        <v>NO APLICA</v>
      </c>
      <c r="NI100" s="2"/>
      <c r="NJ100" s="6"/>
      <c r="NK100" s="4"/>
      <c r="NL100" s="8"/>
      <c r="NM100" s="5" t="str">
        <f t="shared" si="339"/>
        <v>NO APLICA</v>
      </c>
      <c r="NN100" s="2"/>
      <c r="NO100" s="2"/>
      <c r="NP100" s="4"/>
      <c r="NQ100" s="2"/>
      <c r="NR100" s="5" t="str">
        <f t="shared" si="340"/>
        <v>NO APLICA</v>
      </c>
      <c r="NS100" s="2"/>
      <c r="NT100" s="2"/>
      <c r="NU100" s="2"/>
      <c r="NV100" s="2"/>
      <c r="NW100" s="5" t="str">
        <f t="shared" si="341"/>
        <v>NO APLICA</v>
      </c>
      <c r="NX100" s="6"/>
      <c r="NY100" s="6"/>
      <c r="NZ100" s="4"/>
      <c r="OA100" s="8"/>
      <c r="OB100" s="5" t="str">
        <f t="shared" si="342"/>
        <v>NO APLICA</v>
      </c>
      <c r="OC100" s="6"/>
      <c r="OD100" s="6"/>
      <c r="OE100" s="6"/>
      <c r="OF100" s="6"/>
      <c r="OG100" s="5" t="str">
        <f t="shared" si="343"/>
        <v>NO APLICA</v>
      </c>
      <c r="OH100" s="6"/>
      <c r="OI100" s="6"/>
      <c r="OJ100" s="4"/>
      <c r="OK100" s="8"/>
      <c r="OL100" s="5" t="str">
        <f t="shared" si="344"/>
        <v>NO APLICA</v>
      </c>
      <c r="OM100" s="6"/>
      <c r="ON100" s="6"/>
      <c r="OO100" s="6"/>
      <c r="OP100" s="6"/>
      <c r="OQ100" s="5" t="str">
        <f t="shared" si="345"/>
        <v>NO APLICA</v>
      </c>
      <c r="OR100" s="6"/>
      <c r="OS100" s="6"/>
      <c r="OT100" s="6"/>
      <c r="OU100" s="6"/>
      <c r="OV100" s="5" t="str">
        <f t="shared" si="346"/>
        <v>NO APLICA</v>
      </c>
      <c r="OW100" s="6"/>
      <c r="OX100" s="6"/>
      <c r="OY100" s="6"/>
      <c r="OZ100" s="6"/>
      <c r="PA100" s="5" t="str">
        <f t="shared" si="347"/>
        <v>NO APLICA</v>
      </c>
      <c r="PB100" s="6"/>
      <c r="PC100" s="6"/>
      <c r="PD100" s="6"/>
      <c r="PE100" s="6"/>
      <c r="PF100" s="5" t="str">
        <f t="shared" si="348"/>
        <v>NO APLICA</v>
      </c>
      <c r="PG100" s="6"/>
      <c r="PH100" s="6"/>
      <c r="PI100" s="6"/>
      <c r="PJ100" s="6"/>
      <c r="PK100" s="5" t="str">
        <f t="shared" si="349"/>
        <v>NO APLICA</v>
      </c>
      <c r="PL100" s="5"/>
      <c r="PM100" s="6"/>
      <c r="PN100" s="4"/>
      <c r="PO100" s="8"/>
      <c r="PP100" s="5" t="str">
        <f t="shared" si="350"/>
        <v>NO APLICA</v>
      </c>
      <c r="PQ100" s="6"/>
      <c r="PR100" s="6"/>
      <c r="PS100" s="6"/>
      <c r="PT100" s="6"/>
      <c r="PU100" s="5" t="str">
        <f t="shared" si="351"/>
        <v>NO APLICA</v>
      </c>
      <c r="PV100" s="5"/>
      <c r="PW100" s="6"/>
      <c r="PX100" s="6"/>
      <c r="PY100" s="6"/>
      <c r="PZ100" s="5" t="str">
        <f t="shared" si="352"/>
        <v>NO APLICA</v>
      </c>
    </row>
    <row r="101" spans="1:442" ht="15.6" hidden="1" thickTop="1" thickBot="1" x14ac:dyDescent="0.35">
      <c r="A101" s="26">
        <v>98</v>
      </c>
      <c r="B101" s="27">
        <v>880</v>
      </c>
      <c r="C101" s="28" t="s">
        <v>349</v>
      </c>
      <c r="D101" s="29" t="s">
        <v>68</v>
      </c>
      <c r="E101" s="30" t="s">
        <v>129</v>
      </c>
      <c r="F101" s="5"/>
      <c r="G101" s="6"/>
      <c r="H101" s="4"/>
      <c r="I101" s="8"/>
      <c r="J101" s="5" t="str">
        <f t="shared" si="242"/>
        <v>NO APLICA</v>
      </c>
      <c r="K101" s="2"/>
      <c r="L101" s="6"/>
      <c r="M101" s="6"/>
      <c r="N101" s="8"/>
      <c r="O101" s="5" t="str">
        <f t="shared" si="243"/>
        <v>NO APLICA</v>
      </c>
      <c r="P101" s="6"/>
      <c r="Q101" s="6"/>
      <c r="R101" s="4"/>
      <c r="S101" s="8"/>
      <c r="T101" s="5" t="str">
        <f t="shared" si="353"/>
        <v>NO APLICA</v>
      </c>
      <c r="U101" s="5"/>
      <c r="V101" s="2" t="s">
        <v>350</v>
      </c>
      <c r="W101" s="4">
        <v>45492</v>
      </c>
      <c r="X101" s="4">
        <f t="shared" si="244"/>
        <v>47318</v>
      </c>
      <c r="Y101" s="8">
        <f t="shared" ca="1" si="245"/>
        <v>1173</v>
      </c>
      <c r="Z101" s="5" t="str">
        <f t="shared" ca="1" si="246"/>
        <v>VIGENTE</v>
      </c>
      <c r="AA101" s="5"/>
      <c r="AB101" s="2" t="s">
        <v>351</v>
      </c>
      <c r="AC101" s="4">
        <v>44831</v>
      </c>
      <c r="AD101" s="4">
        <f>DATE(YEAR(AC101)+5,MONTH(AC101),DAY(AC101))</f>
        <v>46657</v>
      </c>
      <c r="AE101" s="8">
        <f ca="1">AD101-TODAY()</f>
        <v>512</v>
      </c>
      <c r="AF101" s="5" t="str">
        <f t="shared" ca="1" si="247"/>
        <v>VIGENTE</v>
      </c>
      <c r="AG101" s="3"/>
      <c r="AH101" s="3">
        <v>45594</v>
      </c>
      <c r="AI101" s="4">
        <f>DATE(YEAR(AH101)+2,MONTH(AH101),DAY(AH101)-1)</f>
        <v>46323</v>
      </c>
      <c r="AJ101" s="8">
        <f t="shared" ca="1" si="248"/>
        <v>178</v>
      </c>
      <c r="AK101" s="5" t="str">
        <f t="shared" ca="1" si="219"/>
        <v>VIGENTE</v>
      </c>
      <c r="AL101" s="3"/>
      <c r="AM101" s="4">
        <v>45937</v>
      </c>
      <c r="AN101" s="4">
        <f>DATE(YEAR(AM101)+2,MONTH(AM101),DAY(AM101))</f>
        <v>46667</v>
      </c>
      <c r="AO101" s="8">
        <f t="shared" ca="1" si="249"/>
        <v>522</v>
      </c>
      <c r="AP101" s="5" t="str">
        <f t="shared" ca="1" si="250"/>
        <v>VIGENTE</v>
      </c>
      <c r="AQ101" s="3"/>
      <c r="AR101" s="4">
        <v>46048</v>
      </c>
      <c r="AS101" s="4">
        <f>DATE(YEAR(AR101)+2,MONTH(AR101),DAY(AR101))</f>
        <v>46778</v>
      </c>
      <c r="AT101" s="8">
        <f t="shared" ca="1" si="251"/>
        <v>633</v>
      </c>
      <c r="AU101" s="5" t="str">
        <f t="shared" ca="1" si="252"/>
        <v>VIGENTE</v>
      </c>
      <c r="AV101" s="3"/>
      <c r="AW101" s="4">
        <v>46070</v>
      </c>
      <c r="AX101" s="4">
        <f>DATE(YEAR(AW101)+2,MONTH(AW101),DAY(AW101))</f>
        <v>46800</v>
      </c>
      <c r="AY101" s="8">
        <f t="shared" ca="1" si="253"/>
        <v>655</v>
      </c>
      <c r="AZ101" s="5" t="str">
        <f t="shared" ca="1" si="254"/>
        <v>VIGENTE</v>
      </c>
      <c r="BA101" s="3"/>
      <c r="BB101" s="4">
        <v>46041</v>
      </c>
      <c r="BC101" s="4">
        <f>DATE(YEAR(BB101)+2,MONTH(BB101),DAY(BB101))</f>
        <v>46771</v>
      </c>
      <c r="BD101" s="8">
        <f t="shared" ca="1" si="255"/>
        <v>626</v>
      </c>
      <c r="BE101" s="5" t="str">
        <f t="shared" ca="1" si="256"/>
        <v>VIGENTE</v>
      </c>
      <c r="BF101" s="3"/>
      <c r="BG101" s="4">
        <v>45987</v>
      </c>
      <c r="BH101" s="4">
        <f>DATE(YEAR(BG101)+2,MONTH(BG101),DAY(BG101))</f>
        <v>46717</v>
      </c>
      <c r="BI101" s="8">
        <f t="shared" ca="1" si="257"/>
        <v>572</v>
      </c>
      <c r="BJ101" s="5" t="str">
        <f t="shared" ca="1" si="258"/>
        <v>VIGENTE</v>
      </c>
      <c r="BK101" s="3"/>
      <c r="BL101" s="4">
        <v>46035</v>
      </c>
      <c r="BM101" s="4">
        <f>DATE(YEAR(BL101)+2,MONTH(BL101),DAY(BL101))</f>
        <v>46765</v>
      </c>
      <c r="BN101" s="8">
        <f t="shared" ca="1" si="259"/>
        <v>620</v>
      </c>
      <c r="BO101" s="5" t="str">
        <f t="shared" ca="1" si="260"/>
        <v>VIGENTE</v>
      </c>
      <c r="BP101" s="3"/>
      <c r="BQ101" s="39">
        <v>46069</v>
      </c>
      <c r="BR101" s="4">
        <f>DATE(YEAR(BQ101)+2,MONTH(BQ101),DAY(BQ101))</f>
        <v>46799</v>
      </c>
      <c r="BS101" s="8">
        <f t="shared" ca="1" si="261"/>
        <v>654</v>
      </c>
      <c r="BT101" s="5" t="str">
        <f t="shared" ca="1" si="262"/>
        <v>VIGENTE</v>
      </c>
      <c r="BU101" s="3"/>
      <c r="BV101" s="4">
        <v>46116</v>
      </c>
      <c r="BW101" s="4">
        <f>DATE(YEAR(BV101)+2,MONTH(BV101),DAY(BV101)-1)</f>
        <v>46846</v>
      </c>
      <c r="BX101" s="8">
        <f t="shared" ca="1" si="263"/>
        <v>701</v>
      </c>
      <c r="BY101" s="5" t="str">
        <f t="shared" ca="1" si="264"/>
        <v>VIGENTE</v>
      </c>
      <c r="BZ101" s="3"/>
      <c r="CA101" s="4">
        <v>45944</v>
      </c>
      <c r="CB101" s="4">
        <f>DATE(YEAR(CA101)+2,MONTH(CA101),DAY(CA101))</f>
        <v>46674</v>
      </c>
      <c r="CC101" s="8">
        <f t="shared" ca="1" si="265"/>
        <v>529</v>
      </c>
      <c r="CD101" s="5" t="str">
        <f t="shared" ca="1" si="266"/>
        <v>VIGENTE</v>
      </c>
      <c r="CE101" s="6"/>
      <c r="CF101" s="4">
        <v>45282</v>
      </c>
      <c r="CG101" s="4">
        <f t="shared" si="387"/>
        <v>46743</v>
      </c>
      <c r="CH101" s="8">
        <f t="shared" ca="1" si="388"/>
        <v>598</v>
      </c>
      <c r="CI101" s="5" t="str">
        <f t="shared" ca="1" si="269"/>
        <v>VIGENTE</v>
      </c>
      <c r="CJ101" s="4"/>
      <c r="CK101" s="4">
        <v>46064</v>
      </c>
      <c r="CL101" s="4">
        <f>DATE(YEAR(CK101)+2,MONTH(CK101),DAY(CK101))</f>
        <v>46794</v>
      </c>
      <c r="CM101" s="8">
        <f t="shared" ca="1" si="270"/>
        <v>649</v>
      </c>
      <c r="CN101" s="5" t="str">
        <f t="shared" ca="1" si="271"/>
        <v>VIGENTE</v>
      </c>
      <c r="CO101" s="3"/>
      <c r="CP101" s="4">
        <v>46101</v>
      </c>
      <c r="CQ101" s="4">
        <f>DATE(YEAR(CP101)+2,MONTH(CP101),DAY(CP101))</f>
        <v>46832</v>
      </c>
      <c r="CR101" s="8">
        <f t="shared" ca="1" si="272"/>
        <v>687</v>
      </c>
      <c r="CS101" s="5" t="str">
        <f t="shared" ca="1" si="273"/>
        <v>VIGENTE</v>
      </c>
      <c r="CT101" s="3"/>
      <c r="CU101" s="4">
        <v>45631</v>
      </c>
      <c r="CV101" s="4">
        <f>DATE(YEAR(CU101)+2,MONTH(CU101),DAY(CU101)-1)</f>
        <v>46360</v>
      </c>
      <c r="CW101" s="8">
        <f t="shared" ca="1" si="274"/>
        <v>215</v>
      </c>
      <c r="CX101" s="5" t="str">
        <f t="shared" ca="1" si="275"/>
        <v>VIGENTE</v>
      </c>
      <c r="CY101" s="3"/>
      <c r="CZ101" s="4">
        <v>45665</v>
      </c>
      <c r="DA101" s="4">
        <f t="shared" si="399"/>
        <v>46394</v>
      </c>
      <c r="DB101" s="8">
        <f t="shared" ca="1" si="276"/>
        <v>249</v>
      </c>
      <c r="DC101" s="5" t="str">
        <f t="shared" ca="1" si="277"/>
        <v>VIGENTE</v>
      </c>
      <c r="DD101" s="3"/>
      <c r="DE101" s="39">
        <v>45689</v>
      </c>
      <c r="DF101" s="4">
        <f>DATE(YEAR(DE101)+2,MONTH(DE101),DAY(DE101)-1)</f>
        <v>46418</v>
      </c>
      <c r="DG101" s="8">
        <f t="shared" ca="1" si="278"/>
        <v>273</v>
      </c>
      <c r="DH101" s="5" t="str">
        <f t="shared" ca="1" si="279"/>
        <v>VIGENTE</v>
      </c>
      <c r="DI101" s="3"/>
      <c r="DJ101" s="39">
        <v>46029</v>
      </c>
      <c r="DK101" s="4">
        <f>DATE(YEAR(DJ101)+2,MONTH(DJ101),DAY(DJ101))</f>
        <v>46759</v>
      </c>
      <c r="DL101" s="8">
        <f t="shared" ca="1" si="280"/>
        <v>614</v>
      </c>
      <c r="DM101" s="5" t="str">
        <f t="shared" ca="1" si="281"/>
        <v>VIGENTE</v>
      </c>
      <c r="DN101" s="3"/>
      <c r="DO101" s="4">
        <v>46128</v>
      </c>
      <c r="DP101" s="4">
        <f>DATE(YEAR(DO101)+2,MONTH(DO101),DAY(DO101)-1)</f>
        <v>46858</v>
      </c>
      <c r="DQ101" s="8">
        <f t="shared" ca="1" si="282"/>
        <v>713</v>
      </c>
      <c r="DR101" s="5" t="str">
        <f t="shared" ca="1" si="283"/>
        <v>VIGENTE</v>
      </c>
      <c r="DS101" s="3"/>
      <c r="DT101" s="4">
        <v>46053</v>
      </c>
      <c r="DU101" s="4">
        <f>DATE(YEAR(DT101)+2,MONTH(DT101),DAY(DT101))</f>
        <v>46783</v>
      </c>
      <c r="DV101" s="8">
        <f t="shared" ca="1" si="284"/>
        <v>638</v>
      </c>
      <c r="DW101" s="5" t="str">
        <f t="shared" ca="1" si="285"/>
        <v>VIGENTE</v>
      </c>
      <c r="DX101" s="3"/>
      <c r="DY101" s="4">
        <v>46099</v>
      </c>
      <c r="DZ101" s="4">
        <f>DATE(YEAR(DY101)+2,MONTH(DY101),DAY(DY101))</f>
        <v>46830</v>
      </c>
      <c r="EA101" s="8">
        <f t="shared" ca="1" si="286"/>
        <v>685</v>
      </c>
      <c r="EB101" s="5" t="str">
        <f t="shared" ca="1" si="287"/>
        <v>VIGENTE</v>
      </c>
      <c r="EC101" s="3"/>
      <c r="ED101" s="39">
        <v>46104</v>
      </c>
      <c r="EE101" s="4">
        <f>DATE(YEAR(ED101)+2,MONTH(ED101),DAY(ED101))</f>
        <v>46835</v>
      </c>
      <c r="EF101" s="8">
        <f t="shared" ca="1" si="288"/>
        <v>690</v>
      </c>
      <c r="EG101" s="5" t="str">
        <f t="shared" ca="1" si="289"/>
        <v>VIGENTE</v>
      </c>
      <c r="EH101" s="3"/>
      <c r="EI101" s="4">
        <v>46115</v>
      </c>
      <c r="EJ101" s="4">
        <f t="shared" si="355"/>
        <v>46480</v>
      </c>
      <c r="EK101" s="8">
        <f t="shared" ca="1" si="290"/>
        <v>335</v>
      </c>
      <c r="EL101" s="5" t="str">
        <f t="shared" ca="1" si="291"/>
        <v>VIGENTE</v>
      </c>
      <c r="EM101" s="3"/>
      <c r="EN101" s="4">
        <v>46135</v>
      </c>
      <c r="EO101" s="4">
        <f>DATE(YEAR(EN101)+2,MONTH(EN101),DAY(EN101)-1)</f>
        <v>46865</v>
      </c>
      <c r="EP101" s="8">
        <f t="shared" ca="1" si="292"/>
        <v>720</v>
      </c>
      <c r="EQ101" s="5" t="str">
        <f t="shared" ca="1" si="293"/>
        <v>VIGENTE</v>
      </c>
      <c r="ER101" s="3"/>
      <c r="ES101" s="39">
        <v>46094</v>
      </c>
      <c r="ET101" s="4">
        <f>DATE(YEAR(ES101)+2,MONTH(ES101),DAY(ES101))</f>
        <v>46825</v>
      </c>
      <c r="EU101" s="8">
        <f t="shared" ca="1" si="294"/>
        <v>680</v>
      </c>
      <c r="EV101" s="5" t="str">
        <f t="shared" ca="1" si="295"/>
        <v>VIGENTE</v>
      </c>
      <c r="EW101" s="3"/>
      <c r="EX101" s="4">
        <v>45953</v>
      </c>
      <c r="EY101" s="4">
        <f>DATE(YEAR(EX101)+2,MONTH(EX101),DAY(EX101))</f>
        <v>46683</v>
      </c>
      <c r="EZ101" s="8">
        <f t="shared" ca="1" si="296"/>
        <v>538</v>
      </c>
      <c r="FA101" s="5" t="str">
        <f t="shared" ca="1" si="297"/>
        <v>VIGENTE</v>
      </c>
      <c r="FB101" s="3"/>
      <c r="FC101" s="4">
        <v>45988</v>
      </c>
      <c r="FD101" s="4">
        <f>DATE(YEAR(FC101)+2,MONTH(FC101),DAY(FC101))</f>
        <v>46718</v>
      </c>
      <c r="FE101" s="8">
        <f t="shared" ca="1" si="298"/>
        <v>573</v>
      </c>
      <c r="FF101" s="5" t="str">
        <f t="shared" ca="1" si="299"/>
        <v>VIGENTE</v>
      </c>
      <c r="FG101" s="3"/>
      <c r="FH101" s="4">
        <v>45969</v>
      </c>
      <c r="FI101" s="4">
        <f>DATE(YEAR(FH101)+2,MONTH(FH101),DAY(FH101))</f>
        <v>46699</v>
      </c>
      <c r="FJ101" s="8">
        <f t="shared" ca="1" si="300"/>
        <v>554</v>
      </c>
      <c r="FK101" s="5" t="str">
        <f t="shared" ca="1" si="301"/>
        <v>VIGENTE</v>
      </c>
      <c r="FL101" s="3"/>
      <c r="FM101" s="39">
        <v>46129</v>
      </c>
      <c r="FN101" s="4">
        <f>DATE(YEAR(FM101)+2,MONTH(FM101),DAY(FM101)-1)</f>
        <v>46859</v>
      </c>
      <c r="FO101" s="8">
        <f t="shared" ca="1" si="302"/>
        <v>714</v>
      </c>
      <c r="FP101" s="5" t="str">
        <f t="shared" ca="1" si="303"/>
        <v>VIGENTE</v>
      </c>
      <c r="FQ101" s="3"/>
      <c r="FR101" s="39">
        <v>46122</v>
      </c>
      <c r="FS101" s="4">
        <f>DATE(YEAR(FR101)+2,MONTH(FR101),DAY(FR101)-1)</f>
        <v>46852</v>
      </c>
      <c r="FT101" s="8">
        <f t="shared" ca="1" si="304"/>
        <v>707</v>
      </c>
      <c r="FU101" s="5" t="str">
        <f t="shared" ca="1" si="305"/>
        <v>VIGENTE</v>
      </c>
      <c r="FV101" s="3"/>
      <c r="FW101" s="4">
        <v>45574</v>
      </c>
      <c r="FX101" s="4">
        <f t="shared" si="400"/>
        <v>46303</v>
      </c>
      <c r="FY101" s="8">
        <f t="shared" ca="1" si="306"/>
        <v>158</v>
      </c>
      <c r="FZ101" s="5" t="str">
        <f t="shared" ca="1" si="307"/>
        <v>VIGENTE</v>
      </c>
      <c r="GA101" s="3"/>
      <c r="GB101" s="4">
        <v>45667</v>
      </c>
      <c r="GC101" s="4">
        <f>DATE(YEAR(GB101)+2,MONTH(GB101),DAY(GB101)-1)</f>
        <v>46396</v>
      </c>
      <c r="GD101" s="8">
        <f t="shared" ca="1" si="308"/>
        <v>251</v>
      </c>
      <c r="GE101" s="5" t="str">
        <f t="shared" ca="1" si="309"/>
        <v>VIGENTE</v>
      </c>
      <c r="GF101" s="3"/>
      <c r="GG101" s="4">
        <v>46036</v>
      </c>
      <c r="GH101" s="4">
        <f>DATE(YEAR(GG101)+2,MONTH(GG101),DAY(GG101))</f>
        <v>46766</v>
      </c>
      <c r="GI101" s="8">
        <f t="shared" ca="1" si="310"/>
        <v>621</v>
      </c>
      <c r="GJ101" s="5" t="str">
        <f t="shared" ca="1" si="311"/>
        <v>VIGENTE</v>
      </c>
      <c r="GK101" s="3"/>
      <c r="GL101" s="4">
        <v>45923</v>
      </c>
      <c r="GM101" s="4">
        <f>DATE(YEAR(GL101)+2,MONTH(GL101),DAY(GL101))</f>
        <v>46653</v>
      </c>
      <c r="GN101" s="8">
        <f t="shared" ca="1" si="312"/>
        <v>508</v>
      </c>
      <c r="GO101" s="5" t="str">
        <f t="shared" ca="1" si="313"/>
        <v>VIGENTE</v>
      </c>
      <c r="GP101" s="4"/>
      <c r="GQ101" s="4">
        <v>45459</v>
      </c>
      <c r="GR101" s="4">
        <f t="shared" si="314"/>
        <v>47285</v>
      </c>
      <c r="GS101" s="8">
        <f t="shared" ca="1" si="384"/>
        <v>1140</v>
      </c>
      <c r="GT101" s="5" t="str">
        <f t="shared" ca="1" si="378"/>
        <v>VIGENTE</v>
      </c>
      <c r="GU101" s="3"/>
      <c r="GV101" s="4">
        <v>45464</v>
      </c>
      <c r="GW101" s="4">
        <f t="shared" si="316"/>
        <v>47290</v>
      </c>
      <c r="GX101" s="8">
        <f t="shared" ca="1" si="317"/>
        <v>1145</v>
      </c>
      <c r="GY101" s="5" t="str">
        <f t="shared" ca="1" si="379"/>
        <v>VIGENTE</v>
      </c>
      <c r="GZ101" s="3"/>
      <c r="HA101" s="4">
        <v>45454</v>
      </c>
      <c r="HB101" s="4">
        <f t="shared" si="319"/>
        <v>47280</v>
      </c>
      <c r="HC101" s="8">
        <f t="shared" ca="1" si="320"/>
        <v>1135</v>
      </c>
      <c r="HD101" s="5" t="str">
        <f t="shared" ca="1" si="401"/>
        <v>VIGENTE</v>
      </c>
      <c r="HE101" s="6"/>
      <c r="HF101" s="4">
        <v>44862</v>
      </c>
      <c r="HG101" s="4">
        <f t="shared" si="402"/>
        <v>46688</v>
      </c>
      <c r="HH101" s="8">
        <f t="shared" ca="1" si="403"/>
        <v>543</v>
      </c>
      <c r="HI101" s="5" t="str">
        <f t="shared" ca="1" si="404"/>
        <v>VIGENTE</v>
      </c>
      <c r="HJ101" s="3"/>
      <c r="HK101" s="4">
        <v>45368</v>
      </c>
      <c r="HL101" s="4">
        <f>DATE(YEAR(HK101)+5,MONTH(HK101),DAY(HK101))</f>
        <v>47194</v>
      </c>
      <c r="HM101" s="8">
        <f ca="1">HL101-TODAY()</f>
        <v>1049</v>
      </c>
      <c r="HN101" s="5" t="str">
        <f t="shared" ca="1" si="385"/>
        <v>VIGENTE</v>
      </c>
      <c r="HO101" s="2"/>
      <c r="HP101" s="2"/>
      <c r="HQ101" s="4"/>
      <c r="HR101" s="2"/>
      <c r="HS101" s="5" t="str">
        <f t="shared" si="322"/>
        <v>NO APLICA</v>
      </c>
      <c r="HT101" s="3"/>
      <c r="HU101" s="4">
        <v>45274</v>
      </c>
      <c r="HV101" s="4">
        <f>DATE(YEAR(HU101)+5,MONTH(HU101),DAY(HU101))</f>
        <v>47101</v>
      </c>
      <c r="HW101" s="8">
        <f ca="1">HV101-TODAY()</f>
        <v>956</v>
      </c>
      <c r="HX101" s="5" t="str">
        <f t="shared" ca="1" si="323"/>
        <v>VIGENTE</v>
      </c>
      <c r="HY101" s="3"/>
      <c r="HZ101" s="4">
        <v>45234</v>
      </c>
      <c r="IA101" s="4">
        <f>DATE(YEAR(HZ101)+5,MONTH(HZ101),DAY(HZ101))</f>
        <v>47061</v>
      </c>
      <c r="IB101" s="8">
        <f ca="1">IA101-TODAY()</f>
        <v>916</v>
      </c>
      <c r="IC101" s="5" t="str">
        <f t="shared" ca="1" si="324"/>
        <v>VIGENTE</v>
      </c>
      <c r="ID101" s="3"/>
      <c r="IE101" s="4">
        <v>45236</v>
      </c>
      <c r="IF101" s="4">
        <f>DATE(YEAR(IE101)+5,MONTH(IE101),DAY(IE101))</f>
        <v>47063</v>
      </c>
      <c r="IG101" s="8">
        <f ca="1">IF101-TODAY()</f>
        <v>918</v>
      </c>
      <c r="IH101" s="5" t="str">
        <f t="shared" ca="1" si="325"/>
        <v>VIGENTE</v>
      </c>
      <c r="II101" s="4"/>
      <c r="IJ101" s="4">
        <v>45262</v>
      </c>
      <c r="IK101" s="4">
        <f>DATE(YEAR(IJ101)+5,MONTH(IJ101),DAY(IJ101))</f>
        <v>47089</v>
      </c>
      <c r="IL101" s="8">
        <f ca="1">IK101-TODAY()</f>
        <v>944</v>
      </c>
      <c r="IM101" s="5" t="str">
        <f t="shared" ca="1" si="326"/>
        <v>VIGENTE</v>
      </c>
      <c r="IN101" s="3"/>
      <c r="IO101" s="4">
        <v>45239</v>
      </c>
      <c r="IP101" s="4">
        <f>DATE(YEAR(IO101)+5,MONTH(IO101),DAY(IO101))</f>
        <v>47066</v>
      </c>
      <c r="IQ101" s="8">
        <f ca="1">IP101-TODAY()</f>
        <v>921</v>
      </c>
      <c r="IR101" s="5" t="str">
        <f t="shared" ca="1" si="327"/>
        <v>VIGENTE</v>
      </c>
      <c r="IS101" s="3"/>
      <c r="IT101" s="4">
        <v>45233</v>
      </c>
      <c r="IU101" s="4">
        <f>DATE(YEAR(IT101)+5,MONTH(IT101),DAY(IT101))</f>
        <v>47060</v>
      </c>
      <c r="IV101" s="8">
        <f ca="1">IU101-TODAY()</f>
        <v>915</v>
      </c>
      <c r="IW101" s="5" t="str">
        <f t="shared" ca="1" si="328"/>
        <v>VIGENTE</v>
      </c>
      <c r="IX101" s="3"/>
      <c r="IY101" s="4">
        <v>45224</v>
      </c>
      <c r="IZ101" s="4">
        <f>DATE(YEAR(IY101)+5,MONTH(IY101),DAY(IY101))</f>
        <v>47051</v>
      </c>
      <c r="JA101" s="8">
        <f ca="1">IZ101-TODAY()</f>
        <v>906</v>
      </c>
      <c r="JB101" s="5" t="str">
        <f t="shared" ca="1" si="329"/>
        <v>VIGENTE</v>
      </c>
      <c r="JC101" s="3" t="s">
        <v>780</v>
      </c>
      <c r="JD101" s="3"/>
      <c r="JE101" s="4"/>
      <c r="JF101" s="8"/>
      <c r="JG101" s="5"/>
      <c r="JH101" s="3" t="s">
        <v>780</v>
      </c>
      <c r="JI101" s="6"/>
      <c r="JJ101" s="6"/>
      <c r="JK101" s="6"/>
      <c r="JL101" s="5"/>
      <c r="JM101" s="6" t="s">
        <v>780</v>
      </c>
      <c r="JN101" s="6"/>
      <c r="JO101" s="6"/>
      <c r="JP101" s="6"/>
      <c r="JQ101" s="5"/>
      <c r="JR101" s="6" t="s">
        <v>780</v>
      </c>
      <c r="JS101" s="6"/>
      <c r="JT101" s="6"/>
      <c r="JU101" s="6"/>
      <c r="JV101" s="5"/>
      <c r="JW101" s="6" t="s">
        <v>780</v>
      </c>
      <c r="JX101" s="5"/>
      <c r="JY101" s="5"/>
      <c r="JZ101" s="5"/>
      <c r="KA101" s="5"/>
      <c r="KB101" s="5"/>
      <c r="KC101" s="2"/>
      <c r="KD101" s="4"/>
      <c r="KE101" s="8"/>
      <c r="KF101" s="5" t="str">
        <f t="shared" si="330"/>
        <v>NO APLICA</v>
      </c>
      <c r="KG101" s="5"/>
      <c r="KH101" s="2"/>
      <c r="KI101" s="4"/>
      <c r="KJ101" s="8"/>
      <c r="KK101" s="5" t="str">
        <f t="shared" si="356"/>
        <v>NO APLICA</v>
      </c>
      <c r="KL101" s="5"/>
      <c r="KM101" s="2"/>
      <c r="KN101" s="4"/>
      <c r="KO101" s="8"/>
      <c r="KP101" s="5" t="str">
        <f t="shared" si="331"/>
        <v>NO APLICA</v>
      </c>
      <c r="KQ101" s="5"/>
      <c r="KR101" s="2"/>
      <c r="KS101" s="4"/>
      <c r="KT101" s="8"/>
      <c r="KU101" s="5" t="str">
        <f t="shared" si="357"/>
        <v>NO APLICA</v>
      </c>
      <c r="KV101" s="2"/>
      <c r="KW101" s="6"/>
      <c r="KX101" s="4"/>
      <c r="KY101" s="8"/>
      <c r="KZ101" s="5" t="str">
        <f t="shared" si="366"/>
        <v>NO APLICA</v>
      </c>
      <c r="LA101" s="5"/>
      <c r="LB101" s="4">
        <v>44603</v>
      </c>
      <c r="LC101" s="4">
        <f>DATE(YEAR(LB101)+5,MONTH(LB101),DAY(LB101))</f>
        <v>46429</v>
      </c>
      <c r="LD101" s="8">
        <f ca="1">LC101-TODAY()</f>
        <v>284</v>
      </c>
      <c r="LE101" s="5" t="str">
        <f t="shared" ca="1" si="358"/>
        <v>VIGENTE</v>
      </c>
      <c r="LF101" s="4"/>
      <c r="LG101" s="4"/>
      <c r="LH101" s="4"/>
      <c r="LI101" s="8"/>
      <c r="LJ101" s="5" t="str">
        <f t="shared" si="332"/>
        <v>NO APLICA</v>
      </c>
      <c r="LK101" s="5"/>
      <c r="LL101" s="5"/>
      <c r="LM101" s="4"/>
      <c r="LN101" s="8"/>
      <c r="LO101" s="5" t="str">
        <f t="shared" si="367"/>
        <v>NO APLICA</v>
      </c>
      <c r="LP101" s="2"/>
      <c r="LQ101" s="6"/>
      <c r="LR101" s="4"/>
      <c r="LS101" s="8"/>
      <c r="LT101" s="5" t="str">
        <f t="shared" si="359"/>
        <v>NO APLICA</v>
      </c>
      <c r="LU101" s="6"/>
      <c r="LV101" s="6"/>
      <c r="LW101" s="4"/>
      <c r="LX101" s="8"/>
      <c r="LY101" s="5" t="str">
        <f t="shared" si="360"/>
        <v>NO APLICA</v>
      </c>
      <c r="LZ101" s="6"/>
      <c r="MA101" s="6"/>
      <c r="MB101" s="4"/>
      <c r="MC101" s="8"/>
      <c r="MD101" s="5" t="str">
        <f t="shared" si="361"/>
        <v>NO APLICA</v>
      </c>
      <c r="ME101" s="2"/>
      <c r="MF101" s="2"/>
      <c r="MG101" s="4"/>
      <c r="MH101" s="8"/>
      <c r="MI101" s="5" t="str">
        <f t="shared" si="333"/>
        <v>NO APLICA</v>
      </c>
      <c r="MJ101" s="2"/>
      <c r="MK101" s="2"/>
      <c r="ML101" s="4"/>
      <c r="MM101" s="8"/>
      <c r="MN101" s="5" t="str">
        <f t="shared" si="334"/>
        <v>NO APLICA</v>
      </c>
      <c r="MO101" s="5"/>
      <c r="MP101" s="2"/>
      <c r="MQ101" s="4"/>
      <c r="MR101" s="8"/>
      <c r="MS101" s="5" t="str">
        <f t="shared" si="335"/>
        <v>NO APLICA</v>
      </c>
      <c r="MT101" s="5"/>
      <c r="MU101" s="2"/>
      <c r="MV101" s="4"/>
      <c r="MW101" s="2"/>
      <c r="MX101" s="5" t="str">
        <f t="shared" si="336"/>
        <v>NO APLICA</v>
      </c>
      <c r="MY101" s="2"/>
      <c r="MZ101" s="6"/>
      <c r="NA101" s="4"/>
      <c r="NB101" s="8"/>
      <c r="NC101" s="5" t="str">
        <f t="shared" si="337"/>
        <v>NO APLICA</v>
      </c>
      <c r="ND101" s="2"/>
      <c r="NE101" s="6"/>
      <c r="NF101" s="4"/>
      <c r="NG101" s="8"/>
      <c r="NH101" s="5" t="str">
        <f t="shared" si="338"/>
        <v>NO APLICA</v>
      </c>
      <c r="NI101" s="2"/>
      <c r="NJ101" s="6"/>
      <c r="NK101" s="4"/>
      <c r="NL101" s="8"/>
      <c r="NM101" s="5" t="str">
        <f t="shared" si="339"/>
        <v>NO APLICA</v>
      </c>
      <c r="NN101" s="2"/>
      <c r="NO101" s="2"/>
      <c r="NP101" s="4"/>
      <c r="NQ101" s="8"/>
      <c r="NR101" s="5" t="str">
        <f t="shared" si="340"/>
        <v>NO APLICA</v>
      </c>
      <c r="NS101" s="2"/>
      <c r="NT101" s="2"/>
      <c r="NU101" s="2"/>
      <c r="NV101" s="2"/>
      <c r="NW101" s="5" t="str">
        <f t="shared" si="341"/>
        <v>NO APLICA</v>
      </c>
      <c r="NX101" s="6"/>
      <c r="NY101" s="6"/>
      <c r="NZ101" s="4"/>
      <c r="OA101" s="8"/>
      <c r="OB101" s="5" t="str">
        <f t="shared" si="342"/>
        <v>NO APLICA</v>
      </c>
      <c r="OC101" s="6"/>
      <c r="OD101" s="6"/>
      <c r="OE101" s="6"/>
      <c r="OF101" s="6"/>
      <c r="OG101" s="5" t="str">
        <f t="shared" si="343"/>
        <v>NO APLICA</v>
      </c>
      <c r="OH101" s="6"/>
      <c r="OI101" s="6"/>
      <c r="OJ101" s="4"/>
      <c r="OK101" s="8"/>
      <c r="OL101" s="5" t="str">
        <f t="shared" si="344"/>
        <v>NO APLICA</v>
      </c>
      <c r="OM101" s="6"/>
      <c r="ON101" s="6"/>
      <c r="OO101" s="6"/>
      <c r="OP101" s="6"/>
      <c r="OQ101" s="5" t="str">
        <f t="shared" si="345"/>
        <v>NO APLICA</v>
      </c>
      <c r="OR101" s="6"/>
      <c r="OS101" s="6"/>
      <c r="OT101" s="6"/>
      <c r="OU101" s="6"/>
      <c r="OV101" s="5" t="str">
        <f t="shared" si="346"/>
        <v>NO APLICA</v>
      </c>
      <c r="OW101" s="6"/>
      <c r="OX101" s="6"/>
      <c r="OY101" s="6"/>
      <c r="OZ101" s="6"/>
      <c r="PA101" s="5" t="str">
        <f t="shared" si="347"/>
        <v>NO APLICA</v>
      </c>
      <c r="PB101" s="6"/>
      <c r="PC101" s="6"/>
      <c r="PD101" s="6"/>
      <c r="PE101" s="6"/>
      <c r="PF101" s="5" t="str">
        <f t="shared" si="348"/>
        <v>NO APLICA</v>
      </c>
      <c r="PG101" s="6"/>
      <c r="PH101" s="6"/>
      <c r="PI101" s="6"/>
      <c r="PJ101" s="6"/>
      <c r="PK101" s="5" t="str">
        <f t="shared" si="349"/>
        <v>NO APLICA</v>
      </c>
      <c r="PL101" s="5"/>
      <c r="PM101" s="6"/>
      <c r="PN101" s="4"/>
      <c r="PO101" s="8"/>
      <c r="PP101" s="5" t="str">
        <f t="shared" si="350"/>
        <v>NO APLICA</v>
      </c>
      <c r="PQ101" s="6"/>
      <c r="PR101" s="6"/>
      <c r="PS101" s="6"/>
      <c r="PT101" s="6"/>
      <c r="PU101" s="5" t="str">
        <f t="shared" si="351"/>
        <v>NO APLICA</v>
      </c>
      <c r="PV101" s="5"/>
      <c r="PW101" s="6"/>
      <c r="PX101" s="6"/>
      <c r="PY101" s="6"/>
      <c r="PZ101" s="5" t="str">
        <f t="shared" si="352"/>
        <v>NO APLICA</v>
      </c>
    </row>
    <row r="102" spans="1:442" ht="15.6" hidden="1" thickTop="1" thickBot="1" x14ac:dyDescent="0.35">
      <c r="A102" s="26">
        <v>99</v>
      </c>
      <c r="B102" s="27">
        <v>811</v>
      </c>
      <c r="C102" s="28" t="s">
        <v>352</v>
      </c>
      <c r="D102" s="29" t="s">
        <v>68</v>
      </c>
      <c r="E102" s="30" t="s">
        <v>77</v>
      </c>
      <c r="F102" s="2"/>
      <c r="G102" s="6"/>
      <c r="H102" s="4"/>
      <c r="I102" s="8"/>
      <c r="J102" s="5" t="str">
        <f t="shared" si="242"/>
        <v>NO APLICA</v>
      </c>
      <c r="K102" s="2"/>
      <c r="L102" s="6"/>
      <c r="M102" s="6"/>
      <c r="N102" s="8"/>
      <c r="O102" s="5" t="str">
        <f t="shared" si="243"/>
        <v>NO APLICA</v>
      </c>
      <c r="P102" s="6"/>
      <c r="Q102" s="6"/>
      <c r="R102" s="4"/>
      <c r="S102" s="8"/>
      <c r="T102" s="5" t="str">
        <f t="shared" si="353"/>
        <v>NO APLICA</v>
      </c>
      <c r="U102" s="5"/>
      <c r="V102" s="2" t="s">
        <v>353</v>
      </c>
      <c r="W102" s="4">
        <v>44829</v>
      </c>
      <c r="X102" s="4">
        <f t="shared" si="244"/>
        <v>46655</v>
      </c>
      <c r="Y102" s="8">
        <f t="shared" ca="1" si="245"/>
        <v>510</v>
      </c>
      <c r="Z102" s="5" t="str">
        <f t="shared" ca="1" si="246"/>
        <v>VIGENTE</v>
      </c>
      <c r="AA102" s="5"/>
      <c r="AB102" s="2" t="s">
        <v>354</v>
      </c>
      <c r="AC102" s="4">
        <v>44831</v>
      </c>
      <c r="AD102" s="4">
        <f>DATE(YEAR(AC102)+5,MONTH(AC102),DAY(AC102))</f>
        <v>46657</v>
      </c>
      <c r="AE102" s="8">
        <f ca="1">AD102-TODAY()</f>
        <v>512</v>
      </c>
      <c r="AF102" s="5" t="str">
        <f t="shared" ca="1" si="247"/>
        <v>VIGENTE</v>
      </c>
      <c r="AG102" s="3"/>
      <c r="AH102" s="4">
        <v>46006</v>
      </c>
      <c r="AI102" s="4">
        <f>DATE(YEAR(AH102)+2,MONTH(AH102),DAY(AH102))</f>
        <v>46736</v>
      </c>
      <c r="AJ102" s="8">
        <f t="shared" ca="1" si="248"/>
        <v>591</v>
      </c>
      <c r="AK102" s="5" t="str">
        <f t="shared" ca="1" si="219"/>
        <v>VIGENTE</v>
      </c>
      <c r="AL102" s="3"/>
      <c r="AM102" s="4">
        <v>45959</v>
      </c>
      <c r="AN102" s="4">
        <f>DATE(YEAR(AM102)+2,MONTH(AM102),DAY(AM102))</f>
        <v>46689</v>
      </c>
      <c r="AO102" s="8">
        <f t="shared" ca="1" si="249"/>
        <v>544</v>
      </c>
      <c r="AP102" s="5" t="str">
        <f t="shared" ca="1" si="250"/>
        <v>VIGENTE</v>
      </c>
      <c r="AQ102" s="3"/>
      <c r="AR102" s="4">
        <v>45996</v>
      </c>
      <c r="AS102" s="4">
        <f>DATE(YEAR(AR102)+2,MONTH(AR102),DAY(AR102))</f>
        <v>46726</v>
      </c>
      <c r="AT102" s="8">
        <f t="shared" ca="1" si="251"/>
        <v>581</v>
      </c>
      <c r="AU102" s="5" t="str">
        <f t="shared" ca="1" si="252"/>
        <v>VIGENTE</v>
      </c>
      <c r="AV102" s="3"/>
      <c r="AW102" s="4">
        <v>45972</v>
      </c>
      <c r="AX102" s="4">
        <f>DATE(YEAR(AW102)+2,MONTH(AW102),DAY(AW102))</f>
        <v>46702</v>
      </c>
      <c r="AY102" s="8">
        <f t="shared" ca="1" si="253"/>
        <v>557</v>
      </c>
      <c r="AZ102" s="5" t="str">
        <f t="shared" ca="1" si="254"/>
        <v>VIGENTE</v>
      </c>
      <c r="BA102" s="3"/>
      <c r="BB102" s="4">
        <v>45603</v>
      </c>
      <c r="BC102" s="4">
        <f>DATE(YEAR(BB102)+2,MONTH(BB102),DAY(BB102)-1)</f>
        <v>46332</v>
      </c>
      <c r="BD102" s="8">
        <f t="shared" ca="1" si="255"/>
        <v>187</v>
      </c>
      <c r="BE102" s="5" t="str">
        <f t="shared" ca="1" si="256"/>
        <v>VIGENTE</v>
      </c>
      <c r="BF102" s="3"/>
      <c r="BG102" s="4">
        <v>46067</v>
      </c>
      <c r="BH102" s="4">
        <f>DATE(YEAR(BG102)+2,MONTH(BG102),DAY(BG102))</f>
        <v>46797</v>
      </c>
      <c r="BI102" s="8">
        <f t="shared" ca="1" si="257"/>
        <v>652</v>
      </c>
      <c r="BJ102" s="5" t="str">
        <f t="shared" ca="1" si="258"/>
        <v>VIGENTE</v>
      </c>
      <c r="BK102" s="3"/>
      <c r="BL102" s="4">
        <v>46035</v>
      </c>
      <c r="BM102" s="4">
        <f>DATE(YEAR(BL102)+2,MONTH(BL102),DAY(BL102))</f>
        <v>46765</v>
      </c>
      <c r="BN102" s="8">
        <f t="shared" ca="1" si="259"/>
        <v>620</v>
      </c>
      <c r="BO102" s="5" t="str">
        <f t="shared" ca="1" si="260"/>
        <v>VIGENTE</v>
      </c>
      <c r="BP102" s="3"/>
      <c r="BQ102" s="39">
        <v>46069</v>
      </c>
      <c r="BR102" s="4">
        <f>DATE(YEAR(BQ102)+2,MONTH(BQ102),DAY(BQ102))</f>
        <v>46799</v>
      </c>
      <c r="BS102" s="8">
        <f t="shared" ca="1" si="261"/>
        <v>654</v>
      </c>
      <c r="BT102" s="5" t="str">
        <f t="shared" ca="1" si="262"/>
        <v>VIGENTE</v>
      </c>
      <c r="BU102" s="3"/>
      <c r="BV102" s="4">
        <v>45695</v>
      </c>
      <c r="BW102" s="4">
        <f>DATE(YEAR(BV102)+2,MONTH(BV102),DAY(BV102)-1)</f>
        <v>46424</v>
      </c>
      <c r="BX102" s="8">
        <f t="shared" ca="1" si="263"/>
        <v>279</v>
      </c>
      <c r="BY102" s="5" t="str">
        <f t="shared" ca="1" si="264"/>
        <v>VIGENTE</v>
      </c>
      <c r="BZ102" s="3"/>
      <c r="CA102" s="4">
        <v>45974</v>
      </c>
      <c r="CB102" s="4">
        <f>DATE(YEAR(CA102)+2,MONTH(CA102),DAY(CA102))</f>
        <v>46704</v>
      </c>
      <c r="CC102" s="8">
        <f t="shared" ca="1" si="265"/>
        <v>559</v>
      </c>
      <c r="CD102" s="5" t="str">
        <f t="shared" ca="1" si="266"/>
        <v>VIGENTE</v>
      </c>
      <c r="CE102" s="6"/>
      <c r="CF102" s="4">
        <v>45282</v>
      </c>
      <c r="CG102" s="4">
        <f t="shared" si="387"/>
        <v>46743</v>
      </c>
      <c r="CH102" s="8">
        <f t="shared" ca="1" si="388"/>
        <v>598</v>
      </c>
      <c r="CI102" s="5" t="str">
        <f t="shared" ca="1" si="269"/>
        <v>VIGENTE</v>
      </c>
      <c r="CJ102" s="4"/>
      <c r="CK102" s="4">
        <v>45688</v>
      </c>
      <c r="CL102" s="4">
        <f>DATE(YEAR(CK102)+2,MONTH(CK102),DAY(CK102)-1)</f>
        <v>46417</v>
      </c>
      <c r="CM102" s="8">
        <f t="shared" ca="1" si="270"/>
        <v>272</v>
      </c>
      <c r="CN102" s="5" t="str">
        <f t="shared" ca="1" si="271"/>
        <v>VIGENTE</v>
      </c>
      <c r="CO102" s="3"/>
      <c r="CP102" s="39">
        <v>45726</v>
      </c>
      <c r="CQ102" s="4">
        <f>DATE(YEAR(CP102)+2,MONTH(CP102),DAY(CP102)-1)</f>
        <v>46455</v>
      </c>
      <c r="CR102" s="8">
        <f t="shared" ca="1" si="272"/>
        <v>310</v>
      </c>
      <c r="CS102" s="5" t="str">
        <f t="shared" ca="1" si="273"/>
        <v>VIGENTE</v>
      </c>
      <c r="CT102" s="3"/>
      <c r="CU102" s="4">
        <v>45631</v>
      </c>
      <c r="CV102" s="4">
        <f>DATE(YEAR(CU102)+2,MONTH(CU102),DAY(CU102)-1)</f>
        <v>46360</v>
      </c>
      <c r="CW102" s="8">
        <f t="shared" ca="1" si="274"/>
        <v>215</v>
      </c>
      <c r="CX102" s="5" t="str">
        <f t="shared" ca="1" si="275"/>
        <v>VIGENTE</v>
      </c>
      <c r="CY102" s="3"/>
      <c r="CZ102" s="4">
        <v>45661</v>
      </c>
      <c r="DA102" s="4">
        <f t="shared" si="399"/>
        <v>46390</v>
      </c>
      <c r="DB102" s="8">
        <f t="shared" ca="1" si="276"/>
        <v>245</v>
      </c>
      <c r="DC102" s="5" t="str">
        <f t="shared" ca="1" si="277"/>
        <v>VIGENTE</v>
      </c>
      <c r="DD102" s="3"/>
      <c r="DE102" s="39">
        <v>45607</v>
      </c>
      <c r="DF102" s="4">
        <f>DATE(YEAR(DE102)+2,MONTH(DE102),DAY(DE102)-1)</f>
        <v>46336</v>
      </c>
      <c r="DG102" s="8">
        <f t="shared" ca="1" si="278"/>
        <v>191</v>
      </c>
      <c r="DH102" s="5" t="str">
        <f t="shared" ca="1" si="279"/>
        <v>VIGENTE</v>
      </c>
      <c r="DI102" s="3"/>
      <c r="DJ102" s="39">
        <v>45580</v>
      </c>
      <c r="DK102" s="4">
        <f>DATE(YEAR(DJ102)+2,MONTH(DJ102),DAY(DJ102)-1)</f>
        <v>46309</v>
      </c>
      <c r="DL102" s="8">
        <f t="shared" ca="1" si="280"/>
        <v>164</v>
      </c>
      <c r="DM102" s="5" t="str">
        <f t="shared" ca="1" si="281"/>
        <v>VIGENTE</v>
      </c>
      <c r="DN102" s="3"/>
      <c r="DO102" s="4">
        <v>46008</v>
      </c>
      <c r="DP102" s="4">
        <f>DATE(YEAR(DO102)+2,MONTH(DO102),DAY(DO102))</f>
        <v>46738</v>
      </c>
      <c r="DQ102" s="8">
        <f t="shared" ca="1" si="282"/>
        <v>593</v>
      </c>
      <c r="DR102" s="5" t="str">
        <f t="shared" ca="1" si="283"/>
        <v>VIGENTE</v>
      </c>
      <c r="DS102" s="3"/>
      <c r="DT102" s="4">
        <v>45685</v>
      </c>
      <c r="DU102" s="4">
        <f>DATE(YEAR(DT102)+2,MONTH(DT102),DAY(DT102)-1)</f>
        <v>46414</v>
      </c>
      <c r="DV102" s="8">
        <f t="shared" ca="1" si="284"/>
        <v>269</v>
      </c>
      <c r="DW102" s="5" t="str">
        <f t="shared" ca="1" si="285"/>
        <v>VIGENTE</v>
      </c>
      <c r="DX102" s="3"/>
      <c r="DY102" s="4">
        <v>45663</v>
      </c>
      <c r="DZ102" s="4">
        <f>DATE(YEAR(DY102)+2,MONTH(DY102),DAY(DY102)-1)</f>
        <v>46392</v>
      </c>
      <c r="EA102" s="8">
        <f t="shared" ca="1" si="286"/>
        <v>247</v>
      </c>
      <c r="EB102" s="5" t="str">
        <f t="shared" ca="1" si="287"/>
        <v>VIGENTE</v>
      </c>
      <c r="EC102" s="3"/>
      <c r="ED102" s="39">
        <v>45674</v>
      </c>
      <c r="EE102" s="4">
        <f>DATE(YEAR(ED102)+2,MONTH(ED102),DAY(ED102)-1)</f>
        <v>46403</v>
      </c>
      <c r="EF102" s="8">
        <f t="shared" ca="1" si="288"/>
        <v>258</v>
      </c>
      <c r="EG102" s="5" t="str">
        <f t="shared" ca="1" si="289"/>
        <v>VIGENTE</v>
      </c>
      <c r="EH102" s="3"/>
      <c r="EI102" s="3">
        <v>46085</v>
      </c>
      <c r="EJ102" s="4">
        <f t="shared" si="355"/>
        <v>46450</v>
      </c>
      <c r="EK102" s="8">
        <f t="shared" ca="1" si="290"/>
        <v>305</v>
      </c>
      <c r="EL102" s="5" t="str">
        <f t="shared" ca="1" si="291"/>
        <v>VIGENTE</v>
      </c>
      <c r="EM102" s="3"/>
      <c r="EN102" s="4">
        <v>45612</v>
      </c>
      <c r="EO102" s="4">
        <f>DATE(YEAR(EN102)+2,MONTH(EN102),DAY(EN102)-1)</f>
        <v>46341</v>
      </c>
      <c r="EP102" s="8">
        <f t="shared" ca="1" si="292"/>
        <v>196</v>
      </c>
      <c r="EQ102" s="5" t="str">
        <f t="shared" ca="1" si="293"/>
        <v>VIGENTE</v>
      </c>
      <c r="ER102" s="2"/>
      <c r="ES102" s="39">
        <v>45755</v>
      </c>
      <c r="ET102" s="4">
        <f>DATE(YEAR(ES102)+2,MONTH(ES102),DAY(ES102)-1)</f>
        <v>46484</v>
      </c>
      <c r="EU102" s="8">
        <f t="shared" ca="1" si="294"/>
        <v>339</v>
      </c>
      <c r="EV102" s="5" t="str">
        <f t="shared" ca="1" si="295"/>
        <v>VIGENTE</v>
      </c>
      <c r="EW102" s="3"/>
      <c r="EX102" s="4">
        <v>45973</v>
      </c>
      <c r="EY102" s="4">
        <f>DATE(YEAR(EX102)+2,MONTH(EX102),DAY(EX102))</f>
        <v>46703</v>
      </c>
      <c r="EZ102" s="8">
        <f t="shared" ca="1" si="296"/>
        <v>558</v>
      </c>
      <c r="FA102" s="5" t="str">
        <f t="shared" ca="1" si="297"/>
        <v>VIGENTE</v>
      </c>
      <c r="FB102" s="3"/>
      <c r="FC102" s="4">
        <v>46017</v>
      </c>
      <c r="FD102" s="4">
        <f>DATE(YEAR(FC102)+2,MONTH(FC102),DAY(FC102))</f>
        <v>46747</v>
      </c>
      <c r="FE102" s="8">
        <f t="shared" ca="1" si="298"/>
        <v>602</v>
      </c>
      <c r="FF102" s="5" t="str">
        <f t="shared" ca="1" si="299"/>
        <v>VIGENTE</v>
      </c>
      <c r="FG102" s="3"/>
      <c r="FH102" s="4">
        <v>46009</v>
      </c>
      <c r="FI102" s="4">
        <f>DATE(YEAR(FH102)+2,MONTH(FH102),DAY(FH102))</f>
        <v>46739</v>
      </c>
      <c r="FJ102" s="8">
        <f t="shared" ca="1" si="300"/>
        <v>594</v>
      </c>
      <c r="FK102" s="5" t="str">
        <f t="shared" ca="1" si="301"/>
        <v>VIGENTE</v>
      </c>
      <c r="FL102" s="3"/>
      <c r="FM102" s="39">
        <v>45637</v>
      </c>
      <c r="FN102" s="4">
        <f>DATE(YEAR(FM102)+2,MONTH(FM102),DAY(FM102)-1)</f>
        <v>46366</v>
      </c>
      <c r="FO102" s="8">
        <f t="shared" ca="1" si="302"/>
        <v>221</v>
      </c>
      <c r="FP102" s="5" t="str">
        <f t="shared" ca="1" si="303"/>
        <v>VIGENTE</v>
      </c>
      <c r="FQ102" s="3"/>
      <c r="FR102" s="39">
        <v>45605</v>
      </c>
      <c r="FS102" s="4">
        <f>DATE(YEAR(FR102)+2,MONTH(FR102),DAY(FR102)-1)</f>
        <v>46334</v>
      </c>
      <c r="FT102" s="8">
        <f t="shared" ca="1" si="304"/>
        <v>189</v>
      </c>
      <c r="FU102" s="5" t="str">
        <f t="shared" ca="1" si="305"/>
        <v>VIGENTE</v>
      </c>
      <c r="FV102" s="3"/>
      <c r="FW102" s="4">
        <v>45587</v>
      </c>
      <c r="FX102" s="4">
        <f t="shared" si="400"/>
        <v>46316</v>
      </c>
      <c r="FY102" s="8">
        <f t="shared" ca="1" si="306"/>
        <v>171</v>
      </c>
      <c r="FZ102" s="5" t="str">
        <f t="shared" ca="1" si="307"/>
        <v>VIGENTE</v>
      </c>
      <c r="GA102" s="3"/>
      <c r="GB102" s="4">
        <v>45595</v>
      </c>
      <c r="GC102" s="4">
        <f>DATE(YEAR(GB102)+2,MONTH(GB102),DAY(GB102)-1)</f>
        <v>46324</v>
      </c>
      <c r="GD102" s="8">
        <f t="shared" ca="1" si="308"/>
        <v>179</v>
      </c>
      <c r="GE102" s="5" t="str">
        <f t="shared" ca="1" si="309"/>
        <v>VIGENTE</v>
      </c>
      <c r="GF102" s="3"/>
      <c r="GG102" s="4">
        <v>45498</v>
      </c>
      <c r="GH102" s="4">
        <f>DATE(YEAR(GG102)+2,MONTH(GG102),DAY(GG102)-1)</f>
        <v>46227</v>
      </c>
      <c r="GI102" s="8">
        <f t="shared" ca="1" si="310"/>
        <v>82</v>
      </c>
      <c r="GJ102" s="5" t="str">
        <f t="shared" ca="1" si="311"/>
        <v>POR VENCER</v>
      </c>
      <c r="GK102" s="3"/>
      <c r="GL102" s="4">
        <v>45958</v>
      </c>
      <c r="GM102" s="4">
        <f>DATE(YEAR(GL102)+2,MONTH(GL102),DAY(GL102))</f>
        <v>46688</v>
      </c>
      <c r="GN102" s="8">
        <f t="shared" ca="1" si="312"/>
        <v>543</v>
      </c>
      <c r="GO102" s="5" t="str">
        <f t="shared" ca="1" si="313"/>
        <v>VIGENTE</v>
      </c>
      <c r="GP102" s="4"/>
      <c r="GQ102" s="4">
        <v>45283</v>
      </c>
      <c r="GR102" s="4">
        <f t="shared" si="314"/>
        <v>47110</v>
      </c>
      <c r="GS102" s="8">
        <f t="shared" ca="1" si="384"/>
        <v>965</v>
      </c>
      <c r="GT102" s="5" t="str">
        <f t="shared" ca="1" si="378"/>
        <v>VIGENTE</v>
      </c>
      <c r="GU102" s="3"/>
      <c r="GV102" s="4">
        <v>45252</v>
      </c>
      <c r="GW102" s="4">
        <f t="shared" si="316"/>
        <v>47079</v>
      </c>
      <c r="GX102" s="8">
        <f t="shared" ca="1" si="317"/>
        <v>934</v>
      </c>
      <c r="GY102" s="5" t="str">
        <f t="shared" ca="1" si="379"/>
        <v>VIGENTE</v>
      </c>
      <c r="GZ102" s="3"/>
      <c r="HA102" s="4">
        <v>45251</v>
      </c>
      <c r="HB102" s="4">
        <f t="shared" si="319"/>
        <v>47078</v>
      </c>
      <c r="HC102" s="8">
        <f t="shared" ca="1" si="320"/>
        <v>933</v>
      </c>
      <c r="HD102" s="5" t="str">
        <f t="shared" ca="1" si="401"/>
        <v>VIGENTE</v>
      </c>
      <c r="HE102" s="6"/>
      <c r="HF102" s="4">
        <v>44862</v>
      </c>
      <c r="HG102" s="4">
        <f t="shared" si="402"/>
        <v>46688</v>
      </c>
      <c r="HH102" s="8">
        <f t="shared" ca="1" si="403"/>
        <v>543</v>
      </c>
      <c r="HI102" s="5" t="str">
        <f t="shared" ca="1" si="404"/>
        <v>VIGENTE</v>
      </c>
      <c r="HJ102" s="3"/>
      <c r="HK102" s="4">
        <v>45341</v>
      </c>
      <c r="HL102" s="4">
        <f>DATE(YEAR(HK102)+5,MONTH(HK102),DAY(HK102))</f>
        <v>47168</v>
      </c>
      <c r="HM102" s="8">
        <f ca="1">HL102-TODAY()</f>
        <v>1023</v>
      </c>
      <c r="HN102" s="5" t="str">
        <f t="shared" ca="1" si="385"/>
        <v>VIGENTE</v>
      </c>
      <c r="HO102" s="2"/>
      <c r="HP102" s="3">
        <v>45386</v>
      </c>
      <c r="HQ102" s="4">
        <f>DATE(YEAR(HP102)+5,MONTH(HP102),DAY(HP102))</f>
        <v>47212</v>
      </c>
      <c r="HR102" s="8">
        <f ca="1">HQ102-TODAY()</f>
        <v>1067</v>
      </c>
      <c r="HS102" s="5" t="str">
        <f t="shared" ca="1" si="322"/>
        <v>VIGENTE</v>
      </c>
      <c r="HT102" s="3"/>
      <c r="HU102" s="4">
        <v>45469</v>
      </c>
      <c r="HV102" s="4">
        <f>DATE(YEAR(HU102)+5,MONTH(HU102),DAY(HU102))</f>
        <v>47295</v>
      </c>
      <c r="HW102" s="8">
        <f ca="1">HV102-TODAY()</f>
        <v>1150</v>
      </c>
      <c r="HX102" s="5" t="str">
        <f t="shared" ca="1" si="323"/>
        <v>VIGENTE</v>
      </c>
      <c r="HY102" s="3"/>
      <c r="HZ102" s="4">
        <v>45223</v>
      </c>
      <c r="IA102" s="4">
        <f>DATE(YEAR(HZ102)+5,MONTH(HZ102),DAY(HZ102))</f>
        <v>47050</v>
      </c>
      <c r="IB102" s="8">
        <f ca="1">IA102-TODAY()</f>
        <v>905</v>
      </c>
      <c r="IC102" s="5" t="str">
        <f t="shared" ca="1" si="324"/>
        <v>VIGENTE</v>
      </c>
      <c r="ID102" s="3"/>
      <c r="IE102" s="4">
        <v>45192</v>
      </c>
      <c r="IF102" s="4">
        <f>DATE(YEAR(IE102)+5,MONTH(IE102),DAY(IE102))</f>
        <v>47019</v>
      </c>
      <c r="IG102" s="8">
        <f ca="1">IF102-TODAY()</f>
        <v>874</v>
      </c>
      <c r="IH102" s="5" t="str">
        <f t="shared" ca="1" si="325"/>
        <v>VIGENTE</v>
      </c>
      <c r="II102" s="4"/>
      <c r="IJ102" s="4">
        <v>45455</v>
      </c>
      <c r="IK102" s="4">
        <f>DATE(YEAR(IJ102)+5,MONTH(IJ102),DAY(IJ102))</f>
        <v>47281</v>
      </c>
      <c r="IL102" s="8">
        <f ca="1">IK102-TODAY()</f>
        <v>1136</v>
      </c>
      <c r="IM102" s="5" t="str">
        <f t="shared" ca="1" si="326"/>
        <v>VIGENTE</v>
      </c>
      <c r="IN102" s="3"/>
      <c r="IO102" s="4">
        <v>45490</v>
      </c>
      <c r="IP102" s="4">
        <f>DATE(YEAR(IO102)+5,MONTH(IO102),DAY(IO102))</f>
        <v>47316</v>
      </c>
      <c r="IQ102" s="8">
        <f ca="1">IP102-TODAY()</f>
        <v>1171</v>
      </c>
      <c r="IR102" s="5" t="str">
        <f t="shared" ca="1" si="327"/>
        <v>VIGENTE</v>
      </c>
      <c r="IS102" s="3"/>
      <c r="IT102" s="4">
        <v>45191</v>
      </c>
      <c r="IU102" s="4">
        <f>DATE(YEAR(IT102)+5,MONTH(IT102),DAY(IT102))</f>
        <v>47018</v>
      </c>
      <c r="IV102" s="8">
        <f ca="1">IU102-TODAY()</f>
        <v>873</v>
      </c>
      <c r="IW102" s="5" t="str">
        <f t="shared" ca="1" si="328"/>
        <v>VIGENTE</v>
      </c>
      <c r="IX102" s="3"/>
      <c r="IY102" s="4">
        <v>45224</v>
      </c>
      <c r="IZ102" s="4">
        <f>DATE(YEAR(IY102)+5,MONTH(IY102),DAY(IY102))</f>
        <v>47051</v>
      </c>
      <c r="JA102" s="8">
        <f ca="1">IZ102-TODAY()</f>
        <v>906</v>
      </c>
      <c r="JB102" s="5" t="str">
        <f t="shared" ca="1" si="329"/>
        <v>VIGENTE</v>
      </c>
      <c r="JC102" s="3" t="s">
        <v>780</v>
      </c>
      <c r="JD102" s="3"/>
      <c r="JE102" s="4"/>
      <c r="JF102" s="8"/>
      <c r="JG102" s="5"/>
      <c r="JH102" s="3" t="s">
        <v>780</v>
      </c>
      <c r="JI102" s="6"/>
      <c r="JJ102" s="6"/>
      <c r="JK102" s="6"/>
      <c r="JL102" s="5"/>
      <c r="JM102" s="6" t="s">
        <v>780</v>
      </c>
      <c r="JN102" s="6"/>
      <c r="JO102" s="6"/>
      <c r="JP102" s="6"/>
      <c r="JQ102" s="5"/>
      <c r="JR102" s="6" t="s">
        <v>780</v>
      </c>
      <c r="JS102" s="6"/>
      <c r="JT102" s="6"/>
      <c r="JU102" s="6"/>
      <c r="JV102" s="5"/>
      <c r="JW102" s="6" t="s">
        <v>780</v>
      </c>
      <c r="JX102" s="3"/>
      <c r="JY102" s="4"/>
      <c r="JZ102" s="8"/>
      <c r="KA102" s="5"/>
      <c r="KB102" s="5"/>
      <c r="KC102" s="2"/>
      <c r="KD102" s="4"/>
      <c r="KE102" s="8"/>
      <c r="KF102" s="5" t="str">
        <f t="shared" si="330"/>
        <v>NO APLICA</v>
      </c>
      <c r="KG102" s="5"/>
      <c r="KH102" s="2"/>
      <c r="KI102" s="4"/>
      <c r="KJ102" s="8"/>
      <c r="KK102" s="5" t="str">
        <f t="shared" si="356"/>
        <v>NO APLICA</v>
      </c>
      <c r="KL102" s="5"/>
      <c r="KM102" s="2"/>
      <c r="KN102" s="4"/>
      <c r="KO102" s="8"/>
      <c r="KP102" s="5" t="str">
        <f t="shared" si="331"/>
        <v>NO APLICA</v>
      </c>
      <c r="KQ102" s="5"/>
      <c r="KR102" s="2"/>
      <c r="KS102" s="4"/>
      <c r="KT102" s="8"/>
      <c r="KU102" s="5" t="str">
        <f t="shared" si="357"/>
        <v>NO APLICA</v>
      </c>
      <c r="KV102" s="3"/>
      <c r="KW102" s="4">
        <v>44656</v>
      </c>
      <c r="KX102" s="4">
        <f>DATE(YEAR(KW102)+5,MONTH(KW102),DAY(KW102))</f>
        <v>46482</v>
      </c>
      <c r="KY102" s="8">
        <f ca="1">KX102-TODAY()</f>
        <v>337</v>
      </c>
      <c r="KZ102" s="5" t="str">
        <f t="shared" ca="1" si="366"/>
        <v>VIGENTE</v>
      </c>
      <c r="LA102" s="5"/>
      <c r="LB102" s="6"/>
      <c r="LC102" s="4"/>
      <c r="LD102" s="8"/>
      <c r="LE102" s="5" t="str">
        <f t="shared" si="358"/>
        <v>NO APLICA</v>
      </c>
      <c r="LF102" s="4"/>
      <c r="LG102" s="4"/>
      <c r="LH102" s="4"/>
      <c r="LI102" s="8"/>
      <c r="LJ102" s="5" t="str">
        <f t="shared" si="332"/>
        <v>NO APLICA</v>
      </c>
      <c r="LK102" s="5"/>
      <c r="LL102" s="5"/>
      <c r="LM102" s="4"/>
      <c r="LN102" s="8"/>
      <c r="LO102" s="5" t="str">
        <f t="shared" si="367"/>
        <v>NO APLICA</v>
      </c>
      <c r="LP102" s="2"/>
      <c r="LQ102" s="6"/>
      <c r="LR102" s="4"/>
      <c r="LS102" s="8"/>
      <c r="LT102" s="5" t="str">
        <f t="shared" si="359"/>
        <v>NO APLICA</v>
      </c>
      <c r="LU102" s="6"/>
      <c r="LV102" s="6"/>
      <c r="LW102" s="4"/>
      <c r="LX102" s="8"/>
      <c r="LY102" s="5" t="str">
        <f t="shared" si="360"/>
        <v>NO APLICA</v>
      </c>
      <c r="LZ102" s="6"/>
      <c r="MA102" s="6"/>
      <c r="MB102" s="4"/>
      <c r="MC102" s="8"/>
      <c r="MD102" s="5" t="str">
        <f t="shared" si="361"/>
        <v>NO APLICA</v>
      </c>
      <c r="ME102" s="2"/>
      <c r="MF102" s="2"/>
      <c r="MG102" s="4"/>
      <c r="MH102" s="8"/>
      <c r="MI102" s="5" t="str">
        <f t="shared" si="333"/>
        <v>NO APLICA</v>
      </c>
      <c r="MJ102" s="2"/>
      <c r="MK102" s="2"/>
      <c r="ML102" s="4"/>
      <c r="MM102" s="8"/>
      <c r="MN102" s="5" t="str">
        <f t="shared" si="334"/>
        <v>NO APLICA</v>
      </c>
      <c r="MO102" s="5"/>
      <c r="MP102" s="2"/>
      <c r="MQ102" s="4"/>
      <c r="MR102" s="8"/>
      <c r="MS102" s="5" t="str">
        <f t="shared" si="335"/>
        <v>NO APLICA</v>
      </c>
      <c r="MT102" s="5"/>
      <c r="MU102" s="2"/>
      <c r="MV102" s="4"/>
      <c r="MW102" s="2"/>
      <c r="MX102" s="5" t="str">
        <f t="shared" si="336"/>
        <v>NO APLICA</v>
      </c>
      <c r="MY102" s="2"/>
      <c r="MZ102" s="6"/>
      <c r="NA102" s="4"/>
      <c r="NB102" s="8"/>
      <c r="NC102" s="5" t="str">
        <f t="shared" si="337"/>
        <v>NO APLICA</v>
      </c>
      <c r="ND102" s="2"/>
      <c r="NE102" s="6"/>
      <c r="NF102" s="4"/>
      <c r="NG102" s="8"/>
      <c r="NH102" s="5" t="str">
        <f t="shared" si="338"/>
        <v>NO APLICA</v>
      </c>
      <c r="NI102" s="2"/>
      <c r="NJ102" s="6"/>
      <c r="NK102" s="4"/>
      <c r="NL102" s="8"/>
      <c r="NM102" s="5" t="str">
        <f t="shared" si="339"/>
        <v>NO APLICA</v>
      </c>
      <c r="NN102" s="2"/>
      <c r="NO102" s="2"/>
      <c r="NP102" s="4"/>
      <c r="NQ102" s="8"/>
      <c r="NR102" s="5" t="str">
        <f t="shared" si="340"/>
        <v>NO APLICA</v>
      </c>
      <c r="NS102" s="2"/>
      <c r="NT102" s="2"/>
      <c r="NU102" s="2"/>
      <c r="NV102" s="2"/>
      <c r="NW102" s="5" t="str">
        <f t="shared" si="341"/>
        <v>NO APLICA</v>
      </c>
      <c r="NX102" s="6"/>
      <c r="NY102" s="6"/>
      <c r="NZ102" s="4"/>
      <c r="OA102" s="8"/>
      <c r="OB102" s="5" t="str">
        <f t="shared" si="342"/>
        <v>NO APLICA</v>
      </c>
      <c r="OC102" s="6"/>
      <c r="OD102" s="6"/>
      <c r="OE102" s="6"/>
      <c r="OF102" s="6"/>
      <c r="OG102" s="5" t="str">
        <f t="shared" si="343"/>
        <v>NO APLICA</v>
      </c>
      <c r="OH102" s="6"/>
      <c r="OI102" s="6"/>
      <c r="OJ102" s="4"/>
      <c r="OK102" s="8"/>
      <c r="OL102" s="5" t="str">
        <f t="shared" si="344"/>
        <v>NO APLICA</v>
      </c>
      <c r="OM102" s="6"/>
      <c r="ON102" s="6"/>
      <c r="OO102" s="6"/>
      <c r="OP102" s="6"/>
      <c r="OQ102" s="5" t="str">
        <f t="shared" si="345"/>
        <v>NO APLICA</v>
      </c>
      <c r="OR102" s="6"/>
      <c r="OS102" s="6"/>
      <c r="OT102" s="6"/>
      <c r="OU102" s="6"/>
      <c r="OV102" s="5" t="str">
        <f t="shared" si="346"/>
        <v>NO APLICA</v>
      </c>
      <c r="OW102" s="6"/>
      <c r="OX102" s="6"/>
      <c r="OY102" s="6"/>
      <c r="OZ102" s="6"/>
      <c r="PA102" s="5" t="str">
        <f t="shared" si="347"/>
        <v>NO APLICA</v>
      </c>
      <c r="PB102" s="6"/>
      <c r="PC102" s="6"/>
      <c r="PD102" s="6"/>
      <c r="PE102" s="6"/>
      <c r="PF102" s="5" t="str">
        <f t="shared" si="348"/>
        <v>NO APLICA</v>
      </c>
      <c r="PG102" s="6"/>
      <c r="PH102" s="6"/>
      <c r="PI102" s="6"/>
      <c r="PJ102" s="6"/>
      <c r="PK102" s="5" t="str">
        <f t="shared" si="349"/>
        <v>NO APLICA</v>
      </c>
      <c r="PL102" s="5"/>
      <c r="PM102" s="6"/>
      <c r="PN102" s="4"/>
      <c r="PO102" s="8"/>
      <c r="PP102" s="5" t="str">
        <f t="shared" si="350"/>
        <v>NO APLICA</v>
      </c>
      <c r="PQ102" s="6"/>
      <c r="PR102" s="6"/>
      <c r="PS102" s="6"/>
      <c r="PT102" s="6"/>
      <c r="PU102" s="5" t="str">
        <f t="shared" si="351"/>
        <v>NO APLICA</v>
      </c>
      <c r="PV102" s="5"/>
      <c r="PW102" s="6"/>
      <c r="PX102" s="6"/>
      <c r="PY102" s="6"/>
      <c r="PZ102" s="5" t="str">
        <f t="shared" si="352"/>
        <v>NO APLICA</v>
      </c>
    </row>
    <row r="103" spans="1:442" ht="15.6" hidden="1" thickTop="1" thickBot="1" x14ac:dyDescent="0.35">
      <c r="A103" s="26">
        <v>100</v>
      </c>
      <c r="B103" s="27">
        <v>323</v>
      </c>
      <c r="C103" s="28" t="s">
        <v>760</v>
      </c>
      <c r="D103" s="29" t="s">
        <v>68</v>
      </c>
      <c r="E103" s="30" t="s">
        <v>355</v>
      </c>
      <c r="F103" s="5"/>
      <c r="G103" s="6"/>
      <c r="H103" s="4"/>
      <c r="I103" s="8"/>
      <c r="J103" s="5" t="str">
        <f t="shared" si="242"/>
        <v>NO APLICA</v>
      </c>
      <c r="K103" s="5"/>
      <c r="L103" s="6"/>
      <c r="M103" s="6"/>
      <c r="N103" s="8"/>
      <c r="O103" s="5" t="str">
        <f t="shared" si="243"/>
        <v>NO APLICA</v>
      </c>
      <c r="P103" s="4"/>
      <c r="Q103" s="4">
        <v>45758</v>
      </c>
      <c r="R103" s="4">
        <f>DATE(YEAR(Q103)+2,MONTH(Q103),DAY(Q103)-1)</f>
        <v>46487</v>
      </c>
      <c r="S103" s="8">
        <f ca="1">R103-TODAY()</f>
        <v>342</v>
      </c>
      <c r="T103" s="5" t="str">
        <f t="shared" ca="1" si="353"/>
        <v>VIGENTE</v>
      </c>
      <c r="U103" s="5"/>
      <c r="V103" s="2" t="s">
        <v>356</v>
      </c>
      <c r="W103" s="4">
        <v>44918</v>
      </c>
      <c r="X103" s="4">
        <f t="shared" si="244"/>
        <v>46744</v>
      </c>
      <c r="Y103" s="8">
        <f t="shared" ca="1" si="245"/>
        <v>599</v>
      </c>
      <c r="Z103" s="5" t="str">
        <f t="shared" ca="1" si="246"/>
        <v>VIGENTE</v>
      </c>
      <c r="AA103" s="5"/>
      <c r="AB103" s="2" t="s">
        <v>357</v>
      </c>
      <c r="AC103" s="4">
        <v>44988</v>
      </c>
      <c r="AD103" s="4">
        <f>DATE(YEAR(AC103)+5,MONTH(AC103),DAY(AC103))</f>
        <v>46815</v>
      </c>
      <c r="AE103" s="8">
        <f ca="1">AD103-TODAY()</f>
        <v>670</v>
      </c>
      <c r="AF103" s="5" t="str">
        <f t="shared" ca="1" si="247"/>
        <v>VIGENTE</v>
      </c>
      <c r="AG103" s="3"/>
      <c r="AH103" s="4">
        <v>45594</v>
      </c>
      <c r="AI103" s="4">
        <f>DATE(YEAR(AH103)+2,MONTH(AH103),DAY(AH103)-1)</f>
        <v>46323</v>
      </c>
      <c r="AJ103" s="8">
        <f t="shared" ca="1" si="248"/>
        <v>178</v>
      </c>
      <c r="AK103" s="5" t="str">
        <f t="shared" ca="1" si="219"/>
        <v>VIGENTE</v>
      </c>
      <c r="AL103" s="3"/>
      <c r="AM103" s="4">
        <v>45710</v>
      </c>
      <c r="AN103" s="4">
        <f>DATE(YEAR(AM103)+2,MONTH(AM103),DAY(AM103)-1)</f>
        <v>46439</v>
      </c>
      <c r="AO103" s="8">
        <f t="shared" ca="1" si="249"/>
        <v>294</v>
      </c>
      <c r="AP103" s="5" t="str">
        <f t="shared" ca="1" si="250"/>
        <v>VIGENTE</v>
      </c>
      <c r="AQ103" s="3"/>
      <c r="AR103" s="4">
        <v>45703</v>
      </c>
      <c r="AS103" s="4">
        <f>DATE(YEAR(AR103)+2,MONTH(AR103),DAY(AR103)-1)</f>
        <v>46432</v>
      </c>
      <c r="AT103" s="8">
        <f t="shared" ca="1" si="251"/>
        <v>287</v>
      </c>
      <c r="AU103" s="5" t="str">
        <f t="shared" ca="1" si="252"/>
        <v>VIGENTE</v>
      </c>
      <c r="AV103" s="3"/>
      <c r="AW103" s="4">
        <v>45702</v>
      </c>
      <c r="AX103" s="4">
        <f>DATE(YEAR(AW103)+2,MONTH(AW103),DAY(AW103)-1)</f>
        <v>46431</v>
      </c>
      <c r="AY103" s="8">
        <f t="shared" ca="1" si="253"/>
        <v>286</v>
      </c>
      <c r="AZ103" s="5" t="str">
        <f t="shared" ca="1" si="254"/>
        <v>VIGENTE</v>
      </c>
      <c r="BA103" s="3"/>
      <c r="BB103" s="4">
        <v>45603</v>
      </c>
      <c r="BC103" s="4">
        <f>DATE(YEAR(BB103)+2,MONTH(BB103),DAY(BB103)-1)</f>
        <v>46332</v>
      </c>
      <c r="BD103" s="8">
        <f t="shared" ca="1" si="255"/>
        <v>187</v>
      </c>
      <c r="BE103" s="5" t="str">
        <f t="shared" ca="1" si="256"/>
        <v>VIGENTE</v>
      </c>
      <c r="BF103" s="3"/>
      <c r="BG103" s="4">
        <v>45605</v>
      </c>
      <c r="BH103" s="4">
        <f>DATE(YEAR(BG103)+2,MONTH(BG103),DAY(BG103)-1)</f>
        <v>46334</v>
      </c>
      <c r="BI103" s="8">
        <f t="shared" ca="1" si="257"/>
        <v>189</v>
      </c>
      <c r="BJ103" s="5" t="str">
        <f t="shared" ca="1" si="258"/>
        <v>VIGENTE</v>
      </c>
      <c r="BK103" s="3"/>
      <c r="BL103" s="4">
        <v>45600</v>
      </c>
      <c r="BM103" s="4">
        <f>DATE(YEAR(BL103)+2,MONTH(BL103),DAY(BL103)-1)</f>
        <v>46329</v>
      </c>
      <c r="BN103" s="8">
        <f t="shared" ca="1" si="259"/>
        <v>184</v>
      </c>
      <c r="BO103" s="5" t="str">
        <f t="shared" ca="1" si="260"/>
        <v>VIGENTE</v>
      </c>
      <c r="BP103" s="3"/>
      <c r="BQ103" s="39">
        <v>45701</v>
      </c>
      <c r="BR103" s="4">
        <f>DATE(YEAR(BQ103)+2,MONTH(BQ103),DAY(BQ103)-1)</f>
        <v>46430</v>
      </c>
      <c r="BS103" s="8">
        <f t="shared" ca="1" si="261"/>
        <v>285</v>
      </c>
      <c r="BT103" s="5" t="str">
        <f t="shared" ca="1" si="262"/>
        <v>VIGENTE</v>
      </c>
      <c r="BU103" s="3"/>
      <c r="BV103" s="4">
        <v>45572</v>
      </c>
      <c r="BW103" s="4">
        <f>DATE(YEAR(BV103)+2,MONTH(BV103),DAY(BV103)-1)</f>
        <v>46301</v>
      </c>
      <c r="BX103" s="8">
        <f t="shared" ca="1" si="263"/>
        <v>156</v>
      </c>
      <c r="BY103" s="5" t="str">
        <f t="shared" ca="1" si="264"/>
        <v>VIGENTE</v>
      </c>
      <c r="BZ103" s="3"/>
      <c r="CA103" s="4">
        <v>45629</v>
      </c>
      <c r="CB103" s="4">
        <f>DATE(YEAR(CA103)+2,MONTH(CA103),DAY(CA103)-1)</f>
        <v>46358</v>
      </c>
      <c r="CC103" s="8">
        <f t="shared" ca="1" si="265"/>
        <v>213</v>
      </c>
      <c r="CD103" s="5" t="str">
        <f t="shared" ca="1" si="266"/>
        <v>VIGENTE</v>
      </c>
      <c r="CE103" s="6"/>
      <c r="CF103" s="4">
        <v>45282</v>
      </c>
      <c r="CG103" s="4">
        <f t="shared" si="387"/>
        <v>46743</v>
      </c>
      <c r="CH103" s="8">
        <f t="shared" ca="1" si="388"/>
        <v>598</v>
      </c>
      <c r="CI103" s="5" t="str">
        <f t="shared" ca="1" si="269"/>
        <v>VIGENTE</v>
      </c>
      <c r="CJ103" s="4"/>
      <c r="CK103" s="4">
        <v>45601</v>
      </c>
      <c r="CL103" s="4">
        <f>DATE(YEAR(CK103)+2,MONTH(CK103),DAY(CK103)-1)</f>
        <v>46330</v>
      </c>
      <c r="CM103" s="8">
        <f t="shared" ca="1" si="270"/>
        <v>185</v>
      </c>
      <c r="CN103" s="5" t="str">
        <f t="shared" ca="1" si="271"/>
        <v>VIGENTE</v>
      </c>
      <c r="CO103" s="3"/>
      <c r="CP103" s="39">
        <v>45618</v>
      </c>
      <c r="CQ103" s="4">
        <f>DATE(YEAR(CP103)+2,MONTH(CP103),DAY(CP103)-1)</f>
        <v>46347</v>
      </c>
      <c r="CR103" s="8">
        <f t="shared" ca="1" si="272"/>
        <v>202</v>
      </c>
      <c r="CS103" s="5" t="str">
        <f t="shared" ca="1" si="273"/>
        <v>VIGENTE</v>
      </c>
      <c r="CT103" s="3"/>
      <c r="CU103" s="4">
        <v>45631</v>
      </c>
      <c r="CV103" s="4">
        <f>DATE(YEAR(CU103)+2,MONTH(CU103),DAY(CU103)-1)</f>
        <v>46360</v>
      </c>
      <c r="CW103" s="8">
        <f t="shared" ca="1" si="274"/>
        <v>215</v>
      </c>
      <c r="CX103" s="5" t="str">
        <f t="shared" ca="1" si="275"/>
        <v>VIGENTE</v>
      </c>
      <c r="CY103" s="3"/>
      <c r="CZ103" s="4">
        <v>45646</v>
      </c>
      <c r="DA103" s="4">
        <f t="shared" si="399"/>
        <v>46375</v>
      </c>
      <c r="DB103" s="8">
        <f t="shared" ca="1" si="276"/>
        <v>230</v>
      </c>
      <c r="DC103" s="5" t="str">
        <f t="shared" ca="1" si="277"/>
        <v>VIGENTE</v>
      </c>
      <c r="DD103" s="3"/>
      <c r="DE103" s="39">
        <v>45689</v>
      </c>
      <c r="DF103" s="4">
        <f>DATE(YEAR(DE103)+2,MONTH(DE103),DAY(DE103)-1)</f>
        <v>46418</v>
      </c>
      <c r="DG103" s="8">
        <f t="shared" ca="1" si="278"/>
        <v>273</v>
      </c>
      <c r="DH103" s="5" t="str">
        <f t="shared" ca="1" si="279"/>
        <v>VIGENTE</v>
      </c>
      <c r="DI103" s="3"/>
      <c r="DJ103" s="39">
        <v>45696</v>
      </c>
      <c r="DK103" s="4">
        <f>DATE(YEAR(DJ103)+2,MONTH(DJ103),DAY(DJ103)-1)</f>
        <v>46425</v>
      </c>
      <c r="DL103" s="8">
        <f t="shared" ca="1" si="280"/>
        <v>280</v>
      </c>
      <c r="DM103" s="5" t="str">
        <f t="shared" ca="1" si="281"/>
        <v>VIGENTE</v>
      </c>
      <c r="DN103" s="3"/>
      <c r="DO103" s="4">
        <v>45577</v>
      </c>
      <c r="DP103" s="4">
        <f>DATE(YEAR(DO103)+2,MONTH(DO103),DAY(DO103)-1)</f>
        <v>46306</v>
      </c>
      <c r="DQ103" s="8">
        <f t="shared" ca="1" si="282"/>
        <v>161</v>
      </c>
      <c r="DR103" s="5" t="str">
        <f t="shared" ca="1" si="283"/>
        <v>VIGENTE</v>
      </c>
      <c r="DS103" s="3"/>
      <c r="DT103" s="4">
        <v>45619</v>
      </c>
      <c r="DU103" s="4">
        <f>DATE(YEAR(DT103)+2,MONTH(DT103),DAY(DT103)-1)</f>
        <v>46348</v>
      </c>
      <c r="DV103" s="8">
        <f t="shared" ca="1" si="284"/>
        <v>203</v>
      </c>
      <c r="DW103" s="5" t="str">
        <f t="shared" ca="1" si="285"/>
        <v>VIGENTE</v>
      </c>
      <c r="DX103" s="3"/>
      <c r="DY103" s="4">
        <v>45582</v>
      </c>
      <c r="DZ103" s="4">
        <f>DATE(YEAR(DY103)+2,MONTH(DY103),DAY(DY103)-1)</f>
        <v>46311</v>
      </c>
      <c r="EA103" s="8">
        <f t="shared" ca="1" si="286"/>
        <v>166</v>
      </c>
      <c r="EB103" s="5" t="str">
        <f t="shared" ca="1" si="287"/>
        <v>VIGENTE</v>
      </c>
      <c r="EC103" s="3"/>
      <c r="ED103" s="39">
        <v>45602</v>
      </c>
      <c r="EE103" s="4">
        <f>DATE(YEAR(ED103)+2,MONTH(ED103),DAY(ED103)-1)</f>
        <v>46331</v>
      </c>
      <c r="EF103" s="8">
        <f t="shared" ca="1" si="288"/>
        <v>186</v>
      </c>
      <c r="EG103" s="5" t="str">
        <f t="shared" ca="1" si="289"/>
        <v>VIGENTE</v>
      </c>
      <c r="EH103" s="3"/>
      <c r="EI103" s="4">
        <v>46115</v>
      </c>
      <c r="EJ103" s="4">
        <f t="shared" si="355"/>
        <v>46480</v>
      </c>
      <c r="EK103" s="8">
        <f t="shared" ca="1" si="290"/>
        <v>335</v>
      </c>
      <c r="EL103" s="5" t="str">
        <f t="shared" ca="1" si="291"/>
        <v>VIGENTE</v>
      </c>
      <c r="EM103" s="3"/>
      <c r="EN103" s="4">
        <v>45671</v>
      </c>
      <c r="EO103" s="4">
        <f>DATE(YEAR(EN103)+2,MONTH(EN103),DAY(EN103)-1)</f>
        <v>46400</v>
      </c>
      <c r="EP103" s="8">
        <f t="shared" ca="1" si="292"/>
        <v>255</v>
      </c>
      <c r="EQ103" s="5" t="str">
        <f t="shared" ca="1" si="293"/>
        <v>VIGENTE</v>
      </c>
      <c r="ER103" s="3"/>
      <c r="ES103" s="39">
        <v>45575</v>
      </c>
      <c r="ET103" s="4">
        <f>DATE(YEAR(ES103)+2,MONTH(ES103),DAY(ES103)-1)</f>
        <v>46304</v>
      </c>
      <c r="EU103" s="8">
        <f t="shared" ca="1" si="294"/>
        <v>159</v>
      </c>
      <c r="EV103" s="5" t="str">
        <f t="shared" ca="1" si="295"/>
        <v>VIGENTE</v>
      </c>
      <c r="EW103" s="3"/>
      <c r="EX103" s="4">
        <v>45610</v>
      </c>
      <c r="EY103" s="4">
        <f>DATE(YEAR(EX103)+2,MONTH(EX103),DAY(EX103)-1)</f>
        <v>46339</v>
      </c>
      <c r="EZ103" s="8">
        <f t="shared" ca="1" si="296"/>
        <v>194</v>
      </c>
      <c r="FA103" s="5" t="str">
        <f t="shared" ca="1" si="297"/>
        <v>VIGENTE</v>
      </c>
      <c r="FB103" s="3"/>
      <c r="FC103" s="4">
        <v>45611</v>
      </c>
      <c r="FD103" s="4">
        <f>DATE(YEAR(FC103)+2,MONTH(FC103),DAY(FC103)-1)</f>
        <v>46340</v>
      </c>
      <c r="FE103" s="8">
        <f t="shared" ca="1" si="298"/>
        <v>195</v>
      </c>
      <c r="FF103" s="5" t="str">
        <f t="shared" ca="1" si="299"/>
        <v>VIGENTE</v>
      </c>
      <c r="FG103" s="3"/>
      <c r="FH103" s="4">
        <v>45668</v>
      </c>
      <c r="FI103" s="4">
        <f>DATE(YEAR(FH103)+2,MONTH(FH103),DAY(FH103)-1)</f>
        <v>46397</v>
      </c>
      <c r="FJ103" s="8">
        <f t="shared" ca="1" si="300"/>
        <v>252</v>
      </c>
      <c r="FK103" s="5" t="str">
        <f t="shared" ca="1" si="301"/>
        <v>VIGENTE</v>
      </c>
      <c r="FL103" s="3"/>
      <c r="FM103" s="39">
        <v>45588</v>
      </c>
      <c r="FN103" s="4">
        <f>DATE(YEAR(FM103)+2,MONTH(FM103),DAY(FM103)-1)</f>
        <v>46317</v>
      </c>
      <c r="FO103" s="8">
        <f t="shared" ca="1" si="302"/>
        <v>172</v>
      </c>
      <c r="FP103" s="5" t="str">
        <f t="shared" ca="1" si="303"/>
        <v>VIGENTE</v>
      </c>
      <c r="FQ103" s="3"/>
      <c r="FR103" s="39">
        <v>45664</v>
      </c>
      <c r="FS103" s="4">
        <f>DATE(YEAR(FR103)+2,MONTH(FR103),DAY(FR103)-1)</f>
        <v>46393</v>
      </c>
      <c r="FT103" s="8">
        <f t="shared" ca="1" si="304"/>
        <v>248</v>
      </c>
      <c r="FU103" s="5" t="str">
        <f t="shared" ca="1" si="305"/>
        <v>VIGENTE</v>
      </c>
      <c r="FV103" s="3"/>
      <c r="FW103" s="4">
        <v>45700</v>
      </c>
      <c r="FX103" s="4">
        <f t="shared" si="400"/>
        <v>46429</v>
      </c>
      <c r="FY103" s="8">
        <f t="shared" ca="1" si="306"/>
        <v>284</v>
      </c>
      <c r="FZ103" s="5" t="str">
        <f t="shared" ca="1" si="307"/>
        <v>VIGENTE</v>
      </c>
      <c r="GA103" s="3"/>
      <c r="GB103" s="4">
        <v>45667</v>
      </c>
      <c r="GC103" s="4">
        <f>DATE(YEAR(GB103)+2,MONTH(GB103),DAY(GB103)-1)</f>
        <v>46396</v>
      </c>
      <c r="GD103" s="8">
        <f t="shared" ca="1" si="308"/>
        <v>251</v>
      </c>
      <c r="GE103" s="5" t="str">
        <f t="shared" ca="1" si="309"/>
        <v>VIGENTE</v>
      </c>
      <c r="GF103" s="3"/>
      <c r="GG103" s="4">
        <v>45672</v>
      </c>
      <c r="GH103" s="4">
        <f>DATE(YEAR(GG103)+2,MONTH(GG103),DAY(GG103)-1)</f>
        <v>46401</v>
      </c>
      <c r="GI103" s="8">
        <f t="shared" ca="1" si="310"/>
        <v>256</v>
      </c>
      <c r="GJ103" s="5" t="str">
        <f t="shared" ca="1" si="311"/>
        <v>VIGENTE</v>
      </c>
      <c r="GK103" s="3"/>
      <c r="GL103" s="4">
        <v>45608</v>
      </c>
      <c r="GM103" s="4">
        <f>DATE(YEAR(GL103)+2,MONTH(GL103),DAY(GL103)-1)</f>
        <v>46337</v>
      </c>
      <c r="GN103" s="8">
        <f t="shared" ca="1" si="312"/>
        <v>192</v>
      </c>
      <c r="GO103" s="5" t="str">
        <f t="shared" ca="1" si="313"/>
        <v>VIGENTE</v>
      </c>
      <c r="GP103" s="4"/>
      <c r="GQ103" s="4">
        <v>44952</v>
      </c>
      <c r="GR103" s="4">
        <f t="shared" si="314"/>
        <v>46778</v>
      </c>
      <c r="GS103" s="8">
        <f t="shared" ca="1" si="384"/>
        <v>633</v>
      </c>
      <c r="GT103" s="5" t="str">
        <f t="shared" ca="1" si="378"/>
        <v>VIGENTE</v>
      </c>
      <c r="GU103" s="3"/>
      <c r="GV103" s="4">
        <v>44961</v>
      </c>
      <c r="GW103" s="4">
        <f t="shared" si="316"/>
        <v>46787</v>
      </c>
      <c r="GX103" s="8">
        <f t="shared" ca="1" si="317"/>
        <v>642</v>
      </c>
      <c r="GY103" s="5" t="str">
        <f t="shared" ca="1" si="379"/>
        <v>VIGENTE</v>
      </c>
      <c r="GZ103" s="2"/>
      <c r="HA103" s="4">
        <v>44980</v>
      </c>
      <c r="HB103" s="4">
        <f t="shared" si="319"/>
        <v>46806</v>
      </c>
      <c r="HC103" s="8">
        <f t="shared" ca="1" si="320"/>
        <v>661</v>
      </c>
      <c r="HD103" s="5" t="str">
        <f t="shared" ca="1" si="401"/>
        <v>VIGENTE</v>
      </c>
      <c r="HE103" s="6"/>
      <c r="HF103" s="4">
        <v>45115</v>
      </c>
      <c r="HG103" s="4">
        <f t="shared" si="402"/>
        <v>46942</v>
      </c>
      <c r="HH103" s="8">
        <f t="shared" ca="1" si="403"/>
        <v>797</v>
      </c>
      <c r="HI103" s="5" t="str">
        <f t="shared" ca="1" si="404"/>
        <v>VIGENTE</v>
      </c>
      <c r="HJ103" s="2"/>
      <c r="HK103" s="6"/>
      <c r="HL103" s="4"/>
      <c r="HM103" s="8"/>
      <c r="HN103" s="5" t="str">
        <f t="shared" si="385"/>
        <v>NO APLICA</v>
      </c>
      <c r="HO103" s="2"/>
      <c r="HP103" s="5"/>
      <c r="HQ103" s="4"/>
      <c r="HR103" s="5"/>
      <c r="HS103" s="5" t="str">
        <f t="shared" si="322"/>
        <v>NO APLICA</v>
      </c>
      <c r="HT103" s="2"/>
      <c r="HU103" s="4">
        <v>45089</v>
      </c>
      <c r="HV103" s="4">
        <f>DATE(YEAR(HU103)+5,MONTH(HU103),DAY(HU103))</f>
        <v>46916</v>
      </c>
      <c r="HW103" s="8">
        <f ca="1">HV103-TODAY()</f>
        <v>771</v>
      </c>
      <c r="HX103" s="5" t="str">
        <f t="shared" ca="1" si="323"/>
        <v>VIGENTE</v>
      </c>
      <c r="HY103" s="2"/>
      <c r="HZ103" s="4">
        <v>45092</v>
      </c>
      <c r="IA103" s="4">
        <f>DATE(YEAR(HZ103)+5,MONTH(HZ103),DAY(HZ103))</f>
        <v>46919</v>
      </c>
      <c r="IB103" s="8">
        <f ca="1">IA103-TODAY()</f>
        <v>774</v>
      </c>
      <c r="IC103" s="5" t="str">
        <f t="shared" ca="1" si="324"/>
        <v>VIGENTE</v>
      </c>
      <c r="ID103" s="2"/>
      <c r="IE103" s="4">
        <v>45100</v>
      </c>
      <c r="IF103" s="4">
        <f>DATE(YEAR(IE103)+5,MONTH(IE103),DAY(IE103))</f>
        <v>46927</v>
      </c>
      <c r="IG103" s="8">
        <f ca="1">IF103-TODAY()</f>
        <v>782</v>
      </c>
      <c r="IH103" s="5" t="str">
        <f t="shared" ca="1" si="325"/>
        <v>VIGENTE</v>
      </c>
      <c r="II103" s="6"/>
      <c r="IJ103" s="4">
        <v>45105</v>
      </c>
      <c r="IK103" s="4">
        <f>DATE(YEAR(IJ103)+5,MONTH(IJ103),DAY(IJ103))</f>
        <v>46932</v>
      </c>
      <c r="IL103" s="8">
        <f ca="1">IK103-TODAY()</f>
        <v>787</v>
      </c>
      <c r="IM103" s="5" t="str">
        <f t="shared" ca="1" si="326"/>
        <v>VIGENTE</v>
      </c>
      <c r="IN103" s="2"/>
      <c r="IO103" s="4">
        <v>45064</v>
      </c>
      <c r="IP103" s="4">
        <f>DATE(YEAR(IO103)+5,MONTH(IO103),DAY(IO103))</f>
        <v>46891</v>
      </c>
      <c r="IQ103" s="8">
        <f ca="1">IP103-TODAY()</f>
        <v>746</v>
      </c>
      <c r="IR103" s="5" t="str">
        <f t="shared" ca="1" si="327"/>
        <v>VIGENTE</v>
      </c>
      <c r="IS103" s="2"/>
      <c r="IT103" s="4">
        <v>45062</v>
      </c>
      <c r="IU103" s="4">
        <f>DATE(YEAR(IT103)+5,MONTH(IT103),DAY(IT103))</f>
        <v>46889</v>
      </c>
      <c r="IV103" s="8">
        <f ca="1">IU103-TODAY()</f>
        <v>744</v>
      </c>
      <c r="IW103" s="5" t="str">
        <f t="shared" ca="1" si="328"/>
        <v>VIGENTE</v>
      </c>
      <c r="IX103" s="2"/>
      <c r="IY103" s="4">
        <v>45101</v>
      </c>
      <c r="IZ103" s="4">
        <f>DATE(YEAR(IY103)+5,MONTH(IY103),DAY(IY103))</f>
        <v>46928</v>
      </c>
      <c r="JA103" s="8">
        <f ca="1">IZ103-TODAY()</f>
        <v>783</v>
      </c>
      <c r="JB103" s="5" t="str">
        <f t="shared" ca="1" si="329"/>
        <v>VIGENTE</v>
      </c>
      <c r="JC103" s="3" t="s">
        <v>780</v>
      </c>
      <c r="JD103" s="3"/>
      <c r="JE103" s="4"/>
      <c r="JF103" s="8"/>
      <c r="JG103" s="5"/>
      <c r="JH103" s="3" t="s">
        <v>780</v>
      </c>
      <c r="JI103" s="6"/>
      <c r="JJ103" s="6"/>
      <c r="JK103" s="6"/>
      <c r="JL103" s="5"/>
      <c r="JM103" s="6" t="s">
        <v>780</v>
      </c>
      <c r="JN103" s="6"/>
      <c r="JO103" s="6"/>
      <c r="JP103" s="6"/>
      <c r="JQ103" s="5"/>
      <c r="JR103" s="6" t="s">
        <v>780</v>
      </c>
      <c r="JS103" s="6"/>
      <c r="JT103" s="6"/>
      <c r="JU103" s="6"/>
      <c r="JV103" s="5"/>
      <c r="JW103" s="6" t="s">
        <v>780</v>
      </c>
      <c r="JX103" s="5"/>
      <c r="JY103" s="5"/>
      <c r="JZ103" s="5"/>
      <c r="KA103" s="5"/>
      <c r="KB103" s="5"/>
      <c r="KC103" s="5"/>
      <c r="KD103" s="4"/>
      <c r="KE103" s="8"/>
      <c r="KF103" s="5" t="str">
        <f t="shared" si="330"/>
        <v>NO APLICA</v>
      </c>
      <c r="KG103" s="5"/>
      <c r="KH103" s="5"/>
      <c r="KI103" s="4"/>
      <c r="KJ103" s="8"/>
      <c r="KK103" s="5" t="str">
        <f t="shared" si="356"/>
        <v>NO APLICA</v>
      </c>
      <c r="KL103" s="5"/>
      <c r="KM103" s="3">
        <v>45364</v>
      </c>
      <c r="KN103" s="4">
        <f>DATE(YEAR(KM103)+5,MONTH(KM103),DAY(KM103))</f>
        <v>47190</v>
      </c>
      <c r="KO103" s="8">
        <f ca="1">KN103-TODAY()</f>
        <v>1045</v>
      </c>
      <c r="KP103" s="5" t="str">
        <f t="shared" ca="1" si="331"/>
        <v>VIGENTE</v>
      </c>
      <c r="KQ103" s="5"/>
      <c r="KR103" s="2"/>
      <c r="KS103" s="4"/>
      <c r="KT103" s="8"/>
      <c r="KU103" s="5" t="str">
        <f t="shared" si="357"/>
        <v>NO APLICA</v>
      </c>
      <c r="KV103" s="2"/>
      <c r="KW103" s="6"/>
      <c r="KX103" s="4"/>
      <c r="KY103" s="8"/>
      <c r="KZ103" s="5" t="str">
        <f t="shared" si="366"/>
        <v>NO APLICA</v>
      </c>
      <c r="LA103" s="5"/>
      <c r="LB103" s="4">
        <v>44545</v>
      </c>
      <c r="LC103" s="4">
        <f>DATE(YEAR(LB103)+5,MONTH(LB103),DAY(LB103))</f>
        <v>46371</v>
      </c>
      <c r="LD103" s="8">
        <f ca="1">LC103-TODAY()</f>
        <v>226</v>
      </c>
      <c r="LE103" s="5" t="str">
        <f t="shared" ca="1" si="358"/>
        <v>VIGENTE</v>
      </c>
      <c r="LF103" s="6"/>
      <c r="LG103" s="6"/>
      <c r="LH103" s="4"/>
      <c r="LI103" s="8"/>
      <c r="LJ103" s="5" t="str">
        <f t="shared" si="332"/>
        <v>NO APLICA</v>
      </c>
      <c r="LK103" s="5"/>
      <c r="LL103" s="5"/>
      <c r="LM103" s="4"/>
      <c r="LN103" s="8"/>
      <c r="LO103" s="5" t="str">
        <f t="shared" si="367"/>
        <v>NO APLICA</v>
      </c>
      <c r="LP103" s="5"/>
      <c r="LQ103" s="6"/>
      <c r="LR103" s="4"/>
      <c r="LS103" s="8"/>
      <c r="LT103" s="5" t="str">
        <f t="shared" si="359"/>
        <v>NO APLICA</v>
      </c>
      <c r="LU103" s="6"/>
      <c r="LV103" s="6"/>
      <c r="LW103" s="4"/>
      <c r="LX103" s="8"/>
      <c r="LY103" s="5" t="str">
        <f t="shared" si="360"/>
        <v>NO APLICA</v>
      </c>
      <c r="LZ103" s="6"/>
      <c r="MA103" s="6"/>
      <c r="MB103" s="4"/>
      <c r="MC103" s="8"/>
      <c r="MD103" s="5" t="str">
        <f t="shared" si="361"/>
        <v>NO APLICA</v>
      </c>
      <c r="ME103" s="5"/>
      <c r="MF103" s="5"/>
      <c r="MG103" s="4"/>
      <c r="MH103" s="8"/>
      <c r="MI103" s="5" t="str">
        <f t="shared" si="333"/>
        <v>NO APLICA</v>
      </c>
      <c r="MJ103" s="5"/>
      <c r="MK103" s="5"/>
      <c r="ML103" s="4"/>
      <c r="MM103" s="8"/>
      <c r="MN103" s="5" t="str">
        <f t="shared" si="334"/>
        <v>NO APLICA</v>
      </c>
      <c r="MO103" s="5"/>
      <c r="MP103" s="5"/>
      <c r="MQ103" s="4"/>
      <c r="MR103" s="8"/>
      <c r="MS103" s="5" t="str">
        <f t="shared" si="335"/>
        <v>NO APLICA</v>
      </c>
      <c r="MT103" s="5"/>
      <c r="MU103" s="5"/>
      <c r="MV103" s="4"/>
      <c r="MW103" s="5"/>
      <c r="MX103" s="5" t="str">
        <f t="shared" si="336"/>
        <v>NO APLICA</v>
      </c>
      <c r="MY103" s="5"/>
      <c r="MZ103" s="6"/>
      <c r="NA103" s="4"/>
      <c r="NB103" s="8"/>
      <c r="NC103" s="5" t="str">
        <f t="shared" si="337"/>
        <v>NO APLICA</v>
      </c>
      <c r="ND103" s="5"/>
      <c r="NE103" s="6"/>
      <c r="NF103" s="4"/>
      <c r="NG103" s="8"/>
      <c r="NH103" s="5" t="str">
        <f t="shared" si="338"/>
        <v>NO APLICA</v>
      </c>
      <c r="NI103" s="5"/>
      <c r="NJ103" s="6"/>
      <c r="NK103" s="4"/>
      <c r="NL103" s="8"/>
      <c r="NM103" s="5" t="str">
        <f t="shared" si="339"/>
        <v>NO APLICA</v>
      </c>
      <c r="NN103" s="5"/>
      <c r="NO103" s="5"/>
      <c r="NP103" s="4"/>
      <c r="NQ103" s="8"/>
      <c r="NR103" s="5" t="str">
        <f t="shared" si="340"/>
        <v>NO APLICA</v>
      </c>
      <c r="NS103" s="5"/>
      <c r="NT103" s="5"/>
      <c r="NU103" s="5"/>
      <c r="NV103" s="5"/>
      <c r="NW103" s="5" t="str">
        <f t="shared" si="341"/>
        <v>NO APLICA</v>
      </c>
      <c r="NX103" s="6"/>
      <c r="NY103" s="6"/>
      <c r="NZ103" s="6"/>
      <c r="OA103" s="6"/>
      <c r="OB103" s="5" t="str">
        <f t="shared" si="342"/>
        <v>NO APLICA</v>
      </c>
      <c r="OC103" s="6"/>
      <c r="OD103" s="6"/>
      <c r="OE103" s="6"/>
      <c r="OF103" s="6"/>
      <c r="OG103" s="5" t="str">
        <f t="shared" si="343"/>
        <v>NO APLICA</v>
      </c>
      <c r="OH103" s="5"/>
      <c r="OI103" s="5"/>
      <c r="OJ103" s="4"/>
      <c r="OK103" s="8"/>
      <c r="OL103" s="5" t="str">
        <f t="shared" si="344"/>
        <v>NO APLICA</v>
      </c>
      <c r="OM103" s="6"/>
      <c r="ON103" s="6"/>
      <c r="OO103" s="6"/>
      <c r="OP103" s="6"/>
      <c r="OQ103" s="5" t="str">
        <f t="shared" si="345"/>
        <v>NO APLICA</v>
      </c>
      <c r="OR103" s="6"/>
      <c r="OS103" s="6"/>
      <c r="OT103" s="6"/>
      <c r="OU103" s="6"/>
      <c r="OV103" s="5" t="str">
        <f t="shared" si="346"/>
        <v>NO APLICA</v>
      </c>
      <c r="OW103" s="6"/>
      <c r="OX103" s="6"/>
      <c r="OY103" s="6"/>
      <c r="OZ103" s="6"/>
      <c r="PA103" s="5" t="str">
        <f t="shared" si="347"/>
        <v>NO APLICA</v>
      </c>
      <c r="PB103" s="6"/>
      <c r="PC103" s="6"/>
      <c r="PD103" s="6"/>
      <c r="PE103" s="6"/>
      <c r="PF103" s="5" t="str">
        <f t="shared" si="348"/>
        <v>NO APLICA</v>
      </c>
      <c r="PG103" s="6"/>
      <c r="PH103" s="6"/>
      <c r="PI103" s="6"/>
      <c r="PJ103" s="6"/>
      <c r="PK103" s="5" t="str">
        <f t="shared" si="349"/>
        <v>NO APLICA</v>
      </c>
      <c r="PL103" s="5"/>
      <c r="PM103" s="6"/>
      <c r="PN103" s="4"/>
      <c r="PO103" s="8"/>
      <c r="PP103" s="5" t="str">
        <f t="shared" si="350"/>
        <v>NO APLICA</v>
      </c>
      <c r="PQ103" s="6"/>
      <c r="PR103" s="6"/>
      <c r="PS103" s="6"/>
      <c r="PT103" s="6"/>
      <c r="PU103" s="5" t="str">
        <f t="shared" si="351"/>
        <v>NO APLICA</v>
      </c>
      <c r="PV103" s="5"/>
      <c r="PW103" s="6"/>
      <c r="PX103" s="6"/>
      <c r="PY103" s="6"/>
      <c r="PZ103" s="5" t="str">
        <f t="shared" si="352"/>
        <v>NO APLICA</v>
      </c>
    </row>
    <row r="104" spans="1:442" ht="15.6" hidden="1" thickTop="1" thickBot="1" x14ac:dyDescent="0.35">
      <c r="A104" s="26">
        <v>101</v>
      </c>
      <c r="B104" s="31">
        <v>1716</v>
      </c>
      <c r="C104" s="28" t="s">
        <v>358</v>
      </c>
      <c r="D104" s="29" t="s">
        <v>64</v>
      </c>
      <c r="E104" s="30" t="s">
        <v>81</v>
      </c>
      <c r="F104" s="6"/>
      <c r="G104" s="6"/>
      <c r="H104" s="6"/>
      <c r="I104" s="6"/>
      <c r="J104" s="5" t="str">
        <f t="shared" si="242"/>
        <v>NO APLICA</v>
      </c>
      <c r="K104" s="6"/>
      <c r="L104" s="6"/>
      <c r="M104" s="6"/>
      <c r="N104" s="6"/>
      <c r="O104" s="5" t="str">
        <f t="shared" si="243"/>
        <v>NO APLICA</v>
      </c>
      <c r="P104" s="4"/>
      <c r="Q104" s="4">
        <v>45597</v>
      </c>
      <c r="R104" s="4">
        <f>DATE(YEAR(Q104)+2,MONTH(Q104),DAY(Q104)-1)</f>
        <v>46326</v>
      </c>
      <c r="S104" s="8">
        <f ca="1">R104-TODAY()</f>
        <v>181</v>
      </c>
      <c r="T104" s="5" t="str">
        <f t="shared" ca="1" si="353"/>
        <v>VIGENTE</v>
      </c>
      <c r="U104" s="5"/>
      <c r="V104" s="6" t="s">
        <v>359</v>
      </c>
      <c r="W104" s="4">
        <v>45309</v>
      </c>
      <c r="X104" s="4">
        <f t="shared" si="244"/>
        <v>47136</v>
      </c>
      <c r="Y104" s="8">
        <f t="shared" ca="1" si="245"/>
        <v>991</v>
      </c>
      <c r="Z104" s="5" t="str">
        <f t="shared" ca="1" si="246"/>
        <v>VIGENTE</v>
      </c>
      <c r="AA104" s="5"/>
      <c r="AB104" s="6"/>
      <c r="AC104" s="6"/>
      <c r="AD104" s="4"/>
      <c r="AE104" s="8"/>
      <c r="AF104" s="5" t="str">
        <f t="shared" si="247"/>
        <v>NO APLICA</v>
      </c>
      <c r="AG104" s="6"/>
      <c r="AH104" s="4">
        <v>45936</v>
      </c>
      <c r="AI104" s="4">
        <f>DATE(YEAR(AH104)+2,MONTH(AH104),DAY(AH104))</f>
        <v>46666</v>
      </c>
      <c r="AJ104" s="8">
        <f t="shared" ca="1" si="248"/>
        <v>521</v>
      </c>
      <c r="AK104" s="5" t="str">
        <f t="shared" ca="1" si="219"/>
        <v>VIGENTE</v>
      </c>
      <c r="AL104" s="6"/>
      <c r="AM104" s="4">
        <v>45937</v>
      </c>
      <c r="AN104" s="4">
        <f>DATE(YEAR(AM104)+2,MONTH(AM104),DAY(AM104))</f>
        <v>46667</v>
      </c>
      <c r="AO104" s="8">
        <f t="shared" ca="1" si="249"/>
        <v>522</v>
      </c>
      <c r="AP104" s="5" t="str">
        <f t="shared" ca="1" si="250"/>
        <v>VIGENTE</v>
      </c>
      <c r="AQ104" s="4"/>
      <c r="AR104" s="4">
        <v>45989</v>
      </c>
      <c r="AS104" s="4">
        <f>DATE(YEAR(AR104)+2,MONTH(AR104),DAY(AR104))</f>
        <v>46719</v>
      </c>
      <c r="AT104" s="8">
        <f t="shared" ca="1" si="251"/>
        <v>574</v>
      </c>
      <c r="AU104" s="5" t="str">
        <f t="shared" ca="1" si="252"/>
        <v>VIGENTE</v>
      </c>
      <c r="AV104" s="4"/>
      <c r="AW104" s="4">
        <v>45972</v>
      </c>
      <c r="AX104" s="4">
        <f>DATE(YEAR(AW104)+2,MONTH(AW104),DAY(AW104))</f>
        <v>46702</v>
      </c>
      <c r="AY104" s="8">
        <f t="shared" ca="1" si="253"/>
        <v>557</v>
      </c>
      <c r="AZ104" s="5" t="str">
        <f t="shared" ca="1" si="254"/>
        <v>VIGENTE</v>
      </c>
      <c r="BA104" s="3"/>
      <c r="BB104" s="4">
        <v>46041</v>
      </c>
      <c r="BC104" s="4">
        <f>DATE(YEAR(BB104)+2,MONTH(BB104),DAY(BB104))</f>
        <v>46771</v>
      </c>
      <c r="BD104" s="8">
        <f t="shared" ca="1" si="255"/>
        <v>626</v>
      </c>
      <c r="BE104" s="5" t="str">
        <f t="shared" ca="1" si="256"/>
        <v>VIGENTE</v>
      </c>
      <c r="BF104" s="6"/>
      <c r="BG104" s="4">
        <v>45997</v>
      </c>
      <c r="BH104" s="4">
        <f>DATE(YEAR(BG104)+2,MONTH(BG104),DAY(BG104))</f>
        <v>46727</v>
      </c>
      <c r="BI104" s="8">
        <f t="shared" ca="1" si="257"/>
        <v>582</v>
      </c>
      <c r="BJ104" s="5" t="str">
        <f t="shared" ca="1" si="258"/>
        <v>VIGENTE</v>
      </c>
      <c r="BK104" s="4"/>
      <c r="BL104" s="4">
        <v>46017</v>
      </c>
      <c r="BM104" s="4">
        <f>DATE(YEAR(BL104)+2,MONTH(BL104),DAY(BL104))</f>
        <v>46747</v>
      </c>
      <c r="BN104" s="8">
        <f t="shared" ca="1" si="259"/>
        <v>602</v>
      </c>
      <c r="BO104" s="5" t="str">
        <f t="shared" ca="1" si="260"/>
        <v>VIGENTE</v>
      </c>
      <c r="BP104" s="4"/>
      <c r="BQ104" s="39">
        <v>46050</v>
      </c>
      <c r="BR104" s="4">
        <f>DATE(YEAR(BQ104)+2,MONTH(BQ104),DAY(BQ104))</f>
        <v>46780</v>
      </c>
      <c r="BS104" s="8">
        <f t="shared" ca="1" si="261"/>
        <v>635</v>
      </c>
      <c r="BT104" s="5" t="str">
        <f t="shared" ca="1" si="262"/>
        <v>VIGENTE</v>
      </c>
      <c r="BU104" s="3"/>
      <c r="BV104" s="4">
        <v>46031</v>
      </c>
      <c r="BW104" s="4">
        <f>DATE(YEAR(BV104)+2,MONTH(BV104),DAY(BV104))</f>
        <v>46761</v>
      </c>
      <c r="BX104" s="8">
        <f t="shared" ca="1" si="263"/>
        <v>616</v>
      </c>
      <c r="BY104" s="5" t="str">
        <f t="shared" ca="1" si="264"/>
        <v>VIGENTE</v>
      </c>
      <c r="BZ104" s="6"/>
      <c r="CA104" s="4">
        <v>45986</v>
      </c>
      <c r="CB104" s="4">
        <f>DATE(YEAR(CA104)+2,MONTH(CA104),DAY(CA104))</f>
        <v>46716</v>
      </c>
      <c r="CC104" s="8">
        <f t="shared" ca="1" si="265"/>
        <v>571</v>
      </c>
      <c r="CD104" s="5" t="str">
        <f t="shared" ca="1" si="266"/>
        <v>VIGENTE</v>
      </c>
      <c r="CE104" s="6"/>
      <c r="CF104" s="4">
        <v>45723</v>
      </c>
      <c r="CG104" s="4">
        <f t="shared" si="387"/>
        <v>47184</v>
      </c>
      <c r="CH104" s="8">
        <f t="shared" ca="1" si="388"/>
        <v>1039</v>
      </c>
      <c r="CI104" s="5" t="str">
        <f t="shared" ca="1" si="269"/>
        <v>VIGENTE</v>
      </c>
      <c r="CJ104" s="4"/>
      <c r="CK104" s="4">
        <v>46018</v>
      </c>
      <c r="CL104" s="4">
        <f>DATE(YEAR(CK104)+2,MONTH(CK104),DAY(CK104))</f>
        <v>46748</v>
      </c>
      <c r="CM104" s="8">
        <f t="shared" ca="1" si="270"/>
        <v>603</v>
      </c>
      <c r="CN104" s="5" t="str">
        <f t="shared" ca="1" si="271"/>
        <v>VIGENTE</v>
      </c>
      <c r="CO104" s="4"/>
      <c r="CP104" s="39">
        <v>45979</v>
      </c>
      <c r="CQ104" s="4">
        <f>DATE(YEAR(CP104)+2,MONTH(CP104),DAY(CP104))</f>
        <v>46709</v>
      </c>
      <c r="CR104" s="8">
        <f t="shared" ca="1" si="272"/>
        <v>564</v>
      </c>
      <c r="CS104" s="5" t="str">
        <f t="shared" ca="1" si="273"/>
        <v>VIGENTE</v>
      </c>
      <c r="CT104" s="4"/>
      <c r="CU104" s="4">
        <v>46043</v>
      </c>
      <c r="CV104" s="4">
        <f>DATE(YEAR(CU104)+2,MONTH(CU104),DAY(CU104))</f>
        <v>46773</v>
      </c>
      <c r="CW104" s="8">
        <f t="shared" ca="1" si="274"/>
        <v>628</v>
      </c>
      <c r="CX104" s="5" t="str">
        <f t="shared" ca="1" si="275"/>
        <v>VIGENTE</v>
      </c>
      <c r="CY104" s="4"/>
      <c r="CZ104" s="4">
        <v>46000</v>
      </c>
      <c r="DA104" s="4">
        <f>DATE(YEAR(CZ104)+2,MONTH(CZ104),DAY(CZ104))</f>
        <v>46730</v>
      </c>
      <c r="DB104" s="8">
        <f t="shared" ca="1" si="276"/>
        <v>585</v>
      </c>
      <c r="DC104" s="5" t="str">
        <f t="shared" ca="1" si="277"/>
        <v>VIGENTE</v>
      </c>
      <c r="DD104" s="3"/>
      <c r="DE104" s="39">
        <v>45996</v>
      </c>
      <c r="DF104" s="4">
        <f>DATE(YEAR(DE104)+2,MONTH(DE104),DAY(DE104))</f>
        <v>46726</v>
      </c>
      <c r="DG104" s="8">
        <f t="shared" ca="1" si="278"/>
        <v>581</v>
      </c>
      <c r="DH104" s="5" t="str">
        <f t="shared" ca="1" si="279"/>
        <v>VIGENTE</v>
      </c>
      <c r="DI104" s="4"/>
      <c r="DJ104" s="39">
        <v>45975</v>
      </c>
      <c r="DK104" s="4">
        <f>DATE(YEAR(DJ104)+2,MONTH(DJ104),DAY(DJ104))</f>
        <v>46705</v>
      </c>
      <c r="DL104" s="8">
        <f t="shared" ca="1" si="280"/>
        <v>560</v>
      </c>
      <c r="DM104" s="5" t="str">
        <f t="shared" ca="1" si="281"/>
        <v>VIGENTE</v>
      </c>
      <c r="DN104" s="4"/>
      <c r="DO104" s="4">
        <v>45982</v>
      </c>
      <c r="DP104" s="4">
        <f>DATE(YEAR(DO104)+2,MONTH(DO104),DAY(DO104))</f>
        <v>46712</v>
      </c>
      <c r="DQ104" s="8">
        <f t="shared" ca="1" si="282"/>
        <v>567</v>
      </c>
      <c r="DR104" s="5" t="str">
        <f t="shared" ca="1" si="283"/>
        <v>VIGENTE</v>
      </c>
      <c r="DS104" s="4"/>
      <c r="DT104" s="3">
        <v>46009</v>
      </c>
      <c r="DU104" s="4">
        <f>DATE(YEAR(DT104)+2,MONTH(DT104),DAY(DT104))</f>
        <v>46739</v>
      </c>
      <c r="DV104" s="8">
        <f t="shared" ca="1" si="284"/>
        <v>594</v>
      </c>
      <c r="DW104" s="5" t="str">
        <f t="shared" ca="1" si="285"/>
        <v>VIGENTE</v>
      </c>
      <c r="DX104" s="4"/>
      <c r="DY104" s="4">
        <v>46032</v>
      </c>
      <c r="DZ104" s="4">
        <f>DATE(YEAR(DY104)+2,MONTH(DY104),DAY(DY104))</f>
        <v>46762</v>
      </c>
      <c r="EA104" s="8">
        <f t="shared" ca="1" si="286"/>
        <v>617</v>
      </c>
      <c r="EB104" s="5" t="str">
        <f t="shared" ca="1" si="287"/>
        <v>VIGENTE</v>
      </c>
      <c r="EC104" s="4"/>
      <c r="ED104" s="39">
        <v>45994</v>
      </c>
      <c r="EE104" s="4">
        <f>DATE(YEAR(ED104)+2,MONTH(ED104),DAY(ED104))</f>
        <v>46724</v>
      </c>
      <c r="EF104" s="8">
        <f t="shared" ca="1" si="288"/>
        <v>579</v>
      </c>
      <c r="EG104" s="5" t="str">
        <f t="shared" ca="1" si="289"/>
        <v>VIGENTE</v>
      </c>
      <c r="EH104" s="3"/>
      <c r="EI104" s="3">
        <v>46015</v>
      </c>
      <c r="EJ104" s="4">
        <f t="shared" si="355"/>
        <v>46380</v>
      </c>
      <c r="EK104" s="8">
        <f t="shared" ca="1" si="290"/>
        <v>235</v>
      </c>
      <c r="EL104" s="5" t="str">
        <f t="shared" ca="1" si="291"/>
        <v>VIGENTE</v>
      </c>
      <c r="EM104" s="3"/>
      <c r="EN104" s="4">
        <v>45983</v>
      </c>
      <c r="EO104" s="4">
        <f>DATE(YEAR(EN104)+2,MONTH(EN104),DAY(EN104))</f>
        <v>46713</v>
      </c>
      <c r="EP104" s="8">
        <f t="shared" ca="1" si="292"/>
        <v>568</v>
      </c>
      <c r="EQ104" s="5" t="str">
        <f t="shared" ca="1" si="293"/>
        <v>VIGENTE</v>
      </c>
      <c r="ER104" s="6"/>
      <c r="ES104" s="39">
        <v>45999</v>
      </c>
      <c r="ET104" s="4">
        <f>DATE(YEAR(ES104)+2,MONTH(ES104),DAY(ES104))</f>
        <v>46729</v>
      </c>
      <c r="EU104" s="8">
        <f t="shared" ca="1" si="294"/>
        <v>584</v>
      </c>
      <c r="EV104" s="5" t="str">
        <f t="shared" ca="1" si="295"/>
        <v>VIGENTE</v>
      </c>
      <c r="EW104" s="4"/>
      <c r="EX104" s="4">
        <v>45964</v>
      </c>
      <c r="EY104" s="4">
        <f>DATE(YEAR(EX104)+2,MONTH(EX104),DAY(EX104))</f>
        <v>46694</v>
      </c>
      <c r="EZ104" s="8">
        <f t="shared" ca="1" si="296"/>
        <v>549</v>
      </c>
      <c r="FA104" s="5" t="str">
        <f t="shared" ca="1" si="297"/>
        <v>VIGENTE</v>
      </c>
      <c r="FB104" s="6"/>
      <c r="FC104" s="4">
        <v>45988</v>
      </c>
      <c r="FD104" s="4">
        <f>DATE(YEAR(FC104)+2,MONTH(FC104),DAY(FC104))</f>
        <v>46718</v>
      </c>
      <c r="FE104" s="8">
        <f t="shared" ca="1" si="298"/>
        <v>573</v>
      </c>
      <c r="FF104" s="5" t="str">
        <f t="shared" ca="1" si="299"/>
        <v>VIGENTE</v>
      </c>
      <c r="FG104" s="4"/>
      <c r="FH104" s="4">
        <v>45962</v>
      </c>
      <c r="FI104" s="4">
        <f>DATE(YEAR(FH104)+2,MONTH(FH104),DAY(FH104))</f>
        <v>46692</v>
      </c>
      <c r="FJ104" s="8">
        <f t="shared" ca="1" si="300"/>
        <v>547</v>
      </c>
      <c r="FK104" s="5" t="str">
        <f t="shared" ca="1" si="301"/>
        <v>VIGENTE</v>
      </c>
      <c r="FL104" s="4"/>
      <c r="FM104" s="39">
        <v>46039</v>
      </c>
      <c r="FN104" s="4">
        <f>DATE(YEAR(FM104)+2,MONTH(FM104),DAY(FM104))</f>
        <v>46769</v>
      </c>
      <c r="FO104" s="8">
        <f t="shared" ca="1" si="302"/>
        <v>624</v>
      </c>
      <c r="FP104" s="5" t="str">
        <f t="shared" ca="1" si="303"/>
        <v>VIGENTE</v>
      </c>
      <c r="FQ104" s="4"/>
      <c r="FR104" s="39">
        <v>46034</v>
      </c>
      <c r="FS104" s="4">
        <f>DATE(YEAR(FR104)+2,MONTH(FR104),DAY(FR104))</f>
        <v>46764</v>
      </c>
      <c r="FT104" s="8">
        <f t="shared" ca="1" si="304"/>
        <v>619</v>
      </c>
      <c r="FU104" s="5" t="str">
        <f t="shared" ca="1" si="305"/>
        <v>VIGENTE</v>
      </c>
      <c r="FV104" s="4"/>
      <c r="FW104" s="4">
        <v>46004</v>
      </c>
      <c r="FX104" s="4">
        <f>DATE(YEAR(FW104)+2,MONTH(FW104),DAY(FW104))</f>
        <v>46734</v>
      </c>
      <c r="FY104" s="8">
        <f t="shared" ca="1" si="306"/>
        <v>589</v>
      </c>
      <c r="FZ104" s="5" t="str">
        <f t="shared" ca="1" si="307"/>
        <v>VIGENTE</v>
      </c>
      <c r="GA104" s="4"/>
      <c r="GB104" s="4">
        <v>45925</v>
      </c>
      <c r="GC104" s="4">
        <f>DATE(YEAR(GB104)+2,MONTH(GB104),DAY(GB104))</f>
        <v>46655</v>
      </c>
      <c r="GD104" s="8">
        <f t="shared" ca="1" si="308"/>
        <v>510</v>
      </c>
      <c r="GE104" s="5" t="str">
        <f t="shared" ca="1" si="309"/>
        <v>VIGENTE</v>
      </c>
      <c r="GF104" s="4"/>
      <c r="GG104" s="4">
        <v>45960</v>
      </c>
      <c r="GH104" s="4">
        <f>DATE(YEAR(GG104)+2,MONTH(GG104),DAY(GG104))</f>
        <v>46690</v>
      </c>
      <c r="GI104" s="8">
        <f t="shared" ca="1" si="310"/>
        <v>545</v>
      </c>
      <c r="GJ104" s="5" t="str">
        <f t="shared" ca="1" si="311"/>
        <v>VIGENTE</v>
      </c>
      <c r="GK104" s="4"/>
      <c r="GL104" s="4">
        <v>45499</v>
      </c>
      <c r="GM104" s="4">
        <f>DATE(YEAR(GL104)+2,MONTH(GL104),DAY(GL104)-1)</f>
        <v>46228</v>
      </c>
      <c r="GN104" s="8">
        <f t="shared" ca="1" si="312"/>
        <v>83</v>
      </c>
      <c r="GO104" s="5" t="str">
        <f t="shared" ca="1" si="313"/>
        <v>VIGENTE</v>
      </c>
      <c r="GP104" s="4"/>
      <c r="GQ104" s="4">
        <v>45299</v>
      </c>
      <c r="GR104" s="4">
        <f t="shared" si="314"/>
        <v>47126</v>
      </c>
      <c r="GS104" s="8">
        <f t="shared" ca="1" si="384"/>
        <v>981</v>
      </c>
      <c r="GT104" s="5" t="str">
        <f t="shared" ca="1" si="378"/>
        <v>VIGENTE</v>
      </c>
      <c r="GU104" s="4"/>
      <c r="GV104" s="4">
        <v>45329</v>
      </c>
      <c r="GW104" s="4">
        <f t="shared" si="316"/>
        <v>47156</v>
      </c>
      <c r="GX104" s="8">
        <f t="shared" ca="1" si="317"/>
        <v>1011</v>
      </c>
      <c r="GY104" s="5" t="str">
        <f t="shared" ca="1" si="379"/>
        <v>VIGENTE</v>
      </c>
      <c r="GZ104" s="6"/>
      <c r="HA104" s="4">
        <v>45343</v>
      </c>
      <c r="HB104" s="4">
        <f t="shared" si="319"/>
        <v>47170</v>
      </c>
      <c r="HC104" s="8">
        <f t="shared" ca="1" si="320"/>
        <v>1025</v>
      </c>
      <c r="HD104" s="5" t="str">
        <f t="shared" ca="1" si="401"/>
        <v>VIGENTE</v>
      </c>
      <c r="HE104" s="6"/>
      <c r="HF104" s="4">
        <v>45317</v>
      </c>
      <c r="HG104" s="4">
        <f t="shared" si="402"/>
        <v>47144</v>
      </c>
      <c r="HH104" s="8">
        <f t="shared" ca="1" si="403"/>
        <v>999</v>
      </c>
      <c r="HI104" s="5" t="str">
        <f t="shared" ca="1" si="404"/>
        <v>VIGENTE</v>
      </c>
      <c r="HJ104" s="6"/>
      <c r="HK104" s="6"/>
      <c r="HL104" s="4"/>
      <c r="HM104" s="8"/>
      <c r="HN104" s="5" t="str">
        <f t="shared" si="385"/>
        <v>NO APLICA</v>
      </c>
      <c r="HO104" s="2"/>
      <c r="HP104" s="2"/>
      <c r="HQ104" s="4"/>
      <c r="HR104" s="2"/>
      <c r="HS104" s="5" t="str">
        <f t="shared" si="322"/>
        <v>NO APLICA</v>
      </c>
      <c r="HT104" s="6"/>
      <c r="HU104" s="6"/>
      <c r="HV104" s="4"/>
      <c r="HW104" s="8"/>
      <c r="HX104" s="5" t="str">
        <f t="shared" si="323"/>
        <v>NO APLICA</v>
      </c>
      <c r="HY104" s="6"/>
      <c r="HZ104" s="6"/>
      <c r="IA104" s="4"/>
      <c r="IB104" s="8"/>
      <c r="IC104" s="5" t="str">
        <f t="shared" si="324"/>
        <v>NO APLICA</v>
      </c>
      <c r="ID104" s="6"/>
      <c r="IE104" s="6"/>
      <c r="IF104" s="4"/>
      <c r="IG104" s="8"/>
      <c r="IH104" s="5" t="str">
        <f t="shared" si="325"/>
        <v>NO APLICA</v>
      </c>
      <c r="II104" s="6"/>
      <c r="IJ104" s="6"/>
      <c r="IK104" s="4"/>
      <c r="IL104" s="6"/>
      <c r="IM104" s="5" t="str">
        <f t="shared" si="326"/>
        <v>NO APLICA</v>
      </c>
      <c r="IN104" s="6"/>
      <c r="IO104" s="6"/>
      <c r="IP104" s="4"/>
      <c r="IQ104" s="8"/>
      <c r="IR104" s="5" t="str">
        <f t="shared" si="327"/>
        <v>NO APLICA</v>
      </c>
      <c r="IS104" s="6"/>
      <c r="IT104" s="6"/>
      <c r="IU104" s="4"/>
      <c r="IV104" s="8"/>
      <c r="IW104" s="5" t="str">
        <f t="shared" si="328"/>
        <v>NO APLICA</v>
      </c>
      <c r="IX104" s="6"/>
      <c r="IY104" s="6"/>
      <c r="IZ104" s="4"/>
      <c r="JA104" s="8"/>
      <c r="JB104" s="5" t="str">
        <f t="shared" si="329"/>
        <v>NO APLICA</v>
      </c>
      <c r="JC104" s="3" t="s">
        <v>780</v>
      </c>
      <c r="JD104" s="3"/>
      <c r="JE104" s="4"/>
      <c r="JF104" s="8"/>
      <c r="JG104" s="5"/>
      <c r="JH104" s="3" t="s">
        <v>780</v>
      </c>
      <c r="JI104" s="6"/>
      <c r="JJ104" s="6"/>
      <c r="JK104" s="6"/>
      <c r="JL104" s="5"/>
      <c r="JM104" s="6" t="s">
        <v>780</v>
      </c>
      <c r="JN104" s="6"/>
      <c r="JO104" s="6"/>
      <c r="JP104" s="6"/>
      <c r="JQ104" s="5"/>
      <c r="JR104" s="6" t="s">
        <v>780</v>
      </c>
      <c r="JS104" s="6"/>
      <c r="JT104" s="6"/>
      <c r="JU104" s="6"/>
      <c r="JV104" s="5"/>
      <c r="JW104" s="6" t="s">
        <v>780</v>
      </c>
      <c r="JX104" s="5"/>
      <c r="JY104" s="5"/>
      <c r="JZ104" s="5"/>
      <c r="KA104" s="5"/>
      <c r="KB104" s="5"/>
      <c r="KC104" s="2"/>
      <c r="KD104" s="4"/>
      <c r="KE104" s="8"/>
      <c r="KF104" s="5" t="str">
        <f t="shared" si="330"/>
        <v>NO APLICA</v>
      </c>
      <c r="KG104" s="5"/>
      <c r="KH104" s="2"/>
      <c r="KI104" s="4"/>
      <c r="KJ104" s="8"/>
      <c r="KK104" s="5" t="str">
        <f t="shared" si="356"/>
        <v>NO APLICA</v>
      </c>
      <c r="KL104" s="5"/>
      <c r="KM104" s="2"/>
      <c r="KN104" s="4"/>
      <c r="KO104" s="8"/>
      <c r="KP104" s="5" t="str">
        <f t="shared" si="331"/>
        <v>NO APLICA</v>
      </c>
      <c r="KQ104" s="5"/>
      <c r="KR104" s="2"/>
      <c r="KS104" s="4"/>
      <c r="KT104" s="8"/>
      <c r="KU104" s="5" t="str">
        <f t="shared" si="357"/>
        <v>NO APLICA</v>
      </c>
      <c r="KV104" s="6"/>
      <c r="KW104" s="6"/>
      <c r="KX104" s="4"/>
      <c r="KY104" s="6"/>
      <c r="KZ104" s="5" t="str">
        <f t="shared" si="366"/>
        <v>NO APLICA</v>
      </c>
      <c r="LA104" s="5"/>
      <c r="LB104" s="6"/>
      <c r="LC104" s="4"/>
      <c r="LD104" s="6"/>
      <c r="LE104" s="5" t="str">
        <f t="shared" si="358"/>
        <v>NO APLICA</v>
      </c>
      <c r="LF104" s="6"/>
      <c r="LG104" s="6"/>
      <c r="LH104" s="6"/>
      <c r="LI104" s="6"/>
      <c r="LJ104" s="5" t="str">
        <f t="shared" si="332"/>
        <v>NO APLICA</v>
      </c>
      <c r="LK104" s="5"/>
      <c r="LL104" s="5"/>
      <c r="LM104" s="4"/>
      <c r="LN104" s="8"/>
      <c r="LO104" s="5" t="str">
        <f t="shared" si="367"/>
        <v>NO APLICA</v>
      </c>
      <c r="LP104" s="6"/>
      <c r="LQ104" s="6"/>
      <c r="LR104" s="4"/>
      <c r="LS104" s="8"/>
      <c r="LT104" s="5" t="str">
        <f t="shared" si="359"/>
        <v>NO APLICA</v>
      </c>
      <c r="LU104" s="6"/>
      <c r="LV104" s="6"/>
      <c r="LW104" s="4"/>
      <c r="LX104" s="6"/>
      <c r="LY104" s="5" t="str">
        <f t="shared" si="360"/>
        <v>NO APLICA</v>
      </c>
      <c r="LZ104" s="6"/>
      <c r="MA104" s="6"/>
      <c r="MB104" s="4"/>
      <c r="MC104" s="6"/>
      <c r="MD104" s="5" t="str">
        <f t="shared" si="361"/>
        <v>NO APLICA</v>
      </c>
      <c r="ME104" s="6"/>
      <c r="MF104" s="6"/>
      <c r="MG104" s="4"/>
      <c r="MH104" s="6"/>
      <c r="MI104" s="5" t="str">
        <f t="shared" si="333"/>
        <v>NO APLICA</v>
      </c>
      <c r="MJ104" s="6"/>
      <c r="MK104" s="6"/>
      <c r="ML104" s="4"/>
      <c r="MM104" s="6"/>
      <c r="MN104" s="5" t="str">
        <f t="shared" si="334"/>
        <v>NO APLICA</v>
      </c>
      <c r="MO104" s="5"/>
      <c r="MP104" s="6"/>
      <c r="MQ104" s="4"/>
      <c r="MR104" s="6"/>
      <c r="MS104" s="5" t="str">
        <f t="shared" si="335"/>
        <v>NO APLICA</v>
      </c>
      <c r="MT104" s="5"/>
      <c r="MU104" s="6"/>
      <c r="MV104" s="6"/>
      <c r="MW104" s="6"/>
      <c r="MX104" s="5" t="str">
        <f t="shared" si="336"/>
        <v>NO APLICA</v>
      </c>
      <c r="MY104" s="6"/>
      <c r="MZ104" s="6"/>
      <c r="NA104" s="4"/>
      <c r="NB104" s="6"/>
      <c r="NC104" s="5" t="str">
        <f t="shared" si="337"/>
        <v>NO APLICA</v>
      </c>
      <c r="ND104" s="6"/>
      <c r="NE104" s="6"/>
      <c r="NF104" s="4"/>
      <c r="NG104" s="6"/>
      <c r="NH104" s="5" t="str">
        <f t="shared" si="338"/>
        <v>NO APLICA</v>
      </c>
      <c r="NI104" s="6"/>
      <c r="NJ104" s="6"/>
      <c r="NK104" s="4"/>
      <c r="NL104" s="6"/>
      <c r="NM104" s="5" t="str">
        <f t="shared" si="339"/>
        <v>NO APLICA</v>
      </c>
      <c r="NN104" s="6"/>
      <c r="NO104" s="6"/>
      <c r="NP104" s="4"/>
      <c r="NQ104" s="6"/>
      <c r="NR104" s="5" t="str">
        <f t="shared" si="340"/>
        <v>NO APLICA</v>
      </c>
      <c r="NS104" s="6"/>
      <c r="NT104" s="6"/>
      <c r="NU104" s="4"/>
      <c r="NV104" s="6"/>
      <c r="NW104" s="5" t="str">
        <f t="shared" si="341"/>
        <v>NO APLICA</v>
      </c>
      <c r="NX104" s="6"/>
      <c r="NY104" s="4"/>
      <c r="NZ104" s="4"/>
      <c r="OA104" s="8"/>
      <c r="OB104" s="5" t="str">
        <f t="shared" si="342"/>
        <v>NO APLICA</v>
      </c>
      <c r="OC104" s="6"/>
      <c r="OD104" s="6"/>
      <c r="OE104" s="6"/>
      <c r="OF104" s="6"/>
      <c r="OG104" s="5" t="str">
        <f t="shared" si="343"/>
        <v>NO APLICA</v>
      </c>
      <c r="OH104" s="6"/>
      <c r="OI104" s="6"/>
      <c r="OJ104" s="6"/>
      <c r="OK104" s="6"/>
      <c r="OL104" s="5" t="str">
        <f t="shared" si="344"/>
        <v>NO APLICA</v>
      </c>
      <c r="OM104" s="6"/>
      <c r="ON104" s="6"/>
      <c r="OO104" s="6"/>
      <c r="OP104" s="6"/>
      <c r="OQ104" s="5" t="str">
        <f t="shared" si="345"/>
        <v>NO APLICA</v>
      </c>
      <c r="OR104" s="6"/>
      <c r="OS104" s="6"/>
      <c r="OT104" s="6"/>
      <c r="OU104" s="6"/>
      <c r="OV104" s="5" t="str">
        <f t="shared" si="346"/>
        <v>NO APLICA</v>
      </c>
      <c r="OW104" s="6"/>
      <c r="OX104" s="6"/>
      <c r="OY104" s="6"/>
      <c r="OZ104" s="6"/>
      <c r="PA104" s="5" t="str">
        <f t="shared" si="347"/>
        <v>NO APLICA</v>
      </c>
      <c r="PB104" s="6"/>
      <c r="PC104" s="6"/>
      <c r="PD104" s="6"/>
      <c r="PE104" s="6"/>
      <c r="PF104" s="5" t="str">
        <f t="shared" si="348"/>
        <v>NO APLICA</v>
      </c>
      <c r="PG104" s="6"/>
      <c r="PH104" s="6"/>
      <c r="PI104" s="6"/>
      <c r="PJ104" s="6"/>
      <c r="PK104" s="5" t="str">
        <f t="shared" si="349"/>
        <v>NO APLICA</v>
      </c>
      <c r="PL104" s="5"/>
      <c r="PM104" s="6"/>
      <c r="PN104" s="6"/>
      <c r="PO104" s="6"/>
      <c r="PP104" s="5" t="str">
        <f t="shared" si="350"/>
        <v>NO APLICA</v>
      </c>
      <c r="PQ104" s="6"/>
      <c r="PR104" s="6"/>
      <c r="PS104" s="6"/>
      <c r="PT104" s="6"/>
      <c r="PU104" s="5" t="str">
        <f t="shared" si="351"/>
        <v>NO APLICA</v>
      </c>
      <c r="PV104" s="5"/>
      <c r="PW104" s="6"/>
      <c r="PX104" s="6"/>
      <c r="PY104" s="6"/>
      <c r="PZ104" s="5" t="str">
        <f t="shared" si="352"/>
        <v>NO APLICA</v>
      </c>
    </row>
    <row r="105" spans="1:442" ht="15.6" hidden="1" thickTop="1" thickBot="1" x14ac:dyDescent="0.35">
      <c r="A105" s="26">
        <v>102</v>
      </c>
      <c r="B105" s="27">
        <v>917</v>
      </c>
      <c r="C105" s="28" t="s">
        <v>761</v>
      </c>
      <c r="D105" s="29" t="s">
        <v>113</v>
      </c>
      <c r="E105" s="30" t="s">
        <v>360</v>
      </c>
      <c r="F105" s="5"/>
      <c r="G105" s="6"/>
      <c r="H105" s="4"/>
      <c r="I105" s="8"/>
      <c r="J105" s="5" t="str">
        <f t="shared" si="242"/>
        <v>NO APLICA</v>
      </c>
      <c r="K105" s="5"/>
      <c r="L105" s="6"/>
      <c r="M105" s="6"/>
      <c r="N105" s="8"/>
      <c r="O105" s="5" t="str">
        <f t="shared" si="243"/>
        <v>NO APLICA</v>
      </c>
      <c r="P105" s="6"/>
      <c r="Q105" s="6"/>
      <c r="R105" s="4"/>
      <c r="S105" s="8"/>
      <c r="T105" s="5" t="str">
        <f t="shared" si="353"/>
        <v>NO APLICA</v>
      </c>
      <c r="U105" s="5"/>
      <c r="V105" s="2" t="s">
        <v>361</v>
      </c>
      <c r="W105" s="4">
        <v>45282</v>
      </c>
      <c r="X105" s="4">
        <f t="shared" si="244"/>
        <v>47109</v>
      </c>
      <c r="Y105" s="8">
        <f t="shared" ca="1" si="245"/>
        <v>964</v>
      </c>
      <c r="Z105" s="5" t="str">
        <f t="shared" ca="1" si="246"/>
        <v>VIGENTE</v>
      </c>
      <c r="AA105" s="5"/>
      <c r="AB105" s="2"/>
      <c r="AC105" s="6"/>
      <c r="AD105" s="4"/>
      <c r="AE105" s="8"/>
      <c r="AF105" s="5" t="str">
        <f t="shared" si="247"/>
        <v>NO APLICA</v>
      </c>
      <c r="AG105" s="3"/>
      <c r="AH105" s="4">
        <v>45902</v>
      </c>
      <c r="AI105" s="4">
        <f>DATE(YEAR(AH105)+2,MONTH(AH105),DAY(AH105))</f>
        <v>46632</v>
      </c>
      <c r="AJ105" s="8">
        <f t="shared" ca="1" si="248"/>
        <v>487</v>
      </c>
      <c r="AK105" s="5" t="str">
        <f t="shared" ca="1" si="219"/>
        <v>VIGENTE</v>
      </c>
      <c r="AL105" s="3"/>
      <c r="AM105" s="4">
        <v>45903</v>
      </c>
      <c r="AN105" s="4">
        <f>DATE(YEAR(AM105)+2,MONTH(AM105),DAY(AM105))</f>
        <v>46633</v>
      </c>
      <c r="AO105" s="8">
        <f t="shared" ca="1" si="249"/>
        <v>488</v>
      </c>
      <c r="AP105" s="5" t="str">
        <f t="shared" ca="1" si="250"/>
        <v>VIGENTE</v>
      </c>
      <c r="AQ105" s="3"/>
      <c r="AR105" s="4">
        <v>45904</v>
      </c>
      <c r="AS105" s="4">
        <f>DATE(YEAR(AR105)+2,MONTH(AR105),DAY(AR105))</f>
        <v>46634</v>
      </c>
      <c r="AT105" s="8">
        <f t="shared" ca="1" si="251"/>
        <v>489</v>
      </c>
      <c r="AU105" s="5" t="str">
        <f t="shared" ca="1" si="252"/>
        <v>VIGENTE</v>
      </c>
      <c r="AV105" s="3"/>
      <c r="AW105" s="4">
        <v>45927</v>
      </c>
      <c r="AX105" s="4">
        <f>DATE(YEAR(AW105)+2,MONTH(AW105),DAY(AW105))</f>
        <v>46657</v>
      </c>
      <c r="AY105" s="8">
        <f t="shared" ca="1" si="253"/>
        <v>512</v>
      </c>
      <c r="AZ105" s="5" t="str">
        <f t="shared" ca="1" si="254"/>
        <v>VIGENTE</v>
      </c>
      <c r="BA105" s="3"/>
      <c r="BB105" s="4">
        <v>45717</v>
      </c>
      <c r="BC105" s="4">
        <f>DATE(YEAR(BB105)+2,MONTH(BB105),DAY(BB105)-1)</f>
        <v>46446</v>
      </c>
      <c r="BD105" s="8">
        <f t="shared" ca="1" si="255"/>
        <v>301</v>
      </c>
      <c r="BE105" s="5" t="str">
        <f t="shared" ca="1" si="256"/>
        <v>VIGENTE</v>
      </c>
      <c r="BF105" s="3"/>
      <c r="BG105" s="4">
        <v>45698</v>
      </c>
      <c r="BH105" s="4">
        <f>DATE(YEAR(BG105)+2,MONTH(BG105),DAY(BG105)-1)</f>
        <v>46427</v>
      </c>
      <c r="BI105" s="8">
        <f t="shared" ca="1" si="257"/>
        <v>282</v>
      </c>
      <c r="BJ105" s="5" t="str">
        <f t="shared" ca="1" si="258"/>
        <v>VIGENTE</v>
      </c>
      <c r="BK105" s="3"/>
      <c r="BL105" s="4">
        <v>45600</v>
      </c>
      <c r="BM105" s="4">
        <f>DATE(YEAR(BL105)+2,MONTH(BL105),DAY(BL105)-1)</f>
        <v>46329</v>
      </c>
      <c r="BN105" s="8">
        <f t="shared" ca="1" si="259"/>
        <v>184</v>
      </c>
      <c r="BO105" s="5" t="str">
        <f t="shared" ca="1" si="260"/>
        <v>VIGENTE</v>
      </c>
      <c r="BP105" s="3"/>
      <c r="BQ105" s="39">
        <v>45701</v>
      </c>
      <c r="BR105" s="4">
        <f>DATE(YEAR(BQ105)+2,MONTH(BQ105),DAY(BQ105)-1)</f>
        <v>46430</v>
      </c>
      <c r="BS105" s="8">
        <f t="shared" ca="1" si="261"/>
        <v>285</v>
      </c>
      <c r="BT105" s="5" t="str">
        <f t="shared" ca="1" si="262"/>
        <v>VIGENTE</v>
      </c>
      <c r="BU105" s="3"/>
      <c r="BV105" s="4">
        <v>45611</v>
      </c>
      <c r="BW105" s="4">
        <f>DATE(YEAR(BV105)+2,MONTH(BV105),DAY(BV105)-1)</f>
        <v>46340</v>
      </c>
      <c r="BX105" s="8">
        <f t="shared" ca="1" si="263"/>
        <v>195</v>
      </c>
      <c r="BY105" s="5" t="str">
        <f t="shared" ca="1" si="264"/>
        <v>VIGENTE</v>
      </c>
      <c r="BZ105" s="3"/>
      <c r="CA105" s="4">
        <v>45954</v>
      </c>
      <c r="CB105" s="4">
        <f>DATE(YEAR(CA105)+2,MONTH(CA105),DAY(CA105))</f>
        <v>46684</v>
      </c>
      <c r="CC105" s="8">
        <f t="shared" ca="1" si="265"/>
        <v>539</v>
      </c>
      <c r="CD105" s="5" t="str">
        <f t="shared" ca="1" si="266"/>
        <v>VIGENTE</v>
      </c>
      <c r="CE105" s="6"/>
      <c r="CF105" s="4">
        <v>45832</v>
      </c>
      <c r="CG105" s="4">
        <f t="shared" si="387"/>
        <v>47293</v>
      </c>
      <c r="CH105" s="8">
        <f t="shared" ca="1" si="388"/>
        <v>1148</v>
      </c>
      <c r="CI105" s="5" t="str">
        <f t="shared" ca="1" si="269"/>
        <v>VIGENTE</v>
      </c>
      <c r="CJ105" s="4"/>
      <c r="CK105" s="4">
        <v>45688</v>
      </c>
      <c r="CL105" s="4">
        <f>DATE(YEAR(CK105)+2,MONTH(CK105),DAY(CK105)-1)</f>
        <v>46417</v>
      </c>
      <c r="CM105" s="8">
        <f t="shared" ca="1" si="270"/>
        <v>272</v>
      </c>
      <c r="CN105" s="5" t="str">
        <f t="shared" ca="1" si="271"/>
        <v>VIGENTE</v>
      </c>
      <c r="CO105" s="3"/>
      <c r="CP105" s="39">
        <v>45726</v>
      </c>
      <c r="CQ105" s="4">
        <f>DATE(YEAR(CP105)+2,MONTH(CP105),DAY(CP105)-1)</f>
        <v>46455</v>
      </c>
      <c r="CR105" s="8">
        <f t="shared" ca="1" si="272"/>
        <v>310</v>
      </c>
      <c r="CS105" s="5" t="str">
        <f t="shared" ca="1" si="273"/>
        <v>VIGENTE</v>
      </c>
      <c r="CT105" s="3"/>
      <c r="CU105" s="4">
        <v>45905</v>
      </c>
      <c r="CV105" s="4">
        <f>DATE(YEAR(CU105)+2,MONTH(CU105),DAY(CU105))</f>
        <v>46635</v>
      </c>
      <c r="CW105" s="8">
        <f t="shared" ca="1" si="274"/>
        <v>490</v>
      </c>
      <c r="CX105" s="5" t="str">
        <f t="shared" ca="1" si="275"/>
        <v>VIGENTE</v>
      </c>
      <c r="CY105" s="3"/>
      <c r="CZ105" s="4">
        <v>46000</v>
      </c>
      <c r="DA105" s="4">
        <f>DATE(YEAR(CZ105)+2,MONTH(CZ105),DAY(CZ105))</f>
        <v>46730</v>
      </c>
      <c r="DB105" s="8">
        <f t="shared" ca="1" si="276"/>
        <v>585</v>
      </c>
      <c r="DC105" s="5" t="str">
        <f t="shared" ca="1" si="277"/>
        <v>VIGENTE</v>
      </c>
      <c r="DD105" s="3"/>
      <c r="DE105" s="39">
        <v>45761</v>
      </c>
      <c r="DF105" s="4">
        <f>DATE(YEAR(DE105)+2,MONTH(DE105),DAY(DE105))</f>
        <v>46491</v>
      </c>
      <c r="DG105" s="8">
        <f t="shared" ca="1" si="278"/>
        <v>346</v>
      </c>
      <c r="DH105" s="5" t="str">
        <f t="shared" ca="1" si="279"/>
        <v>VIGENTE</v>
      </c>
      <c r="DI105" s="3"/>
      <c r="DJ105" s="39">
        <v>45834</v>
      </c>
      <c r="DK105" s="4">
        <f>DATE(YEAR(DJ105)+2,MONTH(DJ105),DAY(DJ105))</f>
        <v>46564</v>
      </c>
      <c r="DL105" s="8">
        <f t="shared" ca="1" si="280"/>
        <v>419</v>
      </c>
      <c r="DM105" s="5" t="str">
        <f t="shared" ca="1" si="281"/>
        <v>VIGENTE</v>
      </c>
      <c r="DN105" s="3"/>
      <c r="DO105" s="4">
        <v>45982</v>
      </c>
      <c r="DP105" s="4">
        <f>DATE(YEAR(DO105)+2,MONTH(DO105),DAY(DO105))</f>
        <v>46712</v>
      </c>
      <c r="DQ105" s="8">
        <f t="shared" ca="1" si="282"/>
        <v>567</v>
      </c>
      <c r="DR105" s="5" t="str">
        <f t="shared" ca="1" si="283"/>
        <v>VIGENTE</v>
      </c>
      <c r="DS105" s="3"/>
      <c r="DT105" s="4">
        <v>45685</v>
      </c>
      <c r="DU105" s="4">
        <f>DATE(YEAR(DT105)+2,MONTH(DT105),DAY(DT105)-1)</f>
        <v>46414</v>
      </c>
      <c r="DV105" s="8">
        <f t="shared" ca="1" si="284"/>
        <v>269</v>
      </c>
      <c r="DW105" s="5" t="str">
        <f t="shared" ca="1" si="285"/>
        <v>VIGENTE</v>
      </c>
      <c r="DX105" s="3"/>
      <c r="DY105" s="4">
        <v>45663</v>
      </c>
      <c r="DZ105" s="4">
        <f>DATE(YEAR(DY105)+2,MONTH(DY105),DAY(DY105)-1)</f>
        <v>46392</v>
      </c>
      <c r="EA105" s="8">
        <f t="shared" ca="1" si="286"/>
        <v>247</v>
      </c>
      <c r="EB105" s="5" t="str">
        <f t="shared" ca="1" si="287"/>
        <v>VIGENTE</v>
      </c>
      <c r="EC105" s="3"/>
      <c r="ED105" s="39">
        <v>45674</v>
      </c>
      <c r="EE105" s="4">
        <f>DATE(YEAR(ED105)+2,MONTH(ED105),DAY(ED105)-1)</f>
        <v>46403</v>
      </c>
      <c r="EF105" s="8">
        <f t="shared" ca="1" si="288"/>
        <v>258</v>
      </c>
      <c r="EG105" s="5" t="str">
        <f t="shared" ca="1" si="289"/>
        <v>VIGENTE</v>
      </c>
      <c r="EH105" s="3"/>
      <c r="EI105" s="3">
        <v>46085</v>
      </c>
      <c r="EJ105" s="4">
        <f t="shared" si="355"/>
        <v>46450</v>
      </c>
      <c r="EK105" s="8">
        <f t="shared" ca="1" si="290"/>
        <v>305</v>
      </c>
      <c r="EL105" s="5" t="str">
        <f t="shared" ca="1" si="291"/>
        <v>VIGENTE</v>
      </c>
      <c r="EM105" s="3"/>
      <c r="EN105" s="4">
        <v>45705</v>
      </c>
      <c r="EO105" s="4">
        <f>DATE(YEAR(EN105)+2,MONTH(EN105),DAY(EN105)-1)</f>
        <v>46434</v>
      </c>
      <c r="EP105" s="8">
        <f t="shared" ca="1" si="292"/>
        <v>289</v>
      </c>
      <c r="EQ105" s="5" t="str">
        <f t="shared" ca="1" si="293"/>
        <v>VIGENTE</v>
      </c>
      <c r="ER105" s="2"/>
      <c r="ES105" s="39">
        <v>45735</v>
      </c>
      <c r="ET105" s="4">
        <f>DATE(YEAR(ES105)+2,MONTH(ES105),DAY(ES105)-1)</f>
        <v>46464</v>
      </c>
      <c r="EU105" s="8">
        <f t="shared" ca="1" si="294"/>
        <v>319</v>
      </c>
      <c r="EV105" s="5" t="str">
        <f t="shared" ca="1" si="295"/>
        <v>VIGENTE</v>
      </c>
      <c r="EW105" s="3"/>
      <c r="EX105" s="4">
        <v>45917</v>
      </c>
      <c r="EY105" s="4">
        <f>DATE(YEAR(EX105)+2,MONTH(EX105),DAY(EX105))</f>
        <v>46647</v>
      </c>
      <c r="EZ105" s="8">
        <f t="shared" ca="1" si="296"/>
        <v>502</v>
      </c>
      <c r="FA105" s="5" t="str">
        <f t="shared" ca="1" si="297"/>
        <v>VIGENTE</v>
      </c>
      <c r="FB105" s="3"/>
      <c r="FC105" s="4">
        <v>45931</v>
      </c>
      <c r="FD105" s="4">
        <f>DATE(YEAR(FC105)+2,MONTH(FC105),DAY(FC105))</f>
        <v>46661</v>
      </c>
      <c r="FE105" s="8">
        <f t="shared" ca="1" si="298"/>
        <v>516</v>
      </c>
      <c r="FF105" s="5" t="str">
        <f t="shared" ca="1" si="299"/>
        <v>VIGENTE</v>
      </c>
      <c r="FG105" s="3"/>
      <c r="FH105" s="4">
        <v>45932</v>
      </c>
      <c r="FI105" s="4">
        <f>DATE(YEAR(FH105)+2,MONTH(FH105),DAY(FH105))</f>
        <v>46662</v>
      </c>
      <c r="FJ105" s="8">
        <f t="shared" ca="1" si="300"/>
        <v>517</v>
      </c>
      <c r="FK105" s="5" t="str">
        <f t="shared" ca="1" si="301"/>
        <v>VIGENTE</v>
      </c>
      <c r="FL105" s="3"/>
      <c r="FM105" s="39">
        <v>45670</v>
      </c>
      <c r="FN105" s="4">
        <f>DATE(YEAR(FM105)+2,MONTH(FM105),DAY(FM105)-1)</f>
        <v>46399</v>
      </c>
      <c r="FO105" s="8">
        <f t="shared" ca="1" si="302"/>
        <v>254</v>
      </c>
      <c r="FP105" s="5" t="str">
        <f t="shared" ca="1" si="303"/>
        <v>VIGENTE</v>
      </c>
      <c r="FQ105" s="3"/>
      <c r="FR105" s="39">
        <v>45664</v>
      </c>
      <c r="FS105" s="4">
        <f>DATE(YEAR(FR105)+2,MONTH(FR105),DAY(FR105)-1)</f>
        <v>46393</v>
      </c>
      <c r="FT105" s="8">
        <f t="shared" ca="1" si="304"/>
        <v>248</v>
      </c>
      <c r="FU105" s="5" t="str">
        <f t="shared" ca="1" si="305"/>
        <v>VIGENTE</v>
      </c>
      <c r="FV105" s="3"/>
      <c r="FW105" s="4">
        <v>46014</v>
      </c>
      <c r="FX105" s="4">
        <f>DATE(YEAR(FW105)+2,MONTH(FW105),DAY(FW105))</f>
        <v>46744</v>
      </c>
      <c r="FY105" s="8">
        <f t="shared" ca="1" si="306"/>
        <v>599</v>
      </c>
      <c r="FZ105" s="5" t="str">
        <f t="shared" ca="1" si="307"/>
        <v>VIGENTE</v>
      </c>
      <c r="GA105" s="3"/>
      <c r="GB105" s="4">
        <v>45667</v>
      </c>
      <c r="GC105" s="4">
        <f>DATE(YEAR(GB105)+2,MONTH(GB105),DAY(GB105)-1)</f>
        <v>46396</v>
      </c>
      <c r="GD105" s="8">
        <f t="shared" ca="1" si="308"/>
        <v>251</v>
      </c>
      <c r="GE105" s="5" t="str">
        <f t="shared" ca="1" si="309"/>
        <v>VIGENTE</v>
      </c>
      <c r="GF105" s="3"/>
      <c r="GG105" s="4">
        <v>45672</v>
      </c>
      <c r="GH105" s="4">
        <f>DATE(YEAR(GG105)+2,MONTH(GG105),DAY(GG105)-1)</f>
        <v>46401</v>
      </c>
      <c r="GI105" s="8">
        <f t="shared" ca="1" si="310"/>
        <v>256</v>
      </c>
      <c r="GJ105" s="5" t="str">
        <f t="shared" ca="1" si="311"/>
        <v>VIGENTE</v>
      </c>
      <c r="GK105" s="3"/>
      <c r="GL105" s="4">
        <v>45945</v>
      </c>
      <c r="GM105" s="4">
        <f>DATE(YEAR(GL105)+2,MONTH(GL105),DAY(GL105))</f>
        <v>46675</v>
      </c>
      <c r="GN105" s="8">
        <f t="shared" ca="1" si="312"/>
        <v>530</v>
      </c>
      <c r="GO105" s="5" t="str">
        <f t="shared" ca="1" si="313"/>
        <v>VIGENTE</v>
      </c>
      <c r="GP105" s="4"/>
      <c r="GQ105" s="4">
        <v>45013</v>
      </c>
      <c r="GR105" s="4">
        <f t="shared" si="314"/>
        <v>46840</v>
      </c>
      <c r="GS105" s="8">
        <f t="shared" ca="1" si="384"/>
        <v>695</v>
      </c>
      <c r="GT105" s="5" t="str">
        <f t="shared" ca="1" si="378"/>
        <v>VIGENTE</v>
      </c>
      <c r="GU105" s="3"/>
      <c r="GV105" s="4">
        <v>45099</v>
      </c>
      <c r="GW105" s="4">
        <f t="shared" si="316"/>
        <v>46926</v>
      </c>
      <c r="GX105" s="8">
        <f t="shared" ca="1" si="317"/>
        <v>781</v>
      </c>
      <c r="GY105" s="5" t="str">
        <f t="shared" ca="1" si="379"/>
        <v>VIGENTE</v>
      </c>
      <c r="GZ105" s="2"/>
      <c r="HA105" s="4">
        <v>45073</v>
      </c>
      <c r="HB105" s="4">
        <f t="shared" si="319"/>
        <v>46900</v>
      </c>
      <c r="HC105" s="8">
        <f t="shared" ca="1" si="320"/>
        <v>755</v>
      </c>
      <c r="HD105" s="5" t="str">
        <f t="shared" ca="1" si="401"/>
        <v>VIGENTE</v>
      </c>
      <c r="HE105" s="6"/>
      <c r="HF105" s="6"/>
      <c r="HG105" s="4"/>
      <c r="HH105" s="8"/>
      <c r="HI105" s="5" t="str">
        <f t="shared" si="404"/>
        <v>NO APLICA</v>
      </c>
      <c r="HJ105" s="2"/>
      <c r="HK105" s="6"/>
      <c r="HL105" s="4"/>
      <c r="HM105" s="8"/>
      <c r="HN105" s="5" t="str">
        <f t="shared" si="385"/>
        <v>NO APLICA</v>
      </c>
      <c r="HO105" s="2"/>
      <c r="HP105" s="2"/>
      <c r="HQ105" s="4"/>
      <c r="HR105" s="2"/>
      <c r="HS105" s="5" t="str">
        <f t="shared" si="322"/>
        <v>NO APLICA</v>
      </c>
      <c r="HT105" s="2"/>
      <c r="HU105" s="6"/>
      <c r="HV105" s="4"/>
      <c r="HW105" s="8"/>
      <c r="HX105" s="5" t="str">
        <f t="shared" si="323"/>
        <v>NO APLICA</v>
      </c>
      <c r="HY105" s="2"/>
      <c r="HZ105" s="6"/>
      <c r="IA105" s="4"/>
      <c r="IB105" s="8"/>
      <c r="IC105" s="5" t="str">
        <f t="shared" si="324"/>
        <v>NO APLICA</v>
      </c>
      <c r="ID105" s="2"/>
      <c r="IE105" s="6"/>
      <c r="IF105" s="4"/>
      <c r="IG105" s="8"/>
      <c r="IH105" s="5" t="str">
        <f t="shared" si="325"/>
        <v>NO APLICA</v>
      </c>
      <c r="II105" s="6"/>
      <c r="IJ105" s="6"/>
      <c r="IK105" s="4"/>
      <c r="IL105" s="8"/>
      <c r="IM105" s="5" t="str">
        <f t="shared" si="326"/>
        <v>NO APLICA</v>
      </c>
      <c r="IN105" s="2"/>
      <c r="IO105" s="6"/>
      <c r="IP105" s="4"/>
      <c r="IQ105" s="8"/>
      <c r="IR105" s="5" t="str">
        <f t="shared" si="327"/>
        <v>NO APLICA</v>
      </c>
      <c r="IS105" s="2"/>
      <c r="IT105" s="6"/>
      <c r="IU105" s="4"/>
      <c r="IV105" s="8"/>
      <c r="IW105" s="5" t="str">
        <f t="shared" si="328"/>
        <v>NO APLICA</v>
      </c>
      <c r="IX105" s="2"/>
      <c r="IY105" s="6"/>
      <c r="IZ105" s="4"/>
      <c r="JA105" s="8"/>
      <c r="JB105" s="5" t="str">
        <f t="shared" si="329"/>
        <v>NO APLICA</v>
      </c>
      <c r="JC105" s="3" t="s">
        <v>780</v>
      </c>
      <c r="JD105" s="3"/>
      <c r="JE105" s="4"/>
      <c r="JF105" s="8"/>
      <c r="JG105" s="5"/>
      <c r="JH105" s="3" t="s">
        <v>780</v>
      </c>
      <c r="JI105" s="6"/>
      <c r="JJ105" s="6"/>
      <c r="JK105" s="6"/>
      <c r="JL105" s="5"/>
      <c r="JM105" s="6" t="s">
        <v>780</v>
      </c>
      <c r="JN105" s="6"/>
      <c r="JO105" s="6"/>
      <c r="JP105" s="6"/>
      <c r="JQ105" s="5"/>
      <c r="JR105" s="6" t="s">
        <v>780</v>
      </c>
      <c r="JS105" s="6"/>
      <c r="JT105" s="6"/>
      <c r="JU105" s="6"/>
      <c r="JV105" s="5"/>
      <c r="JW105" s="6" t="s">
        <v>780</v>
      </c>
      <c r="JX105" s="5"/>
      <c r="JY105" s="5"/>
      <c r="JZ105" s="5"/>
      <c r="KA105" s="5"/>
      <c r="KB105" s="5"/>
      <c r="KC105" s="2"/>
      <c r="KD105" s="4"/>
      <c r="KE105" s="8"/>
      <c r="KF105" s="5" t="str">
        <f t="shared" si="330"/>
        <v>NO APLICA</v>
      </c>
      <c r="KG105" s="5"/>
      <c r="KH105" s="2"/>
      <c r="KI105" s="4"/>
      <c r="KJ105" s="8"/>
      <c r="KK105" s="5" t="str">
        <f t="shared" si="356"/>
        <v>NO APLICA</v>
      </c>
      <c r="KL105" s="5"/>
      <c r="KM105" s="2"/>
      <c r="KN105" s="4"/>
      <c r="KO105" s="8"/>
      <c r="KP105" s="5" t="str">
        <f t="shared" si="331"/>
        <v>NO APLICA</v>
      </c>
      <c r="KQ105" s="5"/>
      <c r="KR105" s="2"/>
      <c r="KS105" s="4"/>
      <c r="KT105" s="8"/>
      <c r="KU105" s="5" t="str">
        <f t="shared" si="357"/>
        <v>NO APLICA</v>
      </c>
      <c r="KV105" s="2"/>
      <c r="KW105" s="6"/>
      <c r="KX105" s="4"/>
      <c r="KY105" s="8"/>
      <c r="KZ105" s="5" t="str">
        <f t="shared" si="366"/>
        <v>NO APLICA</v>
      </c>
      <c r="LA105" s="5"/>
      <c r="LB105" s="6"/>
      <c r="LC105" s="4"/>
      <c r="LD105" s="8"/>
      <c r="LE105" s="5" t="str">
        <f t="shared" si="358"/>
        <v>NO APLICA</v>
      </c>
      <c r="LF105" s="6"/>
      <c r="LG105" s="6"/>
      <c r="LH105" s="4"/>
      <c r="LI105" s="8"/>
      <c r="LJ105" s="5" t="str">
        <f t="shared" si="332"/>
        <v>NO APLICA</v>
      </c>
      <c r="LK105" s="5"/>
      <c r="LL105" s="5"/>
      <c r="LM105" s="4"/>
      <c r="LN105" s="8"/>
      <c r="LO105" s="5" t="str">
        <f t="shared" si="367"/>
        <v>NO APLICA</v>
      </c>
      <c r="LP105" s="2"/>
      <c r="LQ105" s="6"/>
      <c r="LR105" s="4"/>
      <c r="LS105" s="8"/>
      <c r="LT105" s="5" t="str">
        <f t="shared" si="359"/>
        <v>NO APLICA</v>
      </c>
      <c r="LU105" s="6"/>
      <c r="LV105" s="6"/>
      <c r="LW105" s="4"/>
      <c r="LX105" s="8"/>
      <c r="LY105" s="5" t="str">
        <f t="shared" si="360"/>
        <v>NO APLICA</v>
      </c>
      <c r="LZ105" s="6"/>
      <c r="MA105" s="6"/>
      <c r="MB105" s="4"/>
      <c r="MC105" s="8"/>
      <c r="MD105" s="5" t="str">
        <f t="shared" si="361"/>
        <v>NO APLICA</v>
      </c>
      <c r="ME105" s="2"/>
      <c r="MF105" s="2"/>
      <c r="MG105" s="4"/>
      <c r="MH105" s="8"/>
      <c r="MI105" s="5" t="str">
        <f t="shared" si="333"/>
        <v>NO APLICA</v>
      </c>
      <c r="MJ105" s="2"/>
      <c r="MK105" s="2"/>
      <c r="ML105" s="4"/>
      <c r="MM105" s="8"/>
      <c r="MN105" s="5" t="str">
        <f t="shared" si="334"/>
        <v>NO APLICA</v>
      </c>
      <c r="MO105" s="5"/>
      <c r="MP105" s="2"/>
      <c r="MQ105" s="4"/>
      <c r="MR105" s="8"/>
      <c r="MS105" s="5" t="str">
        <f t="shared" si="335"/>
        <v>NO APLICA</v>
      </c>
      <c r="MT105" s="5"/>
      <c r="MU105" s="2"/>
      <c r="MV105" s="4"/>
      <c r="MW105" s="2"/>
      <c r="MX105" s="5" t="str">
        <f t="shared" si="336"/>
        <v>NO APLICA</v>
      </c>
      <c r="MY105" s="2"/>
      <c r="MZ105" s="6"/>
      <c r="NA105" s="4"/>
      <c r="NB105" s="8"/>
      <c r="NC105" s="5" t="str">
        <f t="shared" si="337"/>
        <v>NO APLICA</v>
      </c>
      <c r="ND105" s="2"/>
      <c r="NE105" s="6"/>
      <c r="NF105" s="4"/>
      <c r="NG105" s="8"/>
      <c r="NH105" s="5" t="str">
        <f t="shared" si="338"/>
        <v>NO APLICA</v>
      </c>
      <c r="NI105" s="2"/>
      <c r="NJ105" s="6"/>
      <c r="NK105" s="4"/>
      <c r="NL105" s="8"/>
      <c r="NM105" s="5" t="str">
        <f t="shared" si="339"/>
        <v>NO APLICA</v>
      </c>
      <c r="NN105" s="2"/>
      <c r="NO105" s="2"/>
      <c r="NP105" s="4"/>
      <c r="NQ105" s="2"/>
      <c r="NR105" s="5" t="str">
        <f t="shared" si="340"/>
        <v>NO APLICA</v>
      </c>
      <c r="NS105" s="2"/>
      <c r="NT105" s="2"/>
      <c r="NU105" s="2"/>
      <c r="NV105" s="2"/>
      <c r="NW105" s="5" t="str">
        <f t="shared" si="341"/>
        <v>NO APLICA</v>
      </c>
      <c r="NX105" s="6"/>
      <c r="NY105" s="6"/>
      <c r="NZ105" s="4"/>
      <c r="OA105" s="8"/>
      <c r="OB105" s="5" t="str">
        <f t="shared" si="342"/>
        <v>NO APLICA</v>
      </c>
      <c r="OC105" s="6"/>
      <c r="OD105" s="6"/>
      <c r="OE105" s="6"/>
      <c r="OF105" s="6"/>
      <c r="OG105" s="5" t="str">
        <f t="shared" si="343"/>
        <v>NO APLICA</v>
      </c>
      <c r="OH105" s="2"/>
      <c r="OI105" s="2"/>
      <c r="OJ105" s="4"/>
      <c r="OK105" s="8"/>
      <c r="OL105" s="5" t="str">
        <f t="shared" si="344"/>
        <v>NO APLICA</v>
      </c>
      <c r="OM105" s="6"/>
      <c r="ON105" s="6"/>
      <c r="OO105" s="6"/>
      <c r="OP105" s="6"/>
      <c r="OQ105" s="5" t="str">
        <f t="shared" si="345"/>
        <v>NO APLICA</v>
      </c>
      <c r="OR105" s="6"/>
      <c r="OS105" s="6"/>
      <c r="OT105" s="6"/>
      <c r="OU105" s="6"/>
      <c r="OV105" s="5" t="str">
        <f t="shared" si="346"/>
        <v>NO APLICA</v>
      </c>
      <c r="OW105" s="6"/>
      <c r="OX105" s="6"/>
      <c r="OY105" s="6"/>
      <c r="OZ105" s="6"/>
      <c r="PA105" s="5" t="str">
        <f t="shared" si="347"/>
        <v>NO APLICA</v>
      </c>
      <c r="PB105" s="6"/>
      <c r="PC105" s="6"/>
      <c r="PD105" s="6"/>
      <c r="PE105" s="6"/>
      <c r="PF105" s="5" t="str">
        <f t="shared" si="348"/>
        <v>NO APLICA</v>
      </c>
      <c r="PG105" s="6"/>
      <c r="PH105" s="6"/>
      <c r="PI105" s="6"/>
      <c r="PJ105" s="6"/>
      <c r="PK105" s="5" t="str">
        <f t="shared" si="349"/>
        <v>NO APLICA</v>
      </c>
      <c r="PL105" s="5"/>
      <c r="PM105" s="6"/>
      <c r="PN105" s="4"/>
      <c r="PO105" s="8"/>
      <c r="PP105" s="5" t="str">
        <f t="shared" si="350"/>
        <v>NO APLICA</v>
      </c>
      <c r="PQ105" s="6"/>
      <c r="PR105" s="6"/>
      <c r="PS105" s="6"/>
      <c r="PT105" s="6"/>
      <c r="PU105" s="5" t="str">
        <f t="shared" si="351"/>
        <v>NO APLICA</v>
      </c>
      <c r="PV105" s="5"/>
      <c r="PW105" s="4">
        <v>46126</v>
      </c>
      <c r="PX105" s="4">
        <f>DATE(YEAR(PW105)+1,MONTH(PW105),DAY(PW105))</f>
        <v>46491</v>
      </c>
      <c r="PY105" s="8">
        <f ca="1">PX105-TODAY()</f>
        <v>346</v>
      </c>
      <c r="PZ105" s="5" t="str">
        <f t="shared" ca="1" si="352"/>
        <v>VIGENTE</v>
      </c>
    </row>
    <row r="106" spans="1:442" ht="15.6" hidden="1" thickTop="1" thickBot="1" x14ac:dyDescent="0.35">
      <c r="A106" s="26">
        <v>103</v>
      </c>
      <c r="B106" s="31">
        <v>1742</v>
      </c>
      <c r="C106" s="28" t="s">
        <v>362</v>
      </c>
      <c r="D106" s="29" t="s">
        <v>157</v>
      </c>
      <c r="E106" s="30" t="s">
        <v>158</v>
      </c>
      <c r="F106" s="6"/>
      <c r="G106" s="6"/>
      <c r="H106" s="6"/>
      <c r="I106" s="6"/>
      <c r="J106" s="5" t="str">
        <f t="shared" si="242"/>
        <v>NO APLICA</v>
      </c>
      <c r="K106" s="6"/>
      <c r="L106" s="6"/>
      <c r="M106" s="6"/>
      <c r="N106" s="6"/>
      <c r="O106" s="5" t="str">
        <f t="shared" si="243"/>
        <v>NO APLICA</v>
      </c>
      <c r="P106" s="6"/>
      <c r="Q106" s="6"/>
      <c r="R106" s="6"/>
      <c r="S106" s="6"/>
      <c r="T106" s="5" t="str">
        <f t="shared" si="353"/>
        <v>NO APLICA</v>
      </c>
      <c r="U106" s="5"/>
      <c r="V106" s="6" t="s">
        <v>363</v>
      </c>
      <c r="W106" s="4">
        <v>45693</v>
      </c>
      <c r="X106" s="4">
        <f t="shared" si="244"/>
        <v>47519</v>
      </c>
      <c r="Y106" s="8">
        <f t="shared" ca="1" si="245"/>
        <v>1374</v>
      </c>
      <c r="Z106" s="5" t="str">
        <f t="shared" ca="1" si="246"/>
        <v>VIGENTE</v>
      </c>
      <c r="AA106" s="5"/>
      <c r="AB106" s="2"/>
      <c r="AC106" s="2"/>
      <c r="AD106" s="4"/>
      <c r="AE106" s="8"/>
      <c r="AF106" s="5" t="str">
        <f t="shared" si="247"/>
        <v>NO APLICA</v>
      </c>
      <c r="AG106" s="6"/>
      <c r="AH106" s="4">
        <v>45589</v>
      </c>
      <c r="AI106" s="4">
        <f>DATE(YEAR(AH106)+2,MONTH(AH106),DAY(AH106)-1)</f>
        <v>46318</v>
      </c>
      <c r="AJ106" s="8">
        <f t="shared" ca="1" si="248"/>
        <v>173</v>
      </c>
      <c r="AK106" s="5" t="str">
        <f t="shared" ca="1" si="219"/>
        <v>VIGENTE</v>
      </c>
      <c r="AL106" s="6"/>
      <c r="AM106" s="4">
        <v>45602</v>
      </c>
      <c r="AN106" s="4">
        <f>DATE(YEAR(AM106)+2,MONTH(AM106),DAY(AM106)-1)</f>
        <v>46331</v>
      </c>
      <c r="AO106" s="8">
        <f t="shared" ca="1" si="249"/>
        <v>186</v>
      </c>
      <c r="AP106" s="5" t="str">
        <f t="shared" ca="1" si="250"/>
        <v>VIGENTE</v>
      </c>
      <c r="AQ106" s="6"/>
      <c r="AR106" s="4">
        <v>45591</v>
      </c>
      <c r="AS106" s="4">
        <f>DATE(YEAR(AR106)+2,MONTH(AR106),DAY(AR106)-1)</f>
        <v>46320</v>
      </c>
      <c r="AT106" s="8">
        <f t="shared" ca="1" si="251"/>
        <v>175</v>
      </c>
      <c r="AU106" s="5" t="str">
        <f t="shared" ca="1" si="252"/>
        <v>VIGENTE</v>
      </c>
      <c r="AV106" s="6"/>
      <c r="AW106" s="4">
        <v>45644</v>
      </c>
      <c r="AX106" s="4">
        <f>DATE(YEAR(AW106)+2,MONTH(AW106),DAY(AW106)-1)</f>
        <v>46373</v>
      </c>
      <c r="AY106" s="8">
        <f t="shared" ca="1" si="253"/>
        <v>228</v>
      </c>
      <c r="AZ106" s="5" t="str">
        <f t="shared" ca="1" si="254"/>
        <v>VIGENTE</v>
      </c>
      <c r="BA106" s="4"/>
      <c r="BB106" s="4">
        <v>45603</v>
      </c>
      <c r="BC106" s="4">
        <f>DATE(YEAR(BB106)+2,MONTH(BB106),DAY(BB106)-1)</f>
        <v>46332</v>
      </c>
      <c r="BD106" s="8">
        <f t="shared" ca="1" si="255"/>
        <v>187</v>
      </c>
      <c r="BE106" s="5" t="str">
        <f t="shared" ca="1" si="256"/>
        <v>VIGENTE</v>
      </c>
      <c r="BF106" s="6"/>
      <c r="BG106" s="4">
        <v>45605</v>
      </c>
      <c r="BH106" s="4">
        <f>DATE(YEAR(BG106)+2,MONTH(BG106),DAY(BG106)-1)</f>
        <v>46334</v>
      </c>
      <c r="BI106" s="8">
        <f t="shared" ca="1" si="257"/>
        <v>189</v>
      </c>
      <c r="BJ106" s="5" t="str">
        <f t="shared" ca="1" si="258"/>
        <v>VIGENTE</v>
      </c>
      <c r="BK106" s="4"/>
      <c r="BL106" s="4">
        <v>45600</v>
      </c>
      <c r="BM106" s="4">
        <f>DATE(YEAR(BL106)+2,MONTH(BL106),DAY(BL106)-1)</f>
        <v>46329</v>
      </c>
      <c r="BN106" s="8">
        <f t="shared" ca="1" si="259"/>
        <v>184</v>
      </c>
      <c r="BO106" s="5" t="str">
        <f t="shared" ca="1" si="260"/>
        <v>VIGENTE</v>
      </c>
      <c r="BP106" s="4"/>
      <c r="BQ106" s="4">
        <v>45604</v>
      </c>
      <c r="BR106" s="4">
        <f>DATE(YEAR(BQ106)+2,MONTH(BQ106),DAY(BQ106)-1)</f>
        <v>46333</v>
      </c>
      <c r="BS106" s="8">
        <f t="shared" ca="1" si="261"/>
        <v>188</v>
      </c>
      <c r="BT106" s="5" t="str">
        <f t="shared" ca="1" si="262"/>
        <v>VIGENTE</v>
      </c>
      <c r="BU106" s="6"/>
      <c r="BV106" s="4">
        <v>45568</v>
      </c>
      <c r="BW106" s="4">
        <f>DATE(YEAR(BV106)+2,MONTH(BV106),DAY(BV106)-1)</f>
        <v>46297</v>
      </c>
      <c r="BX106" s="8">
        <f t="shared" ca="1" si="263"/>
        <v>152</v>
      </c>
      <c r="BY106" s="5" t="str">
        <f t="shared" ca="1" si="264"/>
        <v>VIGENTE</v>
      </c>
      <c r="BZ106" s="6"/>
      <c r="CA106" s="4">
        <v>45730</v>
      </c>
      <c r="CB106" s="4">
        <f>DATE(YEAR(CA106)+2,MONTH(CA106),DAY(CA106)-1)</f>
        <v>46459</v>
      </c>
      <c r="CC106" s="8">
        <f t="shared" ca="1" si="265"/>
        <v>314</v>
      </c>
      <c r="CD106" s="5" t="str">
        <f t="shared" ca="1" si="266"/>
        <v>VIGENTE</v>
      </c>
      <c r="CE106" s="6"/>
      <c r="CF106" s="4">
        <v>45723</v>
      </c>
      <c r="CG106" s="4">
        <f t="shared" si="387"/>
        <v>47184</v>
      </c>
      <c r="CH106" s="8">
        <f t="shared" ca="1" si="388"/>
        <v>1039</v>
      </c>
      <c r="CI106" s="5" t="str">
        <f t="shared" ca="1" si="269"/>
        <v>VIGENTE</v>
      </c>
      <c r="CJ106" s="6"/>
      <c r="CK106" s="4">
        <v>45601</v>
      </c>
      <c r="CL106" s="4">
        <f>DATE(YEAR(CK106)+2,MONTH(CK106),DAY(CK106)-1)</f>
        <v>46330</v>
      </c>
      <c r="CM106" s="8">
        <f t="shared" ca="1" si="270"/>
        <v>185</v>
      </c>
      <c r="CN106" s="5" t="str">
        <f t="shared" ca="1" si="271"/>
        <v>VIGENTE</v>
      </c>
      <c r="CO106" s="6"/>
      <c r="CP106" s="4">
        <v>45597</v>
      </c>
      <c r="CQ106" s="4">
        <f>DATE(YEAR(CP106)+2,MONTH(CP106),DAY(CP106)-1)</f>
        <v>46326</v>
      </c>
      <c r="CR106" s="8">
        <f t="shared" ca="1" si="272"/>
        <v>181</v>
      </c>
      <c r="CS106" s="5" t="str">
        <f t="shared" ca="1" si="273"/>
        <v>VIGENTE</v>
      </c>
      <c r="CT106" s="6"/>
      <c r="CU106" s="4">
        <v>45624</v>
      </c>
      <c r="CV106" s="4">
        <f>DATE(YEAR(CU106)+2,MONTH(CU106),DAY(CU106)-1)</f>
        <v>46353</v>
      </c>
      <c r="CW106" s="8">
        <f t="shared" ca="1" si="274"/>
        <v>208</v>
      </c>
      <c r="CX106" s="5" t="str">
        <f t="shared" ca="1" si="275"/>
        <v>VIGENTE</v>
      </c>
      <c r="CY106" s="4"/>
      <c r="CZ106" s="4">
        <v>45646</v>
      </c>
      <c r="DA106" s="4">
        <f>DATE(YEAR(CZ106)+2,MONTH(CZ106),DAY(CZ106)-1)</f>
        <v>46375</v>
      </c>
      <c r="DB106" s="8">
        <f t="shared" ca="1" si="276"/>
        <v>230</v>
      </c>
      <c r="DC106" s="5" t="str">
        <f t="shared" ca="1" si="277"/>
        <v>VIGENTE</v>
      </c>
      <c r="DD106" s="4"/>
      <c r="DE106" s="4">
        <v>45596</v>
      </c>
      <c r="DF106" s="4">
        <f>DATE(YEAR(DE106)+2,MONTH(DE106),DAY(DE106)-1)</f>
        <v>46325</v>
      </c>
      <c r="DG106" s="8">
        <f t="shared" ca="1" si="278"/>
        <v>180</v>
      </c>
      <c r="DH106" s="5" t="str">
        <f t="shared" ca="1" si="279"/>
        <v>VIGENTE</v>
      </c>
      <c r="DI106" s="6"/>
      <c r="DJ106" s="4">
        <v>45580</v>
      </c>
      <c r="DK106" s="4">
        <f>DATE(YEAR(DJ106)+2,MONTH(DJ106),DAY(DJ106)-1)</f>
        <v>46309</v>
      </c>
      <c r="DL106" s="8">
        <f t="shared" ca="1" si="280"/>
        <v>164</v>
      </c>
      <c r="DM106" s="5" t="str">
        <f t="shared" ca="1" si="281"/>
        <v>VIGENTE</v>
      </c>
      <c r="DN106" s="4"/>
      <c r="DO106" s="4">
        <v>45577</v>
      </c>
      <c r="DP106" s="4">
        <f>DATE(YEAR(DO106)+2,MONTH(DO106),DAY(DO106)-1)</f>
        <v>46306</v>
      </c>
      <c r="DQ106" s="8">
        <f t="shared" ca="1" si="282"/>
        <v>161</v>
      </c>
      <c r="DR106" s="5" t="str">
        <f t="shared" ca="1" si="283"/>
        <v>VIGENTE</v>
      </c>
      <c r="DS106" s="6"/>
      <c r="DT106" s="4">
        <v>45608</v>
      </c>
      <c r="DU106" s="4">
        <f>DATE(YEAR(DT106)+2,MONTH(DT106),DAY(DT106)-1)</f>
        <v>46337</v>
      </c>
      <c r="DV106" s="8">
        <f t="shared" ca="1" si="284"/>
        <v>192</v>
      </c>
      <c r="DW106" s="5" t="str">
        <f t="shared" ca="1" si="285"/>
        <v>VIGENTE</v>
      </c>
      <c r="DX106" s="4"/>
      <c r="DY106" s="4">
        <v>45582</v>
      </c>
      <c r="DZ106" s="4">
        <f>DATE(YEAR(DY106)+2,MONTH(DY106),DAY(DY106)-1)</f>
        <v>46311</v>
      </c>
      <c r="EA106" s="8">
        <f t="shared" ca="1" si="286"/>
        <v>166</v>
      </c>
      <c r="EB106" s="5" t="str">
        <f t="shared" ca="1" si="287"/>
        <v>VIGENTE</v>
      </c>
      <c r="EC106" s="4"/>
      <c r="ED106" s="4">
        <v>45583</v>
      </c>
      <c r="EE106" s="4">
        <f>DATE(YEAR(ED106)+2,MONTH(ED106),DAY(ED106)-1)</f>
        <v>46312</v>
      </c>
      <c r="EF106" s="8">
        <f t="shared" ca="1" si="288"/>
        <v>167</v>
      </c>
      <c r="EG106" s="5" t="str">
        <f t="shared" ca="1" si="289"/>
        <v>VIGENTE</v>
      </c>
      <c r="EH106" s="3"/>
      <c r="EI106" s="3">
        <v>46107</v>
      </c>
      <c r="EJ106" s="4">
        <f t="shared" si="355"/>
        <v>46472</v>
      </c>
      <c r="EK106" s="8">
        <f t="shared" ca="1" si="290"/>
        <v>327</v>
      </c>
      <c r="EL106" s="5" t="str">
        <f t="shared" ca="1" si="291"/>
        <v>VIGENTE</v>
      </c>
      <c r="EM106" s="4"/>
      <c r="EN106" s="4">
        <v>45584</v>
      </c>
      <c r="EO106" s="4">
        <f>DATE(YEAR(EN106)+2,MONTH(EN106),DAY(EN106)-1)</f>
        <v>46313</v>
      </c>
      <c r="EP106" s="8">
        <f t="shared" ca="1" si="292"/>
        <v>168</v>
      </c>
      <c r="EQ106" s="5" t="str">
        <f t="shared" ca="1" si="293"/>
        <v>VIGENTE</v>
      </c>
      <c r="ER106" s="6"/>
      <c r="ES106" s="4">
        <v>45575</v>
      </c>
      <c r="ET106" s="4">
        <f>DATE(YEAR(ES106)+2,MONTH(ES106),DAY(ES106)-1)</f>
        <v>46304</v>
      </c>
      <c r="EU106" s="8">
        <f t="shared" ca="1" si="294"/>
        <v>159</v>
      </c>
      <c r="EV106" s="5" t="str">
        <f t="shared" ca="1" si="295"/>
        <v>VIGENTE</v>
      </c>
      <c r="EW106" s="6"/>
      <c r="EX106" s="4">
        <v>45610</v>
      </c>
      <c r="EY106" s="4">
        <f>DATE(YEAR(EX106)+2,MONTH(EX106),DAY(EX106)-1)</f>
        <v>46339</v>
      </c>
      <c r="EZ106" s="8">
        <f t="shared" ca="1" si="296"/>
        <v>194</v>
      </c>
      <c r="FA106" s="5" t="str">
        <f t="shared" ca="1" si="297"/>
        <v>VIGENTE</v>
      </c>
      <c r="FB106" s="6"/>
      <c r="FC106" s="4">
        <v>45611</v>
      </c>
      <c r="FD106" s="4">
        <f>DATE(YEAR(FC106)+2,MONTH(FC106),DAY(FC106)-1)</f>
        <v>46340</v>
      </c>
      <c r="FE106" s="8">
        <f t="shared" ca="1" si="298"/>
        <v>195</v>
      </c>
      <c r="FF106" s="5" t="str">
        <f t="shared" ca="1" si="299"/>
        <v>VIGENTE</v>
      </c>
      <c r="FG106" s="6"/>
      <c r="FH106" s="4">
        <v>45668</v>
      </c>
      <c r="FI106" s="4">
        <f>DATE(YEAR(FH106)+2,MONTH(FH106),DAY(FH106)-1)</f>
        <v>46397</v>
      </c>
      <c r="FJ106" s="8">
        <f t="shared" ca="1" si="300"/>
        <v>252</v>
      </c>
      <c r="FK106" s="5" t="str">
        <f t="shared" ca="1" si="301"/>
        <v>VIGENTE</v>
      </c>
      <c r="FL106" s="4"/>
      <c r="FM106" s="4">
        <v>45588</v>
      </c>
      <c r="FN106" s="4">
        <f>DATE(YEAR(FM106)+2,MONTH(FM106),DAY(FM106)-1)</f>
        <v>46317</v>
      </c>
      <c r="FO106" s="8">
        <f t="shared" ca="1" si="302"/>
        <v>172</v>
      </c>
      <c r="FP106" s="5" t="str">
        <f t="shared" ca="1" si="303"/>
        <v>VIGENTE</v>
      </c>
      <c r="FQ106" s="4"/>
      <c r="FR106" s="4">
        <v>45586</v>
      </c>
      <c r="FS106" s="4">
        <f>DATE(YEAR(FR106)+2,MONTH(FR106),DAY(FR106)-1)</f>
        <v>46315</v>
      </c>
      <c r="FT106" s="8">
        <f t="shared" ca="1" si="304"/>
        <v>170</v>
      </c>
      <c r="FU106" s="5" t="str">
        <f t="shared" ca="1" si="305"/>
        <v>VIGENTE</v>
      </c>
      <c r="FV106" s="4"/>
      <c r="FW106" s="4">
        <v>45587</v>
      </c>
      <c r="FX106" s="4">
        <f>DATE(YEAR(FW106)+2,MONTH(FW106),DAY(FW106)-1)</f>
        <v>46316</v>
      </c>
      <c r="FY106" s="8">
        <f t="shared" ca="1" si="306"/>
        <v>171</v>
      </c>
      <c r="FZ106" s="5" t="str">
        <f t="shared" ca="1" si="307"/>
        <v>VIGENTE</v>
      </c>
      <c r="GA106" s="4"/>
      <c r="GB106" s="4">
        <v>45595</v>
      </c>
      <c r="GC106" s="4">
        <f>DATE(YEAR(GB106)+2,MONTH(GB106),DAY(GB106)-1)</f>
        <v>46324</v>
      </c>
      <c r="GD106" s="8">
        <f t="shared" ca="1" si="308"/>
        <v>179</v>
      </c>
      <c r="GE106" s="5" t="str">
        <f t="shared" ca="1" si="309"/>
        <v>VIGENTE</v>
      </c>
      <c r="GF106" s="4"/>
      <c r="GG106" s="4">
        <v>45579</v>
      </c>
      <c r="GH106" s="4">
        <f>DATE(YEAR(GG106)+2,MONTH(GG106),DAY(GG106)-1)</f>
        <v>46308</v>
      </c>
      <c r="GI106" s="8">
        <f t="shared" ca="1" si="310"/>
        <v>163</v>
      </c>
      <c r="GJ106" s="5" t="str">
        <f t="shared" ca="1" si="311"/>
        <v>VIGENTE</v>
      </c>
      <c r="GK106" s="4"/>
      <c r="GL106" s="4">
        <v>45567</v>
      </c>
      <c r="GM106" s="4">
        <f>DATE(YEAR(GL106)+2,MONTH(GL106),DAY(GL106)-1)</f>
        <v>46296</v>
      </c>
      <c r="GN106" s="8">
        <f t="shared" ca="1" si="312"/>
        <v>151</v>
      </c>
      <c r="GO106" s="5" t="str">
        <f t="shared" ca="1" si="313"/>
        <v>VIGENTE</v>
      </c>
      <c r="GP106" s="4"/>
      <c r="GQ106" s="6"/>
      <c r="GR106" s="4"/>
      <c r="GS106" s="6"/>
      <c r="GT106" s="5" t="str">
        <f t="shared" si="378"/>
        <v>NO APLICA</v>
      </c>
      <c r="GU106" s="4"/>
      <c r="GV106" s="6"/>
      <c r="GW106" s="4"/>
      <c r="GX106" s="8"/>
      <c r="GY106" s="5" t="str">
        <f>IF(GX106&gt;=61,"VIGENTE",IF(GX106&gt;=1,"POR VENCER",IF(GX106&lt;=-1,"PROGRAMAR",IF(GV106=0,"NO APLICA"))))</f>
        <v>NO APLICA</v>
      </c>
      <c r="GZ106" s="6"/>
      <c r="HA106" s="6"/>
      <c r="HB106" s="4"/>
      <c r="HC106" s="8"/>
      <c r="HD106" s="5" t="str">
        <f>IF(HC106&gt;=61,"VIGENTE",IF(HC106&gt;=1,"POR VENCER",IF(HC106&lt;=-1,"PROGRAMAR",IF(HA106=0,"NO APLICA"))))</f>
        <v>NO APLICA</v>
      </c>
      <c r="HE106" s="6"/>
      <c r="HF106" s="6"/>
      <c r="HG106" s="4"/>
      <c r="HH106" s="8"/>
      <c r="HI106" s="5" t="str">
        <f>IF(HH106&gt;=61,"VIGENTE",IF(HH106&gt;=1,"POR VENCER",IF(HH106&lt;=-1,"PROGRAMAR",IF(HF106=0,"NO APLICA"))))</f>
        <v>NO APLICA</v>
      </c>
      <c r="HJ106" s="6"/>
      <c r="HK106" s="6"/>
      <c r="HL106" s="4"/>
      <c r="HM106" s="8"/>
      <c r="HN106" s="5" t="str">
        <f>IF(HM106&gt;=61,"VIGENTE",IF(HM106&gt;=1,"POR VENCER",IF(HM106&lt;=-1,"PROGRAMAR",IF(HK106=0,"NO APLICA"))))</f>
        <v>NO APLICA</v>
      </c>
      <c r="HO106" s="6"/>
      <c r="HP106" s="6"/>
      <c r="HQ106" s="4"/>
      <c r="HR106" s="6"/>
      <c r="HS106" s="5" t="str">
        <f t="shared" si="322"/>
        <v>NO APLICA</v>
      </c>
      <c r="HT106" s="6"/>
      <c r="HU106" s="6"/>
      <c r="HV106" s="4"/>
      <c r="HW106" s="6"/>
      <c r="HX106" s="5" t="str">
        <f t="shared" si="323"/>
        <v>NO APLICA</v>
      </c>
      <c r="HY106" s="6"/>
      <c r="HZ106" s="6"/>
      <c r="IA106" s="4"/>
      <c r="IB106" s="6"/>
      <c r="IC106" s="5" t="str">
        <f t="shared" si="324"/>
        <v>NO APLICA</v>
      </c>
      <c r="ID106" s="6"/>
      <c r="IE106" s="6"/>
      <c r="IF106" s="4"/>
      <c r="IG106" s="6"/>
      <c r="IH106" s="5" t="str">
        <f t="shared" si="325"/>
        <v>NO APLICA</v>
      </c>
      <c r="II106" s="6"/>
      <c r="IJ106" s="6"/>
      <c r="IK106" s="4"/>
      <c r="IL106" s="6"/>
      <c r="IM106" s="5" t="str">
        <f t="shared" si="326"/>
        <v>NO APLICA</v>
      </c>
      <c r="IN106" s="6"/>
      <c r="IO106" s="6"/>
      <c r="IP106" s="4"/>
      <c r="IQ106" s="6"/>
      <c r="IR106" s="5" t="str">
        <f t="shared" si="327"/>
        <v>NO APLICA</v>
      </c>
      <c r="IS106" s="6"/>
      <c r="IT106" s="6"/>
      <c r="IU106" s="4"/>
      <c r="IV106" s="6"/>
      <c r="IW106" s="5" t="str">
        <f t="shared" si="328"/>
        <v>NO APLICA</v>
      </c>
      <c r="IX106" s="6"/>
      <c r="IY106" s="6"/>
      <c r="IZ106" s="4"/>
      <c r="JA106" s="6"/>
      <c r="JB106" s="5" t="str">
        <f t="shared" si="329"/>
        <v>NO APLICA</v>
      </c>
      <c r="JC106" s="3" t="s">
        <v>780</v>
      </c>
      <c r="JD106" s="6"/>
      <c r="JE106" s="6"/>
      <c r="JF106" s="6"/>
      <c r="JG106" s="5"/>
      <c r="JH106" s="3" t="s">
        <v>780</v>
      </c>
      <c r="JI106" s="6"/>
      <c r="JJ106" s="6"/>
      <c r="JK106" s="6"/>
      <c r="JL106" s="5"/>
      <c r="JM106" s="6" t="s">
        <v>780</v>
      </c>
      <c r="JN106" s="6"/>
      <c r="JO106" s="6"/>
      <c r="JP106" s="6"/>
      <c r="JQ106" s="5"/>
      <c r="JR106" s="6" t="s">
        <v>780</v>
      </c>
      <c r="JS106" s="6"/>
      <c r="JT106" s="6"/>
      <c r="JU106" s="6"/>
      <c r="JV106" s="5"/>
      <c r="JW106" s="6" t="s">
        <v>780</v>
      </c>
      <c r="JX106" s="5"/>
      <c r="JY106" s="5"/>
      <c r="JZ106" s="5"/>
      <c r="KA106" s="5"/>
      <c r="KB106" s="5"/>
      <c r="KC106" s="6"/>
      <c r="KD106" s="4"/>
      <c r="KE106" s="6"/>
      <c r="KF106" s="5" t="str">
        <f t="shared" si="330"/>
        <v>NO APLICA</v>
      </c>
      <c r="KG106" s="5"/>
      <c r="KH106" s="6"/>
      <c r="KI106" s="4"/>
      <c r="KJ106" s="6"/>
      <c r="KK106" s="5" t="str">
        <f t="shared" si="356"/>
        <v>NO APLICA</v>
      </c>
      <c r="KL106" s="5"/>
      <c r="KM106" s="6"/>
      <c r="KN106" s="4"/>
      <c r="KO106" s="6"/>
      <c r="KP106" s="5" t="str">
        <f t="shared" si="331"/>
        <v>NO APLICA</v>
      </c>
      <c r="KQ106" s="5"/>
      <c r="KR106" s="2"/>
      <c r="KS106" s="2"/>
      <c r="KT106" s="2"/>
      <c r="KU106" s="5" t="str">
        <f t="shared" si="357"/>
        <v>NO APLICA</v>
      </c>
      <c r="KV106" s="6"/>
      <c r="KW106" s="6"/>
      <c r="KX106" s="4"/>
      <c r="KY106" s="6"/>
      <c r="KZ106" s="5" t="str">
        <f t="shared" si="366"/>
        <v>NO APLICA</v>
      </c>
      <c r="LA106" s="5"/>
      <c r="LB106" s="6"/>
      <c r="LC106" s="4"/>
      <c r="LD106" s="6"/>
      <c r="LE106" s="5" t="str">
        <f t="shared" si="358"/>
        <v>NO APLICA</v>
      </c>
      <c r="LF106" s="6"/>
      <c r="LG106" s="6"/>
      <c r="LH106" s="6"/>
      <c r="LI106" s="6"/>
      <c r="LJ106" s="5" t="str">
        <f t="shared" si="332"/>
        <v>NO APLICA</v>
      </c>
      <c r="LK106" s="5"/>
      <c r="LL106" s="5"/>
      <c r="LM106" s="4"/>
      <c r="LN106" s="8"/>
      <c r="LO106" s="5" t="str">
        <f t="shared" si="367"/>
        <v>NO APLICA</v>
      </c>
      <c r="LP106" s="6"/>
      <c r="LQ106" s="6"/>
      <c r="LR106" s="6"/>
      <c r="LS106" s="6"/>
      <c r="LT106" s="5" t="str">
        <f t="shared" si="359"/>
        <v>NO APLICA</v>
      </c>
      <c r="LU106" s="6"/>
      <c r="LV106" s="6"/>
      <c r="LW106" s="4"/>
      <c r="LX106" s="6"/>
      <c r="LY106" s="5" t="str">
        <f t="shared" si="360"/>
        <v>NO APLICA</v>
      </c>
      <c r="LZ106" s="6"/>
      <c r="MA106" s="6"/>
      <c r="MB106" s="4"/>
      <c r="MC106" s="6"/>
      <c r="MD106" s="5" t="str">
        <f t="shared" si="361"/>
        <v>NO APLICA</v>
      </c>
      <c r="ME106" s="6"/>
      <c r="MF106" s="6"/>
      <c r="MG106" s="4"/>
      <c r="MH106" s="6"/>
      <c r="MI106" s="5" t="str">
        <f t="shared" si="333"/>
        <v>NO APLICA</v>
      </c>
      <c r="MJ106" s="6"/>
      <c r="MK106" s="6"/>
      <c r="ML106" s="4"/>
      <c r="MM106" s="6"/>
      <c r="MN106" s="5" t="str">
        <f t="shared" si="334"/>
        <v>NO APLICA</v>
      </c>
      <c r="MO106" s="5"/>
      <c r="MP106" s="6"/>
      <c r="MQ106" s="4"/>
      <c r="MR106" s="6"/>
      <c r="MS106" s="5" t="str">
        <f t="shared" si="335"/>
        <v>NO APLICA</v>
      </c>
      <c r="MT106" s="5"/>
      <c r="MU106" s="6"/>
      <c r="MV106" s="6"/>
      <c r="MW106" s="6"/>
      <c r="MX106" s="5" t="str">
        <f t="shared" si="336"/>
        <v>NO APLICA</v>
      </c>
      <c r="MY106" s="6"/>
      <c r="MZ106" s="6"/>
      <c r="NA106" s="4"/>
      <c r="NB106" s="6"/>
      <c r="NC106" s="5" t="str">
        <f t="shared" si="337"/>
        <v>NO APLICA</v>
      </c>
      <c r="ND106" s="6"/>
      <c r="NE106" s="6"/>
      <c r="NF106" s="4"/>
      <c r="NG106" s="6"/>
      <c r="NH106" s="5" t="str">
        <f t="shared" si="338"/>
        <v>NO APLICA</v>
      </c>
      <c r="NI106" s="6"/>
      <c r="NJ106" s="6"/>
      <c r="NK106" s="4"/>
      <c r="NL106" s="6"/>
      <c r="NM106" s="5" t="str">
        <f t="shared" si="339"/>
        <v>NO APLICA</v>
      </c>
      <c r="NN106" s="6"/>
      <c r="NO106" s="6"/>
      <c r="NP106" s="4"/>
      <c r="NQ106" s="6"/>
      <c r="NR106" s="5" t="str">
        <f t="shared" si="340"/>
        <v>NO APLICA</v>
      </c>
      <c r="NS106" s="6"/>
      <c r="NT106" s="6"/>
      <c r="NU106" s="4"/>
      <c r="NV106" s="6"/>
      <c r="NW106" s="5" t="str">
        <f t="shared" si="341"/>
        <v>NO APLICA</v>
      </c>
      <c r="NX106" s="6"/>
      <c r="NY106" s="6"/>
      <c r="NZ106" s="4"/>
      <c r="OA106" s="8"/>
      <c r="OB106" s="5" t="str">
        <f t="shared" si="342"/>
        <v>NO APLICA</v>
      </c>
      <c r="OC106" s="6"/>
      <c r="OD106" s="6"/>
      <c r="OE106" s="6"/>
      <c r="OF106" s="6"/>
      <c r="OG106" s="5" t="str">
        <f t="shared" si="343"/>
        <v>NO APLICA</v>
      </c>
      <c r="OH106" s="6"/>
      <c r="OI106" s="6"/>
      <c r="OJ106" s="6"/>
      <c r="OK106" s="6"/>
      <c r="OL106" s="5" t="str">
        <f t="shared" si="344"/>
        <v>NO APLICA</v>
      </c>
      <c r="OM106" s="6"/>
      <c r="ON106" s="6"/>
      <c r="OO106" s="6"/>
      <c r="OP106" s="6"/>
      <c r="OQ106" s="5" t="str">
        <f t="shared" si="345"/>
        <v>NO APLICA</v>
      </c>
      <c r="OR106" s="6"/>
      <c r="OS106" s="6"/>
      <c r="OT106" s="6"/>
      <c r="OU106" s="6"/>
      <c r="OV106" s="5" t="str">
        <f t="shared" si="346"/>
        <v>NO APLICA</v>
      </c>
      <c r="OW106" s="6"/>
      <c r="OX106" s="6"/>
      <c r="OY106" s="6"/>
      <c r="OZ106" s="6"/>
      <c r="PA106" s="5" t="str">
        <f t="shared" si="347"/>
        <v>NO APLICA</v>
      </c>
      <c r="PB106" s="6"/>
      <c r="PC106" s="6"/>
      <c r="PD106" s="6"/>
      <c r="PE106" s="6"/>
      <c r="PF106" s="5" t="str">
        <f t="shared" si="348"/>
        <v>NO APLICA</v>
      </c>
      <c r="PG106" s="6"/>
      <c r="PH106" s="6"/>
      <c r="PI106" s="6"/>
      <c r="PJ106" s="6"/>
      <c r="PK106" s="5" t="str">
        <f t="shared" si="349"/>
        <v>NO APLICA</v>
      </c>
      <c r="PL106" s="5"/>
      <c r="PM106" s="6"/>
      <c r="PN106" s="6"/>
      <c r="PO106" s="6"/>
      <c r="PP106" s="5" t="str">
        <f t="shared" si="350"/>
        <v>NO APLICA</v>
      </c>
      <c r="PQ106" s="6"/>
      <c r="PR106" s="6"/>
      <c r="PS106" s="6"/>
      <c r="PT106" s="6"/>
      <c r="PU106" s="5" t="str">
        <f t="shared" si="351"/>
        <v>NO APLICA</v>
      </c>
      <c r="PV106" s="5"/>
      <c r="PW106" s="6"/>
      <c r="PX106" s="4"/>
      <c r="PY106" s="8"/>
      <c r="PZ106" s="5" t="str">
        <f t="shared" si="352"/>
        <v>NO APLICA</v>
      </c>
    </row>
    <row r="107" spans="1:442" ht="15.6" hidden="1" thickTop="1" thickBot="1" x14ac:dyDescent="0.35">
      <c r="A107" s="26">
        <v>104</v>
      </c>
      <c r="B107" s="31">
        <v>1689</v>
      </c>
      <c r="C107" s="28" t="s">
        <v>762</v>
      </c>
      <c r="D107" s="29" t="s">
        <v>68</v>
      </c>
      <c r="E107" s="30" t="s">
        <v>73</v>
      </c>
      <c r="F107" s="5"/>
      <c r="G107" s="6"/>
      <c r="H107" s="4"/>
      <c r="I107" s="8"/>
      <c r="J107" s="5" t="str">
        <f t="shared" si="242"/>
        <v>NO APLICA</v>
      </c>
      <c r="K107" s="5"/>
      <c r="L107" s="6"/>
      <c r="M107" s="6"/>
      <c r="N107" s="8"/>
      <c r="O107" s="5" t="str">
        <f t="shared" si="243"/>
        <v>NO APLICA</v>
      </c>
      <c r="P107" s="4"/>
      <c r="Q107" s="4"/>
      <c r="R107" s="4"/>
      <c r="S107" s="8"/>
      <c r="T107" s="5" t="str">
        <f t="shared" si="353"/>
        <v>NO APLICA</v>
      </c>
      <c r="U107" s="5"/>
      <c r="V107" s="2" t="s">
        <v>364</v>
      </c>
      <c r="W107" s="4">
        <v>45142</v>
      </c>
      <c r="X107" s="4">
        <f t="shared" si="244"/>
        <v>46969</v>
      </c>
      <c r="Y107" s="8">
        <f t="shared" ca="1" si="245"/>
        <v>824</v>
      </c>
      <c r="Z107" s="5" t="str">
        <f t="shared" ca="1" si="246"/>
        <v>VIGENTE</v>
      </c>
      <c r="AA107" s="5"/>
      <c r="AB107" s="2" t="s">
        <v>365</v>
      </c>
      <c r="AC107" s="4">
        <v>45192</v>
      </c>
      <c r="AD107" s="4">
        <f>DATE(YEAR(AC107)+5,MONTH(AC107),DAY(AC107))</f>
        <v>47019</v>
      </c>
      <c r="AE107" s="8">
        <f ca="1">AD107-TODAY()</f>
        <v>874</v>
      </c>
      <c r="AF107" s="5" t="str">
        <f t="shared" ca="1" si="247"/>
        <v>VIGENTE</v>
      </c>
      <c r="AG107" s="3"/>
      <c r="AH107" s="4">
        <v>46006</v>
      </c>
      <c r="AI107" s="4">
        <f>DATE(YEAR(AH107)+2,MONTH(AH107),DAY(AH107))</f>
        <v>46736</v>
      </c>
      <c r="AJ107" s="8">
        <f t="shared" ca="1" si="248"/>
        <v>591</v>
      </c>
      <c r="AK107" s="5" t="str">
        <f t="shared" ca="1" si="219"/>
        <v>VIGENTE</v>
      </c>
      <c r="AL107" s="2"/>
      <c r="AM107" s="4">
        <v>45937</v>
      </c>
      <c r="AN107" s="4">
        <f>DATE(YEAR(AM107)+2,MONTH(AM107),DAY(AM107))</f>
        <v>46667</v>
      </c>
      <c r="AO107" s="8">
        <f t="shared" ca="1" si="249"/>
        <v>522</v>
      </c>
      <c r="AP107" s="5" t="str">
        <f t="shared" ca="1" si="250"/>
        <v>VIGENTE</v>
      </c>
      <c r="AQ107" s="3"/>
      <c r="AR107" s="4">
        <v>45967</v>
      </c>
      <c r="AS107" s="4">
        <f>DATE(YEAR(AR107)+2,MONTH(AR107),DAY(AR107))</f>
        <v>46697</v>
      </c>
      <c r="AT107" s="8">
        <f t="shared" ca="1" si="251"/>
        <v>552</v>
      </c>
      <c r="AU107" s="5" t="str">
        <f t="shared" ca="1" si="252"/>
        <v>VIGENTE</v>
      </c>
      <c r="AV107" s="2"/>
      <c r="AW107" s="4">
        <v>45952</v>
      </c>
      <c r="AX107" s="4">
        <f>DATE(YEAR(AW107)+2,MONTH(AW107),DAY(AW107))</f>
        <v>46682</v>
      </c>
      <c r="AY107" s="8">
        <f t="shared" ca="1" si="253"/>
        <v>537</v>
      </c>
      <c r="AZ107" s="5" t="str">
        <f t="shared" ca="1" si="254"/>
        <v>VIGENTE</v>
      </c>
      <c r="BA107" s="3"/>
      <c r="BB107" s="4">
        <v>46071</v>
      </c>
      <c r="BC107" s="4">
        <f>DATE(YEAR(BB107)+2,MONTH(BB107),DAY(BB107))</f>
        <v>46801</v>
      </c>
      <c r="BD107" s="8">
        <f t="shared" ca="1" si="255"/>
        <v>656</v>
      </c>
      <c r="BE107" s="5" t="str">
        <f t="shared" ca="1" si="256"/>
        <v>VIGENTE</v>
      </c>
      <c r="BF107" s="2"/>
      <c r="BG107" s="4">
        <v>45987</v>
      </c>
      <c r="BH107" s="4">
        <f>DATE(YEAR(BG107)+2,MONTH(BG107),DAY(BG107))</f>
        <v>46717</v>
      </c>
      <c r="BI107" s="8">
        <f t="shared" ca="1" si="257"/>
        <v>572</v>
      </c>
      <c r="BJ107" s="5" t="str">
        <f t="shared" ca="1" si="258"/>
        <v>VIGENTE</v>
      </c>
      <c r="BK107" s="3"/>
      <c r="BL107" s="4">
        <v>46017</v>
      </c>
      <c r="BM107" s="4">
        <f>DATE(YEAR(BL107)+2,MONTH(BL107),DAY(BL107))</f>
        <v>46747</v>
      </c>
      <c r="BN107" s="8">
        <f t="shared" ca="1" si="259"/>
        <v>602</v>
      </c>
      <c r="BO107" s="5" t="str">
        <f t="shared" ca="1" si="260"/>
        <v>VIGENTE</v>
      </c>
      <c r="BP107" s="3"/>
      <c r="BQ107" s="39">
        <v>45988</v>
      </c>
      <c r="BR107" s="4">
        <f>DATE(YEAR(BQ107)+2,MONTH(BQ107),DAY(BQ107))</f>
        <v>46718</v>
      </c>
      <c r="BS107" s="8">
        <f t="shared" ca="1" si="261"/>
        <v>573</v>
      </c>
      <c r="BT107" s="5" t="str">
        <f t="shared" ca="1" si="262"/>
        <v>VIGENTE</v>
      </c>
      <c r="BU107" s="3"/>
      <c r="BV107" s="4">
        <v>46031</v>
      </c>
      <c r="BW107" s="4">
        <f>DATE(YEAR(BV107)+2,MONTH(BV107),DAY(BV107))</f>
        <v>46761</v>
      </c>
      <c r="BX107" s="8">
        <f t="shared" ca="1" si="263"/>
        <v>616</v>
      </c>
      <c r="BY107" s="5" t="str">
        <f t="shared" ca="1" si="264"/>
        <v>VIGENTE</v>
      </c>
      <c r="BZ107" s="2"/>
      <c r="CA107" s="4">
        <v>45986</v>
      </c>
      <c r="CB107" s="4">
        <f>DATE(YEAR(CA107)+2,MONTH(CA107),DAY(CA107))</f>
        <v>46716</v>
      </c>
      <c r="CC107" s="8">
        <f t="shared" ca="1" si="265"/>
        <v>571</v>
      </c>
      <c r="CD107" s="5" t="str">
        <f t="shared" ca="1" si="266"/>
        <v>VIGENTE</v>
      </c>
      <c r="CE107" s="6"/>
      <c r="CF107" s="4">
        <v>45533</v>
      </c>
      <c r="CG107" s="4">
        <f t="shared" si="387"/>
        <v>46994</v>
      </c>
      <c r="CH107" s="8">
        <f t="shared" ca="1" si="388"/>
        <v>849</v>
      </c>
      <c r="CI107" s="5" t="str">
        <f t="shared" ca="1" si="269"/>
        <v>VIGENTE</v>
      </c>
      <c r="CJ107" s="4"/>
      <c r="CK107" s="4">
        <v>46020</v>
      </c>
      <c r="CL107" s="4">
        <f>DATE(YEAR(CK107)+2,MONTH(CK107),DAY(CK107))</f>
        <v>46750</v>
      </c>
      <c r="CM107" s="8">
        <f t="shared" ca="1" si="270"/>
        <v>605</v>
      </c>
      <c r="CN107" s="5" t="str">
        <f t="shared" ca="1" si="271"/>
        <v>VIGENTE</v>
      </c>
      <c r="CO107" s="3"/>
      <c r="CP107" s="39">
        <v>45994</v>
      </c>
      <c r="CQ107" s="4">
        <f>DATE(YEAR(CP107)+2,MONTH(CP107),DAY(CP107))</f>
        <v>46724</v>
      </c>
      <c r="CR107" s="8">
        <f t="shared" ca="1" si="272"/>
        <v>579</v>
      </c>
      <c r="CS107" s="5" t="str">
        <f t="shared" ca="1" si="273"/>
        <v>VIGENTE</v>
      </c>
      <c r="CT107" s="2"/>
      <c r="CU107" s="4">
        <v>45939</v>
      </c>
      <c r="CV107" s="4">
        <f>DATE(YEAR(CU107)+2,MONTH(CU107),DAY(CU107))</f>
        <v>46669</v>
      </c>
      <c r="CW107" s="8">
        <f t="shared" ca="1" si="274"/>
        <v>524</v>
      </c>
      <c r="CX107" s="5" t="str">
        <f t="shared" ca="1" si="275"/>
        <v>VIGENTE</v>
      </c>
      <c r="CY107" s="3"/>
      <c r="CZ107" s="4">
        <v>46000</v>
      </c>
      <c r="DA107" s="4">
        <f>DATE(YEAR(CZ107)+2,MONTH(CZ107),DAY(CZ107))</f>
        <v>46730</v>
      </c>
      <c r="DB107" s="8">
        <f t="shared" ca="1" si="276"/>
        <v>585</v>
      </c>
      <c r="DC107" s="5" t="str">
        <f t="shared" ca="1" si="277"/>
        <v>VIGENTE</v>
      </c>
      <c r="DD107" s="4"/>
      <c r="DE107" s="39">
        <v>46045</v>
      </c>
      <c r="DF107" s="4">
        <f>DATE(YEAR(DE107)+2,MONTH(DE107),DAY(DE107))</f>
        <v>46775</v>
      </c>
      <c r="DG107" s="8">
        <f t="shared" ca="1" si="278"/>
        <v>630</v>
      </c>
      <c r="DH107" s="5" t="str">
        <f t="shared" ca="1" si="279"/>
        <v>VIGENTE</v>
      </c>
      <c r="DI107" s="3"/>
      <c r="DJ107" s="39">
        <v>45955</v>
      </c>
      <c r="DK107" s="4">
        <f>DATE(YEAR(DJ107)+2,MONTH(DJ107),DAY(DJ107))</f>
        <v>46685</v>
      </c>
      <c r="DL107" s="8">
        <f t="shared" ca="1" si="280"/>
        <v>540</v>
      </c>
      <c r="DM107" s="5" t="str">
        <f t="shared" ca="1" si="281"/>
        <v>VIGENTE</v>
      </c>
      <c r="DN107" s="3"/>
      <c r="DO107" s="4">
        <v>46007</v>
      </c>
      <c r="DP107" s="4">
        <f>DATE(YEAR(DO107)+2,MONTH(DO107),DAY(DO107))</f>
        <v>46737</v>
      </c>
      <c r="DQ107" s="8">
        <f t="shared" ca="1" si="282"/>
        <v>592</v>
      </c>
      <c r="DR107" s="5" t="str">
        <f t="shared" ca="1" si="283"/>
        <v>VIGENTE</v>
      </c>
      <c r="DS107" s="4"/>
      <c r="DT107" s="4">
        <v>46018</v>
      </c>
      <c r="DU107" s="4">
        <f>DATE(YEAR(DT107)+2,MONTH(DT107),DAY(DT107))</f>
        <v>46748</v>
      </c>
      <c r="DV107" s="8">
        <f t="shared" ca="1" si="284"/>
        <v>603</v>
      </c>
      <c r="DW107" s="5" t="str">
        <f t="shared" ca="1" si="285"/>
        <v>VIGENTE</v>
      </c>
      <c r="DX107" s="4"/>
      <c r="DY107" s="4">
        <v>46032</v>
      </c>
      <c r="DZ107" s="4">
        <f>DATE(YEAR(DY107)+2,MONTH(DY107),DAY(DY107))</f>
        <v>46762</v>
      </c>
      <c r="EA107" s="8">
        <f t="shared" ca="1" si="286"/>
        <v>617</v>
      </c>
      <c r="EB107" s="5" t="str">
        <f t="shared" ca="1" si="287"/>
        <v>VIGENTE</v>
      </c>
      <c r="EC107" s="4"/>
      <c r="ED107" s="39">
        <v>45985</v>
      </c>
      <c r="EE107" s="4">
        <f>DATE(YEAR(ED107)+2,MONTH(ED107),DAY(ED107))</f>
        <v>46715</v>
      </c>
      <c r="EF107" s="8">
        <f t="shared" ca="1" si="288"/>
        <v>570</v>
      </c>
      <c r="EG107" s="5" t="str">
        <f t="shared" ca="1" si="289"/>
        <v>VIGENTE</v>
      </c>
      <c r="EH107" s="3"/>
      <c r="EI107" s="4">
        <v>46115</v>
      </c>
      <c r="EJ107" s="4">
        <f t="shared" si="355"/>
        <v>46480</v>
      </c>
      <c r="EK107" s="8">
        <f t="shared" ca="1" si="290"/>
        <v>335</v>
      </c>
      <c r="EL107" s="5" t="str">
        <f t="shared" ca="1" si="291"/>
        <v>VIGENTE</v>
      </c>
      <c r="EM107" s="3"/>
      <c r="EN107" s="4">
        <v>45983</v>
      </c>
      <c r="EO107" s="4">
        <f>DATE(YEAR(EN107)+2,MONTH(EN107),DAY(EN107))</f>
        <v>46713</v>
      </c>
      <c r="EP107" s="8">
        <f t="shared" ca="1" si="292"/>
        <v>568</v>
      </c>
      <c r="EQ107" s="5" t="str">
        <f t="shared" ca="1" si="293"/>
        <v>VIGENTE</v>
      </c>
      <c r="ER107" s="2"/>
      <c r="ES107" s="39">
        <v>45999</v>
      </c>
      <c r="ET107" s="4">
        <f>DATE(YEAR(ES107)+2,MONTH(ES107),DAY(ES107))</f>
        <v>46729</v>
      </c>
      <c r="EU107" s="8">
        <f t="shared" ca="1" si="294"/>
        <v>584</v>
      </c>
      <c r="EV107" s="5" t="str">
        <f t="shared" ca="1" si="295"/>
        <v>VIGENTE</v>
      </c>
      <c r="EW107" s="3"/>
      <c r="EX107" s="4">
        <v>45964</v>
      </c>
      <c r="EY107" s="4">
        <f>DATE(YEAR(EX107)+2,MONTH(EX107),DAY(EX107))</f>
        <v>46694</v>
      </c>
      <c r="EZ107" s="8">
        <f t="shared" ca="1" si="296"/>
        <v>549</v>
      </c>
      <c r="FA107" s="5" t="str">
        <f t="shared" ca="1" si="297"/>
        <v>VIGENTE</v>
      </c>
      <c r="FB107" s="3"/>
      <c r="FC107" s="4">
        <v>46010</v>
      </c>
      <c r="FD107" s="4">
        <f>DATE(YEAR(FC107)+2,MONTH(FC107),DAY(FC107))</f>
        <v>46740</v>
      </c>
      <c r="FE107" s="8">
        <f t="shared" ca="1" si="298"/>
        <v>595</v>
      </c>
      <c r="FF107" s="5" t="str">
        <f t="shared" ca="1" si="299"/>
        <v>VIGENTE</v>
      </c>
      <c r="FG107" s="3"/>
      <c r="FH107" s="4">
        <v>45969</v>
      </c>
      <c r="FI107" s="4">
        <f>DATE(YEAR(FH107)+2,MONTH(FH107),DAY(FH107))</f>
        <v>46699</v>
      </c>
      <c r="FJ107" s="8">
        <f t="shared" ca="1" si="300"/>
        <v>554</v>
      </c>
      <c r="FK107" s="5" t="str">
        <f t="shared" ca="1" si="301"/>
        <v>VIGENTE</v>
      </c>
      <c r="FL107" s="3"/>
      <c r="FM107" s="39">
        <v>46049</v>
      </c>
      <c r="FN107" s="4">
        <f>DATE(YEAR(FM107)+2,MONTH(FM107),DAY(FM107))</f>
        <v>46779</v>
      </c>
      <c r="FO107" s="8">
        <f t="shared" ca="1" si="302"/>
        <v>634</v>
      </c>
      <c r="FP107" s="5" t="str">
        <f t="shared" ca="1" si="303"/>
        <v>VIGENTE</v>
      </c>
      <c r="FQ107" s="4"/>
      <c r="FR107" s="39">
        <v>46034</v>
      </c>
      <c r="FS107" s="4">
        <f>DATE(YEAR(FR107)+2,MONTH(FR107),DAY(FR107))</f>
        <v>46764</v>
      </c>
      <c r="FT107" s="8">
        <f t="shared" ca="1" si="304"/>
        <v>619</v>
      </c>
      <c r="FU107" s="5" t="str">
        <f t="shared" ca="1" si="305"/>
        <v>VIGENTE</v>
      </c>
      <c r="FV107" s="3"/>
      <c r="FW107" s="4">
        <v>46014</v>
      </c>
      <c r="FX107" s="4">
        <f>DATE(YEAR(FW107)+2,MONTH(FW107),DAY(FW107))</f>
        <v>46744</v>
      </c>
      <c r="FY107" s="8">
        <f t="shared" ca="1" si="306"/>
        <v>599</v>
      </c>
      <c r="FZ107" s="5" t="str">
        <f t="shared" ca="1" si="307"/>
        <v>VIGENTE</v>
      </c>
      <c r="GA107" s="3"/>
      <c r="GB107" s="4">
        <v>45925</v>
      </c>
      <c r="GC107" s="4">
        <f>DATE(YEAR(GB107)+2,MONTH(GB107),DAY(GB107))</f>
        <v>46655</v>
      </c>
      <c r="GD107" s="8">
        <f t="shared" ca="1" si="308"/>
        <v>510</v>
      </c>
      <c r="GE107" s="5" t="str">
        <f t="shared" ca="1" si="309"/>
        <v>VIGENTE</v>
      </c>
      <c r="GF107" s="3"/>
      <c r="GG107" s="4">
        <v>45960</v>
      </c>
      <c r="GH107" s="4">
        <f>DATE(YEAR(GG107)+2,MONTH(GG107),DAY(GG107))</f>
        <v>46690</v>
      </c>
      <c r="GI107" s="8">
        <f t="shared" ca="1" si="310"/>
        <v>545</v>
      </c>
      <c r="GJ107" s="5" t="str">
        <f t="shared" ca="1" si="311"/>
        <v>VIGENTE</v>
      </c>
      <c r="GK107" s="3"/>
      <c r="GL107" s="4">
        <v>46044</v>
      </c>
      <c r="GM107" s="4">
        <f>DATE(YEAR(GL107)+2,MONTH(GL107),DAY(GL107))</f>
        <v>46774</v>
      </c>
      <c r="GN107" s="8">
        <f t="shared" ca="1" si="312"/>
        <v>629</v>
      </c>
      <c r="GO107" s="5" t="str">
        <f t="shared" ca="1" si="313"/>
        <v>VIGENTE</v>
      </c>
      <c r="GP107" s="4"/>
      <c r="GQ107" s="4">
        <v>45299</v>
      </c>
      <c r="GR107" s="4">
        <f t="shared" si="314"/>
        <v>47126</v>
      </c>
      <c r="GS107" s="8">
        <f t="shared" ref="GS107:GS170" ca="1" si="405">GR107-TODAY()</f>
        <v>981</v>
      </c>
      <c r="GT107" s="5" t="str">
        <f t="shared" ca="1" si="378"/>
        <v>VIGENTE</v>
      </c>
      <c r="GU107" s="3"/>
      <c r="GV107" s="4">
        <v>45329</v>
      </c>
      <c r="GW107" s="4">
        <f t="shared" si="316"/>
        <v>47156</v>
      </c>
      <c r="GX107" s="8">
        <f t="shared" ca="1" si="317"/>
        <v>1011</v>
      </c>
      <c r="GY107" s="5" t="str">
        <f ca="1">IF(GX107&gt;=91,"VIGENTE",IF(GX107&gt;=1,"POR VENCER",IF(GX107&lt;=-1,"VENCIDA",IF(GV107=0,"NO APLICA"))))</f>
        <v>VIGENTE</v>
      </c>
      <c r="GZ107" s="2"/>
      <c r="HA107" s="4">
        <v>45343</v>
      </c>
      <c r="HB107" s="4">
        <f t="shared" si="319"/>
        <v>47170</v>
      </c>
      <c r="HC107" s="8">
        <f t="shared" ca="1" si="320"/>
        <v>1025</v>
      </c>
      <c r="HD107" s="5" t="str">
        <f ca="1">IF(HC107&gt;=91,"VIGENTE",IF(HC107&gt;=1,"POR VENCER",IF(HC107&lt;=-1,"VENCIDA",IF(HA107=0,"NO APLICA"))))</f>
        <v>VIGENTE</v>
      </c>
      <c r="HE107" s="6"/>
      <c r="HF107" s="4">
        <v>45317</v>
      </c>
      <c r="HG107" s="4">
        <f t="shared" ref="HG107:HG118" si="406">DATE(YEAR(HF107)+5,MONTH(HF107),DAY(HF107))</f>
        <v>47144</v>
      </c>
      <c r="HH107" s="8">
        <f t="shared" ref="HH107:HH118" ca="1" si="407">HG107-TODAY()</f>
        <v>999</v>
      </c>
      <c r="HI107" s="5" t="str">
        <f ca="1">IF(HH107&gt;=61,"VIGENTE",IF(HH107&gt;=1,"POR VENCER",IF(HH107&lt;=-1,"VENCIDA",IF(HF107=0,"NO APLICA"))))</f>
        <v>VIGENTE</v>
      </c>
      <c r="HJ107" s="2"/>
      <c r="HK107" s="6"/>
      <c r="HL107" s="4"/>
      <c r="HM107" s="8"/>
      <c r="HN107" s="5" t="str">
        <f>IF(HM107&gt;=61,"VIGENTE",IF(HM107&gt;=1,"POR VENCER",IF(HM107&lt;=-1,"VENCIDA",IF(HK107=0,"NO APLICA"))))</f>
        <v>NO APLICA</v>
      </c>
      <c r="HO107" s="2"/>
      <c r="HP107" s="2"/>
      <c r="HQ107" s="4"/>
      <c r="HR107" s="2"/>
      <c r="HS107" s="5" t="str">
        <f t="shared" si="322"/>
        <v>NO APLICA</v>
      </c>
      <c r="HT107" s="2"/>
      <c r="HU107" s="6"/>
      <c r="HV107" s="4"/>
      <c r="HW107" s="8"/>
      <c r="HX107" s="5" t="str">
        <f t="shared" si="323"/>
        <v>NO APLICA</v>
      </c>
      <c r="HY107" s="2"/>
      <c r="HZ107" s="6"/>
      <c r="IA107" s="4"/>
      <c r="IB107" s="8"/>
      <c r="IC107" s="5" t="str">
        <f t="shared" si="324"/>
        <v>NO APLICA</v>
      </c>
      <c r="ID107" s="2"/>
      <c r="IE107" s="6"/>
      <c r="IF107" s="4"/>
      <c r="IG107" s="8"/>
      <c r="IH107" s="5" t="str">
        <f t="shared" si="325"/>
        <v>NO APLICA</v>
      </c>
      <c r="II107" s="6"/>
      <c r="IJ107" s="6"/>
      <c r="IK107" s="4"/>
      <c r="IL107" s="8"/>
      <c r="IM107" s="5" t="str">
        <f t="shared" si="326"/>
        <v>NO APLICA</v>
      </c>
      <c r="IN107" s="2"/>
      <c r="IO107" s="6"/>
      <c r="IP107" s="4"/>
      <c r="IQ107" s="8"/>
      <c r="IR107" s="5" t="str">
        <f t="shared" si="327"/>
        <v>NO APLICA</v>
      </c>
      <c r="IS107" s="2"/>
      <c r="IT107" s="6"/>
      <c r="IU107" s="4"/>
      <c r="IV107" s="8"/>
      <c r="IW107" s="5" t="str">
        <f t="shared" si="328"/>
        <v>NO APLICA</v>
      </c>
      <c r="IX107" s="2"/>
      <c r="IY107" s="6"/>
      <c r="IZ107" s="4"/>
      <c r="JA107" s="8"/>
      <c r="JB107" s="5" t="str">
        <f t="shared" si="329"/>
        <v>NO APLICA</v>
      </c>
      <c r="JC107" s="3" t="s">
        <v>780</v>
      </c>
      <c r="JD107" s="3"/>
      <c r="JE107" s="4"/>
      <c r="JF107" s="8"/>
      <c r="JG107" s="5"/>
      <c r="JH107" s="3" t="s">
        <v>780</v>
      </c>
      <c r="JI107" s="6"/>
      <c r="JJ107" s="6"/>
      <c r="JK107" s="6"/>
      <c r="JL107" s="5"/>
      <c r="JM107" s="6" t="s">
        <v>780</v>
      </c>
      <c r="JN107" s="6"/>
      <c r="JO107" s="6"/>
      <c r="JP107" s="6"/>
      <c r="JQ107" s="5"/>
      <c r="JR107" s="6" t="s">
        <v>780</v>
      </c>
      <c r="JS107" s="6"/>
      <c r="JT107" s="6"/>
      <c r="JU107" s="6"/>
      <c r="JV107" s="5"/>
      <c r="JW107" s="6" t="s">
        <v>780</v>
      </c>
      <c r="JX107" s="5"/>
      <c r="JY107" s="5"/>
      <c r="JZ107" s="5"/>
      <c r="KA107" s="5"/>
      <c r="KB107" s="5"/>
      <c r="KC107" s="2"/>
      <c r="KD107" s="4"/>
      <c r="KE107" s="8"/>
      <c r="KF107" s="5" t="str">
        <f t="shared" si="330"/>
        <v>NO APLICA</v>
      </c>
      <c r="KG107" s="5"/>
      <c r="KH107" s="3">
        <v>45328</v>
      </c>
      <c r="KI107" s="4">
        <f>DATE(YEAR(KH107)+5,MONTH(KH107),DAY(KH107)-1)</f>
        <v>47154</v>
      </c>
      <c r="KJ107" s="8">
        <f ca="1">KI107-TODAY()</f>
        <v>1009</v>
      </c>
      <c r="KK107" s="5" t="str">
        <f t="shared" ca="1" si="356"/>
        <v>VIGENTE</v>
      </c>
      <c r="KL107" s="5"/>
      <c r="KM107" s="2"/>
      <c r="KN107" s="4"/>
      <c r="KO107" s="8"/>
      <c r="KP107" s="5" t="str">
        <f t="shared" si="331"/>
        <v>NO APLICA</v>
      </c>
      <c r="KQ107" s="5"/>
      <c r="KR107" s="2"/>
      <c r="KS107" s="4"/>
      <c r="KT107" s="8"/>
      <c r="KU107" s="5" t="str">
        <f t="shared" si="357"/>
        <v>NO APLICA</v>
      </c>
      <c r="KV107" s="2"/>
      <c r="KW107" s="6"/>
      <c r="KX107" s="4"/>
      <c r="KY107" s="8"/>
      <c r="KZ107" s="5" t="str">
        <f t="shared" si="366"/>
        <v>NO APLICA</v>
      </c>
      <c r="LA107" s="5"/>
      <c r="LB107" s="6"/>
      <c r="LC107" s="4"/>
      <c r="LD107" s="8"/>
      <c r="LE107" s="5" t="str">
        <f t="shared" si="358"/>
        <v>NO APLICA</v>
      </c>
      <c r="LF107" s="6"/>
      <c r="LG107" s="6"/>
      <c r="LH107" s="4"/>
      <c r="LI107" s="8"/>
      <c r="LJ107" s="5" t="str">
        <f t="shared" si="332"/>
        <v>NO APLICA</v>
      </c>
      <c r="LK107" s="5"/>
      <c r="LL107" s="5"/>
      <c r="LM107" s="5"/>
      <c r="LN107" s="5"/>
      <c r="LO107" s="5" t="str">
        <f t="shared" si="367"/>
        <v>NO APLICA</v>
      </c>
      <c r="LP107" s="2"/>
      <c r="LQ107" s="6"/>
      <c r="LR107" s="4"/>
      <c r="LS107" s="8"/>
      <c r="LT107" s="5" t="str">
        <f t="shared" si="359"/>
        <v>NO APLICA</v>
      </c>
      <c r="LU107" s="6"/>
      <c r="LV107" s="6"/>
      <c r="LW107" s="4"/>
      <c r="LX107" s="8"/>
      <c r="LY107" s="5" t="str">
        <f t="shared" si="360"/>
        <v>NO APLICA</v>
      </c>
      <c r="LZ107" s="6"/>
      <c r="MA107" s="6"/>
      <c r="MB107" s="4"/>
      <c r="MC107" s="8"/>
      <c r="MD107" s="5" t="str">
        <f t="shared" si="361"/>
        <v>NO APLICA</v>
      </c>
      <c r="ME107" s="2"/>
      <c r="MF107" s="2"/>
      <c r="MG107" s="4"/>
      <c r="MH107" s="8"/>
      <c r="MI107" s="5" t="str">
        <f t="shared" si="333"/>
        <v>NO APLICA</v>
      </c>
      <c r="MJ107" s="2"/>
      <c r="MK107" s="2"/>
      <c r="ML107" s="4"/>
      <c r="MM107" s="8"/>
      <c r="MN107" s="5" t="str">
        <f t="shared" si="334"/>
        <v>NO APLICA</v>
      </c>
      <c r="MO107" s="5"/>
      <c r="MP107" s="2"/>
      <c r="MQ107" s="4"/>
      <c r="MR107" s="8"/>
      <c r="MS107" s="5" t="str">
        <f t="shared" si="335"/>
        <v>NO APLICA</v>
      </c>
      <c r="MT107" s="5"/>
      <c r="MU107" s="2"/>
      <c r="MV107" s="4"/>
      <c r="MW107" s="2"/>
      <c r="MX107" s="5" t="str">
        <f t="shared" si="336"/>
        <v>NO APLICA</v>
      </c>
      <c r="MY107" s="2"/>
      <c r="MZ107" s="6"/>
      <c r="NA107" s="4"/>
      <c r="NB107" s="8"/>
      <c r="NC107" s="5" t="str">
        <f t="shared" si="337"/>
        <v>NO APLICA</v>
      </c>
      <c r="ND107" s="2"/>
      <c r="NE107" s="6"/>
      <c r="NF107" s="4"/>
      <c r="NG107" s="8"/>
      <c r="NH107" s="5" t="str">
        <f t="shared" si="338"/>
        <v>NO APLICA</v>
      </c>
      <c r="NI107" s="2"/>
      <c r="NJ107" s="6"/>
      <c r="NK107" s="4"/>
      <c r="NL107" s="8"/>
      <c r="NM107" s="5" t="str">
        <f t="shared" si="339"/>
        <v>NO APLICA</v>
      </c>
      <c r="NN107" s="2"/>
      <c r="NO107" s="2"/>
      <c r="NP107" s="4"/>
      <c r="NQ107" s="8"/>
      <c r="NR107" s="5" t="str">
        <f t="shared" si="340"/>
        <v>NO APLICA</v>
      </c>
      <c r="NS107" s="2"/>
      <c r="NT107" s="2"/>
      <c r="NU107" s="4"/>
      <c r="NV107" s="2"/>
      <c r="NW107" s="5" t="str">
        <f t="shared" si="341"/>
        <v>NO APLICA</v>
      </c>
      <c r="NX107" s="6"/>
      <c r="NY107" s="6"/>
      <c r="NZ107" s="4"/>
      <c r="OA107" s="8"/>
      <c r="OB107" s="5" t="str">
        <f t="shared" si="342"/>
        <v>NO APLICA</v>
      </c>
      <c r="OC107" s="6"/>
      <c r="OD107" s="6"/>
      <c r="OE107" s="6"/>
      <c r="OF107" s="6"/>
      <c r="OG107" s="5" t="str">
        <f t="shared" si="343"/>
        <v>NO APLICA</v>
      </c>
      <c r="OH107" s="6"/>
      <c r="OI107" s="6"/>
      <c r="OJ107" s="4"/>
      <c r="OK107" s="8"/>
      <c r="OL107" s="5" t="str">
        <f t="shared" si="344"/>
        <v>NO APLICA</v>
      </c>
      <c r="OM107" s="6"/>
      <c r="ON107" s="6"/>
      <c r="OO107" s="6"/>
      <c r="OP107" s="6"/>
      <c r="OQ107" s="5" t="str">
        <f t="shared" si="345"/>
        <v>NO APLICA</v>
      </c>
      <c r="OR107" s="6"/>
      <c r="OS107" s="6"/>
      <c r="OT107" s="6"/>
      <c r="OU107" s="6"/>
      <c r="OV107" s="5" t="str">
        <f t="shared" si="346"/>
        <v>NO APLICA</v>
      </c>
      <c r="OW107" s="6"/>
      <c r="OX107" s="6"/>
      <c r="OY107" s="6"/>
      <c r="OZ107" s="6"/>
      <c r="PA107" s="5" t="str">
        <f t="shared" si="347"/>
        <v>NO APLICA</v>
      </c>
      <c r="PB107" s="6"/>
      <c r="PC107" s="6"/>
      <c r="PD107" s="6"/>
      <c r="PE107" s="6"/>
      <c r="PF107" s="5" t="str">
        <f t="shared" si="348"/>
        <v>NO APLICA</v>
      </c>
      <c r="PG107" s="6"/>
      <c r="PH107" s="6"/>
      <c r="PI107" s="6"/>
      <c r="PJ107" s="6"/>
      <c r="PK107" s="5" t="str">
        <f t="shared" si="349"/>
        <v>NO APLICA</v>
      </c>
      <c r="PL107" s="5"/>
      <c r="PM107" s="6"/>
      <c r="PN107" s="4"/>
      <c r="PO107" s="8"/>
      <c r="PP107" s="5" t="str">
        <f t="shared" si="350"/>
        <v>NO APLICA</v>
      </c>
      <c r="PQ107" s="6"/>
      <c r="PR107" s="6"/>
      <c r="PS107" s="6"/>
      <c r="PT107" s="6"/>
      <c r="PU107" s="5" t="str">
        <f t="shared" si="351"/>
        <v>NO APLICA</v>
      </c>
      <c r="PV107" s="5"/>
      <c r="PW107" s="6"/>
      <c r="PX107" s="6"/>
      <c r="PY107" s="6"/>
      <c r="PZ107" s="5" t="str">
        <f t="shared" si="352"/>
        <v>NO APLICA</v>
      </c>
    </row>
    <row r="108" spans="1:442" ht="15.6" hidden="1" thickTop="1" thickBot="1" x14ac:dyDescent="0.35">
      <c r="A108" s="26">
        <v>105</v>
      </c>
      <c r="B108" s="27">
        <v>1603</v>
      </c>
      <c r="C108" s="28" t="s">
        <v>366</v>
      </c>
      <c r="D108" s="29" t="s">
        <v>68</v>
      </c>
      <c r="E108" s="30" t="s">
        <v>153</v>
      </c>
      <c r="F108" s="5"/>
      <c r="G108" s="6"/>
      <c r="H108" s="4"/>
      <c r="I108" s="8"/>
      <c r="J108" s="5" t="str">
        <f t="shared" si="242"/>
        <v>NO APLICA</v>
      </c>
      <c r="K108" s="2"/>
      <c r="L108" s="6"/>
      <c r="M108" s="6"/>
      <c r="N108" s="8"/>
      <c r="O108" s="5" t="str">
        <f t="shared" si="243"/>
        <v>NO APLICA</v>
      </c>
      <c r="P108" s="4"/>
      <c r="Q108" s="4"/>
      <c r="R108" s="4"/>
      <c r="S108" s="8"/>
      <c r="T108" s="5" t="str">
        <f t="shared" si="353"/>
        <v>NO APLICA</v>
      </c>
      <c r="U108" s="5"/>
      <c r="V108" s="2" t="s">
        <v>367</v>
      </c>
      <c r="W108" s="4">
        <v>44772</v>
      </c>
      <c r="X108" s="4">
        <f t="shared" si="244"/>
        <v>46598</v>
      </c>
      <c r="Y108" s="8">
        <f t="shared" ca="1" si="245"/>
        <v>453</v>
      </c>
      <c r="Z108" s="5" t="str">
        <f t="shared" ca="1" si="246"/>
        <v>VIGENTE</v>
      </c>
      <c r="AA108" s="5"/>
      <c r="AB108" s="2" t="s">
        <v>368</v>
      </c>
      <c r="AC108" s="4">
        <v>45233</v>
      </c>
      <c r="AD108" s="4">
        <f>DATE(YEAR(AC108)+5,MONTH(AC108),DAY(AC108))</f>
        <v>47060</v>
      </c>
      <c r="AE108" s="8">
        <f ca="1">AD108-TODAY()</f>
        <v>915</v>
      </c>
      <c r="AF108" s="5" t="str">
        <f t="shared" ca="1" si="247"/>
        <v>VIGENTE</v>
      </c>
      <c r="AG108" s="3"/>
      <c r="AH108" s="4">
        <v>45902</v>
      </c>
      <c r="AI108" s="4">
        <f>DATE(YEAR(AH108)+2,MONTH(AH108),DAY(AH108))</f>
        <v>46632</v>
      </c>
      <c r="AJ108" s="8">
        <f t="shared" ca="1" si="248"/>
        <v>487</v>
      </c>
      <c r="AK108" s="5" t="str">
        <f t="shared" ref="AK108:AK171" ca="1" si="408">IF(AJ108&gt;=91,"VIGENTE",IF(AJ108&gt;=1,"POR VENCER",IF(AJ108&lt;=-1,"VENCIDA",IF(AH108=0,"NO APLICA"))))</f>
        <v>VIGENTE</v>
      </c>
      <c r="AL108" s="3"/>
      <c r="AM108" s="4">
        <v>45903</v>
      </c>
      <c r="AN108" s="4">
        <f>DATE(YEAR(AM108)+2,MONTH(AM108),DAY(AM108))</f>
        <v>46633</v>
      </c>
      <c r="AO108" s="8">
        <f t="shared" ca="1" si="249"/>
        <v>488</v>
      </c>
      <c r="AP108" s="5" t="str">
        <f t="shared" ca="1" si="250"/>
        <v>VIGENTE</v>
      </c>
      <c r="AQ108" s="3"/>
      <c r="AR108" s="4">
        <v>45989</v>
      </c>
      <c r="AS108" s="4">
        <f>DATE(YEAR(AR108)+2,MONTH(AR108),DAY(AR108))</f>
        <v>46719</v>
      </c>
      <c r="AT108" s="8">
        <f t="shared" ca="1" si="251"/>
        <v>574</v>
      </c>
      <c r="AU108" s="5" t="str">
        <f t="shared" ca="1" si="252"/>
        <v>VIGENTE</v>
      </c>
      <c r="AV108" s="3"/>
      <c r="AW108" s="4">
        <v>46070</v>
      </c>
      <c r="AX108" s="4">
        <f>DATE(YEAR(AW108)+2,MONTH(AW108),DAY(AW108))</f>
        <v>46800</v>
      </c>
      <c r="AY108" s="8">
        <f t="shared" ca="1" si="253"/>
        <v>655</v>
      </c>
      <c r="AZ108" s="5" t="str">
        <f t="shared" ca="1" si="254"/>
        <v>VIGENTE</v>
      </c>
      <c r="BA108" s="3"/>
      <c r="BB108" s="4">
        <v>45603</v>
      </c>
      <c r="BC108" s="4">
        <f>DATE(YEAR(BB108)+2,MONTH(BB108),DAY(BB108)-1)</f>
        <v>46332</v>
      </c>
      <c r="BD108" s="8">
        <f t="shared" ca="1" si="255"/>
        <v>187</v>
      </c>
      <c r="BE108" s="5" t="str">
        <f t="shared" ca="1" si="256"/>
        <v>VIGENTE</v>
      </c>
      <c r="BF108" s="3"/>
      <c r="BG108" s="4">
        <v>45698</v>
      </c>
      <c r="BH108" s="4">
        <f>DATE(YEAR(BG108)+2,MONTH(BG108),DAY(BG108)-1)</f>
        <v>46427</v>
      </c>
      <c r="BI108" s="8">
        <f t="shared" ca="1" si="257"/>
        <v>282</v>
      </c>
      <c r="BJ108" s="5" t="str">
        <f t="shared" ca="1" si="258"/>
        <v>VIGENTE</v>
      </c>
      <c r="BK108" s="3"/>
      <c r="BL108" s="4">
        <v>45600</v>
      </c>
      <c r="BM108" s="4">
        <f>DATE(YEAR(BL108)+2,MONTH(BL108),DAY(BL108)-1)</f>
        <v>46329</v>
      </c>
      <c r="BN108" s="8">
        <f t="shared" ca="1" si="259"/>
        <v>184</v>
      </c>
      <c r="BO108" s="5" t="str">
        <f t="shared" ca="1" si="260"/>
        <v>VIGENTE</v>
      </c>
      <c r="BP108" s="3"/>
      <c r="BQ108" s="39">
        <v>45604</v>
      </c>
      <c r="BR108" s="4">
        <f>DATE(YEAR(BQ108)+2,MONTH(BQ108),DAY(BQ108)-1)</f>
        <v>46333</v>
      </c>
      <c r="BS108" s="8">
        <f t="shared" ca="1" si="261"/>
        <v>188</v>
      </c>
      <c r="BT108" s="5" t="str">
        <f t="shared" ca="1" si="262"/>
        <v>VIGENTE</v>
      </c>
      <c r="BU108" s="3"/>
      <c r="BV108" s="4">
        <v>45611</v>
      </c>
      <c r="BW108" s="4">
        <f>DATE(YEAR(BV108)+2,MONTH(BV108),DAY(BV108)-1)</f>
        <v>46340</v>
      </c>
      <c r="BX108" s="8">
        <f t="shared" ca="1" si="263"/>
        <v>195</v>
      </c>
      <c r="BY108" s="5" t="str">
        <f t="shared" ca="1" si="264"/>
        <v>VIGENTE</v>
      </c>
      <c r="BZ108" s="3"/>
      <c r="CA108" s="4">
        <v>45954</v>
      </c>
      <c r="CB108" s="4">
        <f>DATE(YEAR(CA108)+2,MONTH(CA108),DAY(CA108))</f>
        <v>46684</v>
      </c>
      <c r="CC108" s="8">
        <f t="shared" ca="1" si="265"/>
        <v>539</v>
      </c>
      <c r="CD108" s="5" t="str">
        <f t="shared" ca="1" si="266"/>
        <v>VIGENTE</v>
      </c>
      <c r="CE108" s="6"/>
      <c r="CF108" s="4">
        <v>45301</v>
      </c>
      <c r="CG108" s="4">
        <f t="shared" si="387"/>
        <v>46762</v>
      </c>
      <c r="CH108" s="8">
        <f t="shared" ca="1" si="388"/>
        <v>617</v>
      </c>
      <c r="CI108" s="5" t="str">
        <f t="shared" ca="1" si="269"/>
        <v>VIGENTE</v>
      </c>
      <c r="CJ108" s="4"/>
      <c r="CK108" s="4">
        <v>45688</v>
      </c>
      <c r="CL108" s="4">
        <f>DATE(YEAR(CK108)+2,MONTH(CK108),DAY(CK108)-1)</f>
        <v>46417</v>
      </c>
      <c r="CM108" s="8">
        <f t="shared" ca="1" si="270"/>
        <v>272</v>
      </c>
      <c r="CN108" s="5" t="str">
        <f t="shared" ca="1" si="271"/>
        <v>VIGENTE</v>
      </c>
      <c r="CO108" s="3"/>
      <c r="CP108" s="39">
        <v>45726</v>
      </c>
      <c r="CQ108" s="4">
        <f>DATE(YEAR(CP108)+2,MONTH(CP108),DAY(CP108)-1)</f>
        <v>46455</v>
      </c>
      <c r="CR108" s="8">
        <f t="shared" ca="1" si="272"/>
        <v>310</v>
      </c>
      <c r="CS108" s="5" t="str">
        <f t="shared" ca="1" si="273"/>
        <v>VIGENTE</v>
      </c>
      <c r="CT108" s="3"/>
      <c r="CU108" s="4">
        <v>46043</v>
      </c>
      <c r="CV108" s="4">
        <f>DATE(YEAR(CU108)+2,MONTH(CU108),DAY(CU108))</f>
        <v>46773</v>
      </c>
      <c r="CW108" s="8">
        <f t="shared" ca="1" si="274"/>
        <v>628</v>
      </c>
      <c r="CX108" s="5" t="str">
        <f t="shared" ca="1" si="275"/>
        <v>VIGENTE</v>
      </c>
      <c r="CY108" s="3"/>
      <c r="CZ108" s="4">
        <v>46000</v>
      </c>
      <c r="DA108" s="4">
        <f>DATE(YEAR(CZ108)+2,MONTH(CZ108),DAY(CZ108))</f>
        <v>46730</v>
      </c>
      <c r="DB108" s="8">
        <f t="shared" ca="1" si="276"/>
        <v>585</v>
      </c>
      <c r="DC108" s="5" t="str">
        <f t="shared" ca="1" si="277"/>
        <v>VIGENTE</v>
      </c>
      <c r="DD108" s="3"/>
      <c r="DE108" s="39">
        <v>45761</v>
      </c>
      <c r="DF108" s="4">
        <f>DATE(YEAR(DE108)+2,MONTH(DE108),DAY(DE108))</f>
        <v>46491</v>
      </c>
      <c r="DG108" s="8">
        <f t="shared" ca="1" si="278"/>
        <v>346</v>
      </c>
      <c r="DH108" s="5" t="str">
        <f t="shared" ca="1" si="279"/>
        <v>VIGENTE</v>
      </c>
      <c r="DI108" s="3"/>
      <c r="DJ108" s="39">
        <v>46029</v>
      </c>
      <c r="DK108" s="4">
        <f>DATE(YEAR(DJ108)+2,MONTH(DJ108),DAY(DJ108))</f>
        <v>46759</v>
      </c>
      <c r="DL108" s="8">
        <f t="shared" ca="1" si="280"/>
        <v>614</v>
      </c>
      <c r="DM108" s="5" t="str">
        <f t="shared" ca="1" si="281"/>
        <v>VIGENTE</v>
      </c>
      <c r="DN108" s="3"/>
      <c r="DO108" s="4">
        <v>45982</v>
      </c>
      <c r="DP108" s="4">
        <f>DATE(YEAR(DO108)+2,MONTH(DO108),DAY(DO108))</f>
        <v>46712</v>
      </c>
      <c r="DQ108" s="8">
        <f t="shared" ca="1" si="282"/>
        <v>567</v>
      </c>
      <c r="DR108" s="5" t="str">
        <f t="shared" ca="1" si="283"/>
        <v>VIGENTE</v>
      </c>
      <c r="DS108" s="3"/>
      <c r="DT108" s="4">
        <v>45619</v>
      </c>
      <c r="DU108" s="4">
        <f>DATE(YEAR(DT108)+2,MONTH(DT108),DAY(DT108)-1)</f>
        <v>46348</v>
      </c>
      <c r="DV108" s="8">
        <f t="shared" ca="1" si="284"/>
        <v>203</v>
      </c>
      <c r="DW108" s="5" t="str">
        <f t="shared" ca="1" si="285"/>
        <v>VIGENTE</v>
      </c>
      <c r="DX108" s="3"/>
      <c r="DY108" s="4">
        <v>45682</v>
      </c>
      <c r="DZ108" s="4">
        <f>DATE(YEAR(DY108)+2,MONTH(DY108),DAY(DY108)-1)</f>
        <v>46411</v>
      </c>
      <c r="EA108" s="8">
        <f t="shared" ca="1" si="286"/>
        <v>266</v>
      </c>
      <c r="EB108" s="5" t="str">
        <f t="shared" ca="1" si="287"/>
        <v>VIGENTE</v>
      </c>
      <c r="EC108" s="3"/>
      <c r="ED108" s="39">
        <v>45583</v>
      </c>
      <c r="EE108" s="4">
        <f>DATE(YEAR(ED108)+2,MONTH(ED108),DAY(ED108)-1)</f>
        <v>46312</v>
      </c>
      <c r="EF108" s="8">
        <f t="shared" ca="1" si="288"/>
        <v>167</v>
      </c>
      <c r="EG108" s="5" t="str">
        <f t="shared" ca="1" si="289"/>
        <v>VIGENTE</v>
      </c>
      <c r="EH108" s="3"/>
      <c r="EI108" s="3">
        <v>46085</v>
      </c>
      <c r="EJ108" s="4">
        <f t="shared" si="355"/>
        <v>46450</v>
      </c>
      <c r="EK108" s="8">
        <f t="shared" ca="1" si="290"/>
        <v>305</v>
      </c>
      <c r="EL108" s="5" t="str">
        <f t="shared" ca="1" si="291"/>
        <v>VIGENTE</v>
      </c>
      <c r="EM108" s="3"/>
      <c r="EN108" s="4">
        <v>45660</v>
      </c>
      <c r="EO108" s="4">
        <f>DATE(YEAR(EN108)+2,MONTH(EN108),DAY(EN108)-1)</f>
        <v>46389</v>
      </c>
      <c r="EP108" s="8">
        <f t="shared" ca="1" si="292"/>
        <v>244</v>
      </c>
      <c r="EQ108" s="5" t="str">
        <f t="shared" ca="1" si="293"/>
        <v>VIGENTE</v>
      </c>
      <c r="ER108" s="3"/>
      <c r="ES108" s="39">
        <v>45677</v>
      </c>
      <c r="ET108" s="4">
        <f>DATE(YEAR(ES108)+2,MONTH(ES108),DAY(ES108)-1)</f>
        <v>46406</v>
      </c>
      <c r="EU108" s="8">
        <f t="shared" ca="1" si="294"/>
        <v>261</v>
      </c>
      <c r="EV108" s="5" t="str">
        <f t="shared" ca="1" si="295"/>
        <v>VIGENTE</v>
      </c>
      <c r="EW108" s="3"/>
      <c r="EX108" s="4">
        <v>45953</v>
      </c>
      <c r="EY108" s="4">
        <f>DATE(YEAR(EX108)+2,MONTH(EX108),DAY(EX108))</f>
        <v>46683</v>
      </c>
      <c r="EZ108" s="8">
        <f t="shared" ca="1" si="296"/>
        <v>538</v>
      </c>
      <c r="FA108" s="5" t="str">
        <f t="shared" ca="1" si="297"/>
        <v>VIGENTE</v>
      </c>
      <c r="FB108" s="3"/>
      <c r="FC108" s="4">
        <v>45951</v>
      </c>
      <c r="FD108" s="4">
        <f>DATE(YEAR(FC108)+2,MONTH(FC108),DAY(FC108))</f>
        <v>46681</v>
      </c>
      <c r="FE108" s="8">
        <f t="shared" ca="1" si="298"/>
        <v>536</v>
      </c>
      <c r="FF108" s="5" t="str">
        <f t="shared" ca="1" si="299"/>
        <v>VIGENTE</v>
      </c>
      <c r="FG108" s="3"/>
      <c r="FH108" s="4">
        <v>45919</v>
      </c>
      <c r="FI108" s="4">
        <f>DATE(YEAR(FH108)+2,MONTH(FH108),DAY(FH108))</f>
        <v>46649</v>
      </c>
      <c r="FJ108" s="8">
        <f t="shared" ca="1" si="300"/>
        <v>504</v>
      </c>
      <c r="FK108" s="5" t="str">
        <f t="shared" ca="1" si="301"/>
        <v>VIGENTE</v>
      </c>
      <c r="FL108" s="3"/>
      <c r="FM108" s="39">
        <v>45588</v>
      </c>
      <c r="FN108" s="4">
        <f>DATE(YEAR(FM108)+2,MONTH(FM108),DAY(FM108)-1)</f>
        <v>46317</v>
      </c>
      <c r="FO108" s="8">
        <f t="shared" ca="1" si="302"/>
        <v>172</v>
      </c>
      <c r="FP108" s="5" t="str">
        <f t="shared" ca="1" si="303"/>
        <v>VIGENTE</v>
      </c>
      <c r="FQ108" s="3"/>
      <c r="FR108" s="39">
        <v>45605</v>
      </c>
      <c r="FS108" s="4">
        <f>DATE(YEAR(FR108)+2,MONTH(FR108),DAY(FR108)-1)</f>
        <v>46334</v>
      </c>
      <c r="FT108" s="8">
        <f t="shared" ca="1" si="304"/>
        <v>189</v>
      </c>
      <c r="FU108" s="5" t="str">
        <f t="shared" ca="1" si="305"/>
        <v>VIGENTE</v>
      </c>
      <c r="FV108" s="3"/>
      <c r="FW108" s="4">
        <v>46014</v>
      </c>
      <c r="FX108" s="4">
        <f>DATE(YEAR(FW108)+2,MONTH(FW108),DAY(FW108))</f>
        <v>46744</v>
      </c>
      <c r="FY108" s="8">
        <f t="shared" ca="1" si="306"/>
        <v>599</v>
      </c>
      <c r="FZ108" s="5" t="str">
        <f t="shared" ca="1" si="307"/>
        <v>VIGENTE</v>
      </c>
      <c r="GA108" s="3"/>
      <c r="GB108" s="4">
        <v>45667</v>
      </c>
      <c r="GC108" s="4">
        <f>DATE(YEAR(GB108)+2,MONTH(GB108),DAY(GB108)-1)</f>
        <v>46396</v>
      </c>
      <c r="GD108" s="8">
        <f t="shared" ca="1" si="308"/>
        <v>251</v>
      </c>
      <c r="GE108" s="5" t="str">
        <f t="shared" ca="1" si="309"/>
        <v>VIGENTE</v>
      </c>
      <c r="GF108" s="3"/>
      <c r="GG108" s="4">
        <v>45579</v>
      </c>
      <c r="GH108" s="4">
        <f>DATE(YEAR(GG108)+2,MONTH(GG108),DAY(GG108)-1)</f>
        <v>46308</v>
      </c>
      <c r="GI108" s="8">
        <f t="shared" ca="1" si="310"/>
        <v>163</v>
      </c>
      <c r="GJ108" s="5" t="str">
        <f t="shared" ca="1" si="311"/>
        <v>VIGENTE</v>
      </c>
      <c r="GK108" s="3"/>
      <c r="GL108" s="4">
        <v>45752</v>
      </c>
      <c r="GM108" s="4">
        <f>DATE(YEAR(GL108)+2,MONTH(GL108),DAY(GL108)-1)</f>
        <v>46481</v>
      </c>
      <c r="GN108" s="8">
        <f t="shared" ca="1" si="312"/>
        <v>336</v>
      </c>
      <c r="GO108" s="5" t="str">
        <f t="shared" ca="1" si="313"/>
        <v>VIGENTE</v>
      </c>
      <c r="GP108" s="4"/>
      <c r="GQ108" s="4">
        <v>44952</v>
      </c>
      <c r="GR108" s="4">
        <f t="shared" si="314"/>
        <v>46778</v>
      </c>
      <c r="GS108" s="8">
        <f t="shared" ca="1" si="405"/>
        <v>633</v>
      </c>
      <c r="GT108" s="5" t="str">
        <f t="shared" ca="1" si="378"/>
        <v>VIGENTE</v>
      </c>
      <c r="GU108" s="3"/>
      <c r="GV108" s="4">
        <v>45010</v>
      </c>
      <c r="GW108" s="4">
        <f t="shared" si="316"/>
        <v>46837</v>
      </c>
      <c r="GX108" s="8">
        <f t="shared" ca="1" si="317"/>
        <v>692</v>
      </c>
      <c r="GY108" s="5" t="str">
        <f ca="1">IF(GX108&gt;=91,"VIGENTE",IF(GX108&gt;=1,"POR VENCER",IF(GX108&lt;=-1,"VENCIDA",IF(GV108=0,"NO APLICA"))))</f>
        <v>VIGENTE</v>
      </c>
      <c r="GZ108" s="2"/>
      <c r="HA108" s="4">
        <v>44980</v>
      </c>
      <c r="HB108" s="4">
        <f t="shared" si="319"/>
        <v>46806</v>
      </c>
      <c r="HC108" s="8">
        <f t="shared" ca="1" si="320"/>
        <v>661</v>
      </c>
      <c r="HD108" s="5" t="str">
        <f ca="1">IF(HC108&gt;=91,"VIGENTE",IF(HC108&gt;=1,"POR VENCER",IF(HC108&lt;=-1,"VENCIDA",IF(HA108=0,"NO APLICA"))))</f>
        <v>VIGENTE</v>
      </c>
      <c r="HE108" s="6"/>
      <c r="HF108" s="4">
        <v>45094</v>
      </c>
      <c r="HG108" s="4">
        <f t="shared" si="406"/>
        <v>46921</v>
      </c>
      <c r="HH108" s="8">
        <f t="shared" ca="1" si="407"/>
        <v>776</v>
      </c>
      <c r="HI108" s="5" t="str">
        <f ca="1">IF(HH108&gt;=61,"VIGENTE",IF(HH108&gt;=1,"POR VENCER",IF(HH108&lt;=-1,"VENCIDA",IF(HF108=0,"NO APLICA"))))</f>
        <v>VIGENTE</v>
      </c>
      <c r="HJ108" s="2"/>
      <c r="HK108" s="6"/>
      <c r="HL108" s="4"/>
      <c r="HM108" s="8"/>
      <c r="HN108" s="5" t="str">
        <f>IF(HM108&gt;=61,"VIGENTE",IF(HM108&gt;=1,"POR VENCER",IF(HM108&lt;=-1,"PROGRAMAR",IF(HK108=0,"NO APLICA"))))</f>
        <v>NO APLICA</v>
      </c>
      <c r="HO108" s="2"/>
      <c r="HP108" s="2"/>
      <c r="HQ108" s="4"/>
      <c r="HR108" s="2"/>
      <c r="HS108" s="5" t="str">
        <f t="shared" si="322"/>
        <v>NO APLICA</v>
      </c>
      <c r="HT108" s="2"/>
      <c r="HU108" s="4">
        <v>44987</v>
      </c>
      <c r="HV108" s="4">
        <f>DATE(YEAR(HU108)+5,MONTH(HU108),DAY(HU108))</f>
        <v>46814</v>
      </c>
      <c r="HW108" s="8">
        <f ca="1">HV108-TODAY()</f>
        <v>669</v>
      </c>
      <c r="HX108" s="5" t="str">
        <f t="shared" ca="1" si="323"/>
        <v>VIGENTE</v>
      </c>
      <c r="HY108" s="2"/>
      <c r="HZ108" s="4">
        <v>45092</v>
      </c>
      <c r="IA108" s="4">
        <f>DATE(YEAR(HZ108)+5,MONTH(HZ108),DAY(HZ108))</f>
        <v>46919</v>
      </c>
      <c r="IB108" s="8">
        <f ca="1">IA108-TODAY()</f>
        <v>774</v>
      </c>
      <c r="IC108" s="5" t="str">
        <f t="shared" ca="1" si="324"/>
        <v>VIGENTE</v>
      </c>
      <c r="ID108" s="2"/>
      <c r="IE108" s="4">
        <v>45024</v>
      </c>
      <c r="IF108" s="4">
        <f>DATE(YEAR(IE108)+5,MONTH(IE108),DAY(IE108))</f>
        <v>46851</v>
      </c>
      <c r="IG108" s="8">
        <f ca="1">IF108-TODAY()</f>
        <v>706</v>
      </c>
      <c r="IH108" s="5" t="str">
        <f t="shared" ca="1" si="325"/>
        <v>VIGENTE</v>
      </c>
      <c r="II108" s="6"/>
      <c r="IJ108" s="4">
        <v>45009</v>
      </c>
      <c r="IK108" s="4">
        <f>DATE(YEAR(IJ108)+5,MONTH(IJ108),DAY(IJ108))</f>
        <v>46836</v>
      </c>
      <c r="IL108" s="8">
        <f ca="1">IK108-TODAY()</f>
        <v>691</v>
      </c>
      <c r="IM108" s="5" t="str">
        <f t="shared" ca="1" si="326"/>
        <v>VIGENTE</v>
      </c>
      <c r="IN108" s="2"/>
      <c r="IO108" s="4">
        <v>44977</v>
      </c>
      <c r="IP108" s="4">
        <f>DATE(YEAR(IO108)+5,MONTH(IO108),DAY(IO108))</f>
        <v>46803</v>
      </c>
      <c r="IQ108" s="8">
        <f ca="1">IP108-TODAY()</f>
        <v>658</v>
      </c>
      <c r="IR108" s="5" t="str">
        <f t="shared" ca="1" si="327"/>
        <v>VIGENTE</v>
      </c>
      <c r="IS108" s="2"/>
      <c r="IT108" s="4">
        <v>45062</v>
      </c>
      <c r="IU108" s="4">
        <f>DATE(YEAR(IT108)+5,MONTH(IT108),DAY(IT108))</f>
        <v>46889</v>
      </c>
      <c r="IV108" s="8">
        <f ca="1">IU108-TODAY()</f>
        <v>744</v>
      </c>
      <c r="IW108" s="5" t="str">
        <f t="shared" ca="1" si="328"/>
        <v>VIGENTE</v>
      </c>
      <c r="IX108" s="2"/>
      <c r="IY108" s="4">
        <v>45101</v>
      </c>
      <c r="IZ108" s="4">
        <f>DATE(YEAR(IY108)+5,MONTH(IY108),DAY(IY108))</f>
        <v>46928</v>
      </c>
      <c r="JA108" s="8">
        <f ca="1">IZ108-TODAY()</f>
        <v>783</v>
      </c>
      <c r="JB108" s="5" t="str">
        <f t="shared" ca="1" si="329"/>
        <v>VIGENTE</v>
      </c>
      <c r="JC108" s="3" t="s">
        <v>780</v>
      </c>
      <c r="JD108" s="3"/>
      <c r="JE108" s="4"/>
      <c r="JF108" s="8"/>
      <c r="JG108" s="5"/>
      <c r="JH108" s="3" t="s">
        <v>780</v>
      </c>
      <c r="JI108" s="6"/>
      <c r="JJ108" s="6"/>
      <c r="JK108" s="6"/>
      <c r="JL108" s="5"/>
      <c r="JM108" s="6" t="s">
        <v>780</v>
      </c>
      <c r="JN108" s="6"/>
      <c r="JO108" s="6"/>
      <c r="JP108" s="6"/>
      <c r="JQ108" s="5"/>
      <c r="JR108" s="6" t="s">
        <v>780</v>
      </c>
      <c r="JS108" s="6"/>
      <c r="JT108" s="6"/>
      <c r="JU108" s="6"/>
      <c r="JV108" s="5"/>
      <c r="JW108" s="6" t="s">
        <v>780</v>
      </c>
      <c r="JX108" s="5"/>
      <c r="JY108" s="5"/>
      <c r="JZ108" s="5"/>
      <c r="KA108" s="5"/>
      <c r="KB108" s="5"/>
      <c r="KC108" s="3">
        <v>45362</v>
      </c>
      <c r="KD108" s="4">
        <f>DATE(YEAR(KC108)+5,MONTH(KC108),DAY(KC108))</f>
        <v>47188</v>
      </c>
      <c r="KE108" s="8">
        <f ca="1">KD108-TODAY()</f>
        <v>1043</v>
      </c>
      <c r="KF108" s="5" t="str">
        <f t="shared" ca="1" si="330"/>
        <v>VIGENTE</v>
      </c>
      <c r="KG108" s="5"/>
      <c r="KH108" s="2"/>
      <c r="KI108" s="4"/>
      <c r="KJ108" s="8"/>
      <c r="KK108" s="5" t="str">
        <f t="shared" si="356"/>
        <v>NO APLICA</v>
      </c>
      <c r="KL108" s="5"/>
      <c r="KM108" s="3"/>
      <c r="KN108" s="4"/>
      <c r="KO108" s="8"/>
      <c r="KP108" s="5" t="str">
        <f t="shared" si="331"/>
        <v>NO APLICA</v>
      </c>
      <c r="KQ108" s="5"/>
      <c r="KR108" s="2"/>
      <c r="KS108" s="4"/>
      <c r="KT108" s="8"/>
      <c r="KU108" s="5" t="str">
        <f t="shared" si="357"/>
        <v>NO APLICA</v>
      </c>
      <c r="KV108" s="2"/>
      <c r="KW108" s="6"/>
      <c r="KX108" s="4"/>
      <c r="KY108" s="8"/>
      <c r="KZ108" s="5" t="str">
        <f t="shared" si="366"/>
        <v>NO APLICA</v>
      </c>
      <c r="LA108" s="5"/>
      <c r="LB108" s="6"/>
      <c r="LC108" s="4"/>
      <c r="LD108" s="8"/>
      <c r="LE108" s="5" t="str">
        <f t="shared" si="358"/>
        <v>NO APLICA</v>
      </c>
      <c r="LF108" s="6"/>
      <c r="LG108" s="6"/>
      <c r="LH108" s="4"/>
      <c r="LI108" s="8"/>
      <c r="LJ108" s="5" t="str">
        <f t="shared" si="332"/>
        <v>NO APLICA</v>
      </c>
      <c r="LK108" s="5"/>
      <c r="LL108" s="5"/>
      <c r="LM108" s="4"/>
      <c r="LN108" s="8"/>
      <c r="LO108" s="5" t="str">
        <f t="shared" si="367"/>
        <v>NO APLICA</v>
      </c>
      <c r="LP108" s="2"/>
      <c r="LQ108" s="6"/>
      <c r="LR108" s="4"/>
      <c r="LS108" s="8"/>
      <c r="LT108" s="5" t="str">
        <f t="shared" si="359"/>
        <v>NO APLICA</v>
      </c>
      <c r="LU108" s="6"/>
      <c r="LV108" s="6"/>
      <c r="LW108" s="4"/>
      <c r="LX108" s="8"/>
      <c r="LY108" s="5" t="str">
        <f t="shared" si="360"/>
        <v>NO APLICA</v>
      </c>
      <c r="LZ108" s="6"/>
      <c r="MA108" s="6"/>
      <c r="MB108" s="4"/>
      <c r="MC108" s="8"/>
      <c r="MD108" s="5" t="str">
        <f t="shared" si="361"/>
        <v>NO APLICA</v>
      </c>
      <c r="ME108" s="2"/>
      <c r="MF108" s="2"/>
      <c r="MG108" s="4"/>
      <c r="MH108" s="8"/>
      <c r="MI108" s="5" t="str">
        <f t="shared" si="333"/>
        <v>NO APLICA</v>
      </c>
      <c r="MJ108" s="2"/>
      <c r="MK108" s="2"/>
      <c r="ML108" s="4"/>
      <c r="MM108" s="8"/>
      <c r="MN108" s="5" t="str">
        <f t="shared" si="334"/>
        <v>NO APLICA</v>
      </c>
      <c r="MO108" s="5"/>
      <c r="MP108" s="2"/>
      <c r="MQ108" s="4"/>
      <c r="MR108" s="8"/>
      <c r="MS108" s="5" t="str">
        <f t="shared" si="335"/>
        <v>NO APLICA</v>
      </c>
      <c r="MT108" s="5"/>
      <c r="MU108" s="2"/>
      <c r="MV108" s="4"/>
      <c r="MW108" s="2"/>
      <c r="MX108" s="5" t="str">
        <f t="shared" si="336"/>
        <v>NO APLICA</v>
      </c>
      <c r="MY108" s="2"/>
      <c r="MZ108" s="6"/>
      <c r="NA108" s="4"/>
      <c r="NB108" s="8"/>
      <c r="NC108" s="5" t="str">
        <f t="shared" si="337"/>
        <v>NO APLICA</v>
      </c>
      <c r="ND108" s="2"/>
      <c r="NE108" s="6"/>
      <c r="NF108" s="4"/>
      <c r="NG108" s="8"/>
      <c r="NH108" s="5" t="str">
        <f t="shared" si="338"/>
        <v>NO APLICA</v>
      </c>
      <c r="NI108" s="2"/>
      <c r="NJ108" s="6"/>
      <c r="NK108" s="4"/>
      <c r="NL108" s="8"/>
      <c r="NM108" s="5" t="str">
        <f t="shared" si="339"/>
        <v>NO APLICA</v>
      </c>
      <c r="NN108" s="2"/>
      <c r="NO108" s="2"/>
      <c r="NP108" s="4"/>
      <c r="NQ108" s="8"/>
      <c r="NR108" s="5" t="str">
        <f t="shared" si="340"/>
        <v>NO APLICA</v>
      </c>
      <c r="NS108" s="2"/>
      <c r="NT108" s="2"/>
      <c r="NU108" s="4"/>
      <c r="NV108" s="2"/>
      <c r="NW108" s="5" t="str">
        <f t="shared" si="341"/>
        <v>NO APLICA</v>
      </c>
      <c r="NX108" s="6"/>
      <c r="NY108" s="6"/>
      <c r="NZ108" s="4"/>
      <c r="OA108" s="8"/>
      <c r="OB108" s="5" t="str">
        <f t="shared" si="342"/>
        <v>NO APLICA</v>
      </c>
      <c r="OC108" s="6"/>
      <c r="OD108" s="6"/>
      <c r="OE108" s="6"/>
      <c r="OF108" s="6"/>
      <c r="OG108" s="5" t="str">
        <f t="shared" si="343"/>
        <v>NO APLICA</v>
      </c>
      <c r="OH108" s="6"/>
      <c r="OI108" s="6"/>
      <c r="OJ108" s="4"/>
      <c r="OK108" s="8"/>
      <c r="OL108" s="5" t="str">
        <f t="shared" si="344"/>
        <v>NO APLICA</v>
      </c>
      <c r="OM108" s="6"/>
      <c r="ON108" s="6"/>
      <c r="OO108" s="6"/>
      <c r="OP108" s="6"/>
      <c r="OQ108" s="5" t="str">
        <f t="shared" si="345"/>
        <v>NO APLICA</v>
      </c>
      <c r="OR108" s="6"/>
      <c r="OS108" s="6"/>
      <c r="OT108" s="6"/>
      <c r="OU108" s="6"/>
      <c r="OV108" s="5" t="str">
        <f t="shared" si="346"/>
        <v>NO APLICA</v>
      </c>
      <c r="OW108" s="6"/>
      <c r="OX108" s="6"/>
      <c r="OY108" s="6"/>
      <c r="OZ108" s="6"/>
      <c r="PA108" s="5" t="str">
        <f t="shared" si="347"/>
        <v>NO APLICA</v>
      </c>
      <c r="PB108" s="6"/>
      <c r="PC108" s="6"/>
      <c r="PD108" s="6"/>
      <c r="PE108" s="6"/>
      <c r="PF108" s="5" t="str">
        <f t="shared" si="348"/>
        <v>NO APLICA</v>
      </c>
      <c r="PG108" s="6"/>
      <c r="PH108" s="6"/>
      <c r="PI108" s="6"/>
      <c r="PJ108" s="6"/>
      <c r="PK108" s="5" t="str">
        <f t="shared" si="349"/>
        <v>NO APLICA</v>
      </c>
      <c r="PL108" s="5"/>
      <c r="PM108" s="6"/>
      <c r="PN108" s="4"/>
      <c r="PO108" s="8"/>
      <c r="PP108" s="5" t="str">
        <f t="shared" si="350"/>
        <v>NO APLICA</v>
      </c>
      <c r="PQ108" s="6"/>
      <c r="PR108" s="6"/>
      <c r="PS108" s="6"/>
      <c r="PT108" s="6"/>
      <c r="PU108" s="5" t="str">
        <f t="shared" si="351"/>
        <v>NO APLICA</v>
      </c>
      <c r="PV108" s="5"/>
      <c r="PW108" s="6"/>
      <c r="PX108" s="6"/>
      <c r="PY108" s="6"/>
      <c r="PZ108" s="5" t="str">
        <f t="shared" si="352"/>
        <v>NO APLICA</v>
      </c>
    </row>
    <row r="109" spans="1:442" ht="15.6" hidden="1" thickTop="1" thickBot="1" x14ac:dyDescent="0.35">
      <c r="A109" s="26">
        <v>106</v>
      </c>
      <c r="B109" s="27">
        <v>1744</v>
      </c>
      <c r="C109" s="28" t="s">
        <v>369</v>
      </c>
      <c r="D109" s="29" t="s">
        <v>64</v>
      </c>
      <c r="E109" s="30" t="s">
        <v>161</v>
      </c>
      <c r="F109" s="7"/>
      <c r="G109" s="7"/>
      <c r="H109" s="7"/>
      <c r="I109" s="7"/>
      <c r="J109" s="5" t="str">
        <f t="shared" si="242"/>
        <v>NO APLICA</v>
      </c>
      <c r="K109" s="3"/>
      <c r="L109" s="4"/>
      <c r="M109" s="7"/>
      <c r="N109" s="7"/>
      <c r="O109" s="5" t="str">
        <f t="shared" si="243"/>
        <v>NO APLICA</v>
      </c>
      <c r="P109" s="7"/>
      <c r="Q109" s="7"/>
      <c r="R109" s="7"/>
      <c r="S109" s="7"/>
      <c r="T109" s="5" t="str">
        <f t="shared" si="353"/>
        <v>NO APLICA</v>
      </c>
      <c r="U109" s="5"/>
      <c r="V109" s="6"/>
      <c r="W109" s="4"/>
      <c r="X109" s="4"/>
      <c r="Y109" s="8"/>
      <c r="Z109" s="23" t="str">
        <f>IF(Y109&gt;=90,"VIGENTE",IF(Y109&gt;=1,"POR VENCER",IF(Y109&lt;=-1,"VENCIDA",IF(W109=0,"PENDIENTE"))))</f>
        <v>PENDIENTE</v>
      </c>
      <c r="AA109" s="23"/>
      <c r="AB109" s="2"/>
      <c r="AC109" s="2"/>
      <c r="AD109" s="4"/>
      <c r="AE109" s="8"/>
      <c r="AF109" s="5" t="str">
        <f t="shared" si="247"/>
        <v>NO APLICA</v>
      </c>
      <c r="AG109" s="6"/>
      <c r="AH109" s="4">
        <v>45609</v>
      </c>
      <c r="AI109" s="4">
        <f>DATE(YEAR(AH109)+2,MONTH(AH109),DAY(AH109)-1)</f>
        <v>46338</v>
      </c>
      <c r="AJ109" s="8">
        <f t="shared" ca="1" si="248"/>
        <v>193</v>
      </c>
      <c r="AK109" s="5" t="str">
        <f t="shared" ca="1" si="408"/>
        <v>VIGENTE</v>
      </c>
      <c r="AL109" s="6"/>
      <c r="AM109" s="4">
        <v>45710</v>
      </c>
      <c r="AN109" s="4">
        <f>DATE(YEAR(AM109)+2,MONTH(AM109),DAY(AM109)-1)</f>
        <v>46439</v>
      </c>
      <c r="AO109" s="8">
        <f t="shared" ca="1" si="249"/>
        <v>294</v>
      </c>
      <c r="AP109" s="5" t="str">
        <f t="shared" ca="1" si="250"/>
        <v>VIGENTE</v>
      </c>
      <c r="AQ109" s="6"/>
      <c r="AR109" s="4">
        <v>45640</v>
      </c>
      <c r="AS109" s="4">
        <f>DATE(YEAR(AR109)+2,MONTH(AR109),DAY(AR109)-1)</f>
        <v>46369</v>
      </c>
      <c r="AT109" s="8">
        <f t="shared" ca="1" si="251"/>
        <v>224</v>
      </c>
      <c r="AU109" s="5" t="str">
        <f t="shared" ca="1" si="252"/>
        <v>VIGENTE</v>
      </c>
      <c r="AV109" s="6"/>
      <c r="AW109" s="4">
        <v>45644</v>
      </c>
      <c r="AX109" s="4">
        <f>DATE(YEAR(AW109)+2,MONTH(AW109),DAY(AW109)-1)</f>
        <v>46373</v>
      </c>
      <c r="AY109" s="8">
        <f t="shared" ca="1" si="253"/>
        <v>228</v>
      </c>
      <c r="AZ109" s="5" t="str">
        <f t="shared" ca="1" si="254"/>
        <v>VIGENTE</v>
      </c>
      <c r="BA109" s="4"/>
      <c r="BB109" s="4">
        <v>45603</v>
      </c>
      <c r="BC109" s="4">
        <f>DATE(YEAR(BB109)+2,MONTH(BB109),DAY(BB109)-1)</f>
        <v>46332</v>
      </c>
      <c r="BD109" s="8">
        <f t="shared" ca="1" si="255"/>
        <v>187</v>
      </c>
      <c r="BE109" s="5" t="str">
        <f t="shared" ca="1" si="256"/>
        <v>VIGENTE</v>
      </c>
      <c r="BF109" s="6"/>
      <c r="BG109" s="4">
        <v>45643</v>
      </c>
      <c r="BH109" s="4">
        <f>DATE(YEAR(BG109)+2,MONTH(BG109),DAY(BG109)-1)</f>
        <v>46372</v>
      </c>
      <c r="BI109" s="8">
        <f t="shared" ca="1" si="257"/>
        <v>227</v>
      </c>
      <c r="BJ109" s="5" t="str">
        <f t="shared" ca="1" si="258"/>
        <v>VIGENTE</v>
      </c>
      <c r="BK109" s="4"/>
      <c r="BL109" s="4">
        <v>45699</v>
      </c>
      <c r="BM109" s="4">
        <f>DATE(YEAR(BL109)+2,MONTH(BL109),DAY(BL109)-1)</f>
        <v>46428</v>
      </c>
      <c r="BN109" s="8">
        <f t="shared" ca="1" si="259"/>
        <v>283</v>
      </c>
      <c r="BO109" s="5" t="str">
        <f t="shared" ca="1" si="260"/>
        <v>VIGENTE</v>
      </c>
      <c r="BP109" s="4"/>
      <c r="BQ109" s="4">
        <v>45701</v>
      </c>
      <c r="BR109" s="4">
        <f>DATE(YEAR(BQ109)+2,MONTH(BQ109),DAY(BQ109)-1)</f>
        <v>46430</v>
      </c>
      <c r="BS109" s="8">
        <f t="shared" ca="1" si="261"/>
        <v>285</v>
      </c>
      <c r="BT109" s="5" t="str">
        <f t="shared" ca="1" si="262"/>
        <v>VIGENTE</v>
      </c>
      <c r="BU109" s="6"/>
      <c r="BV109" s="4">
        <v>45695</v>
      </c>
      <c r="BW109" s="4">
        <f>DATE(YEAR(BV109)+2,MONTH(BV109),DAY(BV109)-1)</f>
        <v>46424</v>
      </c>
      <c r="BX109" s="8">
        <f t="shared" ca="1" si="263"/>
        <v>279</v>
      </c>
      <c r="BY109" s="5" t="str">
        <f t="shared" ca="1" si="264"/>
        <v>VIGENTE</v>
      </c>
      <c r="BZ109" s="6"/>
      <c r="CA109" s="4">
        <v>45730</v>
      </c>
      <c r="CB109" s="4">
        <f>DATE(YEAR(CA109)+2,MONTH(CA109),DAY(CA109)-1)</f>
        <v>46459</v>
      </c>
      <c r="CC109" s="8">
        <f t="shared" ca="1" si="265"/>
        <v>314</v>
      </c>
      <c r="CD109" s="5" t="str">
        <f t="shared" ca="1" si="266"/>
        <v>VIGENTE</v>
      </c>
      <c r="CE109" s="2"/>
      <c r="CF109" s="2"/>
      <c r="CG109" s="4"/>
      <c r="CH109" s="8"/>
      <c r="CI109" s="5" t="str">
        <f t="shared" si="269"/>
        <v>NO APLICA</v>
      </c>
      <c r="CJ109" s="6"/>
      <c r="CK109" s="4">
        <v>45688</v>
      </c>
      <c r="CL109" s="4">
        <f>DATE(YEAR(CK109)+2,MONTH(CK109),DAY(CK109)-1)</f>
        <v>46417</v>
      </c>
      <c r="CM109" s="8">
        <f t="shared" ca="1" si="270"/>
        <v>272</v>
      </c>
      <c r="CN109" s="5" t="str">
        <f t="shared" ca="1" si="271"/>
        <v>VIGENTE</v>
      </c>
      <c r="CO109" s="6"/>
      <c r="CP109" s="4">
        <v>45684</v>
      </c>
      <c r="CQ109" s="4">
        <f>DATE(YEAR(CP109)+2,MONTH(CP109),DAY(CP109)-1)</f>
        <v>46413</v>
      </c>
      <c r="CR109" s="8">
        <f t="shared" ca="1" si="272"/>
        <v>268</v>
      </c>
      <c r="CS109" s="5" t="str">
        <f t="shared" ca="1" si="273"/>
        <v>VIGENTE</v>
      </c>
      <c r="CT109" s="6"/>
      <c r="CU109" s="4">
        <v>45639</v>
      </c>
      <c r="CV109" s="4">
        <f>DATE(YEAR(CU109)+2,MONTH(CU109),DAY(CU109)-1)</f>
        <v>46368</v>
      </c>
      <c r="CW109" s="8">
        <f t="shared" ca="1" si="274"/>
        <v>223</v>
      </c>
      <c r="CX109" s="5" t="str">
        <f t="shared" ca="1" si="275"/>
        <v>VIGENTE</v>
      </c>
      <c r="CY109" s="4"/>
      <c r="CZ109" s="4">
        <v>45646</v>
      </c>
      <c r="DA109" s="4">
        <f>DATE(YEAR(CZ109)+2,MONTH(CZ109),DAY(CZ109)-1)</f>
        <v>46375</v>
      </c>
      <c r="DB109" s="8">
        <f t="shared" ca="1" si="276"/>
        <v>230</v>
      </c>
      <c r="DC109" s="5" t="str">
        <f t="shared" ca="1" si="277"/>
        <v>VIGENTE</v>
      </c>
      <c r="DD109" s="4"/>
      <c r="DE109" s="4">
        <v>45689</v>
      </c>
      <c r="DF109" s="4">
        <f>DATE(YEAR(DE109)+2,MONTH(DE109),DAY(DE109)-1)</f>
        <v>46418</v>
      </c>
      <c r="DG109" s="8">
        <f t="shared" ca="1" si="278"/>
        <v>273</v>
      </c>
      <c r="DH109" s="5" t="str">
        <f t="shared" ca="1" si="279"/>
        <v>VIGENTE</v>
      </c>
      <c r="DI109" s="6"/>
      <c r="DJ109" s="4">
        <v>45696</v>
      </c>
      <c r="DK109" s="4">
        <f>DATE(YEAR(DJ109)+2,MONTH(DJ109),DAY(DJ109)-1)</f>
        <v>46425</v>
      </c>
      <c r="DL109" s="8">
        <f t="shared" ca="1" si="280"/>
        <v>280</v>
      </c>
      <c r="DM109" s="5" t="str">
        <f t="shared" ca="1" si="281"/>
        <v>VIGENTE</v>
      </c>
      <c r="DN109" s="4"/>
      <c r="DO109" s="4">
        <v>45731</v>
      </c>
      <c r="DP109" s="4">
        <f>DATE(YEAR(DO109)+2,MONTH(DO109),DAY(DO109)-1)</f>
        <v>46460</v>
      </c>
      <c r="DQ109" s="8">
        <f t="shared" ca="1" si="282"/>
        <v>315</v>
      </c>
      <c r="DR109" s="5" t="str">
        <f t="shared" ca="1" si="283"/>
        <v>VIGENTE</v>
      </c>
      <c r="DS109" s="6"/>
      <c r="DT109" s="4">
        <v>45625</v>
      </c>
      <c r="DU109" s="4">
        <f>DATE(YEAR(DT109)+2,MONTH(DT109),DAY(DT109)-1)</f>
        <v>46354</v>
      </c>
      <c r="DV109" s="8">
        <f t="shared" ca="1" si="284"/>
        <v>209</v>
      </c>
      <c r="DW109" s="5" t="str">
        <f t="shared" ca="1" si="285"/>
        <v>VIGENTE</v>
      </c>
      <c r="DX109" s="4"/>
      <c r="DY109" s="4">
        <v>45663</v>
      </c>
      <c r="DZ109" s="4">
        <f>DATE(YEAR(DY109)+2,MONTH(DY109),DAY(DY109)-1)</f>
        <v>46392</v>
      </c>
      <c r="EA109" s="8">
        <f t="shared" ca="1" si="286"/>
        <v>247</v>
      </c>
      <c r="EB109" s="5" t="str">
        <f t="shared" ca="1" si="287"/>
        <v>VIGENTE</v>
      </c>
      <c r="EC109" s="4"/>
      <c r="ED109" s="4">
        <v>45642</v>
      </c>
      <c r="EE109" s="4">
        <f>DATE(YEAR(ED109)+2,MONTH(ED109),DAY(ED109)-1)</f>
        <v>46371</v>
      </c>
      <c r="EF109" s="8">
        <f t="shared" ca="1" si="288"/>
        <v>226</v>
      </c>
      <c r="EG109" s="5" t="str">
        <f t="shared" ca="1" si="289"/>
        <v>VIGENTE</v>
      </c>
      <c r="EH109" s="3"/>
      <c r="EI109" s="3">
        <v>46107</v>
      </c>
      <c r="EJ109" s="4">
        <f t="shared" si="355"/>
        <v>46472</v>
      </c>
      <c r="EK109" s="8">
        <f t="shared" ca="1" si="290"/>
        <v>327</v>
      </c>
      <c r="EL109" s="5" t="str">
        <f t="shared" ca="1" si="291"/>
        <v>VIGENTE</v>
      </c>
      <c r="EM109" s="4"/>
      <c r="EN109" s="4">
        <v>45636</v>
      </c>
      <c r="EO109" s="4">
        <f>DATE(YEAR(EN109)+2,MONTH(EN109),DAY(EN109)-1)</f>
        <v>46365</v>
      </c>
      <c r="EP109" s="8">
        <f t="shared" ca="1" si="292"/>
        <v>220</v>
      </c>
      <c r="EQ109" s="5" t="str">
        <f t="shared" ca="1" si="293"/>
        <v>VIGENTE</v>
      </c>
      <c r="ER109" s="6"/>
      <c r="ES109" s="4">
        <v>45677</v>
      </c>
      <c r="ET109" s="4">
        <f>DATE(YEAR(ES109)+2,MONTH(ES109),DAY(ES109)-1)</f>
        <v>46406</v>
      </c>
      <c r="EU109" s="8">
        <f t="shared" ca="1" si="294"/>
        <v>261</v>
      </c>
      <c r="EV109" s="5" t="str">
        <f t="shared" ca="1" si="295"/>
        <v>VIGENTE</v>
      </c>
      <c r="EW109" s="6"/>
      <c r="EX109" s="4">
        <v>45630</v>
      </c>
      <c r="EY109" s="4">
        <f>DATE(YEAR(EX109)+2,MONTH(EX109),DAY(EX109)-1)</f>
        <v>46359</v>
      </c>
      <c r="EZ109" s="8">
        <f t="shared" ca="1" si="296"/>
        <v>214</v>
      </c>
      <c r="FA109" s="5" t="str">
        <f t="shared" ca="1" si="297"/>
        <v>VIGENTE</v>
      </c>
      <c r="FB109" s="6"/>
      <c r="FC109" s="4">
        <v>45632</v>
      </c>
      <c r="FD109" s="4">
        <f>DATE(YEAR(FC109)+2,MONTH(FC109),DAY(FC109)-1)</f>
        <v>46361</v>
      </c>
      <c r="FE109" s="8">
        <f t="shared" ca="1" si="298"/>
        <v>216</v>
      </c>
      <c r="FF109" s="5" t="str">
        <f t="shared" ca="1" si="299"/>
        <v>VIGENTE</v>
      </c>
      <c r="FG109" s="6"/>
      <c r="FH109" s="4">
        <v>45668</v>
      </c>
      <c r="FI109" s="4">
        <f>DATE(YEAR(FH109)+2,MONTH(FH109),DAY(FH109)-1)</f>
        <v>46397</v>
      </c>
      <c r="FJ109" s="8">
        <f t="shared" ca="1" si="300"/>
        <v>252</v>
      </c>
      <c r="FK109" s="5" t="str">
        <f t="shared" ca="1" si="301"/>
        <v>VIGENTE</v>
      </c>
      <c r="FL109" s="4"/>
      <c r="FM109" s="4">
        <v>45637</v>
      </c>
      <c r="FN109" s="4">
        <f>DATE(YEAR(FM109)+2,MONTH(FM109),DAY(FM109)-1)</f>
        <v>46366</v>
      </c>
      <c r="FO109" s="8">
        <f t="shared" ca="1" si="302"/>
        <v>221</v>
      </c>
      <c r="FP109" s="5" t="str">
        <f t="shared" ca="1" si="303"/>
        <v>VIGENTE</v>
      </c>
      <c r="FQ109" s="4"/>
      <c r="FR109" s="4">
        <v>45664</v>
      </c>
      <c r="FS109" s="4">
        <f>DATE(YEAR(FR109)+2,MONTH(FR109),DAY(FR109)-1)</f>
        <v>46393</v>
      </c>
      <c r="FT109" s="8">
        <f t="shared" ca="1" si="304"/>
        <v>248</v>
      </c>
      <c r="FU109" s="5" t="str">
        <f t="shared" ca="1" si="305"/>
        <v>VIGENTE</v>
      </c>
      <c r="FV109" s="4"/>
      <c r="FW109" s="4">
        <v>45700</v>
      </c>
      <c r="FX109" s="4">
        <f>DATE(YEAR(FW109)+2,MONTH(FW109),DAY(FW109)-1)</f>
        <v>46429</v>
      </c>
      <c r="FY109" s="8">
        <f t="shared" ca="1" si="306"/>
        <v>284</v>
      </c>
      <c r="FZ109" s="5" t="str">
        <f t="shared" ca="1" si="307"/>
        <v>VIGENTE</v>
      </c>
      <c r="GA109" s="4"/>
      <c r="GB109" s="4">
        <v>45626</v>
      </c>
      <c r="GC109" s="4">
        <f>DATE(YEAR(GB109)+2,MONTH(GB109),DAY(GB109)-1)</f>
        <v>46355</v>
      </c>
      <c r="GD109" s="8">
        <f t="shared" ca="1" si="308"/>
        <v>210</v>
      </c>
      <c r="GE109" s="5" t="str">
        <f t="shared" ca="1" si="309"/>
        <v>VIGENTE</v>
      </c>
      <c r="GF109" s="4"/>
      <c r="GG109" s="4">
        <v>45672</v>
      </c>
      <c r="GH109" s="4">
        <f>DATE(YEAR(GG109)+2,MONTH(GG109),DAY(GG109)-1)</f>
        <v>46401</v>
      </c>
      <c r="GI109" s="8">
        <f t="shared" ca="1" si="310"/>
        <v>256</v>
      </c>
      <c r="GJ109" s="5" t="str">
        <f t="shared" ca="1" si="311"/>
        <v>VIGENTE</v>
      </c>
      <c r="GK109" s="4"/>
      <c r="GL109" s="4">
        <v>45633</v>
      </c>
      <c r="GM109" s="4">
        <f>DATE(YEAR(GL109)+2,MONTH(GL109),DAY(GL109)-1)</f>
        <v>46362</v>
      </c>
      <c r="GN109" s="8">
        <f t="shared" ca="1" si="312"/>
        <v>217</v>
      </c>
      <c r="GO109" s="5" t="str">
        <f t="shared" ca="1" si="313"/>
        <v>VIGENTE</v>
      </c>
      <c r="GP109" s="4"/>
      <c r="GQ109" s="6"/>
      <c r="GR109" s="4"/>
      <c r="GS109" s="8"/>
      <c r="GT109" s="5" t="str">
        <f>IF(GS109&gt;=61,"VIGENTE",IF(GS109&gt;=1,"POR VENCER",IF(GS109&lt;=-1,"PROGRAMAR",IF(GQ109=0,"NO APLICA"))))</f>
        <v>NO APLICA</v>
      </c>
      <c r="GU109" s="4"/>
      <c r="GV109" s="6"/>
      <c r="GW109" s="4"/>
      <c r="GX109" s="8"/>
      <c r="GY109" s="5" t="str">
        <f>IF(GX109&gt;=61,"VIGENTE",IF(GX109&gt;=1,"POR VENCER",IF(GX109&lt;=-1,"PROGRAMAR",IF(GV109=0,"NO APLICA"))))</f>
        <v>NO APLICA</v>
      </c>
      <c r="GZ109" s="6"/>
      <c r="HA109" s="6"/>
      <c r="HB109" s="4"/>
      <c r="HC109" s="8"/>
      <c r="HD109" s="5" t="str">
        <f>IF(HC109&gt;=61,"VIGENTE",IF(HC109&gt;=1,"POR VENCER",IF(HC109&lt;=-1,"PROGRAMAR",IF(HA109=0,"NO APLICA"))))</f>
        <v>NO APLICA</v>
      </c>
      <c r="HE109" s="6"/>
      <c r="HF109" s="6"/>
      <c r="HG109" s="4"/>
      <c r="HH109" s="8"/>
      <c r="HI109" s="5" t="str">
        <f>IF(HH109&gt;=61,"VIGENTE",IF(HH109&gt;=1,"POR VENCER",IF(HH109&lt;=-1,"PROGRAMAR",IF(HF109=0,"NO APLICA"))))</f>
        <v>NO APLICA</v>
      </c>
      <c r="HJ109" s="6"/>
      <c r="HK109" s="6"/>
      <c r="HL109" s="6"/>
      <c r="HM109" s="6"/>
      <c r="HN109" s="5" t="str">
        <f t="shared" ref="HN109:HN123" si="409">IF(HM109&gt;=61,"VIGENTE",IF(HM109&gt;=1,"POR VENCER",IF(HM109&lt;=-1,"VENCIDA",IF(HK109=0,"NO APLICA"))))</f>
        <v>NO APLICA</v>
      </c>
      <c r="HO109" s="6"/>
      <c r="HP109" s="6"/>
      <c r="HQ109" s="6"/>
      <c r="HR109" s="6"/>
      <c r="HS109" s="5" t="str">
        <f t="shared" si="322"/>
        <v>NO APLICA</v>
      </c>
      <c r="HT109" s="6"/>
      <c r="HU109" s="6"/>
      <c r="HV109" s="6"/>
      <c r="HW109" s="6"/>
      <c r="HX109" s="5" t="str">
        <f t="shared" si="323"/>
        <v>NO APLICA</v>
      </c>
      <c r="HY109" s="6"/>
      <c r="HZ109" s="6"/>
      <c r="IA109" s="6"/>
      <c r="IB109" s="6"/>
      <c r="IC109" s="5" t="str">
        <f t="shared" si="324"/>
        <v>NO APLICA</v>
      </c>
      <c r="ID109" s="6"/>
      <c r="IE109" s="6"/>
      <c r="IF109" s="6"/>
      <c r="IG109" s="6"/>
      <c r="IH109" s="5" t="str">
        <f t="shared" si="325"/>
        <v>NO APLICA</v>
      </c>
      <c r="II109" s="6"/>
      <c r="IJ109" s="6"/>
      <c r="IK109" s="6"/>
      <c r="IL109" s="6"/>
      <c r="IM109" s="5" t="str">
        <f t="shared" si="326"/>
        <v>NO APLICA</v>
      </c>
      <c r="IN109" s="6"/>
      <c r="IO109" s="6"/>
      <c r="IP109" s="6"/>
      <c r="IQ109" s="6"/>
      <c r="IR109" s="5" t="str">
        <f t="shared" si="327"/>
        <v>NO APLICA</v>
      </c>
      <c r="IS109" s="6"/>
      <c r="IT109" s="6"/>
      <c r="IU109" s="6"/>
      <c r="IV109" s="6"/>
      <c r="IW109" s="5" t="str">
        <f t="shared" si="328"/>
        <v>NO APLICA</v>
      </c>
      <c r="IX109" s="6"/>
      <c r="IY109" s="6"/>
      <c r="IZ109" s="6"/>
      <c r="JA109" s="6"/>
      <c r="JB109" s="5" t="str">
        <f t="shared" si="329"/>
        <v>NO APLICA</v>
      </c>
      <c r="JC109" s="3" t="s">
        <v>780</v>
      </c>
      <c r="JD109" s="6"/>
      <c r="JE109" s="6"/>
      <c r="JF109" s="6"/>
      <c r="JG109" s="5"/>
      <c r="JH109" s="3" t="s">
        <v>780</v>
      </c>
      <c r="JI109" s="6"/>
      <c r="JJ109" s="6"/>
      <c r="JK109" s="6"/>
      <c r="JL109" s="5"/>
      <c r="JM109" s="6" t="s">
        <v>780</v>
      </c>
      <c r="JN109" s="6"/>
      <c r="JO109" s="6"/>
      <c r="JP109" s="6"/>
      <c r="JQ109" s="5"/>
      <c r="JR109" s="6" t="s">
        <v>780</v>
      </c>
      <c r="JS109" s="6"/>
      <c r="JT109" s="6"/>
      <c r="JU109" s="6"/>
      <c r="JV109" s="5"/>
      <c r="JW109" s="6" t="s">
        <v>780</v>
      </c>
      <c r="JX109" s="5"/>
      <c r="JY109" s="5"/>
      <c r="JZ109" s="5"/>
      <c r="KA109" s="5"/>
      <c r="KB109" s="5"/>
      <c r="KC109" s="6"/>
      <c r="KD109" s="6"/>
      <c r="KE109" s="6"/>
      <c r="KF109" s="5" t="str">
        <f t="shared" si="330"/>
        <v>NO APLICA</v>
      </c>
      <c r="KG109" s="5"/>
      <c r="KH109" s="6"/>
      <c r="KI109" s="6"/>
      <c r="KJ109" s="6"/>
      <c r="KK109" s="5" t="str">
        <f t="shared" si="356"/>
        <v>NO APLICA</v>
      </c>
      <c r="KL109" s="5"/>
      <c r="KM109" s="6"/>
      <c r="KN109" s="6"/>
      <c r="KO109" s="6"/>
      <c r="KP109" s="5" t="str">
        <f t="shared" si="331"/>
        <v>NO APLICA</v>
      </c>
      <c r="KQ109" s="5"/>
      <c r="KR109" s="2"/>
      <c r="KS109" s="2"/>
      <c r="KT109" s="2"/>
      <c r="KU109" s="5" t="str">
        <f t="shared" si="357"/>
        <v>NO APLICA</v>
      </c>
      <c r="KV109" s="6"/>
      <c r="KW109" s="6"/>
      <c r="KX109" s="6"/>
      <c r="KY109" s="6"/>
      <c r="KZ109" s="5" t="str">
        <f t="shared" si="366"/>
        <v>NO APLICA</v>
      </c>
      <c r="LA109" s="5"/>
      <c r="LB109" s="6"/>
      <c r="LC109" s="6"/>
      <c r="LD109" s="6"/>
      <c r="LE109" s="5" t="str">
        <f t="shared" si="358"/>
        <v>NO APLICA</v>
      </c>
      <c r="LF109" s="6"/>
      <c r="LG109" s="6"/>
      <c r="LH109" s="6"/>
      <c r="LI109" s="6"/>
      <c r="LJ109" s="5" t="str">
        <f t="shared" si="332"/>
        <v>NO APLICA</v>
      </c>
      <c r="LK109" s="5"/>
      <c r="LL109" s="5"/>
      <c r="LM109" s="4"/>
      <c r="LN109" s="8"/>
      <c r="LO109" s="5" t="str">
        <f t="shared" si="367"/>
        <v>NO APLICA</v>
      </c>
      <c r="LP109" s="6"/>
      <c r="LQ109" s="6"/>
      <c r="LR109" s="6"/>
      <c r="LS109" s="6"/>
      <c r="LT109" s="5" t="str">
        <f t="shared" si="359"/>
        <v>NO APLICA</v>
      </c>
      <c r="LU109" s="6"/>
      <c r="LV109" s="6"/>
      <c r="LW109" s="6"/>
      <c r="LX109" s="6"/>
      <c r="LY109" s="5" t="str">
        <f t="shared" si="360"/>
        <v>NO APLICA</v>
      </c>
      <c r="LZ109" s="6"/>
      <c r="MA109" s="6"/>
      <c r="MB109" s="6"/>
      <c r="MC109" s="6"/>
      <c r="MD109" s="5" t="str">
        <f t="shared" si="361"/>
        <v>NO APLICA</v>
      </c>
      <c r="ME109" s="6"/>
      <c r="MF109" s="6"/>
      <c r="MG109" s="6"/>
      <c r="MH109" s="6"/>
      <c r="MI109" s="5" t="str">
        <f t="shared" si="333"/>
        <v>NO APLICA</v>
      </c>
      <c r="MJ109" s="6"/>
      <c r="MK109" s="6"/>
      <c r="ML109" s="6"/>
      <c r="MM109" s="6"/>
      <c r="MN109" s="5" t="str">
        <f t="shared" si="334"/>
        <v>NO APLICA</v>
      </c>
      <c r="MO109" s="5"/>
      <c r="MP109" s="6"/>
      <c r="MQ109" s="6"/>
      <c r="MR109" s="6"/>
      <c r="MS109" s="5" t="str">
        <f t="shared" si="335"/>
        <v>NO APLICA</v>
      </c>
      <c r="MT109" s="5"/>
      <c r="MU109" s="6"/>
      <c r="MV109" s="6"/>
      <c r="MW109" s="6"/>
      <c r="MX109" s="5" t="str">
        <f t="shared" si="336"/>
        <v>NO APLICA</v>
      </c>
      <c r="MY109" s="6"/>
      <c r="MZ109" s="6"/>
      <c r="NA109" s="6"/>
      <c r="NB109" s="6"/>
      <c r="NC109" s="5" t="str">
        <f t="shared" si="337"/>
        <v>NO APLICA</v>
      </c>
      <c r="ND109" s="6"/>
      <c r="NE109" s="6"/>
      <c r="NF109" s="6"/>
      <c r="NG109" s="6"/>
      <c r="NH109" s="5" t="str">
        <f t="shared" si="338"/>
        <v>NO APLICA</v>
      </c>
      <c r="NI109" s="6"/>
      <c r="NJ109" s="6"/>
      <c r="NK109" s="6"/>
      <c r="NL109" s="6"/>
      <c r="NM109" s="5" t="str">
        <f t="shared" si="339"/>
        <v>NO APLICA</v>
      </c>
      <c r="NN109" s="6"/>
      <c r="NO109" s="6"/>
      <c r="NP109" s="6"/>
      <c r="NQ109" s="6"/>
      <c r="NR109" s="5" t="str">
        <f t="shared" si="340"/>
        <v>NO APLICA</v>
      </c>
      <c r="NS109" s="6"/>
      <c r="NT109" s="6"/>
      <c r="NU109" s="6"/>
      <c r="NV109" s="6"/>
      <c r="NW109" s="5" t="str">
        <f t="shared" si="341"/>
        <v>NO APLICA</v>
      </c>
      <c r="NX109" s="6"/>
      <c r="NY109" s="6"/>
      <c r="NZ109" s="6"/>
      <c r="OA109" s="6"/>
      <c r="OB109" s="5" t="str">
        <f t="shared" si="342"/>
        <v>NO APLICA</v>
      </c>
      <c r="OC109" s="6"/>
      <c r="OD109" s="6"/>
      <c r="OE109" s="6"/>
      <c r="OF109" s="6"/>
      <c r="OG109" s="5" t="str">
        <f t="shared" si="343"/>
        <v>NO APLICA</v>
      </c>
      <c r="OH109" s="6"/>
      <c r="OI109" s="6"/>
      <c r="OJ109" s="6"/>
      <c r="OK109" s="6"/>
      <c r="OL109" s="5" t="str">
        <f t="shared" si="344"/>
        <v>NO APLICA</v>
      </c>
      <c r="OM109" s="6"/>
      <c r="ON109" s="6"/>
      <c r="OO109" s="6"/>
      <c r="OP109" s="6"/>
      <c r="OQ109" s="5" t="str">
        <f t="shared" si="345"/>
        <v>NO APLICA</v>
      </c>
      <c r="OR109" s="6"/>
      <c r="OS109" s="6"/>
      <c r="OT109" s="6"/>
      <c r="OU109" s="6"/>
      <c r="OV109" s="5" t="str">
        <f t="shared" si="346"/>
        <v>NO APLICA</v>
      </c>
      <c r="OW109" s="6"/>
      <c r="OX109" s="6"/>
      <c r="OY109" s="6"/>
      <c r="OZ109" s="6"/>
      <c r="PA109" s="5" t="str">
        <f t="shared" si="347"/>
        <v>NO APLICA</v>
      </c>
      <c r="PB109" s="6"/>
      <c r="PC109" s="6"/>
      <c r="PD109" s="6"/>
      <c r="PE109" s="6"/>
      <c r="PF109" s="5" t="str">
        <f t="shared" si="348"/>
        <v>NO APLICA</v>
      </c>
      <c r="PG109" s="6"/>
      <c r="PH109" s="6"/>
      <c r="PI109" s="6"/>
      <c r="PJ109" s="6"/>
      <c r="PK109" s="5" t="str">
        <f t="shared" si="349"/>
        <v>NO APLICA</v>
      </c>
      <c r="PL109" s="5"/>
      <c r="PM109" s="6"/>
      <c r="PN109" s="6"/>
      <c r="PO109" s="6"/>
      <c r="PP109" s="5" t="str">
        <f t="shared" si="350"/>
        <v>NO APLICA</v>
      </c>
      <c r="PQ109" s="6"/>
      <c r="PR109" s="6"/>
      <c r="PS109" s="6"/>
      <c r="PT109" s="6"/>
      <c r="PU109" s="5" t="str">
        <f t="shared" si="351"/>
        <v>NO APLICA</v>
      </c>
      <c r="PV109" s="5"/>
      <c r="PW109" s="4">
        <v>46126</v>
      </c>
      <c r="PX109" s="4">
        <f>DATE(YEAR(PW109)+1,MONTH(PW109),DAY(PW109))</f>
        <v>46491</v>
      </c>
      <c r="PY109" s="8">
        <f ca="1">PX109-TODAY()</f>
        <v>346</v>
      </c>
      <c r="PZ109" s="5" t="str">
        <f t="shared" ca="1" si="352"/>
        <v>VIGENTE</v>
      </c>
    </row>
    <row r="110" spans="1:442" ht="15.6" hidden="1" thickTop="1" thickBot="1" x14ac:dyDescent="0.35">
      <c r="A110" s="26">
        <v>107</v>
      </c>
      <c r="B110" s="27">
        <v>1546</v>
      </c>
      <c r="C110" s="28" t="s">
        <v>370</v>
      </c>
      <c r="D110" s="29" t="s">
        <v>68</v>
      </c>
      <c r="E110" s="30" t="s">
        <v>93</v>
      </c>
      <c r="F110" s="5"/>
      <c r="G110" s="6"/>
      <c r="H110" s="4"/>
      <c r="I110" s="8"/>
      <c r="J110" s="5" t="str">
        <f t="shared" si="242"/>
        <v>NO APLICA</v>
      </c>
      <c r="K110" s="5"/>
      <c r="L110" s="6"/>
      <c r="M110" s="6"/>
      <c r="N110" s="8"/>
      <c r="O110" s="5" t="str">
        <f t="shared" si="243"/>
        <v>NO APLICA</v>
      </c>
      <c r="P110" s="6"/>
      <c r="Q110" s="6"/>
      <c r="R110" s="4"/>
      <c r="S110" s="8"/>
      <c r="T110" s="5" t="str">
        <f t="shared" si="353"/>
        <v>NO APLICA</v>
      </c>
      <c r="U110" s="5"/>
      <c r="V110" s="6" t="s">
        <v>371</v>
      </c>
      <c r="W110" s="4">
        <v>45426</v>
      </c>
      <c r="X110" s="4">
        <f t="shared" ref="X110:X157" si="410">DATE(YEAR(W110)+5,MONTH(W110),DAY(W110))</f>
        <v>47252</v>
      </c>
      <c r="Y110" s="8">
        <f t="shared" ref="Y110:Y157" ca="1" si="411">X110-TODAY()</f>
        <v>1107</v>
      </c>
      <c r="Z110" s="5" t="str">
        <f t="shared" ref="Z110:Z173" ca="1" si="412">IF(Y110&gt;=90,"VIGENTE",IF(Y110&gt;=1,"POR VENCER",IF(Y110&lt;=-1,"VENCIDA",IF(W110=0,"NO APLICA"))))</f>
        <v>VIGENTE</v>
      </c>
      <c r="AA110" s="5"/>
      <c r="AB110" s="2" t="s">
        <v>372</v>
      </c>
      <c r="AC110" s="4">
        <v>44824</v>
      </c>
      <c r="AD110" s="4">
        <f t="shared" ref="AD110:AD118" si="413">DATE(YEAR(AC110)+5,MONTH(AC110),DAY(AC110))</f>
        <v>46650</v>
      </c>
      <c r="AE110" s="8">
        <f t="shared" ref="AE110:AE118" ca="1" si="414">AD110-TODAY()</f>
        <v>505</v>
      </c>
      <c r="AF110" s="5" t="str">
        <f t="shared" ca="1" si="247"/>
        <v>VIGENTE</v>
      </c>
      <c r="AG110" s="3"/>
      <c r="AH110" s="4">
        <v>45594</v>
      </c>
      <c r="AI110" s="4">
        <f>DATE(YEAR(AH110)+2,MONTH(AH110),DAY(AH110)-1)</f>
        <v>46323</v>
      </c>
      <c r="AJ110" s="8">
        <f t="shared" ca="1" si="248"/>
        <v>178</v>
      </c>
      <c r="AK110" s="5" t="str">
        <f t="shared" ca="1" si="408"/>
        <v>VIGENTE</v>
      </c>
      <c r="AL110" s="4"/>
      <c r="AM110" s="4">
        <v>45926</v>
      </c>
      <c r="AN110" s="4">
        <f t="shared" ref="AN110:AN116" si="415">DATE(YEAR(AM110)+2,MONTH(AM110),DAY(AM110))</f>
        <v>46656</v>
      </c>
      <c r="AO110" s="8">
        <f t="shared" ca="1" si="249"/>
        <v>511</v>
      </c>
      <c r="AP110" s="5" t="str">
        <f t="shared" ca="1" si="250"/>
        <v>VIGENTE</v>
      </c>
      <c r="AQ110" s="3"/>
      <c r="AR110" s="4">
        <v>45703</v>
      </c>
      <c r="AS110" s="4">
        <f>DATE(YEAR(AR110)+2,MONTH(AR110),DAY(AR110)-1)</f>
        <v>46432</v>
      </c>
      <c r="AT110" s="8">
        <f t="shared" ca="1" si="251"/>
        <v>287</v>
      </c>
      <c r="AU110" s="5" t="str">
        <f t="shared" ca="1" si="252"/>
        <v>VIGENTE</v>
      </c>
      <c r="AV110" s="4"/>
      <c r="AW110" s="4">
        <v>45702</v>
      </c>
      <c r="AX110" s="4">
        <f>DATE(YEAR(AW110)+2,MONTH(AW110),DAY(AW110)-1)</f>
        <v>46431</v>
      </c>
      <c r="AY110" s="8">
        <f t="shared" ca="1" si="253"/>
        <v>286</v>
      </c>
      <c r="AZ110" s="5" t="str">
        <f t="shared" ca="1" si="254"/>
        <v>VIGENTE</v>
      </c>
      <c r="BA110" s="3"/>
      <c r="BB110" s="4">
        <v>45603</v>
      </c>
      <c r="BC110" s="4">
        <f>DATE(YEAR(BB110)+2,MONTH(BB110),DAY(BB110)-1)</f>
        <v>46332</v>
      </c>
      <c r="BD110" s="8">
        <f t="shared" ca="1" si="255"/>
        <v>187</v>
      </c>
      <c r="BE110" s="5" t="str">
        <f t="shared" ca="1" si="256"/>
        <v>VIGENTE</v>
      </c>
      <c r="BF110" s="3"/>
      <c r="BG110" s="4">
        <v>45987</v>
      </c>
      <c r="BH110" s="4">
        <f>DATE(YEAR(BG110)+2,MONTH(BG110),DAY(BG110))</f>
        <v>46717</v>
      </c>
      <c r="BI110" s="8">
        <f t="shared" ca="1" si="257"/>
        <v>572</v>
      </c>
      <c r="BJ110" s="5" t="str">
        <f t="shared" ca="1" si="258"/>
        <v>VIGENTE</v>
      </c>
      <c r="BK110" s="3"/>
      <c r="BL110" s="4">
        <v>46017</v>
      </c>
      <c r="BM110" s="4">
        <f>DATE(YEAR(BL110)+2,MONTH(BL110),DAY(BL110))</f>
        <v>46747</v>
      </c>
      <c r="BN110" s="8">
        <f t="shared" ca="1" si="259"/>
        <v>602</v>
      </c>
      <c r="BO110" s="5" t="str">
        <f t="shared" ca="1" si="260"/>
        <v>VIGENTE</v>
      </c>
      <c r="BP110" s="3"/>
      <c r="BQ110" s="39">
        <v>45701</v>
      </c>
      <c r="BR110" s="4">
        <f>DATE(YEAR(BQ110)+2,MONTH(BQ110),DAY(BQ110)-1)</f>
        <v>46430</v>
      </c>
      <c r="BS110" s="8">
        <f t="shared" ca="1" si="261"/>
        <v>285</v>
      </c>
      <c r="BT110" s="5" t="str">
        <f t="shared" ca="1" si="262"/>
        <v>VIGENTE</v>
      </c>
      <c r="BU110" s="3"/>
      <c r="BV110" s="4">
        <v>46116</v>
      </c>
      <c r="BW110" s="4">
        <f>DATE(YEAR(BV110)+2,MONTH(BV110),DAY(BV110)-1)</f>
        <v>46846</v>
      </c>
      <c r="BX110" s="8">
        <f t="shared" ca="1" si="263"/>
        <v>701</v>
      </c>
      <c r="BY110" s="5" t="str">
        <f t="shared" ca="1" si="264"/>
        <v>VIGENTE</v>
      </c>
      <c r="BZ110" s="3"/>
      <c r="CA110" s="4">
        <v>45480</v>
      </c>
      <c r="CB110" s="4">
        <f>DATE(YEAR(CA110)+2,MONTH(CA110),DAY(CA110)-1)</f>
        <v>46209</v>
      </c>
      <c r="CC110" s="8">
        <f t="shared" ca="1" si="265"/>
        <v>64</v>
      </c>
      <c r="CD110" s="5" t="str">
        <f t="shared" ca="1" si="266"/>
        <v>POR VENCER</v>
      </c>
      <c r="CE110" s="6"/>
      <c r="CF110" s="4">
        <v>45211</v>
      </c>
      <c r="CG110" s="4">
        <f t="shared" ref="CG110:CG157" si="416">DATE(YEAR(CF110)+4,MONTH(CF110),DAY(CF110))</f>
        <v>46672</v>
      </c>
      <c r="CH110" s="8">
        <f t="shared" ref="CH110:CH157" ca="1" si="417">CG110-TODAY()</f>
        <v>527</v>
      </c>
      <c r="CI110" s="5" t="str">
        <f t="shared" ref="CI110:CI142" ca="1" si="418">IF(CH110&gt;=90,"VIGENTE",IF(CH110&gt;=1,"POR VENCER",IF(CH110&lt;=-1,"VENCIDA",IF(CH110=0,"NO APLICA"))))</f>
        <v>VIGENTE</v>
      </c>
      <c r="CJ110" s="4"/>
      <c r="CK110" s="4">
        <v>45504</v>
      </c>
      <c r="CL110" s="4">
        <f>DATE(YEAR(CK110)+2,MONTH(CK110),DAY(CK110)-1)</f>
        <v>46233</v>
      </c>
      <c r="CM110" s="8">
        <f t="shared" ca="1" si="270"/>
        <v>88</v>
      </c>
      <c r="CN110" s="5" t="str">
        <f t="shared" ca="1" si="271"/>
        <v>POR VENCER</v>
      </c>
      <c r="CO110" s="3"/>
      <c r="CP110" s="39">
        <v>45517</v>
      </c>
      <c r="CQ110" s="4">
        <f>DATE(YEAR(CP110)+2,MONTH(CP110),DAY(CP110)-1)</f>
        <v>46246</v>
      </c>
      <c r="CR110" s="8">
        <f t="shared" ca="1" si="272"/>
        <v>101</v>
      </c>
      <c r="CS110" s="5" t="str">
        <f t="shared" ca="1" si="273"/>
        <v>VIGENTE</v>
      </c>
      <c r="CT110" s="3"/>
      <c r="CU110" s="4">
        <v>45727</v>
      </c>
      <c r="CV110" s="4">
        <f>DATE(YEAR(CU110)+2,MONTH(CU110),DAY(CU110)-1)</f>
        <v>46456</v>
      </c>
      <c r="CW110" s="8">
        <f t="shared" ca="1" si="274"/>
        <v>311</v>
      </c>
      <c r="CX110" s="5" t="str">
        <f t="shared" ca="1" si="275"/>
        <v>VIGENTE</v>
      </c>
      <c r="CY110" s="3"/>
      <c r="CZ110" s="4">
        <v>45665</v>
      </c>
      <c r="DA110" s="4">
        <f>DATE(YEAR(CZ110)+2,MONTH(CZ110),DAY(CZ110)-1)</f>
        <v>46394</v>
      </c>
      <c r="DB110" s="8">
        <f t="shared" ca="1" si="276"/>
        <v>249</v>
      </c>
      <c r="DC110" s="5" t="str">
        <f t="shared" ca="1" si="277"/>
        <v>VIGENTE</v>
      </c>
      <c r="DD110" s="3"/>
      <c r="DE110" s="39">
        <v>45689</v>
      </c>
      <c r="DF110" s="4">
        <f>DATE(YEAR(DE110)+2,MONTH(DE110),DAY(DE110)-1)</f>
        <v>46418</v>
      </c>
      <c r="DG110" s="8">
        <f t="shared" ca="1" si="278"/>
        <v>273</v>
      </c>
      <c r="DH110" s="5" t="str">
        <f t="shared" ca="1" si="279"/>
        <v>VIGENTE</v>
      </c>
      <c r="DI110" s="3"/>
      <c r="DJ110" s="39">
        <v>45696</v>
      </c>
      <c r="DK110" s="4">
        <f>DATE(YEAR(DJ110)+2,MONTH(DJ110),DAY(DJ110)-1)</f>
        <v>46425</v>
      </c>
      <c r="DL110" s="8">
        <f t="shared" ca="1" si="280"/>
        <v>280</v>
      </c>
      <c r="DM110" s="5" t="str">
        <f t="shared" ca="1" si="281"/>
        <v>VIGENTE</v>
      </c>
      <c r="DN110" s="3"/>
      <c r="DO110" s="4">
        <v>45982</v>
      </c>
      <c r="DP110" s="4">
        <f>DATE(YEAR(DO110)+2,MONTH(DO110),DAY(DO110))</f>
        <v>46712</v>
      </c>
      <c r="DQ110" s="8">
        <f t="shared" ca="1" si="282"/>
        <v>567</v>
      </c>
      <c r="DR110" s="5" t="str">
        <f t="shared" ca="1" si="283"/>
        <v>VIGENTE</v>
      </c>
      <c r="DS110" s="3"/>
      <c r="DT110" s="4">
        <v>45619</v>
      </c>
      <c r="DU110" s="4">
        <f>DATE(YEAR(DT110)+2,MONTH(DT110),DAY(DT110)-1)</f>
        <v>46348</v>
      </c>
      <c r="DV110" s="8">
        <f t="shared" ca="1" si="284"/>
        <v>203</v>
      </c>
      <c r="DW110" s="5" t="str">
        <f t="shared" ca="1" si="285"/>
        <v>VIGENTE</v>
      </c>
      <c r="DX110" s="3"/>
      <c r="DY110" s="4">
        <v>45582</v>
      </c>
      <c r="DZ110" s="4">
        <f>DATE(YEAR(DY110)+2,MONTH(DY110),DAY(DY110)-1)</f>
        <v>46311</v>
      </c>
      <c r="EA110" s="8">
        <f t="shared" ca="1" si="286"/>
        <v>166</v>
      </c>
      <c r="EB110" s="5" t="str">
        <f t="shared" ca="1" si="287"/>
        <v>VIGENTE</v>
      </c>
      <c r="EC110" s="3"/>
      <c r="ED110" s="39">
        <v>45674</v>
      </c>
      <c r="EE110" s="4">
        <f>DATE(YEAR(ED110)+2,MONTH(ED110),DAY(ED110)-1)</f>
        <v>46403</v>
      </c>
      <c r="EF110" s="8">
        <f t="shared" ca="1" si="288"/>
        <v>258</v>
      </c>
      <c r="EG110" s="5" t="str">
        <f t="shared" ca="1" si="289"/>
        <v>VIGENTE</v>
      </c>
      <c r="EH110" s="3"/>
      <c r="EI110" s="4">
        <v>46115</v>
      </c>
      <c r="EJ110" s="4">
        <f t="shared" si="355"/>
        <v>46480</v>
      </c>
      <c r="EK110" s="8">
        <f t="shared" ca="1" si="290"/>
        <v>335</v>
      </c>
      <c r="EL110" s="5" t="str">
        <f t="shared" ca="1" si="291"/>
        <v>VIGENTE</v>
      </c>
      <c r="EM110" s="3"/>
      <c r="EN110" s="4">
        <v>45584</v>
      </c>
      <c r="EO110" s="4">
        <f>DATE(YEAR(EN110)+2,MONTH(EN110),DAY(EN110)-1)</f>
        <v>46313</v>
      </c>
      <c r="EP110" s="8">
        <f t="shared" ca="1" si="292"/>
        <v>168</v>
      </c>
      <c r="EQ110" s="5" t="str">
        <f t="shared" ca="1" si="293"/>
        <v>VIGENTE</v>
      </c>
      <c r="ER110" s="2"/>
      <c r="ES110" s="39">
        <v>45749</v>
      </c>
      <c r="ET110" s="4">
        <f>DATE(YEAR(ES110)+2,MONTH(ES110),DAY(ES110)-1)</f>
        <v>46478</v>
      </c>
      <c r="EU110" s="8">
        <f t="shared" ca="1" si="294"/>
        <v>333</v>
      </c>
      <c r="EV110" s="5" t="str">
        <f t="shared" ca="1" si="295"/>
        <v>VIGENTE</v>
      </c>
      <c r="EW110" s="3"/>
      <c r="EX110" s="4">
        <v>45694</v>
      </c>
      <c r="EY110" s="4">
        <f>DATE(YEAR(EX110)+2,MONTH(EX110),DAY(EX110)-1)</f>
        <v>46423</v>
      </c>
      <c r="EZ110" s="8">
        <f t="shared" ca="1" si="296"/>
        <v>278</v>
      </c>
      <c r="FA110" s="5" t="str">
        <f t="shared" ca="1" si="297"/>
        <v>VIGENTE</v>
      </c>
      <c r="FB110" s="3"/>
      <c r="FC110" s="4">
        <v>45666</v>
      </c>
      <c r="FD110" s="4">
        <f>DATE(YEAR(FC110)+2,MONTH(FC110),DAY(FC110)-1)</f>
        <v>46395</v>
      </c>
      <c r="FE110" s="8">
        <f t="shared" ca="1" si="298"/>
        <v>250</v>
      </c>
      <c r="FF110" s="5" t="str">
        <f t="shared" ca="1" si="299"/>
        <v>VIGENTE</v>
      </c>
      <c r="FG110" s="3"/>
      <c r="FH110" s="4">
        <v>45668</v>
      </c>
      <c r="FI110" s="4">
        <f>DATE(YEAR(FH110)+2,MONTH(FH110),DAY(FH110)-1)</f>
        <v>46397</v>
      </c>
      <c r="FJ110" s="8">
        <f t="shared" ca="1" si="300"/>
        <v>252</v>
      </c>
      <c r="FK110" s="5" t="str">
        <f t="shared" ca="1" si="301"/>
        <v>VIGENTE</v>
      </c>
      <c r="FL110" s="3"/>
      <c r="FM110" s="39">
        <v>45738</v>
      </c>
      <c r="FN110" s="4">
        <f>DATE(YEAR(FM110)+2,MONTH(FM110),DAY(FM110)-1)</f>
        <v>46467</v>
      </c>
      <c r="FO110" s="8">
        <f t="shared" ca="1" si="302"/>
        <v>322</v>
      </c>
      <c r="FP110" s="5" t="str">
        <f t="shared" ca="1" si="303"/>
        <v>VIGENTE</v>
      </c>
      <c r="FQ110" s="3"/>
      <c r="FR110" s="39">
        <v>45664</v>
      </c>
      <c r="FS110" s="4">
        <f>DATE(YEAR(FR110)+2,MONTH(FR110),DAY(FR110)-1)</f>
        <v>46393</v>
      </c>
      <c r="FT110" s="8">
        <f t="shared" ca="1" si="304"/>
        <v>248</v>
      </c>
      <c r="FU110" s="5" t="str">
        <f t="shared" ca="1" si="305"/>
        <v>VIGENTE</v>
      </c>
      <c r="FV110" s="3"/>
      <c r="FW110" s="4">
        <v>45700</v>
      </c>
      <c r="FX110" s="4">
        <f>DATE(YEAR(FW110)+2,MONTH(FW110),DAY(FW110)-1)</f>
        <v>46429</v>
      </c>
      <c r="FY110" s="8">
        <f t="shared" ca="1" si="306"/>
        <v>284</v>
      </c>
      <c r="FZ110" s="5" t="str">
        <f t="shared" ca="1" si="307"/>
        <v>VIGENTE</v>
      </c>
      <c r="GA110" s="3"/>
      <c r="GB110" s="4">
        <v>45741</v>
      </c>
      <c r="GC110" s="4">
        <f>DATE(YEAR(GB110)+2,MONTH(GB110),DAY(GB110)-1)</f>
        <v>46470</v>
      </c>
      <c r="GD110" s="8">
        <f t="shared" ca="1" si="308"/>
        <v>325</v>
      </c>
      <c r="GE110" s="5" t="str">
        <f t="shared" ca="1" si="309"/>
        <v>VIGENTE</v>
      </c>
      <c r="GF110" s="3"/>
      <c r="GG110" s="4">
        <v>45672</v>
      </c>
      <c r="GH110" s="4">
        <f>DATE(YEAR(GG110)+2,MONTH(GG110),DAY(GG110)-1)</f>
        <v>46401</v>
      </c>
      <c r="GI110" s="8">
        <f t="shared" ca="1" si="310"/>
        <v>256</v>
      </c>
      <c r="GJ110" s="5" t="str">
        <f t="shared" ca="1" si="311"/>
        <v>VIGENTE</v>
      </c>
      <c r="GK110" s="3"/>
      <c r="GL110" s="4">
        <v>46044</v>
      </c>
      <c r="GM110" s="4">
        <f>DATE(YEAR(GL110)+2,MONTH(GL110),DAY(GL110))</f>
        <v>46774</v>
      </c>
      <c r="GN110" s="8">
        <f t="shared" ca="1" si="312"/>
        <v>629</v>
      </c>
      <c r="GO110" s="5" t="str">
        <f t="shared" ca="1" si="313"/>
        <v>VIGENTE</v>
      </c>
      <c r="GP110" s="4"/>
      <c r="GQ110" s="4">
        <v>45224</v>
      </c>
      <c r="GR110" s="4">
        <f t="shared" si="314"/>
        <v>47051</v>
      </c>
      <c r="GS110" s="8">
        <f t="shared" ca="1" si="405"/>
        <v>906</v>
      </c>
      <c r="GT110" s="5" t="str">
        <f t="shared" ref="GT110:GT173" ca="1" si="419">IF(GS110&gt;=91,"VIGENTE",IF(GS110&gt;=1,"POR VENCER",IF(GS110&lt;=-1,"VENCIDA",IF(GQ110=0,"NO APLICA"))))</f>
        <v>VIGENTE</v>
      </c>
      <c r="GU110" s="3"/>
      <c r="GV110" s="4">
        <v>45277</v>
      </c>
      <c r="GW110" s="4">
        <f t="shared" si="316"/>
        <v>47104</v>
      </c>
      <c r="GX110" s="8">
        <f t="shared" ca="1" si="317"/>
        <v>959</v>
      </c>
      <c r="GY110" s="5" t="str">
        <f t="shared" ref="GY110:GY115" ca="1" si="420">IF(GX110&gt;=91,"VIGENTE",IF(GX110&gt;=1,"POR VENCER",IF(GX110&lt;=-1,"VENCIDA",IF(GV110=0,"NO APLICA"))))</f>
        <v>VIGENTE</v>
      </c>
      <c r="GZ110" s="4"/>
      <c r="HA110" s="4">
        <v>45268</v>
      </c>
      <c r="HB110" s="4">
        <f t="shared" si="319"/>
        <v>47095</v>
      </c>
      <c r="HC110" s="8">
        <f t="shared" ca="1" si="320"/>
        <v>950</v>
      </c>
      <c r="HD110" s="5" t="str">
        <f t="shared" ref="HD110:HD173" ca="1" si="421">IF(HC110&gt;=91,"VIGENTE",IF(HC110&gt;=1,"POR VENCER",IF(HC110&lt;=-1,"VENCIDA",IF(HA110=0,"NO APLICA"))))</f>
        <v>VIGENTE</v>
      </c>
      <c r="HE110" s="6"/>
      <c r="HF110" s="4">
        <v>44884</v>
      </c>
      <c r="HG110" s="4">
        <f t="shared" si="406"/>
        <v>46710</v>
      </c>
      <c r="HH110" s="8">
        <f t="shared" ca="1" si="407"/>
        <v>565</v>
      </c>
      <c r="HI110" s="5" t="str">
        <f t="shared" ref="HI110:HI115" ca="1" si="422">IF(HH110&gt;=61,"VIGENTE",IF(HH110&gt;=1,"POR VENCER",IF(HH110&lt;=-1,"VENCIDA",IF(HF110=0,"NO APLICA"))))</f>
        <v>VIGENTE</v>
      </c>
      <c r="HJ110" s="2"/>
      <c r="HK110" s="4">
        <v>45370</v>
      </c>
      <c r="HL110" s="4">
        <f>DATE(YEAR(HK110)+5,MONTH(HK110),DAY(HK110))</f>
        <v>47196</v>
      </c>
      <c r="HM110" s="8">
        <f ca="1">HL110-TODAY()</f>
        <v>1051</v>
      </c>
      <c r="HN110" s="5" t="str">
        <f t="shared" ca="1" si="409"/>
        <v>VIGENTE</v>
      </c>
      <c r="HO110" s="3"/>
      <c r="HP110" s="3">
        <v>45698</v>
      </c>
      <c r="HQ110" s="4">
        <f>DATE(YEAR(HP110)+5,MONTH(HP110),DAY(HP110))</f>
        <v>47524</v>
      </c>
      <c r="HR110" s="8">
        <f ca="1">HQ110-TODAY()</f>
        <v>1379</v>
      </c>
      <c r="HS110" s="5" t="str">
        <f t="shared" ca="1" si="322"/>
        <v>VIGENTE</v>
      </c>
      <c r="HT110" s="2"/>
      <c r="HU110" s="4">
        <v>45010</v>
      </c>
      <c r="HV110" s="4">
        <f>DATE(YEAR(HU110)+5,MONTH(HU110),DAY(HU110))</f>
        <v>46837</v>
      </c>
      <c r="HW110" s="8">
        <f ca="1">HV110-TODAY()</f>
        <v>692</v>
      </c>
      <c r="HX110" s="5" t="str">
        <f t="shared" ca="1" si="323"/>
        <v>VIGENTE</v>
      </c>
      <c r="HY110" s="2"/>
      <c r="HZ110" s="4">
        <v>44932</v>
      </c>
      <c r="IA110" s="4">
        <f>DATE(YEAR(HZ110)+5,MONTH(HZ110),DAY(HZ110))</f>
        <v>46758</v>
      </c>
      <c r="IB110" s="8">
        <f ca="1">IA110-TODAY()</f>
        <v>613</v>
      </c>
      <c r="IC110" s="5" t="str">
        <f t="shared" ca="1" si="324"/>
        <v>VIGENTE</v>
      </c>
      <c r="ID110" s="2"/>
      <c r="IE110" s="4">
        <v>45049</v>
      </c>
      <c r="IF110" s="4">
        <f>DATE(YEAR(IE110)+5,MONTH(IE110),DAY(IE110))</f>
        <v>46876</v>
      </c>
      <c r="IG110" s="8">
        <f ca="1">IF110-TODAY()</f>
        <v>731</v>
      </c>
      <c r="IH110" s="5" t="str">
        <f t="shared" ca="1" si="325"/>
        <v>VIGENTE</v>
      </c>
      <c r="II110" s="6"/>
      <c r="IJ110" s="4">
        <v>45058</v>
      </c>
      <c r="IK110" s="4">
        <f>DATE(YEAR(IJ110)+5,MONTH(IJ110),DAY(IJ110))</f>
        <v>46885</v>
      </c>
      <c r="IL110" s="8">
        <f ca="1">IK110-TODAY()</f>
        <v>740</v>
      </c>
      <c r="IM110" s="5" t="str">
        <f t="shared" ca="1" si="326"/>
        <v>VIGENTE</v>
      </c>
      <c r="IN110" s="2"/>
      <c r="IO110" s="4">
        <v>44982</v>
      </c>
      <c r="IP110" s="4">
        <f>DATE(YEAR(IO110)+5,MONTH(IO110),DAY(IO110))</f>
        <v>46808</v>
      </c>
      <c r="IQ110" s="8">
        <f ca="1">IP110-TODAY()</f>
        <v>663</v>
      </c>
      <c r="IR110" s="5" t="str">
        <f t="shared" ca="1" si="327"/>
        <v>VIGENTE</v>
      </c>
      <c r="IS110" s="2"/>
      <c r="IT110" s="4">
        <v>45062</v>
      </c>
      <c r="IU110" s="4">
        <f>DATE(YEAR(IT110)+5,MONTH(IT110),DAY(IT110))</f>
        <v>46889</v>
      </c>
      <c r="IV110" s="8">
        <f ca="1">IU110-TODAY()</f>
        <v>744</v>
      </c>
      <c r="IW110" s="5" t="str">
        <f t="shared" ca="1" si="328"/>
        <v>VIGENTE</v>
      </c>
      <c r="IX110" s="2"/>
      <c r="IY110" s="4">
        <v>44933</v>
      </c>
      <c r="IZ110" s="4">
        <f>DATE(YEAR(IY110)+5,MONTH(IY110),DAY(IY110))</f>
        <v>46759</v>
      </c>
      <c r="JA110" s="8">
        <f ca="1">IZ110-TODAY()</f>
        <v>614</v>
      </c>
      <c r="JB110" s="5" t="str">
        <f t="shared" ca="1" si="329"/>
        <v>VIGENTE</v>
      </c>
      <c r="JC110" s="3" t="s">
        <v>780</v>
      </c>
      <c r="JD110" s="3"/>
      <c r="JE110" s="4"/>
      <c r="JF110" s="8"/>
      <c r="JG110" s="5"/>
      <c r="JH110" s="3" t="s">
        <v>780</v>
      </c>
      <c r="JI110" s="6"/>
      <c r="JJ110" s="6"/>
      <c r="JK110" s="6"/>
      <c r="JL110" s="5"/>
      <c r="JM110" s="6" t="s">
        <v>780</v>
      </c>
      <c r="JN110" s="6"/>
      <c r="JO110" s="6"/>
      <c r="JP110" s="6"/>
      <c r="JQ110" s="5"/>
      <c r="JR110" s="6" t="s">
        <v>780</v>
      </c>
      <c r="JS110" s="6"/>
      <c r="JT110" s="6"/>
      <c r="JU110" s="6"/>
      <c r="JV110" s="5"/>
      <c r="JW110" s="6" t="s">
        <v>780</v>
      </c>
      <c r="JX110" s="5"/>
      <c r="JY110" s="5"/>
      <c r="JZ110" s="5"/>
      <c r="KA110" s="5"/>
      <c r="KB110" s="5"/>
      <c r="KC110" s="2"/>
      <c r="KD110" s="4"/>
      <c r="KE110" s="8"/>
      <c r="KF110" s="5" t="str">
        <f t="shared" si="330"/>
        <v>NO APLICA</v>
      </c>
      <c r="KG110" s="5"/>
      <c r="KH110" s="3">
        <v>45328</v>
      </c>
      <c r="KI110" s="4">
        <f>DATE(YEAR(KH110)+5,MONTH(KH110),DAY(KH110)-1)</f>
        <v>47154</v>
      </c>
      <c r="KJ110" s="8">
        <f ca="1">KI110-TODAY()</f>
        <v>1009</v>
      </c>
      <c r="KK110" s="5" t="str">
        <f t="shared" ca="1" si="356"/>
        <v>VIGENTE</v>
      </c>
      <c r="KL110" s="5"/>
      <c r="KM110" s="2"/>
      <c r="KN110" s="4"/>
      <c r="KO110" s="8"/>
      <c r="KP110" s="5" t="str">
        <f t="shared" si="331"/>
        <v>NO APLICA</v>
      </c>
      <c r="KQ110" s="5"/>
      <c r="KR110" s="2"/>
      <c r="KS110" s="4"/>
      <c r="KT110" s="8"/>
      <c r="KU110" s="5" t="str">
        <f t="shared" si="357"/>
        <v>NO APLICA</v>
      </c>
      <c r="KV110" s="2"/>
      <c r="KW110" s="6"/>
      <c r="KX110" s="4"/>
      <c r="KY110" s="8"/>
      <c r="KZ110" s="5" t="str">
        <f t="shared" si="366"/>
        <v>NO APLICA</v>
      </c>
      <c r="LA110" s="5"/>
      <c r="LB110" s="6"/>
      <c r="LC110" s="4"/>
      <c r="LD110" s="8"/>
      <c r="LE110" s="5" t="str">
        <f t="shared" si="358"/>
        <v>NO APLICA</v>
      </c>
      <c r="LF110" s="4"/>
      <c r="LG110" s="4"/>
      <c r="LH110" s="4"/>
      <c r="LI110" s="8"/>
      <c r="LJ110" s="5" t="str">
        <f t="shared" si="332"/>
        <v>NO APLICA</v>
      </c>
      <c r="LK110" s="5"/>
      <c r="LL110" s="5"/>
      <c r="LM110" s="4"/>
      <c r="LN110" s="8"/>
      <c r="LO110" s="5" t="str">
        <f t="shared" si="367"/>
        <v>NO APLICA</v>
      </c>
      <c r="LP110" s="2"/>
      <c r="LQ110" s="6"/>
      <c r="LR110" s="4"/>
      <c r="LS110" s="8"/>
      <c r="LT110" s="5" t="str">
        <f t="shared" si="359"/>
        <v>NO APLICA</v>
      </c>
      <c r="LU110" s="6"/>
      <c r="LV110" s="6"/>
      <c r="LW110" s="4"/>
      <c r="LX110" s="8"/>
      <c r="LY110" s="5" t="str">
        <f t="shared" si="360"/>
        <v>NO APLICA</v>
      </c>
      <c r="LZ110" s="6"/>
      <c r="MA110" s="6"/>
      <c r="MB110" s="4"/>
      <c r="MC110" s="8"/>
      <c r="MD110" s="5" t="str">
        <f t="shared" si="361"/>
        <v>NO APLICA</v>
      </c>
      <c r="ME110" s="2"/>
      <c r="MF110" s="2"/>
      <c r="MG110" s="4"/>
      <c r="MH110" s="8"/>
      <c r="MI110" s="5" t="str">
        <f t="shared" si="333"/>
        <v>NO APLICA</v>
      </c>
      <c r="MJ110" s="2"/>
      <c r="MK110" s="2"/>
      <c r="ML110" s="4"/>
      <c r="MM110" s="8"/>
      <c r="MN110" s="5" t="str">
        <f t="shared" si="334"/>
        <v>NO APLICA</v>
      </c>
      <c r="MO110" s="5"/>
      <c r="MP110" s="2"/>
      <c r="MQ110" s="4"/>
      <c r="MR110" s="8"/>
      <c r="MS110" s="5" t="str">
        <f t="shared" si="335"/>
        <v>NO APLICA</v>
      </c>
      <c r="MT110" s="5"/>
      <c r="MU110" s="2"/>
      <c r="MV110" s="4"/>
      <c r="MW110" s="2"/>
      <c r="MX110" s="5" t="str">
        <f t="shared" si="336"/>
        <v>NO APLICA</v>
      </c>
      <c r="MY110" s="2"/>
      <c r="MZ110" s="6"/>
      <c r="NA110" s="4"/>
      <c r="NB110" s="8"/>
      <c r="NC110" s="5" t="str">
        <f t="shared" si="337"/>
        <v>NO APLICA</v>
      </c>
      <c r="ND110" s="2"/>
      <c r="NE110" s="6"/>
      <c r="NF110" s="4"/>
      <c r="NG110" s="8"/>
      <c r="NH110" s="5" t="str">
        <f t="shared" si="338"/>
        <v>NO APLICA</v>
      </c>
      <c r="NI110" s="2"/>
      <c r="NJ110" s="6"/>
      <c r="NK110" s="4"/>
      <c r="NL110" s="8"/>
      <c r="NM110" s="5" t="str">
        <f t="shared" si="339"/>
        <v>NO APLICA</v>
      </c>
      <c r="NN110" s="2"/>
      <c r="NO110" s="2"/>
      <c r="NP110" s="4"/>
      <c r="NQ110" s="2"/>
      <c r="NR110" s="5" t="str">
        <f t="shared" si="340"/>
        <v>NO APLICA</v>
      </c>
      <c r="NS110" s="2"/>
      <c r="NT110" s="2"/>
      <c r="NU110" s="4"/>
      <c r="NV110" s="2"/>
      <c r="NW110" s="5" t="str">
        <f t="shared" si="341"/>
        <v>NO APLICA</v>
      </c>
      <c r="NX110" s="6"/>
      <c r="NY110" s="6"/>
      <c r="NZ110" s="4"/>
      <c r="OA110" s="8"/>
      <c r="OB110" s="5" t="str">
        <f t="shared" si="342"/>
        <v>NO APLICA</v>
      </c>
      <c r="OC110" s="6"/>
      <c r="OD110" s="6"/>
      <c r="OE110" s="6"/>
      <c r="OF110" s="6"/>
      <c r="OG110" s="5" t="str">
        <f t="shared" si="343"/>
        <v>NO APLICA</v>
      </c>
      <c r="OH110" s="2"/>
      <c r="OI110" s="2"/>
      <c r="OJ110" s="4"/>
      <c r="OK110" s="8"/>
      <c r="OL110" s="5" t="str">
        <f t="shared" si="344"/>
        <v>NO APLICA</v>
      </c>
      <c r="OM110" s="6"/>
      <c r="ON110" s="6"/>
      <c r="OO110" s="6"/>
      <c r="OP110" s="6"/>
      <c r="OQ110" s="5" t="str">
        <f t="shared" si="345"/>
        <v>NO APLICA</v>
      </c>
      <c r="OR110" s="6"/>
      <c r="OS110" s="6"/>
      <c r="OT110" s="6"/>
      <c r="OU110" s="6"/>
      <c r="OV110" s="5" t="str">
        <f t="shared" si="346"/>
        <v>NO APLICA</v>
      </c>
      <c r="OW110" s="6"/>
      <c r="OX110" s="6"/>
      <c r="OY110" s="6"/>
      <c r="OZ110" s="6"/>
      <c r="PA110" s="5" t="str">
        <f t="shared" si="347"/>
        <v>NO APLICA</v>
      </c>
      <c r="PB110" s="6"/>
      <c r="PC110" s="6"/>
      <c r="PD110" s="6"/>
      <c r="PE110" s="6"/>
      <c r="PF110" s="5" t="str">
        <f t="shared" si="348"/>
        <v>NO APLICA</v>
      </c>
      <c r="PG110" s="6"/>
      <c r="PH110" s="6"/>
      <c r="PI110" s="6"/>
      <c r="PJ110" s="6"/>
      <c r="PK110" s="5" t="str">
        <f t="shared" si="349"/>
        <v>NO APLICA</v>
      </c>
      <c r="PL110" s="5"/>
      <c r="PM110" s="6"/>
      <c r="PN110" s="4"/>
      <c r="PO110" s="8"/>
      <c r="PP110" s="5" t="str">
        <f t="shared" si="350"/>
        <v>NO APLICA</v>
      </c>
      <c r="PQ110" s="6"/>
      <c r="PR110" s="6"/>
      <c r="PS110" s="6"/>
      <c r="PT110" s="6"/>
      <c r="PU110" s="5" t="str">
        <f t="shared" si="351"/>
        <v>NO APLICA</v>
      </c>
      <c r="PV110" s="5"/>
      <c r="PW110" s="6"/>
      <c r="PX110" s="6"/>
      <c r="PY110" s="6"/>
      <c r="PZ110" s="5" t="str">
        <f t="shared" si="352"/>
        <v>NO APLICA</v>
      </c>
    </row>
    <row r="111" spans="1:442" ht="15.6" hidden="1" thickTop="1" thickBot="1" x14ac:dyDescent="0.35">
      <c r="A111" s="26">
        <v>108</v>
      </c>
      <c r="B111" s="27">
        <v>541</v>
      </c>
      <c r="C111" s="28" t="s">
        <v>373</v>
      </c>
      <c r="D111" s="29" t="s">
        <v>68</v>
      </c>
      <c r="E111" s="30" t="s">
        <v>185</v>
      </c>
      <c r="F111" s="5"/>
      <c r="G111" s="6"/>
      <c r="H111" s="4"/>
      <c r="I111" s="8"/>
      <c r="J111" s="5" t="str">
        <f t="shared" si="242"/>
        <v>NO APLICA</v>
      </c>
      <c r="K111" s="5"/>
      <c r="L111" s="6"/>
      <c r="M111" s="6"/>
      <c r="N111" s="8"/>
      <c r="O111" s="5" t="str">
        <f t="shared" si="243"/>
        <v>NO APLICA</v>
      </c>
      <c r="P111" s="6"/>
      <c r="Q111" s="6"/>
      <c r="R111" s="4"/>
      <c r="S111" s="8"/>
      <c r="T111" s="5" t="str">
        <f t="shared" si="353"/>
        <v>NO APLICA</v>
      </c>
      <c r="U111" s="5"/>
      <c r="V111" s="2" t="s">
        <v>374</v>
      </c>
      <c r="W111" s="4">
        <v>44790</v>
      </c>
      <c r="X111" s="4">
        <f t="shared" si="410"/>
        <v>46616</v>
      </c>
      <c r="Y111" s="8">
        <f t="shared" ca="1" si="411"/>
        <v>471</v>
      </c>
      <c r="Z111" s="5" t="str">
        <f t="shared" ca="1" si="412"/>
        <v>VIGENTE</v>
      </c>
      <c r="AA111" s="5"/>
      <c r="AB111" s="2" t="s">
        <v>375</v>
      </c>
      <c r="AC111" s="4">
        <v>44828</v>
      </c>
      <c r="AD111" s="4">
        <f t="shared" si="413"/>
        <v>46654</v>
      </c>
      <c r="AE111" s="8">
        <f t="shared" ca="1" si="414"/>
        <v>509</v>
      </c>
      <c r="AF111" s="5" t="str">
        <f t="shared" ca="1" si="247"/>
        <v>VIGENTE</v>
      </c>
      <c r="AG111" s="4"/>
      <c r="AH111" s="4">
        <v>45594</v>
      </c>
      <c r="AI111" s="4">
        <f>DATE(YEAR(AH111)+2,MONTH(AH111),DAY(AH111)-1)</f>
        <v>46323</v>
      </c>
      <c r="AJ111" s="8">
        <f t="shared" ca="1" si="248"/>
        <v>178</v>
      </c>
      <c r="AK111" s="5" t="str">
        <f t="shared" ca="1" si="408"/>
        <v>VIGENTE</v>
      </c>
      <c r="AL111" s="3"/>
      <c r="AM111" s="4">
        <v>45926</v>
      </c>
      <c r="AN111" s="4">
        <f t="shared" si="415"/>
        <v>46656</v>
      </c>
      <c r="AO111" s="8">
        <f t="shared" ca="1" si="249"/>
        <v>511</v>
      </c>
      <c r="AP111" s="5" t="str">
        <f t="shared" ca="1" si="250"/>
        <v>VIGENTE</v>
      </c>
      <c r="AQ111" s="3"/>
      <c r="AR111" s="4">
        <v>45703</v>
      </c>
      <c r="AS111" s="4">
        <f>DATE(YEAR(AR111)+2,MONTH(AR111),DAY(AR111)-1)</f>
        <v>46432</v>
      </c>
      <c r="AT111" s="8">
        <f t="shared" ca="1" si="251"/>
        <v>287</v>
      </c>
      <c r="AU111" s="5" t="str">
        <f t="shared" ca="1" si="252"/>
        <v>VIGENTE</v>
      </c>
      <c r="AV111" s="3"/>
      <c r="AW111" s="4">
        <v>45702</v>
      </c>
      <c r="AX111" s="4">
        <f>DATE(YEAR(AW111)+2,MONTH(AW111),DAY(AW111)-1)</f>
        <v>46431</v>
      </c>
      <c r="AY111" s="8">
        <f t="shared" ca="1" si="253"/>
        <v>286</v>
      </c>
      <c r="AZ111" s="5" t="str">
        <f t="shared" ca="1" si="254"/>
        <v>VIGENTE</v>
      </c>
      <c r="BA111" s="3"/>
      <c r="BB111" s="4">
        <v>45603</v>
      </c>
      <c r="BC111" s="4">
        <f>DATE(YEAR(BB111)+2,MONTH(BB111),DAY(BB111)-1)</f>
        <v>46332</v>
      </c>
      <c r="BD111" s="8">
        <f t="shared" ca="1" si="255"/>
        <v>187</v>
      </c>
      <c r="BE111" s="5" t="str">
        <f t="shared" ca="1" si="256"/>
        <v>VIGENTE</v>
      </c>
      <c r="BF111" s="3"/>
      <c r="BG111" s="4">
        <v>45698</v>
      </c>
      <c r="BH111" s="4">
        <f>DATE(YEAR(BG111)+2,MONTH(BG111),DAY(BG111)-1)</f>
        <v>46427</v>
      </c>
      <c r="BI111" s="8">
        <f t="shared" ca="1" si="257"/>
        <v>282</v>
      </c>
      <c r="BJ111" s="5" t="str">
        <f t="shared" ca="1" si="258"/>
        <v>VIGENTE</v>
      </c>
      <c r="BK111" s="3"/>
      <c r="BL111" s="4">
        <v>45600</v>
      </c>
      <c r="BM111" s="4">
        <f>DATE(YEAR(BL111)+2,MONTH(BL111),DAY(BL111)-1)</f>
        <v>46329</v>
      </c>
      <c r="BN111" s="8">
        <f t="shared" ca="1" si="259"/>
        <v>184</v>
      </c>
      <c r="BO111" s="5" t="str">
        <f t="shared" ca="1" si="260"/>
        <v>VIGENTE</v>
      </c>
      <c r="BP111" s="3"/>
      <c r="BQ111" s="39">
        <v>45701</v>
      </c>
      <c r="BR111" s="4">
        <f>DATE(YEAR(BQ111)+2,MONTH(BQ111),DAY(BQ111)-1)</f>
        <v>46430</v>
      </c>
      <c r="BS111" s="8">
        <f t="shared" ca="1" si="261"/>
        <v>285</v>
      </c>
      <c r="BT111" s="5" t="str">
        <f t="shared" ca="1" si="262"/>
        <v>VIGENTE</v>
      </c>
      <c r="BU111" s="3"/>
      <c r="BV111" s="4">
        <v>45695</v>
      </c>
      <c r="BW111" s="4">
        <f>DATE(YEAR(BV111)+2,MONTH(BV111),DAY(BV111)-1)</f>
        <v>46424</v>
      </c>
      <c r="BX111" s="8">
        <f t="shared" ca="1" si="263"/>
        <v>279</v>
      </c>
      <c r="BY111" s="5" t="str">
        <f t="shared" ca="1" si="264"/>
        <v>VIGENTE</v>
      </c>
      <c r="BZ111" s="3"/>
      <c r="CA111" s="4">
        <v>45944</v>
      </c>
      <c r="CB111" s="4">
        <f t="shared" ref="CB111:CB120" si="423">DATE(YEAR(CA111)+2,MONTH(CA111),DAY(CA111))</f>
        <v>46674</v>
      </c>
      <c r="CC111" s="8">
        <f t="shared" ca="1" si="265"/>
        <v>529</v>
      </c>
      <c r="CD111" s="5" t="str">
        <f t="shared" ca="1" si="266"/>
        <v>VIGENTE</v>
      </c>
      <c r="CE111" s="6"/>
      <c r="CF111" s="4">
        <v>45241</v>
      </c>
      <c r="CG111" s="4">
        <f t="shared" si="416"/>
        <v>46702</v>
      </c>
      <c r="CH111" s="8">
        <f t="shared" ca="1" si="417"/>
        <v>557</v>
      </c>
      <c r="CI111" s="5" t="str">
        <f t="shared" ca="1" si="418"/>
        <v>VIGENTE</v>
      </c>
      <c r="CJ111" s="4"/>
      <c r="CK111" s="4">
        <v>45601</v>
      </c>
      <c r="CL111" s="4">
        <f>DATE(YEAR(CK111)+2,MONTH(CK111),DAY(CK111)-1)</f>
        <v>46330</v>
      </c>
      <c r="CM111" s="8">
        <f t="shared" ca="1" si="270"/>
        <v>185</v>
      </c>
      <c r="CN111" s="5" t="str">
        <f t="shared" ca="1" si="271"/>
        <v>VIGENTE</v>
      </c>
      <c r="CO111" s="3"/>
      <c r="CP111" s="39">
        <v>45684</v>
      </c>
      <c r="CQ111" s="4">
        <f>DATE(YEAR(CP111)+2,MONTH(CP111),DAY(CP111)-1)</f>
        <v>46413</v>
      </c>
      <c r="CR111" s="8">
        <f t="shared" ca="1" si="272"/>
        <v>268</v>
      </c>
      <c r="CS111" s="5" t="str">
        <f t="shared" ca="1" si="273"/>
        <v>VIGENTE</v>
      </c>
      <c r="CT111" s="3"/>
      <c r="CU111" s="4">
        <v>45631</v>
      </c>
      <c r="CV111" s="4">
        <f>DATE(YEAR(CU111)+2,MONTH(CU111),DAY(CU111)-1)</f>
        <v>46360</v>
      </c>
      <c r="CW111" s="8">
        <f t="shared" ca="1" si="274"/>
        <v>215</v>
      </c>
      <c r="CX111" s="5" t="str">
        <f t="shared" ca="1" si="275"/>
        <v>VIGENTE</v>
      </c>
      <c r="CY111" s="3"/>
      <c r="CZ111" s="4">
        <v>45661</v>
      </c>
      <c r="DA111" s="4">
        <f>DATE(YEAR(CZ111)+2,MONTH(CZ111),DAY(CZ111)-1)</f>
        <v>46390</v>
      </c>
      <c r="DB111" s="8">
        <f t="shared" ca="1" si="276"/>
        <v>245</v>
      </c>
      <c r="DC111" s="5" t="str">
        <f t="shared" ca="1" si="277"/>
        <v>VIGENTE</v>
      </c>
      <c r="DD111" s="3"/>
      <c r="DE111" s="39">
        <v>45689</v>
      </c>
      <c r="DF111" s="4">
        <f>DATE(YEAR(DE111)+2,MONTH(DE111),DAY(DE111)-1)</f>
        <v>46418</v>
      </c>
      <c r="DG111" s="8">
        <f t="shared" ca="1" si="278"/>
        <v>273</v>
      </c>
      <c r="DH111" s="5" t="str">
        <f t="shared" ca="1" si="279"/>
        <v>VIGENTE</v>
      </c>
      <c r="DI111" s="3"/>
      <c r="DJ111" s="39">
        <v>45734</v>
      </c>
      <c r="DK111" s="4">
        <f>DATE(YEAR(DJ111)+2,MONTH(DJ111),DAY(DJ111)-1)</f>
        <v>46463</v>
      </c>
      <c r="DL111" s="8">
        <f t="shared" ca="1" si="280"/>
        <v>318</v>
      </c>
      <c r="DM111" s="5" t="str">
        <f t="shared" ca="1" si="281"/>
        <v>VIGENTE</v>
      </c>
      <c r="DN111" s="3"/>
      <c r="DO111" s="4">
        <v>45577</v>
      </c>
      <c r="DP111" s="4">
        <f>DATE(YEAR(DO111)+2,MONTH(DO111),DAY(DO111)-1)</f>
        <v>46306</v>
      </c>
      <c r="DQ111" s="8">
        <f t="shared" ca="1" si="282"/>
        <v>161</v>
      </c>
      <c r="DR111" s="5" t="str">
        <f t="shared" ca="1" si="283"/>
        <v>VIGENTE</v>
      </c>
      <c r="DS111" s="3"/>
      <c r="DT111" s="4">
        <v>45728</v>
      </c>
      <c r="DU111" s="4">
        <f>DATE(YEAR(DT111)+2,MONTH(DT111),DAY(DT111)-1)</f>
        <v>46457</v>
      </c>
      <c r="DV111" s="8">
        <f t="shared" ca="1" si="284"/>
        <v>312</v>
      </c>
      <c r="DW111" s="5" t="str">
        <f t="shared" ca="1" si="285"/>
        <v>VIGENTE</v>
      </c>
      <c r="DX111" s="3"/>
      <c r="DY111" s="4">
        <v>45751</v>
      </c>
      <c r="DZ111" s="4">
        <f>DATE(YEAR(DY111)+2,MONTH(DY111),DAY(DY111)-1)</f>
        <v>46480</v>
      </c>
      <c r="EA111" s="8">
        <f t="shared" ca="1" si="286"/>
        <v>335</v>
      </c>
      <c r="EB111" s="5" t="str">
        <f t="shared" ca="1" si="287"/>
        <v>VIGENTE</v>
      </c>
      <c r="EC111" s="3"/>
      <c r="ED111" s="39">
        <v>45768</v>
      </c>
      <c r="EE111" s="4">
        <f>DATE(YEAR(ED111)+2,MONTH(ED111),DAY(ED111))</f>
        <v>46498</v>
      </c>
      <c r="EF111" s="8">
        <f t="shared" ca="1" si="288"/>
        <v>353</v>
      </c>
      <c r="EG111" s="5" t="str">
        <f t="shared" ca="1" si="289"/>
        <v>VIGENTE</v>
      </c>
      <c r="EH111" s="3"/>
      <c r="EI111" s="3">
        <v>46002</v>
      </c>
      <c r="EJ111" s="4">
        <f t="shared" si="355"/>
        <v>46367</v>
      </c>
      <c r="EK111" s="8">
        <f t="shared" ca="1" si="290"/>
        <v>222</v>
      </c>
      <c r="EL111" s="5" t="str">
        <f t="shared" ca="1" si="291"/>
        <v>VIGENTE</v>
      </c>
      <c r="EM111" s="3"/>
      <c r="EN111" s="4">
        <v>45660</v>
      </c>
      <c r="EO111" s="4">
        <f>DATE(YEAR(EN111)+2,MONTH(EN111),DAY(EN111)-1)</f>
        <v>46389</v>
      </c>
      <c r="EP111" s="8">
        <f t="shared" ca="1" si="292"/>
        <v>244</v>
      </c>
      <c r="EQ111" s="5" t="str">
        <f t="shared" ca="1" si="293"/>
        <v>VIGENTE</v>
      </c>
      <c r="ER111" s="3"/>
      <c r="ES111" s="39">
        <v>45677</v>
      </c>
      <c r="ET111" s="4">
        <f>DATE(YEAR(ES111)+2,MONTH(ES111),DAY(ES111)-1)</f>
        <v>46406</v>
      </c>
      <c r="EU111" s="8">
        <f t="shared" ca="1" si="294"/>
        <v>261</v>
      </c>
      <c r="EV111" s="5" t="str">
        <f t="shared" ca="1" si="295"/>
        <v>VIGENTE</v>
      </c>
      <c r="EW111" s="3"/>
      <c r="EX111" s="4">
        <v>45953</v>
      </c>
      <c r="EY111" s="4">
        <f t="shared" ref="EY111:EY120" si="424">DATE(YEAR(EX111)+2,MONTH(EX111),DAY(EX111))</f>
        <v>46683</v>
      </c>
      <c r="EZ111" s="8">
        <f t="shared" ca="1" si="296"/>
        <v>538</v>
      </c>
      <c r="FA111" s="5" t="str">
        <f t="shared" ca="1" si="297"/>
        <v>VIGENTE</v>
      </c>
      <c r="FB111" s="3"/>
      <c r="FC111" s="4">
        <v>45951</v>
      </c>
      <c r="FD111" s="4">
        <f>DATE(YEAR(FC111)+2,MONTH(FC111),DAY(FC111))</f>
        <v>46681</v>
      </c>
      <c r="FE111" s="8">
        <f t="shared" ca="1" si="298"/>
        <v>536</v>
      </c>
      <c r="FF111" s="5" t="str">
        <f t="shared" ca="1" si="299"/>
        <v>VIGENTE</v>
      </c>
      <c r="FG111" s="3"/>
      <c r="FH111" s="4">
        <v>45969</v>
      </c>
      <c r="FI111" s="4">
        <f t="shared" ref="FI111:FI120" si="425">DATE(YEAR(FH111)+2,MONTH(FH111),DAY(FH111))</f>
        <v>46699</v>
      </c>
      <c r="FJ111" s="8">
        <f t="shared" ca="1" si="300"/>
        <v>554</v>
      </c>
      <c r="FK111" s="5" t="str">
        <f t="shared" ca="1" si="301"/>
        <v>VIGENTE</v>
      </c>
      <c r="FL111" s="3"/>
      <c r="FM111" s="39">
        <v>45588</v>
      </c>
      <c r="FN111" s="4">
        <f>DATE(YEAR(FM111)+2,MONTH(FM111),DAY(FM111)-1)</f>
        <v>46317</v>
      </c>
      <c r="FO111" s="8">
        <f t="shared" ca="1" si="302"/>
        <v>172</v>
      </c>
      <c r="FP111" s="5" t="str">
        <f t="shared" ca="1" si="303"/>
        <v>VIGENTE</v>
      </c>
      <c r="FQ111" s="3"/>
      <c r="FR111" s="39">
        <v>45664</v>
      </c>
      <c r="FS111" s="4">
        <f>DATE(YEAR(FR111)+2,MONTH(FR111),DAY(FR111)-1)</f>
        <v>46393</v>
      </c>
      <c r="FT111" s="8">
        <f t="shared" ca="1" si="304"/>
        <v>248</v>
      </c>
      <c r="FU111" s="5" t="str">
        <f t="shared" ca="1" si="305"/>
        <v>VIGENTE</v>
      </c>
      <c r="FV111" s="3"/>
      <c r="FW111" s="4">
        <v>45941</v>
      </c>
      <c r="FX111" s="4">
        <f>DATE(YEAR(FW111)+2,MONTH(FW111),DAY(FW111))</f>
        <v>46671</v>
      </c>
      <c r="FY111" s="8">
        <f t="shared" ca="1" si="306"/>
        <v>526</v>
      </c>
      <c r="FZ111" s="5" t="str">
        <f t="shared" ca="1" si="307"/>
        <v>VIGENTE</v>
      </c>
      <c r="GA111" s="3"/>
      <c r="GB111" s="4">
        <v>45667</v>
      </c>
      <c r="GC111" s="4">
        <f>DATE(YEAR(GB111)+2,MONTH(GB111),DAY(GB111)-1)</f>
        <v>46396</v>
      </c>
      <c r="GD111" s="8">
        <f t="shared" ca="1" si="308"/>
        <v>251</v>
      </c>
      <c r="GE111" s="5" t="str">
        <f t="shared" ca="1" si="309"/>
        <v>VIGENTE</v>
      </c>
      <c r="GF111" s="3"/>
      <c r="GG111" s="4">
        <v>45498</v>
      </c>
      <c r="GH111" s="4">
        <f>DATE(YEAR(GG111)+2,MONTH(GG111),DAY(GG111)-1)</f>
        <v>46227</v>
      </c>
      <c r="GI111" s="8">
        <f t="shared" ca="1" si="310"/>
        <v>82</v>
      </c>
      <c r="GJ111" s="5" t="str">
        <f t="shared" ca="1" si="311"/>
        <v>POR VENCER</v>
      </c>
      <c r="GK111" s="3"/>
      <c r="GL111" s="4">
        <v>45633</v>
      </c>
      <c r="GM111" s="4">
        <f>DATE(YEAR(GL111)+2,MONTH(GL111),DAY(GL111)-1)</f>
        <v>46362</v>
      </c>
      <c r="GN111" s="8">
        <f t="shared" ca="1" si="312"/>
        <v>217</v>
      </c>
      <c r="GO111" s="5" t="str">
        <f t="shared" ca="1" si="313"/>
        <v>VIGENTE</v>
      </c>
      <c r="GP111" s="4"/>
      <c r="GQ111" s="4">
        <v>44989</v>
      </c>
      <c r="GR111" s="4">
        <f t="shared" si="314"/>
        <v>46816</v>
      </c>
      <c r="GS111" s="8">
        <f t="shared" ca="1" si="405"/>
        <v>671</v>
      </c>
      <c r="GT111" s="5" t="str">
        <f t="shared" ca="1" si="419"/>
        <v>VIGENTE</v>
      </c>
      <c r="GU111" s="3"/>
      <c r="GV111" s="4">
        <v>45464</v>
      </c>
      <c r="GW111" s="4">
        <f t="shared" si="316"/>
        <v>47290</v>
      </c>
      <c r="GX111" s="8">
        <f t="shared" ca="1" si="317"/>
        <v>1145</v>
      </c>
      <c r="GY111" s="5" t="str">
        <f t="shared" ca="1" si="420"/>
        <v>VIGENTE</v>
      </c>
      <c r="GZ111" s="2"/>
      <c r="HA111" s="4">
        <v>45003</v>
      </c>
      <c r="HB111" s="4">
        <f t="shared" si="319"/>
        <v>46830</v>
      </c>
      <c r="HC111" s="8">
        <f t="shared" ca="1" si="320"/>
        <v>685</v>
      </c>
      <c r="HD111" s="5" t="str">
        <f t="shared" ca="1" si="421"/>
        <v>VIGENTE</v>
      </c>
      <c r="HE111" s="6"/>
      <c r="HF111" s="4">
        <v>44865</v>
      </c>
      <c r="HG111" s="4">
        <f t="shared" si="406"/>
        <v>46691</v>
      </c>
      <c r="HH111" s="8">
        <f t="shared" ca="1" si="407"/>
        <v>546</v>
      </c>
      <c r="HI111" s="5" t="str">
        <f t="shared" ca="1" si="422"/>
        <v>VIGENTE</v>
      </c>
      <c r="HJ111" s="2"/>
      <c r="HK111" s="4">
        <v>45370</v>
      </c>
      <c r="HL111" s="4">
        <f>DATE(YEAR(HK111)+5,MONTH(HK111),DAY(HK111))</f>
        <v>47196</v>
      </c>
      <c r="HM111" s="8">
        <f ca="1">HL111-TODAY()</f>
        <v>1051</v>
      </c>
      <c r="HN111" s="5" t="str">
        <f t="shared" ca="1" si="409"/>
        <v>VIGENTE</v>
      </c>
      <c r="HO111" s="2"/>
      <c r="HP111" s="3">
        <v>45374</v>
      </c>
      <c r="HQ111" s="4">
        <f>DATE(YEAR(HP111)+5,MONTH(HP111),DAY(HP111))</f>
        <v>47200</v>
      </c>
      <c r="HR111" s="8">
        <f ca="1">HQ111-TODAY()</f>
        <v>1055</v>
      </c>
      <c r="HS111" s="5" t="str">
        <f t="shared" ca="1" si="322"/>
        <v>VIGENTE</v>
      </c>
      <c r="HT111" s="2"/>
      <c r="HU111" s="4">
        <v>44990</v>
      </c>
      <c r="HV111" s="4">
        <f>DATE(YEAR(HU111)+5,MONTH(HU111),DAY(HU111))</f>
        <v>46817</v>
      </c>
      <c r="HW111" s="8">
        <f ca="1">HV111-TODAY()</f>
        <v>672</v>
      </c>
      <c r="HX111" s="5" t="str">
        <f t="shared" ca="1" si="323"/>
        <v>VIGENTE</v>
      </c>
      <c r="HY111" s="3"/>
      <c r="HZ111" s="4">
        <v>45475</v>
      </c>
      <c r="IA111" s="4">
        <f>DATE(YEAR(HZ111)+5,MONTH(HZ111),DAY(HZ111))</f>
        <v>47301</v>
      </c>
      <c r="IB111" s="8">
        <f ca="1">IA111-TODAY()</f>
        <v>1156</v>
      </c>
      <c r="IC111" s="5" t="str">
        <f t="shared" ca="1" si="324"/>
        <v>VIGENTE</v>
      </c>
      <c r="ID111" s="3"/>
      <c r="IE111" s="4">
        <v>45470</v>
      </c>
      <c r="IF111" s="4">
        <f>DATE(YEAR(IE111)+5,MONTH(IE111),DAY(IE111))</f>
        <v>47296</v>
      </c>
      <c r="IG111" s="8">
        <f ca="1">IF111-TODAY()</f>
        <v>1151</v>
      </c>
      <c r="IH111" s="5" t="str">
        <f t="shared" ca="1" si="325"/>
        <v>VIGENTE</v>
      </c>
      <c r="II111" s="4"/>
      <c r="IJ111" s="4">
        <v>45452</v>
      </c>
      <c r="IK111" s="4">
        <f>DATE(YEAR(IJ111)+5,MONTH(IJ111),DAY(IJ111))</f>
        <v>47278</v>
      </c>
      <c r="IL111" s="8">
        <f ca="1">IK111-TODAY()</f>
        <v>1133</v>
      </c>
      <c r="IM111" s="5" t="str">
        <f t="shared" ca="1" si="326"/>
        <v>VIGENTE</v>
      </c>
      <c r="IN111" s="3"/>
      <c r="IO111" s="4">
        <v>45460</v>
      </c>
      <c r="IP111" s="4">
        <f>DATE(YEAR(IO111)+5,MONTH(IO111),DAY(IO111))</f>
        <v>47286</v>
      </c>
      <c r="IQ111" s="8">
        <f ca="1">IP111-TODAY()</f>
        <v>1141</v>
      </c>
      <c r="IR111" s="5" t="str">
        <f t="shared" ca="1" si="327"/>
        <v>VIGENTE</v>
      </c>
      <c r="IS111" s="3"/>
      <c r="IT111" s="4">
        <v>45471</v>
      </c>
      <c r="IU111" s="4">
        <f>DATE(YEAR(IT111)+5,MONTH(IT111),DAY(IT111))</f>
        <v>47297</v>
      </c>
      <c r="IV111" s="8">
        <f ca="1">IU111-TODAY()</f>
        <v>1152</v>
      </c>
      <c r="IW111" s="5" t="str">
        <f t="shared" ca="1" si="328"/>
        <v>VIGENTE</v>
      </c>
      <c r="IX111" s="3"/>
      <c r="IY111" s="4">
        <v>45461</v>
      </c>
      <c r="IZ111" s="4">
        <f>DATE(YEAR(IY111)+5,MONTH(IY111),DAY(IY111))</f>
        <v>47287</v>
      </c>
      <c r="JA111" s="8">
        <f ca="1">IZ111-TODAY()</f>
        <v>1142</v>
      </c>
      <c r="JB111" s="5" t="str">
        <f t="shared" ca="1" si="329"/>
        <v>VIGENTE</v>
      </c>
      <c r="JC111" s="3" t="s">
        <v>780</v>
      </c>
      <c r="JD111" s="3"/>
      <c r="JE111" s="4"/>
      <c r="JF111" s="8"/>
      <c r="JG111" s="5"/>
      <c r="JH111" s="3" t="s">
        <v>780</v>
      </c>
      <c r="JI111" s="6"/>
      <c r="JJ111" s="6"/>
      <c r="JK111" s="6"/>
      <c r="JL111" s="5"/>
      <c r="JM111" s="6" t="s">
        <v>780</v>
      </c>
      <c r="JN111" s="6"/>
      <c r="JO111" s="6"/>
      <c r="JP111" s="6"/>
      <c r="JQ111" s="5"/>
      <c r="JR111" s="6" t="s">
        <v>780</v>
      </c>
      <c r="JS111" s="6"/>
      <c r="JT111" s="6"/>
      <c r="JU111" s="6"/>
      <c r="JV111" s="5"/>
      <c r="JW111" s="6" t="s">
        <v>780</v>
      </c>
      <c r="JX111" s="3"/>
      <c r="JY111" s="4"/>
      <c r="JZ111" s="8"/>
      <c r="KA111" s="5"/>
      <c r="KB111" s="5"/>
      <c r="KC111" s="5"/>
      <c r="KD111" s="4"/>
      <c r="KE111" s="8"/>
      <c r="KF111" s="5" t="str">
        <f t="shared" si="330"/>
        <v>NO APLICA</v>
      </c>
      <c r="KG111" s="5"/>
      <c r="KH111" s="5"/>
      <c r="KI111" s="4"/>
      <c r="KJ111" s="8"/>
      <c r="KK111" s="5" t="str">
        <f t="shared" si="356"/>
        <v>NO APLICA</v>
      </c>
      <c r="KL111" s="5"/>
      <c r="KM111" s="5"/>
      <c r="KN111" s="4"/>
      <c r="KO111" s="8"/>
      <c r="KP111" s="5" t="str">
        <f t="shared" si="331"/>
        <v>NO APLICA</v>
      </c>
      <c r="KQ111" s="5"/>
      <c r="KR111" s="3">
        <v>45346</v>
      </c>
      <c r="KS111" s="4">
        <f>DATE(YEAR(KR111)+5,MONTH(KR111),DAY(KR111))</f>
        <v>47173</v>
      </c>
      <c r="KT111" s="8">
        <f ca="1">KS111-TODAY()</f>
        <v>1028</v>
      </c>
      <c r="KU111" s="5" t="str">
        <f t="shared" ca="1" si="357"/>
        <v>VIGENTE</v>
      </c>
      <c r="KV111" s="4"/>
      <c r="KW111" s="4">
        <v>44656</v>
      </c>
      <c r="KX111" s="4">
        <f>DATE(YEAR(KW111)+5,MONTH(KW111),DAY(KW111))</f>
        <v>46482</v>
      </c>
      <c r="KY111" s="8">
        <f ca="1">KX111-TODAY()</f>
        <v>337</v>
      </c>
      <c r="KZ111" s="5" t="str">
        <f t="shared" ca="1" si="366"/>
        <v>VIGENTE</v>
      </c>
      <c r="LA111" s="5"/>
      <c r="LB111" s="6"/>
      <c r="LC111" s="4"/>
      <c r="LD111" s="8"/>
      <c r="LE111" s="5" t="str">
        <f t="shared" si="358"/>
        <v>NO APLICA</v>
      </c>
      <c r="LF111" s="4"/>
      <c r="LG111" s="4"/>
      <c r="LH111" s="4"/>
      <c r="LI111" s="8"/>
      <c r="LJ111" s="5" t="str">
        <f t="shared" si="332"/>
        <v>NO APLICA</v>
      </c>
      <c r="LK111" s="5"/>
      <c r="LL111" s="5"/>
      <c r="LM111" s="4"/>
      <c r="LN111" s="8"/>
      <c r="LO111" s="5" t="str">
        <f t="shared" si="367"/>
        <v>NO APLICA</v>
      </c>
      <c r="LP111" s="5"/>
      <c r="LQ111" s="6"/>
      <c r="LR111" s="4"/>
      <c r="LS111" s="8"/>
      <c r="LT111" s="5" t="str">
        <f t="shared" si="359"/>
        <v>NO APLICA</v>
      </c>
      <c r="LU111" s="6"/>
      <c r="LV111" s="6"/>
      <c r="LW111" s="4"/>
      <c r="LX111" s="8"/>
      <c r="LY111" s="5" t="str">
        <f t="shared" si="360"/>
        <v>NO APLICA</v>
      </c>
      <c r="LZ111" s="6"/>
      <c r="MA111" s="6"/>
      <c r="MB111" s="4"/>
      <c r="MC111" s="8"/>
      <c r="MD111" s="5" t="str">
        <f t="shared" si="361"/>
        <v>NO APLICA</v>
      </c>
      <c r="ME111" s="5"/>
      <c r="MF111" s="5"/>
      <c r="MG111" s="4"/>
      <c r="MH111" s="8"/>
      <c r="MI111" s="5" t="str">
        <f t="shared" si="333"/>
        <v>NO APLICA</v>
      </c>
      <c r="MJ111" s="5"/>
      <c r="MK111" s="5"/>
      <c r="ML111" s="4"/>
      <c r="MM111" s="8"/>
      <c r="MN111" s="5" t="str">
        <f t="shared" si="334"/>
        <v>NO APLICA</v>
      </c>
      <c r="MO111" s="5"/>
      <c r="MP111" s="3">
        <v>45154</v>
      </c>
      <c r="MQ111" s="4">
        <f>DATE(YEAR(MP111)+5,MONTH(MP111),DAY(MP111))</f>
        <v>46981</v>
      </c>
      <c r="MR111" s="8">
        <f ca="1">MQ111-TODAY()</f>
        <v>836</v>
      </c>
      <c r="MS111" s="5" t="str">
        <f t="shared" ca="1" si="335"/>
        <v>VIGENTE</v>
      </c>
      <c r="MT111" s="5"/>
      <c r="MU111" s="3">
        <v>45155</v>
      </c>
      <c r="MV111" s="4">
        <f>DATE(YEAR(MU111)+5,MONTH(MU111),DAY(MU111))</f>
        <v>46982</v>
      </c>
      <c r="MW111" s="8">
        <f ca="1">MV111-TODAY()</f>
        <v>837</v>
      </c>
      <c r="MX111" s="5" t="str">
        <f t="shared" ca="1" si="336"/>
        <v>VIGENTE</v>
      </c>
      <c r="MY111" s="5"/>
      <c r="MZ111" s="6"/>
      <c r="NA111" s="4"/>
      <c r="NB111" s="8"/>
      <c r="NC111" s="5" t="str">
        <f t="shared" si="337"/>
        <v>NO APLICA</v>
      </c>
      <c r="ND111" s="5"/>
      <c r="NE111" s="6"/>
      <c r="NF111" s="4"/>
      <c r="NG111" s="8"/>
      <c r="NH111" s="5" t="str">
        <f t="shared" si="338"/>
        <v>NO APLICA</v>
      </c>
      <c r="NI111" s="5"/>
      <c r="NJ111" s="6"/>
      <c r="NK111" s="4"/>
      <c r="NL111" s="8"/>
      <c r="NM111" s="5" t="str">
        <f t="shared" si="339"/>
        <v>NO APLICA</v>
      </c>
      <c r="NN111" s="5"/>
      <c r="NO111" s="5"/>
      <c r="NP111" s="4"/>
      <c r="NQ111" s="8"/>
      <c r="NR111" s="5" t="str">
        <f t="shared" si="340"/>
        <v>NO APLICA</v>
      </c>
      <c r="NS111" s="5"/>
      <c r="NT111" s="5"/>
      <c r="NU111" s="5"/>
      <c r="NV111" s="5"/>
      <c r="NW111" s="5" t="str">
        <f t="shared" si="341"/>
        <v>NO APLICA</v>
      </c>
      <c r="NX111" s="6"/>
      <c r="NY111" s="6"/>
      <c r="NZ111" s="4"/>
      <c r="OA111" s="8"/>
      <c r="OB111" s="5" t="str">
        <f t="shared" si="342"/>
        <v>NO APLICA</v>
      </c>
      <c r="OC111" s="6"/>
      <c r="OD111" s="6"/>
      <c r="OE111" s="6"/>
      <c r="OF111" s="6"/>
      <c r="OG111" s="5" t="str">
        <f t="shared" si="343"/>
        <v>NO APLICA</v>
      </c>
      <c r="OH111" s="5"/>
      <c r="OI111" s="5"/>
      <c r="OJ111" s="4"/>
      <c r="OK111" s="8"/>
      <c r="OL111" s="5" t="str">
        <f t="shared" si="344"/>
        <v>NO APLICA</v>
      </c>
      <c r="OM111" s="6"/>
      <c r="ON111" s="6"/>
      <c r="OO111" s="6"/>
      <c r="OP111" s="6"/>
      <c r="OQ111" s="5" t="str">
        <f t="shared" si="345"/>
        <v>NO APLICA</v>
      </c>
      <c r="OR111" s="6"/>
      <c r="OS111" s="6"/>
      <c r="OT111" s="6"/>
      <c r="OU111" s="6"/>
      <c r="OV111" s="5" t="str">
        <f t="shared" si="346"/>
        <v>NO APLICA</v>
      </c>
      <c r="OW111" s="6"/>
      <c r="OX111" s="6"/>
      <c r="OY111" s="6"/>
      <c r="OZ111" s="6"/>
      <c r="PA111" s="5" t="str">
        <f t="shared" si="347"/>
        <v>NO APLICA</v>
      </c>
      <c r="PB111" s="6"/>
      <c r="PC111" s="6"/>
      <c r="PD111" s="6"/>
      <c r="PE111" s="6"/>
      <c r="PF111" s="5" t="str">
        <f t="shared" si="348"/>
        <v>NO APLICA</v>
      </c>
      <c r="PG111" s="6"/>
      <c r="PH111" s="6"/>
      <c r="PI111" s="6"/>
      <c r="PJ111" s="6"/>
      <c r="PK111" s="5" t="str">
        <f t="shared" si="349"/>
        <v>NO APLICA</v>
      </c>
      <c r="PL111" s="5"/>
      <c r="PM111" s="6"/>
      <c r="PN111" s="4"/>
      <c r="PO111" s="8"/>
      <c r="PP111" s="5" t="str">
        <f t="shared" si="350"/>
        <v>NO APLICA</v>
      </c>
      <c r="PQ111" s="6"/>
      <c r="PR111" s="6"/>
      <c r="PS111" s="6"/>
      <c r="PT111" s="6"/>
      <c r="PU111" s="5" t="str">
        <f t="shared" si="351"/>
        <v>NO APLICA</v>
      </c>
      <c r="PV111" s="5"/>
      <c r="PW111" s="6"/>
      <c r="PX111" s="6"/>
      <c r="PY111" s="6"/>
      <c r="PZ111" s="5" t="str">
        <f t="shared" si="352"/>
        <v>NO APLICA</v>
      </c>
    </row>
    <row r="112" spans="1:442" ht="15.6" hidden="1" thickTop="1" thickBot="1" x14ac:dyDescent="0.35">
      <c r="A112" s="26">
        <v>109</v>
      </c>
      <c r="B112" s="27">
        <v>1594</v>
      </c>
      <c r="C112" s="28" t="s">
        <v>376</v>
      </c>
      <c r="D112" s="29" t="s">
        <v>64</v>
      </c>
      <c r="E112" s="30" t="s">
        <v>377</v>
      </c>
      <c r="F112" s="5"/>
      <c r="G112" s="6"/>
      <c r="H112" s="4"/>
      <c r="I112" s="8"/>
      <c r="J112" s="5" t="str">
        <f t="shared" si="242"/>
        <v>NO APLICA</v>
      </c>
      <c r="K112" s="2"/>
      <c r="L112" s="6"/>
      <c r="M112" s="6"/>
      <c r="N112" s="8"/>
      <c r="O112" s="5" t="str">
        <f t="shared" si="243"/>
        <v>NO APLICA</v>
      </c>
      <c r="P112" s="4"/>
      <c r="Q112" s="4">
        <v>45597</v>
      </c>
      <c r="R112" s="4">
        <f>DATE(YEAR(Q112)+2,MONTH(Q112),DAY(Q112)-1)</f>
        <v>46326</v>
      </c>
      <c r="S112" s="8">
        <f ca="1">R112-TODAY()</f>
        <v>181</v>
      </c>
      <c r="T112" s="5" t="str">
        <f t="shared" ca="1" si="353"/>
        <v>VIGENTE</v>
      </c>
      <c r="U112" s="5"/>
      <c r="V112" s="2" t="s">
        <v>378</v>
      </c>
      <c r="W112" s="4">
        <v>44590</v>
      </c>
      <c r="X112" s="4">
        <f t="shared" si="410"/>
        <v>46416</v>
      </c>
      <c r="Y112" s="8">
        <f t="shared" ca="1" si="411"/>
        <v>271</v>
      </c>
      <c r="Z112" s="5" t="str">
        <f t="shared" ca="1" si="412"/>
        <v>VIGENTE</v>
      </c>
      <c r="AA112" s="5"/>
      <c r="AB112" s="2" t="s">
        <v>379</v>
      </c>
      <c r="AC112" s="4">
        <v>45190</v>
      </c>
      <c r="AD112" s="4">
        <f t="shared" si="413"/>
        <v>47017</v>
      </c>
      <c r="AE112" s="8">
        <f t="shared" ca="1" si="414"/>
        <v>872</v>
      </c>
      <c r="AF112" s="5" t="str">
        <f t="shared" ca="1" si="247"/>
        <v>VIGENTE</v>
      </c>
      <c r="AG112" s="2"/>
      <c r="AH112" s="4">
        <v>45936</v>
      </c>
      <c r="AI112" s="4">
        <f>DATE(YEAR(AH112)+2,MONTH(AH112),DAY(AH112))</f>
        <v>46666</v>
      </c>
      <c r="AJ112" s="8">
        <f t="shared" ca="1" si="248"/>
        <v>521</v>
      </c>
      <c r="AK112" s="5" t="str">
        <f t="shared" ca="1" si="408"/>
        <v>VIGENTE</v>
      </c>
      <c r="AL112" s="2"/>
      <c r="AM112" s="4">
        <v>45937</v>
      </c>
      <c r="AN112" s="4">
        <f t="shared" si="415"/>
        <v>46667</v>
      </c>
      <c r="AO112" s="8">
        <f t="shared" ca="1" si="249"/>
        <v>522</v>
      </c>
      <c r="AP112" s="5" t="str">
        <f t="shared" ca="1" si="250"/>
        <v>VIGENTE</v>
      </c>
      <c r="AQ112" s="3"/>
      <c r="AR112" s="4">
        <v>45967</v>
      </c>
      <c r="AS112" s="4">
        <f>DATE(YEAR(AR112)+2,MONTH(AR112),DAY(AR112))</f>
        <v>46697</v>
      </c>
      <c r="AT112" s="8">
        <f t="shared" ca="1" si="251"/>
        <v>552</v>
      </c>
      <c r="AU112" s="5" t="str">
        <f t="shared" ca="1" si="252"/>
        <v>VIGENTE</v>
      </c>
      <c r="AV112" s="2"/>
      <c r="AW112" s="4">
        <v>45927</v>
      </c>
      <c r="AX112" s="4">
        <f>DATE(YEAR(AW112)+2,MONTH(AW112),DAY(AW112))</f>
        <v>46657</v>
      </c>
      <c r="AY112" s="8">
        <f t="shared" ca="1" si="253"/>
        <v>512</v>
      </c>
      <c r="AZ112" s="5" t="str">
        <f t="shared" ca="1" si="254"/>
        <v>VIGENTE</v>
      </c>
      <c r="BA112" s="3"/>
      <c r="BB112" s="4">
        <v>46041</v>
      </c>
      <c r="BC112" s="4">
        <f>DATE(YEAR(BB112)+2,MONTH(BB112),DAY(BB112))</f>
        <v>46771</v>
      </c>
      <c r="BD112" s="8">
        <f t="shared" ca="1" si="255"/>
        <v>626</v>
      </c>
      <c r="BE112" s="5" t="str">
        <f t="shared" ca="1" si="256"/>
        <v>VIGENTE</v>
      </c>
      <c r="BF112" s="3"/>
      <c r="BG112" s="4">
        <v>45968</v>
      </c>
      <c r="BH112" s="4">
        <f>DATE(YEAR(BG112)+2,MONTH(BG112),DAY(BG112))</f>
        <v>46698</v>
      </c>
      <c r="BI112" s="8">
        <f t="shared" ca="1" si="257"/>
        <v>553</v>
      </c>
      <c r="BJ112" s="5" t="str">
        <f t="shared" ca="1" si="258"/>
        <v>VIGENTE</v>
      </c>
      <c r="BK112" s="3"/>
      <c r="BL112" s="4">
        <v>46017</v>
      </c>
      <c r="BM112" s="4">
        <f>DATE(YEAR(BL112)+2,MONTH(BL112),DAY(BL112))</f>
        <v>46747</v>
      </c>
      <c r="BN112" s="8">
        <f t="shared" ca="1" si="259"/>
        <v>602</v>
      </c>
      <c r="BO112" s="5" t="str">
        <f t="shared" ca="1" si="260"/>
        <v>VIGENTE</v>
      </c>
      <c r="BP112" s="4"/>
      <c r="BQ112" s="39">
        <v>45981</v>
      </c>
      <c r="BR112" s="4">
        <f>DATE(YEAR(BQ112)+2,MONTH(BQ112),DAY(BQ112))</f>
        <v>46711</v>
      </c>
      <c r="BS112" s="8">
        <f t="shared" ca="1" si="261"/>
        <v>566</v>
      </c>
      <c r="BT112" s="5" t="str">
        <f t="shared" ca="1" si="262"/>
        <v>VIGENTE</v>
      </c>
      <c r="BU112" s="3"/>
      <c r="BV112" s="4">
        <v>46031</v>
      </c>
      <c r="BW112" s="4">
        <f>DATE(YEAR(BV112)+2,MONTH(BV112),DAY(BV112))</f>
        <v>46761</v>
      </c>
      <c r="BX112" s="8">
        <f t="shared" ca="1" si="263"/>
        <v>616</v>
      </c>
      <c r="BY112" s="5" t="str">
        <f t="shared" ca="1" si="264"/>
        <v>VIGENTE</v>
      </c>
      <c r="BZ112" s="2"/>
      <c r="CA112" s="4">
        <v>45986</v>
      </c>
      <c r="CB112" s="4">
        <f t="shared" si="423"/>
        <v>46716</v>
      </c>
      <c r="CC112" s="8">
        <f t="shared" ca="1" si="265"/>
        <v>571</v>
      </c>
      <c r="CD112" s="5" t="str">
        <f t="shared" ca="1" si="266"/>
        <v>VIGENTE</v>
      </c>
      <c r="CE112" s="6"/>
      <c r="CF112" s="4">
        <v>46134</v>
      </c>
      <c r="CG112" s="4">
        <f t="shared" si="416"/>
        <v>47595</v>
      </c>
      <c r="CH112" s="8">
        <f t="shared" ca="1" si="417"/>
        <v>1450</v>
      </c>
      <c r="CI112" s="5" t="str">
        <f t="shared" ca="1" si="418"/>
        <v>VIGENTE</v>
      </c>
      <c r="CJ112" s="4"/>
      <c r="CK112" s="4">
        <v>46018</v>
      </c>
      <c r="CL112" s="4">
        <f>DATE(YEAR(CK112)+2,MONTH(CK112),DAY(CK112))</f>
        <v>46748</v>
      </c>
      <c r="CM112" s="8">
        <f t="shared" ca="1" si="270"/>
        <v>603</v>
      </c>
      <c r="CN112" s="5" t="str">
        <f t="shared" ca="1" si="271"/>
        <v>VIGENTE</v>
      </c>
      <c r="CO112" s="4"/>
      <c r="CP112" s="39">
        <v>45979</v>
      </c>
      <c r="CQ112" s="4">
        <f>DATE(YEAR(CP112)+2,MONTH(CP112),DAY(CP112))</f>
        <v>46709</v>
      </c>
      <c r="CR112" s="8">
        <f t="shared" ca="1" si="272"/>
        <v>564</v>
      </c>
      <c r="CS112" s="5" t="str">
        <f t="shared" ca="1" si="273"/>
        <v>VIGENTE</v>
      </c>
      <c r="CT112" s="2"/>
      <c r="CU112" s="4">
        <v>45905</v>
      </c>
      <c r="CV112" s="4">
        <f>DATE(YEAR(CU112)+2,MONTH(CU112),DAY(CU112))</f>
        <v>46635</v>
      </c>
      <c r="CW112" s="8">
        <f t="shared" ca="1" si="274"/>
        <v>490</v>
      </c>
      <c r="CX112" s="5" t="str">
        <f t="shared" ca="1" si="275"/>
        <v>VIGENTE</v>
      </c>
      <c r="CY112" s="3"/>
      <c r="CZ112" s="4">
        <v>46000</v>
      </c>
      <c r="DA112" s="4">
        <f>DATE(YEAR(CZ112)+2,MONTH(CZ112),DAY(CZ112))</f>
        <v>46730</v>
      </c>
      <c r="DB112" s="8">
        <f t="shared" ca="1" si="276"/>
        <v>585</v>
      </c>
      <c r="DC112" s="5" t="str">
        <f t="shared" ca="1" si="277"/>
        <v>VIGENTE</v>
      </c>
      <c r="DD112" s="3"/>
      <c r="DE112" s="39">
        <v>45996</v>
      </c>
      <c r="DF112" s="4">
        <f>DATE(YEAR(DE112)+2,MONTH(DE112),DAY(DE112))</f>
        <v>46726</v>
      </c>
      <c r="DG112" s="8">
        <f t="shared" ca="1" si="278"/>
        <v>581</v>
      </c>
      <c r="DH112" s="5" t="str">
        <f t="shared" ca="1" si="279"/>
        <v>VIGENTE</v>
      </c>
      <c r="DI112" s="4"/>
      <c r="DJ112" s="39">
        <v>45975</v>
      </c>
      <c r="DK112" s="4">
        <f>DATE(YEAR(DJ112)+2,MONTH(DJ112),DAY(DJ112))</f>
        <v>46705</v>
      </c>
      <c r="DL112" s="8">
        <f t="shared" ca="1" si="280"/>
        <v>560</v>
      </c>
      <c r="DM112" s="5" t="str">
        <f t="shared" ca="1" si="281"/>
        <v>VIGENTE</v>
      </c>
      <c r="DN112" s="3"/>
      <c r="DO112" s="4">
        <v>45982</v>
      </c>
      <c r="DP112" s="4">
        <f>DATE(YEAR(DO112)+2,MONTH(DO112),DAY(DO112))</f>
        <v>46712</v>
      </c>
      <c r="DQ112" s="8">
        <f t="shared" ca="1" si="282"/>
        <v>567</v>
      </c>
      <c r="DR112" s="5" t="str">
        <f t="shared" ca="1" si="283"/>
        <v>VIGENTE</v>
      </c>
      <c r="DS112" s="4"/>
      <c r="DT112" s="3">
        <v>46009</v>
      </c>
      <c r="DU112" s="4">
        <f>DATE(YEAR(DT112)+2,MONTH(DT112),DAY(DT112))</f>
        <v>46739</v>
      </c>
      <c r="DV112" s="8">
        <f t="shared" ca="1" si="284"/>
        <v>594</v>
      </c>
      <c r="DW112" s="5" t="str">
        <f t="shared" ca="1" si="285"/>
        <v>VIGENTE</v>
      </c>
      <c r="DX112" s="4"/>
      <c r="DY112" s="4">
        <v>46032</v>
      </c>
      <c r="DZ112" s="4">
        <f>DATE(YEAR(DY112)+2,MONTH(DY112),DAY(DY112))</f>
        <v>46762</v>
      </c>
      <c r="EA112" s="8">
        <f t="shared" ca="1" si="286"/>
        <v>617</v>
      </c>
      <c r="EB112" s="5" t="str">
        <f t="shared" ca="1" si="287"/>
        <v>VIGENTE</v>
      </c>
      <c r="EC112" s="4"/>
      <c r="ED112" s="39">
        <v>45994</v>
      </c>
      <c r="EE112" s="4">
        <f>DATE(YEAR(ED112)+2,MONTH(ED112),DAY(ED112))</f>
        <v>46724</v>
      </c>
      <c r="EF112" s="8">
        <f t="shared" ca="1" si="288"/>
        <v>579</v>
      </c>
      <c r="EG112" s="5" t="str">
        <f t="shared" ca="1" si="289"/>
        <v>VIGENTE</v>
      </c>
      <c r="EH112" s="3"/>
      <c r="EI112" s="3">
        <v>46015</v>
      </c>
      <c r="EJ112" s="4">
        <f t="shared" si="355"/>
        <v>46380</v>
      </c>
      <c r="EK112" s="8">
        <f t="shared" ca="1" si="290"/>
        <v>235</v>
      </c>
      <c r="EL112" s="5" t="str">
        <f t="shared" ca="1" si="291"/>
        <v>VIGENTE</v>
      </c>
      <c r="EM112" s="3"/>
      <c r="EN112" s="4">
        <v>45983</v>
      </c>
      <c r="EO112" s="4">
        <f>DATE(YEAR(EN112)+2,MONTH(EN112),DAY(EN112))</f>
        <v>46713</v>
      </c>
      <c r="EP112" s="8">
        <f t="shared" ca="1" si="292"/>
        <v>568</v>
      </c>
      <c r="EQ112" s="5" t="str">
        <f t="shared" ca="1" si="293"/>
        <v>VIGENTE</v>
      </c>
      <c r="ER112" s="2"/>
      <c r="ES112" s="39">
        <v>45999</v>
      </c>
      <c r="ET112" s="4">
        <f>DATE(YEAR(ES112)+2,MONTH(ES112),DAY(ES112))</f>
        <v>46729</v>
      </c>
      <c r="EU112" s="8">
        <f t="shared" ca="1" si="294"/>
        <v>584</v>
      </c>
      <c r="EV112" s="5" t="str">
        <f t="shared" ca="1" si="295"/>
        <v>VIGENTE</v>
      </c>
      <c r="EW112" s="3"/>
      <c r="EX112" s="4">
        <v>46037</v>
      </c>
      <c r="EY112" s="4">
        <f t="shared" si="424"/>
        <v>46767</v>
      </c>
      <c r="EZ112" s="8">
        <f t="shared" ca="1" si="296"/>
        <v>622</v>
      </c>
      <c r="FA112" s="5" t="str">
        <f t="shared" ca="1" si="297"/>
        <v>VIGENTE</v>
      </c>
      <c r="FB112" s="2"/>
      <c r="FC112" s="4">
        <v>45988</v>
      </c>
      <c r="FD112" s="4">
        <f>DATE(YEAR(FC112)+2,MONTH(FC112),DAY(FC112))</f>
        <v>46718</v>
      </c>
      <c r="FE112" s="8">
        <f t="shared" ca="1" si="298"/>
        <v>573</v>
      </c>
      <c r="FF112" s="5" t="str">
        <f t="shared" ca="1" si="299"/>
        <v>VIGENTE</v>
      </c>
      <c r="FG112" s="3"/>
      <c r="FH112" s="4">
        <v>45962</v>
      </c>
      <c r="FI112" s="4">
        <f t="shared" si="425"/>
        <v>46692</v>
      </c>
      <c r="FJ112" s="8">
        <f t="shared" ca="1" si="300"/>
        <v>547</v>
      </c>
      <c r="FK112" s="5" t="str">
        <f t="shared" ca="1" si="301"/>
        <v>VIGENTE</v>
      </c>
      <c r="FL112" s="4"/>
      <c r="FM112" s="39">
        <v>46039</v>
      </c>
      <c r="FN112" s="4">
        <f>DATE(YEAR(FM112)+2,MONTH(FM112),DAY(FM112))</f>
        <v>46769</v>
      </c>
      <c r="FO112" s="8">
        <f t="shared" ca="1" si="302"/>
        <v>624</v>
      </c>
      <c r="FP112" s="5" t="str">
        <f t="shared" ca="1" si="303"/>
        <v>VIGENTE</v>
      </c>
      <c r="FQ112" s="4"/>
      <c r="FR112" s="39">
        <v>46034</v>
      </c>
      <c r="FS112" s="4">
        <f>DATE(YEAR(FR112)+2,MONTH(FR112),DAY(FR112))</f>
        <v>46764</v>
      </c>
      <c r="FT112" s="8">
        <f t="shared" ca="1" si="304"/>
        <v>619</v>
      </c>
      <c r="FU112" s="5" t="str">
        <f t="shared" ca="1" si="305"/>
        <v>VIGENTE</v>
      </c>
      <c r="FV112" s="4"/>
      <c r="FW112" s="4">
        <v>46004</v>
      </c>
      <c r="FX112" s="4">
        <f>DATE(YEAR(FW112)+2,MONTH(FW112),DAY(FW112))</f>
        <v>46734</v>
      </c>
      <c r="FY112" s="8">
        <f t="shared" ca="1" si="306"/>
        <v>589</v>
      </c>
      <c r="FZ112" s="5" t="str">
        <f t="shared" ca="1" si="307"/>
        <v>VIGENTE</v>
      </c>
      <c r="GA112" s="3"/>
      <c r="GB112" s="4">
        <v>45925</v>
      </c>
      <c r="GC112" s="4">
        <f>DATE(YEAR(GB112)+2,MONTH(GB112),DAY(GB112))</f>
        <v>46655</v>
      </c>
      <c r="GD112" s="8">
        <f t="shared" ca="1" si="308"/>
        <v>510</v>
      </c>
      <c r="GE112" s="5" t="str">
        <f t="shared" ca="1" si="309"/>
        <v>VIGENTE</v>
      </c>
      <c r="GF112" s="3"/>
      <c r="GG112" s="4">
        <v>45960</v>
      </c>
      <c r="GH112" s="4">
        <f>DATE(YEAR(GG112)+2,MONTH(GG112),DAY(GG112))</f>
        <v>46690</v>
      </c>
      <c r="GI112" s="8">
        <f t="shared" ca="1" si="310"/>
        <v>545</v>
      </c>
      <c r="GJ112" s="5" t="str">
        <f t="shared" ca="1" si="311"/>
        <v>VIGENTE</v>
      </c>
      <c r="GK112" s="3"/>
      <c r="GL112" s="4">
        <v>46044</v>
      </c>
      <c r="GM112" s="4">
        <f>DATE(YEAR(GL112)+2,MONTH(GL112),DAY(GL112))</f>
        <v>46774</v>
      </c>
      <c r="GN112" s="8">
        <f t="shared" ca="1" si="312"/>
        <v>629</v>
      </c>
      <c r="GO112" s="5" t="str">
        <f t="shared" ca="1" si="313"/>
        <v>VIGENTE</v>
      </c>
      <c r="GP112" s="4"/>
      <c r="GQ112" s="4">
        <v>45299</v>
      </c>
      <c r="GR112" s="4">
        <f t="shared" si="314"/>
        <v>47126</v>
      </c>
      <c r="GS112" s="8">
        <f t="shared" ca="1" si="405"/>
        <v>981</v>
      </c>
      <c r="GT112" s="5" t="str">
        <f t="shared" ca="1" si="419"/>
        <v>VIGENTE</v>
      </c>
      <c r="GU112" s="3"/>
      <c r="GV112" s="4">
        <v>45329</v>
      </c>
      <c r="GW112" s="4">
        <f t="shared" si="316"/>
        <v>47156</v>
      </c>
      <c r="GX112" s="8">
        <f t="shared" ca="1" si="317"/>
        <v>1011</v>
      </c>
      <c r="GY112" s="5" t="str">
        <f t="shared" ca="1" si="420"/>
        <v>VIGENTE</v>
      </c>
      <c r="GZ112" s="2"/>
      <c r="HA112" s="4">
        <v>45343</v>
      </c>
      <c r="HB112" s="4">
        <f t="shared" si="319"/>
        <v>47170</v>
      </c>
      <c r="HC112" s="8">
        <f t="shared" ca="1" si="320"/>
        <v>1025</v>
      </c>
      <c r="HD112" s="5" t="str">
        <f t="shared" ca="1" si="421"/>
        <v>VIGENTE</v>
      </c>
      <c r="HE112" s="6"/>
      <c r="HF112" s="4">
        <v>45317</v>
      </c>
      <c r="HG112" s="4">
        <f t="shared" si="406"/>
        <v>47144</v>
      </c>
      <c r="HH112" s="8">
        <f t="shared" ca="1" si="407"/>
        <v>999</v>
      </c>
      <c r="HI112" s="5" t="str">
        <f t="shared" ca="1" si="422"/>
        <v>VIGENTE</v>
      </c>
      <c r="HJ112" s="2"/>
      <c r="HK112" s="6"/>
      <c r="HL112" s="4"/>
      <c r="HM112" s="8"/>
      <c r="HN112" s="5" t="str">
        <f t="shared" si="409"/>
        <v>NO APLICA</v>
      </c>
      <c r="HO112" s="2"/>
      <c r="HP112" s="2"/>
      <c r="HQ112" s="4"/>
      <c r="HR112" s="2"/>
      <c r="HS112" s="5" t="str">
        <f t="shared" si="322"/>
        <v>NO APLICA</v>
      </c>
      <c r="HT112" s="2"/>
      <c r="HU112" s="6"/>
      <c r="HV112" s="4"/>
      <c r="HW112" s="8"/>
      <c r="HX112" s="5" t="str">
        <f t="shared" si="323"/>
        <v>NO APLICA</v>
      </c>
      <c r="HY112" s="2"/>
      <c r="HZ112" s="6"/>
      <c r="IA112" s="4"/>
      <c r="IB112" s="8"/>
      <c r="IC112" s="5" t="str">
        <f t="shared" si="324"/>
        <v>NO APLICA</v>
      </c>
      <c r="ID112" s="2"/>
      <c r="IE112" s="6"/>
      <c r="IF112" s="4"/>
      <c r="IG112" s="8"/>
      <c r="IH112" s="5" t="str">
        <f t="shared" si="325"/>
        <v>NO APLICA</v>
      </c>
      <c r="II112" s="6"/>
      <c r="IJ112" s="6"/>
      <c r="IK112" s="4"/>
      <c r="IL112" s="8"/>
      <c r="IM112" s="5" t="str">
        <f t="shared" si="326"/>
        <v>NO APLICA</v>
      </c>
      <c r="IN112" s="2"/>
      <c r="IO112" s="6"/>
      <c r="IP112" s="4"/>
      <c r="IQ112" s="8"/>
      <c r="IR112" s="5" t="str">
        <f t="shared" si="327"/>
        <v>NO APLICA</v>
      </c>
      <c r="IS112" s="2"/>
      <c r="IT112" s="6"/>
      <c r="IU112" s="4"/>
      <c r="IV112" s="8"/>
      <c r="IW112" s="5" t="str">
        <f t="shared" si="328"/>
        <v>NO APLICA</v>
      </c>
      <c r="IX112" s="2"/>
      <c r="IY112" s="6"/>
      <c r="IZ112" s="4"/>
      <c r="JA112" s="8"/>
      <c r="JB112" s="5" t="str">
        <f t="shared" si="329"/>
        <v>NO APLICA</v>
      </c>
      <c r="JC112" s="3" t="s">
        <v>780</v>
      </c>
      <c r="JD112" s="3"/>
      <c r="JE112" s="4"/>
      <c r="JF112" s="8"/>
      <c r="JG112" s="5"/>
      <c r="JH112" s="3" t="s">
        <v>780</v>
      </c>
      <c r="JI112" s="6"/>
      <c r="JJ112" s="6"/>
      <c r="JK112" s="6"/>
      <c r="JL112" s="5"/>
      <c r="JM112" s="6" t="s">
        <v>780</v>
      </c>
      <c r="JN112" s="6"/>
      <c r="JO112" s="6"/>
      <c r="JP112" s="6"/>
      <c r="JQ112" s="5"/>
      <c r="JR112" s="6" t="s">
        <v>780</v>
      </c>
      <c r="JS112" s="6"/>
      <c r="JT112" s="6"/>
      <c r="JU112" s="6"/>
      <c r="JV112" s="5"/>
      <c r="JW112" s="6" t="s">
        <v>780</v>
      </c>
      <c r="JX112" s="5"/>
      <c r="JY112" s="5"/>
      <c r="JZ112" s="5"/>
      <c r="KA112" s="5"/>
      <c r="KB112" s="5"/>
      <c r="KC112" s="2"/>
      <c r="KD112" s="4"/>
      <c r="KE112" s="8"/>
      <c r="KF112" s="5" t="str">
        <f t="shared" si="330"/>
        <v>NO APLICA</v>
      </c>
      <c r="KG112" s="5"/>
      <c r="KH112" s="2"/>
      <c r="KI112" s="4"/>
      <c r="KJ112" s="8"/>
      <c r="KK112" s="5" t="str">
        <f t="shared" si="356"/>
        <v>NO APLICA</v>
      </c>
      <c r="KL112" s="5"/>
      <c r="KM112" s="2"/>
      <c r="KN112" s="4"/>
      <c r="KO112" s="8"/>
      <c r="KP112" s="5" t="str">
        <f t="shared" si="331"/>
        <v>NO APLICA</v>
      </c>
      <c r="KQ112" s="5"/>
      <c r="KR112" s="2"/>
      <c r="KS112" s="4"/>
      <c r="KT112" s="8"/>
      <c r="KU112" s="5" t="str">
        <f t="shared" si="357"/>
        <v>NO APLICA</v>
      </c>
      <c r="KV112" s="2"/>
      <c r="KW112" s="6"/>
      <c r="KX112" s="4"/>
      <c r="KY112" s="8"/>
      <c r="KZ112" s="5" t="str">
        <f t="shared" si="366"/>
        <v>NO APLICA</v>
      </c>
      <c r="LA112" s="5"/>
      <c r="LB112" s="6"/>
      <c r="LC112" s="4"/>
      <c r="LD112" s="8"/>
      <c r="LE112" s="5" t="str">
        <f t="shared" si="358"/>
        <v>NO APLICA</v>
      </c>
      <c r="LF112" s="6"/>
      <c r="LG112" s="6"/>
      <c r="LH112" s="4"/>
      <c r="LI112" s="8"/>
      <c r="LJ112" s="5" t="str">
        <f t="shared" si="332"/>
        <v>NO APLICA</v>
      </c>
      <c r="LK112" s="5"/>
      <c r="LL112" s="5"/>
      <c r="LM112" s="4"/>
      <c r="LN112" s="8"/>
      <c r="LO112" s="5" t="str">
        <f t="shared" si="367"/>
        <v>NO APLICA</v>
      </c>
      <c r="LP112" s="2"/>
      <c r="LQ112" s="6"/>
      <c r="LR112" s="4"/>
      <c r="LS112" s="8"/>
      <c r="LT112" s="5" t="str">
        <f t="shared" si="359"/>
        <v>NO APLICA</v>
      </c>
      <c r="LU112" s="6"/>
      <c r="LV112" s="6"/>
      <c r="LW112" s="4"/>
      <c r="LX112" s="8"/>
      <c r="LY112" s="5" t="str">
        <f t="shared" si="360"/>
        <v>NO APLICA</v>
      </c>
      <c r="LZ112" s="6"/>
      <c r="MA112" s="6"/>
      <c r="MB112" s="4"/>
      <c r="MC112" s="8"/>
      <c r="MD112" s="5" t="str">
        <f t="shared" si="361"/>
        <v>NO APLICA</v>
      </c>
      <c r="ME112" s="2"/>
      <c r="MF112" s="2"/>
      <c r="MG112" s="4"/>
      <c r="MH112" s="8"/>
      <c r="MI112" s="5" t="str">
        <f t="shared" si="333"/>
        <v>NO APLICA</v>
      </c>
      <c r="MJ112" s="2"/>
      <c r="MK112" s="2"/>
      <c r="ML112" s="4"/>
      <c r="MM112" s="8"/>
      <c r="MN112" s="5" t="str">
        <f t="shared" si="334"/>
        <v>NO APLICA</v>
      </c>
      <c r="MO112" s="5"/>
      <c r="MP112" s="2"/>
      <c r="MQ112" s="4"/>
      <c r="MR112" s="8"/>
      <c r="MS112" s="5" t="str">
        <f t="shared" si="335"/>
        <v>NO APLICA</v>
      </c>
      <c r="MT112" s="5"/>
      <c r="MU112" s="2"/>
      <c r="MV112" s="4"/>
      <c r="MW112" s="2"/>
      <c r="MX112" s="5" t="str">
        <f t="shared" si="336"/>
        <v>NO APLICA</v>
      </c>
      <c r="MY112" s="2"/>
      <c r="MZ112" s="6"/>
      <c r="NA112" s="4"/>
      <c r="NB112" s="8"/>
      <c r="NC112" s="5" t="str">
        <f t="shared" si="337"/>
        <v>NO APLICA</v>
      </c>
      <c r="ND112" s="2"/>
      <c r="NE112" s="6"/>
      <c r="NF112" s="4"/>
      <c r="NG112" s="8"/>
      <c r="NH112" s="5" t="str">
        <f t="shared" si="338"/>
        <v>NO APLICA</v>
      </c>
      <c r="NI112" s="2"/>
      <c r="NJ112" s="6"/>
      <c r="NK112" s="4"/>
      <c r="NL112" s="8"/>
      <c r="NM112" s="5" t="str">
        <f t="shared" si="339"/>
        <v>NO APLICA</v>
      </c>
      <c r="NN112" s="2"/>
      <c r="NO112" s="2"/>
      <c r="NP112" s="4"/>
      <c r="NQ112" s="8"/>
      <c r="NR112" s="5" t="str">
        <f t="shared" si="340"/>
        <v>NO APLICA</v>
      </c>
      <c r="NS112" s="2"/>
      <c r="NT112" s="2"/>
      <c r="NU112" s="4"/>
      <c r="NV112" s="2"/>
      <c r="NW112" s="5" t="str">
        <f t="shared" si="341"/>
        <v>NO APLICA</v>
      </c>
      <c r="NX112" s="6"/>
      <c r="NY112" s="4">
        <v>45568</v>
      </c>
      <c r="NZ112" s="4">
        <f>DATE(YEAR(NY112)+2,MONTH(NY112),DAY(NY112))</f>
        <v>46298</v>
      </c>
      <c r="OA112" s="8">
        <f ca="1">NZ112-TODAY()</f>
        <v>153</v>
      </c>
      <c r="OB112" s="5" t="str">
        <f t="shared" ca="1" si="342"/>
        <v>VIGENTE</v>
      </c>
      <c r="OC112" s="4"/>
      <c r="OD112" s="4">
        <v>44762</v>
      </c>
      <c r="OE112" s="4">
        <f>DATE(YEAR(OD112)+5,MONTH(OD112),DAY(OD112))</f>
        <v>46588</v>
      </c>
      <c r="OF112" s="8">
        <f ca="1">OE112-TODAY()</f>
        <v>443</v>
      </c>
      <c r="OG112" s="5" t="str">
        <f t="shared" ca="1" si="343"/>
        <v>VIGENTE</v>
      </c>
      <c r="OH112" s="6"/>
      <c r="OI112" s="6"/>
      <c r="OJ112" s="4"/>
      <c r="OK112" s="8"/>
      <c r="OL112" s="5" t="str">
        <f t="shared" si="344"/>
        <v>NO APLICA</v>
      </c>
      <c r="OM112" s="6"/>
      <c r="ON112" s="6"/>
      <c r="OO112" s="6"/>
      <c r="OP112" s="6"/>
      <c r="OQ112" s="5" t="str">
        <f t="shared" si="345"/>
        <v>NO APLICA</v>
      </c>
      <c r="OR112" s="6"/>
      <c r="OS112" s="6"/>
      <c r="OT112" s="6"/>
      <c r="OU112" s="6"/>
      <c r="OV112" s="5" t="str">
        <f t="shared" si="346"/>
        <v>NO APLICA</v>
      </c>
      <c r="OW112" s="6"/>
      <c r="OX112" s="6"/>
      <c r="OY112" s="6"/>
      <c r="OZ112" s="6"/>
      <c r="PA112" s="5" t="str">
        <f t="shared" si="347"/>
        <v>NO APLICA</v>
      </c>
      <c r="PB112" s="6"/>
      <c r="PC112" s="6"/>
      <c r="PD112" s="6"/>
      <c r="PE112" s="6"/>
      <c r="PF112" s="5" t="str">
        <f t="shared" si="348"/>
        <v>NO APLICA</v>
      </c>
      <c r="PG112" s="6"/>
      <c r="PH112" s="6"/>
      <c r="PI112" s="6"/>
      <c r="PJ112" s="6"/>
      <c r="PK112" s="5" t="str">
        <f t="shared" si="349"/>
        <v>NO APLICA</v>
      </c>
      <c r="PL112" s="5"/>
      <c r="PM112" s="6"/>
      <c r="PN112" s="4"/>
      <c r="PO112" s="8"/>
      <c r="PP112" s="5" t="str">
        <f t="shared" si="350"/>
        <v>NO APLICA</v>
      </c>
      <c r="PQ112" s="6"/>
      <c r="PR112" s="6"/>
      <c r="PS112" s="6"/>
      <c r="PT112" s="6"/>
      <c r="PU112" s="5" t="str">
        <f t="shared" si="351"/>
        <v>NO APLICA</v>
      </c>
      <c r="PV112" s="5"/>
      <c r="PW112" s="6"/>
      <c r="PX112" s="6"/>
      <c r="PY112" s="6"/>
      <c r="PZ112" s="5" t="str">
        <f t="shared" si="352"/>
        <v>NO APLICA</v>
      </c>
    </row>
    <row r="113" spans="1:442" ht="15.6" hidden="1" thickTop="1" thickBot="1" x14ac:dyDescent="0.35">
      <c r="A113" s="26">
        <v>110</v>
      </c>
      <c r="B113" s="27">
        <v>1485</v>
      </c>
      <c r="C113" s="28" t="s">
        <v>380</v>
      </c>
      <c r="D113" s="29" t="s">
        <v>68</v>
      </c>
      <c r="E113" s="30" t="s">
        <v>93</v>
      </c>
      <c r="F113" s="5"/>
      <c r="G113" s="6"/>
      <c r="H113" s="4"/>
      <c r="I113" s="8"/>
      <c r="J113" s="5" t="str">
        <f t="shared" si="242"/>
        <v>NO APLICA</v>
      </c>
      <c r="K113" s="5"/>
      <c r="L113" s="6"/>
      <c r="M113" s="6"/>
      <c r="N113" s="8"/>
      <c r="O113" s="5" t="str">
        <f t="shared" si="243"/>
        <v>NO APLICA</v>
      </c>
      <c r="P113" s="6"/>
      <c r="Q113" s="6"/>
      <c r="R113" s="4"/>
      <c r="S113" s="8"/>
      <c r="T113" s="5" t="str">
        <f t="shared" si="353"/>
        <v>NO APLICA</v>
      </c>
      <c r="U113" s="5"/>
      <c r="V113" s="2" t="s">
        <v>381</v>
      </c>
      <c r="W113" s="4">
        <v>44829</v>
      </c>
      <c r="X113" s="4">
        <f t="shared" si="410"/>
        <v>46655</v>
      </c>
      <c r="Y113" s="8">
        <f t="shared" ca="1" si="411"/>
        <v>510</v>
      </c>
      <c r="Z113" s="5" t="str">
        <f t="shared" ca="1" si="412"/>
        <v>VIGENTE</v>
      </c>
      <c r="AA113" s="5"/>
      <c r="AB113" s="2" t="s">
        <v>382</v>
      </c>
      <c r="AC113" s="4">
        <v>44603</v>
      </c>
      <c r="AD113" s="4">
        <f t="shared" si="413"/>
        <v>46429</v>
      </c>
      <c r="AE113" s="8">
        <f t="shared" ca="1" si="414"/>
        <v>284</v>
      </c>
      <c r="AF113" s="5" t="str">
        <f t="shared" ca="1" si="247"/>
        <v>VIGENTE</v>
      </c>
      <c r="AG113" s="3"/>
      <c r="AH113" s="4">
        <v>45589</v>
      </c>
      <c r="AI113" s="4">
        <f>DATE(YEAR(AH113)+2,MONTH(AH113),DAY(AH113)-1)</f>
        <v>46318</v>
      </c>
      <c r="AJ113" s="8">
        <f t="shared" ca="1" si="248"/>
        <v>173</v>
      </c>
      <c r="AK113" s="5" t="str">
        <f t="shared" ca="1" si="408"/>
        <v>VIGENTE</v>
      </c>
      <c r="AL113" s="3"/>
      <c r="AM113" s="4">
        <v>45959</v>
      </c>
      <c r="AN113" s="4">
        <f t="shared" si="415"/>
        <v>46689</v>
      </c>
      <c r="AO113" s="8">
        <f t="shared" ca="1" si="249"/>
        <v>544</v>
      </c>
      <c r="AP113" s="5" t="str">
        <f t="shared" ca="1" si="250"/>
        <v>VIGENTE</v>
      </c>
      <c r="AQ113" s="3"/>
      <c r="AR113" s="4">
        <v>45740</v>
      </c>
      <c r="AS113" s="4">
        <f>DATE(YEAR(AR113)+2,MONTH(AR113),DAY(AR113)-1)</f>
        <v>46469</v>
      </c>
      <c r="AT113" s="8">
        <f t="shared" ca="1" si="251"/>
        <v>324</v>
      </c>
      <c r="AU113" s="5" t="str">
        <f t="shared" ca="1" si="252"/>
        <v>VIGENTE</v>
      </c>
      <c r="AV113" s="3"/>
      <c r="AW113" s="4">
        <v>45702</v>
      </c>
      <c r="AX113" s="4">
        <f>DATE(YEAR(AW113)+2,MONTH(AW113),DAY(AW113)-1)</f>
        <v>46431</v>
      </c>
      <c r="AY113" s="8">
        <f t="shared" ca="1" si="253"/>
        <v>286</v>
      </c>
      <c r="AZ113" s="5" t="str">
        <f t="shared" ca="1" si="254"/>
        <v>VIGENTE</v>
      </c>
      <c r="BA113" s="3"/>
      <c r="BB113" s="4">
        <v>45708</v>
      </c>
      <c r="BC113" s="4">
        <f>DATE(YEAR(BB113)+2,MONTH(BB113),DAY(BB113)-1)</f>
        <v>46437</v>
      </c>
      <c r="BD113" s="8">
        <f t="shared" ca="1" si="255"/>
        <v>292</v>
      </c>
      <c r="BE113" s="5" t="str">
        <f t="shared" ca="1" si="256"/>
        <v>VIGENTE</v>
      </c>
      <c r="BF113" s="3"/>
      <c r="BG113" s="4">
        <v>45673</v>
      </c>
      <c r="BH113" s="4">
        <f>DATE(YEAR(BG113)+2,MONTH(BG113),DAY(BG113)-1)</f>
        <v>46402</v>
      </c>
      <c r="BI113" s="8">
        <f t="shared" ca="1" si="257"/>
        <v>257</v>
      </c>
      <c r="BJ113" s="5" t="str">
        <f t="shared" ca="1" si="258"/>
        <v>VIGENTE</v>
      </c>
      <c r="BK113" s="3"/>
      <c r="BL113" s="4">
        <v>46051</v>
      </c>
      <c r="BM113" s="4">
        <f>DATE(YEAR(BL113)+2,MONTH(BL113),DAY(BL113))</f>
        <v>46781</v>
      </c>
      <c r="BN113" s="8">
        <f t="shared" ca="1" si="259"/>
        <v>636</v>
      </c>
      <c r="BO113" s="5" t="str">
        <f t="shared" ca="1" si="260"/>
        <v>VIGENTE</v>
      </c>
      <c r="BP113" s="3"/>
      <c r="BQ113" s="39">
        <v>45701</v>
      </c>
      <c r="BR113" s="4">
        <f>DATE(YEAR(BQ113)+2,MONTH(BQ113),DAY(BQ113)-1)</f>
        <v>46430</v>
      </c>
      <c r="BS113" s="8">
        <f t="shared" ca="1" si="261"/>
        <v>285</v>
      </c>
      <c r="BT113" s="5" t="str">
        <f t="shared" ca="1" si="262"/>
        <v>VIGENTE</v>
      </c>
      <c r="BU113" s="3"/>
      <c r="BV113" s="4">
        <v>45695</v>
      </c>
      <c r="BW113" s="4">
        <f>DATE(YEAR(BV113)+2,MONTH(BV113),DAY(BV113)-1)</f>
        <v>46424</v>
      </c>
      <c r="BX113" s="8">
        <f t="shared" ca="1" si="263"/>
        <v>279</v>
      </c>
      <c r="BY113" s="5" t="str">
        <f t="shared" ca="1" si="264"/>
        <v>VIGENTE</v>
      </c>
      <c r="BZ113" s="3"/>
      <c r="CA113" s="4">
        <v>45944</v>
      </c>
      <c r="CB113" s="4">
        <f t="shared" si="423"/>
        <v>46674</v>
      </c>
      <c r="CC113" s="8">
        <f t="shared" ca="1" si="265"/>
        <v>529</v>
      </c>
      <c r="CD113" s="5" t="str">
        <f t="shared" ca="1" si="266"/>
        <v>VIGENTE</v>
      </c>
      <c r="CE113" s="6"/>
      <c r="CF113" s="4">
        <v>45211</v>
      </c>
      <c r="CG113" s="4">
        <f t="shared" si="416"/>
        <v>46672</v>
      </c>
      <c r="CH113" s="8">
        <f t="shared" ca="1" si="417"/>
        <v>527</v>
      </c>
      <c r="CI113" s="5" t="str">
        <f t="shared" ca="1" si="418"/>
        <v>VIGENTE</v>
      </c>
      <c r="CJ113" s="4"/>
      <c r="CK113" s="4">
        <v>45723</v>
      </c>
      <c r="CL113" s="4">
        <f>DATE(YEAR(CK113)+2,MONTH(CK113),DAY(CK113)-1)</f>
        <v>46452</v>
      </c>
      <c r="CM113" s="8">
        <f t="shared" ca="1" si="270"/>
        <v>307</v>
      </c>
      <c r="CN113" s="5" t="str">
        <f t="shared" ca="1" si="271"/>
        <v>VIGENTE</v>
      </c>
      <c r="CO113" s="3"/>
      <c r="CP113" s="39">
        <v>45726</v>
      </c>
      <c r="CQ113" s="4">
        <f>DATE(YEAR(CP113)+2,MONTH(CP113),DAY(CP113)-1)</f>
        <v>46455</v>
      </c>
      <c r="CR113" s="8">
        <f t="shared" ca="1" si="272"/>
        <v>310</v>
      </c>
      <c r="CS113" s="5" t="str">
        <f t="shared" ca="1" si="273"/>
        <v>VIGENTE</v>
      </c>
      <c r="CT113" s="3"/>
      <c r="CU113" s="4">
        <v>45645</v>
      </c>
      <c r="CV113" s="4">
        <f>DATE(YEAR(CU113)+2,MONTH(CU113),DAY(CU113)-1)</f>
        <v>46374</v>
      </c>
      <c r="CW113" s="8">
        <f t="shared" ca="1" si="274"/>
        <v>229</v>
      </c>
      <c r="CX113" s="5" t="str">
        <f t="shared" ca="1" si="275"/>
        <v>VIGENTE</v>
      </c>
      <c r="CY113" s="3"/>
      <c r="CZ113" s="4">
        <v>45661</v>
      </c>
      <c r="DA113" s="4">
        <f>DATE(YEAR(CZ113)+2,MONTH(CZ113),DAY(CZ113)-1)</f>
        <v>46390</v>
      </c>
      <c r="DB113" s="8">
        <f t="shared" ca="1" si="276"/>
        <v>245</v>
      </c>
      <c r="DC113" s="5" t="str">
        <f t="shared" ca="1" si="277"/>
        <v>VIGENTE</v>
      </c>
      <c r="DD113" s="3"/>
      <c r="DE113" s="39">
        <v>45689</v>
      </c>
      <c r="DF113" s="4">
        <f>DATE(YEAR(DE113)+2,MONTH(DE113),DAY(DE113)-1)</f>
        <v>46418</v>
      </c>
      <c r="DG113" s="8">
        <f t="shared" ca="1" si="278"/>
        <v>273</v>
      </c>
      <c r="DH113" s="5" t="str">
        <f t="shared" ca="1" si="279"/>
        <v>VIGENTE</v>
      </c>
      <c r="DI113" s="3"/>
      <c r="DJ113" s="39">
        <v>45696</v>
      </c>
      <c r="DK113" s="4">
        <f>DATE(YEAR(DJ113)+2,MONTH(DJ113),DAY(DJ113)-1)</f>
        <v>46425</v>
      </c>
      <c r="DL113" s="8">
        <f t="shared" ca="1" si="280"/>
        <v>280</v>
      </c>
      <c r="DM113" s="5" t="str">
        <f t="shared" ca="1" si="281"/>
        <v>VIGENTE</v>
      </c>
      <c r="DN113" s="3"/>
      <c r="DO113" s="4">
        <v>45982</v>
      </c>
      <c r="DP113" s="4">
        <f>DATE(YEAR(DO113)+2,MONTH(DO113),DAY(DO113))</f>
        <v>46712</v>
      </c>
      <c r="DQ113" s="8">
        <f t="shared" ca="1" si="282"/>
        <v>567</v>
      </c>
      <c r="DR113" s="5" t="str">
        <f t="shared" ca="1" si="283"/>
        <v>VIGENTE</v>
      </c>
      <c r="DS113" s="3"/>
      <c r="DT113" s="4">
        <v>45728</v>
      </c>
      <c r="DU113" s="4">
        <f>DATE(YEAR(DT113)+2,MONTH(DT113),DAY(DT113)-1)</f>
        <v>46457</v>
      </c>
      <c r="DV113" s="8">
        <f t="shared" ca="1" si="284"/>
        <v>312</v>
      </c>
      <c r="DW113" s="5" t="str">
        <f t="shared" ca="1" si="285"/>
        <v>VIGENTE</v>
      </c>
      <c r="DX113" s="4"/>
      <c r="DY113" s="4">
        <v>45682</v>
      </c>
      <c r="DZ113" s="4">
        <f>DATE(YEAR(DY113)+2,MONTH(DY113),DAY(DY113)-1)</f>
        <v>46411</v>
      </c>
      <c r="EA113" s="8">
        <f t="shared" ca="1" si="286"/>
        <v>266</v>
      </c>
      <c r="EB113" s="5" t="str">
        <f t="shared" ca="1" si="287"/>
        <v>VIGENTE</v>
      </c>
      <c r="EC113" s="3"/>
      <c r="ED113" s="39">
        <v>45674</v>
      </c>
      <c r="EE113" s="4">
        <f>DATE(YEAR(ED113)+2,MONTH(ED113),DAY(ED113)-1)</f>
        <v>46403</v>
      </c>
      <c r="EF113" s="8">
        <f t="shared" ca="1" si="288"/>
        <v>258</v>
      </c>
      <c r="EG113" s="5" t="str">
        <f t="shared" ca="1" si="289"/>
        <v>VIGENTE</v>
      </c>
      <c r="EH113" s="3"/>
      <c r="EI113" s="4">
        <v>46115</v>
      </c>
      <c r="EJ113" s="4">
        <f t="shared" si="355"/>
        <v>46480</v>
      </c>
      <c r="EK113" s="8">
        <f t="shared" ca="1" si="290"/>
        <v>335</v>
      </c>
      <c r="EL113" s="5" t="str">
        <f t="shared" ca="1" si="291"/>
        <v>VIGENTE</v>
      </c>
      <c r="EM113" s="3"/>
      <c r="EN113" s="4">
        <v>45737</v>
      </c>
      <c r="EO113" s="4">
        <f>DATE(YEAR(EN113)+2,MONTH(EN113),DAY(EN113)-1)</f>
        <v>46466</v>
      </c>
      <c r="EP113" s="8">
        <f t="shared" ca="1" si="292"/>
        <v>321</v>
      </c>
      <c r="EQ113" s="5" t="str">
        <f t="shared" ca="1" si="293"/>
        <v>VIGENTE</v>
      </c>
      <c r="ER113" s="3"/>
      <c r="ES113" s="39">
        <v>45677</v>
      </c>
      <c r="ET113" s="4">
        <f>DATE(YEAR(ES113)+2,MONTH(ES113),DAY(ES113)-1)</f>
        <v>46406</v>
      </c>
      <c r="EU113" s="8">
        <f t="shared" ca="1" si="294"/>
        <v>261</v>
      </c>
      <c r="EV113" s="5" t="str">
        <f t="shared" ca="1" si="295"/>
        <v>VIGENTE</v>
      </c>
      <c r="EW113" s="3"/>
      <c r="EX113" s="4">
        <v>45953</v>
      </c>
      <c r="EY113" s="4">
        <f t="shared" si="424"/>
        <v>46683</v>
      </c>
      <c r="EZ113" s="8">
        <f t="shared" ca="1" si="296"/>
        <v>538</v>
      </c>
      <c r="FA113" s="5" t="str">
        <f t="shared" ca="1" si="297"/>
        <v>VIGENTE</v>
      </c>
      <c r="FB113" s="3"/>
      <c r="FC113" s="4">
        <v>45951</v>
      </c>
      <c r="FD113" s="4">
        <f>DATE(YEAR(FC113)+2,MONTH(FC113),DAY(FC113))</f>
        <v>46681</v>
      </c>
      <c r="FE113" s="8">
        <f t="shared" ca="1" si="298"/>
        <v>536</v>
      </c>
      <c r="FF113" s="5" t="str">
        <f t="shared" ca="1" si="299"/>
        <v>VIGENTE</v>
      </c>
      <c r="FG113" s="3"/>
      <c r="FH113" s="4">
        <v>45932</v>
      </c>
      <c r="FI113" s="4">
        <f t="shared" si="425"/>
        <v>46662</v>
      </c>
      <c r="FJ113" s="8">
        <f t="shared" ca="1" si="300"/>
        <v>517</v>
      </c>
      <c r="FK113" s="5" t="str">
        <f t="shared" ca="1" si="301"/>
        <v>VIGENTE</v>
      </c>
      <c r="FL113" s="3"/>
      <c r="FM113" s="39">
        <v>45738</v>
      </c>
      <c r="FN113" s="4">
        <f>DATE(YEAR(FM113)+2,MONTH(FM113),DAY(FM113)-1)</f>
        <v>46467</v>
      </c>
      <c r="FO113" s="8">
        <f t="shared" ca="1" si="302"/>
        <v>322</v>
      </c>
      <c r="FP113" s="5" t="str">
        <f t="shared" ca="1" si="303"/>
        <v>VIGENTE</v>
      </c>
      <c r="FQ113" s="3"/>
      <c r="FR113" s="39">
        <v>45678</v>
      </c>
      <c r="FS113" s="4">
        <f>DATE(YEAR(FR113)+2,MONTH(FR113),DAY(FR113)-1)</f>
        <v>46407</v>
      </c>
      <c r="FT113" s="8">
        <f t="shared" ca="1" si="304"/>
        <v>262</v>
      </c>
      <c r="FU113" s="5" t="str">
        <f t="shared" ca="1" si="305"/>
        <v>VIGENTE</v>
      </c>
      <c r="FV113" s="3"/>
      <c r="FW113" s="4">
        <v>45574</v>
      </c>
      <c r="FX113" s="4">
        <f>DATE(YEAR(FW113)+2,MONTH(FW113),DAY(FW113)-1)</f>
        <v>46303</v>
      </c>
      <c r="FY113" s="8">
        <f t="shared" ca="1" si="306"/>
        <v>158</v>
      </c>
      <c r="FZ113" s="5" t="str">
        <f t="shared" ca="1" si="307"/>
        <v>VIGENTE</v>
      </c>
      <c r="GA113" s="3"/>
      <c r="GB113" s="4">
        <v>45667</v>
      </c>
      <c r="GC113" s="4">
        <f>DATE(YEAR(GB113)+2,MONTH(GB113),DAY(GB113)-1)</f>
        <v>46396</v>
      </c>
      <c r="GD113" s="8">
        <f t="shared" ca="1" si="308"/>
        <v>251</v>
      </c>
      <c r="GE113" s="5" t="str">
        <f t="shared" ca="1" si="309"/>
        <v>VIGENTE</v>
      </c>
      <c r="GF113" s="3"/>
      <c r="GG113" s="4">
        <v>45672</v>
      </c>
      <c r="GH113" s="4">
        <f>DATE(YEAR(GG113)+2,MONTH(GG113),DAY(GG113)-1)</f>
        <v>46401</v>
      </c>
      <c r="GI113" s="8">
        <f t="shared" ca="1" si="310"/>
        <v>256</v>
      </c>
      <c r="GJ113" s="5" t="str">
        <f t="shared" ca="1" si="311"/>
        <v>VIGENTE</v>
      </c>
      <c r="GK113" s="3"/>
      <c r="GL113" s="4">
        <v>45945</v>
      </c>
      <c r="GM113" s="4">
        <f>DATE(YEAR(GL113)+2,MONTH(GL113),DAY(GL113))</f>
        <v>46675</v>
      </c>
      <c r="GN113" s="8">
        <f t="shared" ca="1" si="312"/>
        <v>530</v>
      </c>
      <c r="GO113" s="5" t="str">
        <f t="shared" ca="1" si="313"/>
        <v>VIGENTE</v>
      </c>
      <c r="GP113" s="4"/>
      <c r="GQ113" s="4">
        <v>44966</v>
      </c>
      <c r="GR113" s="4">
        <f t="shared" si="314"/>
        <v>46792</v>
      </c>
      <c r="GS113" s="8">
        <f t="shared" ca="1" si="405"/>
        <v>647</v>
      </c>
      <c r="GT113" s="5" t="str">
        <f t="shared" ca="1" si="419"/>
        <v>VIGENTE</v>
      </c>
      <c r="GU113" s="3"/>
      <c r="GV113" s="4">
        <v>45245</v>
      </c>
      <c r="GW113" s="4">
        <f t="shared" si="316"/>
        <v>47072</v>
      </c>
      <c r="GX113" s="8">
        <f t="shared" ca="1" si="317"/>
        <v>927</v>
      </c>
      <c r="GY113" s="5" t="str">
        <f t="shared" ca="1" si="420"/>
        <v>VIGENTE</v>
      </c>
      <c r="GZ113" s="3"/>
      <c r="HA113" s="4">
        <v>45499</v>
      </c>
      <c r="HB113" s="4">
        <f t="shared" si="319"/>
        <v>47325</v>
      </c>
      <c r="HC113" s="8">
        <f t="shared" ca="1" si="320"/>
        <v>1180</v>
      </c>
      <c r="HD113" s="5" t="str">
        <f t="shared" ca="1" si="421"/>
        <v>VIGENTE</v>
      </c>
      <c r="HE113" s="6"/>
      <c r="HF113" s="4">
        <v>44879</v>
      </c>
      <c r="HG113" s="4">
        <f t="shared" si="406"/>
        <v>46705</v>
      </c>
      <c r="HH113" s="8">
        <f t="shared" ca="1" si="407"/>
        <v>560</v>
      </c>
      <c r="HI113" s="5" t="str">
        <f t="shared" ca="1" si="422"/>
        <v>VIGENTE</v>
      </c>
      <c r="HJ113" s="3"/>
      <c r="HK113" s="4">
        <v>45331</v>
      </c>
      <c r="HL113" s="4">
        <f>DATE(YEAR(HK113)+5,MONTH(HK113),DAY(HK113))</f>
        <v>47158</v>
      </c>
      <c r="HM113" s="8">
        <f ca="1">HL113-TODAY()</f>
        <v>1013</v>
      </c>
      <c r="HN113" s="5" t="str">
        <f t="shared" ca="1" si="409"/>
        <v>VIGENTE</v>
      </c>
      <c r="HO113" s="3"/>
      <c r="HP113" s="3">
        <v>45698</v>
      </c>
      <c r="HQ113" s="4">
        <f>DATE(YEAR(HP113)+5,MONTH(HP113),DAY(HP113))</f>
        <v>47524</v>
      </c>
      <c r="HR113" s="8">
        <f ca="1">HQ113-TODAY()</f>
        <v>1379</v>
      </c>
      <c r="HS113" s="5" t="str">
        <f t="shared" ca="1" si="322"/>
        <v>VIGENTE</v>
      </c>
      <c r="HT113" s="3"/>
      <c r="HU113" s="4">
        <v>45274</v>
      </c>
      <c r="HV113" s="4">
        <f>DATE(YEAR(HU113)+5,MONTH(HU113),DAY(HU113))</f>
        <v>47101</v>
      </c>
      <c r="HW113" s="8">
        <f ca="1">HV113-TODAY()</f>
        <v>956</v>
      </c>
      <c r="HX113" s="5" t="str">
        <f t="shared" ca="1" si="323"/>
        <v>VIGENTE</v>
      </c>
      <c r="HY113" s="3"/>
      <c r="HZ113" s="4">
        <v>45234</v>
      </c>
      <c r="IA113" s="4">
        <f>DATE(YEAR(HZ113)+5,MONTH(HZ113),DAY(HZ113))</f>
        <v>47061</v>
      </c>
      <c r="IB113" s="8">
        <f ca="1">IA113-TODAY()</f>
        <v>916</v>
      </c>
      <c r="IC113" s="5" t="str">
        <f t="shared" ca="1" si="324"/>
        <v>VIGENTE</v>
      </c>
      <c r="ID113" s="3"/>
      <c r="IE113" s="4">
        <v>45236</v>
      </c>
      <c r="IF113" s="4">
        <f>DATE(YEAR(IE113)+5,MONTH(IE113),DAY(IE113))</f>
        <v>47063</v>
      </c>
      <c r="IG113" s="8">
        <f ca="1">IF113-TODAY()</f>
        <v>918</v>
      </c>
      <c r="IH113" s="5" t="str">
        <f t="shared" ca="1" si="325"/>
        <v>VIGENTE</v>
      </c>
      <c r="II113" s="4"/>
      <c r="IJ113" s="4">
        <v>45238</v>
      </c>
      <c r="IK113" s="4">
        <f>DATE(YEAR(IJ113)+5,MONTH(IJ113),DAY(IJ113))</f>
        <v>47065</v>
      </c>
      <c r="IL113" s="8">
        <f ca="1">IK113-TODAY()</f>
        <v>920</v>
      </c>
      <c r="IM113" s="5" t="str">
        <f t="shared" ca="1" si="326"/>
        <v>VIGENTE</v>
      </c>
      <c r="IN113" s="3"/>
      <c r="IO113" s="4">
        <v>45239</v>
      </c>
      <c r="IP113" s="4">
        <f>DATE(YEAR(IO113)+5,MONTH(IO113),DAY(IO113))</f>
        <v>47066</v>
      </c>
      <c r="IQ113" s="8">
        <f ca="1">IP113-TODAY()</f>
        <v>921</v>
      </c>
      <c r="IR113" s="5" t="str">
        <f t="shared" ca="1" si="327"/>
        <v>VIGENTE</v>
      </c>
      <c r="IS113" s="3"/>
      <c r="IT113" s="4">
        <v>45240</v>
      </c>
      <c r="IU113" s="4">
        <f>DATE(YEAR(IT113)+5,MONTH(IT113),DAY(IT113))</f>
        <v>47067</v>
      </c>
      <c r="IV113" s="8">
        <f ca="1">IU113-TODAY()</f>
        <v>922</v>
      </c>
      <c r="IW113" s="5" t="str">
        <f t="shared" ca="1" si="328"/>
        <v>VIGENTE</v>
      </c>
      <c r="IX113" s="3"/>
      <c r="IY113" s="4">
        <v>45224</v>
      </c>
      <c r="IZ113" s="4">
        <f>DATE(YEAR(IY113)+5,MONTH(IY113),DAY(IY113))</f>
        <v>47051</v>
      </c>
      <c r="JA113" s="8">
        <f ca="1">IZ113-TODAY()</f>
        <v>906</v>
      </c>
      <c r="JB113" s="5" t="str">
        <f t="shared" ca="1" si="329"/>
        <v>VIGENTE</v>
      </c>
      <c r="JC113" s="3" t="s">
        <v>780</v>
      </c>
      <c r="JD113" s="3"/>
      <c r="JE113" s="4"/>
      <c r="JF113" s="8"/>
      <c r="JG113" s="5"/>
      <c r="JH113" s="3" t="s">
        <v>780</v>
      </c>
      <c r="JI113" s="6"/>
      <c r="JJ113" s="6"/>
      <c r="JK113" s="6"/>
      <c r="JL113" s="5"/>
      <c r="JM113" s="6" t="s">
        <v>780</v>
      </c>
      <c r="JN113" s="6"/>
      <c r="JO113" s="6"/>
      <c r="JP113" s="6"/>
      <c r="JQ113" s="5"/>
      <c r="JR113" s="6" t="s">
        <v>780</v>
      </c>
      <c r="JS113" s="6"/>
      <c r="JT113" s="6"/>
      <c r="JU113" s="6"/>
      <c r="JV113" s="5"/>
      <c r="JW113" s="6" t="s">
        <v>780</v>
      </c>
      <c r="JX113" s="5"/>
      <c r="JY113" s="5"/>
      <c r="JZ113" s="5"/>
      <c r="KA113" s="5"/>
      <c r="KB113" s="5"/>
      <c r="KC113" s="2"/>
      <c r="KD113" s="4"/>
      <c r="KE113" s="8"/>
      <c r="KF113" s="5" t="str">
        <f t="shared" si="330"/>
        <v>NO APLICA</v>
      </c>
      <c r="KG113" s="5"/>
      <c r="KH113" s="2"/>
      <c r="KI113" s="4"/>
      <c r="KJ113" s="8"/>
      <c r="KK113" s="5" t="str">
        <f t="shared" si="356"/>
        <v>NO APLICA</v>
      </c>
      <c r="KL113" s="5"/>
      <c r="KM113" s="2"/>
      <c r="KN113" s="4"/>
      <c r="KO113" s="8"/>
      <c r="KP113" s="5" t="str">
        <f t="shared" si="331"/>
        <v>NO APLICA</v>
      </c>
      <c r="KQ113" s="5"/>
      <c r="KR113" s="2"/>
      <c r="KS113" s="4"/>
      <c r="KT113" s="8"/>
      <c r="KU113" s="5" t="str">
        <f t="shared" si="357"/>
        <v>NO APLICA</v>
      </c>
      <c r="KV113" s="3"/>
      <c r="KW113" s="4">
        <v>44656</v>
      </c>
      <c r="KX113" s="4">
        <f>DATE(YEAR(KW113)+5,MONTH(KW113),DAY(KW113))</f>
        <v>46482</v>
      </c>
      <c r="KY113" s="8">
        <f ca="1">KX113-TODAY()</f>
        <v>337</v>
      </c>
      <c r="KZ113" s="5" t="str">
        <f t="shared" ca="1" si="366"/>
        <v>VIGENTE</v>
      </c>
      <c r="LA113" s="5"/>
      <c r="LB113" s="6"/>
      <c r="LC113" s="4"/>
      <c r="LD113" s="8"/>
      <c r="LE113" s="5" t="str">
        <f t="shared" si="358"/>
        <v>NO APLICA</v>
      </c>
      <c r="LF113" s="6"/>
      <c r="LG113" s="4"/>
      <c r="LH113" s="4"/>
      <c r="LI113" s="8"/>
      <c r="LJ113" s="5" t="str">
        <f t="shared" si="332"/>
        <v>NO APLICA</v>
      </c>
      <c r="LK113" s="5"/>
      <c r="LL113" s="5"/>
      <c r="LM113" s="4"/>
      <c r="LN113" s="8"/>
      <c r="LO113" s="5" t="str">
        <f t="shared" si="367"/>
        <v>NO APLICA</v>
      </c>
      <c r="LP113" s="2"/>
      <c r="LQ113" s="6"/>
      <c r="LR113" s="4"/>
      <c r="LS113" s="8"/>
      <c r="LT113" s="5" t="str">
        <f t="shared" si="359"/>
        <v>NO APLICA</v>
      </c>
      <c r="LU113" s="6"/>
      <c r="LV113" s="6"/>
      <c r="LW113" s="4"/>
      <c r="LX113" s="8"/>
      <c r="LY113" s="5" t="str">
        <f t="shared" si="360"/>
        <v>NO APLICA</v>
      </c>
      <c r="LZ113" s="6"/>
      <c r="MA113" s="6"/>
      <c r="MB113" s="4"/>
      <c r="MC113" s="8"/>
      <c r="MD113" s="5" t="str">
        <f t="shared" si="361"/>
        <v>NO APLICA</v>
      </c>
      <c r="ME113" s="2"/>
      <c r="MF113" s="2"/>
      <c r="MG113" s="4"/>
      <c r="MH113" s="8"/>
      <c r="MI113" s="5" t="str">
        <f t="shared" si="333"/>
        <v>NO APLICA</v>
      </c>
      <c r="MJ113" s="2"/>
      <c r="MK113" s="2"/>
      <c r="ML113" s="4"/>
      <c r="MM113" s="8"/>
      <c r="MN113" s="5" t="str">
        <f t="shared" si="334"/>
        <v>NO APLICA</v>
      </c>
      <c r="MO113" s="5"/>
      <c r="MP113" s="2"/>
      <c r="MQ113" s="4"/>
      <c r="MR113" s="8"/>
      <c r="MS113" s="5" t="str">
        <f t="shared" si="335"/>
        <v>NO APLICA</v>
      </c>
      <c r="MT113" s="5"/>
      <c r="MU113" s="2"/>
      <c r="MV113" s="4"/>
      <c r="MW113" s="2"/>
      <c r="MX113" s="5" t="str">
        <f t="shared" si="336"/>
        <v>NO APLICA</v>
      </c>
      <c r="MY113" s="2"/>
      <c r="MZ113" s="6"/>
      <c r="NA113" s="4"/>
      <c r="NB113" s="8"/>
      <c r="NC113" s="5" t="str">
        <f t="shared" si="337"/>
        <v>NO APLICA</v>
      </c>
      <c r="ND113" s="2"/>
      <c r="NE113" s="6"/>
      <c r="NF113" s="4"/>
      <c r="NG113" s="8"/>
      <c r="NH113" s="5" t="str">
        <f t="shared" si="338"/>
        <v>NO APLICA</v>
      </c>
      <c r="NI113" s="2"/>
      <c r="NJ113" s="6"/>
      <c r="NK113" s="4"/>
      <c r="NL113" s="8"/>
      <c r="NM113" s="5" t="str">
        <f t="shared" si="339"/>
        <v>NO APLICA</v>
      </c>
      <c r="NN113" s="2"/>
      <c r="NO113" s="2"/>
      <c r="NP113" s="4"/>
      <c r="NQ113" s="8"/>
      <c r="NR113" s="5" t="str">
        <f t="shared" si="340"/>
        <v>NO APLICA</v>
      </c>
      <c r="NS113" s="2"/>
      <c r="NT113" s="2"/>
      <c r="NU113" s="4"/>
      <c r="NV113" s="2"/>
      <c r="NW113" s="5" t="str">
        <f t="shared" si="341"/>
        <v>NO APLICA</v>
      </c>
      <c r="NX113" s="6"/>
      <c r="NY113" s="6"/>
      <c r="NZ113" s="4"/>
      <c r="OA113" s="8"/>
      <c r="OB113" s="5" t="str">
        <f t="shared" si="342"/>
        <v>NO APLICA</v>
      </c>
      <c r="OC113" s="6"/>
      <c r="OD113" s="6"/>
      <c r="OE113" s="6"/>
      <c r="OF113" s="6"/>
      <c r="OG113" s="5" t="str">
        <f t="shared" si="343"/>
        <v>NO APLICA</v>
      </c>
      <c r="OH113" s="2"/>
      <c r="OI113" s="2"/>
      <c r="OJ113" s="4"/>
      <c r="OK113" s="8"/>
      <c r="OL113" s="5" t="str">
        <f t="shared" si="344"/>
        <v>NO APLICA</v>
      </c>
      <c r="OM113" s="6"/>
      <c r="ON113" s="6"/>
      <c r="OO113" s="6"/>
      <c r="OP113" s="6"/>
      <c r="OQ113" s="5" t="str">
        <f t="shared" si="345"/>
        <v>NO APLICA</v>
      </c>
      <c r="OR113" s="6"/>
      <c r="OS113" s="6"/>
      <c r="OT113" s="6"/>
      <c r="OU113" s="6"/>
      <c r="OV113" s="5" t="str">
        <f t="shared" si="346"/>
        <v>NO APLICA</v>
      </c>
      <c r="OW113" s="6"/>
      <c r="OX113" s="6"/>
      <c r="OY113" s="6"/>
      <c r="OZ113" s="6"/>
      <c r="PA113" s="5" t="str">
        <f t="shared" si="347"/>
        <v>NO APLICA</v>
      </c>
      <c r="PB113" s="6"/>
      <c r="PC113" s="6"/>
      <c r="PD113" s="6"/>
      <c r="PE113" s="6"/>
      <c r="PF113" s="5" t="str">
        <f t="shared" si="348"/>
        <v>NO APLICA</v>
      </c>
      <c r="PG113" s="6"/>
      <c r="PH113" s="6"/>
      <c r="PI113" s="6"/>
      <c r="PJ113" s="6"/>
      <c r="PK113" s="5" t="str">
        <f t="shared" si="349"/>
        <v>NO APLICA</v>
      </c>
      <c r="PL113" s="5"/>
      <c r="PM113" s="6"/>
      <c r="PN113" s="4"/>
      <c r="PO113" s="8"/>
      <c r="PP113" s="5" t="str">
        <f t="shared" si="350"/>
        <v>NO APLICA</v>
      </c>
      <c r="PQ113" s="6"/>
      <c r="PR113" s="6"/>
      <c r="PS113" s="6"/>
      <c r="PT113" s="6"/>
      <c r="PU113" s="5" t="str">
        <f t="shared" si="351"/>
        <v>NO APLICA</v>
      </c>
      <c r="PV113" s="5"/>
      <c r="PW113" s="6"/>
      <c r="PX113" s="6"/>
      <c r="PY113" s="6"/>
      <c r="PZ113" s="5" t="str">
        <f t="shared" si="352"/>
        <v>NO APLICA</v>
      </c>
    </row>
    <row r="114" spans="1:442" ht="15.6" hidden="1" thickTop="1" thickBot="1" x14ac:dyDescent="0.35">
      <c r="A114" s="26">
        <v>111</v>
      </c>
      <c r="B114" s="27">
        <v>820</v>
      </c>
      <c r="C114" s="28" t="s">
        <v>383</v>
      </c>
      <c r="D114" s="29" t="s">
        <v>68</v>
      </c>
      <c r="E114" s="30" t="s">
        <v>192</v>
      </c>
      <c r="F114" s="5"/>
      <c r="G114" s="6"/>
      <c r="H114" s="4"/>
      <c r="I114" s="8"/>
      <c r="J114" s="5" t="str">
        <f t="shared" si="242"/>
        <v>NO APLICA</v>
      </c>
      <c r="K114" s="5"/>
      <c r="L114" s="6"/>
      <c r="M114" s="6"/>
      <c r="N114" s="8"/>
      <c r="O114" s="5" t="str">
        <f t="shared" si="243"/>
        <v>NO APLICA</v>
      </c>
      <c r="P114" s="6"/>
      <c r="Q114" s="6"/>
      <c r="R114" s="4"/>
      <c r="S114" s="8"/>
      <c r="T114" s="5" t="str">
        <f t="shared" si="353"/>
        <v>NO APLICA</v>
      </c>
      <c r="U114" s="5"/>
      <c r="V114" s="2" t="s">
        <v>384</v>
      </c>
      <c r="W114" s="4">
        <v>44829</v>
      </c>
      <c r="X114" s="4">
        <f t="shared" si="410"/>
        <v>46655</v>
      </c>
      <c r="Y114" s="8">
        <f t="shared" ca="1" si="411"/>
        <v>510</v>
      </c>
      <c r="Z114" s="5" t="str">
        <f t="shared" ca="1" si="412"/>
        <v>VIGENTE</v>
      </c>
      <c r="AA114" s="5"/>
      <c r="AB114" s="2" t="s">
        <v>385</v>
      </c>
      <c r="AC114" s="4">
        <v>44824</v>
      </c>
      <c r="AD114" s="4">
        <f t="shared" si="413"/>
        <v>46650</v>
      </c>
      <c r="AE114" s="8">
        <f t="shared" ca="1" si="414"/>
        <v>505</v>
      </c>
      <c r="AF114" s="5" t="str">
        <f t="shared" ca="1" si="247"/>
        <v>VIGENTE</v>
      </c>
      <c r="AG114" s="3"/>
      <c r="AH114" s="3">
        <v>45589</v>
      </c>
      <c r="AI114" s="4">
        <f>DATE(YEAR(AH114)+2,MONTH(AH114),DAY(AH114)-1)</f>
        <v>46318</v>
      </c>
      <c r="AJ114" s="8">
        <f t="shared" ca="1" si="248"/>
        <v>173</v>
      </c>
      <c r="AK114" s="5" t="str">
        <f t="shared" ca="1" si="408"/>
        <v>VIGENTE</v>
      </c>
      <c r="AL114" s="3"/>
      <c r="AM114" s="4">
        <v>45903</v>
      </c>
      <c r="AN114" s="4">
        <f t="shared" si="415"/>
        <v>46633</v>
      </c>
      <c r="AO114" s="8">
        <f t="shared" ca="1" si="249"/>
        <v>488</v>
      </c>
      <c r="AP114" s="5" t="str">
        <f t="shared" ca="1" si="250"/>
        <v>VIGENTE</v>
      </c>
      <c r="AQ114" s="3"/>
      <c r="AR114" s="4">
        <v>45989</v>
      </c>
      <c r="AS114" s="4">
        <f>DATE(YEAR(AR114)+2,MONTH(AR114),DAY(AR114))</f>
        <v>46719</v>
      </c>
      <c r="AT114" s="8">
        <f t="shared" ca="1" si="251"/>
        <v>574</v>
      </c>
      <c r="AU114" s="5" t="str">
        <f t="shared" ca="1" si="252"/>
        <v>VIGENTE</v>
      </c>
      <c r="AV114" s="3"/>
      <c r="AW114" s="4">
        <v>45972</v>
      </c>
      <c r="AX114" s="4">
        <f>DATE(YEAR(AW114)+2,MONTH(AW114),DAY(AW114))</f>
        <v>46702</v>
      </c>
      <c r="AY114" s="8">
        <f t="shared" ca="1" si="253"/>
        <v>557</v>
      </c>
      <c r="AZ114" s="5" t="str">
        <f t="shared" ca="1" si="254"/>
        <v>VIGENTE</v>
      </c>
      <c r="BA114" s="3"/>
      <c r="BB114" s="4">
        <v>45868</v>
      </c>
      <c r="BC114" s="4">
        <f>DATE(YEAR(BB114)+2,MONTH(BB114),DAY(BB114))</f>
        <v>46598</v>
      </c>
      <c r="BD114" s="8">
        <f t="shared" ca="1" si="255"/>
        <v>453</v>
      </c>
      <c r="BE114" s="5" t="str">
        <f t="shared" ca="1" si="256"/>
        <v>VIGENTE</v>
      </c>
      <c r="BF114" s="3"/>
      <c r="BG114" s="4">
        <v>45987</v>
      </c>
      <c r="BH114" s="4">
        <f>DATE(YEAR(BG114)+2,MONTH(BG114),DAY(BG114))</f>
        <v>46717</v>
      </c>
      <c r="BI114" s="8">
        <f t="shared" ca="1" si="257"/>
        <v>572</v>
      </c>
      <c r="BJ114" s="5" t="str">
        <f t="shared" ca="1" si="258"/>
        <v>VIGENTE</v>
      </c>
      <c r="BK114" s="3"/>
      <c r="BL114" s="4">
        <v>46051</v>
      </c>
      <c r="BM114" s="4">
        <f>DATE(YEAR(BL114)+2,MONTH(BL114),DAY(BL114))</f>
        <v>46781</v>
      </c>
      <c r="BN114" s="8">
        <f t="shared" ca="1" si="259"/>
        <v>636</v>
      </c>
      <c r="BO114" s="5" t="str">
        <f t="shared" ca="1" si="260"/>
        <v>VIGENTE</v>
      </c>
      <c r="BP114" s="3"/>
      <c r="BQ114" s="39">
        <v>46069</v>
      </c>
      <c r="BR114" s="4">
        <f>DATE(YEAR(BQ114)+2,MONTH(BQ114),DAY(BQ114))</f>
        <v>46799</v>
      </c>
      <c r="BS114" s="8">
        <f t="shared" ca="1" si="261"/>
        <v>654</v>
      </c>
      <c r="BT114" s="5" t="str">
        <f t="shared" ca="1" si="262"/>
        <v>VIGENTE</v>
      </c>
      <c r="BU114" s="3"/>
      <c r="BV114" s="4">
        <v>46116</v>
      </c>
      <c r="BW114" s="4">
        <f>DATE(YEAR(BV114)+2,MONTH(BV114),DAY(BV114)-1)</f>
        <v>46846</v>
      </c>
      <c r="BX114" s="8">
        <f t="shared" ca="1" si="263"/>
        <v>701</v>
      </c>
      <c r="BY114" s="5" t="str">
        <f t="shared" ca="1" si="264"/>
        <v>VIGENTE</v>
      </c>
      <c r="BZ114" s="3"/>
      <c r="CA114" s="4">
        <v>45944</v>
      </c>
      <c r="CB114" s="4">
        <f t="shared" si="423"/>
        <v>46674</v>
      </c>
      <c r="CC114" s="8">
        <f t="shared" ca="1" si="265"/>
        <v>529</v>
      </c>
      <c r="CD114" s="5" t="str">
        <f t="shared" ca="1" si="266"/>
        <v>VIGENTE</v>
      </c>
      <c r="CE114" s="6"/>
      <c r="CF114" s="4">
        <v>45227</v>
      </c>
      <c r="CG114" s="4">
        <f t="shared" si="416"/>
        <v>46688</v>
      </c>
      <c r="CH114" s="8">
        <f t="shared" ca="1" si="417"/>
        <v>543</v>
      </c>
      <c r="CI114" s="5" t="str">
        <f t="shared" ca="1" si="418"/>
        <v>VIGENTE</v>
      </c>
      <c r="CJ114" s="4"/>
      <c r="CK114" s="4">
        <v>46018</v>
      </c>
      <c r="CL114" s="4">
        <f>DATE(YEAR(CK114)+2,MONTH(CK114),DAY(CK114))</f>
        <v>46748</v>
      </c>
      <c r="CM114" s="8">
        <f t="shared" ca="1" si="270"/>
        <v>603</v>
      </c>
      <c r="CN114" s="5" t="str">
        <f t="shared" ca="1" si="271"/>
        <v>VIGENTE</v>
      </c>
      <c r="CO114" s="3"/>
      <c r="CP114" s="39">
        <v>45517</v>
      </c>
      <c r="CQ114" s="4">
        <f>DATE(YEAR(CP114)+2,MONTH(CP114),DAY(CP114)-1)</f>
        <v>46246</v>
      </c>
      <c r="CR114" s="8">
        <f t="shared" ca="1" si="272"/>
        <v>101</v>
      </c>
      <c r="CS114" s="5" t="str">
        <f t="shared" ca="1" si="273"/>
        <v>VIGENTE</v>
      </c>
      <c r="CT114" s="3"/>
      <c r="CU114" s="4">
        <v>45631</v>
      </c>
      <c r="CV114" s="4">
        <f>DATE(YEAR(CU114)+2,MONTH(CU114),DAY(CU114)-1)</f>
        <v>46360</v>
      </c>
      <c r="CW114" s="8">
        <f t="shared" ca="1" si="274"/>
        <v>215</v>
      </c>
      <c r="CX114" s="5" t="str">
        <f t="shared" ca="1" si="275"/>
        <v>VIGENTE</v>
      </c>
      <c r="CY114" s="3"/>
      <c r="CZ114" s="4">
        <v>45661</v>
      </c>
      <c r="DA114" s="4">
        <f>DATE(YEAR(CZ114)+2,MONTH(CZ114),DAY(CZ114)-1)</f>
        <v>46390</v>
      </c>
      <c r="DB114" s="8">
        <f t="shared" ca="1" si="276"/>
        <v>245</v>
      </c>
      <c r="DC114" s="5" t="str">
        <f t="shared" ca="1" si="277"/>
        <v>VIGENTE</v>
      </c>
      <c r="DD114" s="3"/>
      <c r="DE114" s="39">
        <v>45689</v>
      </c>
      <c r="DF114" s="4">
        <f>DATE(YEAR(DE114)+2,MONTH(DE114),DAY(DE114)-1)</f>
        <v>46418</v>
      </c>
      <c r="DG114" s="8">
        <f t="shared" ca="1" si="278"/>
        <v>273</v>
      </c>
      <c r="DH114" s="5" t="str">
        <f t="shared" ca="1" si="279"/>
        <v>VIGENTE</v>
      </c>
      <c r="DI114" s="3"/>
      <c r="DJ114" s="39">
        <v>45899</v>
      </c>
      <c r="DK114" s="4">
        <f>DATE(YEAR(DJ114)+2,MONTH(DJ114),DAY(DJ114))</f>
        <v>46629</v>
      </c>
      <c r="DL114" s="8">
        <f t="shared" ca="1" si="280"/>
        <v>484</v>
      </c>
      <c r="DM114" s="5" t="str">
        <f t="shared" ca="1" si="281"/>
        <v>VIGENTE</v>
      </c>
      <c r="DN114" s="3"/>
      <c r="DO114" s="4">
        <v>46008</v>
      </c>
      <c r="DP114" s="4">
        <f>DATE(YEAR(DO114)+2,MONTH(DO114),DAY(DO114))</f>
        <v>46738</v>
      </c>
      <c r="DQ114" s="8">
        <f t="shared" ca="1" si="282"/>
        <v>593</v>
      </c>
      <c r="DR114" s="5" t="str">
        <f t="shared" ca="1" si="283"/>
        <v>VIGENTE</v>
      </c>
      <c r="DS114" s="3"/>
      <c r="DT114" s="4">
        <v>45918</v>
      </c>
      <c r="DU114" s="4">
        <f>DATE(YEAR(DT114)+2,MONTH(DT114),DAY(DT114))</f>
        <v>46648</v>
      </c>
      <c r="DV114" s="8">
        <f t="shared" ca="1" si="284"/>
        <v>503</v>
      </c>
      <c r="DW114" s="5" t="str">
        <f t="shared" ca="1" si="285"/>
        <v>VIGENTE</v>
      </c>
      <c r="DX114" s="3"/>
      <c r="DY114" s="4">
        <v>46020</v>
      </c>
      <c r="DZ114" s="4">
        <f>DATE(YEAR(DY114)+2,MONTH(DY114),DAY(DY114))</f>
        <v>46750</v>
      </c>
      <c r="EA114" s="8">
        <f t="shared" ca="1" si="286"/>
        <v>605</v>
      </c>
      <c r="EB114" s="5" t="str">
        <f t="shared" ca="1" si="287"/>
        <v>VIGENTE</v>
      </c>
      <c r="EC114" s="3"/>
      <c r="ED114" s="39">
        <v>45674</v>
      </c>
      <c r="EE114" s="4">
        <f>DATE(YEAR(ED114)+2,MONTH(ED114),DAY(ED114)-1)</f>
        <v>46403</v>
      </c>
      <c r="EF114" s="8">
        <f t="shared" ca="1" si="288"/>
        <v>258</v>
      </c>
      <c r="EG114" s="5" t="str">
        <f t="shared" ca="1" si="289"/>
        <v>VIGENTE</v>
      </c>
      <c r="EH114" s="3"/>
      <c r="EI114" s="4">
        <v>46115</v>
      </c>
      <c r="EJ114" s="4">
        <f t="shared" si="355"/>
        <v>46480</v>
      </c>
      <c r="EK114" s="8">
        <f t="shared" ca="1" si="290"/>
        <v>335</v>
      </c>
      <c r="EL114" s="5" t="str">
        <f t="shared" ca="1" si="291"/>
        <v>VIGENTE</v>
      </c>
      <c r="EM114" s="3"/>
      <c r="EN114" s="4">
        <v>45671</v>
      </c>
      <c r="EO114" s="4">
        <f>DATE(YEAR(EN114)+2,MONTH(EN114),DAY(EN114)-1)</f>
        <v>46400</v>
      </c>
      <c r="EP114" s="8">
        <f t="shared" ca="1" si="292"/>
        <v>255</v>
      </c>
      <c r="EQ114" s="5" t="str">
        <f t="shared" ca="1" si="293"/>
        <v>VIGENTE</v>
      </c>
      <c r="ER114" s="3"/>
      <c r="ES114" s="39">
        <v>45677</v>
      </c>
      <c r="ET114" s="4">
        <f>DATE(YEAR(ES114)+2,MONTH(ES114),DAY(ES114)-1)</f>
        <v>46406</v>
      </c>
      <c r="EU114" s="8">
        <f t="shared" ca="1" si="294"/>
        <v>261</v>
      </c>
      <c r="EV114" s="5" t="str">
        <f t="shared" ca="1" si="295"/>
        <v>VIGENTE</v>
      </c>
      <c r="EW114" s="3"/>
      <c r="EX114" s="4">
        <v>45964</v>
      </c>
      <c r="EY114" s="4">
        <f t="shared" si="424"/>
        <v>46694</v>
      </c>
      <c r="EZ114" s="8">
        <f t="shared" ca="1" si="296"/>
        <v>549</v>
      </c>
      <c r="FA114" s="5" t="str">
        <f t="shared" ca="1" si="297"/>
        <v>VIGENTE</v>
      </c>
      <c r="FB114" s="3"/>
      <c r="FC114" s="4">
        <v>45988</v>
      </c>
      <c r="FD114" s="4">
        <f>DATE(YEAR(FC114)+2,MONTH(FC114),DAY(FC114))</f>
        <v>46718</v>
      </c>
      <c r="FE114" s="8">
        <f t="shared" ca="1" si="298"/>
        <v>573</v>
      </c>
      <c r="FF114" s="5" t="str">
        <f t="shared" ca="1" si="299"/>
        <v>VIGENTE</v>
      </c>
      <c r="FG114" s="3"/>
      <c r="FH114" s="4">
        <v>45919</v>
      </c>
      <c r="FI114" s="4">
        <f t="shared" si="425"/>
        <v>46649</v>
      </c>
      <c r="FJ114" s="8">
        <f t="shared" ca="1" si="300"/>
        <v>504</v>
      </c>
      <c r="FK114" s="5" t="str">
        <f t="shared" ca="1" si="301"/>
        <v>VIGENTE</v>
      </c>
      <c r="FL114" s="3"/>
      <c r="FM114" s="39">
        <v>45670</v>
      </c>
      <c r="FN114" s="4">
        <f>DATE(YEAR(FM114)+2,MONTH(FM114),DAY(FM114)-1)</f>
        <v>46399</v>
      </c>
      <c r="FO114" s="8">
        <f t="shared" ca="1" si="302"/>
        <v>254</v>
      </c>
      <c r="FP114" s="5" t="str">
        <f t="shared" ca="1" si="303"/>
        <v>VIGENTE</v>
      </c>
      <c r="FQ114" s="3"/>
      <c r="FR114" s="39">
        <v>45586</v>
      </c>
      <c r="FS114" s="4">
        <f>DATE(YEAR(FR114)+2,MONTH(FR114),DAY(FR114)-1)</f>
        <v>46315</v>
      </c>
      <c r="FT114" s="8">
        <f t="shared" ca="1" si="304"/>
        <v>170</v>
      </c>
      <c r="FU114" s="5" t="str">
        <f t="shared" ca="1" si="305"/>
        <v>VIGENTE</v>
      </c>
      <c r="FV114" s="3"/>
      <c r="FW114" s="4">
        <v>45574</v>
      </c>
      <c r="FX114" s="4">
        <f>DATE(YEAR(FW114)+2,MONTH(FW114),DAY(FW114)-1)</f>
        <v>46303</v>
      </c>
      <c r="FY114" s="8">
        <f t="shared" ca="1" si="306"/>
        <v>158</v>
      </c>
      <c r="FZ114" s="5" t="str">
        <f t="shared" ca="1" si="307"/>
        <v>VIGENTE</v>
      </c>
      <c r="GA114" s="3"/>
      <c r="GB114" s="4">
        <v>45560</v>
      </c>
      <c r="GC114" s="4">
        <f>DATE(YEAR(GB114)+2,MONTH(GB114),DAY(GB114)-1)</f>
        <v>46289</v>
      </c>
      <c r="GD114" s="8">
        <f t="shared" ca="1" si="308"/>
        <v>144</v>
      </c>
      <c r="GE114" s="5" t="str">
        <f t="shared" ca="1" si="309"/>
        <v>VIGENTE</v>
      </c>
      <c r="GF114" s="3"/>
      <c r="GG114" s="4">
        <v>45564</v>
      </c>
      <c r="GH114" s="4">
        <f>DATE(YEAR(GG114)+2,MONTH(GG114),DAY(GG114)-1)</f>
        <v>46293</v>
      </c>
      <c r="GI114" s="8">
        <f t="shared" ca="1" si="310"/>
        <v>148</v>
      </c>
      <c r="GJ114" s="5" t="str">
        <f t="shared" ca="1" si="311"/>
        <v>VIGENTE</v>
      </c>
      <c r="GK114" s="3"/>
      <c r="GL114" s="4">
        <v>45945</v>
      </c>
      <c r="GM114" s="4">
        <f>DATE(YEAR(GL114)+2,MONTH(GL114),DAY(GL114))</f>
        <v>46675</v>
      </c>
      <c r="GN114" s="8">
        <f t="shared" ca="1" si="312"/>
        <v>530</v>
      </c>
      <c r="GO114" s="5" t="str">
        <f t="shared" ca="1" si="313"/>
        <v>VIGENTE</v>
      </c>
      <c r="GP114" s="4"/>
      <c r="GQ114" s="4">
        <v>44963</v>
      </c>
      <c r="GR114" s="4">
        <f t="shared" si="314"/>
        <v>46789</v>
      </c>
      <c r="GS114" s="8">
        <f t="shared" ca="1" si="405"/>
        <v>644</v>
      </c>
      <c r="GT114" s="5" t="str">
        <f t="shared" ca="1" si="419"/>
        <v>VIGENTE</v>
      </c>
      <c r="GU114" s="3"/>
      <c r="GV114" s="4">
        <v>45245</v>
      </c>
      <c r="GW114" s="4">
        <f t="shared" si="316"/>
        <v>47072</v>
      </c>
      <c r="GX114" s="8">
        <f t="shared" ca="1" si="317"/>
        <v>927</v>
      </c>
      <c r="GY114" s="5" t="str">
        <f t="shared" ca="1" si="420"/>
        <v>VIGENTE</v>
      </c>
      <c r="GZ114" s="3"/>
      <c r="HA114" s="4">
        <v>45454</v>
      </c>
      <c r="HB114" s="4">
        <f t="shared" si="319"/>
        <v>47280</v>
      </c>
      <c r="HC114" s="8">
        <f t="shared" ca="1" si="320"/>
        <v>1135</v>
      </c>
      <c r="HD114" s="5" t="str">
        <f t="shared" ca="1" si="421"/>
        <v>VIGENTE</v>
      </c>
      <c r="HE114" s="6"/>
      <c r="HF114" s="4">
        <v>44879</v>
      </c>
      <c r="HG114" s="4">
        <f t="shared" si="406"/>
        <v>46705</v>
      </c>
      <c r="HH114" s="8">
        <f t="shared" ca="1" si="407"/>
        <v>560</v>
      </c>
      <c r="HI114" s="5" t="str">
        <f t="shared" ca="1" si="422"/>
        <v>VIGENTE</v>
      </c>
      <c r="HJ114" s="2"/>
      <c r="HK114" s="4">
        <v>45370</v>
      </c>
      <c r="HL114" s="4">
        <f>DATE(YEAR(HK114)+5,MONTH(HK114),DAY(HK114))</f>
        <v>47196</v>
      </c>
      <c r="HM114" s="8">
        <f ca="1">HL114-TODAY()</f>
        <v>1051</v>
      </c>
      <c r="HN114" s="5" t="str">
        <f t="shared" ca="1" si="409"/>
        <v>VIGENTE</v>
      </c>
      <c r="HO114" s="2"/>
      <c r="HP114" s="3">
        <v>45374</v>
      </c>
      <c r="HQ114" s="4">
        <f>DATE(YEAR(HP114)+5,MONTH(HP114),DAY(HP114))</f>
        <v>47200</v>
      </c>
      <c r="HR114" s="8">
        <f ca="1">HQ114-TODAY()</f>
        <v>1055</v>
      </c>
      <c r="HS114" s="5" t="str">
        <f t="shared" ca="1" si="322"/>
        <v>VIGENTE</v>
      </c>
      <c r="HT114" s="3"/>
      <c r="HU114" s="4">
        <v>45482</v>
      </c>
      <c r="HV114" s="4">
        <f>DATE(YEAR(HU114)+5,MONTH(HU114),DAY(HU114))</f>
        <v>47308</v>
      </c>
      <c r="HW114" s="8">
        <f ca="1">HV114-TODAY()</f>
        <v>1163</v>
      </c>
      <c r="HX114" s="5" t="str">
        <f t="shared" ca="1" si="323"/>
        <v>VIGENTE</v>
      </c>
      <c r="HY114" s="3"/>
      <c r="HZ114" s="4">
        <v>45241</v>
      </c>
      <c r="IA114" s="4">
        <f>DATE(YEAR(HZ114)+5,MONTH(HZ114),DAY(HZ114))</f>
        <v>47068</v>
      </c>
      <c r="IB114" s="8">
        <f ca="1">IA114-TODAY()</f>
        <v>923</v>
      </c>
      <c r="IC114" s="5" t="str">
        <f t="shared" ca="1" si="324"/>
        <v>VIGENTE</v>
      </c>
      <c r="ID114" s="3"/>
      <c r="IE114" s="4">
        <v>45425</v>
      </c>
      <c r="IF114" s="4">
        <f>DATE(YEAR(IE114)+5,MONTH(IE114),DAY(IE114))</f>
        <v>47251</v>
      </c>
      <c r="IG114" s="8">
        <f ca="1">IF114-TODAY()</f>
        <v>1106</v>
      </c>
      <c r="IH114" s="5" t="str">
        <f t="shared" ca="1" si="325"/>
        <v>VIGENTE</v>
      </c>
      <c r="II114" s="4"/>
      <c r="IJ114" s="4">
        <v>45455</v>
      </c>
      <c r="IK114" s="4">
        <f>DATE(YEAR(IJ114)+5,MONTH(IJ114),DAY(IJ114))</f>
        <v>47281</v>
      </c>
      <c r="IL114" s="8">
        <f ca="1">IK114-TODAY()</f>
        <v>1136</v>
      </c>
      <c r="IM114" s="5" t="str">
        <f t="shared" ca="1" si="326"/>
        <v>VIGENTE</v>
      </c>
      <c r="IN114" s="3"/>
      <c r="IO114" s="4">
        <v>45460</v>
      </c>
      <c r="IP114" s="4">
        <f>DATE(YEAR(IO114)+5,MONTH(IO114),DAY(IO114))</f>
        <v>47286</v>
      </c>
      <c r="IQ114" s="8">
        <f ca="1">IP114-TODAY()</f>
        <v>1141</v>
      </c>
      <c r="IR114" s="5" t="str">
        <f t="shared" ca="1" si="327"/>
        <v>VIGENTE</v>
      </c>
      <c r="IS114" s="3"/>
      <c r="IT114" s="4">
        <v>45487</v>
      </c>
      <c r="IU114" s="4">
        <f>DATE(YEAR(IT114)+5,MONTH(IT114),DAY(IT114))</f>
        <v>47313</v>
      </c>
      <c r="IV114" s="8">
        <f ca="1">IU114-TODAY()</f>
        <v>1168</v>
      </c>
      <c r="IW114" s="5" t="str">
        <f t="shared" ca="1" si="328"/>
        <v>VIGENTE</v>
      </c>
      <c r="IX114" s="3"/>
      <c r="IY114" s="4">
        <v>45251</v>
      </c>
      <c r="IZ114" s="4">
        <f>DATE(YEAR(IY114)+5,MONTH(IY114),DAY(IY114))</f>
        <v>47078</v>
      </c>
      <c r="JA114" s="8">
        <f ca="1">IZ114-TODAY()</f>
        <v>933</v>
      </c>
      <c r="JB114" s="5" t="str">
        <f t="shared" ca="1" si="329"/>
        <v>VIGENTE</v>
      </c>
      <c r="JC114" s="3" t="s">
        <v>780</v>
      </c>
      <c r="JD114" s="3"/>
      <c r="JE114" s="4"/>
      <c r="JF114" s="8"/>
      <c r="JG114" s="5"/>
      <c r="JH114" s="3" t="s">
        <v>780</v>
      </c>
      <c r="JI114" s="6"/>
      <c r="JJ114" s="6"/>
      <c r="JK114" s="6"/>
      <c r="JL114" s="5"/>
      <c r="JM114" s="6" t="s">
        <v>780</v>
      </c>
      <c r="JN114" s="6"/>
      <c r="JO114" s="6"/>
      <c r="JP114" s="6"/>
      <c r="JQ114" s="5"/>
      <c r="JR114" s="6" t="s">
        <v>780</v>
      </c>
      <c r="JS114" s="6"/>
      <c r="JT114" s="6"/>
      <c r="JU114" s="6"/>
      <c r="JV114" s="5"/>
      <c r="JW114" s="6" t="s">
        <v>780</v>
      </c>
      <c r="JX114" s="5"/>
      <c r="JY114" s="5"/>
      <c r="JZ114" s="5"/>
      <c r="KA114" s="5"/>
      <c r="KB114" s="5"/>
      <c r="KC114" s="2"/>
      <c r="KD114" s="4"/>
      <c r="KE114" s="8"/>
      <c r="KF114" s="5" t="str">
        <f t="shared" si="330"/>
        <v>NO APLICA</v>
      </c>
      <c r="KG114" s="5"/>
      <c r="KH114" s="3">
        <v>45328</v>
      </c>
      <c r="KI114" s="4">
        <f>DATE(YEAR(KH114)+5,MONTH(KH114),DAY(KH114)-1)</f>
        <v>47154</v>
      </c>
      <c r="KJ114" s="8">
        <f ca="1">KI114-TODAY()</f>
        <v>1009</v>
      </c>
      <c r="KK114" s="5" t="str">
        <f t="shared" ca="1" si="356"/>
        <v>VIGENTE</v>
      </c>
      <c r="KL114" s="5"/>
      <c r="KM114" s="2"/>
      <c r="KN114" s="4"/>
      <c r="KO114" s="8"/>
      <c r="KP114" s="5" t="str">
        <f t="shared" si="331"/>
        <v>NO APLICA</v>
      </c>
      <c r="KQ114" s="5"/>
      <c r="KR114" s="3">
        <v>45346</v>
      </c>
      <c r="KS114" s="4">
        <f>DATE(YEAR(KR114)+5,MONTH(KR114),DAY(KR114))</f>
        <v>47173</v>
      </c>
      <c r="KT114" s="8">
        <f ca="1">KS114-TODAY()</f>
        <v>1028</v>
      </c>
      <c r="KU114" s="5" t="str">
        <f t="shared" ca="1" si="357"/>
        <v>VIGENTE</v>
      </c>
      <c r="KV114" s="2"/>
      <c r="KW114" s="6"/>
      <c r="KX114" s="4"/>
      <c r="KY114" s="8"/>
      <c r="KZ114" s="5" t="str">
        <f t="shared" si="366"/>
        <v>NO APLICA</v>
      </c>
      <c r="LA114" s="5"/>
      <c r="LB114" s="4">
        <v>44613</v>
      </c>
      <c r="LC114" s="4">
        <f>DATE(YEAR(LB114)+5,MONTH(LB114),DAY(LB114))</f>
        <v>46439</v>
      </c>
      <c r="LD114" s="8">
        <f ca="1">LC114-TODAY()</f>
        <v>294</v>
      </c>
      <c r="LE114" s="5" t="str">
        <f t="shared" ca="1" si="358"/>
        <v>VIGENTE</v>
      </c>
      <c r="LF114" s="6"/>
      <c r="LG114" s="6"/>
      <c r="LH114" s="4"/>
      <c r="LI114" s="8"/>
      <c r="LJ114" s="5" t="str">
        <f t="shared" si="332"/>
        <v>NO APLICA</v>
      </c>
      <c r="LK114" s="5"/>
      <c r="LL114" s="5"/>
      <c r="LM114" s="5"/>
      <c r="LN114" s="5"/>
      <c r="LO114" s="5" t="str">
        <f t="shared" si="367"/>
        <v>NO APLICA</v>
      </c>
      <c r="LP114" s="2"/>
      <c r="LQ114" s="6"/>
      <c r="LR114" s="4"/>
      <c r="LS114" s="8"/>
      <c r="LT114" s="5" t="str">
        <f t="shared" si="359"/>
        <v>NO APLICA</v>
      </c>
      <c r="LU114" s="4"/>
      <c r="LV114" s="4">
        <v>44986</v>
      </c>
      <c r="LW114" s="4">
        <f>DATE(YEAR(LV114)+5,MONTH(LV114),DAY(LV114))</f>
        <v>46813</v>
      </c>
      <c r="LX114" s="8">
        <f ca="1">LW114-TODAY()</f>
        <v>668</v>
      </c>
      <c r="LY114" s="5" t="str">
        <f t="shared" ca="1" si="360"/>
        <v>VIGENTE</v>
      </c>
      <c r="LZ114" s="4"/>
      <c r="MA114" s="4">
        <v>44988</v>
      </c>
      <c r="MB114" s="4">
        <f>DATE(YEAR(MA114)+5,MONTH(MA114),DAY(MA114))</f>
        <v>46815</v>
      </c>
      <c r="MC114" s="8">
        <f ca="1">MB114-TODAY()</f>
        <v>670</v>
      </c>
      <c r="MD114" s="5" t="str">
        <f t="shared" ca="1" si="361"/>
        <v>VIGENTE</v>
      </c>
      <c r="ME114" s="2"/>
      <c r="MF114" s="2"/>
      <c r="MG114" s="4"/>
      <c r="MH114" s="8"/>
      <c r="MI114" s="5" t="str">
        <f t="shared" si="333"/>
        <v>NO APLICA</v>
      </c>
      <c r="MJ114" s="2"/>
      <c r="MK114" s="2"/>
      <c r="ML114" s="4"/>
      <c r="MM114" s="8"/>
      <c r="MN114" s="5" t="str">
        <f t="shared" si="334"/>
        <v>NO APLICA</v>
      </c>
      <c r="MO114" s="5"/>
      <c r="MP114" s="2"/>
      <c r="MQ114" s="4"/>
      <c r="MR114" s="8"/>
      <c r="MS114" s="5" t="str">
        <f t="shared" si="335"/>
        <v>NO APLICA</v>
      </c>
      <c r="MT114" s="5"/>
      <c r="MU114" s="2"/>
      <c r="MV114" s="4"/>
      <c r="MW114" s="2"/>
      <c r="MX114" s="5" t="str">
        <f t="shared" si="336"/>
        <v>NO APLICA</v>
      </c>
      <c r="MY114" s="2"/>
      <c r="MZ114" s="6"/>
      <c r="NA114" s="4"/>
      <c r="NB114" s="8"/>
      <c r="NC114" s="5" t="str">
        <f t="shared" si="337"/>
        <v>NO APLICA</v>
      </c>
      <c r="ND114" s="2"/>
      <c r="NE114" s="6"/>
      <c r="NF114" s="4"/>
      <c r="NG114" s="8"/>
      <c r="NH114" s="5" t="str">
        <f t="shared" si="338"/>
        <v>NO APLICA</v>
      </c>
      <c r="NI114" s="2"/>
      <c r="NJ114" s="6"/>
      <c r="NK114" s="4"/>
      <c r="NL114" s="8"/>
      <c r="NM114" s="5" t="str">
        <f t="shared" si="339"/>
        <v>NO APLICA</v>
      </c>
      <c r="NN114" s="2"/>
      <c r="NO114" s="2"/>
      <c r="NP114" s="4"/>
      <c r="NQ114" s="2"/>
      <c r="NR114" s="5" t="str">
        <f t="shared" si="340"/>
        <v>NO APLICA</v>
      </c>
      <c r="NS114" s="2"/>
      <c r="NT114" s="2"/>
      <c r="NU114" s="2"/>
      <c r="NV114" s="2"/>
      <c r="NW114" s="5" t="str">
        <f t="shared" si="341"/>
        <v>NO APLICA</v>
      </c>
      <c r="NX114" s="6"/>
      <c r="NY114" s="6"/>
      <c r="NZ114" s="4"/>
      <c r="OA114" s="8"/>
      <c r="OB114" s="5" t="str">
        <f t="shared" si="342"/>
        <v>NO APLICA</v>
      </c>
      <c r="OC114" s="6"/>
      <c r="OD114" s="6"/>
      <c r="OE114" s="6"/>
      <c r="OF114" s="6"/>
      <c r="OG114" s="5" t="str">
        <f t="shared" si="343"/>
        <v>NO APLICA</v>
      </c>
      <c r="OH114" s="6"/>
      <c r="OI114" s="6"/>
      <c r="OJ114" s="4"/>
      <c r="OK114" s="8"/>
      <c r="OL114" s="5" t="str">
        <f t="shared" si="344"/>
        <v>NO APLICA</v>
      </c>
      <c r="OM114" s="6"/>
      <c r="ON114" s="6"/>
      <c r="OO114" s="6"/>
      <c r="OP114" s="6"/>
      <c r="OQ114" s="5" t="str">
        <f t="shared" si="345"/>
        <v>NO APLICA</v>
      </c>
      <c r="OR114" s="6"/>
      <c r="OS114" s="6"/>
      <c r="OT114" s="6"/>
      <c r="OU114" s="6"/>
      <c r="OV114" s="5" t="str">
        <f t="shared" si="346"/>
        <v>NO APLICA</v>
      </c>
      <c r="OW114" s="6"/>
      <c r="OX114" s="6"/>
      <c r="OY114" s="6"/>
      <c r="OZ114" s="6"/>
      <c r="PA114" s="5" t="str">
        <f t="shared" si="347"/>
        <v>NO APLICA</v>
      </c>
      <c r="PB114" s="6"/>
      <c r="PC114" s="6"/>
      <c r="PD114" s="6"/>
      <c r="PE114" s="6"/>
      <c r="PF114" s="5" t="str">
        <f t="shared" si="348"/>
        <v>NO APLICA</v>
      </c>
      <c r="PG114" s="6"/>
      <c r="PH114" s="6"/>
      <c r="PI114" s="6"/>
      <c r="PJ114" s="6"/>
      <c r="PK114" s="5" t="str">
        <f t="shared" si="349"/>
        <v>NO APLICA</v>
      </c>
      <c r="PL114" s="5"/>
      <c r="PM114" s="6"/>
      <c r="PN114" s="4"/>
      <c r="PO114" s="8"/>
      <c r="PP114" s="5" t="str">
        <f t="shared" si="350"/>
        <v>NO APLICA</v>
      </c>
      <c r="PQ114" s="6"/>
      <c r="PR114" s="6"/>
      <c r="PS114" s="6"/>
      <c r="PT114" s="6"/>
      <c r="PU114" s="5" t="str">
        <f t="shared" si="351"/>
        <v>NO APLICA</v>
      </c>
      <c r="PV114" s="5"/>
      <c r="PW114" s="6"/>
      <c r="PX114" s="6"/>
      <c r="PY114" s="6"/>
      <c r="PZ114" s="5" t="str">
        <f t="shared" si="352"/>
        <v>NO APLICA</v>
      </c>
    </row>
    <row r="115" spans="1:442" ht="15.6" hidden="1" thickTop="1" thickBot="1" x14ac:dyDescent="0.35">
      <c r="A115" s="26">
        <v>112</v>
      </c>
      <c r="B115" s="31">
        <v>1708</v>
      </c>
      <c r="C115" s="28" t="s">
        <v>386</v>
      </c>
      <c r="D115" s="29" t="s">
        <v>64</v>
      </c>
      <c r="E115" s="30" t="s">
        <v>81</v>
      </c>
      <c r="F115" s="5"/>
      <c r="G115" s="6"/>
      <c r="H115" s="4"/>
      <c r="I115" s="8"/>
      <c r="J115" s="5" t="str">
        <f t="shared" si="242"/>
        <v>NO APLICA</v>
      </c>
      <c r="K115" s="2"/>
      <c r="L115" s="6"/>
      <c r="M115" s="6"/>
      <c r="N115" s="8"/>
      <c r="O115" s="5" t="str">
        <f t="shared" si="243"/>
        <v>NO APLICA</v>
      </c>
      <c r="P115" s="4"/>
      <c r="Q115" s="4">
        <v>45758</v>
      </c>
      <c r="R115" s="4">
        <f>DATE(YEAR(Q115)+2,MONTH(Q115),DAY(Q115)-1)</f>
        <v>46487</v>
      </c>
      <c r="S115" s="8">
        <f ca="1">R115-TODAY()</f>
        <v>342</v>
      </c>
      <c r="T115" s="5" t="str">
        <f t="shared" ca="1" si="353"/>
        <v>VIGENTE</v>
      </c>
      <c r="U115" s="5"/>
      <c r="V115" s="2" t="s">
        <v>387</v>
      </c>
      <c r="W115" s="4">
        <v>44515</v>
      </c>
      <c r="X115" s="4">
        <f t="shared" si="410"/>
        <v>46341</v>
      </c>
      <c r="Y115" s="8">
        <f t="shared" ca="1" si="411"/>
        <v>196</v>
      </c>
      <c r="Z115" s="5" t="str">
        <f t="shared" ca="1" si="412"/>
        <v>VIGENTE</v>
      </c>
      <c r="AA115" s="5"/>
      <c r="AB115" s="2" t="s">
        <v>388</v>
      </c>
      <c r="AC115" s="4">
        <v>45233</v>
      </c>
      <c r="AD115" s="4">
        <f t="shared" si="413"/>
        <v>47060</v>
      </c>
      <c r="AE115" s="8">
        <f t="shared" ca="1" si="414"/>
        <v>915</v>
      </c>
      <c r="AF115" s="5" t="str">
        <f t="shared" ca="1" si="247"/>
        <v>VIGENTE</v>
      </c>
      <c r="AG115" s="2"/>
      <c r="AH115" s="4">
        <v>45936</v>
      </c>
      <c r="AI115" s="4">
        <f>DATE(YEAR(AH115)+2,MONTH(AH115),DAY(AH115))</f>
        <v>46666</v>
      </c>
      <c r="AJ115" s="8">
        <f t="shared" ca="1" si="248"/>
        <v>521</v>
      </c>
      <c r="AK115" s="5" t="str">
        <f t="shared" ca="1" si="408"/>
        <v>VIGENTE</v>
      </c>
      <c r="AL115" s="2"/>
      <c r="AM115" s="4">
        <v>45937</v>
      </c>
      <c r="AN115" s="4">
        <f t="shared" si="415"/>
        <v>46667</v>
      </c>
      <c r="AO115" s="8">
        <f t="shared" ca="1" si="249"/>
        <v>522</v>
      </c>
      <c r="AP115" s="5" t="str">
        <f t="shared" ca="1" si="250"/>
        <v>VIGENTE</v>
      </c>
      <c r="AQ115" s="2"/>
      <c r="AR115" s="4">
        <v>45904</v>
      </c>
      <c r="AS115" s="4">
        <f>DATE(YEAR(AR115)+2,MONTH(AR115),DAY(AR115))</f>
        <v>46634</v>
      </c>
      <c r="AT115" s="8">
        <f t="shared" ca="1" si="251"/>
        <v>489</v>
      </c>
      <c r="AU115" s="5" t="str">
        <f t="shared" ca="1" si="252"/>
        <v>VIGENTE</v>
      </c>
      <c r="AV115" s="2"/>
      <c r="AW115" s="4">
        <v>45927</v>
      </c>
      <c r="AX115" s="4">
        <f>DATE(YEAR(AW115)+2,MONTH(AW115),DAY(AW115))</f>
        <v>46657</v>
      </c>
      <c r="AY115" s="8">
        <f t="shared" ca="1" si="253"/>
        <v>512</v>
      </c>
      <c r="AZ115" s="5" t="str">
        <f t="shared" ca="1" si="254"/>
        <v>VIGENTE</v>
      </c>
      <c r="BA115" s="3"/>
      <c r="BB115" s="4">
        <v>46041</v>
      </c>
      <c r="BC115" s="4">
        <f>DATE(YEAR(BB115)+2,MONTH(BB115),DAY(BB115))</f>
        <v>46771</v>
      </c>
      <c r="BD115" s="8">
        <f t="shared" ca="1" si="255"/>
        <v>626</v>
      </c>
      <c r="BE115" s="5" t="str">
        <f t="shared" ca="1" si="256"/>
        <v>VIGENTE</v>
      </c>
      <c r="BF115" s="2"/>
      <c r="BG115" s="4">
        <v>45997</v>
      </c>
      <c r="BH115" s="4">
        <f>DATE(YEAR(BG115)+2,MONTH(BG115),DAY(BG115))</f>
        <v>46727</v>
      </c>
      <c r="BI115" s="8">
        <f t="shared" ca="1" si="257"/>
        <v>582</v>
      </c>
      <c r="BJ115" s="5" t="str">
        <f t="shared" ca="1" si="258"/>
        <v>VIGENTE</v>
      </c>
      <c r="BK115" s="3"/>
      <c r="BL115" s="4">
        <v>46006</v>
      </c>
      <c r="BM115" s="4">
        <f>DATE(YEAR(BL115)+2,MONTH(BL115),DAY(BL115))</f>
        <v>46736</v>
      </c>
      <c r="BN115" s="8">
        <f t="shared" ca="1" si="259"/>
        <v>591</v>
      </c>
      <c r="BO115" s="5" t="str">
        <f t="shared" ca="1" si="260"/>
        <v>VIGENTE</v>
      </c>
      <c r="BP115" s="4"/>
      <c r="BQ115" s="39">
        <v>45981</v>
      </c>
      <c r="BR115" s="4">
        <f>DATE(YEAR(BQ115)+2,MONTH(BQ115),DAY(BQ115))</f>
        <v>46711</v>
      </c>
      <c r="BS115" s="8">
        <f t="shared" ca="1" si="261"/>
        <v>566</v>
      </c>
      <c r="BT115" s="5" t="str">
        <f t="shared" ca="1" si="262"/>
        <v>VIGENTE</v>
      </c>
      <c r="BU115" s="3"/>
      <c r="BV115" s="4">
        <v>46031</v>
      </c>
      <c r="BW115" s="4">
        <f>DATE(YEAR(BV115)+2,MONTH(BV115),DAY(BV115))</f>
        <v>46761</v>
      </c>
      <c r="BX115" s="8">
        <f t="shared" ca="1" si="263"/>
        <v>616</v>
      </c>
      <c r="BY115" s="5" t="str">
        <f t="shared" ca="1" si="264"/>
        <v>VIGENTE</v>
      </c>
      <c r="BZ115" s="2"/>
      <c r="CA115" s="4">
        <v>45986</v>
      </c>
      <c r="CB115" s="4">
        <f t="shared" si="423"/>
        <v>46716</v>
      </c>
      <c r="CC115" s="8">
        <f t="shared" ca="1" si="265"/>
        <v>571</v>
      </c>
      <c r="CD115" s="5" t="str">
        <f t="shared" ca="1" si="266"/>
        <v>VIGENTE</v>
      </c>
      <c r="CE115" s="6"/>
      <c r="CF115" s="4">
        <v>45565</v>
      </c>
      <c r="CG115" s="4">
        <f t="shared" si="416"/>
        <v>47026</v>
      </c>
      <c r="CH115" s="8">
        <f t="shared" ca="1" si="417"/>
        <v>881</v>
      </c>
      <c r="CI115" s="5" t="str">
        <f t="shared" ca="1" si="418"/>
        <v>VIGENTE</v>
      </c>
      <c r="CJ115" s="4"/>
      <c r="CK115" s="4">
        <v>46018</v>
      </c>
      <c r="CL115" s="4">
        <f>DATE(YEAR(CK115)+2,MONTH(CK115),DAY(CK115))</f>
        <v>46748</v>
      </c>
      <c r="CM115" s="8">
        <f t="shared" ca="1" si="270"/>
        <v>603</v>
      </c>
      <c r="CN115" s="5" t="str">
        <f t="shared" ca="1" si="271"/>
        <v>VIGENTE</v>
      </c>
      <c r="CO115" s="4"/>
      <c r="CP115" s="39">
        <v>45979</v>
      </c>
      <c r="CQ115" s="4">
        <f>DATE(YEAR(CP115)+2,MONTH(CP115),DAY(CP115))</f>
        <v>46709</v>
      </c>
      <c r="CR115" s="8">
        <f t="shared" ca="1" si="272"/>
        <v>564</v>
      </c>
      <c r="CS115" s="5" t="str">
        <f t="shared" ca="1" si="273"/>
        <v>VIGENTE</v>
      </c>
      <c r="CT115" s="2"/>
      <c r="CU115" s="4">
        <v>45905</v>
      </c>
      <c r="CV115" s="4">
        <f>DATE(YEAR(CU115)+2,MONTH(CU115),DAY(CU115))</f>
        <v>46635</v>
      </c>
      <c r="CW115" s="8">
        <f t="shared" ca="1" si="274"/>
        <v>490</v>
      </c>
      <c r="CX115" s="5" t="str">
        <f t="shared" ca="1" si="275"/>
        <v>VIGENTE</v>
      </c>
      <c r="CY115" s="3"/>
      <c r="CZ115" s="4">
        <v>46000</v>
      </c>
      <c r="DA115" s="4">
        <f>DATE(YEAR(CZ115)+2,MONTH(CZ115),DAY(CZ115))</f>
        <v>46730</v>
      </c>
      <c r="DB115" s="8">
        <f t="shared" ca="1" si="276"/>
        <v>585</v>
      </c>
      <c r="DC115" s="5" t="str">
        <f t="shared" ca="1" si="277"/>
        <v>VIGENTE</v>
      </c>
      <c r="DD115" s="3"/>
      <c r="DE115" s="39">
        <v>45996</v>
      </c>
      <c r="DF115" s="4">
        <f>DATE(YEAR(DE115)+2,MONTH(DE115),DAY(DE115))</f>
        <v>46726</v>
      </c>
      <c r="DG115" s="8">
        <f t="shared" ca="1" si="278"/>
        <v>581</v>
      </c>
      <c r="DH115" s="5" t="str">
        <f t="shared" ca="1" si="279"/>
        <v>VIGENTE</v>
      </c>
      <c r="DI115" s="4"/>
      <c r="DJ115" s="39">
        <v>45975</v>
      </c>
      <c r="DK115" s="4">
        <f>DATE(YEAR(DJ115)+2,MONTH(DJ115),DAY(DJ115))</f>
        <v>46705</v>
      </c>
      <c r="DL115" s="8">
        <f t="shared" ca="1" si="280"/>
        <v>560</v>
      </c>
      <c r="DM115" s="5" t="str">
        <f t="shared" ca="1" si="281"/>
        <v>VIGENTE</v>
      </c>
      <c r="DN115" s="3"/>
      <c r="DO115" s="4">
        <v>46007</v>
      </c>
      <c r="DP115" s="4">
        <f>DATE(YEAR(DO115)+2,MONTH(DO115),DAY(DO115))</f>
        <v>46737</v>
      </c>
      <c r="DQ115" s="8">
        <f t="shared" ca="1" si="282"/>
        <v>592</v>
      </c>
      <c r="DR115" s="5" t="str">
        <f t="shared" ca="1" si="283"/>
        <v>VIGENTE</v>
      </c>
      <c r="DS115" s="3"/>
      <c r="DT115" s="4">
        <v>46003</v>
      </c>
      <c r="DU115" s="4">
        <f>DATE(YEAR(DT115)+2,MONTH(DT115),DAY(DT115))</f>
        <v>46733</v>
      </c>
      <c r="DV115" s="8">
        <f t="shared" ca="1" si="284"/>
        <v>588</v>
      </c>
      <c r="DW115" s="5" t="str">
        <f t="shared" ca="1" si="285"/>
        <v>VIGENTE</v>
      </c>
      <c r="DX115" s="4"/>
      <c r="DY115" s="4">
        <v>46032</v>
      </c>
      <c r="DZ115" s="4">
        <f>DATE(YEAR(DY115)+2,MONTH(DY115),DAY(DY115))</f>
        <v>46762</v>
      </c>
      <c r="EA115" s="8">
        <f t="shared" ca="1" si="286"/>
        <v>617</v>
      </c>
      <c r="EB115" s="5" t="str">
        <f t="shared" ca="1" si="287"/>
        <v>VIGENTE</v>
      </c>
      <c r="EC115" s="4"/>
      <c r="ED115" s="39">
        <v>45994</v>
      </c>
      <c r="EE115" s="4">
        <f>DATE(YEAR(ED115)+2,MONTH(ED115),DAY(ED115))</f>
        <v>46724</v>
      </c>
      <c r="EF115" s="8">
        <f t="shared" ca="1" si="288"/>
        <v>579</v>
      </c>
      <c r="EG115" s="5" t="str">
        <f t="shared" ca="1" si="289"/>
        <v>VIGENTE</v>
      </c>
      <c r="EH115" s="3"/>
      <c r="EI115" s="3">
        <v>46015</v>
      </c>
      <c r="EJ115" s="4">
        <f t="shared" si="355"/>
        <v>46380</v>
      </c>
      <c r="EK115" s="8">
        <f t="shared" ca="1" si="290"/>
        <v>235</v>
      </c>
      <c r="EL115" s="5" t="str">
        <f t="shared" ca="1" si="291"/>
        <v>VIGENTE</v>
      </c>
      <c r="EM115" s="3"/>
      <c r="EN115" s="4">
        <v>45983</v>
      </c>
      <c r="EO115" s="4">
        <f>DATE(YEAR(EN115)+2,MONTH(EN115),DAY(EN115))</f>
        <v>46713</v>
      </c>
      <c r="EP115" s="8">
        <f t="shared" ca="1" si="292"/>
        <v>568</v>
      </c>
      <c r="EQ115" s="5" t="str">
        <f t="shared" ca="1" si="293"/>
        <v>VIGENTE</v>
      </c>
      <c r="ER115" s="2"/>
      <c r="ES115" s="39">
        <v>45999</v>
      </c>
      <c r="ET115" s="4">
        <f>DATE(YEAR(ES115)+2,MONTH(ES115),DAY(ES115))</f>
        <v>46729</v>
      </c>
      <c r="EU115" s="8">
        <f t="shared" ca="1" si="294"/>
        <v>584</v>
      </c>
      <c r="EV115" s="5" t="str">
        <f t="shared" ca="1" si="295"/>
        <v>VIGENTE</v>
      </c>
      <c r="EW115" s="3"/>
      <c r="EX115" s="4">
        <v>46037</v>
      </c>
      <c r="EY115" s="4">
        <f t="shared" si="424"/>
        <v>46767</v>
      </c>
      <c r="EZ115" s="8">
        <f t="shared" ca="1" si="296"/>
        <v>622</v>
      </c>
      <c r="FA115" s="5" t="str">
        <f t="shared" ca="1" si="297"/>
        <v>VIGENTE</v>
      </c>
      <c r="FB115" s="2"/>
      <c r="FC115" s="4">
        <v>45988</v>
      </c>
      <c r="FD115" s="4">
        <f>DATE(YEAR(FC115)+2,MONTH(FC115),DAY(FC115))</f>
        <v>46718</v>
      </c>
      <c r="FE115" s="8">
        <f t="shared" ca="1" si="298"/>
        <v>573</v>
      </c>
      <c r="FF115" s="5" t="str">
        <f t="shared" ca="1" si="299"/>
        <v>VIGENTE</v>
      </c>
      <c r="FG115" s="3"/>
      <c r="FH115" s="4">
        <v>45962</v>
      </c>
      <c r="FI115" s="4">
        <f t="shared" si="425"/>
        <v>46692</v>
      </c>
      <c r="FJ115" s="8">
        <f t="shared" ca="1" si="300"/>
        <v>547</v>
      </c>
      <c r="FK115" s="5" t="str">
        <f t="shared" ca="1" si="301"/>
        <v>VIGENTE</v>
      </c>
      <c r="FL115" s="4"/>
      <c r="FM115" s="39">
        <v>46039</v>
      </c>
      <c r="FN115" s="4">
        <f>DATE(YEAR(FM115)+2,MONTH(FM115),DAY(FM115))</f>
        <v>46769</v>
      </c>
      <c r="FO115" s="8">
        <f t="shared" ca="1" si="302"/>
        <v>624</v>
      </c>
      <c r="FP115" s="5" t="str">
        <f t="shared" ca="1" si="303"/>
        <v>VIGENTE</v>
      </c>
      <c r="FQ115" s="4"/>
      <c r="FR115" s="39">
        <v>46034</v>
      </c>
      <c r="FS115" s="4">
        <f>DATE(YEAR(FR115)+2,MONTH(FR115),DAY(FR115))</f>
        <v>46764</v>
      </c>
      <c r="FT115" s="8">
        <f t="shared" ca="1" si="304"/>
        <v>619</v>
      </c>
      <c r="FU115" s="5" t="str">
        <f t="shared" ca="1" si="305"/>
        <v>VIGENTE</v>
      </c>
      <c r="FV115" s="3"/>
      <c r="FW115" s="4">
        <v>45993</v>
      </c>
      <c r="FX115" s="4">
        <f>DATE(YEAR(FW115)+2,MONTH(FW115),DAY(FW115))</f>
        <v>46723</v>
      </c>
      <c r="FY115" s="8">
        <f t="shared" ca="1" si="306"/>
        <v>578</v>
      </c>
      <c r="FZ115" s="5" t="str">
        <f t="shared" ca="1" si="307"/>
        <v>VIGENTE</v>
      </c>
      <c r="GA115" s="3"/>
      <c r="GB115" s="4">
        <v>45925</v>
      </c>
      <c r="GC115" s="4">
        <f>DATE(YEAR(GB115)+2,MONTH(GB115),DAY(GB115))</f>
        <v>46655</v>
      </c>
      <c r="GD115" s="8">
        <f t="shared" ca="1" si="308"/>
        <v>510</v>
      </c>
      <c r="GE115" s="5" t="str">
        <f t="shared" ca="1" si="309"/>
        <v>VIGENTE</v>
      </c>
      <c r="GF115" s="3"/>
      <c r="GG115" s="4">
        <v>45960</v>
      </c>
      <c r="GH115" s="4">
        <f>DATE(YEAR(GG115)+2,MONTH(GG115),DAY(GG115))</f>
        <v>46690</v>
      </c>
      <c r="GI115" s="8">
        <f t="shared" ca="1" si="310"/>
        <v>545</v>
      </c>
      <c r="GJ115" s="5" t="str">
        <f t="shared" ca="1" si="311"/>
        <v>VIGENTE</v>
      </c>
      <c r="GK115" s="3"/>
      <c r="GL115" s="4">
        <v>45499</v>
      </c>
      <c r="GM115" s="4">
        <f>DATE(YEAR(GL115)+2,MONTH(GL115),DAY(GL115)-1)</f>
        <v>46228</v>
      </c>
      <c r="GN115" s="8">
        <f t="shared" ca="1" si="312"/>
        <v>83</v>
      </c>
      <c r="GO115" s="5" t="str">
        <f t="shared" ca="1" si="313"/>
        <v>VIGENTE</v>
      </c>
      <c r="GP115" s="4"/>
      <c r="GQ115" s="4">
        <v>45299</v>
      </c>
      <c r="GR115" s="4">
        <f t="shared" si="314"/>
        <v>47126</v>
      </c>
      <c r="GS115" s="8">
        <f t="shared" ca="1" si="405"/>
        <v>981</v>
      </c>
      <c r="GT115" s="5" t="str">
        <f t="shared" ca="1" si="419"/>
        <v>VIGENTE</v>
      </c>
      <c r="GU115" s="3"/>
      <c r="GV115" s="4">
        <v>45329</v>
      </c>
      <c r="GW115" s="4">
        <f t="shared" si="316"/>
        <v>47156</v>
      </c>
      <c r="GX115" s="8">
        <f t="shared" ca="1" si="317"/>
        <v>1011</v>
      </c>
      <c r="GY115" s="5" t="str">
        <f t="shared" ca="1" si="420"/>
        <v>VIGENTE</v>
      </c>
      <c r="GZ115" s="2"/>
      <c r="HA115" s="4">
        <v>45343</v>
      </c>
      <c r="HB115" s="4">
        <f t="shared" si="319"/>
        <v>47170</v>
      </c>
      <c r="HC115" s="8">
        <f t="shared" ca="1" si="320"/>
        <v>1025</v>
      </c>
      <c r="HD115" s="5" t="str">
        <f t="shared" ca="1" si="421"/>
        <v>VIGENTE</v>
      </c>
      <c r="HE115" s="6"/>
      <c r="HF115" s="4">
        <v>45317</v>
      </c>
      <c r="HG115" s="4">
        <f t="shared" si="406"/>
        <v>47144</v>
      </c>
      <c r="HH115" s="8">
        <f t="shared" ca="1" si="407"/>
        <v>999</v>
      </c>
      <c r="HI115" s="5" t="str">
        <f t="shared" ca="1" si="422"/>
        <v>VIGENTE</v>
      </c>
      <c r="HJ115" s="2"/>
      <c r="HK115" s="6"/>
      <c r="HL115" s="4"/>
      <c r="HM115" s="8"/>
      <c r="HN115" s="5" t="str">
        <f t="shared" si="409"/>
        <v>NO APLICA</v>
      </c>
      <c r="HO115" s="2"/>
      <c r="HP115" s="2"/>
      <c r="HQ115" s="4"/>
      <c r="HR115" s="2"/>
      <c r="HS115" s="5" t="str">
        <f t="shared" si="322"/>
        <v>NO APLICA</v>
      </c>
      <c r="HT115" s="2"/>
      <c r="HU115" s="6"/>
      <c r="HV115" s="4"/>
      <c r="HW115" s="8"/>
      <c r="HX115" s="5" t="str">
        <f t="shared" si="323"/>
        <v>NO APLICA</v>
      </c>
      <c r="HY115" s="2"/>
      <c r="HZ115" s="6"/>
      <c r="IA115" s="4"/>
      <c r="IB115" s="8"/>
      <c r="IC115" s="5" t="str">
        <f t="shared" si="324"/>
        <v>NO APLICA</v>
      </c>
      <c r="ID115" s="2"/>
      <c r="IE115" s="6"/>
      <c r="IF115" s="4"/>
      <c r="IG115" s="8"/>
      <c r="IH115" s="5" t="str">
        <f t="shared" si="325"/>
        <v>NO APLICA</v>
      </c>
      <c r="II115" s="6"/>
      <c r="IJ115" s="6"/>
      <c r="IK115" s="4"/>
      <c r="IL115" s="8"/>
      <c r="IM115" s="5" t="str">
        <f t="shared" si="326"/>
        <v>NO APLICA</v>
      </c>
      <c r="IN115" s="2"/>
      <c r="IO115" s="6"/>
      <c r="IP115" s="4"/>
      <c r="IQ115" s="8"/>
      <c r="IR115" s="5" t="str">
        <f t="shared" si="327"/>
        <v>NO APLICA</v>
      </c>
      <c r="IS115" s="2"/>
      <c r="IT115" s="6"/>
      <c r="IU115" s="4"/>
      <c r="IV115" s="8"/>
      <c r="IW115" s="5" t="str">
        <f t="shared" si="328"/>
        <v>NO APLICA</v>
      </c>
      <c r="IX115" s="2"/>
      <c r="IY115" s="6"/>
      <c r="IZ115" s="4"/>
      <c r="JA115" s="8"/>
      <c r="JB115" s="5" t="str">
        <f t="shared" si="329"/>
        <v>NO APLICA</v>
      </c>
      <c r="JC115" s="3" t="s">
        <v>780</v>
      </c>
      <c r="JD115" s="3"/>
      <c r="JE115" s="4"/>
      <c r="JF115" s="8"/>
      <c r="JG115" s="5"/>
      <c r="JH115" s="3" t="s">
        <v>780</v>
      </c>
      <c r="JI115" s="6"/>
      <c r="JJ115" s="6"/>
      <c r="JK115" s="6"/>
      <c r="JL115" s="5"/>
      <c r="JM115" s="6" t="s">
        <v>780</v>
      </c>
      <c r="JN115" s="6"/>
      <c r="JO115" s="6"/>
      <c r="JP115" s="6"/>
      <c r="JQ115" s="5"/>
      <c r="JR115" s="6" t="s">
        <v>780</v>
      </c>
      <c r="JS115" s="6"/>
      <c r="JT115" s="6"/>
      <c r="JU115" s="6"/>
      <c r="JV115" s="5"/>
      <c r="JW115" s="6" t="s">
        <v>780</v>
      </c>
      <c r="JX115" s="5"/>
      <c r="JY115" s="5"/>
      <c r="JZ115" s="5"/>
      <c r="KA115" s="5"/>
      <c r="KB115" s="5"/>
      <c r="KC115" s="2"/>
      <c r="KD115" s="4"/>
      <c r="KE115" s="8"/>
      <c r="KF115" s="5" t="str">
        <f t="shared" si="330"/>
        <v>NO APLICA</v>
      </c>
      <c r="KG115" s="5"/>
      <c r="KH115" s="2"/>
      <c r="KI115" s="4"/>
      <c r="KJ115" s="8"/>
      <c r="KK115" s="5" t="str">
        <f t="shared" si="356"/>
        <v>NO APLICA</v>
      </c>
      <c r="KL115" s="5"/>
      <c r="KM115" s="2"/>
      <c r="KN115" s="4"/>
      <c r="KO115" s="8"/>
      <c r="KP115" s="5" t="str">
        <f t="shared" si="331"/>
        <v>NO APLICA</v>
      </c>
      <c r="KQ115" s="5"/>
      <c r="KR115" s="2"/>
      <c r="KS115" s="4"/>
      <c r="KT115" s="8"/>
      <c r="KU115" s="5" t="str">
        <f t="shared" si="357"/>
        <v>NO APLICA</v>
      </c>
      <c r="KV115" s="2"/>
      <c r="KW115" s="6"/>
      <c r="KX115" s="4"/>
      <c r="KY115" s="8"/>
      <c r="KZ115" s="5" t="str">
        <f t="shared" si="366"/>
        <v>NO APLICA</v>
      </c>
      <c r="LA115" s="5"/>
      <c r="LB115" s="6"/>
      <c r="LC115" s="4"/>
      <c r="LD115" s="8"/>
      <c r="LE115" s="5" t="str">
        <f t="shared" si="358"/>
        <v>NO APLICA</v>
      </c>
      <c r="LF115" s="6"/>
      <c r="LG115" s="6"/>
      <c r="LH115" s="4"/>
      <c r="LI115" s="8"/>
      <c r="LJ115" s="5" t="str">
        <f t="shared" si="332"/>
        <v>NO APLICA</v>
      </c>
      <c r="LK115" s="5"/>
      <c r="LL115" s="5"/>
      <c r="LM115" s="4"/>
      <c r="LN115" s="8"/>
      <c r="LO115" s="5" t="str">
        <f t="shared" si="367"/>
        <v>NO APLICA</v>
      </c>
      <c r="LP115" s="2"/>
      <c r="LQ115" s="6"/>
      <c r="LR115" s="4"/>
      <c r="LS115" s="8"/>
      <c r="LT115" s="5" t="str">
        <f t="shared" si="359"/>
        <v>NO APLICA</v>
      </c>
      <c r="LU115" s="6"/>
      <c r="LV115" s="6"/>
      <c r="LW115" s="4"/>
      <c r="LX115" s="8"/>
      <c r="LY115" s="5" t="str">
        <f t="shared" si="360"/>
        <v>NO APLICA</v>
      </c>
      <c r="LZ115" s="6"/>
      <c r="MA115" s="6"/>
      <c r="MB115" s="4"/>
      <c r="MC115" s="8"/>
      <c r="MD115" s="5" t="str">
        <f t="shared" si="361"/>
        <v>NO APLICA</v>
      </c>
      <c r="ME115" s="2"/>
      <c r="MF115" s="2"/>
      <c r="MG115" s="4"/>
      <c r="MH115" s="8"/>
      <c r="MI115" s="5" t="str">
        <f t="shared" si="333"/>
        <v>NO APLICA</v>
      </c>
      <c r="MJ115" s="2"/>
      <c r="MK115" s="2"/>
      <c r="ML115" s="4"/>
      <c r="MM115" s="8"/>
      <c r="MN115" s="5" t="str">
        <f t="shared" si="334"/>
        <v>NO APLICA</v>
      </c>
      <c r="MO115" s="5"/>
      <c r="MP115" s="2"/>
      <c r="MQ115" s="4"/>
      <c r="MR115" s="8"/>
      <c r="MS115" s="5" t="str">
        <f t="shared" si="335"/>
        <v>NO APLICA</v>
      </c>
      <c r="MT115" s="5"/>
      <c r="MU115" s="2"/>
      <c r="MV115" s="2"/>
      <c r="MW115" s="2"/>
      <c r="MX115" s="5" t="str">
        <f t="shared" si="336"/>
        <v>NO APLICA</v>
      </c>
      <c r="MY115" s="2"/>
      <c r="MZ115" s="6"/>
      <c r="NA115" s="4"/>
      <c r="NB115" s="8"/>
      <c r="NC115" s="5" t="str">
        <f t="shared" si="337"/>
        <v>NO APLICA</v>
      </c>
      <c r="ND115" s="2"/>
      <c r="NE115" s="6"/>
      <c r="NF115" s="4"/>
      <c r="NG115" s="8"/>
      <c r="NH115" s="5" t="str">
        <f t="shared" si="338"/>
        <v>NO APLICA</v>
      </c>
      <c r="NI115" s="2"/>
      <c r="NJ115" s="6"/>
      <c r="NK115" s="4"/>
      <c r="NL115" s="8"/>
      <c r="NM115" s="5" t="str">
        <f t="shared" si="339"/>
        <v>NO APLICA</v>
      </c>
      <c r="NN115" s="2"/>
      <c r="NO115" s="2"/>
      <c r="NP115" s="4"/>
      <c r="NQ115" s="8"/>
      <c r="NR115" s="5" t="str">
        <f t="shared" si="340"/>
        <v>NO APLICA</v>
      </c>
      <c r="NS115" s="2"/>
      <c r="NT115" s="2"/>
      <c r="NU115" s="4"/>
      <c r="NV115" s="2"/>
      <c r="NW115" s="5" t="str">
        <f t="shared" si="341"/>
        <v>NO APLICA</v>
      </c>
      <c r="NX115" s="6"/>
      <c r="NY115" s="6"/>
      <c r="NZ115" s="4"/>
      <c r="OA115" s="8"/>
      <c r="OB115" s="5" t="str">
        <f t="shared" si="342"/>
        <v>NO APLICA</v>
      </c>
      <c r="OC115" s="6"/>
      <c r="OD115" s="6"/>
      <c r="OE115" s="6"/>
      <c r="OF115" s="6"/>
      <c r="OG115" s="5" t="str">
        <f t="shared" si="343"/>
        <v>NO APLICA</v>
      </c>
      <c r="OH115" s="6"/>
      <c r="OI115" s="6"/>
      <c r="OJ115" s="4"/>
      <c r="OK115" s="8"/>
      <c r="OL115" s="5" t="str">
        <f t="shared" si="344"/>
        <v>NO APLICA</v>
      </c>
      <c r="OM115" s="6"/>
      <c r="ON115" s="6"/>
      <c r="OO115" s="6"/>
      <c r="OP115" s="6"/>
      <c r="OQ115" s="5" t="str">
        <f t="shared" si="345"/>
        <v>NO APLICA</v>
      </c>
      <c r="OR115" s="6"/>
      <c r="OS115" s="6"/>
      <c r="OT115" s="6"/>
      <c r="OU115" s="6"/>
      <c r="OV115" s="5" t="str">
        <f t="shared" si="346"/>
        <v>NO APLICA</v>
      </c>
      <c r="OW115" s="6"/>
      <c r="OX115" s="6"/>
      <c r="OY115" s="6"/>
      <c r="OZ115" s="6"/>
      <c r="PA115" s="5" t="str">
        <f t="shared" si="347"/>
        <v>NO APLICA</v>
      </c>
      <c r="PB115" s="6"/>
      <c r="PC115" s="6"/>
      <c r="PD115" s="6"/>
      <c r="PE115" s="6"/>
      <c r="PF115" s="5" t="str">
        <f t="shared" si="348"/>
        <v>NO APLICA</v>
      </c>
      <c r="PG115" s="6"/>
      <c r="PH115" s="6"/>
      <c r="PI115" s="6"/>
      <c r="PJ115" s="6"/>
      <c r="PK115" s="5" t="str">
        <f t="shared" si="349"/>
        <v>NO APLICA</v>
      </c>
      <c r="PL115" s="5"/>
      <c r="PM115" s="6"/>
      <c r="PN115" s="4"/>
      <c r="PO115" s="8"/>
      <c r="PP115" s="5" t="str">
        <f t="shared" si="350"/>
        <v>NO APLICA</v>
      </c>
      <c r="PQ115" s="6"/>
      <c r="PR115" s="6"/>
      <c r="PS115" s="6"/>
      <c r="PT115" s="6"/>
      <c r="PU115" s="5" t="str">
        <f t="shared" si="351"/>
        <v>NO APLICA</v>
      </c>
      <c r="PV115" s="5"/>
      <c r="PW115" s="4">
        <v>46126</v>
      </c>
      <c r="PX115" s="4">
        <f>DATE(YEAR(PW115)+1,MONTH(PW115),DAY(PW115))</f>
        <v>46491</v>
      </c>
      <c r="PY115" s="8">
        <f ca="1">PX115-TODAY()</f>
        <v>346</v>
      </c>
      <c r="PZ115" s="5" t="str">
        <f t="shared" ca="1" si="352"/>
        <v>VIGENTE</v>
      </c>
    </row>
    <row r="116" spans="1:442" ht="15.6" hidden="1" thickTop="1" thickBot="1" x14ac:dyDescent="0.35">
      <c r="A116" s="26">
        <v>113</v>
      </c>
      <c r="B116" s="31">
        <v>1727</v>
      </c>
      <c r="C116" s="28" t="s">
        <v>389</v>
      </c>
      <c r="D116" s="29" t="s">
        <v>68</v>
      </c>
      <c r="E116" s="30" t="s">
        <v>73</v>
      </c>
      <c r="F116" s="6"/>
      <c r="G116" s="6"/>
      <c r="H116" s="6"/>
      <c r="I116" s="6"/>
      <c r="J116" s="5" t="str">
        <f t="shared" si="242"/>
        <v>NO APLICA</v>
      </c>
      <c r="K116" s="6"/>
      <c r="L116" s="6"/>
      <c r="M116" s="6"/>
      <c r="N116" s="6"/>
      <c r="O116" s="5" t="str">
        <f t="shared" si="243"/>
        <v>NO APLICA</v>
      </c>
      <c r="P116" s="6"/>
      <c r="Q116" s="6"/>
      <c r="R116" s="6"/>
      <c r="S116" s="6"/>
      <c r="T116" s="5" t="str">
        <f t="shared" si="353"/>
        <v>NO APLICA</v>
      </c>
      <c r="U116" s="5"/>
      <c r="V116" s="6" t="s">
        <v>390</v>
      </c>
      <c r="W116" s="4">
        <v>45337</v>
      </c>
      <c r="X116" s="4">
        <f t="shared" si="410"/>
        <v>47164</v>
      </c>
      <c r="Y116" s="8">
        <f t="shared" ca="1" si="411"/>
        <v>1019</v>
      </c>
      <c r="Z116" s="5" t="str">
        <f t="shared" ca="1" si="412"/>
        <v>VIGENTE</v>
      </c>
      <c r="AA116" s="5"/>
      <c r="AB116" s="6" t="s">
        <v>391</v>
      </c>
      <c r="AC116" s="4">
        <v>45577</v>
      </c>
      <c r="AD116" s="4">
        <f t="shared" si="413"/>
        <v>47403</v>
      </c>
      <c r="AE116" s="8">
        <f t="shared" ca="1" si="414"/>
        <v>1258</v>
      </c>
      <c r="AF116" s="5" t="str">
        <f t="shared" ca="1" si="247"/>
        <v>VIGENTE</v>
      </c>
      <c r="AG116" s="4"/>
      <c r="AH116" s="4">
        <v>46006</v>
      </c>
      <c r="AI116" s="4">
        <f>DATE(YEAR(AH116)+2,MONTH(AH116),DAY(AH116))</f>
        <v>46736</v>
      </c>
      <c r="AJ116" s="8">
        <f t="shared" ca="1" si="248"/>
        <v>591</v>
      </c>
      <c r="AK116" s="5" t="str">
        <f t="shared" ca="1" si="408"/>
        <v>VIGENTE</v>
      </c>
      <c r="AL116" s="6"/>
      <c r="AM116" s="4">
        <v>45937</v>
      </c>
      <c r="AN116" s="4">
        <f t="shared" si="415"/>
        <v>46667</v>
      </c>
      <c r="AO116" s="8">
        <f t="shared" ca="1" si="249"/>
        <v>522</v>
      </c>
      <c r="AP116" s="5" t="str">
        <f t="shared" ca="1" si="250"/>
        <v>VIGENTE</v>
      </c>
      <c r="AQ116" s="4"/>
      <c r="AR116" s="4">
        <v>46083</v>
      </c>
      <c r="AS116" s="4">
        <f>DATE(YEAR(AR116)+2,MONTH(AR116),DAY(AR116))</f>
        <v>46814</v>
      </c>
      <c r="AT116" s="8">
        <f t="shared" ca="1" si="251"/>
        <v>669</v>
      </c>
      <c r="AU116" s="5" t="str">
        <f t="shared" ca="1" si="252"/>
        <v>VIGENTE</v>
      </c>
      <c r="AV116" s="4"/>
      <c r="AW116" s="4">
        <v>45990</v>
      </c>
      <c r="AX116" s="4">
        <f>DATE(YEAR(AW116)+2,MONTH(AW116),DAY(AW116))</f>
        <v>46720</v>
      </c>
      <c r="AY116" s="8">
        <f t="shared" ca="1" si="253"/>
        <v>575</v>
      </c>
      <c r="AZ116" s="5" t="str">
        <f t="shared" ca="1" si="254"/>
        <v>VIGENTE</v>
      </c>
      <c r="BA116" s="4"/>
      <c r="BB116" s="4">
        <v>46071</v>
      </c>
      <c r="BC116" s="4">
        <f>DATE(YEAR(BB116)+2,MONTH(BB116),DAY(BB116))</f>
        <v>46801</v>
      </c>
      <c r="BD116" s="8">
        <f t="shared" ca="1" si="255"/>
        <v>656</v>
      </c>
      <c r="BE116" s="5" t="str">
        <f t="shared" ca="1" si="256"/>
        <v>VIGENTE</v>
      </c>
      <c r="BF116" s="6"/>
      <c r="BG116" s="4">
        <v>45987</v>
      </c>
      <c r="BH116" s="4">
        <f>DATE(YEAR(BG116)+2,MONTH(BG116),DAY(BG116))</f>
        <v>46717</v>
      </c>
      <c r="BI116" s="8">
        <f t="shared" ca="1" si="257"/>
        <v>572</v>
      </c>
      <c r="BJ116" s="5" t="str">
        <f t="shared" ca="1" si="258"/>
        <v>VIGENTE</v>
      </c>
      <c r="BK116" s="4"/>
      <c r="BL116" s="4">
        <v>46007</v>
      </c>
      <c r="BM116" s="4">
        <f>DATE(YEAR(BL116)+2,MONTH(BL116),DAY(BL116))</f>
        <v>46737</v>
      </c>
      <c r="BN116" s="8">
        <f t="shared" ca="1" si="259"/>
        <v>592</v>
      </c>
      <c r="BO116" s="5" t="str">
        <f t="shared" ca="1" si="260"/>
        <v>VIGENTE</v>
      </c>
      <c r="BP116" s="4"/>
      <c r="BQ116" s="39">
        <v>45988</v>
      </c>
      <c r="BR116" s="4">
        <f>DATE(YEAR(BQ116)+2,MONTH(BQ116),DAY(BQ116))</f>
        <v>46718</v>
      </c>
      <c r="BS116" s="8">
        <f t="shared" ca="1" si="261"/>
        <v>573</v>
      </c>
      <c r="BT116" s="5" t="str">
        <f t="shared" ca="1" si="262"/>
        <v>VIGENTE</v>
      </c>
      <c r="BU116" s="3"/>
      <c r="BV116" s="4">
        <v>46031</v>
      </c>
      <c r="BW116" s="4">
        <f>DATE(YEAR(BV116)+2,MONTH(BV116),DAY(BV116))</f>
        <v>46761</v>
      </c>
      <c r="BX116" s="8">
        <f t="shared" ca="1" si="263"/>
        <v>616</v>
      </c>
      <c r="BY116" s="5" t="str">
        <f t="shared" ca="1" si="264"/>
        <v>VIGENTE</v>
      </c>
      <c r="BZ116" s="4"/>
      <c r="CA116" s="4">
        <v>46095</v>
      </c>
      <c r="CB116" s="4">
        <f t="shared" si="423"/>
        <v>46826</v>
      </c>
      <c r="CC116" s="8">
        <f t="shared" ca="1" si="265"/>
        <v>681</v>
      </c>
      <c r="CD116" s="5" t="str">
        <f t="shared" ca="1" si="266"/>
        <v>VIGENTE</v>
      </c>
      <c r="CE116" s="6"/>
      <c r="CF116" s="4">
        <v>45393</v>
      </c>
      <c r="CG116" s="4">
        <f t="shared" si="416"/>
        <v>46854</v>
      </c>
      <c r="CH116" s="8">
        <f t="shared" ca="1" si="417"/>
        <v>709</v>
      </c>
      <c r="CI116" s="5" t="str">
        <f t="shared" ca="1" si="418"/>
        <v>VIGENTE</v>
      </c>
      <c r="CJ116" s="4"/>
      <c r="CK116" s="4">
        <v>46018</v>
      </c>
      <c r="CL116" s="4">
        <f>DATE(YEAR(CK116)+2,MONTH(CK116),DAY(CK116))</f>
        <v>46748</v>
      </c>
      <c r="CM116" s="8">
        <f t="shared" ca="1" si="270"/>
        <v>603</v>
      </c>
      <c r="CN116" s="5" t="str">
        <f t="shared" ca="1" si="271"/>
        <v>VIGENTE</v>
      </c>
      <c r="CO116" s="4"/>
      <c r="CP116" s="4">
        <v>46101</v>
      </c>
      <c r="CQ116" s="4">
        <f>DATE(YEAR(CP116)+2,MONTH(CP116),DAY(CP116))</f>
        <v>46832</v>
      </c>
      <c r="CR116" s="8">
        <f t="shared" ca="1" si="272"/>
        <v>687</v>
      </c>
      <c r="CS116" s="5" t="str">
        <f t="shared" ca="1" si="273"/>
        <v>VIGENTE</v>
      </c>
      <c r="CT116" s="4"/>
      <c r="CU116" s="4">
        <v>46069</v>
      </c>
      <c r="CV116" s="4">
        <f>DATE(YEAR(CU116)+2,MONTH(CU116),DAY(CU116))</f>
        <v>46799</v>
      </c>
      <c r="CW116" s="8">
        <f t="shared" ca="1" si="274"/>
        <v>654</v>
      </c>
      <c r="CX116" s="5" t="str">
        <f t="shared" ca="1" si="275"/>
        <v>VIGENTE</v>
      </c>
      <c r="CY116" s="4"/>
      <c r="CZ116" s="4">
        <v>46000</v>
      </c>
      <c r="DA116" s="4">
        <f>DATE(YEAR(CZ116)+2,MONTH(CZ116),DAY(CZ116))</f>
        <v>46730</v>
      </c>
      <c r="DB116" s="8">
        <f t="shared" ca="1" si="276"/>
        <v>585</v>
      </c>
      <c r="DC116" s="5" t="str">
        <f t="shared" ca="1" si="277"/>
        <v>VIGENTE</v>
      </c>
      <c r="DD116" s="4"/>
      <c r="DE116" s="4">
        <v>45996</v>
      </c>
      <c r="DF116" s="4">
        <f>DATE(YEAR(DE116)+2,MONTH(DE116),DAY(DE116))</f>
        <v>46726</v>
      </c>
      <c r="DG116" s="8">
        <f t="shared" ca="1" si="278"/>
        <v>581</v>
      </c>
      <c r="DH116" s="5" t="str">
        <f t="shared" ca="1" si="279"/>
        <v>VIGENTE</v>
      </c>
      <c r="DI116" s="6"/>
      <c r="DJ116" s="39">
        <v>46073</v>
      </c>
      <c r="DK116" s="4">
        <f>DATE(YEAR(DJ116)+2,MONTH(DJ116),DAY(DJ116))</f>
        <v>46803</v>
      </c>
      <c r="DL116" s="8">
        <f t="shared" ca="1" si="280"/>
        <v>658</v>
      </c>
      <c r="DM116" s="5" t="str">
        <f t="shared" ca="1" si="281"/>
        <v>VIGENTE</v>
      </c>
      <c r="DN116" s="4"/>
      <c r="DO116" s="4">
        <v>46046</v>
      </c>
      <c r="DP116" s="4">
        <f>DATE(YEAR(DO116)+2,MONTH(DO116),DAY(DO116))</f>
        <v>46776</v>
      </c>
      <c r="DQ116" s="8">
        <f t="shared" ca="1" si="282"/>
        <v>631</v>
      </c>
      <c r="DR116" s="5" t="str">
        <f t="shared" ca="1" si="283"/>
        <v>VIGENTE</v>
      </c>
      <c r="DS116" s="6"/>
      <c r="DT116" s="4">
        <v>46053</v>
      </c>
      <c r="DU116" s="4">
        <f>DATE(YEAR(DT116)+2,MONTH(DT116),DAY(DT116))</f>
        <v>46783</v>
      </c>
      <c r="DV116" s="8">
        <f t="shared" ca="1" si="284"/>
        <v>638</v>
      </c>
      <c r="DW116" s="5" t="str">
        <f t="shared" ca="1" si="285"/>
        <v>VIGENTE</v>
      </c>
      <c r="DX116" s="4"/>
      <c r="DY116" s="4">
        <v>46099</v>
      </c>
      <c r="DZ116" s="4">
        <f>DATE(YEAR(DY116)+2,MONTH(DY116),DAY(DY116))</f>
        <v>46830</v>
      </c>
      <c r="EA116" s="8">
        <f t="shared" ca="1" si="286"/>
        <v>685</v>
      </c>
      <c r="EB116" s="5" t="str">
        <f t="shared" ca="1" si="287"/>
        <v>VIGENTE</v>
      </c>
      <c r="EC116" s="4"/>
      <c r="ED116" s="4">
        <v>46112</v>
      </c>
      <c r="EE116" s="4">
        <f>DATE(YEAR(ED116)+2,MONTH(ED116),DAY(ED116)-1)</f>
        <v>46842</v>
      </c>
      <c r="EF116" s="8">
        <f t="shared" ca="1" si="288"/>
        <v>697</v>
      </c>
      <c r="EG116" s="5" t="str">
        <f t="shared" ca="1" si="289"/>
        <v>VIGENTE</v>
      </c>
      <c r="EH116" s="4"/>
      <c r="EI116" s="4">
        <v>46115</v>
      </c>
      <c r="EJ116" s="4">
        <f t="shared" si="355"/>
        <v>46480</v>
      </c>
      <c r="EK116" s="8">
        <f t="shared" ca="1" si="290"/>
        <v>335</v>
      </c>
      <c r="EL116" s="5" t="str">
        <f t="shared" ca="1" si="291"/>
        <v>VIGENTE</v>
      </c>
      <c r="EM116" s="4"/>
      <c r="EN116" s="4">
        <v>46135</v>
      </c>
      <c r="EO116" s="4">
        <f>DATE(YEAR(EN116)+2,MONTH(EN116),DAY(EN116)-1)</f>
        <v>46865</v>
      </c>
      <c r="EP116" s="8">
        <f t="shared" ca="1" si="292"/>
        <v>720</v>
      </c>
      <c r="EQ116" s="5" t="str">
        <f t="shared" ca="1" si="293"/>
        <v>VIGENTE</v>
      </c>
      <c r="ER116" s="6"/>
      <c r="ES116" s="39">
        <v>45999</v>
      </c>
      <c r="ET116" s="4">
        <f>DATE(YEAR(ES116)+2,MONTH(ES116),DAY(ES116))</f>
        <v>46729</v>
      </c>
      <c r="EU116" s="8">
        <f t="shared" ca="1" si="294"/>
        <v>584</v>
      </c>
      <c r="EV116" s="5" t="str">
        <f t="shared" ca="1" si="295"/>
        <v>VIGENTE</v>
      </c>
      <c r="EW116" s="4"/>
      <c r="EX116" s="4">
        <v>46063</v>
      </c>
      <c r="EY116" s="4">
        <f t="shared" si="424"/>
        <v>46793</v>
      </c>
      <c r="EZ116" s="8">
        <f t="shared" ca="1" si="296"/>
        <v>648</v>
      </c>
      <c r="FA116" s="5" t="str">
        <f t="shared" ca="1" si="297"/>
        <v>VIGENTE</v>
      </c>
      <c r="FB116" s="6"/>
      <c r="FC116" s="4">
        <v>45638</v>
      </c>
      <c r="FD116" s="4">
        <f>DATE(YEAR(FC116)+2,MONTH(FC116),DAY(FC116)-1)</f>
        <v>46367</v>
      </c>
      <c r="FE116" s="8">
        <f t="shared" ca="1" si="298"/>
        <v>222</v>
      </c>
      <c r="FF116" s="5" t="str">
        <f t="shared" ca="1" si="299"/>
        <v>VIGENTE</v>
      </c>
      <c r="FG116" s="6"/>
      <c r="FH116" s="4">
        <v>46066</v>
      </c>
      <c r="FI116" s="4">
        <f t="shared" si="425"/>
        <v>46796</v>
      </c>
      <c r="FJ116" s="8">
        <f t="shared" ca="1" si="300"/>
        <v>651</v>
      </c>
      <c r="FK116" s="5" t="str">
        <f t="shared" ca="1" si="301"/>
        <v>VIGENTE</v>
      </c>
      <c r="FL116" s="4"/>
      <c r="FM116" s="39">
        <v>46102</v>
      </c>
      <c r="FN116" s="4">
        <f>DATE(YEAR(FM116)+2,MONTH(FM116),DAY(FM116))</f>
        <v>46833</v>
      </c>
      <c r="FO116" s="8">
        <f t="shared" ca="1" si="302"/>
        <v>688</v>
      </c>
      <c r="FP116" s="5" t="str">
        <f t="shared" ca="1" si="303"/>
        <v>VIGENTE</v>
      </c>
      <c r="FQ116" s="4"/>
      <c r="FR116" s="39">
        <v>46034</v>
      </c>
      <c r="FS116" s="4">
        <f>DATE(YEAR(FR116)+2,MONTH(FR116),DAY(FR116))</f>
        <v>46764</v>
      </c>
      <c r="FT116" s="8">
        <f t="shared" ca="1" si="304"/>
        <v>619</v>
      </c>
      <c r="FU116" s="5" t="str">
        <f t="shared" ca="1" si="305"/>
        <v>VIGENTE</v>
      </c>
      <c r="FV116" s="4"/>
      <c r="FW116" s="4">
        <v>45491</v>
      </c>
      <c r="FX116" s="4">
        <f>DATE(YEAR(FW116)+2,MONTH(FW116),DAY(FW116)-1)</f>
        <v>46220</v>
      </c>
      <c r="FY116" s="8">
        <f t="shared" ca="1" si="306"/>
        <v>75</v>
      </c>
      <c r="FZ116" s="5" t="str">
        <f t="shared" ca="1" si="307"/>
        <v>POR VENCER</v>
      </c>
      <c r="GA116" s="3"/>
      <c r="GB116" s="4">
        <v>46030</v>
      </c>
      <c r="GC116" s="4">
        <f>DATE(YEAR(GB116)+2,MONTH(GB116),DAY(GB116))</f>
        <v>46760</v>
      </c>
      <c r="GD116" s="8">
        <f t="shared" ca="1" si="308"/>
        <v>615</v>
      </c>
      <c r="GE116" s="5" t="str">
        <f t="shared" ca="1" si="309"/>
        <v>VIGENTE</v>
      </c>
      <c r="GF116" s="4"/>
      <c r="GG116" s="4">
        <v>46079</v>
      </c>
      <c r="GH116" s="4">
        <f>DATE(YEAR(GG116)+2,MONTH(GG116),DAY(GG116))</f>
        <v>46809</v>
      </c>
      <c r="GI116" s="8">
        <f t="shared" ca="1" si="310"/>
        <v>664</v>
      </c>
      <c r="GJ116" s="5" t="str">
        <f t="shared" ca="1" si="311"/>
        <v>VIGENTE</v>
      </c>
      <c r="GK116" s="3"/>
      <c r="GL116" s="4">
        <v>46044</v>
      </c>
      <c r="GM116" s="4">
        <f>DATE(YEAR(GL116)+2,MONTH(GL116),DAY(GL116))</f>
        <v>46774</v>
      </c>
      <c r="GN116" s="8">
        <f t="shared" ca="1" si="312"/>
        <v>629</v>
      </c>
      <c r="GO116" s="5" t="str">
        <f t="shared" ca="1" si="313"/>
        <v>VIGENTE</v>
      </c>
      <c r="GP116" s="4"/>
      <c r="GQ116" s="4">
        <v>45367</v>
      </c>
      <c r="GR116" s="4">
        <f t="shared" si="314"/>
        <v>47193</v>
      </c>
      <c r="GS116" s="8">
        <f t="shared" ca="1" si="405"/>
        <v>1048</v>
      </c>
      <c r="GT116" s="5" t="str">
        <f t="shared" ca="1" si="419"/>
        <v>VIGENTE</v>
      </c>
      <c r="GU116" s="4"/>
      <c r="GV116" s="6"/>
      <c r="GW116" s="4"/>
      <c r="GX116" s="8"/>
      <c r="GY116" s="5" t="str">
        <f>IF(GX116&gt;=61,"VIGENTE",IF(GX116&gt;=1,"POR VENCER",IF(GX116&lt;=-1,"PROGRAMAR",IF(GV116=0,"NO APLICA"))))</f>
        <v>NO APLICA</v>
      </c>
      <c r="GZ116" s="6"/>
      <c r="HA116" s="4">
        <v>45479</v>
      </c>
      <c r="HB116" s="4">
        <f t="shared" si="319"/>
        <v>47305</v>
      </c>
      <c r="HC116" s="8">
        <f t="shared" ca="1" si="320"/>
        <v>1160</v>
      </c>
      <c r="HD116" s="5" t="str">
        <f t="shared" ca="1" si="421"/>
        <v>VIGENTE</v>
      </c>
      <c r="HE116" s="6"/>
      <c r="HF116" s="6"/>
      <c r="HG116" s="4"/>
      <c r="HH116" s="8"/>
      <c r="HI116" s="5" t="str">
        <f>IF(HH116&gt;=61,"VIGENTE",IF(HH116&gt;=1,"POR VENCER",IF(HH116&lt;=-1,"PROGRAMAR",IF(HF116=0,"NO APLICA"))))</f>
        <v>NO APLICA</v>
      </c>
      <c r="HJ116" s="6"/>
      <c r="HK116" s="6"/>
      <c r="HL116" s="4"/>
      <c r="HM116" s="8"/>
      <c r="HN116" s="5" t="str">
        <f t="shared" si="409"/>
        <v>NO APLICA</v>
      </c>
      <c r="HO116" s="2"/>
      <c r="HP116" s="2"/>
      <c r="HQ116" s="4"/>
      <c r="HR116" s="2"/>
      <c r="HS116" s="5" t="str">
        <f t="shared" si="322"/>
        <v>NO APLICA</v>
      </c>
      <c r="HT116" s="6"/>
      <c r="HU116" s="6"/>
      <c r="HV116" s="4"/>
      <c r="HW116" s="8"/>
      <c r="HX116" s="5" t="str">
        <f t="shared" si="323"/>
        <v>NO APLICA</v>
      </c>
      <c r="HY116" s="6"/>
      <c r="HZ116" s="6"/>
      <c r="IA116" s="4"/>
      <c r="IB116" s="8"/>
      <c r="IC116" s="5" t="str">
        <f t="shared" si="324"/>
        <v>NO APLICA</v>
      </c>
      <c r="ID116" s="6"/>
      <c r="IE116" s="6"/>
      <c r="IF116" s="4"/>
      <c r="IG116" s="8"/>
      <c r="IH116" s="5" t="str">
        <f t="shared" si="325"/>
        <v>NO APLICA</v>
      </c>
      <c r="II116" s="6"/>
      <c r="IJ116" s="6"/>
      <c r="IK116" s="4"/>
      <c r="IL116" s="6"/>
      <c r="IM116" s="5" t="str">
        <f t="shared" si="326"/>
        <v>NO APLICA</v>
      </c>
      <c r="IN116" s="6"/>
      <c r="IO116" s="6"/>
      <c r="IP116" s="4"/>
      <c r="IQ116" s="8"/>
      <c r="IR116" s="5" t="str">
        <f t="shared" si="327"/>
        <v>NO APLICA</v>
      </c>
      <c r="IS116" s="6"/>
      <c r="IT116" s="6"/>
      <c r="IU116" s="4"/>
      <c r="IV116" s="8"/>
      <c r="IW116" s="5" t="str">
        <f t="shared" si="328"/>
        <v>NO APLICA</v>
      </c>
      <c r="IX116" s="6"/>
      <c r="IY116" s="6"/>
      <c r="IZ116" s="4"/>
      <c r="JA116" s="8"/>
      <c r="JB116" s="5" t="str">
        <f t="shared" si="329"/>
        <v>NO APLICA</v>
      </c>
      <c r="JC116" s="3" t="s">
        <v>780</v>
      </c>
      <c r="JD116" s="3"/>
      <c r="JE116" s="4"/>
      <c r="JF116" s="8"/>
      <c r="JG116" s="5"/>
      <c r="JH116" s="3" t="s">
        <v>780</v>
      </c>
      <c r="JI116" s="6"/>
      <c r="JJ116" s="6"/>
      <c r="JK116" s="6"/>
      <c r="JL116" s="5"/>
      <c r="JM116" s="6" t="s">
        <v>780</v>
      </c>
      <c r="JN116" s="6"/>
      <c r="JO116" s="6"/>
      <c r="JP116" s="6"/>
      <c r="JQ116" s="5"/>
      <c r="JR116" s="6" t="s">
        <v>780</v>
      </c>
      <c r="JS116" s="6"/>
      <c r="JT116" s="6"/>
      <c r="JU116" s="6"/>
      <c r="JV116" s="5"/>
      <c r="JW116" s="6" t="s">
        <v>780</v>
      </c>
      <c r="JX116" s="5"/>
      <c r="JY116" s="5"/>
      <c r="JZ116" s="5"/>
      <c r="KA116" s="5"/>
      <c r="KB116" s="5"/>
      <c r="KC116" s="2"/>
      <c r="KD116" s="4"/>
      <c r="KE116" s="8"/>
      <c r="KF116" s="5" t="str">
        <f t="shared" si="330"/>
        <v>NO APLICA</v>
      </c>
      <c r="KG116" s="5"/>
      <c r="KH116" s="4">
        <v>45328</v>
      </c>
      <c r="KI116" s="4">
        <f>DATE(YEAR(KH116)+5,MONTH(KH116),DAY(KH116)-1)</f>
        <v>47154</v>
      </c>
      <c r="KJ116" s="8">
        <f ca="1">KI116-TODAY()</f>
        <v>1009</v>
      </c>
      <c r="KK116" s="5" t="str">
        <f t="shared" ca="1" si="356"/>
        <v>VIGENTE</v>
      </c>
      <c r="KL116" s="5"/>
      <c r="KM116" s="2"/>
      <c r="KN116" s="4"/>
      <c r="KO116" s="8"/>
      <c r="KP116" s="5" t="str">
        <f t="shared" si="331"/>
        <v>NO APLICA</v>
      </c>
      <c r="KQ116" s="5"/>
      <c r="KR116" s="3">
        <v>45346</v>
      </c>
      <c r="KS116" s="4">
        <f>DATE(YEAR(KR116)+5,MONTH(KR116),DAY(KR116))</f>
        <v>47173</v>
      </c>
      <c r="KT116" s="8">
        <f ca="1">KS116-TODAY()</f>
        <v>1028</v>
      </c>
      <c r="KU116" s="5" t="str">
        <f t="shared" ca="1" si="357"/>
        <v>VIGENTE</v>
      </c>
      <c r="KV116" s="6"/>
      <c r="KW116" s="6"/>
      <c r="KX116" s="4"/>
      <c r="KY116" s="6"/>
      <c r="KZ116" s="5" t="str">
        <f t="shared" si="366"/>
        <v>NO APLICA</v>
      </c>
      <c r="LA116" s="5"/>
      <c r="LB116" s="6"/>
      <c r="LC116" s="4"/>
      <c r="LD116" s="6"/>
      <c r="LE116" s="5" t="str">
        <f t="shared" si="358"/>
        <v>NO APLICA</v>
      </c>
      <c r="LF116" s="6"/>
      <c r="LG116" s="4"/>
      <c r="LH116" s="4"/>
      <c r="LI116" s="8"/>
      <c r="LJ116" s="5" t="str">
        <f t="shared" si="332"/>
        <v>NO APLICA</v>
      </c>
      <c r="LK116" s="5"/>
      <c r="LL116" s="5"/>
      <c r="LM116" s="5"/>
      <c r="LN116" s="5"/>
      <c r="LO116" s="5" t="str">
        <f t="shared" si="367"/>
        <v>NO APLICA</v>
      </c>
      <c r="LP116" s="6"/>
      <c r="LQ116" s="6"/>
      <c r="LR116" s="4"/>
      <c r="LS116" s="8"/>
      <c r="LT116" s="5" t="str">
        <f t="shared" si="359"/>
        <v>NO APLICA</v>
      </c>
      <c r="LU116" s="6"/>
      <c r="LV116" s="6"/>
      <c r="LW116" s="4"/>
      <c r="LX116" s="6"/>
      <c r="LY116" s="5" t="str">
        <f t="shared" si="360"/>
        <v>NO APLICA</v>
      </c>
      <c r="LZ116" s="6"/>
      <c r="MA116" s="6"/>
      <c r="MB116" s="4"/>
      <c r="MC116" s="6"/>
      <c r="MD116" s="5" t="str">
        <f t="shared" si="361"/>
        <v>NO APLICA</v>
      </c>
      <c r="ME116" s="6"/>
      <c r="MF116" s="6"/>
      <c r="MG116" s="4"/>
      <c r="MH116" s="6"/>
      <c r="MI116" s="5" t="str">
        <f t="shared" si="333"/>
        <v>NO APLICA</v>
      </c>
      <c r="MJ116" s="6"/>
      <c r="MK116" s="6"/>
      <c r="ML116" s="4"/>
      <c r="MM116" s="6"/>
      <c r="MN116" s="5" t="str">
        <f t="shared" si="334"/>
        <v>NO APLICA</v>
      </c>
      <c r="MO116" s="5"/>
      <c r="MP116" s="6"/>
      <c r="MQ116" s="4"/>
      <c r="MR116" s="6"/>
      <c r="MS116" s="5" t="str">
        <f t="shared" si="335"/>
        <v>NO APLICA</v>
      </c>
      <c r="MT116" s="5"/>
      <c r="MU116" s="6"/>
      <c r="MV116" s="6"/>
      <c r="MW116" s="6"/>
      <c r="MX116" s="5" t="str">
        <f t="shared" si="336"/>
        <v>NO APLICA</v>
      </c>
      <c r="MY116" s="6"/>
      <c r="MZ116" s="6"/>
      <c r="NA116" s="4"/>
      <c r="NB116" s="6"/>
      <c r="NC116" s="5" t="str">
        <f t="shared" si="337"/>
        <v>NO APLICA</v>
      </c>
      <c r="ND116" s="6"/>
      <c r="NE116" s="6"/>
      <c r="NF116" s="4"/>
      <c r="NG116" s="6"/>
      <c r="NH116" s="5" t="str">
        <f t="shared" si="338"/>
        <v>NO APLICA</v>
      </c>
      <c r="NI116" s="6"/>
      <c r="NJ116" s="6"/>
      <c r="NK116" s="4"/>
      <c r="NL116" s="6"/>
      <c r="NM116" s="5" t="str">
        <f t="shared" si="339"/>
        <v>NO APLICA</v>
      </c>
      <c r="NN116" s="6"/>
      <c r="NO116" s="6"/>
      <c r="NP116" s="4"/>
      <c r="NQ116" s="6"/>
      <c r="NR116" s="5" t="str">
        <f t="shared" si="340"/>
        <v>NO APLICA</v>
      </c>
      <c r="NS116" s="6"/>
      <c r="NT116" s="6"/>
      <c r="NU116" s="4"/>
      <c r="NV116" s="6"/>
      <c r="NW116" s="5" t="str">
        <f t="shared" si="341"/>
        <v>NO APLICA</v>
      </c>
      <c r="NX116" s="6"/>
      <c r="NY116" s="6"/>
      <c r="NZ116" s="4"/>
      <c r="OA116" s="8"/>
      <c r="OB116" s="5" t="str">
        <f t="shared" si="342"/>
        <v>NO APLICA</v>
      </c>
      <c r="OC116" s="6"/>
      <c r="OD116" s="6"/>
      <c r="OE116" s="6"/>
      <c r="OF116" s="6"/>
      <c r="OG116" s="5" t="str">
        <f t="shared" si="343"/>
        <v>NO APLICA</v>
      </c>
      <c r="OH116" s="6"/>
      <c r="OI116" s="6"/>
      <c r="OJ116" s="6"/>
      <c r="OK116" s="6"/>
      <c r="OL116" s="5" t="str">
        <f t="shared" si="344"/>
        <v>NO APLICA</v>
      </c>
      <c r="OM116" s="6"/>
      <c r="ON116" s="6"/>
      <c r="OO116" s="4"/>
      <c r="OP116" s="8"/>
      <c r="OQ116" s="5" t="str">
        <f t="shared" si="345"/>
        <v>NO APLICA</v>
      </c>
      <c r="OR116" s="6"/>
      <c r="OS116" s="6"/>
      <c r="OT116" s="6"/>
      <c r="OU116" s="6"/>
      <c r="OV116" s="5" t="str">
        <f t="shared" si="346"/>
        <v>NO APLICA</v>
      </c>
      <c r="OW116" s="6"/>
      <c r="OX116" s="6"/>
      <c r="OY116" s="6"/>
      <c r="OZ116" s="6"/>
      <c r="PA116" s="5" t="str">
        <f t="shared" si="347"/>
        <v>NO APLICA</v>
      </c>
      <c r="PB116" s="6"/>
      <c r="PC116" s="6"/>
      <c r="PD116" s="6"/>
      <c r="PE116" s="6"/>
      <c r="PF116" s="5" t="str">
        <f t="shared" si="348"/>
        <v>NO APLICA</v>
      </c>
      <c r="PG116" s="6"/>
      <c r="PH116" s="6"/>
      <c r="PI116" s="6"/>
      <c r="PJ116" s="6"/>
      <c r="PK116" s="5" t="str">
        <f t="shared" si="349"/>
        <v>NO APLICA</v>
      </c>
      <c r="PL116" s="5"/>
      <c r="PM116" s="6"/>
      <c r="PN116" s="6"/>
      <c r="PO116" s="6"/>
      <c r="PP116" s="5" t="str">
        <f t="shared" si="350"/>
        <v>NO APLICA</v>
      </c>
      <c r="PQ116" s="6"/>
      <c r="PR116" s="6"/>
      <c r="PS116" s="6"/>
      <c r="PT116" s="6"/>
      <c r="PU116" s="5" t="str">
        <f t="shared" si="351"/>
        <v>NO APLICA</v>
      </c>
      <c r="PV116" s="5"/>
      <c r="PW116" s="6"/>
      <c r="PX116" s="6"/>
      <c r="PY116" s="6"/>
      <c r="PZ116" s="5" t="str">
        <f t="shared" si="352"/>
        <v>NO APLICA</v>
      </c>
    </row>
    <row r="117" spans="1:442" ht="15.6" hidden="1" thickTop="1" thickBot="1" x14ac:dyDescent="0.35">
      <c r="A117" s="26">
        <v>114</v>
      </c>
      <c r="B117" s="27">
        <v>1599</v>
      </c>
      <c r="C117" s="28" t="s">
        <v>392</v>
      </c>
      <c r="D117" s="29" t="s">
        <v>68</v>
      </c>
      <c r="E117" s="30" t="s">
        <v>73</v>
      </c>
      <c r="F117" s="5"/>
      <c r="G117" s="6"/>
      <c r="H117" s="4"/>
      <c r="I117" s="8"/>
      <c r="J117" s="5" t="str">
        <f t="shared" si="242"/>
        <v>NO APLICA</v>
      </c>
      <c r="K117" s="5"/>
      <c r="L117" s="6"/>
      <c r="M117" s="6"/>
      <c r="N117" s="8"/>
      <c r="O117" s="5" t="str">
        <f t="shared" si="243"/>
        <v>NO APLICA</v>
      </c>
      <c r="P117" s="4"/>
      <c r="Q117" s="4"/>
      <c r="R117" s="4"/>
      <c r="S117" s="8"/>
      <c r="T117" s="5" t="str">
        <f t="shared" si="353"/>
        <v>NO APLICA</v>
      </c>
      <c r="U117" s="5"/>
      <c r="V117" s="2" t="s">
        <v>393</v>
      </c>
      <c r="W117" s="4">
        <v>44590</v>
      </c>
      <c r="X117" s="4">
        <f t="shared" si="410"/>
        <v>46416</v>
      </c>
      <c r="Y117" s="8">
        <f t="shared" ca="1" si="411"/>
        <v>271</v>
      </c>
      <c r="Z117" s="5" t="str">
        <f t="shared" ca="1" si="412"/>
        <v>VIGENTE</v>
      </c>
      <c r="AA117" s="5"/>
      <c r="AB117" s="2" t="s">
        <v>394</v>
      </c>
      <c r="AC117" s="4">
        <v>45190</v>
      </c>
      <c r="AD117" s="4">
        <f t="shared" si="413"/>
        <v>47017</v>
      </c>
      <c r="AE117" s="8">
        <f t="shared" ca="1" si="414"/>
        <v>872</v>
      </c>
      <c r="AF117" s="5" t="str">
        <f t="shared" ca="1" si="247"/>
        <v>VIGENTE</v>
      </c>
      <c r="AG117" s="3"/>
      <c r="AH117" s="4">
        <v>45902</v>
      </c>
      <c r="AI117" s="4">
        <f>DATE(YEAR(AH117)+2,MONTH(AH117),DAY(AH117))</f>
        <v>46632</v>
      </c>
      <c r="AJ117" s="8">
        <f t="shared" ca="1" si="248"/>
        <v>487</v>
      </c>
      <c r="AK117" s="5" t="str">
        <f t="shared" ca="1" si="408"/>
        <v>VIGENTE</v>
      </c>
      <c r="AL117" s="3"/>
      <c r="AM117" s="4">
        <v>45710</v>
      </c>
      <c r="AN117" s="4">
        <f>DATE(YEAR(AM117)+2,MONTH(AM117),DAY(AM117)-1)</f>
        <v>46439</v>
      </c>
      <c r="AO117" s="8">
        <f t="shared" ca="1" si="249"/>
        <v>294</v>
      </c>
      <c r="AP117" s="5" t="str">
        <f t="shared" ca="1" si="250"/>
        <v>VIGENTE</v>
      </c>
      <c r="AQ117" s="3"/>
      <c r="AR117" s="4">
        <v>45703</v>
      </c>
      <c r="AS117" s="4">
        <f>DATE(YEAR(AR117)+2,MONTH(AR117),DAY(AR117)-1)</f>
        <v>46432</v>
      </c>
      <c r="AT117" s="8">
        <f t="shared" ca="1" si="251"/>
        <v>287</v>
      </c>
      <c r="AU117" s="5" t="str">
        <f t="shared" ca="1" si="252"/>
        <v>VIGENTE</v>
      </c>
      <c r="AV117" s="3"/>
      <c r="AW117" s="4">
        <v>45702</v>
      </c>
      <c r="AX117" s="4">
        <f>DATE(YEAR(AW117)+2,MONTH(AW117),DAY(AW117)-1)</f>
        <v>46431</v>
      </c>
      <c r="AY117" s="8">
        <f t="shared" ca="1" si="253"/>
        <v>286</v>
      </c>
      <c r="AZ117" s="5" t="str">
        <f t="shared" ca="1" si="254"/>
        <v>VIGENTE</v>
      </c>
      <c r="BA117" s="3"/>
      <c r="BB117" s="4">
        <v>45603</v>
      </c>
      <c r="BC117" s="4">
        <f>DATE(YEAR(BB117)+2,MONTH(BB117),DAY(BB117)-1)</f>
        <v>46332</v>
      </c>
      <c r="BD117" s="8">
        <f t="shared" ca="1" si="255"/>
        <v>187</v>
      </c>
      <c r="BE117" s="5" t="str">
        <f t="shared" ca="1" si="256"/>
        <v>VIGENTE</v>
      </c>
      <c r="BF117" s="3"/>
      <c r="BG117" s="4">
        <v>45698</v>
      </c>
      <c r="BH117" s="4">
        <f>DATE(YEAR(BG117)+2,MONTH(BG117),DAY(BG117)-1)</f>
        <v>46427</v>
      </c>
      <c r="BI117" s="8">
        <f t="shared" ca="1" si="257"/>
        <v>282</v>
      </c>
      <c r="BJ117" s="5" t="str">
        <f t="shared" ca="1" si="258"/>
        <v>VIGENTE</v>
      </c>
      <c r="BK117" s="3"/>
      <c r="BL117" s="4">
        <v>45600</v>
      </c>
      <c r="BM117" s="4">
        <f>DATE(YEAR(BL117)+2,MONTH(BL117),DAY(BL117)-1)</f>
        <v>46329</v>
      </c>
      <c r="BN117" s="8">
        <f t="shared" ca="1" si="259"/>
        <v>184</v>
      </c>
      <c r="BO117" s="5" t="str">
        <f t="shared" ca="1" si="260"/>
        <v>VIGENTE</v>
      </c>
      <c r="BP117" s="3"/>
      <c r="BQ117" s="39">
        <v>45701</v>
      </c>
      <c r="BR117" s="4">
        <f>DATE(YEAR(BQ117)+2,MONTH(BQ117),DAY(BQ117)-1)</f>
        <v>46430</v>
      </c>
      <c r="BS117" s="8">
        <f t="shared" ca="1" si="261"/>
        <v>285</v>
      </c>
      <c r="BT117" s="5" t="str">
        <f t="shared" ca="1" si="262"/>
        <v>VIGENTE</v>
      </c>
      <c r="BU117" s="3"/>
      <c r="BV117" s="4">
        <v>45611</v>
      </c>
      <c r="BW117" s="4">
        <f>DATE(YEAR(BV117)+2,MONTH(BV117),DAY(BV117)-1)</f>
        <v>46340</v>
      </c>
      <c r="BX117" s="8">
        <f t="shared" ca="1" si="263"/>
        <v>195</v>
      </c>
      <c r="BY117" s="5" t="str">
        <f t="shared" ca="1" si="264"/>
        <v>VIGENTE</v>
      </c>
      <c r="BZ117" s="3"/>
      <c r="CA117" s="4">
        <v>45944</v>
      </c>
      <c r="CB117" s="4">
        <f t="shared" si="423"/>
        <v>46674</v>
      </c>
      <c r="CC117" s="8">
        <f t="shared" ca="1" si="265"/>
        <v>529</v>
      </c>
      <c r="CD117" s="5" t="str">
        <f t="shared" ca="1" si="266"/>
        <v>VIGENTE</v>
      </c>
      <c r="CE117" s="6"/>
      <c r="CF117" s="4">
        <v>45464</v>
      </c>
      <c r="CG117" s="4">
        <f t="shared" si="416"/>
        <v>46925</v>
      </c>
      <c r="CH117" s="8">
        <f t="shared" ca="1" si="417"/>
        <v>780</v>
      </c>
      <c r="CI117" s="5" t="str">
        <f t="shared" ca="1" si="418"/>
        <v>VIGENTE</v>
      </c>
      <c r="CJ117" s="4"/>
      <c r="CK117" s="4">
        <v>45601</v>
      </c>
      <c r="CL117" s="4">
        <f>DATE(YEAR(CK117)+2,MONTH(CK117),DAY(CK117)-1)</f>
        <v>46330</v>
      </c>
      <c r="CM117" s="8">
        <f t="shared" ca="1" si="270"/>
        <v>185</v>
      </c>
      <c r="CN117" s="5" t="str">
        <f t="shared" ca="1" si="271"/>
        <v>VIGENTE</v>
      </c>
      <c r="CO117" s="3"/>
      <c r="CP117" s="39">
        <v>45684</v>
      </c>
      <c r="CQ117" s="4">
        <f>DATE(YEAR(CP117)+2,MONTH(CP117),DAY(CP117)-1)</f>
        <v>46413</v>
      </c>
      <c r="CR117" s="8">
        <f t="shared" ca="1" si="272"/>
        <v>268</v>
      </c>
      <c r="CS117" s="5" t="str">
        <f t="shared" ca="1" si="273"/>
        <v>VIGENTE</v>
      </c>
      <c r="CT117" s="3"/>
      <c r="CU117" s="4">
        <v>45727</v>
      </c>
      <c r="CV117" s="4">
        <f>DATE(YEAR(CU117)+2,MONTH(CU117),DAY(CU117)-1)</f>
        <v>46456</v>
      </c>
      <c r="CW117" s="8">
        <f t="shared" ca="1" si="274"/>
        <v>311</v>
      </c>
      <c r="CX117" s="5" t="str">
        <f t="shared" ca="1" si="275"/>
        <v>VIGENTE</v>
      </c>
      <c r="CY117" s="3"/>
      <c r="CZ117" s="4">
        <v>45681</v>
      </c>
      <c r="DA117" s="4">
        <f>DATE(YEAR(CZ117)+2,MONTH(CZ117),DAY(CZ117)-1)</f>
        <v>46410</v>
      </c>
      <c r="DB117" s="8">
        <f t="shared" ca="1" si="276"/>
        <v>265</v>
      </c>
      <c r="DC117" s="5" t="str">
        <f t="shared" ca="1" si="277"/>
        <v>VIGENTE</v>
      </c>
      <c r="DD117" s="3"/>
      <c r="DE117" s="39">
        <v>45607</v>
      </c>
      <c r="DF117" s="4">
        <f>DATE(YEAR(DE117)+2,MONTH(DE117),DAY(DE117)-1)</f>
        <v>46336</v>
      </c>
      <c r="DG117" s="8">
        <f t="shared" ca="1" si="278"/>
        <v>191</v>
      </c>
      <c r="DH117" s="5" t="str">
        <f t="shared" ca="1" si="279"/>
        <v>VIGENTE</v>
      </c>
      <c r="DI117" s="3"/>
      <c r="DJ117" s="39">
        <v>45696</v>
      </c>
      <c r="DK117" s="4">
        <f>DATE(YEAR(DJ117)+2,MONTH(DJ117),DAY(DJ117)-1)</f>
        <v>46425</v>
      </c>
      <c r="DL117" s="8">
        <f t="shared" ca="1" si="280"/>
        <v>280</v>
      </c>
      <c r="DM117" s="5" t="str">
        <f t="shared" ca="1" si="281"/>
        <v>VIGENTE</v>
      </c>
      <c r="DN117" s="3"/>
      <c r="DO117" s="4">
        <v>45577</v>
      </c>
      <c r="DP117" s="4">
        <f>DATE(YEAR(DO117)+2,MONTH(DO117),DAY(DO117)-1)</f>
        <v>46306</v>
      </c>
      <c r="DQ117" s="8">
        <f t="shared" ca="1" si="282"/>
        <v>161</v>
      </c>
      <c r="DR117" s="5" t="str">
        <f t="shared" ca="1" si="283"/>
        <v>VIGENTE</v>
      </c>
      <c r="DS117" s="3"/>
      <c r="DT117" s="4">
        <v>45619</v>
      </c>
      <c r="DU117" s="4">
        <f>DATE(YEAR(DT117)+2,MONTH(DT117),DAY(DT117)-1)</f>
        <v>46348</v>
      </c>
      <c r="DV117" s="8">
        <f t="shared" ca="1" si="284"/>
        <v>203</v>
      </c>
      <c r="DW117" s="5" t="str">
        <f t="shared" ca="1" si="285"/>
        <v>VIGENTE</v>
      </c>
      <c r="DX117" s="3"/>
      <c r="DY117" s="4">
        <v>45612</v>
      </c>
      <c r="DZ117" s="4">
        <f>DATE(YEAR(DY117)+2,MONTH(DY117),DAY(DY117)-1)</f>
        <v>46341</v>
      </c>
      <c r="EA117" s="8">
        <f t="shared" ca="1" si="286"/>
        <v>196</v>
      </c>
      <c r="EB117" s="5" t="str">
        <f t="shared" ca="1" si="287"/>
        <v>VIGENTE</v>
      </c>
      <c r="EC117" s="3"/>
      <c r="ED117" s="39">
        <v>45642</v>
      </c>
      <c r="EE117" s="4">
        <f>DATE(YEAR(ED117)+2,MONTH(ED117),DAY(ED117)-1)</f>
        <v>46371</v>
      </c>
      <c r="EF117" s="8">
        <f t="shared" ca="1" si="288"/>
        <v>226</v>
      </c>
      <c r="EG117" s="5" t="str">
        <f t="shared" ca="1" si="289"/>
        <v>VIGENTE</v>
      </c>
      <c r="EH117" s="3"/>
      <c r="EI117" s="4">
        <v>46123</v>
      </c>
      <c r="EJ117" s="4">
        <f t="shared" si="355"/>
        <v>46488</v>
      </c>
      <c r="EK117" s="8">
        <f t="shared" ca="1" si="290"/>
        <v>343</v>
      </c>
      <c r="EL117" s="5" t="str">
        <f t="shared" ca="1" si="291"/>
        <v>VIGENTE</v>
      </c>
      <c r="EM117" s="3"/>
      <c r="EN117" s="4">
        <v>45584</v>
      </c>
      <c r="EO117" s="4">
        <f>DATE(YEAR(EN117)+2,MONTH(EN117),DAY(EN117)-1)</f>
        <v>46313</v>
      </c>
      <c r="EP117" s="8">
        <f t="shared" ca="1" si="292"/>
        <v>168</v>
      </c>
      <c r="EQ117" s="5" t="str">
        <f t="shared" ca="1" si="293"/>
        <v>VIGENTE</v>
      </c>
      <c r="ER117" s="3"/>
      <c r="ES117" s="39">
        <v>45575</v>
      </c>
      <c r="ET117" s="4">
        <f>DATE(YEAR(ES117)+2,MONTH(ES117),DAY(ES117)-1)</f>
        <v>46304</v>
      </c>
      <c r="EU117" s="8">
        <f t="shared" ca="1" si="294"/>
        <v>159</v>
      </c>
      <c r="EV117" s="5" t="str">
        <f t="shared" ca="1" si="295"/>
        <v>VIGENTE</v>
      </c>
      <c r="EW117" s="3"/>
      <c r="EX117" s="4">
        <v>45953</v>
      </c>
      <c r="EY117" s="4">
        <f t="shared" si="424"/>
        <v>46683</v>
      </c>
      <c r="EZ117" s="8">
        <f t="shared" ca="1" si="296"/>
        <v>538</v>
      </c>
      <c r="FA117" s="5" t="str">
        <f t="shared" ca="1" si="297"/>
        <v>VIGENTE</v>
      </c>
      <c r="FB117" s="3"/>
      <c r="FC117" s="4">
        <v>45951</v>
      </c>
      <c r="FD117" s="4">
        <f>DATE(YEAR(FC117)+2,MONTH(FC117),DAY(FC117))</f>
        <v>46681</v>
      </c>
      <c r="FE117" s="8">
        <f t="shared" ca="1" si="298"/>
        <v>536</v>
      </c>
      <c r="FF117" s="5" t="str">
        <f t="shared" ca="1" si="299"/>
        <v>VIGENTE</v>
      </c>
      <c r="FG117" s="3"/>
      <c r="FH117" s="4">
        <v>45962</v>
      </c>
      <c r="FI117" s="4">
        <f t="shared" si="425"/>
        <v>46692</v>
      </c>
      <c r="FJ117" s="8">
        <f t="shared" ca="1" si="300"/>
        <v>547</v>
      </c>
      <c r="FK117" s="5" t="str">
        <f t="shared" ca="1" si="301"/>
        <v>VIGENTE</v>
      </c>
      <c r="FL117" s="3"/>
      <c r="FM117" s="39">
        <v>45588</v>
      </c>
      <c r="FN117" s="4">
        <f>DATE(YEAR(FM117)+2,MONTH(FM117),DAY(FM117)-1)</f>
        <v>46317</v>
      </c>
      <c r="FO117" s="8">
        <f t="shared" ca="1" si="302"/>
        <v>172</v>
      </c>
      <c r="FP117" s="5" t="str">
        <f t="shared" ca="1" si="303"/>
        <v>VIGENTE</v>
      </c>
      <c r="FQ117" s="3"/>
      <c r="FR117" s="39">
        <v>45664</v>
      </c>
      <c r="FS117" s="4">
        <f>DATE(YEAR(FR117)+2,MONTH(FR117),DAY(FR117)-1)</f>
        <v>46393</v>
      </c>
      <c r="FT117" s="8">
        <f t="shared" ca="1" si="304"/>
        <v>248</v>
      </c>
      <c r="FU117" s="5" t="str">
        <f t="shared" ca="1" si="305"/>
        <v>VIGENTE</v>
      </c>
      <c r="FV117" s="3"/>
      <c r="FW117" s="4">
        <v>46014</v>
      </c>
      <c r="FX117" s="4">
        <f>DATE(YEAR(FW117)+2,MONTH(FW117),DAY(FW117))</f>
        <v>46744</v>
      </c>
      <c r="FY117" s="8">
        <f t="shared" ca="1" si="306"/>
        <v>599</v>
      </c>
      <c r="FZ117" s="5" t="str">
        <f t="shared" ca="1" si="307"/>
        <v>VIGENTE</v>
      </c>
      <c r="GA117" s="3"/>
      <c r="GB117" s="4">
        <v>45667</v>
      </c>
      <c r="GC117" s="4">
        <f>DATE(YEAR(GB117)+2,MONTH(GB117),DAY(GB117)-1)</f>
        <v>46396</v>
      </c>
      <c r="GD117" s="8">
        <f t="shared" ca="1" si="308"/>
        <v>251</v>
      </c>
      <c r="GE117" s="5" t="str">
        <f t="shared" ca="1" si="309"/>
        <v>VIGENTE</v>
      </c>
      <c r="GF117" s="3"/>
      <c r="GG117" s="4">
        <v>45672</v>
      </c>
      <c r="GH117" s="4">
        <f>DATE(YEAR(GG117)+2,MONTH(GG117),DAY(GG117)-1)</f>
        <v>46401</v>
      </c>
      <c r="GI117" s="8">
        <f t="shared" ca="1" si="310"/>
        <v>256</v>
      </c>
      <c r="GJ117" s="5" t="str">
        <f t="shared" ca="1" si="311"/>
        <v>VIGENTE</v>
      </c>
      <c r="GK117" s="3"/>
      <c r="GL117" s="4">
        <v>45608</v>
      </c>
      <c r="GM117" s="4">
        <f>DATE(YEAR(GL117)+2,MONTH(GL117),DAY(GL117)-1)</f>
        <v>46337</v>
      </c>
      <c r="GN117" s="8">
        <f t="shared" ca="1" si="312"/>
        <v>192</v>
      </c>
      <c r="GO117" s="5" t="str">
        <f t="shared" ca="1" si="313"/>
        <v>VIGENTE</v>
      </c>
      <c r="GP117" s="4"/>
      <c r="GQ117" s="4">
        <v>44966</v>
      </c>
      <c r="GR117" s="4">
        <f t="shared" si="314"/>
        <v>46792</v>
      </c>
      <c r="GS117" s="8">
        <f t="shared" ca="1" si="405"/>
        <v>647</v>
      </c>
      <c r="GT117" s="5" t="str">
        <f t="shared" ca="1" si="419"/>
        <v>VIGENTE</v>
      </c>
      <c r="GU117" s="3"/>
      <c r="GV117" s="4">
        <v>44952</v>
      </c>
      <c r="GW117" s="4">
        <f t="shared" si="316"/>
        <v>46778</v>
      </c>
      <c r="GX117" s="8">
        <f t="shared" ca="1" si="317"/>
        <v>633</v>
      </c>
      <c r="GY117" s="5" t="str">
        <f t="shared" ref="GY117:GY175" ca="1" si="426">IF(GX117&gt;=91,"VIGENTE",IF(GX117&gt;=1,"POR VENCER",IF(GX117&lt;=-1,"VENCIDA",IF(GV117=0,"NO APLICA"))))</f>
        <v>VIGENTE</v>
      </c>
      <c r="GZ117" s="2"/>
      <c r="HA117" s="4">
        <v>44980</v>
      </c>
      <c r="HB117" s="4">
        <f t="shared" si="319"/>
        <v>46806</v>
      </c>
      <c r="HC117" s="8">
        <f t="shared" ca="1" si="320"/>
        <v>661</v>
      </c>
      <c r="HD117" s="5" t="str">
        <f t="shared" ca="1" si="421"/>
        <v>VIGENTE</v>
      </c>
      <c r="HE117" s="6"/>
      <c r="HF117" s="4">
        <v>44956</v>
      </c>
      <c r="HG117" s="4">
        <f t="shared" si="406"/>
        <v>46782</v>
      </c>
      <c r="HH117" s="8">
        <f t="shared" ca="1" si="407"/>
        <v>637</v>
      </c>
      <c r="HI117" s="5" t="str">
        <f t="shared" ref="HI117:HI175" ca="1" si="427">IF(HH117&gt;=61,"VIGENTE",IF(HH117&gt;=1,"POR VENCER",IF(HH117&lt;=-1,"VENCIDA",IF(HF117=0,"NO APLICA"))))</f>
        <v>VIGENTE</v>
      </c>
      <c r="HJ117" s="2"/>
      <c r="HK117" s="6"/>
      <c r="HL117" s="4"/>
      <c r="HM117" s="8"/>
      <c r="HN117" s="5" t="str">
        <f t="shared" si="409"/>
        <v>NO APLICA</v>
      </c>
      <c r="HO117" s="2"/>
      <c r="HP117" s="2"/>
      <c r="HQ117" s="4"/>
      <c r="HR117" s="2"/>
      <c r="HS117" s="5" t="str">
        <f t="shared" si="322"/>
        <v>NO APLICA</v>
      </c>
      <c r="HT117" s="2"/>
      <c r="HU117" s="4">
        <v>44939</v>
      </c>
      <c r="HV117" s="4">
        <f>DATE(YEAR(HU117)+5,MONTH(HU117),DAY(HU117))</f>
        <v>46765</v>
      </c>
      <c r="HW117" s="8">
        <f ca="1">HV117-TODAY()</f>
        <v>620</v>
      </c>
      <c r="HX117" s="5" t="str">
        <f t="shared" ca="1" si="323"/>
        <v>VIGENTE</v>
      </c>
      <c r="HY117" s="2"/>
      <c r="HZ117" s="4">
        <v>44932</v>
      </c>
      <c r="IA117" s="4">
        <f>DATE(YEAR(HZ117)+5,MONTH(HZ117),DAY(HZ117))</f>
        <v>46758</v>
      </c>
      <c r="IB117" s="8">
        <f ca="1">IA117-TODAY()</f>
        <v>613</v>
      </c>
      <c r="IC117" s="5" t="str">
        <f t="shared" ca="1" si="324"/>
        <v>VIGENTE</v>
      </c>
      <c r="ID117" s="2"/>
      <c r="IE117" s="4">
        <v>44971</v>
      </c>
      <c r="IF117" s="4">
        <f>DATE(YEAR(IE117)+5,MONTH(IE117),DAY(IE117))</f>
        <v>46797</v>
      </c>
      <c r="IG117" s="8">
        <f ca="1">IF117-TODAY()</f>
        <v>652</v>
      </c>
      <c r="IH117" s="5" t="str">
        <f t="shared" ca="1" si="325"/>
        <v>VIGENTE</v>
      </c>
      <c r="II117" s="6"/>
      <c r="IJ117" s="4">
        <v>44965</v>
      </c>
      <c r="IK117" s="4">
        <f>DATE(YEAR(IJ117)+5,MONTH(IJ117),DAY(IJ117))</f>
        <v>46791</v>
      </c>
      <c r="IL117" s="8">
        <f ca="1">IK117-TODAY()</f>
        <v>646</v>
      </c>
      <c r="IM117" s="5" t="str">
        <f t="shared" ca="1" si="326"/>
        <v>VIGENTE</v>
      </c>
      <c r="IN117" s="2"/>
      <c r="IO117" s="4">
        <v>44977</v>
      </c>
      <c r="IP117" s="4">
        <f>DATE(YEAR(IO117)+5,MONTH(IO117),DAY(IO117))</f>
        <v>46803</v>
      </c>
      <c r="IQ117" s="8">
        <f ca="1">IP117-TODAY()</f>
        <v>658</v>
      </c>
      <c r="IR117" s="5" t="str">
        <f t="shared" ca="1" si="327"/>
        <v>VIGENTE</v>
      </c>
      <c r="IS117" s="2"/>
      <c r="IT117" s="4">
        <v>44970</v>
      </c>
      <c r="IU117" s="4">
        <f>DATE(YEAR(IT117)+5,MONTH(IT117),DAY(IT117))</f>
        <v>46796</v>
      </c>
      <c r="IV117" s="8">
        <f ca="1">IU117-TODAY()</f>
        <v>651</v>
      </c>
      <c r="IW117" s="5" t="str">
        <f t="shared" ca="1" si="328"/>
        <v>VIGENTE</v>
      </c>
      <c r="IX117" s="2"/>
      <c r="IY117" s="4">
        <v>44933</v>
      </c>
      <c r="IZ117" s="4">
        <f>DATE(YEAR(IY117)+5,MONTH(IY117),DAY(IY117))</f>
        <v>46759</v>
      </c>
      <c r="JA117" s="8">
        <f ca="1">IZ117-TODAY()</f>
        <v>614</v>
      </c>
      <c r="JB117" s="5" t="str">
        <f t="shared" ca="1" si="329"/>
        <v>VIGENTE</v>
      </c>
      <c r="JC117" s="3" t="s">
        <v>780</v>
      </c>
      <c r="JD117" s="3"/>
      <c r="JE117" s="4"/>
      <c r="JF117" s="8"/>
      <c r="JG117" s="5"/>
      <c r="JH117" s="3" t="s">
        <v>780</v>
      </c>
      <c r="JI117" s="6"/>
      <c r="JJ117" s="6"/>
      <c r="JK117" s="6"/>
      <c r="JL117" s="5"/>
      <c r="JM117" s="6" t="s">
        <v>780</v>
      </c>
      <c r="JN117" s="6"/>
      <c r="JO117" s="6"/>
      <c r="JP117" s="6"/>
      <c r="JQ117" s="5"/>
      <c r="JR117" s="6" t="s">
        <v>780</v>
      </c>
      <c r="JS117" s="6"/>
      <c r="JT117" s="6"/>
      <c r="JU117" s="6"/>
      <c r="JV117" s="5"/>
      <c r="JW117" s="6" t="s">
        <v>780</v>
      </c>
      <c r="JX117" s="5"/>
      <c r="JY117" s="5"/>
      <c r="JZ117" s="5"/>
      <c r="KA117" s="5"/>
      <c r="KB117" s="5"/>
      <c r="KC117" s="2"/>
      <c r="KD117" s="4"/>
      <c r="KE117" s="8"/>
      <c r="KF117" s="5" t="str">
        <f t="shared" si="330"/>
        <v>NO APLICA</v>
      </c>
      <c r="KG117" s="5"/>
      <c r="KH117" s="3">
        <v>45328</v>
      </c>
      <c r="KI117" s="4">
        <f>DATE(YEAR(KH117)+5,MONTH(KH117),DAY(KH117)-1)</f>
        <v>47154</v>
      </c>
      <c r="KJ117" s="8">
        <f ca="1">KI117-TODAY()</f>
        <v>1009</v>
      </c>
      <c r="KK117" s="5" t="str">
        <f t="shared" ca="1" si="356"/>
        <v>VIGENTE</v>
      </c>
      <c r="KL117" s="5"/>
      <c r="KM117" s="2"/>
      <c r="KN117" s="4"/>
      <c r="KO117" s="8"/>
      <c r="KP117" s="5" t="str">
        <f t="shared" si="331"/>
        <v>NO APLICA</v>
      </c>
      <c r="KQ117" s="5"/>
      <c r="KR117" s="2"/>
      <c r="KS117" s="4"/>
      <c r="KT117" s="8"/>
      <c r="KU117" s="5" t="str">
        <f t="shared" si="357"/>
        <v>NO APLICA</v>
      </c>
      <c r="KV117" s="2"/>
      <c r="KW117" s="6"/>
      <c r="KX117" s="4"/>
      <c r="KY117" s="8"/>
      <c r="KZ117" s="5" t="str">
        <f t="shared" si="366"/>
        <v>NO APLICA</v>
      </c>
      <c r="LA117" s="5"/>
      <c r="LB117" s="4">
        <v>44608</v>
      </c>
      <c r="LC117" s="4">
        <f>DATE(YEAR(LB117)+5,MONTH(LB117),DAY(LB117))</f>
        <v>46434</v>
      </c>
      <c r="LD117" s="8">
        <f ca="1">LC117-TODAY()</f>
        <v>289</v>
      </c>
      <c r="LE117" s="5" t="str">
        <f t="shared" ca="1" si="358"/>
        <v>VIGENTE</v>
      </c>
      <c r="LF117" s="6"/>
      <c r="LG117" s="6"/>
      <c r="LH117" s="4"/>
      <c r="LI117" s="8"/>
      <c r="LJ117" s="5" t="str">
        <f t="shared" si="332"/>
        <v>NO APLICA</v>
      </c>
      <c r="LK117" s="5"/>
      <c r="LL117" s="5"/>
      <c r="LM117" s="4"/>
      <c r="LN117" s="8"/>
      <c r="LO117" s="5" t="str">
        <f t="shared" si="367"/>
        <v>NO APLICA</v>
      </c>
      <c r="LP117" s="2"/>
      <c r="LQ117" s="6"/>
      <c r="LR117" s="4"/>
      <c r="LS117" s="8"/>
      <c r="LT117" s="5" t="str">
        <f t="shared" si="359"/>
        <v>NO APLICA</v>
      </c>
      <c r="LU117" s="6"/>
      <c r="LV117" s="6"/>
      <c r="LW117" s="4"/>
      <c r="LX117" s="8"/>
      <c r="LY117" s="5" t="str">
        <f t="shared" si="360"/>
        <v>NO APLICA</v>
      </c>
      <c r="LZ117" s="6"/>
      <c r="MA117" s="6"/>
      <c r="MB117" s="4"/>
      <c r="MC117" s="8"/>
      <c r="MD117" s="5" t="str">
        <f t="shared" si="361"/>
        <v>NO APLICA</v>
      </c>
      <c r="ME117" s="2"/>
      <c r="MF117" s="2"/>
      <c r="MG117" s="4"/>
      <c r="MH117" s="8"/>
      <c r="MI117" s="5" t="str">
        <f t="shared" si="333"/>
        <v>NO APLICA</v>
      </c>
      <c r="MJ117" s="2"/>
      <c r="MK117" s="2"/>
      <c r="ML117" s="4"/>
      <c r="MM117" s="8"/>
      <c r="MN117" s="5" t="str">
        <f t="shared" si="334"/>
        <v>NO APLICA</v>
      </c>
      <c r="MO117" s="5"/>
      <c r="MP117" s="2"/>
      <c r="MQ117" s="4"/>
      <c r="MR117" s="8"/>
      <c r="MS117" s="5" t="str">
        <f t="shared" si="335"/>
        <v>NO APLICA</v>
      </c>
      <c r="MT117" s="5"/>
      <c r="MU117" s="2"/>
      <c r="MV117" s="4"/>
      <c r="MW117" s="2"/>
      <c r="MX117" s="5" t="str">
        <f t="shared" si="336"/>
        <v>NO APLICA</v>
      </c>
      <c r="MY117" s="2"/>
      <c r="MZ117" s="6"/>
      <c r="NA117" s="4"/>
      <c r="NB117" s="8"/>
      <c r="NC117" s="5" t="str">
        <f t="shared" si="337"/>
        <v>NO APLICA</v>
      </c>
      <c r="ND117" s="2"/>
      <c r="NE117" s="6"/>
      <c r="NF117" s="4"/>
      <c r="NG117" s="8"/>
      <c r="NH117" s="5" t="str">
        <f t="shared" si="338"/>
        <v>NO APLICA</v>
      </c>
      <c r="NI117" s="2"/>
      <c r="NJ117" s="6"/>
      <c r="NK117" s="4"/>
      <c r="NL117" s="8"/>
      <c r="NM117" s="5" t="str">
        <f t="shared" si="339"/>
        <v>NO APLICA</v>
      </c>
      <c r="NN117" s="2"/>
      <c r="NO117" s="2"/>
      <c r="NP117" s="4"/>
      <c r="NQ117" s="8"/>
      <c r="NR117" s="5" t="str">
        <f t="shared" si="340"/>
        <v>NO APLICA</v>
      </c>
      <c r="NS117" s="2"/>
      <c r="NT117" s="2"/>
      <c r="NU117" s="4"/>
      <c r="NV117" s="2"/>
      <c r="NW117" s="5" t="str">
        <f t="shared" si="341"/>
        <v>NO APLICA</v>
      </c>
      <c r="NX117" s="6"/>
      <c r="NY117" s="6"/>
      <c r="NZ117" s="4"/>
      <c r="OA117" s="8"/>
      <c r="OB117" s="5" t="str">
        <f t="shared" si="342"/>
        <v>NO APLICA</v>
      </c>
      <c r="OC117" s="6"/>
      <c r="OD117" s="6"/>
      <c r="OE117" s="6"/>
      <c r="OF117" s="6"/>
      <c r="OG117" s="5" t="str">
        <f t="shared" si="343"/>
        <v>NO APLICA</v>
      </c>
      <c r="OH117" s="2"/>
      <c r="OI117" s="2"/>
      <c r="OJ117" s="4"/>
      <c r="OK117" s="8"/>
      <c r="OL117" s="5" t="str">
        <f t="shared" si="344"/>
        <v>NO APLICA</v>
      </c>
      <c r="OM117" s="6"/>
      <c r="ON117" s="6"/>
      <c r="OO117" s="6"/>
      <c r="OP117" s="6"/>
      <c r="OQ117" s="5" t="str">
        <f t="shared" si="345"/>
        <v>NO APLICA</v>
      </c>
      <c r="OR117" s="6"/>
      <c r="OS117" s="6"/>
      <c r="OT117" s="6"/>
      <c r="OU117" s="6"/>
      <c r="OV117" s="5" t="str">
        <f t="shared" si="346"/>
        <v>NO APLICA</v>
      </c>
      <c r="OW117" s="6"/>
      <c r="OX117" s="6"/>
      <c r="OY117" s="6"/>
      <c r="OZ117" s="6"/>
      <c r="PA117" s="5" t="str">
        <f t="shared" si="347"/>
        <v>NO APLICA</v>
      </c>
      <c r="PB117" s="6"/>
      <c r="PC117" s="6"/>
      <c r="PD117" s="6"/>
      <c r="PE117" s="6"/>
      <c r="PF117" s="5" t="str">
        <f t="shared" si="348"/>
        <v>NO APLICA</v>
      </c>
      <c r="PG117" s="6"/>
      <c r="PH117" s="6"/>
      <c r="PI117" s="6"/>
      <c r="PJ117" s="6"/>
      <c r="PK117" s="5" t="str">
        <f t="shared" si="349"/>
        <v>NO APLICA</v>
      </c>
      <c r="PL117" s="5"/>
      <c r="PM117" s="6"/>
      <c r="PN117" s="4"/>
      <c r="PO117" s="8"/>
      <c r="PP117" s="5" t="str">
        <f t="shared" si="350"/>
        <v>NO APLICA</v>
      </c>
      <c r="PQ117" s="6"/>
      <c r="PR117" s="6"/>
      <c r="PS117" s="6"/>
      <c r="PT117" s="6"/>
      <c r="PU117" s="5" t="str">
        <f t="shared" si="351"/>
        <v>NO APLICA</v>
      </c>
      <c r="PV117" s="5"/>
      <c r="PW117" s="6"/>
      <c r="PX117" s="6"/>
      <c r="PY117" s="6"/>
      <c r="PZ117" s="5" t="str">
        <f t="shared" si="352"/>
        <v>NO APLICA</v>
      </c>
    </row>
    <row r="118" spans="1:442" ht="15.6" hidden="1" thickTop="1" thickBot="1" x14ac:dyDescent="0.35">
      <c r="A118" s="26">
        <v>115</v>
      </c>
      <c r="B118" s="27">
        <v>1256</v>
      </c>
      <c r="C118" s="28" t="s">
        <v>395</v>
      </c>
      <c r="D118" s="29" t="s">
        <v>68</v>
      </c>
      <c r="E118" s="30" t="s">
        <v>122</v>
      </c>
      <c r="F118" s="5"/>
      <c r="G118" s="6"/>
      <c r="H118" s="4"/>
      <c r="I118" s="8"/>
      <c r="J118" s="5" t="str">
        <f t="shared" si="242"/>
        <v>NO APLICA</v>
      </c>
      <c r="K118" s="5"/>
      <c r="L118" s="6"/>
      <c r="M118" s="6"/>
      <c r="N118" s="8"/>
      <c r="O118" s="5" t="str">
        <f t="shared" si="243"/>
        <v>NO APLICA</v>
      </c>
      <c r="P118" s="6"/>
      <c r="Q118" s="6"/>
      <c r="R118" s="4"/>
      <c r="S118" s="8"/>
      <c r="T118" s="5" t="str">
        <f t="shared" si="353"/>
        <v>NO APLICA</v>
      </c>
      <c r="U118" s="5"/>
      <c r="V118" s="6" t="s">
        <v>396</v>
      </c>
      <c r="W118" s="4">
        <v>45282</v>
      </c>
      <c r="X118" s="4">
        <f t="shared" si="410"/>
        <v>47109</v>
      </c>
      <c r="Y118" s="8">
        <f t="shared" ca="1" si="411"/>
        <v>964</v>
      </c>
      <c r="Z118" s="5" t="str">
        <f t="shared" ca="1" si="412"/>
        <v>VIGENTE</v>
      </c>
      <c r="AA118" s="5"/>
      <c r="AB118" s="2" t="s">
        <v>397</v>
      </c>
      <c r="AC118" s="4">
        <v>44603</v>
      </c>
      <c r="AD118" s="4">
        <f t="shared" si="413"/>
        <v>46429</v>
      </c>
      <c r="AE118" s="8">
        <f t="shared" ca="1" si="414"/>
        <v>284</v>
      </c>
      <c r="AF118" s="5" t="str">
        <f t="shared" ca="1" si="247"/>
        <v>VIGENTE</v>
      </c>
      <c r="AG118" s="3"/>
      <c r="AH118" s="3">
        <v>45594</v>
      </c>
      <c r="AI118" s="4">
        <f>DATE(YEAR(AH118)+2,MONTH(AH118),DAY(AH118)-1)</f>
        <v>46323</v>
      </c>
      <c r="AJ118" s="8">
        <f t="shared" ca="1" si="248"/>
        <v>178</v>
      </c>
      <c r="AK118" s="5" t="str">
        <f t="shared" ca="1" si="408"/>
        <v>VIGENTE</v>
      </c>
      <c r="AL118" s="3"/>
      <c r="AM118" s="4">
        <v>45937</v>
      </c>
      <c r="AN118" s="4">
        <f>DATE(YEAR(AM118)+2,MONTH(AM118),DAY(AM118))</f>
        <v>46667</v>
      </c>
      <c r="AO118" s="8">
        <f t="shared" ca="1" si="249"/>
        <v>522</v>
      </c>
      <c r="AP118" s="5" t="str">
        <f t="shared" ca="1" si="250"/>
        <v>VIGENTE</v>
      </c>
      <c r="AQ118" s="3"/>
      <c r="AR118" s="4">
        <v>45904</v>
      </c>
      <c r="AS118" s="4">
        <f>DATE(YEAR(AR118)+2,MONTH(AR118),DAY(AR118))</f>
        <v>46634</v>
      </c>
      <c r="AT118" s="8">
        <f t="shared" ca="1" si="251"/>
        <v>489</v>
      </c>
      <c r="AU118" s="5" t="str">
        <f t="shared" ca="1" si="252"/>
        <v>VIGENTE</v>
      </c>
      <c r="AV118" s="3"/>
      <c r="AW118" s="4">
        <v>45972</v>
      </c>
      <c r="AX118" s="4">
        <f>DATE(YEAR(AW118)+2,MONTH(AW118),DAY(AW118))</f>
        <v>46702</v>
      </c>
      <c r="AY118" s="8">
        <f t="shared" ca="1" si="253"/>
        <v>557</v>
      </c>
      <c r="AZ118" s="5" t="str">
        <f t="shared" ca="1" si="254"/>
        <v>VIGENTE</v>
      </c>
      <c r="BA118" s="3"/>
      <c r="BB118" s="4">
        <v>45901</v>
      </c>
      <c r="BC118" s="4">
        <f>DATE(YEAR(BB118)+2,MONTH(BB118),DAY(BB118))</f>
        <v>46631</v>
      </c>
      <c r="BD118" s="8">
        <f t="shared" ca="1" si="255"/>
        <v>486</v>
      </c>
      <c r="BE118" s="5" t="str">
        <f t="shared" ca="1" si="256"/>
        <v>VIGENTE</v>
      </c>
      <c r="BF118" s="3"/>
      <c r="BG118" s="4">
        <v>45968</v>
      </c>
      <c r="BH118" s="4">
        <f>DATE(YEAR(BG118)+2,MONTH(BG118),DAY(BG118))</f>
        <v>46698</v>
      </c>
      <c r="BI118" s="8">
        <f t="shared" ca="1" si="257"/>
        <v>553</v>
      </c>
      <c r="BJ118" s="5" t="str">
        <f t="shared" ca="1" si="258"/>
        <v>VIGENTE</v>
      </c>
      <c r="BK118" s="3"/>
      <c r="BL118" s="4">
        <v>46056</v>
      </c>
      <c r="BM118" s="4">
        <f>DATE(YEAR(BL118)+2,MONTH(BL118),DAY(BL118))</f>
        <v>46786</v>
      </c>
      <c r="BN118" s="8">
        <f t="shared" ca="1" si="259"/>
        <v>641</v>
      </c>
      <c r="BO118" s="5" t="str">
        <f t="shared" ca="1" si="260"/>
        <v>VIGENTE</v>
      </c>
      <c r="BP118" s="3"/>
      <c r="BQ118" s="39">
        <v>46069</v>
      </c>
      <c r="BR118" s="4">
        <f>DATE(YEAR(BQ118)+2,MONTH(BQ118),DAY(BQ118))</f>
        <v>46799</v>
      </c>
      <c r="BS118" s="8">
        <f t="shared" ca="1" si="261"/>
        <v>654</v>
      </c>
      <c r="BT118" s="5" t="str">
        <f t="shared" ca="1" si="262"/>
        <v>VIGENTE</v>
      </c>
      <c r="BU118" s="3"/>
      <c r="BV118" s="4">
        <v>45881</v>
      </c>
      <c r="BW118" s="4">
        <f>DATE(YEAR(BV118)+2,MONTH(BV118),DAY(BV118))</f>
        <v>46611</v>
      </c>
      <c r="BX118" s="8">
        <f t="shared" ca="1" si="263"/>
        <v>466</v>
      </c>
      <c r="BY118" s="5" t="str">
        <f t="shared" ca="1" si="264"/>
        <v>VIGENTE</v>
      </c>
      <c r="BZ118" s="3"/>
      <c r="CA118" s="4">
        <v>45986</v>
      </c>
      <c r="CB118" s="4">
        <f t="shared" si="423"/>
        <v>46716</v>
      </c>
      <c r="CC118" s="8">
        <f t="shared" ca="1" si="265"/>
        <v>571</v>
      </c>
      <c r="CD118" s="5" t="str">
        <f t="shared" ca="1" si="266"/>
        <v>VIGENTE</v>
      </c>
      <c r="CE118" s="6"/>
      <c r="CF118" s="4">
        <v>45301</v>
      </c>
      <c r="CG118" s="4">
        <f t="shared" si="416"/>
        <v>46762</v>
      </c>
      <c r="CH118" s="8">
        <f t="shared" ca="1" si="417"/>
        <v>617</v>
      </c>
      <c r="CI118" s="5" t="str">
        <f t="shared" ca="1" si="418"/>
        <v>VIGENTE</v>
      </c>
      <c r="CJ118" s="4"/>
      <c r="CK118" s="4">
        <v>45929</v>
      </c>
      <c r="CL118" s="4">
        <f>DATE(YEAR(CK118)+2,MONTH(CK118),DAY(CK118))</f>
        <v>46659</v>
      </c>
      <c r="CM118" s="8">
        <f t="shared" ca="1" si="270"/>
        <v>514</v>
      </c>
      <c r="CN118" s="5" t="str">
        <f t="shared" ca="1" si="271"/>
        <v>VIGENTE</v>
      </c>
      <c r="CO118" s="3"/>
      <c r="CP118" s="39">
        <v>45898</v>
      </c>
      <c r="CQ118" s="4">
        <f>DATE(YEAR(CP118)+2,MONTH(CP118),DAY(CP118))</f>
        <v>46628</v>
      </c>
      <c r="CR118" s="8">
        <f t="shared" ca="1" si="272"/>
        <v>483</v>
      </c>
      <c r="CS118" s="5" t="str">
        <f t="shared" ca="1" si="273"/>
        <v>VIGENTE</v>
      </c>
      <c r="CT118" s="3"/>
      <c r="CU118" s="4">
        <v>45639</v>
      </c>
      <c r="CV118" s="4">
        <f>DATE(YEAR(CU118)+2,MONTH(CU118),DAY(CU118)-1)</f>
        <v>46368</v>
      </c>
      <c r="CW118" s="8">
        <f t="shared" ca="1" si="274"/>
        <v>223</v>
      </c>
      <c r="CX118" s="5" t="str">
        <f t="shared" ca="1" si="275"/>
        <v>VIGENTE</v>
      </c>
      <c r="CY118" s="3"/>
      <c r="CZ118" s="4">
        <v>45665</v>
      </c>
      <c r="DA118" s="4">
        <f>DATE(YEAR(CZ118)+2,MONTH(CZ118),DAY(CZ118)-1)</f>
        <v>46394</v>
      </c>
      <c r="DB118" s="8">
        <f t="shared" ca="1" si="276"/>
        <v>249</v>
      </c>
      <c r="DC118" s="5" t="str">
        <f t="shared" ca="1" si="277"/>
        <v>VIGENTE</v>
      </c>
      <c r="DD118" s="3"/>
      <c r="DE118" s="39">
        <v>45689</v>
      </c>
      <c r="DF118" s="4">
        <f>DATE(YEAR(DE118)+2,MONTH(DE118),DAY(DE118)-1)</f>
        <v>46418</v>
      </c>
      <c r="DG118" s="8">
        <f t="shared" ca="1" si="278"/>
        <v>273</v>
      </c>
      <c r="DH118" s="5" t="str">
        <f t="shared" ca="1" si="279"/>
        <v>VIGENTE</v>
      </c>
      <c r="DI118" s="3"/>
      <c r="DJ118" s="39">
        <v>45955</v>
      </c>
      <c r="DK118" s="4">
        <f>DATE(YEAR(DJ118)+2,MONTH(DJ118),DAY(DJ118))</f>
        <v>46685</v>
      </c>
      <c r="DL118" s="8">
        <f t="shared" ca="1" si="280"/>
        <v>540</v>
      </c>
      <c r="DM118" s="5" t="str">
        <f t="shared" ca="1" si="281"/>
        <v>VIGENTE</v>
      </c>
      <c r="DN118" s="3"/>
      <c r="DO118" s="4">
        <v>45533</v>
      </c>
      <c r="DP118" s="4">
        <f>DATE(YEAR(DO118)+2,MONTH(DO118),DAY(DO118)-1)</f>
        <v>46262</v>
      </c>
      <c r="DQ118" s="8">
        <f t="shared" ca="1" si="282"/>
        <v>117</v>
      </c>
      <c r="DR118" s="5" t="str">
        <f t="shared" ca="1" si="283"/>
        <v>VIGENTE</v>
      </c>
      <c r="DS118" s="3"/>
      <c r="DT118" s="4">
        <v>45852</v>
      </c>
      <c r="DU118" s="4">
        <f>DATE(YEAR(DT118)+2,MONTH(DT118),DAY(DT118))</f>
        <v>46582</v>
      </c>
      <c r="DV118" s="8">
        <f t="shared" ca="1" si="284"/>
        <v>437</v>
      </c>
      <c r="DW118" s="5" t="str">
        <f t="shared" ca="1" si="285"/>
        <v>VIGENTE</v>
      </c>
      <c r="DX118" s="3"/>
      <c r="DY118" s="4">
        <v>45934</v>
      </c>
      <c r="DZ118" s="4">
        <f>DATE(YEAR(DY118)+2,MONTH(DY118),DAY(DY118))</f>
        <v>46664</v>
      </c>
      <c r="EA118" s="8">
        <f t="shared" ca="1" si="286"/>
        <v>519</v>
      </c>
      <c r="EB118" s="5" t="str">
        <f t="shared" ca="1" si="287"/>
        <v>VIGENTE</v>
      </c>
      <c r="EC118" s="3"/>
      <c r="ED118" s="39">
        <v>46112</v>
      </c>
      <c r="EE118" s="4">
        <f>DATE(YEAR(ED118)+2,MONTH(ED118),DAY(ED118)-1)</f>
        <v>46842</v>
      </c>
      <c r="EF118" s="8">
        <f t="shared" ca="1" si="288"/>
        <v>697</v>
      </c>
      <c r="EG118" s="5" t="str">
        <f t="shared" ca="1" si="289"/>
        <v>VIGENTE</v>
      </c>
      <c r="EH118" s="3"/>
      <c r="EI118" s="4">
        <v>45948</v>
      </c>
      <c r="EJ118" s="4">
        <f t="shared" si="355"/>
        <v>46313</v>
      </c>
      <c r="EK118" s="8">
        <f t="shared" ca="1" si="290"/>
        <v>168</v>
      </c>
      <c r="EL118" s="5" t="str">
        <f t="shared" ca="1" si="291"/>
        <v>VIGENTE</v>
      </c>
      <c r="EM118" s="3"/>
      <c r="EN118" s="4">
        <v>45460</v>
      </c>
      <c r="EO118" s="4">
        <f>DATE(YEAR(EN118)+2,MONTH(EN118),DAY(EN118)-1)</f>
        <v>46189</v>
      </c>
      <c r="EP118" s="8">
        <f t="shared" ca="1" si="292"/>
        <v>44</v>
      </c>
      <c r="EQ118" s="5" t="str">
        <f t="shared" ca="1" si="293"/>
        <v>POR VENCER</v>
      </c>
      <c r="ER118" s="3"/>
      <c r="ES118" s="39">
        <v>45999</v>
      </c>
      <c r="ET118" s="4">
        <f>DATE(YEAR(ES118)+2,MONTH(ES118),DAY(ES118))</f>
        <v>46729</v>
      </c>
      <c r="EU118" s="8">
        <f t="shared" ca="1" si="294"/>
        <v>584</v>
      </c>
      <c r="EV118" s="5" t="str">
        <f t="shared" ca="1" si="295"/>
        <v>VIGENTE</v>
      </c>
      <c r="EW118" s="3"/>
      <c r="EX118" s="4">
        <v>46037</v>
      </c>
      <c r="EY118" s="4">
        <f t="shared" si="424"/>
        <v>46767</v>
      </c>
      <c r="EZ118" s="8">
        <f t="shared" ca="1" si="296"/>
        <v>622</v>
      </c>
      <c r="FA118" s="5" t="str">
        <f t="shared" ca="1" si="297"/>
        <v>VIGENTE</v>
      </c>
      <c r="FB118" s="3"/>
      <c r="FC118" s="4">
        <v>45951</v>
      </c>
      <c r="FD118" s="4">
        <f>DATE(YEAR(FC118)+2,MONTH(FC118),DAY(FC118))</f>
        <v>46681</v>
      </c>
      <c r="FE118" s="8">
        <f t="shared" ca="1" si="298"/>
        <v>536</v>
      </c>
      <c r="FF118" s="5" t="str">
        <f t="shared" ca="1" si="299"/>
        <v>VIGENTE</v>
      </c>
      <c r="FG118" s="3"/>
      <c r="FH118" s="4">
        <v>45919</v>
      </c>
      <c r="FI118" s="4">
        <f t="shared" si="425"/>
        <v>46649</v>
      </c>
      <c r="FJ118" s="8">
        <f t="shared" ca="1" si="300"/>
        <v>504</v>
      </c>
      <c r="FK118" s="5" t="str">
        <f t="shared" ca="1" si="301"/>
        <v>VIGENTE</v>
      </c>
      <c r="FL118" s="3"/>
      <c r="FM118" s="39">
        <v>45964</v>
      </c>
      <c r="FN118" s="4">
        <f>DATE(YEAR(FM118)+2,MONTH(FM118),DAY(FM118))</f>
        <v>46694</v>
      </c>
      <c r="FO118" s="8">
        <f t="shared" ca="1" si="302"/>
        <v>549</v>
      </c>
      <c r="FP118" s="5" t="str">
        <f t="shared" ca="1" si="303"/>
        <v>VIGENTE</v>
      </c>
      <c r="FQ118" s="3"/>
      <c r="FR118" s="39">
        <v>45957</v>
      </c>
      <c r="FS118" s="4">
        <f>DATE(YEAR(FR118)+2,MONTH(FR118),DAY(FR118))</f>
        <v>46687</v>
      </c>
      <c r="FT118" s="8">
        <f t="shared" ca="1" si="304"/>
        <v>542</v>
      </c>
      <c r="FU118" s="5" t="str">
        <f t="shared" ca="1" si="305"/>
        <v>VIGENTE</v>
      </c>
      <c r="FV118" s="3"/>
      <c r="FW118" s="4">
        <v>46014</v>
      </c>
      <c r="FX118" s="4">
        <f>DATE(YEAR(FW118)+2,MONTH(FW118),DAY(FW118))</f>
        <v>46744</v>
      </c>
      <c r="FY118" s="8">
        <f t="shared" ca="1" si="306"/>
        <v>599</v>
      </c>
      <c r="FZ118" s="5" t="str">
        <f t="shared" ca="1" si="307"/>
        <v>VIGENTE</v>
      </c>
      <c r="GA118" s="3"/>
      <c r="GB118" s="4">
        <v>46003</v>
      </c>
      <c r="GC118" s="4">
        <f>DATE(YEAR(GB118)+2,MONTH(GB118),DAY(GB118))</f>
        <v>46733</v>
      </c>
      <c r="GD118" s="8">
        <f t="shared" ca="1" si="308"/>
        <v>588</v>
      </c>
      <c r="GE118" s="5" t="str">
        <f t="shared" ca="1" si="309"/>
        <v>VIGENTE</v>
      </c>
      <c r="GF118" s="3"/>
      <c r="GG118" s="4">
        <v>45912</v>
      </c>
      <c r="GH118" s="4">
        <f>DATE(YEAR(GG118)+2,MONTH(GG118),DAY(GG118))</f>
        <v>46642</v>
      </c>
      <c r="GI118" s="8">
        <f t="shared" ca="1" si="310"/>
        <v>497</v>
      </c>
      <c r="GJ118" s="5" t="str">
        <f t="shared" ca="1" si="311"/>
        <v>VIGENTE</v>
      </c>
      <c r="GK118" s="3"/>
      <c r="GL118" s="4">
        <v>45945</v>
      </c>
      <c r="GM118" s="4">
        <f>DATE(YEAR(GL118)+2,MONTH(GL118),DAY(GL118))</f>
        <v>46675</v>
      </c>
      <c r="GN118" s="8">
        <f t="shared" ca="1" si="312"/>
        <v>530</v>
      </c>
      <c r="GO118" s="5" t="str">
        <f t="shared" ca="1" si="313"/>
        <v>VIGENTE</v>
      </c>
      <c r="GP118" s="4"/>
      <c r="GQ118" s="4">
        <v>45459</v>
      </c>
      <c r="GR118" s="4">
        <f t="shared" si="314"/>
        <v>47285</v>
      </c>
      <c r="GS118" s="8">
        <f t="shared" ca="1" si="405"/>
        <v>1140</v>
      </c>
      <c r="GT118" s="5" t="str">
        <f t="shared" ca="1" si="419"/>
        <v>VIGENTE</v>
      </c>
      <c r="GU118" s="3"/>
      <c r="GV118" s="4">
        <v>45464</v>
      </c>
      <c r="GW118" s="4">
        <f t="shared" si="316"/>
        <v>47290</v>
      </c>
      <c r="GX118" s="8">
        <f t="shared" ca="1" si="317"/>
        <v>1145</v>
      </c>
      <c r="GY118" s="5" t="str">
        <f t="shared" ca="1" si="426"/>
        <v>VIGENTE</v>
      </c>
      <c r="GZ118" s="3"/>
      <c r="HA118" s="4">
        <v>45466</v>
      </c>
      <c r="HB118" s="4">
        <f t="shared" si="319"/>
        <v>47292</v>
      </c>
      <c r="HC118" s="8">
        <f t="shared" ca="1" si="320"/>
        <v>1147</v>
      </c>
      <c r="HD118" s="5" t="str">
        <f t="shared" ca="1" si="421"/>
        <v>VIGENTE</v>
      </c>
      <c r="HE118" s="6"/>
      <c r="HF118" s="4">
        <v>44865</v>
      </c>
      <c r="HG118" s="4">
        <f t="shared" si="406"/>
        <v>46691</v>
      </c>
      <c r="HH118" s="8">
        <f t="shared" ca="1" si="407"/>
        <v>546</v>
      </c>
      <c r="HI118" s="5" t="str">
        <f t="shared" ca="1" si="427"/>
        <v>VIGENTE</v>
      </c>
      <c r="HJ118" s="3"/>
      <c r="HK118" s="4">
        <v>45368</v>
      </c>
      <c r="HL118" s="4">
        <f>DATE(YEAR(HK118)+5,MONTH(HK118),DAY(HK118))</f>
        <v>47194</v>
      </c>
      <c r="HM118" s="8">
        <f ca="1">HL118-TODAY()</f>
        <v>1049</v>
      </c>
      <c r="HN118" s="5" t="str">
        <f t="shared" ca="1" si="409"/>
        <v>VIGENTE</v>
      </c>
      <c r="HO118" s="2"/>
      <c r="HP118" s="2"/>
      <c r="HQ118" s="4"/>
      <c r="HR118" s="2"/>
      <c r="HS118" s="5" t="str">
        <f t="shared" si="322"/>
        <v>NO APLICA</v>
      </c>
      <c r="HT118" s="3"/>
      <c r="HU118" s="4">
        <v>45469</v>
      </c>
      <c r="HV118" s="4">
        <f>DATE(YEAR(HU118)+5,MONTH(HU118),DAY(HU118))</f>
        <v>47295</v>
      </c>
      <c r="HW118" s="8">
        <f ca="1">HV118-TODAY()</f>
        <v>1150</v>
      </c>
      <c r="HX118" s="5" t="str">
        <f t="shared" ca="1" si="323"/>
        <v>VIGENTE</v>
      </c>
      <c r="HY118" s="3"/>
      <c r="HZ118" s="4">
        <v>45234</v>
      </c>
      <c r="IA118" s="4">
        <f>DATE(YEAR(HZ118)+5,MONTH(HZ118),DAY(HZ118))</f>
        <v>47061</v>
      </c>
      <c r="IB118" s="8">
        <f ca="1">IA118-TODAY()</f>
        <v>916</v>
      </c>
      <c r="IC118" s="5" t="str">
        <f t="shared" ca="1" si="324"/>
        <v>VIGENTE</v>
      </c>
      <c r="ID118" s="3"/>
      <c r="IE118" s="4">
        <v>45236</v>
      </c>
      <c r="IF118" s="4">
        <f>DATE(YEAR(IE118)+5,MONTH(IE118),DAY(IE118))</f>
        <v>47063</v>
      </c>
      <c r="IG118" s="8">
        <f ca="1">IF118-TODAY()</f>
        <v>918</v>
      </c>
      <c r="IH118" s="5" t="str">
        <f t="shared" ca="1" si="325"/>
        <v>VIGENTE</v>
      </c>
      <c r="II118" s="4"/>
      <c r="IJ118" s="4">
        <v>45262</v>
      </c>
      <c r="IK118" s="4">
        <f>DATE(YEAR(IJ118)+5,MONTH(IJ118),DAY(IJ118))</f>
        <v>47089</v>
      </c>
      <c r="IL118" s="8">
        <f ca="1">IK118-TODAY()</f>
        <v>944</v>
      </c>
      <c r="IM118" s="5" t="str">
        <f t="shared" ca="1" si="326"/>
        <v>VIGENTE</v>
      </c>
      <c r="IN118" s="3"/>
      <c r="IO118" s="4">
        <v>45239</v>
      </c>
      <c r="IP118" s="4">
        <f>DATE(YEAR(IO118)+5,MONTH(IO118),DAY(IO118))</f>
        <v>47066</v>
      </c>
      <c r="IQ118" s="8">
        <f ca="1">IP118-TODAY()</f>
        <v>921</v>
      </c>
      <c r="IR118" s="5" t="str">
        <f t="shared" ca="1" si="327"/>
        <v>VIGENTE</v>
      </c>
      <c r="IS118" s="3"/>
      <c r="IT118" s="4">
        <v>45240</v>
      </c>
      <c r="IU118" s="4">
        <f>DATE(YEAR(IT118)+5,MONTH(IT118),DAY(IT118))</f>
        <v>47067</v>
      </c>
      <c r="IV118" s="8">
        <f ca="1">IU118-TODAY()</f>
        <v>922</v>
      </c>
      <c r="IW118" s="5" t="str">
        <f t="shared" ca="1" si="328"/>
        <v>VIGENTE</v>
      </c>
      <c r="IX118" s="3"/>
      <c r="IY118" s="4">
        <v>45289</v>
      </c>
      <c r="IZ118" s="4">
        <f>DATE(YEAR(IY118)+5,MONTH(IY118),DAY(IY118))</f>
        <v>47116</v>
      </c>
      <c r="JA118" s="8">
        <f ca="1">IZ118-TODAY()</f>
        <v>971</v>
      </c>
      <c r="JB118" s="5" t="str">
        <f t="shared" ca="1" si="329"/>
        <v>VIGENTE</v>
      </c>
      <c r="JC118" s="3" t="s">
        <v>780</v>
      </c>
      <c r="JD118" s="3"/>
      <c r="JE118" s="4"/>
      <c r="JF118" s="8"/>
      <c r="JG118" s="5"/>
      <c r="JH118" s="3" t="s">
        <v>780</v>
      </c>
      <c r="JI118" s="6"/>
      <c r="JJ118" s="6"/>
      <c r="JK118" s="6"/>
      <c r="JL118" s="5"/>
      <c r="JM118" s="6" t="s">
        <v>780</v>
      </c>
      <c r="JN118" s="6"/>
      <c r="JO118" s="6"/>
      <c r="JP118" s="6"/>
      <c r="JQ118" s="5"/>
      <c r="JR118" s="6" t="s">
        <v>780</v>
      </c>
      <c r="JS118" s="6"/>
      <c r="JT118" s="6"/>
      <c r="JU118" s="6"/>
      <c r="JV118" s="5"/>
      <c r="JW118" s="6" t="s">
        <v>780</v>
      </c>
      <c r="JX118" s="5"/>
      <c r="JY118" s="5"/>
      <c r="JZ118" s="5"/>
      <c r="KA118" s="5"/>
      <c r="KB118" s="5"/>
      <c r="KC118" s="2"/>
      <c r="KD118" s="4"/>
      <c r="KE118" s="8"/>
      <c r="KF118" s="5" t="str">
        <f t="shared" si="330"/>
        <v>NO APLICA</v>
      </c>
      <c r="KG118" s="5"/>
      <c r="KH118" s="2"/>
      <c r="KI118" s="4"/>
      <c r="KJ118" s="8"/>
      <c r="KK118" s="5" t="str">
        <f t="shared" si="356"/>
        <v>NO APLICA</v>
      </c>
      <c r="KL118" s="5"/>
      <c r="KM118" s="2"/>
      <c r="KN118" s="4"/>
      <c r="KO118" s="8"/>
      <c r="KP118" s="5" t="str">
        <f t="shared" si="331"/>
        <v>NO APLICA</v>
      </c>
      <c r="KQ118" s="5"/>
      <c r="KR118" s="2"/>
      <c r="KS118" s="4"/>
      <c r="KT118" s="8"/>
      <c r="KU118" s="5" t="str">
        <f t="shared" si="357"/>
        <v>NO APLICA</v>
      </c>
      <c r="KV118" s="2"/>
      <c r="KW118" s="6"/>
      <c r="KX118" s="4"/>
      <c r="KY118" s="8"/>
      <c r="KZ118" s="5" t="str">
        <f t="shared" si="366"/>
        <v>NO APLICA</v>
      </c>
      <c r="LA118" s="5"/>
      <c r="LB118" s="6"/>
      <c r="LC118" s="4"/>
      <c r="LD118" s="8"/>
      <c r="LE118" s="5" t="str">
        <f t="shared" si="358"/>
        <v>NO APLICA</v>
      </c>
      <c r="LF118" s="6"/>
      <c r="LG118" s="4"/>
      <c r="LH118" s="4"/>
      <c r="LI118" s="8"/>
      <c r="LJ118" s="5" t="str">
        <f t="shared" si="332"/>
        <v>NO APLICA</v>
      </c>
      <c r="LK118" s="5"/>
      <c r="LL118" s="5"/>
      <c r="LM118" s="4"/>
      <c r="LN118" s="8"/>
      <c r="LO118" s="5" t="str">
        <f t="shared" si="367"/>
        <v>NO APLICA</v>
      </c>
      <c r="LP118" s="2"/>
      <c r="LQ118" s="6"/>
      <c r="LR118" s="4"/>
      <c r="LS118" s="8"/>
      <c r="LT118" s="5" t="str">
        <f t="shared" si="359"/>
        <v>NO APLICA</v>
      </c>
      <c r="LU118" s="6"/>
      <c r="LV118" s="6"/>
      <c r="LW118" s="4"/>
      <c r="LX118" s="8"/>
      <c r="LY118" s="5" t="str">
        <f t="shared" si="360"/>
        <v>NO APLICA</v>
      </c>
      <c r="LZ118" s="6"/>
      <c r="MA118" s="6"/>
      <c r="MB118" s="4"/>
      <c r="MC118" s="8"/>
      <c r="MD118" s="5" t="str">
        <f t="shared" si="361"/>
        <v>NO APLICA</v>
      </c>
      <c r="ME118" s="2"/>
      <c r="MF118" s="2"/>
      <c r="MG118" s="4"/>
      <c r="MH118" s="8"/>
      <c r="MI118" s="5" t="str">
        <f t="shared" si="333"/>
        <v>NO APLICA</v>
      </c>
      <c r="MJ118" s="2"/>
      <c r="MK118" s="2"/>
      <c r="ML118" s="4"/>
      <c r="MM118" s="8"/>
      <c r="MN118" s="5" t="str">
        <f t="shared" si="334"/>
        <v>NO APLICA</v>
      </c>
      <c r="MO118" s="5"/>
      <c r="MP118" s="2"/>
      <c r="MQ118" s="4"/>
      <c r="MR118" s="8"/>
      <c r="MS118" s="5" t="str">
        <f t="shared" si="335"/>
        <v>NO APLICA</v>
      </c>
      <c r="MT118" s="5"/>
      <c r="MU118" s="2"/>
      <c r="MV118" s="4"/>
      <c r="MW118" s="2"/>
      <c r="MX118" s="5" t="str">
        <f t="shared" si="336"/>
        <v>NO APLICA</v>
      </c>
      <c r="MY118" s="2"/>
      <c r="MZ118" s="6"/>
      <c r="NA118" s="4"/>
      <c r="NB118" s="8"/>
      <c r="NC118" s="5" t="str">
        <f t="shared" si="337"/>
        <v>NO APLICA</v>
      </c>
      <c r="ND118" s="2"/>
      <c r="NE118" s="6"/>
      <c r="NF118" s="4"/>
      <c r="NG118" s="8"/>
      <c r="NH118" s="5" t="str">
        <f t="shared" si="338"/>
        <v>NO APLICA</v>
      </c>
      <c r="NI118" s="2"/>
      <c r="NJ118" s="6"/>
      <c r="NK118" s="4"/>
      <c r="NL118" s="8"/>
      <c r="NM118" s="5" t="str">
        <f t="shared" si="339"/>
        <v>NO APLICA</v>
      </c>
      <c r="NN118" s="2"/>
      <c r="NO118" s="2"/>
      <c r="NP118" s="4"/>
      <c r="NQ118" s="2"/>
      <c r="NR118" s="5" t="str">
        <f t="shared" si="340"/>
        <v>NO APLICA</v>
      </c>
      <c r="NS118" s="2"/>
      <c r="NT118" s="2"/>
      <c r="NU118" s="4"/>
      <c r="NV118" s="2"/>
      <c r="NW118" s="5" t="str">
        <f t="shared" si="341"/>
        <v>NO APLICA</v>
      </c>
      <c r="NX118" s="6"/>
      <c r="NY118" s="6"/>
      <c r="NZ118" s="4"/>
      <c r="OA118" s="8"/>
      <c r="OB118" s="5" t="str">
        <f t="shared" si="342"/>
        <v>NO APLICA</v>
      </c>
      <c r="OC118" s="6"/>
      <c r="OD118" s="6"/>
      <c r="OE118" s="6"/>
      <c r="OF118" s="6"/>
      <c r="OG118" s="5" t="str">
        <f t="shared" si="343"/>
        <v>NO APLICA</v>
      </c>
      <c r="OH118" s="6"/>
      <c r="OI118" s="6"/>
      <c r="OJ118" s="4"/>
      <c r="OK118" s="8"/>
      <c r="OL118" s="5" t="str">
        <f t="shared" si="344"/>
        <v>NO APLICA</v>
      </c>
      <c r="OM118" s="6"/>
      <c r="ON118" s="6"/>
      <c r="OO118" s="6"/>
      <c r="OP118" s="6"/>
      <c r="OQ118" s="5" t="str">
        <f t="shared" si="345"/>
        <v>NO APLICA</v>
      </c>
      <c r="OR118" s="6"/>
      <c r="OS118" s="6"/>
      <c r="OT118" s="6"/>
      <c r="OU118" s="6"/>
      <c r="OV118" s="5" t="str">
        <f t="shared" si="346"/>
        <v>NO APLICA</v>
      </c>
      <c r="OW118" s="6"/>
      <c r="OX118" s="6"/>
      <c r="OY118" s="6"/>
      <c r="OZ118" s="6"/>
      <c r="PA118" s="5" t="str">
        <f t="shared" si="347"/>
        <v>NO APLICA</v>
      </c>
      <c r="PB118" s="6"/>
      <c r="PC118" s="6"/>
      <c r="PD118" s="6"/>
      <c r="PE118" s="6"/>
      <c r="PF118" s="5" t="str">
        <f t="shared" si="348"/>
        <v>NO APLICA</v>
      </c>
      <c r="PG118" s="6"/>
      <c r="PH118" s="6"/>
      <c r="PI118" s="6"/>
      <c r="PJ118" s="6"/>
      <c r="PK118" s="5" t="str">
        <f t="shared" si="349"/>
        <v>NO APLICA</v>
      </c>
      <c r="PL118" s="5"/>
      <c r="PM118" s="6"/>
      <c r="PN118" s="4"/>
      <c r="PO118" s="8"/>
      <c r="PP118" s="5" t="str">
        <f t="shared" si="350"/>
        <v>NO APLICA</v>
      </c>
      <c r="PQ118" s="6"/>
      <c r="PR118" s="6"/>
      <c r="PS118" s="6"/>
      <c r="PT118" s="6"/>
      <c r="PU118" s="5" t="str">
        <f t="shared" si="351"/>
        <v>NO APLICA</v>
      </c>
      <c r="PV118" s="5"/>
      <c r="PW118" s="6"/>
      <c r="PX118" s="6"/>
      <c r="PY118" s="6"/>
      <c r="PZ118" s="5" t="str">
        <f t="shared" si="352"/>
        <v>NO APLICA</v>
      </c>
    </row>
    <row r="119" spans="1:442" ht="15.6" hidden="1" thickTop="1" thickBot="1" x14ac:dyDescent="0.35">
      <c r="A119" s="26">
        <v>116</v>
      </c>
      <c r="B119" s="27">
        <v>1046</v>
      </c>
      <c r="C119" s="28" t="s">
        <v>398</v>
      </c>
      <c r="D119" s="29" t="s">
        <v>113</v>
      </c>
      <c r="E119" s="30" t="s">
        <v>126</v>
      </c>
      <c r="F119" s="3"/>
      <c r="G119" s="4">
        <v>46119</v>
      </c>
      <c r="H119" s="4">
        <f>DATE(YEAR(G119)+2,MONTH(G119),DAY(G119))</f>
        <v>46850</v>
      </c>
      <c r="I119" s="8">
        <f ca="1">H119-TODAY()</f>
        <v>705</v>
      </c>
      <c r="J119" s="5" t="str">
        <f t="shared" ca="1" si="242"/>
        <v>VIGENTE</v>
      </c>
      <c r="K119" s="2"/>
      <c r="L119" s="6"/>
      <c r="M119" s="6"/>
      <c r="N119" s="8"/>
      <c r="O119" s="5" t="str">
        <f t="shared" si="243"/>
        <v>NO APLICA</v>
      </c>
      <c r="P119" s="6"/>
      <c r="Q119" s="6"/>
      <c r="R119" s="4"/>
      <c r="S119" s="8"/>
      <c r="T119" s="5" t="str">
        <f t="shared" si="353"/>
        <v>NO APLICA</v>
      </c>
      <c r="U119" s="5"/>
      <c r="V119" s="2" t="s">
        <v>399</v>
      </c>
      <c r="W119" s="4">
        <v>44786</v>
      </c>
      <c r="X119" s="4">
        <f t="shared" si="410"/>
        <v>46612</v>
      </c>
      <c r="Y119" s="8">
        <f t="shared" ca="1" si="411"/>
        <v>467</v>
      </c>
      <c r="Z119" s="5" t="str">
        <f t="shared" ca="1" si="412"/>
        <v>VIGENTE</v>
      </c>
      <c r="AA119" s="5"/>
      <c r="AB119" s="2"/>
      <c r="AC119" s="6"/>
      <c r="AD119" s="4"/>
      <c r="AE119" s="8"/>
      <c r="AF119" s="5" t="str">
        <f t="shared" si="247"/>
        <v>NO APLICA</v>
      </c>
      <c r="AG119" s="3"/>
      <c r="AH119" s="4">
        <v>45892</v>
      </c>
      <c r="AI119" s="4">
        <f>DATE(YEAR(AH119)+2,MONTH(AH119),DAY(AH119))</f>
        <v>46622</v>
      </c>
      <c r="AJ119" s="8">
        <f t="shared" ca="1" si="248"/>
        <v>477</v>
      </c>
      <c r="AK119" s="5" t="str">
        <f t="shared" ca="1" si="408"/>
        <v>VIGENTE</v>
      </c>
      <c r="AL119" s="3"/>
      <c r="AM119" s="4">
        <v>46062</v>
      </c>
      <c r="AN119" s="4">
        <f>DATE(YEAR(AM119)+2,MONTH(AM119),DAY(AM119))</f>
        <v>46792</v>
      </c>
      <c r="AO119" s="8">
        <f t="shared" ca="1" si="249"/>
        <v>647</v>
      </c>
      <c r="AP119" s="5" t="str">
        <f t="shared" ca="1" si="250"/>
        <v>VIGENTE</v>
      </c>
      <c r="AQ119" s="3"/>
      <c r="AR119" s="4">
        <v>46048</v>
      </c>
      <c r="AS119" s="4">
        <f>DATE(YEAR(AR119)+2,MONTH(AR119),DAY(AR119))</f>
        <v>46778</v>
      </c>
      <c r="AT119" s="8">
        <f t="shared" ca="1" si="251"/>
        <v>633</v>
      </c>
      <c r="AU119" s="5" t="str">
        <f t="shared" ca="1" si="252"/>
        <v>VIGENTE</v>
      </c>
      <c r="AV119" s="3"/>
      <c r="AW119" s="4">
        <v>45927</v>
      </c>
      <c r="AX119" s="4">
        <f>DATE(YEAR(AW119)+2,MONTH(AW119),DAY(AW119))</f>
        <v>46657</v>
      </c>
      <c r="AY119" s="8">
        <f t="shared" ca="1" si="253"/>
        <v>512</v>
      </c>
      <c r="AZ119" s="5" t="str">
        <f t="shared" ca="1" si="254"/>
        <v>VIGENTE</v>
      </c>
      <c r="BA119" s="3"/>
      <c r="BB119" s="4">
        <v>45742</v>
      </c>
      <c r="BC119" s="4">
        <f>DATE(YEAR(BB119)+2,MONTH(BB119),DAY(BB119)-1)</f>
        <v>46471</v>
      </c>
      <c r="BD119" s="8">
        <f t="shared" ca="1" si="255"/>
        <v>326</v>
      </c>
      <c r="BE119" s="5" t="str">
        <f t="shared" ca="1" si="256"/>
        <v>VIGENTE</v>
      </c>
      <c r="BF119" s="3"/>
      <c r="BG119" s="4">
        <v>45698</v>
      </c>
      <c r="BH119" s="4">
        <f>DATE(YEAR(BG119)+2,MONTH(BG119),DAY(BG119)-1)</f>
        <v>46427</v>
      </c>
      <c r="BI119" s="8">
        <f t="shared" ca="1" si="257"/>
        <v>282</v>
      </c>
      <c r="BJ119" s="5" t="str">
        <f t="shared" ca="1" si="258"/>
        <v>VIGENTE</v>
      </c>
      <c r="BK119" s="3"/>
      <c r="BL119" s="4">
        <v>46090</v>
      </c>
      <c r="BM119" s="4">
        <f>DATE(YEAR(BL119)+2,MONTH(BL119),DAY(BL119))</f>
        <v>46821</v>
      </c>
      <c r="BN119" s="8">
        <f t="shared" ca="1" si="259"/>
        <v>676</v>
      </c>
      <c r="BO119" s="5" t="str">
        <f t="shared" ca="1" si="260"/>
        <v>VIGENTE</v>
      </c>
      <c r="BP119" s="3"/>
      <c r="BQ119" s="39">
        <v>46050</v>
      </c>
      <c r="BR119" s="4">
        <f>DATE(YEAR(BQ119)+2,MONTH(BQ119),DAY(BQ119))</f>
        <v>46780</v>
      </c>
      <c r="BS119" s="8">
        <f t="shared" ca="1" si="261"/>
        <v>635</v>
      </c>
      <c r="BT119" s="5" t="str">
        <f t="shared" ca="1" si="262"/>
        <v>VIGENTE</v>
      </c>
      <c r="BU119" s="2"/>
      <c r="BV119" s="4">
        <v>45736</v>
      </c>
      <c r="BW119" s="4">
        <f>DATE(YEAR(BV119)+2,MONTH(BV119),DAY(BV119)-1)</f>
        <v>46465</v>
      </c>
      <c r="BX119" s="8">
        <f t="shared" ca="1" si="263"/>
        <v>320</v>
      </c>
      <c r="BY119" s="5" t="str">
        <f t="shared" ca="1" si="264"/>
        <v>VIGENTE</v>
      </c>
      <c r="BZ119" s="3"/>
      <c r="CA119" s="4">
        <v>46065</v>
      </c>
      <c r="CB119" s="4">
        <f t="shared" si="423"/>
        <v>46795</v>
      </c>
      <c r="CC119" s="8">
        <f t="shared" ca="1" si="265"/>
        <v>650</v>
      </c>
      <c r="CD119" s="5" t="str">
        <f t="shared" ca="1" si="266"/>
        <v>VIGENTE</v>
      </c>
      <c r="CE119" s="6"/>
      <c r="CF119" s="4">
        <v>45616</v>
      </c>
      <c r="CG119" s="4">
        <f t="shared" si="416"/>
        <v>47077</v>
      </c>
      <c r="CH119" s="8">
        <f t="shared" ca="1" si="417"/>
        <v>932</v>
      </c>
      <c r="CI119" s="5" t="str">
        <f t="shared" ca="1" si="418"/>
        <v>VIGENTE</v>
      </c>
      <c r="CJ119" s="4"/>
      <c r="CK119" s="4">
        <v>45688</v>
      </c>
      <c r="CL119" s="4">
        <f>DATE(YEAR(CK119)+2,MONTH(CK119),DAY(CK119)-1)</f>
        <v>46417</v>
      </c>
      <c r="CM119" s="8">
        <f t="shared" ca="1" si="270"/>
        <v>272</v>
      </c>
      <c r="CN119" s="5" t="str">
        <f t="shared" ca="1" si="271"/>
        <v>VIGENTE</v>
      </c>
      <c r="CO119" s="3"/>
      <c r="CP119" s="39">
        <v>45769</v>
      </c>
      <c r="CQ119" s="4">
        <f>DATE(YEAR(CP119)+2,MONTH(CP119),DAY(CP119))</f>
        <v>46499</v>
      </c>
      <c r="CR119" s="8">
        <f t="shared" ca="1" si="272"/>
        <v>354</v>
      </c>
      <c r="CS119" s="5" t="str">
        <f t="shared" ca="1" si="273"/>
        <v>VIGENTE</v>
      </c>
      <c r="CT119" s="3"/>
      <c r="CU119" s="4">
        <v>46043</v>
      </c>
      <c r="CV119" s="4">
        <f>DATE(YEAR(CU119)+2,MONTH(CU119),DAY(CU119))</f>
        <v>46773</v>
      </c>
      <c r="CW119" s="8">
        <f t="shared" ca="1" si="274"/>
        <v>628</v>
      </c>
      <c r="CX119" s="5" t="str">
        <f t="shared" ca="1" si="275"/>
        <v>VIGENTE</v>
      </c>
      <c r="CY119" s="3"/>
      <c r="CZ119" s="4">
        <v>46028</v>
      </c>
      <c r="DA119" s="4">
        <f>DATE(YEAR(CZ119)+2,MONTH(CZ119),DAY(CZ119))</f>
        <v>46758</v>
      </c>
      <c r="DB119" s="8">
        <f t="shared" ca="1" si="276"/>
        <v>613</v>
      </c>
      <c r="DC119" s="5" t="str">
        <f t="shared" ca="1" si="277"/>
        <v>VIGENTE</v>
      </c>
      <c r="DD119" s="3"/>
      <c r="DE119" s="4">
        <v>46066</v>
      </c>
      <c r="DF119" s="4">
        <f>DATE(YEAR(DE119)+2,MONTH(DE119),DAY(DE119))</f>
        <v>46796</v>
      </c>
      <c r="DG119" s="8">
        <f t="shared" ca="1" si="278"/>
        <v>651</v>
      </c>
      <c r="DH119" s="5" t="str">
        <f t="shared" ca="1" si="279"/>
        <v>VIGENTE</v>
      </c>
      <c r="DI119" s="3"/>
      <c r="DJ119" s="39">
        <v>46029</v>
      </c>
      <c r="DK119" s="4">
        <f>DATE(YEAR(DJ119)+2,MONTH(DJ119),DAY(DJ119))</f>
        <v>46759</v>
      </c>
      <c r="DL119" s="8">
        <f t="shared" ca="1" si="280"/>
        <v>614</v>
      </c>
      <c r="DM119" s="5" t="str">
        <f t="shared" ca="1" si="281"/>
        <v>VIGENTE</v>
      </c>
      <c r="DN119" s="3"/>
      <c r="DO119" s="4">
        <v>46046</v>
      </c>
      <c r="DP119" s="4">
        <f>DATE(YEAR(DO119)+2,MONTH(DO119),DAY(DO119))</f>
        <v>46776</v>
      </c>
      <c r="DQ119" s="8">
        <f t="shared" ca="1" si="282"/>
        <v>631</v>
      </c>
      <c r="DR119" s="5" t="str">
        <f t="shared" ca="1" si="283"/>
        <v>VIGENTE</v>
      </c>
      <c r="DS119" s="3"/>
      <c r="DT119" s="4">
        <v>45685</v>
      </c>
      <c r="DU119" s="4">
        <f>DATE(YEAR(DT119)+2,MONTH(DT119),DAY(DT119)-1)</f>
        <v>46414</v>
      </c>
      <c r="DV119" s="8">
        <f t="shared" ca="1" si="284"/>
        <v>269</v>
      </c>
      <c r="DW119" s="5" t="str">
        <f t="shared" ca="1" si="285"/>
        <v>VIGENTE</v>
      </c>
      <c r="DX119" s="3"/>
      <c r="DY119" s="4">
        <v>45663</v>
      </c>
      <c r="DZ119" s="4">
        <f>DATE(YEAR(DY119)+2,MONTH(DY119),DAY(DY119)-1)</f>
        <v>46392</v>
      </c>
      <c r="EA119" s="8">
        <f t="shared" ca="1" si="286"/>
        <v>247</v>
      </c>
      <c r="EB119" s="5" t="str">
        <f t="shared" ca="1" si="287"/>
        <v>VIGENTE</v>
      </c>
      <c r="EC119" s="3"/>
      <c r="ED119" s="39">
        <v>45674</v>
      </c>
      <c r="EE119" s="4">
        <f>DATE(YEAR(ED119)+2,MONTH(ED119),DAY(ED119)-1)</f>
        <v>46403</v>
      </c>
      <c r="EF119" s="8">
        <f t="shared" ca="1" si="288"/>
        <v>258</v>
      </c>
      <c r="EG119" s="5" t="str">
        <f t="shared" ca="1" si="289"/>
        <v>VIGENTE</v>
      </c>
      <c r="EH119" s="3"/>
      <c r="EI119" s="3">
        <v>46085</v>
      </c>
      <c r="EJ119" s="4">
        <f t="shared" si="355"/>
        <v>46450</v>
      </c>
      <c r="EK119" s="8">
        <f t="shared" ca="1" si="290"/>
        <v>305</v>
      </c>
      <c r="EL119" s="5" t="str">
        <f t="shared" ca="1" si="291"/>
        <v>VIGENTE</v>
      </c>
      <c r="EM119" s="3"/>
      <c r="EN119" s="4">
        <v>45465</v>
      </c>
      <c r="EO119" s="4">
        <f>DATE(YEAR(EN119)+2,MONTH(EN119),DAY(EN119)-1)</f>
        <v>46194</v>
      </c>
      <c r="EP119" s="8">
        <f t="shared" ca="1" si="292"/>
        <v>49</v>
      </c>
      <c r="EQ119" s="5" t="str">
        <f t="shared" ca="1" si="293"/>
        <v>POR VENCER</v>
      </c>
      <c r="ER119" s="2"/>
      <c r="ES119" s="39">
        <v>45735</v>
      </c>
      <c r="ET119" s="4">
        <f>DATE(YEAR(ES119)+2,MONTH(ES119),DAY(ES119)-1)</f>
        <v>46464</v>
      </c>
      <c r="EU119" s="8">
        <f t="shared" ca="1" si="294"/>
        <v>319</v>
      </c>
      <c r="EV119" s="5" t="str">
        <f t="shared" ca="1" si="295"/>
        <v>VIGENTE</v>
      </c>
      <c r="EW119" s="3"/>
      <c r="EX119" s="4">
        <v>45917</v>
      </c>
      <c r="EY119" s="4">
        <f t="shared" si="424"/>
        <v>46647</v>
      </c>
      <c r="EZ119" s="8">
        <f t="shared" ca="1" si="296"/>
        <v>502</v>
      </c>
      <c r="FA119" s="5" t="str">
        <f t="shared" ca="1" si="297"/>
        <v>VIGENTE</v>
      </c>
      <c r="FB119" s="3"/>
      <c r="FC119" s="4">
        <v>46091</v>
      </c>
      <c r="FD119" s="4">
        <f>DATE(YEAR(FC119)+2,MONTH(FC119),DAY(FC119))</f>
        <v>46822</v>
      </c>
      <c r="FE119" s="8">
        <f t="shared" ca="1" si="298"/>
        <v>677</v>
      </c>
      <c r="FF119" s="5" t="str">
        <f t="shared" ca="1" si="299"/>
        <v>VIGENTE</v>
      </c>
      <c r="FG119" s="3"/>
      <c r="FH119" s="4">
        <v>46074</v>
      </c>
      <c r="FI119" s="4">
        <f t="shared" si="425"/>
        <v>46804</v>
      </c>
      <c r="FJ119" s="8">
        <f t="shared" ca="1" si="300"/>
        <v>659</v>
      </c>
      <c r="FK119" s="5" t="str">
        <f t="shared" ca="1" si="301"/>
        <v>VIGENTE</v>
      </c>
      <c r="FL119" s="3"/>
      <c r="FM119" s="39">
        <v>45670</v>
      </c>
      <c r="FN119" s="4">
        <f>DATE(YEAR(FM119)+2,MONTH(FM119),DAY(FM119)-1)</f>
        <v>46399</v>
      </c>
      <c r="FO119" s="8">
        <f t="shared" ca="1" si="302"/>
        <v>254</v>
      </c>
      <c r="FP119" s="5" t="str">
        <f t="shared" ca="1" si="303"/>
        <v>VIGENTE</v>
      </c>
      <c r="FQ119" s="3"/>
      <c r="FR119" s="39">
        <v>45466</v>
      </c>
      <c r="FS119" s="4">
        <f>DATE(YEAR(FR119)+2,MONTH(FR119),DAY(FR119)-1)</f>
        <v>46195</v>
      </c>
      <c r="FT119" s="8">
        <f t="shared" ca="1" si="304"/>
        <v>50</v>
      </c>
      <c r="FU119" s="5" t="str">
        <f t="shared" ca="1" si="305"/>
        <v>POR VENCER</v>
      </c>
      <c r="FV119" s="3"/>
      <c r="FW119" s="4">
        <v>46087</v>
      </c>
      <c r="FX119" s="4">
        <f>DATE(YEAR(FW119)+2,MONTH(FW119),DAY(FW119))</f>
        <v>46818</v>
      </c>
      <c r="FY119" s="8">
        <f t="shared" ca="1" si="306"/>
        <v>673</v>
      </c>
      <c r="FZ119" s="5" t="str">
        <f t="shared" ca="1" si="307"/>
        <v>VIGENTE</v>
      </c>
      <c r="GA119" s="3"/>
      <c r="GB119" s="4">
        <v>45667</v>
      </c>
      <c r="GC119" s="4">
        <f>DATE(YEAR(GB119)+2,MONTH(GB119),DAY(GB119)-1)</f>
        <v>46396</v>
      </c>
      <c r="GD119" s="8">
        <f t="shared" ca="1" si="308"/>
        <v>251</v>
      </c>
      <c r="GE119" s="5" t="str">
        <f t="shared" ca="1" si="309"/>
        <v>VIGENTE</v>
      </c>
      <c r="GF119" s="3"/>
      <c r="GG119" s="4">
        <v>46092</v>
      </c>
      <c r="GH119" s="4">
        <f>DATE(YEAR(GG119)+2,MONTH(GG119),DAY(GG119))</f>
        <v>46823</v>
      </c>
      <c r="GI119" s="8">
        <f t="shared" ca="1" si="310"/>
        <v>678</v>
      </c>
      <c r="GJ119" s="5" t="str">
        <f t="shared" ca="1" si="311"/>
        <v>VIGENTE</v>
      </c>
      <c r="GK119" s="3"/>
      <c r="GL119" s="4">
        <v>45608</v>
      </c>
      <c r="GM119" s="4">
        <f>DATE(YEAR(GL119)+2,MONTH(GL119),DAY(GL119)-1)</f>
        <v>46337</v>
      </c>
      <c r="GN119" s="8">
        <f t="shared" ca="1" si="312"/>
        <v>192</v>
      </c>
      <c r="GO119" s="5" t="str">
        <f t="shared" ca="1" si="313"/>
        <v>VIGENTE</v>
      </c>
      <c r="GP119" s="4"/>
      <c r="GQ119" s="4">
        <v>45017</v>
      </c>
      <c r="GR119" s="4">
        <f t="shared" si="314"/>
        <v>46844</v>
      </c>
      <c r="GS119" s="8">
        <f t="shared" ca="1" si="405"/>
        <v>699</v>
      </c>
      <c r="GT119" s="5" t="str">
        <f t="shared" ca="1" si="419"/>
        <v>VIGENTE</v>
      </c>
      <c r="GU119" s="3"/>
      <c r="GV119" s="4">
        <v>44961</v>
      </c>
      <c r="GW119" s="4">
        <f t="shared" si="316"/>
        <v>46787</v>
      </c>
      <c r="GX119" s="8">
        <f t="shared" ca="1" si="317"/>
        <v>642</v>
      </c>
      <c r="GY119" s="5" t="str">
        <f t="shared" ca="1" si="426"/>
        <v>VIGENTE</v>
      </c>
      <c r="GZ119" s="2"/>
      <c r="HA119" s="4">
        <v>45073</v>
      </c>
      <c r="HB119" s="4">
        <f t="shared" si="319"/>
        <v>46900</v>
      </c>
      <c r="HC119" s="8">
        <f t="shared" ca="1" si="320"/>
        <v>755</v>
      </c>
      <c r="HD119" s="5" t="str">
        <f t="shared" ca="1" si="421"/>
        <v>VIGENTE</v>
      </c>
      <c r="HE119" s="6"/>
      <c r="HF119" s="6"/>
      <c r="HG119" s="4"/>
      <c r="HH119" s="8"/>
      <c r="HI119" s="5" t="str">
        <f t="shared" si="427"/>
        <v>NO APLICA</v>
      </c>
      <c r="HJ119" s="2"/>
      <c r="HK119" s="6"/>
      <c r="HL119" s="4"/>
      <c r="HM119" s="8"/>
      <c r="HN119" s="5" t="str">
        <f t="shared" si="409"/>
        <v>NO APLICA</v>
      </c>
      <c r="HO119" s="2"/>
      <c r="HP119" s="2"/>
      <c r="HQ119" s="4"/>
      <c r="HR119" s="2"/>
      <c r="HS119" s="5" t="str">
        <f t="shared" si="322"/>
        <v>NO APLICA</v>
      </c>
      <c r="HT119" s="2"/>
      <c r="HU119" s="6"/>
      <c r="HV119" s="4"/>
      <c r="HW119" s="8"/>
      <c r="HX119" s="5" t="str">
        <f t="shared" si="323"/>
        <v>NO APLICA</v>
      </c>
      <c r="HY119" s="2"/>
      <c r="HZ119" s="6"/>
      <c r="IA119" s="4"/>
      <c r="IB119" s="8"/>
      <c r="IC119" s="5" t="str">
        <f t="shared" si="324"/>
        <v>NO APLICA</v>
      </c>
      <c r="ID119" s="2"/>
      <c r="IE119" s="6"/>
      <c r="IF119" s="4"/>
      <c r="IG119" s="8"/>
      <c r="IH119" s="5" t="str">
        <f t="shared" si="325"/>
        <v>NO APLICA</v>
      </c>
      <c r="II119" s="6"/>
      <c r="IJ119" s="6"/>
      <c r="IK119" s="4"/>
      <c r="IL119" s="8"/>
      <c r="IM119" s="5" t="str">
        <f t="shared" si="326"/>
        <v>NO APLICA</v>
      </c>
      <c r="IN119" s="2"/>
      <c r="IO119" s="6"/>
      <c r="IP119" s="4"/>
      <c r="IQ119" s="8"/>
      <c r="IR119" s="5" t="str">
        <f t="shared" si="327"/>
        <v>NO APLICA</v>
      </c>
      <c r="IS119" s="2"/>
      <c r="IT119" s="6"/>
      <c r="IU119" s="4"/>
      <c r="IV119" s="8"/>
      <c r="IW119" s="5" t="str">
        <f t="shared" si="328"/>
        <v>NO APLICA</v>
      </c>
      <c r="IX119" s="2"/>
      <c r="IY119" s="6"/>
      <c r="IZ119" s="4"/>
      <c r="JA119" s="8"/>
      <c r="JB119" s="5" t="str">
        <f t="shared" si="329"/>
        <v>NO APLICA</v>
      </c>
      <c r="JC119" s="3" t="s">
        <v>780</v>
      </c>
      <c r="JD119" s="3"/>
      <c r="JE119" s="4"/>
      <c r="JF119" s="8"/>
      <c r="JG119" s="5"/>
      <c r="JH119" s="3" t="s">
        <v>780</v>
      </c>
      <c r="JI119" s="6"/>
      <c r="JJ119" s="6"/>
      <c r="JK119" s="6"/>
      <c r="JL119" s="5"/>
      <c r="JM119" s="6" t="s">
        <v>780</v>
      </c>
      <c r="JN119" s="6"/>
      <c r="JO119" s="6"/>
      <c r="JP119" s="6"/>
      <c r="JQ119" s="5"/>
      <c r="JR119" s="6" t="s">
        <v>780</v>
      </c>
      <c r="JS119" s="6"/>
      <c r="JT119" s="6"/>
      <c r="JU119" s="6"/>
      <c r="JV119" s="5"/>
      <c r="JW119" s="6" t="s">
        <v>780</v>
      </c>
      <c r="JX119" s="5"/>
      <c r="JY119" s="5"/>
      <c r="JZ119" s="5"/>
      <c r="KA119" s="5"/>
      <c r="KB119" s="5"/>
      <c r="KC119" s="2"/>
      <c r="KD119" s="4"/>
      <c r="KE119" s="8"/>
      <c r="KF119" s="5" t="str">
        <f t="shared" si="330"/>
        <v>NO APLICA</v>
      </c>
      <c r="KG119" s="5"/>
      <c r="KH119" s="2"/>
      <c r="KI119" s="4"/>
      <c r="KJ119" s="8"/>
      <c r="KK119" s="5" t="str">
        <f t="shared" si="356"/>
        <v>NO APLICA</v>
      </c>
      <c r="KL119" s="5"/>
      <c r="KM119" s="2"/>
      <c r="KN119" s="4"/>
      <c r="KO119" s="8"/>
      <c r="KP119" s="5" t="str">
        <f t="shared" si="331"/>
        <v>NO APLICA</v>
      </c>
      <c r="KQ119" s="5"/>
      <c r="KR119" s="2"/>
      <c r="KS119" s="4"/>
      <c r="KT119" s="8"/>
      <c r="KU119" s="5" t="str">
        <f t="shared" si="357"/>
        <v>NO APLICA</v>
      </c>
      <c r="KV119" s="2"/>
      <c r="KW119" s="6"/>
      <c r="KX119" s="4"/>
      <c r="KY119" s="8"/>
      <c r="KZ119" s="5" t="str">
        <f t="shared" si="366"/>
        <v>NO APLICA</v>
      </c>
      <c r="LA119" s="5"/>
      <c r="LB119" s="6"/>
      <c r="LC119" s="4"/>
      <c r="LD119" s="8"/>
      <c r="LE119" s="5" t="str">
        <f t="shared" si="358"/>
        <v>NO APLICA</v>
      </c>
      <c r="LF119" s="6"/>
      <c r="LG119" s="6"/>
      <c r="LH119" s="4"/>
      <c r="LI119" s="8"/>
      <c r="LJ119" s="5" t="str">
        <f t="shared" si="332"/>
        <v>NO APLICA</v>
      </c>
      <c r="LK119" s="5"/>
      <c r="LL119" s="5"/>
      <c r="LM119" s="4"/>
      <c r="LN119" s="8"/>
      <c r="LO119" s="5" t="str">
        <f t="shared" si="367"/>
        <v>NO APLICA</v>
      </c>
      <c r="LP119" s="2"/>
      <c r="LQ119" s="6"/>
      <c r="LR119" s="4"/>
      <c r="LS119" s="8"/>
      <c r="LT119" s="5" t="str">
        <f t="shared" si="359"/>
        <v>NO APLICA</v>
      </c>
      <c r="LU119" s="6"/>
      <c r="LV119" s="6"/>
      <c r="LW119" s="4"/>
      <c r="LX119" s="8"/>
      <c r="LY119" s="5" t="str">
        <f t="shared" si="360"/>
        <v>NO APLICA</v>
      </c>
      <c r="LZ119" s="6"/>
      <c r="MA119" s="6"/>
      <c r="MB119" s="4"/>
      <c r="MC119" s="8"/>
      <c r="MD119" s="5" t="str">
        <f t="shared" si="361"/>
        <v>NO APLICA</v>
      </c>
      <c r="ME119" s="2"/>
      <c r="MF119" s="2"/>
      <c r="MG119" s="4"/>
      <c r="MH119" s="8"/>
      <c r="MI119" s="5" t="str">
        <f t="shared" si="333"/>
        <v>NO APLICA</v>
      </c>
      <c r="MJ119" s="2"/>
      <c r="MK119" s="2"/>
      <c r="ML119" s="4"/>
      <c r="MM119" s="8"/>
      <c r="MN119" s="5" t="str">
        <f t="shared" si="334"/>
        <v>NO APLICA</v>
      </c>
      <c r="MO119" s="5"/>
      <c r="MP119" s="2"/>
      <c r="MQ119" s="4"/>
      <c r="MR119" s="8"/>
      <c r="MS119" s="5" t="str">
        <f t="shared" si="335"/>
        <v>NO APLICA</v>
      </c>
      <c r="MT119" s="5"/>
      <c r="MU119" s="2"/>
      <c r="MV119" s="4"/>
      <c r="MW119" s="2"/>
      <c r="MX119" s="5" t="str">
        <f t="shared" si="336"/>
        <v>NO APLICA</v>
      </c>
      <c r="MY119" s="2"/>
      <c r="MZ119" s="6"/>
      <c r="NA119" s="4"/>
      <c r="NB119" s="8"/>
      <c r="NC119" s="5" t="str">
        <f t="shared" si="337"/>
        <v>NO APLICA</v>
      </c>
      <c r="ND119" s="2"/>
      <c r="NE119" s="6"/>
      <c r="NF119" s="4"/>
      <c r="NG119" s="8"/>
      <c r="NH119" s="5" t="str">
        <f t="shared" si="338"/>
        <v>NO APLICA</v>
      </c>
      <c r="NI119" s="2"/>
      <c r="NJ119" s="6"/>
      <c r="NK119" s="4"/>
      <c r="NL119" s="8"/>
      <c r="NM119" s="5" t="str">
        <f t="shared" si="339"/>
        <v>NO APLICA</v>
      </c>
      <c r="NN119" s="2"/>
      <c r="NO119" s="2"/>
      <c r="NP119" s="4"/>
      <c r="NQ119" s="8"/>
      <c r="NR119" s="5" t="str">
        <f t="shared" si="340"/>
        <v>NO APLICA</v>
      </c>
      <c r="NS119" s="2"/>
      <c r="NT119" s="2"/>
      <c r="NU119" s="2"/>
      <c r="NV119" s="2"/>
      <c r="NW119" s="5" t="str">
        <f t="shared" si="341"/>
        <v>NO APLICA</v>
      </c>
      <c r="NX119" s="6"/>
      <c r="NY119" s="6"/>
      <c r="NZ119" s="4"/>
      <c r="OA119" s="8"/>
      <c r="OB119" s="5" t="str">
        <f t="shared" si="342"/>
        <v>NO APLICA</v>
      </c>
      <c r="OC119" s="6"/>
      <c r="OD119" s="6"/>
      <c r="OE119" s="6"/>
      <c r="OF119" s="6"/>
      <c r="OG119" s="5" t="str">
        <f t="shared" si="343"/>
        <v>NO APLICA</v>
      </c>
      <c r="OH119" s="2"/>
      <c r="OI119" s="2"/>
      <c r="OJ119" s="4"/>
      <c r="OK119" s="8"/>
      <c r="OL119" s="5" t="str">
        <f t="shared" si="344"/>
        <v>NO APLICA</v>
      </c>
      <c r="OM119" s="6"/>
      <c r="ON119" s="6"/>
      <c r="OO119" s="6"/>
      <c r="OP119" s="6"/>
      <c r="OQ119" s="5" t="str">
        <f t="shared" si="345"/>
        <v>NO APLICA</v>
      </c>
      <c r="OR119" s="6"/>
      <c r="OS119" s="6"/>
      <c r="OT119" s="6"/>
      <c r="OU119" s="6"/>
      <c r="OV119" s="5" t="str">
        <f t="shared" si="346"/>
        <v>NO APLICA</v>
      </c>
      <c r="OW119" s="6"/>
      <c r="OX119" s="6"/>
      <c r="OY119" s="6"/>
      <c r="OZ119" s="6"/>
      <c r="PA119" s="5" t="str">
        <f t="shared" si="347"/>
        <v>NO APLICA</v>
      </c>
      <c r="PB119" s="6"/>
      <c r="PC119" s="6"/>
      <c r="PD119" s="6"/>
      <c r="PE119" s="6"/>
      <c r="PF119" s="5" t="str">
        <f t="shared" si="348"/>
        <v>NO APLICA</v>
      </c>
      <c r="PG119" s="6"/>
      <c r="PH119" s="6"/>
      <c r="PI119" s="6"/>
      <c r="PJ119" s="6"/>
      <c r="PK119" s="5" t="str">
        <f t="shared" si="349"/>
        <v>NO APLICA</v>
      </c>
      <c r="PL119" s="5"/>
      <c r="PM119" s="6"/>
      <c r="PN119" s="4"/>
      <c r="PO119" s="8"/>
      <c r="PP119" s="5" t="str">
        <f t="shared" si="350"/>
        <v>NO APLICA</v>
      </c>
      <c r="PQ119" s="6"/>
      <c r="PR119" s="6"/>
      <c r="PS119" s="6"/>
      <c r="PT119" s="6"/>
      <c r="PU119" s="5" t="str">
        <f t="shared" si="351"/>
        <v>NO APLICA</v>
      </c>
      <c r="PV119" s="5"/>
      <c r="PW119" s="4">
        <v>45499</v>
      </c>
      <c r="PX119" s="4"/>
      <c r="PY119" s="8"/>
      <c r="PZ119" s="5" t="str">
        <f>IF(PY119&gt;=61,"VIGENTE",IF(PY119&gt;=1,"POR VENCER",IF(PY119&lt;=-1,"VENCIDA",IF(PY119=0,"NO APLICA"))))</f>
        <v>NO APLICA</v>
      </c>
    </row>
    <row r="120" spans="1:442" ht="15.6" hidden="1" thickTop="1" thickBot="1" x14ac:dyDescent="0.35">
      <c r="A120" s="26">
        <v>117</v>
      </c>
      <c r="B120" s="31">
        <v>1717</v>
      </c>
      <c r="C120" s="28" t="s">
        <v>400</v>
      </c>
      <c r="D120" s="29" t="s">
        <v>64</v>
      </c>
      <c r="E120" s="30" t="s">
        <v>81</v>
      </c>
      <c r="F120" s="6"/>
      <c r="G120" s="6"/>
      <c r="H120" s="6"/>
      <c r="I120" s="6"/>
      <c r="J120" s="5" t="str">
        <f t="shared" si="242"/>
        <v>NO APLICA</v>
      </c>
      <c r="K120" s="6"/>
      <c r="L120" s="6"/>
      <c r="M120" s="6"/>
      <c r="N120" s="6"/>
      <c r="O120" s="5" t="str">
        <f t="shared" si="243"/>
        <v>NO APLICA</v>
      </c>
      <c r="P120" s="4"/>
      <c r="Q120" s="4">
        <v>45590</v>
      </c>
      <c r="R120" s="4">
        <f>DATE(YEAR(Q120)+2,MONTH(Q120),DAY(Q120)-1)</f>
        <v>46319</v>
      </c>
      <c r="S120" s="8">
        <f ca="1">R120-TODAY()</f>
        <v>174</v>
      </c>
      <c r="T120" s="5" t="str">
        <f t="shared" ca="1" si="353"/>
        <v>VIGENTE</v>
      </c>
      <c r="U120" s="5"/>
      <c r="V120" s="6" t="s">
        <v>401</v>
      </c>
      <c r="W120" s="4">
        <v>45309</v>
      </c>
      <c r="X120" s="4">
        <f t="shared" si="410"/>
        <v>47136</v>
      </c>
      <c r="Y120" s="8">
        <f t="shared" ca="1" si="411"/>
        <v>991</v>
      </c>
      <c r="Z120" s="5" t="str">
        <f t="shared" ca="1" si="412"/>
        <v>VIGENTE</v>
      </c>
      <c r="AA120" s="5"/>
      <c r="AB120" s="6"/>
      <c r="AC120" s="6"/>
      <c r="AD120" s="4"/>
      <c r="AE120" s="8"/>
      <c r="AF120" s="5" t="str">
        <f t="shared" si="247"/>
        <v>NO APLICA</v>
      </c>
      <c r="AG120" s="6"/>
      <c r="AH120" s="4">
        <v>45936</v>
      </c>
      <c r="AI120" s="4">
        <f>DATE(YEAR(AH120)+2,MONTH(AH120),DAY(AH120))</f>
        <v>46666</v>
      </c>
      <c r="AJ120" s="8">
        <f t="shared" ca="1" si="248"/>
        <v>521</v>
      </c>
      <c r="AK120" s="5" t="str">
        <f t="shared" ca="1" si="408"/>
        <v>VIGENTE</v>
      </c>
      <c r="AL120" s="6"/>
      <c r="AM120" s="4">
        <v>45937</v>
      </c>
      <c r="AN120" s="4">
        <f>DATE(YEAR(AM120)+2,MONTH(AM120),DAY(AM120))</f>
        <v>46667</v>
      </c>
      <c r="AO120" s="8">
        <f t="shared" ca="1" si="249"/>
        <v>522</v>
      </c>
      <c r="AP120" s="5" t="str">
        <f t="shared" ca="1" si="250"/>
        <v>VIGENTE</v>
      </c>
      <c r="AQ120" s="4"/>
      <c r="AR120" s="4">
        <v>45989</v>
      </c>
      <c r="AS120" s="4">
        <f>DATE(YEAR(AR120)+2,MONTH(AR120),DAY(AR120))</f>
        <v>46719</v>
      </c>
      <c r="AT120" s="8">
        <f t="shared" ca="1" si="251"/>
        <v>574</v>
      </c>
      <c r="AU120" s="5" t="str">
        <f t="shared" ca="1" si="252"/>
        <v>VIGENTE</v>
      </c>
      <c r="AV120" s="4"/>
      <c r="AW120" s="4">
        <v>45972</v>
      </c>
      <c r="AX120" s="4">
        <f>DATE(YEAR(AW120)+2,MONTH(AW120),DAY(AW120))</f>
        <v>46702</v>
      </c>
      <c r="AY120" s="8">
        <f t="shared" ca="1" si="253"/>
        <v>557</v>
      </c>
      <c r="AZ120" s="5" t="str">
        <f t="shared" ca="1" si="254"/>
        <v>VIGENTE</v>
      </c>
      <c r="BA120" s="3"/>
      <c r="BB120" s="4">
        <v>46041</v>
      </c>
      <c r="BC120" s="4">
        <f>DATE(YEAR(BB120)+2,MONTH(BB120),DAY(BB120))</f>
        <v>46771</v>
      </c>
      <c r="BD120" s="8">
        <f t="shared" ca="1" si="255"/>
        <v>626</v>
      </c>
      <c r="BE120" s="5" t="str">
        <f t="shared" ca="1" si="256"/>
        <v>VIGENTE</v>
      </c>
      <c r="BF120" s="6"/>
      <c r="BG120" s="4">
        <v>45997</v>
      </c>
      <c r="BH120" s="4">
        <f>DATE(YEAR(BG120)+2,MONTH(BG120),DAY(BG120))</f>
        <v>46727</v>
      </c>
      <c r="BI120" s="8">
        <f t="shared" ca="1" si="257"/>
        <v>582</v>
      </c>
      <c r="BJ120" s="5" t="str">
        <f t="shared" ca="1" si="258"/>
        <v>VIGENTE</v>
      </c>
      <c r="BK120" s="4"/>
      <c r="BL120" s="4">
        <v>46017</v>
      </c>
      <c r="BM120" s="4">
        <f>DATE(YEAR(BL120)+2,MONTH(BL120),DAY(BL120))</f>
        <v>46747</v>
      </c>
      <c r="BN120" s="8">
        <f t="shared" ca="1" si="259"/>
        <v>602</v>
      </c>
      <c r="BO120" s="5" t="str">
        <f t="shared" ca="1" si="260"/>
        <v>VIGENTE</v>
      </c>
      <c r="BP120" s="4"/>
      <c r="BQ120" s="39">
        <v>46050</v>
      </c>
      <c r="BR120" s="4">
        <f>DATE(YEAR(BQ120)+2,MONTH(BQ120),DAY(BQ120))</f>
        <v>46780</v>
      </c>
      <c r="BS120" s="8">
        <f t="shared" ca="1" si="261"/>
        <v>635</v>
      </c>
      <c r="BT120" s="5" t="str">
        <f t="shared" ca="1" si="262"/>
        <v>VIGENTE</v>
      </c>
      <c r="BU120" s="3"/>
      <c r="BV120" s="4">
        <v>46031</v>
      </c>
      <c r="BW120" s="4">
        <f>DATE(YEAR(BV120)+2,MONTH(BV120),DAY(BV120))</f>
        <v>46761</v>
      </c>
      <c r="BX120" s="8">
        <f t="shared" ca="1" si="263"/>
        <v>616</v>
      </c>
      <c r="BY120" s="5" t="str">
        <f t="shared" ca="1" si="264"/>
        <v>VIGENTE</v>
      </c>
      <c r="BZ120" s="6"/>
      <c r="CA120" s="4">
        <v>45986</v>
      </c>
      <c r="CB120" s="4">
        <f t="shared" si="423"/>
        <v>46716</v>
      </c>
      <c r="CC120" s="8">
        <f t="shared" ca="1" si="265"/>
        <v>571</v>
      </c>
      <c r="CD120" s="5" t="str">
        <f t="shared" ca="1" si="266"/>
        <v>VIGENTE</v>
      </c>
      <c r="CE120" s="6"/>
      <c r="CF120" s="4">
        <v>45723</v>
      </c>
      <c r="CG120" s="4">
        <f t="shared" si="416"/>
        <v>47184</v>
      </c>
      <c r="CH120" s="8">
        <f t="shared" ca="1" si="417"/>
        <v>1039</v>
      </c>
      <c r="CI120" s="5" t="str">
        <f t="shared" ca="1" si="418"/>
        <v>VIGENTE</v>
      </c>
      <c r="CJ120" s="4"/>
      <c r="CK120" s="4">
        <v>46018</v>
      </c>
      <c r="CL120" s="4">
        <f>DATE(YEAR(CK120)+2,MONTH(CK120),DAY(CK120))</f>
        <v>46748</v>
      </c>
      <c r="CM120" s="8">
        <f t="shared" ca="1" si="270"/>
        <v>603</v>
      </c>
      <c r="CN120" s="5" t="str">
        <f t="shared" ca="1" si="271"/>
        <v>VIGENTE</v>
      </c>
      <c r="CO120" s="4"/>
      <c r="CP120" s="39">
        <v>45979</v>
      </c>
      <c r="CQ120" s="4">
        <f>DATE(YEAR(CP120)+2,MONTH(CP120),DAY(CP120))</f>
        <v>46709</v>
      </c>
      <c r="CR120" s="8">
        <f t="shared" ca="1" si="272"/>
        <v>564</v>
      </c>
      <c r="CS120" s="5" t="str">
        <f t="shared" ca="1" si="273"/>
        <v>VIGENTE</v>
      </c>
      <c r="CT120" s="4"/>
      <c r="CU120" s="4">
        <v>46043</v>
      </c>
      <c r="CV120" s="4">
        <f>DATE(YEAR(CU120)+2,MONTH(CU120),DAY(CU120))</f>
        <v>46773</v>
      </c>
      <c r="CW120" s="8">
        <f t="shared" ca="1" si="274"/>
        <v>628</v>
      </c>
      <c r="CX120" s="5" t="str">
        <f t="shared" ca="1" si="275"/>
        <v>VIGENTE</v>
      </c>
      <c r="CY120" s="4"/>
      <c r="CZ120" s="4">
        <v>46000</v>
      </c>
      <c r="DA120" s="4">
        <f>DATE(YEAR(CZ120)+2,MONTH(CZ120),DAY(CZ120))</f>
        <v>46730</v>
      </c>
      <c r="DB120" s="8">
        <f t="shared" ca="1" si="276"/>
        <v>585</v>
      </c>
      <c r="DC120" s="5" t="str">
        <f t="shared" ca="1" si="277"/>
        <v>VIGENTE</v>
      </c>
      <c r="DD120" s="3"/>
      <c r="DE120" s="39">
        <v>45996</v>
      </c>
      <c r="DF120" s="4">
        <f>DATE(YEAR(DE120)+2,MONTH(DE120),DAY(DE120))</f>
        <v>46726</v>
      </c>
      <c r="DG120" s="8">
        <f t="shared" ca="1" si="278"/>
        <v>581</v>
      </c>
      <c r="DH120" s="5" t="str">
        <f t="shared" ca="1" si="279"/>
        <v>VIGENTE</v>
      </c>
      <c r="DI120" s="4"/>
      <c r="DJ120" s="39">
        <v>45975</v>
      </c>
      <c r="DK120" s="4">
        <f>DATE(YEAR(DJ120)+2,MONTH(DJ120),DAY(DJ120))</f>
        <v>46705</v>
      </c>
      <c r="DL120" s="8">
        <f t="shared" ca="1" si="280"/>
        <v>560</v>
      </c>
      <c r="DM120" s="5" t="str">
        <f t="shared" ca="1" si="281"/>
        <v>VIGENTE</v>
      </c>
      <c r="DN120" s="4"/>
      <c r="DO120" s="4">
        <v>46007</v>
      </c>
      <c r="DP120" s="4">
        <f>DATE(YEAR(DO120)+2,MONTH(DO120),DAY(DO120))</f>
        <v>46737</v>
      </c>
      <c r="DQ120" s="8">
        <f t="shared" ca="1" si="282"/>
        <v>592</v>
      </c>
      <c r="DR120" s="5" t="str">
        <f t="shared" ca="1" si="283"/>
        <v>VIGENTE</v>
      </c>
      <c r="DS120" s="4"/>
      <c r="DT120" s="3">
        <v>46009</v>
      </c>
      <c r="DU120" s="4">
        <f>DATE(YEAR(DT120)+2,MONTH(DT120),DAY(DT120))</f>
        <v>46739</v>
      </c>
      <c r="DV120" s="8">
        <f t="shared" ca="1" si="284"/>
        <v>594</v>
      </c>
      <c r="DW120" s="5" t="str">
        <f t="shared" ca="1" si="285"/>
        <v>VIGENTE</v>
      </c>
      <c r="DX120" s="4"/>
      <c r="DY120" s="4">
        <v>46032</v>
      </c>
      <c r="DZ120" s="4">
        <f>DATE(YEAR(DY120)+2,MONTH(DY120),DAY(DY120))</f>
        <v>46762</v>
      </c>
      <c r="EA120" s="8">
        <f t="shared" ca="1" si="286"/>
        <v>617</v>
      </c>
      <c r="EB120" s="5" t="str">
        <f t="shared" ca="1" si="287"/>
        <v>VIGENTE</v>
      </c>
      <c r="EC120" s="4"/>
      <c r="ED120" s="39">
        <v>45994</v>
      </c>
      <c r="EE120" s="4">
        <f>DATE(YEAR(ED120)+2,MONTH(ED120),DAY(ED120))</f>
        <v>46724</v>
      </c>
      <c r="EF120" s="8">
        <f t="shared" ca="1" si="288"/>
        <v>579</v>
      </c>
      <c r="EG120" s="5" t="str">
        <f t="shared" ca="1" si="289"/>
        <v>VIGENTE</v>
      </c>
      <c r="EH120" s="3"/>
      <c r="EI120" s="3">
        <v>46015</v>
      </c>
      <c r="EJ120" s="4">
        <f t="shared" si="355"/>
        <v>46380</v>
      </c>
      <c r="EK120" s="8">
        <f t="shared" ca="1" si="290"/>
        <v>235</v>
      </c>
      <c r="EL120" s="5" t="str">
        <f t="shared" ca="1" si="291"/>
        <v>VIGENTE</v>
      </c>
      <c r="EM120" s="3"/>
      <c r="EN120" s="4">
        <v>45983</v>
      </c>
      <c r="EO120" s="4">
        <f>DATE(YEAR(EN120)+2,MONTH(EN120),DAY(EN120))</f>
        <v>46713</v>
      </c>
      <c r="EP120" s="8">
        <f t="shared" ca="1" si="292"/>
        <v>568</v>
      </c>
      <c r="EQ120" s="5" t="str">
        <f t="shared" ca="1" si="293"/>
        <v>VIGENTE</v>
      </c>
      <c r="ER120" s="6"/>
      <c r="ES120" s="39">
        <v>45999</v>
      </c>
      <c r="ET120" s="4">
        <f>DATE(YEAR(ES120)+2,MONTH(ES120),DAY(ES120))</f>
        <v>46729</v>
      </c>
      <c r="EU120" s="8">
        <f t="shared" ca="1" si="294"/>
        <v>584</v>
      </c>
      <c r="EV120" s="5" t="str">
        <f t="shared" ca="1" si="295"/>
        <v>VIGENTE</v>
      </c>
      <c r="EW120" s="4"/>
      <c r="EX120" s="4">
        <v>45964</v>
      </c>
      <c r="EY120" s="4">
        <f t="shared" si="424"/>
        <v>46694</v>
      </c>
      <c r="EZ120" s="8">
        <f t="shared" ca="1" si="296"/>
        <v>549</v>
      </c>
      <c r="FA120" s="5" t="str">
        <f t="shared" ca="1" si="297"/>
        <v>VIGENTE</v>
      </c>
      <c r="FB120" s="6"/>
      <c r="FC120" s="4">
        <v>45988</v>
      </c>
      <c r="FD120" s="4">
        <f>DATE(YEAR(FC120)+2,MONTH(FC120),DAY(FC120))</f>
        <v>46718</v>
      </c>
      <c r="FE120" s="8">
        <f t="shared" ca="1" si="298"/>
        <v>573</v>
      </c>
      <c r="FF120" s="5" t="str">
        <f t="shared" ca="1" si="299"/>
        <v>VIGENTE</v>
      </c>
      <c r="FG120" s="4"/>
      <c r="FH120" s="4">
        <v>45962</v>
      </c>
      <c r="FI120" s="4">
        <f t="shared" si="425"/>
        <v>46692</v>
      </c>
      <c r="FJ120" s="8">
        <f t="shared" ca="1" si="300"/>
        <v>547</v>
      </c>
      <c r="FK120" s="5" t="str">
        <f t="shared" ca="1" si="301"/>
        <v>VIGENTE</v>
      </c>
      <c r="FL120" s="4"/>
      <c r="FM120" s="39">
        <v>46039</v>
      </c>
      <c r="FN120" s="4">
        <f>DATE(YEAR(FM120)+2,MONTH(FM120),DAY(FM120))</f>
        <v>46769</v>
      </c>
      <c r="FO120" s="8">
        <f t="shared" ca="1" si="302"/>
        <v>624</v>
      </c>
      <c r="FP120" s="5" t="str">
        <f t="shared" ca="1" si="303"/>
        <v>VIGENTE</v>
      </c>
      <c r="FQ120" s="4"/>
      <c r="FR120" s="39">
        <v>46034</v>
      </c>
      <c r="FS120" s="4">
        <f>DATE(YEAR(FR120)+2,MONTH(FR120),DAY(FR120))</f>
        <v>46764</v>
      </c>
      <c r="FT120" s="8">
        <f t="shared" ca="1" si="304"/>
        <v>619</v>
      </c>
      <c r="FU120" s="5" t="str">
        <f t="shared" ca="1" si="305"/>
        <v>VIGENTE</v>
      </c>
      <c r="FV120" s="4"/>
      <c r="FW120" s="4">
        <v>46004</v>
      </c>
      <c r="FX120" s="4">
        <f>DATE(YEAR(FW120)+2,MONTH(FW120),DAY(FW120))</f>
        <v>46734</v>
      </c>
      <c r="FY120" s="8">
        <f t="shared" ca="1" si="306"/>
        <v>589</v>
      </c>
      <c r="FZ120" s="5" t="str">
        <f t="shared" ca="1" si="307"/>
        <v>VIGENTE</v>
      </c>
      <c r="GA120" s="4"/>
      <c r="GB120" s="4">
        <v>45925</v>
      </c>
      <c r="GC120" s="4">
        <f>DATE(YEAR(GB120)+2,MONTH(GB120),DAY(GB120))</f>
        <v>46655</v>
      </c>
      <c r="GD120" s="8">
        <f t="shared" ca="1" si="308"/>
        <v>510</v>
      </c>
      <c r="GE120" s="5" t="str">
        <f t="shared" ca="1" si="309"/>
        <v>VIGENTE</v>
      </c>
      <c r="GF120" s="4"/>
      <c r="GG120" s="4">
        <v>45960</v>
      </c>
      <c r="GH120" s="4">
        <f>DATE(YEAR(GG120)+2,MONTH(GG120),DAY(GG120))</f>
        <v>46690</v>
      </c>
      <c r="GI120" s="8">
        <f t="shared" ca="1" si="310"/>
        <v>545</v>
      </c>
      <c r="GJ120" s="5" t="str">
        <f t="shared" ca="1" si="311"/>
        <v>VIGENTE</v>
      </c>
      <c r="GK120" s="4"/>
      <c r="GL120" s="4">
        <v>45499</v>
      </c>
      <c r="GM120" s="4">
        <f>DATE(YEAR(GL120)+2,MONTH(GL120),DAY(GL120)-1)</f>
        <v>46228</v>
      </c>
      <c r="GN120" s="8">
        <f t="shared" ca="1" si="312"/>
        <v>83</v>
      </c>
      <c r="GO120" s="5" t="str">
        <f t="shared" ca="1" si="313"/>
        <v>VIGENTE</v>
      </c>
      <c r="GP120" s="4"/>
      <c r="GQ120" s="4">
        <v>45299</v>
      </c>
      <c r="GR120" s="4">
        <f t="shared" si="314"/>
        <v>47126</v>
      </c>
      <c r="GS120" s="8">
        <f t="shared" ca="1" si="405"/>
        <v>981</v>
      </c>
      <c r="GT120" s="5" t="str">
        <f t="shared" ca="1" si="419"/>
        <v>VIGENTE</v>
      </c>
      <c r="GU120" s="4"/>
      <c r="GV120" s="4">
        <v>45329</v>
      </c>
      <c r="GW120" s="4">
        <f t="shared" si="316"/>
        <v>47156</v>
      </c>
      <c r="GX120" s="8">
        <f t="shared" ca="1" si="317"/>
        <v>1011</v>
      </c>
      <c r="GY120" s="5" t="str">
        <f t="shared" ca="1" si="426"/>
        <v>VIGENTE</v>
      </c>
      <c r="GZ120" s="6"/>
      <c r="HA120" s="4">
        <v>45343</v>
      </c>
      <c r="HB120" s="4">
        <f t="shared" si="319"/>
        <v>47170</v>
      </c>
      <c r="HC120" s="8">
        <f t="shared" ca="1" si="320"/>
        <v>1025</v>
      </c>
      <c r="HD120" s="5" t="str">
        <f t="shared" ca="1" si="421"/>
        <v>VIGENTE</v>
      </c>
      <c r="HE120" s="6"/>
      <c r="HF120" s="4">
        <v>45317</v>
      </c>
      <c r="HG120" s="4">
        <f t="shared" ref="HG120:HG130" si="428">DATE(YEAR(HF120)+5,MONTH(HF120),DAY(HF120))</f>
        <v>47144</v>
      </c>
      <c r="HH120" s="8">
        <f t="shared" ref="HH120:HH130" ca="1" si="429">HG120-TODAY()</f>
        <v>999</v>
      </c>
      <c r="HI120" s="5" t="str">
        <f t="shared" ca="1" si="427"/>
        <v>VIGENTE</v>
      </c>
      <c r="HJ120" s="6"/>
      <c r="HK120" s="6"/>
      <c r="HL120" s="4"/>
      <c r="HM120" s="8"/>
      <c r="HN120" s="5" t="str">
        <f t="shared" si="409"/>
        <v>NO APLICA</v>
      </c>
      <c r="HO120" s="2"/>
      <c r="HP120" s="2"/>
      <c r="HQ120" s="4"/>
      <c r="HR120" s="2"/>
      <c r="HS120" s="5" t="str">
        <f t="shared" si="322"/>
        <v>NO APLICA</v>
      </c>
      <c r="HT120" s="6"/>
      <c r="HU120" s="6"/>
      <c r="HV120" s="4"/>
      <c r="HW120" s="8"/>
      <c r="HX120" s="5" t="str">
        <f t="shared" si="323"/>
        <v>NO APLICA</v>
      </c>
      <c r="HY120" s="6"/>
      <c r="HZ120" s="6"/>
      <c r="IA120" s="4"/>
      <c r="IB120" s="8"/>
      <c r="IC120" s="5" t="str">
        <f t="shared" si="324"/>
        <v>NO APLICA</v>
      </c>
      <c r="ID120" s="6"/>
      <c r="IE120" s="6"/>
      <c r="IF120" s="4"/>
      <c r="IG120" s="8"/>
      <c r="IH120" s="5" t="str">
        <f t="shared" si="325"/>
        <v>NO APLICA</v>
      </c>
      <c r="II120" s="6"/>
      <c r="IJ120" s="6"/>
      <c r="IK120" s="4"/>
      <c r="IL120" s="6"/>
      <c r="IM120" s="5" t="str">
        <f t="shared" si="326"/>
        <v>NO APLICA</v>
      </c>
      <c r="IN120" s="6"/>
      <c r="IO120" s="6"/>
      <c r="IP120" s="4"/>
      <c r="IQ120" s="8"/>
      <c r="IR120" s="5" t="str">
        <f t="shared" si="327"/>
        <v>NO APLICA</v>
      </c>
      <c r="IS120" s="6"/>
      <c r="IT120" s="6"/>
      <c r="IU120" s="4"/>
      <c r="IV120" s="8"/>
      <c r="IW120" s="5" t="str">
        <f t="shared" si="328"/>
        <v>NO APLICA</v>
      </c>
      <c r="IX120" s="6"/>
      <c r="IY120" s="6"/>
      <c r="IZ120" s="4"/>
      <c r="JA120" s="8"/>
      <c r="JB120" s="5" t="str">
        <f t="shared" si="329"/>
        <v>NO APLICA</v>
      </c>
      <c r="JC120" s="3" t="s">
        <v>780</v>
      </c>
      <c r="JD120" s="3"/>
      <c r="JE120" s="4"/>
      <c r="JF120" s="8"/>
      <c r="JG120" s="5"/>
      <c r="JH120" s="3" t="s">
        <v>780</v>
      </c>
      <c r="JI120" s="6"/>
      <c r="JJ120" s="6"/>
      <c r="JK120" s="6"/>
      <c r="JL120" s="5"/>
      <c r="JM120" s="6" t="s">
        <v>780</v>
      </c>
      <c r="JN120" s="6"/>
      <c r="JO120" s="6"/>
      <c r="JP120" s="6"/>
      <c r="JQ120" s="5"/>
      <c r="JR120" s="6" t="s">
        <v>780</v>
      </c>
      <c r="JS120" s="6"/>
      <c r="JT120" s="6"/>
      <c r="JU120" s="6"/>
      <c r="JV120" s="5"/>
      <c r="JW120" s="6" t="s">
        <v>780</v>
      </c>
      <c r="JX120" s="5"/>
      <c r="JY120" s="5"/>
      <c r="JZ120" s="5"/>
      <c r="KA120" s="5"/>
      <c r="KB120" s="5"/>
      <c r="KC120" s="2"/>
      <c r="KD120" s="4"/>
      <c r="KE120" s="8"/>
      <c r="KF120" s="5" t="str">
        <f t="shared" si="330"/>
        <v>NO APLICA</v>
      </c>
      <c r="KG120" s="5"/>
      <c r="KH120" s="2"/>
      <c r="KI120" s="4"/>
      <c r="KJ120" s="8"/>
      <c r="KK120" s="5" t="str">
        <f t="shared" si="356"/>
        <v>NO APLICA</v>
      </c>
      <c r="KL120" s="5"/>
      <c r="KM120" s="2"/>
      <c r="KN120" s="4"/>
      <c r="KO120" s="8"/>
      <c r="KP120" s="5" t="str">
        <f t="shared" si="331"/>
        <v>NO APLICA</v>
      </c>
      <c r="KQ120" s="5"/>
      <c r="KR120" s="2"/>
      <c r="KS120" s="4"/>
      <c r="KT120" s="8"/>
      <c r="KU120" s="5" t="str">
        <f t="shared" si="357"/>
        <v>NO APLICA</v>
      </c>
      <c r="KV120" s="6"/>
      <c r="KW120" s="6"/>
      <c r="KX120" s="4"/>
      <c r="KY120" s="6"/>
      <c r="KZ120" s="5" t="str">
        <f t="shared" si="366"/>
        <v>NO APLICA</v>
      </c>
      <c r="LA120" s="5"/>
      <c r="LB120" s="6"/>
      <c r="LC120" s="4"/>
      <c r="LD120" s="6"/>
      <c r="LE120" s="5" t="str">
        <f t="shared" si="358"/>
        <v>NO APLICA</v>
      </c>
      <c r="LF120" s="6"/>
      <c r="LG120" s="6"/>
      <c r="LH120" s="6"/>
      <c r="LI120" s="6"/>
      <c r="LJ120" s="5" t="str">
        <f t="shared" si="332"/>
        <v>NO APLICA</v>
      </c>
      <c r="LK120" s="5"/>
      <c r="LL120" s="5"/>
      <c r="LM120" s="5"/>
      <c r="LN120" s="5"/>
      <c r="LO120" s="5" t="str">
        <f t="shared" si="367"/>
        <v>NO APLICA</v>
      </c>
      <c r="LP120" s="6"/>
      <c r="LQ120" s="6"/>
      <c r="LR120" s="4"/>
      <c r="LS120" s="8"/>
      <c r="LT120" s="5" t="str">
        <f t="shared" si="359"/>
        <v>NO APLICA</v>
      </c>
      <c r="LU120" s="6"/>
      <c r="LV120" s="6"/>
      <c r="LW120" s="4"/>
      <c r="LX120" s="6"/>
      <c r="LY120" s="5" t="str">
        <f t="shared" si="360"/>
        <v>NO APLICA</v>
      </c>
      <c r="LZ120" s="6"/>
      <c r="MA120" s="6"/>
      <c r="MB120" s="4"/>
      <c r="MC120" s="6"/>
      <c r="MD120" s="5" t="str">
        <f t="shared" si="361"/>
        <v>NO APLICA</v>
      </c>
      <c r="ME120" s="6"/>
      <c r="MF120" s="6"/>
      <c r="MG120" s="4"/>
      <c r="MH120" s="6"/>
      <c r="MI120" s="5" t="str">
        <f t="shared" si="333"/>
        <v>NO APLICA</v>
      </c>
      <c r="MJ120" s="6"/>
      <c r="MK120" s="6"/>
      <c r="ML120" s="4"/>
      <c r="MM120" s="6"/>
      <c r="MN120" s="5" t="str">
        <f t="shared" si="334"/>
        <v>NO APLICA</v>
      </c>
      <c r="MO120" s="5"/>
      <c r="MP120" s="6"/>
      <c r="MQ120" s="4"/>
      <c r="MR120" s="6"/>
      <c r="MS120" s="5" t="str">
        <f t="shared" si="335"/>
        <v>NO APLICA</v>
      </c>
      <c r="MT120" s="5"/>
      <c r="MU120" s="6"/>
      <c r="MV120" s="6"/>
      <c r="MW120" s="6"/>
      <c r="MX120" s="5" t="str">
        <f t="shared" si="336"/>
        <v>NO APLICA</v>
      </c>
      <c r="MY120" s="6"/>
      <c r="MZ120" s="6"/>
      <c r="NA120" s="4"/>
      <c r="NB120" s="6"/>
      <c r="NC120" s="5" t="str">
        <f t="shared" si="337"/>
        <v>NO APLICA</v>
      </c>
      <c r="ND120" s="6"/>
      <c r="NE120" s="6"/>
      <c r="NF120" s="4"/>
      <c r="NG120" s="6"/>
      <c r="NH120" s="5" t="str">
        <f t="shared" si="338"/>
        <v>NO APLICA</v>
      </c>
      <c r="NI120" s="6"/>
      <c r="NJ120" s="6"/>
      <c r="NK120" s="4"/>
      <c r="NL120" s="6"/>
      <c r="NM120" s="5" t="str">
        <f t="shared" si="339"/>
        <v>NO APLICA</v>
      </c>
      <c r="NN120" s="6"/>
      <c r="NO120" s="6"/>
      <c r="NP120" s="4"/>
      <c r="NQ120" s="6"/>
      <c r="NR120" s="5" t="str">
        <f t="shared" si="340"/>
        <v>NO APLICA</v>
      </c>
      <c r="NS120" s="6"/>
      <c r="NT120" s="6"/>
      <c r="NU120" s="4"/>
      <c r="NV120" s="6"/>
      <c r="NW120" s="5" t="str">
        <f t="shared" si="341"/>
        <v>NO APLICA</v>
      </c>
      <c r="NX120" s="6"/>
      <c r="NY120" s="6"/>
      <c r="NZ120" s="4"/>
      <c r="OA120" s="8"/>
      <c r="OB120" s="5" t="str">
        <f t="shared" si="342"/>
        <v>NO APLICA</v>
      </c>
      <c r="OC120" s="6"/>
      <c r="OD120" s="6"/>
      <c r="OE120" s="6"/>
      <c r="OF120" s="6"/>
      <c r="OG120" s="5" t="str">
        <f t="shared" si="343"/>
        <v>NO APLICA</v>
      </c>
      <c r="OH120" s="6"/>
      <c r="OI120" s="6"/>
      <c r="OJ120" s="6"/>
      <c r="OK120" s="6"/>
      <c r="OL120" s="5" t="str">
        <f t="shared" si="344"/>
        <v>NO APLICA</v>
      </c>
      <c r="OM120" s="6"/>
      <c r="ON120" s="6"/>
      <c r="OO120" s="6"/>
      <c r="OP120" s="6"/>
      <c r="OQ120" s="5" t="str">
        <f t="shared" si="345"/>
        <v>NO APLICA</v>
      </c>
      <c r="OR120" s="6"/>
      <c r="OS120" s="6"/>
      <c r="OT120" s="6"/>
      <c r="OU120" s="6"/>
      <c r="OV120" s="5" t="str">
        <f t="shared" si="346"/>
        <v>NO APLICA</v>
      </c>
      <c r="OW120" s="6"/>
      <c r="OX120" s="6"/>
      <c r="OY120" s="6"/>
      <c r="OZ120" s="6"/>
      <c r="PA120" s="5" t="str">
        <f t="shared" si="347"/>
        <v>NO APLICA</v>
      </c>
      <c r="PB120" s="6"/>
      <c r="PC120" s="6"/>
      <c r="PD120" s="6"/>
      <c r="PE120" s="6"/>
      <c r="PF120" s="5" t="str">
        <f t="shared" si="348"/>
        <v>NO APLICA</v>
      </c>
      <c r="PG120" s="6"/>
      <c r="PH120" s="6"/>
      <c r="PI120" s="6"/>
      <c r="PJ120" s="6"/>
      <c r="PK120" s="5" t="str">
        <f t="shared" si="349"/>
        <v>NO APLICA</v>
      </c>
      <c r="PL120" s="5"/>
      <c r="PM120" s="6"/>
      <c r="PN120" s="6"/>
      <c r="PO120" s="6"/>
      <c r="PP120" s="5" t="str">
        <f t="shared" si="350"/>
        <v>NO APLICA</v>
      </c>
      <c r="PQ120" s="6"/>
      <c r="PR120" s="6"/>
      <c r="PS120" s="6"/>
      <c r="PT120" s="6"/>
      <c r="PU120" s="5" t="str">
        <f t="shared" si="351"/>
        <v>NO APLICA</v>
      </c>
      <c r="PV120" s="5"/>
      <c r="PW120" s="4">
        <v>46126</v>
      </c>
      <c r="PX120" s="4">
        <f>DATE(YEAR(PW120)+1,MONTH(PW120),DAY(PW120))</f>
        <v>46491</v>
      </c>
      <c r="PY120" s="8">
        <f ca="1">PX120-TODAY()</f>
        <v>346</v>
      </c>
      <c r="PZ120" s="5" t="str">
        <f t="shared" ca="1" si="352"/>
        <v>VIGENTE</v>
      </c>
    </row>
    <row r="121" spans="1:442" ht="15.6" hidden="1" thickTop="1" thickBot="1" x14ac:dyDescent="0.35">
      <c r="A121" s="26">
        <v>118</v>
      </c>
      <c r="B121" s="31">
        <v>6</v>
      </c>
      <c r="C121" s="28" t="s">
        <v>402</v>
      </c>
      <c r="D121" s="29" t="s">
        <v>64</v>
      </c>
      <c r="E121" s="30" t="s">
        <v>403</v>
      </c>
      <c r="F121" s="5"/>
      <c r="G121" s="6"/>
      <c r="H121" s="4"/>
      <c r="I121" s="8"/>
      <c r="J121" s="5" t="str">
        <f t="shared" si="242"/>
        <v>NO APLICA</v>
      </c>
      <c r="K121" s="5"/>
      <c r="L121" s="6"/>
      <c r="M121" s="6"/>
      <c r="N121" s="8"/>
      <c r="O121" s="5" t="str">
        <f t="shared" si="243"/>
        <v>NO APLICA</v>
      </c>
      <c r="P121" s="6"/>
      <c r="Q121" s="6"/>
      <c r="R121" s="4"/>
      <c r="S121" s="8"/>
      <c r="T121" s="5" t="str">
        <f t="shared" si="353"/>
        <v>NO APLICA</v>
      </c>
      <c r="U121" s="5"/>
      <c r="V121" s="2" t="s">
        <v>404</v>
      </c>
      <c r="W121" s="4">
        <v>45502</v>
      </c>
      <c r="X121" s="4">
        <f t="shared" si="410"/>
        <v>47328</v>
      </c>
      <c r="Y121" s="8">
        <f t="shared" ca="1" si="411"/>
        <v>1183</v>
      </c>
      <c r="Z121" s="5" t="str">
        <f t="shared" ca="1" si="412"/>
        <v>VIGENTE</v>
      </c>
      <c r="AA121" s="5"/>
      <c r="AB121" s="2" t="s">
        <v>405</v>
      </c>
      <c r="AC121" s="4">
        <v>45499</v>
      </c>
      <c r="AD121" s="4">
        <f t="shared" ref="AD121:AD130" si="430">DATE(YEAR(AC121)+5,MONTH(AC121),DAY(AC121))</f>
        <v>47325</v>
      </c>
      <c r="AE121" s="8">
        <f t="shared" ref="AE121:AE130" ca="1" si="431">AD121-TODAY()</f>
        <v>1180</v>
      </c>
      <c r="AF121" s="5" t="str">
        <f t="shared" ca="1" si="247"/>
        <v>VIGENTE</v>
      </c>
      <c r="AG121" s="3"/>
      <c r="AH121" s="4">
        <v>45512</v>
      </c>
      <c r="AI121" s="4">
        <f t="shared" ref="AI121:AI127" si="432">DATE(YEAR(AH121)+2,MONTH(AH121),DAY(AH121)-1)</f>
        <v>46241</v>
      </c>
      <c r="AJ121" s="8">
        <f t="shared" ca="1" si="248"/>
        <v>96</v>
      </c>
      <c r="AK121" s="5" t="str">
        <f t="shared" ca="1" si="408"/>
        <v>VIGENTE</v>
      </c>
      <c r="AL121" s="3"/>
      <c r="AM121" s="4">
        <v>45518</v>
      </c>
      <c r="AN121" s="4">
        <f>DATE(YEAR(AM121)+2,MONTH(AM121),DAY(AM121)-1)</f>
        <v>46247</v>
      </c>
      <c r="AO121" s="8">
        <f t="shared" ca="1" si="249"/>
        <v>102</v>
      </c>
      <c r="AP121" s="5" t="str">
        <f t="shared" ca="1" si="250"/>
        <v>VIGENTE</v>
      </c>
      <c r="AQ121" s="3"/>
      <c r="AR121" s="4">
        <v>45505</v>
      </c>
      <c r="AS121" s="4">
        <f>DATE(YEAR(AR121)+2,MONTH(AR121),DAY(AR121)-1)</f>
        <v>46234</v>
      </c>
      <c r="AT121" s="8">
        <f t="shared" ca="1" si="251"/>
        <v>89</v>
      </c>
      <c r="AU121" s="5" t="str">
        <f t="shared" ca="1" si="252"/>
        <v>POR VENCER</v>
      </c>
      <c r="AV121" s="3"/>
      <c r="AW121" s="4">
        <v>45514</v>
      </c>
      <c r="AX121" s="4">
        <f>DATE(YEAR(AW121)+2,MONTH(AW121),DAY(AW121)-1)</f>
        <v>46243</v>
      </c>
      <c r="AY121" s="8">
        <f t="shared" ca="1" si="253"/>
        <v>98</v>
      </c>
      <c r="AZ121" s="5" t="str">
        <f t="shared" ca="1" si="254"/>
        <v>VIGENTE</v>
      </c>
      <c r="BA121" s="3"/>
      <c r="BB121" s="4">
        <v>45515</v>
      </c>
      <c r="BC121" s="4">
        <f>DATE(YEAR(BB121)+2,MONTH(BB121),DAY(BB121)-1)</f>
        <v>46244</v>
      </c>
      <c r="BD121" s="8">
        <f t="shared" ca="1" si="255"/>
        <v>99</v>
      </c>
      <c r="BE121" s="5" t="str">
        <f t="shared" ca="1" si="256"/>
        <v>VIGENTE</v>
      </c>
      <c r="BF121" s="3"/>
      <c r="BG121" s="4">
        <v>45531</v>
      </c>
      <c r="BH121" s="4">
        <f>DATE(YEAR(BG121)+2,MONTH(BG121),DAY(BG121)-1)</f>
        <v>46260</v>
      </c>
      <c r="BI121" s="8">
        <f t="shared" ca="1" si="257"/>
        <v>115</v>
      </c>
      <c r="BJ121" s="5" t="str">
        <f t="shared" ca="1" si="258"/>
        <v>VIGENTE</v>
      </c>
      <c r="BK121" s="3"/>
      <c r="BL121" s="4">
        <v>45699</v>
      </c>
      <c r="BM121" s="4">
        <f>DATE(YEAR(BL121)+2,MONTH(BL121),DAY(BL121)-1)</f>
        <v>46428</v>
      </c>
      <c r="BN121" s="8">
        <f t="shared" ca="1" si="259"/>
        <v>283</v>
      </c>
      <c r="BO121" s="5" t="str">
        <f t="shared" ca="1" si="260"/>
        <v>VIGENTE</v>
      </c>
      <c r="BP121" s="3"/>
      <c r="BQ121" s="39">
        <v>45532</v>
      </c>
      <c r="BR121" s="4">
        <f>DATE(YEAR(BQ121)+2,MONTH(BQ121),DAY(BQ121)-1)</f>
        <v>46261</v>
      </c>
      <c r="BS121" s="8">
        <f t="shared" ca="1" si="261"/>
        <v>116</v>
      </c>
      <c r="BT121" s="5" t="str">
        <f t="shared" ca="1" si="262"/>
        <v>VIGENTE</v>
      </c>
      <c r="BU121" s="3"/>
      <c r="BV121" s="4">
        <v>45527</v>
      </c>
      <c r="BW121" s="4">
        <f>DATE(YEAR(BV121)+2,MONTH(BV121),DAY(BV121)-1)</f>
        <v>46256</v>
      </c>
      <c r="BX121" s="8">
        <f t="shared" ca="1" si="263"/>
        <v>111</v>
      </c>
      <c r="BY121" s="5" t="str">
        <f t="shared" ca="1" si="264"/>
        <v>VIGENTE</v>
      </c>
      <c r="BZ121" s="3"/>
      <c r="CA121" s="4">
        <v>45730</v>
      </c>
      <c r="CB121" s="4">
        <f>DATE(YEAR(CA121)+2,MONTH(CA121),DAY(CA121)-1)</f>
        <v>46459</v>
      </c>
      <c r="CC121" s="8">
        <f t="shared" ca="1" si="265"/>
        <v>314</v>
      </c>
      <c r="CD121" s="5" t="str">
        <f t="shared" ca="1" si="266"/>
        <v>VIGENTE</v>
      </c>
      <c r="CE121" s="6"/>
      <c r="CF121" s="4">
        <v>45464</v>
      </c>
      <c r="CG121" s="4">
        <f t="shared" si="416"/>
        <v>46925</v>
      </c>
      <c r="CH121" s="8">
        <f t="shared" ca="1" si="417"/>
        <v>780</v>
      </c>
      <c r="CI121" s="5" t="str">
        <f t="shared" ca="1" si="418"/>
        <v>VIGENTE</v>
      </c>
      <c r="CJ121" s="4"/>
      <c r="CK121" s="4">
        <v>45511</v>
      </c>
      <c r="CL121" s="4">
        <f t="shared" ref="CL121:CL127" si="433">DATE(YEAR(CK121)+2,MONTH(CK121),DAY(CK121)-1)</f>
        <v>46240</v>
      </c>
      <c r="CM121" s="8">
        <f t="shared" ca="1" si="270"/>
        <v>95</v>
      </c>
      <c r="CN121" s="5" t="str">
        <f t="shared" ca="1" si="271"/>
        <v>VIGENTE</v>
      </c>
      <c r="CO121" s="3"/>
      <c r="CP121" s="39">
        <v>45684</v>
      </c>
      <c r="CQ121" s="4">
        <f t="shared" ref="CQ121:CQ127" si="434">DATE(YEAR(CP121)+2,MONTH(CP121),DAY(CP121)-1)</f>
        <v>46413</v>
      </c>
      <c r="CR121" s="8">
        <f t="shared" ca="1" si="272"/>
        <v>268</v>
      </c>
      <c r="CS121" s="5" t="str">
        <f t="shared" ca="1" si="273"/>
        <v>VIGENTE</v>
      </c>
      <c r="CT121" s="3"/>
      <c r="CU121" s="4">
        <v>45624</v>
      </c>
      <c r="CV121" s="4">
        <f t="shared" ref="CV121:CV127" si="435">DATE(YEAR(CU121)+2,MONTH(CU121),DAY(CU121)-1)</f>
        <v>46353</v>
      </c>
      <c r="CW121" s="8">
        <f t="shared" ca="1" si="274"/>
        <v>208</v>
      </c>
      <c r="CX121" s="5" t="str">
        <f t="shared" ca="1" si="275"/>
        <v>VIGENTE</v>
      </c>
      <c r="CY121" s="3"/>
      <c r="CZ121" s="4">
        <v>45661</v>
      </c>
      <c r="DA121" s="4">
        <f>DATE(YEAR(CZ121)+2,MONTH(CZ121),DAY(CZ121)-1)</f>
        <v>46390</v>
      </c>
      <c r="DB121" s="8">
        <f t="shared" ca="1" si="276"/>
        <v>245</v>
      </c>
      <c r="DC121" s="5" t="str">
        <f t="shared" ca="1" si="277"/>
        <v>VIGENTE</v>
      </c>
      <c r="DD121" s="3"/>
      <c r="DE121" s="39">
        <v>45535</v>
      </c>
      <c r="DF121" s="4">
        <f t="shared" ref="DF121:DF127" si="436">DATE(YEAR(DE121)+2,MONTH(DE121),DAY(DE121)-1)</f>
        <v>46264</v>
      </c>
      <c r="DG121" s="8">
        <f t="shared" ca="1" si="278"/>
        <v>119</v>
      </c>
      <c r="DH121" s="5" t="str">
        <f t="shared" ca="1" si="279"/>
        <v>VIGENTE</v>
      </c>
      <c r="DI121" s="3"/>
      <c r="DJ121" s="39">
        <v>45509</v>
      </c>
      <c r="DK121" s="4">
        <f>DATE(YEAR(DJ121)+2,MONTH(DJ121),DAY(DJ121)-1)</f>
        <v>46238</v>
      </c>
      <c r="DL121" s="8">
        <f t="shared" ca="1" si="280"/>
        <v>93</v>
      </c>
      <c r="DM121" s="5" t="str">
        <f t="shared" ca="1" si="281"/>
        <v>VIGENTE</v>
      </c>
      <c r="DN121" s="3"/>
      <c r="DO121" s="4">
        <v>45533</v>
      </c>
      <c r="DP121" s="4">
        <f>DATE(YEAR(DO121)+2,MONTH(DO121),DAY(DO121)-1)</f>
        <v>46262</v>
      </c>
      <c r="DQ121" s="8">
        <f t="shared" ca="1" si="282"/>
        <v>117</v>
      </c>
      <c r="DR121" s="5" t="str">
        <f t="shared" ca="1" si="283"/>
        <v>VIGENTE</v>
      </c>
      <c r="DS121" s="3"/>
      <c r="DT121" s="4">
        <v>45540</v>
      </c>
      <c r="DU121" s="4">
        <f>DATE(YEAR(DT121)+2,MONTH(DT121),DAY(DT121)-1)</f>
        <v>46269</v>
      </c>
      <c r="DV121" s="8">
        <f t="shared" ca="1" si="284"/>
        <v>124</v>
      </c>
      <c r="DW121" s="5" t="str">
        <f t="shared" ca="1" si="285"/>
        <v>VIGENTE</v>
      </c>
      <c r="DX121" s="3"/>
      <c r="DY121" s="4">
        <v>45663</v>
      </c>
      <c r="DZ121" s="4">
        <f t="shared" ref="DZ121:DZ127" si="437">DATE(YEAR(DY121)+2,MONTH(DY121),DAY(DY121)-1)</f>
        <v>46392</v>
      </c>
      <c r="EA121" s="8">
        <f t="shared" ca="1" si="286"/>
        <v>247</v>
      </c>
      <c r="EB121" s="5" t="str">
        <f t="shared" ca="1" si="287"/>
        <v>VIGENTE</v>
      </c>
      <c r="EC121" s="3"/>
      <c r="ED121" s="39">
        <v>45674</v>
      </c>
      <c r="EE121" s="4">
        <f t="shared" ref="EE121:EE127" si="438">DATE(YEAR(ED121)+2,MONTH(ED121),DAY(ED121)-1)</f>
        <v>46403</v>
      </c>
      <c r="EF121" s="8">
        <f t="shared" ca="1" si="288"/>
        <v>258</v>
      </c>
      <c r="EG121" s="5" t="str">
        <f t="shared" ca="1" si="289"/>
        <v>VIGENTE</v>
      </c>
      <c r="EH121" s="3"/>
      <c r="EI121" s="3">
        <v>46085</v>
      </c>
      <c r="EJ121" s="4">
        <f t="shared" si="355"/>
        <v>46450</v>
      </c>
      <c r="EK121" s="8">
        <f t="shared" ca="1" si="290"/>
        <v>305</v>
      </c>
      <c r="EL121" s="5" t="str">
        <f t="shared" ca="1" si="291"/>
        <v>VIGENTE</v>
      </c>
      <c r="EM121" s="3"/>
      <c r="EN121" s="4">
        <v>45612</v>
      </c>
      <c r="EO121" s="4">
        <f t="shared" ref="EO121:EO127" si="439">DATE(YEAR(EN121)+2,MONTH(EN121),DAY(EN121)-1)</f>
        <v>46341</v>
      </c>
      <c r="EP121" s="8">
        <f t="shared" ca="1" si="292"/>
        <v>196</v>
      </c>
      <c r="EQ121" s="5" t="str">
        <f t="shared" ca="1" si="293"/>
        <v>VIGENTE</v>
      </c>
      <c r="ER121" s="3"/>
      <c r="ES121" s="39">
        <v>45539</v>
      </c>
      <c r="ET121" s="4">
        <f>DATE(YEAR(ES121)+2,MONTH(ES121),DAY(ES121)-1)</f>
        <v>46268</v>
      </c>
      <c r="EU121" s="8">
        <f t="shared" ca="1" si="294"/>
        <v>123</v>
      </c>
      <c r="EV121" s="5" t="str">
        <f t="shared" ca="1" si="295"/>
        <v>VIGENTE</v>
      </c>
      <c r="EW121" s="3"/>
      <c r="EX121" s="4">
        <v>45610</v>
      </c>
      <c r="EY121" s="4">
        <f>DATE(YEAR(EX121)+2,MONTH(EX121),DAY(EX121)-1)</f>
        <v>46339</v>
      </c>
      <c r="EZ121" s="8">
        <f t="shared" ca="1" si="296"/>
        <v>194</v>
      </c>
      <c r="FA121" s="5" t="str">
        <f t="shared" ca="1" si="297"/>
        <v>VIGENTE</v>
      </c>
      <c r="FB121" s="3"/>
      <c r="FC121" s="4">
        <v>45666</v>
      </c>
      <c r="FD121" s="4">
        <f>DATE(YEAR(FC121)+2,MONTH(FC121),DAY(FC121)-1)</f>
        <v>46395</v>
      </c>
      <c r="FE121" s="8">
        <f t="shared" ca="1" si="298"/>
        <v>250</v>
      </c>
      <c r="FF121" s="5" t="str">
        <f t="shared" ca="1" si="299"/>
        <v>VIGENTE</v>
      </c>
      <c r="FG121" s="3"/>
      <c r="FH121" s="4">
        <v>45668</v>
      </c>
      <c r="FI121" s="4">
        <f>DATE(YEAR(FH121)+2,MONTH(FH121),DAY(FH121)-1)</f>
        <v>46397</v>
      </c>
      <c r="FJ121" s="8">
        <f t="shared" ca="1" si="300"/>
        <v>252</v>
      </c>
      <c r="FK121" s="5" t="str">
        <f t="shared" ca="1" si="301"/>
        <v>VIGENTE</v>
      </c>
      <c r="FL121" s="3"/>
      <c r="FM121" s="39">
        <v>45670</v>
      </c>
      <c r="FN121" s="4">
        <f t="shared" ref="FN121:FN127" si="440">DATE(YEAR(FM121)+2,MONTH(FM121),DAY(FM121)-1)</f>
        <v>46399</v>
      </c>
      <c r="FO121" s="8">
        <f t="shared" ca="1" si="302"/>
        <v>254</v>
      </c>
      <c r="FP121" s="5" t="str">
        <f t="shared" ca="1" si="303"/>
        <v>VIGENTE</v>
      </c>
      <c r="FQ121" s="3"/>
      <c r="FR121" s="39">
        <v>45586</v>
      </c>
      <c r="FS121" s="4">
        <f t="shared" ref="FS121:FS127" si="441">DATE(YEAR(FR121)+2,MONTH(FR121),DAY(FR121)-1)</f>
        <v>46315</v>
      </c>
      <c r="FT121" s="8">
        <f t="shared" ca="1" si="304"/>
        <v>170</v>
      </c>
      <c r="FU121" s="5" t="str">
        <f t="shared" ca="1" si="305"/>
        <v>VIGENTE</v>
      </c>
      <c r="FV121" s="4"/>
      <c r="FW121" s="4">
        <v>45587</v>
      </c>
      <c r="FX121" s="4">
        <f>DATE(YEAR(FW121)+2,MONTH(FW121),DAY(FW121)-1)</f>
        <v>46316</v>
      </c>
      <c r="FY121" s="8">
        <f t="shared" ca="1" si="306"/>
        <v>171</v>
      </c>
      <c r="FZ121" s="5" t="str">
        <f t="shared" ca="1" si="307"/>
        <v>VIGENTE</v>
      </c>
      <c r="GA121" s="3"/>
      <c r="GB121" s="4">
        <v>45667</v>
      </c>
      <c r="GC121" s="4">
        <f>DATE(YEAR(GB121)+2,MONTH(GB121),DAY(GB121)-1)</f>
        <v>46396</v>
      </c>
      <c r="GD121" s="8">
        <f t="shared" ca="1" si="308"/>
        <v>251</v>
      </c>
      <c r="GE121" s="5" t="str">
        <f t="shared" ca="1" si="309"/>
        <v>VIGENTE</v>
      </c>
      <c r="GF121" s="3"/>
      <c r="GG121" s="4">
        <v>45579</v>
      </c>
      <c r="GH121" s="4">
        <f t="shared" ref="GH121:GH127" si="442">DATE(YEAR(GG121)+2,MONTH(GG121),DAY(GG121)-1)</f>
        <v>46308</v>
      </c>
      <c r="GI121" s="8">
        <f t="shared" ca="1" si="310"/>
        <v>163</v>
      </c>
      <c r="GJ121" s="5" t="str">
        <f t="shared" ca="1" si="311"/>
        <v>VIGENTE</v>
      </c>
      <c r="GK121" s="3"/>
      <c r="GL121" s="4">
        <v>45557</v>
      </c>
      <c r="GM121" s="4">
        <f>DATE(YEAR(GL121)+2,MONTH(GL121),DAY(GL121)-1)</f>
        <v>46286</v>
      </c>
      <c r="GN121" s="8">
        <f t="shared" ca="1" si="312"/>
        <v>141</v>
      </c>
      <c r="GO121" s="5" t="str">
        <f t="shared" ca="1" si="313"/>
        <v>VIGENTE</v>
      </c>
      <c r="GP121" s="4"/>
      <c r="GQ121" s="4">
        <v>44952</v>
      </c>
      <c r="GR121" s="4">
        <f t="shared" si="314"/>
        <v>46778</v>
      </c>
      <c r="GS121" s="8">
        <f t="shared" ca="1" si="405"/>
        <v>633</v>
      </c>
      <c r="GT121" s="5" t="str">
        <f t="shared" ca="1" si="419"/>
        <v>VIGENTE</v>
      </c>
      <c r="GU121" s="3"/>
      <c r="GV121" s="4">
        <v>45010</v>
      </c>
      <c r="GW121" s="4">
        <f t="shared" si="316"/>
        <v>46837</v>
      </c>
      <c r="GX121" s="8">
        <f t="shared" ca="1" si="317"/>
        <v>692</v>
      </c>
      <c r="GY121" s="5" t="str">
        <f t="shared" ca="1" si="426"/>
        <v>VIGENTE</v>
      </c>
      <c r="GZ121" s="2"/>
      <c r="HA121" s="4">
        <v>44883</v>
      </c>
      <c r="HB121" s="4">
        <f t="shared" si="319"/>
        <v>46709</v>
      </c>
      <c r="HC121" s="8">
        <f t="shared" ca="1" si="320"/>
        <v>564</v>
      </c>
      <c r="HD121" s="5" t="str">
        <f t="shared" ca="1" si="421"/>
        <v>VIGENTE</v>
      </c>
      <c r="HE121" s="6"/>
      <c r="HF121" s="4">
        <v>44862</v>
      </c>
      <c r="HG121" s="4">
        <f t="shared" si="428"/>
        <v>46688</v>
      </c>
      <c r="HH121" s="8">
        <f t="shared" ca="1" si="429"/>
        <v>543</v>
      </c>
      <c r="HI121" s="5" t="str">
        <f t="shared" ca="1" si="427"/>
        <v>VIGENTE</v>
      </c>
      <c r="HJ121" s="2"/>
      <c r="HK121" s="6"/>
      <c r="HL121" s="4"/>
      <c r="HM121" s="8"/>
      <c r="HN121" s="5" t="str">
        <f t="shared" si="409"/>
        <v>NO APLICA</v>
      </c>
      <c r="HO121" s="2"/>
      <c r="HP121" s="5"/>
      <c r="HQ121" s="5"/>
      <c r="HR121" s="5"/>
      <c r="HS121" s="5" t="str">
        <f t="shared" si="322"/>
        <v>NO APLICA</v>
      </c>
      <c r="HT121" s="3"/>
      <c r="HU121" s="4">
        <v>45420</v>
      </c>
      <c r="HV121" s="4">
        <f>DATE(YEAR(HU121)+5,MONTH(HU121),DAY(HU121))</f>
        <v>47246</v>
      </c>
      <c r="HW121" s="8">
        <f ca="1">HV121-TODAY()</f>
        <v>1101</v>
      </c>
      <c r="HX121" s="5" t="str">
        <f t="shared" ca="1" si="323"/>
        <v>VIGENTE</v>
      </c>
      <c r="HY121" s="3"/>
      <c r="HZ121" s="4">
        <v>45447</v>
      </c>
      <c r="IA121" s="4">
        <f>DATE(YEAR(HZ121)+5,MONTH(HZ121),DAY(HZ121))</f>
        <v>47273</v>
      </c>
      <c r="IB121" s="8">
        <f ca="1">IA121-TODAY()</f>
        <v>1128</v>
      </c>
      <c r="IC121" s="5" t="str">
        <f t="shared" ca="1" si="324"/>
        <v>VIGENTE</v>
      </c>
      <c r="ID121" s="3"/>
      <c r="IE121" s="4">
        <v>45444</v>
      </c>
      <c r="IF121" s="4">
        <f>DATE(YEAR(IE121)+5,MONTH(IE121),DAY(IE121))</f>
        <v>47270</v>
      </c>
      <c r="IG121" s="8">
        <f ca="1">IF121-TODAY()</f>
        <v>1125</v>
      </c>
      <c r="IH121" s="5" t="str">
        <f t="shared" ca="1" si="325"/>
        <v>VIGENTE</v>
      </c>
      <c r="II121" s="4"/>
      <c r="IJ121" s="4">
        <v>45449</v>
      </c>
      <c r="IK121" s="4">
        <f>DATE(YEAR(IJ121)+5,MONTH(IJ121),DAY(IJ121))</f>
        <v>47275</v>
      </c>
      <c r="IL121" s="8">
        <f ca="1">IK121-TODAY()</f>
        <v>1130</v>
      </c>
      <c r="IM121" s="5" t="str">
        <f t="shared" ca="1" si="326"/>
        <v>VIGENTE</v>
      </c>
      <c r="IN121" s="3"/>
      <c r="IO121" s="4">
        <v>45460</v>
      </c>
      <c r="IP121" s="4">
        <f>DATE(YEAR(IO121)+5,MONTH(IO121),DAY(IO121))</f>
        <v>47286</v>
      </c>
      <c r="IQ121" s="8">
        <f ca="1">IP121-TODAY()</f>
        <v>1141</v>
      </c>
      <c r="IR121" s="5" t="str">
        <f t="shared" ca="1" si="327"/>
        <v>VIGENTE</v>
      </c>
      <c r="IS121" s="3"/>
      <c r="IT121" s="4">
        <v>45435</v>
      </c>
      <c r="IU121" s="4">
        <f>DATE(YEAR(IT121)+5,MONTH(IT121),DAY(IT121))</f>
        <v>47261</v>
      </c>
      <c r="IV121" s="8">
        <f ca="1">IU121-TODAY()</f>
        <v>1116</v>
      </c>
      <c r="IW121" s="5" t="str">
        <f t="shared" ca="1" si="328"/>
        <v>VIGENTE</v>
      </c>
      <c r="IX121" s="4"/>
      <c r="IY121" s="4">
        <v>45446</v>
      </c>
      <c r="IZ121" s="4">
        <f>DATE(YEAR(IY121)+5,MONTH(IY121),DAY(IY121))</f>
        <v>47272</v>
      </c>
      <c r="JA121" s="8">
        <f ca="1">IZ121-TODAY()</f>
        <v>1127</v>
      </c>
      <c r="JB121" s="5" t="str">
        <f t="shared" ca="1" si="329"/>
        <v>VIGENTE</v>
      </c>
      <c r="JC121" s="3" t="s">
        <v>780</v>
      </c>
      <c r="JD121" s="3"/>
      <c r="JE121" s="4"/>
      <c r="JF121" s="8"/>
      <c r="JG121" s="5"/>
      <c r="JH121" s="3" t="s">
        <v>780</v>
      </c>
      <c r="JI121" s="6"/>
      <c r="JJ121" s="6"/>
      <c r="JK121" s="6"/>
      <c r="JL121" s="5"/>
      <c r="JM121" s="6" t="s">
        <v>780</v>
      </c>
      <c r="JN121" s="6"/>
      <c r="JO121" s="6"/>
      <c r="JP121" s="6"/>
      <c r="JQ121" s="5"/>
      <c r="JR121" s="6" t="s">
        <v>780</v>
      </c>
      <c r="JS121" s="6"/>
      <c r="JT121" s="6"/>
      <c r="JU121" s="6"/>
      <c r="JV121" s="5"/>
      <c r="JW121" s="6" t="s">
        <v>780</v>
      </c>
      <c r="JX121" s="5"/>
      <c r="JY121" s="5"/>
      <c r="JZ121" s="5"/>
      <c r="KA121" s="5"/>
      <c r="KB121" s="5"/>
      <c r="KC121" s="5"/>
      <c r="KD121" s="4"/>
      <c r="KE121" s="8"/>
      <c r="KF121" s="5" t="str">
        <f t="shared" si="330"/>
        <v>NO APLICA</v>
      </c>
      <c r="KG121" s="5"/>
      <c r="KH121" s="5"/>
      <c r="KI121" s="4"/>
      <c r="KJ121" s="8"/>
      <c r="KK121" s="5" t="str">
        <f t="shared" si="356"/>
        <v>NO APLICA</v>
      </c>
      <c r="KL121" s="5"/>
      <c r="KM121" s="5"/>
      <c r="KN121" s="4"/>
      <c r="KO121" s="8"/>
      <c r="KP121" s="5" t="str">
        <f t="shared" si="331"/>
        <v>NO APLICA</v>
      </c>
      <c r="KQ121" s="5"/>
      <c r="KR121" s="2"/>
      <c r="KS121" s="4"/>
      <c r="KT121" s="8"/>
      <c r="KU121" s="5" t="str">
        <f t="shared" si="357"/>
        <v>NO APLICA</v>
      </c>
      <c r="KV121" s="2"/>
      <c r="KW121" s="6"/>
      <c r="KX121" s="4"/>
      <c r="KY121" s="8"/>
      <c r="KZ121" s="5" t="str">
        <f t="shared" si="366"/>
        <v>NO APLICA</v>
      </c>
      <c r="LA121" s="5"/>
      <c r="LB121" s="4">
        <v>44545</v>
      </c>
      <c r="LC121" s="4">
        <f>DATE(YEAR(LB121)+5,MONTH(LB121),DAY(LB121))</f>
        <v>46371</v>
      </c>
      <c r="LD121" s="8">
        <f ca="1">LC121-TODAY()</f>
        <v>226</v>
      </c>
      <c r="LE121" s="5" t="str">
        <f t="shared" ca="1" si="358"/>
        <v>VIGENTE</v>
      </c>
      <c r="LF121" s="6"/>
      <c r="LG121" s="6"/>
      <c r="LH121" s="4"/>
      <c r="LI121" s="8"/>
      <c r="LJ121" s="5" t="str">
        <f t="shared" si="332"/>
        <v>NO APLICA</v>
      </c>
      <c r="LK121" s="5"/>
      <c r="LL121" s="5"/>
      <c r="LM121" s="4"/>
      <c r="LN121" s="8"/>
      <c r="LO121" s="5" t="str">
        <f t="shared" si="367"/>
        <v>NO APLICA</v>
      </c>
      <c r="LP121" s="3"/>
      <c r="LQ121" s="4">
        <v>44407</v>
      </c>
      <c r="LR121" s="4">
        <f>DATE(YEAR(LQ121)+5,MONTH(LQ121),DAY(LQ121))</f>
        <v>46233</v>
      </c>
      <c r="LS121" s="8">
        <f ca="1">LR121-TODAY()</f>
        <v>88</v>
      </c>
      <c r="LT121" s="5" t="str">
        <f t="shared" ca="1" si="359"/>
        <v>VIGENTE</v>
      </c>
      <c r="LU121" s="4"/>
      <c r="LV121" s="4">
        <v>44986</v>
      </c>
      <c r="LW121" s="4">
        <f>DATE(YEAR(LV121)+5,MONTH(LV121),DAY(LV121))</f>
        <v>46813</v>
      </c>
      <c r="LX121" s="8">
        <f ca="1">LW121-TODAY()</f>
        <v>668</v>
      </c>
      <c r="LY121" s="5" t="str">
        <f t="shared" ca="1" si="360"/>
        <v>VIGENTE</v>
      </c>
      <c r="LZ121" s="4"/>
      <c r="MA121" s="4">
        <v>44988</v>
      </c>
      <c r="MB121" s="4">
        <f>DATE(YEAR(MA121)+5,MONTH(MA121),DAY(MA121))</f>
        <v>46815</v>
      </c>
      <c r="MC121" s="8">
        <f ca="1">MB121-TODAY()</f>
        <v>670</v>
      </c>
      <c r="MD121" s="5" t="str">
        <f t="shared" ca="1" si="361"/>
        <v>VIGENTE</v>
      </c>
      <c r="ME121" s="5"/>
      <c r="MF121" s="5"/>
      <c r="MG121" s="4"/>
      <c r="MH121" s="8"/>
      <c r="MI121" s="5" t="str">
        <f t="shared" si="333"/>
        <v>NO APLICA</v>
      </c>
      <c r="MJ121" s="5"/>
      <c r="MK121" s="5"/>
      <c r="ML121" s="4"/>
      <c r="MM121" s="8"/>
      <c r="MN121" s="5" t="str">
        <f t="shared" si="334"/>
        <v>NO APLICA</v>
      </c>
      <c r="MO121" s="5"/>
      <c r="MP121" s="3">
        <v>45154</v>
      </c>
      <c r="MQ121" s="4">
        <f>DATE(YEAR(MP121)+5,MONTH(MP121),DAY(MP121))</f>
        <v>46981</v>
      </c>
      <c r="MR121" s="8">
        <f ca="1">MQ121-TODAY()</f>
        <v>836</v>
      </c>
      <c r="MS121" s="5" t="str">
        <f t="shared" ca="1" si="335"/>
        <v>VIGENTE</v>
      </c>
      <c r="MT121" s="5"/>
      <c r="MU121" s="3">
        <v>45155</v>
      </c>
      <c r="MV121" s="4">
        <f>DATE(YEAR(MU121)+5,MONTH(MU121),DAY(MU121))</f>
        <v>46982</v>
      </c>
      <c r="MW121" s="8">
        <f ca="1">MV121-TODAY()</f>
        <v>837</v>
      </c>
      <c r="MX121" s="5" t="str">
        <f t="shared" ca="1" si="336"/>
        <v>VIGENTE</v>
      </c>
      <c r="MY121" s="5"/>
      <c r="MZ121" s="6"/>
      <c r="NA121" s="4"/>
      <c r="NB121" s="8"/>
      <c r="NC121" s="5" t="str">
        <f t="shared" si="337"/>
        <v>NO APLICA</v>
      </c>
      <c r="ND121" s="5"/>
      <c r="NE121" s="6"/>
      <c r="NF121" s="4"/>
      <c r="NG121" s="8"/>
      <c r="NH121" s="5" t="str">
        <f t="shared" si="338"/>
        <v>NO APLICA</v>
      </c>
      <c r="NI121" s="5"/>
      <c r="NJ121" s="4">
        <v>44751</v>
      </c>
      <c r="NK121" s="4">
        <f>DATE(YEAR(NJ121)+5,MONTH(NJ121),DAY(NJ121))</f>
        <v>46577</v>
      </c>
      <c r="NL121" s="8">
        <f ca="1">NK121-TODAY()</f>
        <v>432</v>
      </c>
      <c r="NM121" s="5" t="str">
        <f t="shared" ca="1" si="339"/>
        <v>VIGENTE</v>
      </c>
      <c r="NN121" s="5"/>
      <c r="NO121" s="5"/>
      <c r="NP121" s="4"/>
      <c r="NQ121" s="8"/>
      <c r="NR121" s="5" t="str">
        <f t="shared" si="340"/>
        <v>NO APLICA</v>
      </c>
      <c r="NS121" s="5"/>
      <c r="NT121" s="5"/>
      <c r="NU121" s="5"/>
      <c r="NV121" s="5"/>
      <c r="NW121" s="5" t="str">
        <f t="shared" si="341"/>
        <v>NO APLICA</v>
      </c>
      <c r="NX121" s="6"/>
      <c r="NY121" s="6"/>
      <c r="NZ121" s="4"/>
      <c r="OA121" s="8"/>
      <c r="OB121" s="5" t="str">
        <f t="shared" si="342"/>
        <v>NO APLICA</v>
      </c>
      <c r="OC121" s="6"/>
      <c r="OD121" s="6"/>
      <c r="OE121" s="6"/>
      <c r="OF121" s="6"/>
      <c r="OG121" s="5" t="str">
        <f t="shared" si="343"/>
        <v>NO APLICA</v>
      </c>
      <c r="OH121" s="3"/>
      <c r="OI121" s="3">
        <v>45110</v>
      </c>
      <c r="OJ121" s="4">
        <f>DATE(YEAR(OI121)+2,MONTH(OI121),DAY(OI121))</f>
        <v>45841</v>
      </c>
      <c r="OK121" s="8">
        <f ca="1">OJ121-TODAY()</f>
        <v>-304</v>
      </c>
      <c r="OL121" s="5" t="str">
        <f t="shared" ca="1" si="344"/>
        <v>VENCIDA</v>
      </c>
      <c r="OM121" s="6"/>
      <c r="ON121" s="4"/>
      <c r="OO121" s="6"/>
      <c r="OP121" s="6"/>
      <c r="OQ121" s="5" t="str">
        <f t="shared" si="345"/>
        <v>NO APLICA</v>
      </c>
      <c r="OR121" s="6"/>
      <c r="OS121" s="6"/>
      <c r="OT121" s="6"/>
      <c r="OU121" s="6"/>
      <c r="OV121" s="5" t="str">
        <f t="shared" si="346"/>
        <v>NO APLICA</v>
      </c>
      <c r="OW121" s="4"/>
      <c r="OX121" s="4">
        <v>44770</v>
      </c>
      <c r="OY121" s="4">
        <f>DATE(YEAR(OX121)+5,MONTH(OX121),DAY(OX121))</f>
        <v>46596</v>
      </c>
      <c r="OZ121" s="8">
        <f ca="1">OY121-TODAY()</f>
        <v>451</v>
      </c>
      <c r="PA121" s="5" t="str">
        <f t="shared" ca="1" si="347"/>
        <v>VIGENTE</v>
      </c>
      <c r="PB121" s="6"/>
      <c r="PC121" s="6"/>
      <c r="PD121" s="6"/>
      <c r="PE121" s="6"/>
      <c r="PF121" s="5" t="str">
        <f t="shared" si="348"/>
        <v>NO APLICA</v>
      </c>
      <c r="PG121" s="6"/>
      <c r="PH121" s="6"/>
      <c r="PI121" s="6"/>
      <c r="PJ121" s="6"/>
      <c r="PK121" s="5" t="str">
        <f t="shared" si="349"/>
        <v>NO APLICA</v>
      </c>
      <c r="PL121" s="5"/>
      <c r="PM121" s="4">
        <v>44627</v>
      </c>
      <c r="PN121" s="4">
        <f>DATE(YEAR(PM121)+5,MONTH(PM121),DAY(PM121))</f>
        <v>46453</v>
      </c>
      <c r="PO121" s="8">
        <f ca="1">PN121-TODAY()</f>
        <v>308</v>
      </c>
      <c r="PP121" s="5" t="str">
        <f t="shared" ca="1" si="350"/>
        <v>VIGENTE</v>
      </c>
      <c r="PQ121" s="6"/>
      <c r="PR121" s="6"/>
      <c r="PS121" s="6"/>
      <c r="PT121" s="6"/>
      <c r="PU121" s="5" t="str">
        <f t="shared" si="351"/>
        <v>NO APLICA</v>
      </c>
      <c r="PV121" s="5"/>
      <c r="PW121" s="4"/>
      <c r="PX121" s="6"/>
      <c r="PY121" s="6"/>
      <c r="PZ121" s="5" t="str">
        <f t="shared" si="352"/>
        <v>NO APLICA</v>
      </c>
    </row>
    <row r="122" spans="1:442" ht="15.6" hidden="1" thickTop="1" thickBot="1" x14ac:dyDescent="0.35">
      <c r="A122" s="26">
        <v>119</v>
      </c>
      <c r="B122" s="27">
        <v>1331</v>
      </c>
      <c r="C122" s="28" t="s">
        <v>406</v>
      </c>
      <c r="D122" s="29" t="s">
        <v>68</v>
      </c>
      <c r="E122" s="30" t="s">
        <v>153</v>
      </c>
      <c r="F122" s="5"/>
      <c r="G122" s="6"/>
      <c r="H122" s="4"/>
      <c r="I122" s="8"/>
      <c r="J122" s="5" t="str">
        <f t="shared" si="242"/>
        <v>NO APLICA</v>
      </c>
      <c r="K122" s="5"/>
      <c r="L122" s="6"/>
      <c r="M122" s="6"/>
      <c r="N122" s="8"/>
      <c r="O122" s="5" t="str">
        <f t="shared" si="243"/>
        <v>NO APLICA</v>
      </c>
      <c r="P122" s="6"/>
      <c r="Q122" s="6"/>
      <c r="R122" s="4"/>
      <c r="S122" s="8"/>
      <c r="T122" s="5" t="str">
        <f t="shared" si="353"/>
        <v>NO APLICA</v>
      </c>
      <c r="U122" s="5"/>
      <c r="V122" s="2" t="s">
        <v>407</v>
      </c>
      <c r="W122" s="4">
        <v>44829</v>
      </c>
      <c r="X122" s="4">
        <f t="shared" si="410"/>
        <v>46655</v>
      </c>
      <c r="Y122" s="8">
        <f t="shared" ca="1" si="411"/>
        <v>510</v>
      </c>
      <c r="Z122" s="5" t="str">
        <f t="shared" ca="1" si="412"/>
        <v>VIGENTE</v>
      </c>
      <c r="AA122" s="5"/>
      <c r="AB122" s="2" t="s">
        <v>408</v>
      </c>
      <c r="AC122" s="4">
        <v>45499</v>
      </c>
      <c r="AD122" s="4">
        <f t="shared" si="430"/>
        <v>47325</v>
      </c>
      <c r="AE122" s="8">
        <f t="shared" ca="1" si="431"/>
        <v>1180</v>
      </c>
      <c r="AF122" s="5" t="str">
        <f t="shared" ca="1" si="247"/>
        <v>VIGENTE</v>
      </c>
      <c r="AG122" s="3"/>
      <c r="AH122" s="3">
        <v>45609</v>
      </c>
      <c r="AI122" s="4">
        <f t="shared" si="432"/>
        <v>46338</v>
      </c>
      <c r="AJ122" s="8">
        <f t="shared" ca="1" si="248"/>
        <v>193</v>
      </c>
      <c r="AK122" s="5" t="str">
        <f t="shared" ca="1" si="408"/>
        <v>VIGENTE</v>
      </c>
      <c r="AL122" s="3"/>
      <c r="AM122" s="4">
        <v>45926</v>
      </c>
      <c r="AN122" s="4">
        <f>DATE(YEAR(AM122)+2,MONTH(AM122),DAY(AM122))</f>
        <v>46656</v>
      </c>
      <c r="AO122" s="8">
        <f t="shared" ca="1" si="249"/>
        <v>511</v>
      </c>
      <c r="AP122" s="5" t="str">
        <f t="shared" ca="1" si="250"/>
        <v>VIGENTE</v>
      </c>
      <c r="AQ122" s="3"/>
      <c r="AR122" s="4">
        <v>45989</v>
      </c>
      <c r="AS122" s="4">
        <f>DATE(YEAR(AR122)+2,MONTH(AR122),DAY(AR122))</f>
        <v>46719</v>
      </c>
      <c r="AT122" s="8">
        <f t="shared" ca="1" si="251"/>
        <v>574</v>
      </c>
      <c r="AU122" s="5" t="str">
        <f t="shared" ca="1" si="252"/>
        <v>VIGENTE</v>
      </c>
      <c r="AV122" s="3"/>
      <c r="AW122" s="4">
        <v>45990</v>
      </c>
      <c r="AX122" s="4">
        <f>DATE(YEAR(AW122)+2,MONTH(AW122),DAY(AW122))</f>
        <v>46720</v>
      </c>
      <c r="AY122" s="8">
        <f t="shared" ca="1" si="253"/>
        <v>575</v>
      </c>
      <c r="AZ122" s="5" t="str">
        <f t="shared" ca="1" si="254"/>
        <v>VIGENTE</v>
      </c>
      <c r="BA122" s="3"/>
      <c r="BB122" s="4">
        <v>46071</v>
      </c>
      <c r="BC122" s="4">
        <f>DATE(YEAR(BB122)+2,MONTH(BB122),DAY(BB122))</f>
        <v>46801</v>
      </c>
      <c r="BD122" s="8">
        <f t="shared" ca="1" si="255"/>
        <v>656</v>
      </c>
      <c r="BE122" s="5" t="str">
        <f t="shared" ca="1" si="256"/>
        <v>VIGENTE</v>
      </c>
      <c r="BF122" s="3"/>
      <c r="BG122" s="4">
        <v>45987</v>
      </c>
      <c r="BH122" s="4">
        <f t="shared" ref="BH122:BH128" si="443">DATE(YEAR(BG122)+2,MONTH(BG122),DAY(BG122))</f>
        <v>46717</v>
      </c>
      <c r="BI122" s="8">
        <f t="shared" ca="1" si="257"/>
        <v>572</v>
      </c>
      <c r="BJ122" s="5" t="str">
        <f t="shared" ca="1" si="258"/>
        <v>VIGENTE</v>
      </c>
      <c r="BK122" s="3"/>
      <c r="BL122" s="4">
        <v>46051</v>
      </c>
      <c r="BM122" s="4">
        <f>DATE(YEAR(BL122)+2,MONTH(BL122),DAY(BL122))</f>
        <v>46781</v>
      </c>
      <c r="BN122" s="8">
        <f t="shared" ca="1" si="259"/>
        <v>636</v>
      </c>
      <c r="BO122" s="5" t="str">
        <f t="shared" ca="1" si="260"/>
        <v>VIGENTE</v>
      </c>
      <c r="BP122" s="3"/>
      <c r="BQ122" s="39">
        <v>46069</v>
      </c>
      <c r="BR122" s="4">
        <f>DATE(YEAR(BQ122)+2,MONTH(BQ122),DAY(BQ122))</f>
        <v>46799</v>
      </c>
      <c r="BS122" s="8">
        <f t="shared" ca="1" si="261"/>
        <v>654</v>
      </c>
      <c r="BT122" s="5" t="str">
        <f t="shared" ca="1" si="262"/>
        <v>VIGENTE</v>
      </c>
      <c r="BU122" s="3"/>
      <c r="BV122" s="4">
        <v>46116</v>
      </c>
      <c r="BW122" s="4">
        <f>DATE(YEAR(BV122)+2,MONTH(BV122),DAY(BV122)-1)</f>
        <v>46846</v>
      </c>
      <c r="BX122" s="8">
        <f t="shared" ca="1" si="263"/>
        <v>701</v>
      </c>
      <c r="BY122" s="5" t="str">
        <f t="shared" ca="1" si="264"/>
        <v>VIGENTE</v>
      </c>
      <c r="BZ122" s="3"/>
      <c r="CA122" s="4">
        <v>45730</v>
      </c>
      <c r="CB122" s="4">
        <f>DATE(YEAR(CA122)+2,MONTH(CA122),DAY(CA122)-1)</f>
        <v>46459</v>
      </c>
      <c r="CC122" s="8">
        <f t="shared" ca="1" si="265"/>
        <v>314</v>
      </c>
      <c r="CD122" s="5" t="str">
        <f t="shared" ca="1" si="266"/>
        <v>VIGENTE</v>
      </c>
      <c r="CE122" s="6"/>
      <c r="CF122" s="4">
        <v>45262</v>
      </c>
      <c r="CG122" s="4">
        <f t="shared" si="416"/>
        <v>46723</v>
      </c>
      <c r="CH122" s="8">
        <f t="shared" ca="1" si="417"/>
        <v>578</v>
      </c>
      <c r="CI122" s="5" t="str">
        <f t="shared" ca="1" si="418"/>
        <v>VIGENTE</v>
      </c>
      <c r="CJ122" s="4"/>
      <c r="CK122" s="4">
        <v>46134</v>
      </c>
      <c r="CL122" s="4">
        <f t="shared" si="433"/>
        <v>46864</v>
      </c>
      <c r="CM122" s="8">
        <f t="shared" ca="1" si="270"/>
        <v>719</v>
      </c>
      <c r="CN122" s="5" t="str">
        <f t="shared" ca="1" si="271"/>
        <v>VIGENTE</v>
      </c>
      <c r="CO122" s="4"/>
      <c r="CP122" s="39">
        <v>45726</v>
      </c>
      <c r="CQ122" s="4">
        <f t="shared" si="434"/>
        <v>46455</v>
      </c>
      <c r="CR122" s="8">
        <f t="shared" ca="1" si="272"/>
        <v>310</v>
      </c>
      <c r="CS122" s="5" t="str">
        <f t="shared" ca="1" si="273"/>
        <v>VIGENTE</v>
      </c>
      <c r="CT122" s="3"/>
      <c r="CU122" s="4">
        <v>45631</v>
      </c>
      <c r="CV122" s="4">
        <f t="shared" si="435"/>
        <v>46360</v>
      </c>
      <c r="CW122" s="8">
        <f t="shared" ca="1" si="274"/>
        <v>215</v>
      </c>
      <c r="CX122" s="5" t="str">
        <f t="shared" ca="1" si="275"/>
        <v>VIGENTE</v>
      </c>
      <c r="CY122" s="3"/>
      <c r="CZ122" s="4">
        <v>46098</v>
      </c>
      <c r="DA122" s="4">
        <f>DATE(YEAR(CZ122)+2,MONTH(CZ122),DAY(CZ122))</f>
        <v>46829</v>
      </c>
      <c r="DB122" s="8">
        <f t="shared" ca="1" si="276"/>
        <v>684</v>
      </c>
      <c r="DC122" s="5" t="str">
        <f t="shared" ca="1" si="277"/>
        <v>VIGENTE</v>
      </c>
      <c r="DD122" s="3"/>
      <c r="DE122" s="39">
        <v>45723</v>
      </c>
      <c r="DF122" s="4">
        <f t="shared" si="436"/>
        <v>46452</v>
      </c>
      <c r="DG122" s="8">
        <f t="shared" ca="1" si="278"/>
        <v>307</v>
      </c>
      <c r="DH122" s="5" t="str">
        <f t="shared" ca="1" si="279"/>
        <v>VIGENTE</v>
      </c>
      <c r="DI122" s="3"/>
      <c r="DJ122" s="39">
        <v>45696</v>
      </c>
      <c r="DK122" s="4">
        <f>DATE(YEAR(DJ122)+2,MONTH(DJ122),DAY(DJ122)-1)</f>
        <v>46425</v>
      </c>
      <c r="DL122" s="8">
        <f t="shared" ca="1" si="280"/>
        <v>280</v>
      </c>
      <c r="DM122" s="5" t="str">
        <f t="shared" ca="1" si="281"/>
        <v>VIGENTE</v>
      </c>
      <c r="DN122" s="3"/>
      <c r="DO122" s="4">
        <v>46007</v>
      </c>
      <c r="DP122" s="4">
        <f>DATE(YEAR(DO122)+2,MONTH(DO122),DAY(DO122))</f>
        <v>46737</v>
      </c>
      <c r="DQ122" s="8">
        <f t="shared" ca="1" si="282"/>
        <v>592</v>
      </c>
      <c r="DR122" s="5" t="str">
        <f t="shared" ca="1" si="283"/>
        <v>VIGENTE</v>
      </c>
      <c r="DS122" s="3"/>
      <c r="DT122" s="4">
        <v>46053</v>
      </c>
      <c r="DU122" s="4">
        <f>DATE(YEAR(DT122)+2,MONTH(DT122),DAY(DT122))</f>
        <v>46783</v>
      </c>
      <c r="DV122" s="8">
        <f t="shared" ca="1" si="284"/>
        <v>638</v>
      </c>
      <c r="DW122" s="5" t="str">
        <f t="shared" ca="1" si="285"/>
        <v>VIGENTE</v>
      </c>
      <c r="DX122" s="3"/>
      <c r="DY122" s="4">
        <v>45682</v>
      </c>
      <c r="DZ122" s="4">
        <f t="shared" si="437"/>
        <v>46411</v>
      </c>
      <c r="EA122" s="8">
        <f t="shared" ca="1" si="286"/>
        <v>266</v>
      </c>
      <c r="EB122" s="5" t="str">
        <f t="shared" ca="1" si="287"/>
        <v>VIGENTE</v>
      </c>
      <c r="EC122" s="3"/>
      <c r="ED122" s="39">
        <v>45642</v>
      </c>
      <c r="EE122" s="4">
        <f t="shared" si="438"/>
        <v>46371</v>
      </c>
      <c r="EF122" s="8">
        <f t="shared" ca="1" si="288"/>
        <v>226</v>
      </c>
      <c r="EG122" s="5" t="str">
        <f t="shared" ca="1" si="289"/>
        <v>VIGENTE</v>
      </c>
      <c r="EH122" s="3"/>
      <c r="EI122" s="3">
        <v>46085</v>
      </c>
      <c r="EJ122" s="4">
        <f t="shared" si="355"/>
        <v>46450</v>
      </c>
      <c r="EK122" s="8">
        <f t="shared" ca="1" si="290"/>
        <v>305</v>
      </c>
      <c r="EL122" s="5" t="str">
        <f t="shared" ca="1" si="291"/>
        <v>VIGENTE</v>
      </c>
      <c r="EM122" s="3"/>
      <c r="EN122" s="4">
        <v>45636</v>
      </c>
      <c r="EO122" s="4">
        <f t="shared" si="439"/>
        <v>46365</v>
      </c>
      <c r="EP122" s="8">
        <f t="shared" ca="1" si="292"/>
        <v>220</v>
      </c>
      <c r="EQ122" s="5" t="str">
        <f t="shared" ca="1" si="293"/>
        <v>VIGENTE</v>
      </c>
      <c r="ER122" s="3"/>
      <c r="ES122" s="39">
        <v>46094</v>
      </c>
      <c r="ET122" s="4">
        <f>DATE(YEAR(ES122)+2,MONTH(ES122),DAY(ES122))</f>
        <v>46825</v>
      </c>
      <c r="EU122" s="8">
        <f t="shared" ca="1" si="294"/>
        <v>680</v>
      </c>
      <c r="EV122" s="5" t="str">
        <f t="shared" ca="1" si="295"/>
        <v>VIGENTE</v>
      </c>
      <c r="EW122" s="3"/>
      <c r="EX122" s="4">
        <v>45694</v>
      </c>
      <c r="EY122" s="4">
        <f>DATE(YEAR(EX122)+2,MONTH(EX122),DAY(EX122)-1)</f>
        <v>46423</v>
      </c>
      <c r="EZ122" s="8">
        <f t="shared" ca="1" si="296"/>
        <v>278</v>
      </c>
      <c r="FA122" s="5" t="str">
        <f t="shared" ca="1" si="297"/>
        <v>VIGENTE</v>
      </c>
      <c r="FB122" s="3"/>
      <c r="FC122" s="4">
        <v>45611</v>
      </c>
      <c r="FD122" s="4">
        <f>DATE(YEAR(FC122)+2,MONTH(FC122),DAY(FC122)-1)</f>
        <v>46340</v>
      </c>
      <c r="FE122" s="8">
        <f t="shared" ca="1" si="298"/>
        <v>195</v>
      </c>
      <c r="FF122" s="5" t="str">
        <f t="shared" ca="1" si="299"/>
        <v>VIGENTE</v>
      </c>
      <c r="FG122" s="3"/>
      <c r="FH122" s="4">
        <v>45668</v>
      </c>
      <c r="FI122" s="4">
        <f>DATE(YEAR(FH122)+2,MONTH(FH122),DAY(FH122)-1)</f>
        <v>46397</v>
      </c>
      <c r="FJ122" s="8">
        <f t="shared" ca="1" si="300"/>
        <v>252</v>
      </c>
      <c r="FK122" s="5" t="str">
        <f t="shared" ca="1" si="301"/>
        <v>VIGENTE</v>
      </c>
      <c r="FL122" s="3"/>
      <c r="FM122" s="39">
        <v>45686</v>
      </c>
      <c r="FN122" s="4">
        <f t="shared" si="440"/>
        <v>46415</v>
      </c>
      <c r="FO122" s="8">
        <f t="shared" ca="1" si="302"/>
        <v>270</v>
      </c>
      <c r="FP122" s="5" t="str">
        <f t="shared" ca="1" si="303"/>
        <v>VIGENTE</v>
      </c>
      <c r="FQ122" s="3"/>
      <c r="FR122" s="39">
        <v>45664</v>
      </c>
      <c r="FS122" s="4">
        <f t="shared" si="441"/>
        <v>46393</v>
      </c>
      <c r="FT122" s="8">
        <f t="shared" ca="1" si="304"/>
        <v>248</v>
      </c>
      <c r="FU122" s="5" t="str">
        <f t="shared" ca="1" si="305"/>
        <v>VIGENTE</v>
      </c>
      <c r="FV122" s="3"/>
      <c r="FW122" s="4">
        <v>45587</v>
      </c>
      <c r="FX122" s="4">
        <f>DATE(YEAR(FW122)+2,MONTH(FW122),DAY(FW122)-1)</f>
        <v>46316</v>
      </c>
      <c r="FY122" s="8">
        <f t="shared" ca="1" si="306"/>
        <v>171</v>
      </c>
      <c r="FZ122" s="5" t="str">
        <f t="shared" ca="1" si="307"/>
        <v>VIGENTE</v>
      </c>
      <c r="GA122" s="3"/>
      <c r="GB122" s="4">
        <v>46073</v>
      </c>
      <c r="GC122" s="4">
        <f>DATE(YEAR(GB122)+2,MONTH(GB122),DAY(GB122))</f>
        <v>46803</v>
      </c>
      <c r="GD122" s="8">
        <f t="shared" ca="1" si="308"/>
        <v>658</v>
      </c>
      <c r="GE122" s="5" t="str">
        <f t="shared" ca="1" si="309"/>
        <v>VIGENTE</v>
      </c>
      <c r="GF122" s="3"/>
      <c r="GG122" s="4">
        <v>45672</v>
      </c>
      <c r="GH122" s="4">
        <f t="shared" si="442"/>
        <v>46401</v>
      </c>
      <c r="GI122" s="8">
        <f t="shared" ca="1" si="310"/>
        <v>256</v>
      </c>
      <c r="GJ122" s="5" t="str">
        <f t="shared" ca="1" si="311"/>
        <v>VIGENTE</v>
      </c>
      <c r="GK122" s="3"/>
      <c r="GL122" s="4">
        <v>45945</v>
      </c>
      <c r="GM122" s="4">
        <f>DATE(YEAR(GL122)+2,MONTH(GL122),DAY(GL122))</f>
        <v>46675</v>
      </c>
      <c r="GN122" s="8">
        <f t="shared" ca="1" si="312"/>
        <v>530</v>
      </c>
      <c r="GO122" s="5" t="str">
        <f t="shared" ca="1" si="313"/>
        <v>VIGENTE</v>
      </c>
      <c r="GP122" s="4"/>
      <c r="GQ122" s="4">
        <v>45283</v>
      </c>
      <c r="GR122" s="4">
        <f t="shared" si="314"/>
        <v>47110</v>
      </c>
      <c r="GS122" s="8">
        <f t="shared" ca="1" si="405"/>
        <v>965</v>
      </c>
      <c r="GT122" s="5" t="str">
        <f t="shared" ca="1" si="419"/>
        <v>VIGENTE</v>
      </c>
      <c r="GU122" s="3"/>
      <c r="GV122" s="4">
        <v>45245</v>
      </c>
      <c r="GW122" s="4">
        <f t="shared" si="316"/>
        <v>47072</v>
      </c>
      <c r="GX122" s="8">
        <f t="shared" ca="1" si="317"/>
        <v>927</v>
      </c>
      <c r="GY122" s="5" t="str">
        <f t="shared" ca="1" si="426"/>
        <v>VIGENTE</v>
      </c>
      <c r="GZ122" s="3"/>
      <c r="HA122" s="4">
        <v>45251</v>
      </c>
      <c r="HB122" s="4">
        <f t="shared" si="319"/>
        <v>47078</v>
      </c>
      <c r="HC122" s="8">
        <f t="shared" ca="1" si="320"/>
        <v>933</v>
      </c>
      <c r="HD122" s="5" t="str">
        <f t="shared" ca="1" si="421"/>
        <v>VIGENTE</v>
      </c>
      <c r="HE122" s="6"/>
      <c r="HF122" s="4">
        <v>44879</v>
      </c>
      <c r="HG122" s="4">
        <f t="shared" si="428"/>
        <v>46705</v>
      </c>
      <c r="HH122" s="8">
        <f t="shared" ca="1" si="429"/>
        <v>560</v>
      </c>
      <c r="HI122" s="5" t="str">
        <f t="shared" ca="1" si="427"/>
        <v>VIGENTE</v>
      </c>
      <c r="HJ122" s="3"/>
      <c r="HK122" s="4">
        <v>45368</v>
      </c>
      <c r="HL122" s="4">
        <f>DATE(YEAR(HK122)+5,MONTH(HK122),DAY(HK122))</f>
        <v>47194</v>
      </c>
      <c r="HM122" s="8">
        <f ca="1">HL122-TODAY()</f>
        <v>1049</v>
      </c>
      <c r="HN122" s="5" t="str">
        <f t="shared" ca="1" si="409"/>
        <v>VIGENTE</v>
      </c>
      <c r="HO122" s="2"/>
      <c r="HP122" s="3">
        <v>45374</v>
      </c>
      <c r="HQ122" s="4">
        <f>DATE(YEAR(HP122)+5,MONTH(HP122),DAY(HP122))</f>
        <v>47200</v>
      </c>
      <c r="HR122" s="8">
        <f ca="1">HQ122-TODAY()</f>
        <v>1055</v>
      </c>
      <c r="HS122" s="5" t="str">
        <f t="shared" ca="1" si="322"/>
        <v>VIGENTE</v>
      </c>
      <c r="HT122" s="3"/>
      <c r="HU122" s="4">
        <v>45469</v>
      </c>
      <c r="HV122" s="4">
        <f>DATE(YEAR(HU122)+5,MONTH(HU122),DAY(HU122))</f>
        <v>47295</v>
      </c>
      <c r="HW122" s="8">
        <f ca="1">HV122-TODAY()</f>
        <v>1150</v>
      </c>
      <c r="HX122" s="5" t="str">
        <f t="shared" ca="1" si="323"/>
        <v>VIGENTE</v>
      </c>
      <c r="HY122" s="3"/>
      <c r="HZ122" s="4">
        <v>45223</v>
      </c>
      <c r="IA122" s="4">
        <f>DATE(YEAR(HZ122)+5,MONTH(HZ122),DAY(HZ122))</f>
        <v>47050</v>
      </c>
      <c r="IB122" s="8">
        <f ca="1">IA122-TODAY()</f>
        <v>905</v>
      </c>
      <c r="IC122" s="5" t="str">
        <f t="shared" ca="1" si="324"/>
        <v>VIGENTE</v>
      </c>
      <c r="ID122" s="3"/>
      <c r="IE122" s="4">
        <v>45264</v>
      </c>
      <c r="IF122" s="4">
        <f>DATE(YEAR(IE122)+5,MONTH(IE122),DAY(IE122))</f>
        <v>47091</v>
      </c>
      <c r="IG122" s="8">
        <f ca="1">IF122-TODAY()</f>
        <v>946</v>
      </c>
      <c r="IH122" s="5" t="str">
        <f t="shared" ca="1" si="325"/>
        <v>VIGENTE</v>
      </c>
      <c r="II122" s="4"/>
      <c r="IJ122" s="4">
        <v>45238</v>
      </c>
      <c r="IK122" s="4">
        <f>DATE(YEAR(IJ122)+5,MONTH(IJ122),DAY(IJ122))</f>
        <v>47065</v>
      </c>
      <c r="IL122" s="8">
        <f ca="1">IK122-TODAY()</f>
        <v>920</v>
      </c>
      <c r="IM122" s="5" t="str">
        <f t="shared" ca="1" si="326"/>
        <v>VIGENTE</v>
      </c>
      <c r="IN122" s="3"/>
      <c r="IO122" s="4">
        <v>45304</v>
      </c>
      <c r="IP122" s="4">
        <f>DATE(YEAR(IO122)+5,MONTH(IO122),DAY(IO122))</f>
        <v>47131</v>
      </c>
      <c r="IQ122" s="8">
        <f ca="1">IP122-TODAY()</f>
        <v>986</v>
      </c>
      <c r="IR122" s="5" t="str">
        <f t="shared" ca="1" si="327"/>
        <v>VIGENTE</v>
      </c>
      <c r="IS122" s="3"/>
      <c r="IT122" s="4">
        <v>45191</v>
      </c>
      <c r="IU122" s="4">
        <f>DATE(YEAR(IT122)+5,MONTH(IT122),DAY(IT122))</f>
        <v>47018</v>
      </c>
      <c r="IV122" s="8">
        <f ca="1">IU122-TODAY()</f>
        <v>873</v>
      </c>
      <c r="IW122" s="5" t="str">
        <f t="shared" ca="1" si="328"/>
        <v>VIGENTE</v>
      </c>
      <c r="IX122" s="3"/>
      <c r="IY122" s="4">
        <v>45251</v>
      </c>
      <c r="IZ122" s="4">
        <f>DATE(YEAR(IY122)+5,MONTH(IY122),DAY(IY122))</f>
        <v>47078</v>
      </c>
      <c r="JA122" s="8">
        <f ca="1">IZ122-TODAY()</f>
        <v>933</v>
      </c>
      <c r="JB122" s="5" t="str">
        <f t="shared" ca="1" si="329"/>
        <v>VIGENTE</v>
      </c>
      <c r="JC122" s="3" t="s">
        <v>780</v>
      </c>
      <c r="JD122" s="3"/>
      <c r="JE122" s="4"/>
      <c r="JF122" s="8"/>
      <c r="JG122" s="5"/>
      <c r="JH122" s="3" t="s">
        <v>780</v>
      </c>
      <c r="JI122" s="6"/>
      <c r="JJ122" s="6"/>
      <c r="JK122" s="6"/>
      <c r="JL122" s="5"/>
      <c r="JM122" s="6" t="s">
        <v>780</v>
      </c>
      <c r="JN122" s="6"/>
      <c r="JO122" s="6"/>
      <c r="JP122" s="6"/>
      <c r="JQ122" s="5"/>
      <c r="JR122" s="6" t="s">
        <v>780</v>
      </c>
      <c r="JS122" s="6"/>
      <c r="JT122" s="6"/>
      <c r="JU122" s="6"/>
      <c r="JV122" s="5"/>
      <c r="JW122" s="6" t="s">
        <v>780</v>
      </c>
      <c r="JX122" s="5"/>
      <c r="JY122" s="5"/>
      <c r="JZ122" s="5"/>
      <c r="KA122" s="5"/>
      <c r="KB122" s="5"/>
      <c r="KC122" s="2"/>
      <c r="KD122" s="4"/>
      <c r="KE122" s="8"/>
      <c r="KF122" s="5" t="str">
        <f t="shared" si="330"/>
        <v>NO APLICA</v>
      </c>
      <c r="KG122" s="5"/>
      <c r="KH122" s="2"/>
      <c r="KI122" s="4"/>
      <c r="KJ122" s="8"/>
      <c r="KK122" s="5" t="str">
        <f t="shared" si="356"/>
        <v>NO APLICA</v>
      </c>
      <c r="KL122" s="5"/>
      <c r="KM122" s="2"/>
      <c r="KN122" s="4"/>
      <c r="KO122" s="8"/>
      <c r="KP122" s="5" t="str">
        <f t="shared" si="331"/>
        <v>NO APLICA</v>
      </c>
      <c r="KQ122" s="5"/>
      <c r="KR122" s="3">
        <v>45346</v>
      </c>
      <c r="KS122" s="4">
        <f>DATE(YEAR(KR122)+5,MONTH(KR122),DAY(KR122))</f>
        <v>47173</v>
      </c>
      <c r="KT122" s="8">
        <f ca="1">KS122-TODAY()</f>
        <v>1028</v>
      </c>
      <c r="KU122" s="5" t="str">
        <f t="shared" ca="1" si="357"/>
        <v>VIGENTE</v>
      </c>
      <c r="KV122" s="4"/>
      <c r="KW122" s="4">
        <v>44649</v>
      </c>
      <c r="KX122" s="4">
        <f>DATE(YEAR(KW122)+5,MONTH(KW122),DAY(KW122))</f>
        <v>46475</v>
      </c>
      <c r="KY122" s="8">
        <f ca="1">KX122-TODAY()</f>
        <v>330</v>
      </c>
      <c r="KZ122" s="5" t="str">
        <f t="shared" ca="1" si="366"/>
        <v>VIGENTE</v>
      </c>
      <c r="LA122" s="5"/>
      <c r="LB122" s="6"/>
      <c r="LC122" s="4"/>
      <c r="LD122" s="8"/>
      <c r="LE122" s="5" t="str">
        <f t="shared" si="358"/>
        <v>NO APLICA</v>
      </c>
      <c r="LF122" s="4"/>
      <c r="LG122" s="4"/>
      <c r="LH122" s="4"/>
      <c r="LI122" s="8"/>
      <c r="LJ122" s="5" t="str">
        <f t="shared" si="332"/>
        <v>NO APLICA</v>
      </c>
      <c r="LK122" s="5"/>
      <c r="LL122" s="5"/>
      <c r="LM122" s="4"/>
      <c r="LN122" s="8"/>
      <c r="LO122" s="5" t="str">
        <f t="shared" si="367"/>
        <v>NO APLICA</v>
      </c>
      <c r="LP122" s="2"/>
      <c r="LQ122" s="6"/>
      <c r="LR122" s="4"/>
      <c r="LS122" s="8"/>
      <c r="LT122" s="5" t="str">
        <f t="shared" si="359"/>
        <v>NO APLICA</v>
      </c>
      <c r="LU122" s="4"/>
      <c r="LV122" s="4">
        <v>44986</v>
      </c>
      <c r="LW122" s="4">
        <f>DATE(YEAR(LV122)+5,MONTH(LV122),DAY(LV122))</f>
        <v>46813</v>
      </c>
      <c r="LX122" s="8">
        <f ca="1">LW122-TODAY()</f>
        <v>668</v>
      </c>
      <c r="LY122" s="5" t="str">
        <f t="shared" ca="1" si="360"/>
        <v>VIGENTE</v>
      </c>
      <c r="LZ122" s="4"/>
      <c r="MA122" s="4">
        <v>44988</v>
      </c>
      <c r="MB122" s="4">
        <f>DATE(YEAR(MA122)+5,MONTH(MA122),DAY(MA122))</f>
        <v>46815</v>
      </c>
      <c r="MC122" s="8">
        <f ca="1">MB122-TODAY()</f>
        <v>670</v>
      </c>
      <c r="MD122" s="5" t="str">
        <f t="shared" ca="1" si="361"/>
        <v>VIGENTE</v>
      </c>
      <c r="ME122" s="2"/>
      <c r="MF122" s="2"/>
      <c r="MG122" s="4"/>
      <c r="MH122" s="8"/>
      <c r="MI122" s="5" t="str">
        <f t="shared" si="333"/>
        <v>NO APLICA</v>
      </c>
      <c r="MJ122" s="2"/>
      <c r="MK122" s="2"/>
      <c r="ML122" s="4"/>
      <c r="MM122" s="8"/>
      <c r="MN122" s="5" t="str">
        <f t="shared" si="334"/>
        <v>NO APLICA</v>
      </c>
      <c r="MO122" s="5"/>
      <c r="MP122" s="3">
        <v>45154</v>
      </c>
      <c r="MQ122" s="4">
        <f>DATE(YEAR(MP122)+5,MONTH(MP122),DAY(MP122))</f>
        <v>46981</v>
      </c>
      <c r="MR122" s="8">
        <f ca="1">MQ122-TODAY()</f>
        <v>836</v>
      </c>
      <c r="MS122" s="5" t="str">
        <f t="shared" ca="1" si="335"/>
        <v>VIGENTE</v>
      </c>
      <c r="MT122" s="5"/>
      <c r="MU122" s="3">
        <v>45155</v>
      </c>
      <c r="MV122" s="4">
        <f>DATE(YEAR(MU122)+5,MONTH(MU122),DAY(MU122))</f>
        <v>46982</v>
      </c>
      <c r="MW122" s="8">
        <f ca="1">MV122-TODAY()</f>
        <v>837</v>
      </c>
      <c r="MX122" s="5" t="str">
        <f t="shared" ca="1" si="336"/>
        <v>VIGENTE</v>
      </c>
      <c r="MY122" s="2"/>
      <c r="MZ122" s="4">
        <v>44834</v>
      </c>
      <c r="NA122" s="4">
        <f>DATE(YEAR(MZ122)+5,MONTH(MZ122),DAY(MZ122))</f>
        <v>46660</v>
      </c>
      <c r="NB122" s="8">
        <f ca="1">NA122-TODAY()</f>
        <v>515</v>
      </c>
      <c r="NC122" s="5" t="str">
        <f t="shared" ca="1" si="337"/>
        <v>VIGENTE</v>
      </c>
      <c r="ND122" s="2"/>
      <c r="NE122" s="4">
        <v>44835</v>
      </c>
      <c r="NF122" s="4">
        <f>DATE(YEAR(NE122)+5,MONTH(NE122),DAY(NE122))</f>
        <v>46661</v>
      </c>
      <c r="NG122" s="8">
        <f ca="1">NF122-TODAY()</f>
        <v>516</v>
      </c>
      <c r="NH122" s="5" t="str">
        <f t="shared" ca="1" si="338"/>
        <v>VIGENTE</v>
      </c>
      <c r="NI122" s="2"/>
      <c r="NJ122" s="4"/>
      <c r="NK122" s="4"/>
      <c r="NL122" s="8"/>
      <c r="NM122" s="5" t="str">
        <f t="shared" si="339"/>
        <v>NO APLICA</v>
      </c>
      <c r="NN122" s="2"/>
      <c r="NO122" s="2"/>
      <c r="NP122" s="4"/>
      <c r="NQ122" s="8"/>
      <c r="NR122" s="5" t="str">
        <f t="shared" si="340"/>
        <v>NO APLICA</v>
      </c>
      <c r="NS122" s="2"/>
      <c r="NT122" s="2"/>
      <c r="NU122" s="4"/>
      <c r="NV122" s="2"/>
      <c r="NW122" s="5" t="str">
        <f t="shared" si="341"/>
        <v>NO APLICA</v>
      </c>
      <c r="NX122" s="6"/>
      <c r="NY122" s="6"/>
      <c r="NZ122" s="4"/>
      <c r="OA122" s="8"/>
      <c r="OB122" s="5" t="str">
        <f t="shared" si="342"/>
        <v>NO APLICA</v>
      </c>
      <c r="OC122" s="6"/>
      <c r="OD122" s="6"/>
      <c r="OE122" s="6"/>
      <c r="OF122" s="6"/>
      <c r="OG122" s="5" t="str">
        <f t="shared" si="343"/>
        <v>NO APLICA</v>
      </c>
      <c r="OH122" s="2"/>
      <c r="OI122" s="2"/>
      <c r="OJ122" s="4"/>
      <c r="OK122" s="8"/>
      <c r="OL122" s="5" t="str">
        <f t="shared" si="344"/>
        <v>NO APLICA</v>
      </c>
      <c r="OM122" s="6"/>
      <c r="ON122" s="6"/>
      <c r="OO122" s="6"/>
      <c r="OP122" s="6"/>
      <c r="OQ122" s="5" t="str">
        <f t="shared" si="345"/>
        <v>NO APLICA</v>
      </c>
      <c r="OR122" s="6"/>
      <c r="OS122" s="6"/>
      <c r="OT122" s="6"/>
      <c r="OU122" s="6"/>
      <c r="OV122" s="5" t="str">
        <f t="shared" si="346"/>
        <v>NO APLICA</v>
      </c>
      <c r="OW122" s="6"/>
      <c r="OX122" s="6"/>
      <c r="OY122" s="6"/>
      <c r="OZ122" s="6"/>
      <c r="PA122" s="5" t="str">
        <f t="shared" si="347"/>
        <v>NO APLICA</v>
      </c>
      <c r="PB122" s="6"/>
      <c r="PC122" s="6"/>
      <c r="PD122" s="6"/>
      <c r="PE122" s="6"/>
      <c r="PF122" s="5" t="str">
        <f t="shared" si="348"/>
        <v>NO APLICA</v>
      </c>
      <c r="PG122" s="6"/>
      <c r="PH122" s="6"/>
      <c r="PI122" s="6"/>
      <c r="PJ122" s="6"/>
      <c r="PK122" s="5" t="str">
        <f t="shared" si="349"/>
        <v>NO APLICA</v>
      </c>
      <c r="PL122" s="5"/>
      <c r="PM122" s="6"/>
      <c r="PN122" s="4"/>
      <c r="PO122" s="8"/>
      <c r="PP122" s="5" t="str">
        <f t="shared" si="350"/>
        <v>NO APLICA</v>
      </c>
      <c r="PQ122" s="6"/>
      <c r="PR122" s="6"/>
      <c r="PS122" s="6"/>
      <c r="PT122" s="6"/>
      <c r="PU122" s="5" t="str">
        <f t="shared" si="351"/>
        <v>NO APLICA</v>
      </c>
      <c r="PV122" s="5"/>
      <c r="PW122" s="6"/>
      <c r="PX122" s="6"/>
      <c r="PY122" s="6"/>
      <c r="PZ122" s="5" t="str">
        <f t="shared" si="352"/>
        <v>NO APLICA</v>
      </c>
    </row>
    <row r="123" spans="1:442" ht="15.6" hidden="1" thickTop="1" thickBot="1" x14ac:dyDescent="0.35">
      <c r="A123" s="26">
        <v>120</v>
      </c>
      <c r="B123" s="27">
        <v>1421</v>
      </c>
      <c r="C123" s="28" t="s">
        <v>409</v>
      </c>
      <c r="D123" s="29" t="s">
        <v>68</v>
      </c>
      <c r="E123" s="30" t="s">
        <v>153</v>
      </c>
      <c r="F123" s="5"/>
      <c r="G123" s="6"/>
      <c r="H123" s="4"/>
      <c r="I123" s="8"/>
      <c r="J123" s="5" t="str">
        <f t="shared" si="242"/>
        <v>NO APLICA</v>
      </c>
      <c r="K123" s="5"/>
      <c r="L123" s="6"/>
      <c r="M123" s="6"/>
      <c r="N123" s="8"/>
      <c r="O123" s="5" t="str">
        <f t="shared" si="243"/>
        <v>NO APLICA</v>
      </c>
      <c r="P123" s="6"/>
      <c r="Q123" s="6"/>
      <c r="R123" s="4"/>
      <c r="S123" s="8"/>
      <c r="T123" s="5" t="str">
        <f t="shared" si="353"/>
        <v>NO APLICA</v>
      </c>
      <c r="U123" s="5"/>
      <c r="V123" s="2" t="s">
        <v>410</v>
      </c>
      <c r="W123" s="4">
        <v>45500</v>
      </c>
      <c r="X123" s="4">
        <f t="shared" si="410"/>
        <v>47326</v>
      </c>
      <c r="Y123" s="8">
        <f t="shared" ca="1" si="411"/>
        <v>1181</v>
      </c>
      <c r="Z123" s="5" t="str">
        <f t="shared" ca="1" si="412"/>
        <v>VIGENTE</v>
      </c>
      <c r="AA123" s="5"/>
      <c r="AB123" s="2" t="s">
        <v>411</v>
      </c>
      <c r="AC123" s="4">
        <v>44826</v>
      </c>
      <c r="AD123" s="4">
        <f t="shared" si="430"/>
        <v>46652</v>
      </c>
      <c r="AE123" s="8">
        <f t="shared" ca="1" si="431"/>
        <v>507</v>
      </c>
      <c r="AF123" s="5" t="str">
        <f t="shared" ca="1" si="247"/>
        <v>VIGENTE</v>
      </c>
      <c r="AG123" s="3"/>
      <c r="AH123" s="4">
        <v>45589</v>
      </c>
      <c r="AI123" s="4">
        <f t="shared" si="432"/>
        <v>46318</v>
      </c>
      <c r="AJ123" s="8">
        <f t="shared" ca="1" si="248"/>
        <v>173</v>
      </c>
      <c r="AK123" s="5" t="str">
        <f t="shared" ca="1" si="408"/>
        <v>VIGENTE</v>
      </c>
      <c r="AL123" s="3"/>
      <c r="AM123" s="4">
        <v>45926</v>
      </c>
      <c r="AN123" s="4">
        <f>DATE(YEAR(AM123)+2,MONTH(AM123),DAY(AM123))</f>
        <v>46656</v>
      </c>
      <c r="AO123" s="8">
        <f t="shared" ca="1" si="249"/>
        <v>511</v>
      </c>
      <c r="AP123" s="5" t="str">
        <f t="shared" ca="1" si="250"/>
        <v>VIGENTE</v>
      </c>
      <c r="AQ123" s="3"/>
      <c r="AR123" s="4">
        <v>45971</v>
      </c>
      <c r="AS123" s="4">
        <f>DATE(YEAR(AR123)+2,MONTH(AR123),DAY(AR123))</f>
        <v>46701</v>
      </c>
      <c r="AT123" s="8">
        <f t="shared" ca="1" si="251"/>
        <v>556</v>
      </c>
      <c r="AU123" s="5" t="str">
        <f t="shared" ca="1" si="252"/>
        <v>VIGENTE</v>
      </c>
      <c r="AV123" s="3"/>
      <c r="AW123" s="4">
        <v>45972</v>
      </c>
      <c r="AX123" s="4">
        <f>DATE(YEAR(AW123)+2,MONTH(AW123),DAY(AW123))</f>
        <v>46702</v>
      </c>
      <c r="AY123" s="8">
        <f t="shared" ca="1" si="253"/>
        <v>557</v>
      </c>
      <c r="AZ123" s="5" t="str">
        <f t="shared" ca="1" si="254"/>
        <v>VIGENTE</v>
      </c>
      <c r="BA123" s="3"/>
      <c r="BB123" s="4">
        <v>46041</v>
      </c>
      <c r="BC123" s="4">
        <f>DATE(YEAR(BB123)+2,MONTH(BB123),DAY(BB123))</f>
        <v>46771</v>
      </c>
      <c r="BD123" s="8">
        <f t="shared" ca="1" si="255"/>
        <v>626</v>
      </c>
      <c r="BE123" s="5" t="str">
        <f t="shared" ca="1" si="256"/>
        <v>VIGENTE</v>
      </c>
      <c r="BF123" s="3"/>
      <c r="BG123" s="4">
        <v>46067</v>
      </c>
      <c r="BH123" s="4">
        <f t="shared" si="443"/>
        <v>46797</v>
      </c>
      <c r="BI123" s="8">
        <f t="shared" ca="1" si="257"/>
        <v>652</v>
      </c>
      <c r="BJ123" s="5" t="str">
        <f t="shared" ca="1" si="258"/>
        <v>VIGENTE</v>
      </c>
      <c r="BK123" s="3"/>
      <c r="BL123" s="4">
        <v>46056</v>
      </c>
      <c r="BM123" s="4">
        <f>DATE(YEAR(BL123)+2,MONTH(BL123),DAY(BL123))</f>
        <v>46786</v>
      </c>
      <c r="BN123" s="8">
        <f t="shared" ca="1" si="259"/>
        <v>641</v>
      </c>
      <c r="BO123" s="5" t="str">
        <f t="shared" ca="1" si="260"/>
        <v>VIGENTE</v>
      </c>
      <c r="BP123" s="3"/>
      <c r="BQ123" s="39">
        <v>46120</v>
      </c>
      <c r="BR123" s="4">
        <f>DATE(YEAR(BQ123)+2,MONTH(BQ123),DAY(BQ123)-1)</f>
        <v>46850</v>
      </c>
      <c r="BS123" s="8">
        <f t="shared" ca="1" si="261"/>
        <v>705</v>
      </c>
      <c r="BT123" s="5" t="str">
        <f t="shared" ca="1" si="262"/>
        <v>VIGENTE</v>
      </c>
      <c r="BU123" s="3"/>
      <c r="BV123" s="4">
        <v>46063</v>
      </c>
      <c r="BW123" s="4">
        <f>DATE(YEAR(BV123)+2,MONTH(BV123),DAY(BV123))</f>
        <v>46793</v>
      </c>
      <c r="BX123" s="8">
        <f t="shared" ca="1" si="263"/>
        <v>648</v>
      </c>
      <c r="BY123" s="5" t="str">
        <f t="shared" ca="1" si="264"/>
        <v>VIGENTE</v>
      </c>
      <c r="BZ123" s="3"/>
      <c r="CA123" s="4">
        <v>45954</v>
      </c>
      <c r="CB123" s="4">
        <f>DATE(YEAR(CA123)+2,MONTH(CA123),DAY(CA123))</f>
        <v>46684</v>
      </c>
      <c r="CC123" s="8">
        <f t="shared" ca="1" si="265"/>
        <v>539</v>
      </c>
      <c r="CD123" s="5" t="str">
        <f t="shared" ca="1" si="266"/>
        <v>VIGENTE</v>
      </c>
      <c r="CE123" s="6"/>
      <c r="CF123" s="4">
        <v>45227</v>
      </c>
      <c r="CG123" s="4">
        <f t="shared" si="416"/>
        <v>46688</v>
      </c>
      <c r="CH123" s="8">
        <f t="shared" ca="1" si="417"/>
        <v>543</v>
      </c>
      <c r="CI123" s="5" t="str">
        <f t="shared" ca="1" si="418"/>
        <v>VIGENTE</v>
      </c>
      <c r="CJ123" s="4"/>
      <c r="CK123" s="4">
        <v>45723</v>
      </c>
      <c r="CL123" s="4">
        <f t="shared" si="433"/>
        <v>46452</v>
      </c>
      <c r="CM123" s="8">
        <f t="shared" ca="1" si="270"/>
        <v>307</v>
      </c>
      <c r="CN123" s="5" t="str">
        <f t="shared" ca="1" si="271"/>
        <v>VIGENTE</v>
      </c>
      <c r="CO123" s="3"/>
      <c r="CP123" s="39">
        <v>45684</v>
      </c>
      <c r="CQ123" s="4">
        <f t="shared" si="434"/>
        <v>46413</v>
      </c>
      <c r="CR123" s="8">
        <f t="shared" ca="1" si="272"/>
        <v>268</v>
      </c>
      <c r="CS123" s="5" t="str">
        <f t="shared" ca="1" si="273"/>
        <v>VIGENTE</v>
      </c>
      <c r="CT123" s="3"/>
      <c r="CU123" s="4">
        <v>45631</v>
      </c>
      <c r="CV123" s="4">
        <f t="shared" si="435"/>
        <v>46360</v>
      </c>
      <c r="CW123" s="8">
        <f t="shared" ca="1" si="274"/>
        <v>215</v>
      </c>
      <c r="CX123" s="5" t="str">
        <f t="shared" ca="1" si="275"/>
        <v>VIGENTE</v>
      </c>
      <c r="CY123" s="3"/>
      <c r="CZ123" s="4">
        <v>45665</v>
      </c>
      <c r="DA123" s="4">
        <f>DATE(YEAR(CZ123)+2,MONTH(CZ123),DAY(CZ123)-1)</f>
        <v>46394</v>
      </c>
      <c r="DB123" s="8">
        <f t="shared" ca="1" si="276"/>
        <v>249</v>
      </c>
      <c r="DC123" s="5" t="str">
        <f t="shared" ca="1" si="277"/>
        <v>VIGENTE</v>
      </c>
      <c r="DD123" s="3"/>
      <c r="DE123" s="39">
        <v>45689</v>
      </c>
      <c r="DF123" s="4">
        <f t="shared" si="436"/>
        <v>46418</v>
      </c>
      <c r="DG123" s="8">
        <f t="shared" ca="1" si="278"/>
        <v>273</v>
      </c>
      <c r="DH123" s="5" t="str">
        <f t="shared" ca="1" si="279"/>
        <v>VIGENTE</v>
      </c>
      <c r="DI123" s="3"/>
      <c r="DJ123" s="39">
        <v>45955</v>
      </c>
      <c r="DK123" s="4">
        <f>DATE(YEAR(DJ123)+2,MONTH(DJ123),DAY(DJ123))</f>
        <v>46685</v>
      </c>
      <c r="DL123" s="8">
        <f t="shared" ca="1" si="280"/>
        <v>540</v>
      </c>
      <c r="DM123" s="5" t="str">
        <f t="shared" ca="1" si="281"/>
        <v>VIGENTE</v>
      </c>
      <c r="DN123" s="3"/>
      <c r="DO123" s="4">
        <v>46007</v>
      </c>
      <c r="DP123" s="4">
        <f>DATE(YEAR(DO123)+2,MONTH(DO123),DAY(DO123))</f>
        <v>46737</v>
      </c>
      <c r="DQ123" s="8">
        <f t="shared" ca="1" si="282"/>
        <v>592</v>
      </c>
      <c r="DR123" s="5" t="str">
        <f t="shared" ca="1" si="283"/>
        <v>VIGENTE</v>
      </c>
      <c r="DS123" s="3"/>
      <c r="DT123" s="4">
        <v>46053</v>
      </c>
      <c r="DU123" s="4">
        <f>DATE(YEAR(DT123)+2,MONTH(DT123),DAY(DT123))</f>
        <v>46783</v>
      </c>
      <c r="DV123" s="8">
        <f t="shared" ca="1" si="284"/>
        <v>638</v>
      </c>
      <c r="DW123" s="5" t="str">
        <f t="shared" ca="1" si="285"/>
        <v>VIGENTE</v>
      </c>
      <c r="DX123" s="3"/>
      <c r="DY123" s="4">
        <v>45682</v>
      </c>
      <c r="DZ123" s="4">
        <f t="shared" si="437"/>
        <v>46411</v>
      </c>
      <c r="EA123" s="8">
        <f t="shared" ca="1" si="286"/>
        <v>266</v>
      </c>
      <c r="EB123" s="5" t="str">
        <f t="shared" ca="1" si="287"/>
        <v>VIGENTE</v>
      </c>
      <c r="EC123" s="3"/>
      <c r="ED123" s="39">
        <v>45674</v>
      </c>
      <c r="EE123" s="4">
        <f t="shared" si="438"/>
        <v>46403</v>
      </c>
      <c r="EF123" s="8">
        <f t="shared" ca="1" si="288"/>
        <v>258</v>
      </c>
      <c r="EG123" s="5" t="str">
        <f t="shared" ca="1" si="289"/>
        <v>VIGENTE</v>
      </c>
      <c r="EH123" s="3"/>
      <c r="EI123" s="4">
        <v>45948</v>
      </c>
      <c r="EJ123" s="4">
        <f t="shared" si="355"/>
        <v>46313</v>
      </c>
      <c r="EK123" s="8">
        <f t="shared" ca="1" si="290"/>
        <v>168</v>
      </c>
      <c r="EL123" s="5" t="str">
        <f t="shared" ca="1" si="291"/>
        <v>VIGENTE</v>
      </c>
      <c r="EM123" s="3"/>
      <c r="EN123" s="4">
        <v>45737</v>
      </c>
      <c r="EO123" s="4">
        <f t="shared" si="439"/>
        <v>46466</v>
      </c>
      <c r="EP123" s="8">
        <f t="shared" ca="1" si="292"/>
        <v>321</v>
      </c>
      <c r="EQ123" s="5" t="str">
        <f t="shared" ca="1" si="293"/>
        <v>VIGENTE</v>
      </c>
      <c r="ER123" s="3"/>
      <c r="ES123" s="39">
        <v>46094</v>
      </c>
      <c r="ET123" s="4">
        <f>DATE(YEAR(ES123)+2,MONTH(ES123),DAY(ES123))</f>
        <v>46825</v>
      </c>
      <c r="EU123" s="8">
        <f t="shared" ca="1" si="294"/>
        <v>680</v>
      </c>
      <c r="EV123" s="5" t="str">
        <f t="shared" ca="1" si="295"/>
        <v>VIGENTE</v>
      </c>
      <c r="EW123" s="3"/>
      <c r="EX123" s="4">
        <v>45953</v>
      </c>
      <c r="EY123" s="4">
        <f>DATE(YEAR(EX123)+2,MONTH(EX123),DAY(EX123))</f>
        <v>46683</v>
      </c>
      <c r="EZ123" s="8">
        <f t="shared" ca="1" si="296"/>
        <v>538</v>
      </c>
      <c r="FA123" s="5" t="str">
        <f t="shared" ca="1" si="297"/>
        <v>VIGENTE</v>
      </c>
      <c r="FB123" s="3"/>
      <c r="FC123" s="4">
        <v>45951</v>
      </c>
      <c r="FD123" s="4">
        <f>DATE(YEAR(FC123)+2,MONTH(FC123),DAY(FC123))</f>
        <v>46681</v>
      </c>
      <c r="FE123" s="8">
        <f t="shared" ca="1" si="298"/>
        <v>536</v>
      </c>
      <c r="FF123" s="5" t="str">
        <f t="shared" ca="1" si="299"/>
        <v>VIGENTE</v>
      </c>
      <c r="FG123" s="3"/>
      <c r="FH123" s="4">
        <v>45992</v>
      </c>
      <c r="FI123" s="4">
        <f>DATE(YEAR(FH123)+2,MONTH(FH123),DAY(FH123))</f>
        <v>46722</v>
      </c>
      <c r="FJ123" s="8">
        <f t="shared" ca="1" si="300"/>
        <v>577</v>
      </c>
      <c r="FK123" s="5" t="str">
        <f t="shared" ca="1" si="301"/>
        <v>VIGENTE</v>
      </c>
      <c r="FL123" s="3"/>
      <c r="FM123" s="39">
        <v>45738</v>
      </c>
      <c r="FN123" s="4">
        <f t="shared" si="440"/>
        <v>46467</v>
      </c>
      <c r="FO123" s="8">
        <f t="shared" ca="1" si="302"/>
        <v>322</v>
      </c>
      <c r="FP123" s="5" t="str">
        <f t="shared" ca="1" si="303"/>
        <v>VIGENTE</v>
      </c>
      <c r="FQ123" s="3"/>
      <c r="FR123" s="39">
        <v>45724</v>
      </c>
      <c r="FS123" s="4">
        <f t="shared" si="441"/>
        <v>46453</v>
      </c>
      <c r="FT123" s="8">
        <f t="shared" ca="1" si="304"/>
        <v>308</v>
      </c>
      <c r="FU123" s="5" t="str">
        <f t="shared" ca="1" si="305"/>
        <v>VIGENTE</v>
      </c>
      <c r="FV123" s="3"/>
      <c r="FW123" s="4">
        <v>46014</v>
      </c>
      <c r="FX123" s="4">
        <f>DATE(YEAR(FW123)+2,MONTH(FW123),DAY(FW123))</f>
        <v>46744</v>
      </c>
      <c r="FY123" s="8">
        <f t="shared" ca="1" si="306"/>
        <v>599</v>
      </c>
      <c r="FZ123" s="5" t="str">
        <f t="shared" ca="1" si="307"/>
        <v>VIGENTE</v>
      </c>
      <c r="GA123" s="3"/>
      <c r="GB123" s="4">
        <v>46030</v>
      </c>
      <c r="GC123" s="4">
        <f>DATE(YEAR(GB123)+2,MONTH(GB123),DAY(GB123))</f>
        <v>46760</v>
      </c>
      <c r="GD123" s="8">
        <f t="shared" ca="1" si="308"/>
        <v>615</v>
      </c>
      <c r="GE123" s="5" t="str">
        <f t="shared" ca="1" si="309"/>
        <v>VIGENTE</v>
      </c>
      <c r="GF123" s="3"/>
      <c r="GG123" s="4">
        <v>45579</v>
      </c>
      <c r="GH123" s="4">
        <f t="shared" si="442"/>
        <v>46308</v>
      </c>
      <c r="GI123" s="8">
        <f t="shared" ca="1" si="310"/>
        <v>163</v>
      </c>
      <c r="GJ123" s="5" t="str">
        <f t="shared" ca="1" si="311"/>
        <v>VIGENTE</v>
      </c>
      <c r="GK123" s="3"/>
      <c r="GL123" s="4">
        <v>45923</v>
      </c>
      <c r="GM123" s="4">
        <f>DATE(YEAR(GL123)+2,MONTH(GL123),DAY(GL123))</f>
        <v>46653</v>
      </c>
      <c r="GN123" s="8">
        <f t="shared" ca="1" si="312"/>
        <v>508</v>
      </c>
      <c r="GO123" s="5" t="str">
        <f t="shared" ca="1" si="313"/>
        <v>VIGENTE</v>
      </c>
      <c r="GP123" s="4"/>
      <c r="GQ123" s="4">
        <v>45224</v>
      </c>
      <c r="GR123" s="4">
        <f t="shared" si="314"/>
        <v>47051</v>
      </c>
      <c r="GS123" s="8">
        <f t="shared" ca="1" si="405"/>
        <v>906</v>
      </c>
      <c r="GT123" s="5" t="str">
        <f t="shared" ca="1" si="419"/>
        <v>VIGENTE</v>
      </c>
      <c r="GU123" s="3"/>
      <c r="GV123" s="4">
        <v>45195</v>
      </c>
      <c r="GW123" s="4">
        <f t="shared" si="316"/>
        <v>47022</v>
      </c>
      <c r="GX123" s="8">
        <f t="shared" ca="1" si="317"/>
        <v>877</v>
      </c>
      <c r="GY123" s="5" t="str">
        <f t="shared" ca="1" si="426"/>
        <v>VIGENTE</v>
      </c>
      <c r="GZ123" s="3"/>
      <c r="HA123" s="4">
        <v>45268</v>
      </c>
      <c r="HB123" s="4">
        <f t="shared" si="319"/>
        <v>47095</v>
      </c>
      <c r="HC123" s="8">
        <f t="shared" ca="1" si="320"/>
        <v>950</v>
      </c>
      <c r="HD123" s="5" t="str">
        <f t="shared" ca="1" si="421"/>
        <v>VIGENTE</v>
      </c>
      <c r="HE123" s="6"/>
      <c r="HF123" s="4">
        <v>44862</v>
      </c>
      <c r="HG123" s="4">
        <f t="shared" si="428"/>
        <v>46688</v>
      </c>
      <c r="HH123" s="8">
        <f t="shared" ca="1" si="429"/>
        <v>543</v>
      </c>
      <c r="HI123" s="5" t="str">
        <f t="shared" ca="1" si="427"/>
        <v>VIGENTE</v>
      </c>
      <c r="HJ123" s="3"/>
      <c r="HK123" s="4">
        <v>45414</v>
      </c>
      <c r="HL123" s="4">
        <f>DATE(YEAR(HK123)+5,MONTH(HK123),DAY(HK123))</f>
        <v>47240</v>
      </c>
      <c r="HM123" s="8">
        <f ca="1">HL123-TODAY()</f>
        <v>1095</v>
      </c>
      <c r="HN123" s="5" t="str">
        <f t="shared" ca="1" si="409"/>
        <v>VIGENTE</v>
      </c>
      <c r="HO123" s="2"/>
      <c r="HP123" s="2"/>
      <c r="HQ123" s="4"/>
      <c r="HR123" s="2"/>
      <c r="HS123" s="5" t="str">
        <f t="shared" si="322"/>
        <v>NO APLICA</v>
      </c>
      <c r="HT123" s="3"/>
      <c r="HU123" s="4">
        <v>45260</v>
      </c>
      <c r="HV123" s="4">
        <f>DATE(YEAR(HU123)+5,MONTH(HU123),DAY(HU123))</f>
        <v>47087</v>
      </c>
      <c r="HW123" s="8">
        <f ca="1">HV123-TODAY()</f>
        <v>942</v>
      </c>
      <c r="HX123" s="5" t="str">
        <f t="shared" ca="1" si="323"/>
        <v>VIGENTE</v>
      </c>
      <c r="HY123" s="3"/>
      <c r="HZ123" s="4">
        <v>45234</v>
      </c>
      <c r="IA123" s="4">
        <f>DATE(YEAR(HZ123)+5,MONTH(HZ123),DAY(HZ123))</f>
        <v>47061</v>
      </c>
      <c r="IB123" s="8">
        <f ca="1">IA123-TODAY()</f>
        <v>916</v>
      </c>
      <c r="IC123" s="5" t="str">
        <f t="shared" ca="1" si="324"/>
        <v>VIGENTE</v>
      </c>
      <c r="ID123" s="3"/>
      <c r="IE123" s="4">
        <v>45248</v>
      </c>
      <c r="IF123" s="4">
        <f>DATE(YEAR(IE123)+5,MONTH(IE123),DAY(IE123))</f>
        <v>47075</v>
      </c>
      <c r="IG123" s="8">
        <f ca="1">IF123-TODAY()</f>
        <v>930</v>
      </c>
      <c r="IH123" s="5" t="str">
        <f t="shared" ca="1" si="325"/>
        <v>VIGENTE</v>
      </c>
      <c r="II123" s="4"/>
      <c r="IJ123" s="4">
        <v>45238</v>
      </c>
      <c r="IK123" s="4">
        <f>DATE(YEAR(IJ123)+5,MONTH(IJ123),DAY(IJ123))</f>
        <v>47065</v>
      </c>
      <c r="IL123" s="8">
        <f ca="1">IK123-TODAY()</f>
        <v>920</v>
      </c>
      <c r="IM123" s="5" t="str">
        <f t="shared" ca="1" si="326"/>
        <v>VIGENTE</v>
      </c>
      <c r="IN123" s="3"/>
      <c r="IO123" s="4">
        <v>45239</v>
      </c>
      <c r="IP123" s="4">
        <f>DATE(YEAR(IO123)+5,MONTH(IO123),DAY(IO123))</f>
        <v>47066</v>
      </c>
      <c r="IQ123" s="8">
        <f ca="1">IP123-TODAY()</f>
        <v>921</v>
      </c>
      <c r="IR123" s="5" t="str">
        <f t="shared" ca="1" si="327"/>
        <v>VIGENTE</v>
      </c>
      <c r="IS123" s="3"/>
      <c r="IT123" s="4">
        <v>45240</v>
      </c>
      <c r="IU123" s="4">
        <f>DATE(YEAR(IT123)+5,MONTH(IT123),DAY(IT123))</f>
        <v>47067</v>
      </c>
      <c r="IV123" s="8">
        <f ca="1">IU123-TODAY()</f>
        <v>922</v>
      </c>
      <c r="IW123" s="5" t="str">
        <f t="shared" ca="1" si="328"/>
        <v>VIGENTE</v>
      </c>
      <c r="IX123" s="3"/>
      <c r="IY123" s="4">
        <v>45289</v>
      </c>
      <c r="IZ123" s="4">
        <f>DATE(YEAR(IY123)+5,MONTH(IY123),DAY(IY123))</f>
        <v>47116</v>
      </c>
      <c r="JA123" s="8">
        <f ca="1">IZ123-TODAY()</f>
        <v>971</v>
      </c>
      <c r="JB123" s="5" t="str">
        <f t="shared" ca="1" si="329"/>
        <v>VIGENTE</v>
      </c>
      <c r="JC123" s="3" t="s">
        <v>780</v>
      </c>
      <c r="JD123" s="3"/>
      <c r="JE123" s="4"/>
      <c r="JF123" s="8"/>
      <c r="JG123" s="5"/>
      <c r="JH123" s="3" t="s">
        <v>780</v>
      </c>
      <c r="JI123" s="6"/>
      <c r="JJ123" s="6"/>
      <c r="JK123" s="6"/>
      <c r="JL123" s="5"/>
      <c r="JM123" s="6" t="s">
        <v>780</v>
      </c>
      <c r="JN123" s="6"/>
      <c r="JO123" s="6"/>
      <c r="JP123" s="6"/>
      <c r="JQ123" s="5"/>
      <c r="JR123" s="6" t="s">
        <v>780</v>
      </c>
      <c r="JS123" s="6"/>
      <c r="JT123" s="6"/>
      <c r="JU123" s="6"/>
      <c r="JV123" s="5"/>
      <c r="JW123" s="6" t="s">
        <v>780</v>
      </c>
      <c r="JX123" s="5"/>
      <c r="JY123" s="5"/>
      <c r="JZ123" s="5"/>
      <c r="KA123" s="5"/>
      <c r="KB123" s="5"/>
      <c r="KC123" s="3">
        <v>45362</v>
      </c>
      <c r="KD123" s="4">
        <f>DATE(YEAR(KC123)+5,MONTH(KC123),DAY(KC123))</f>
        <v>47188</v>
      </c>
      <c r="KE123" s="8">
        <f ca="1">KD123-TODAY()</f>
        <v>1043</v>
      </c>
      <c r="KF123" s="5" t="str">
        <f t="shared" ca="1" si="330"/>
        <v>VIGENTE</v>
      </c>
      <c r="KG123" s="5"/>
      <c r="KH123" s="3">
        <v>45328</v>
      </c>
      <c r="KI123" s="4">
        <f>DATE(YEAR(KH123)+5,MONTH(KH123),DAY(KH123)-1)</f>
        <v>47154</v>
      </c>
      <c r="KJ123" s="8">
        <f ca="1">KI123-TODAY()</f>
        <v>1009</v>
      </c>
      <c r="KK123" s="5" t="str">
        <f t="shared" ca="1" si="356"/>
        <v>VIGENTE</v>
      </c>
      <c r="KL123" s="5"/>
      <c r="KM123" s="3"/>
      <c r="KN123" s="4"/>
      <c r="KO123" s="8"/>
      <c r="KP123" s="5" t="str">
        <f t="shared" si="331"/>
        <v>NO APLICA</v>
      </c>
      <c r="KQ123" s="5"/>
      <c r="KR123" s="2"/>
      <c r="KS123" s="4"/>
      <c r="KT123" s="8"/>
      <c r="KU123" s="5" t="str">
        <f t="shared" si="357"/>
        <v>NO APLICA</v>
      </c>
      <c r="KV123" s="4"/>
      <c r="KW123" s="4">
        <v>44658</v>
      </c>
      <c r="KX123" s="4">
        <f>DATE(YEAR(KW123)+5,MONTH(KW123),DAY(KW123))</f>
        <v>46484</v>
      </c>
      <c r="KY123" s="8">
        <f ca="1">KX123-TODAY()</f>
        <v>339</v>
      </c>
      <c r="KZ123" s="5" t="str">
        <f t="shared" ca="1" si="366"/>
        <v>VIGENTE</v>
      </c>
      <c r="LA123" s="5"/>
      <c r="LB123" s="4">
        <v>44614</v>
      </c>
      <c r="LC123" s="4">
        <f>DATE(YEAR(LB123)+5,MONTH(LB123),DAY(LB123))</f>
        <v>46440</v>
      </c>
      <c r="LD123" s="8">
        <f ca="1">LC123-TODAY()</f>
        <v>295</v>
      </c>
      <c r="LE123" s="5" t="str">
        <f t="shared" ca="1" si="358"/>
        <v>VIGENTE</v>
      </c>
      <c r="LF123" s="6"/>
      <c r="LG123" s="4"/>
      <c r="LH123" s="4"/>
      <c r="LI123" s="8"/>
      <c r="LJ123" s="5" t="str">
        <f t="shared" si="332"/>
        <v>NO APLICA</v>
      </c>
      <c r="LK123" s="5"/>
      <c r="LL123" s="5"/>
      <c r="LM123" s="4"/>
      <c r="LN123" s="8"/>
      <c r="LO123" s="5" t="str">
        <f t="shared" si="367"/>
        <v>NO APLICA</v>
      </c>
      <c r="LP123" s="2"/>
      <c r="LQ123" s="6"/>
      <c r="LR123" s="4"/>
      <c r="LS123" s="8"/>
      <c r="LT123" s="5" t="str">
        <f t="shared" si="359"/>
        <v>NO APLICA</v>
      </c>
      <c r="LU123" s="4"/>
      <c r="LV123" s="4">
        <v>44986</v>
      </c>
      <c r="LW123" s="4">
        <f>DATE(YEAR(LV123)+5,MONTH(LV123),DAY(LV123))</f>
        <v>46813</v>
      </c>
      <c r="LX123" s="8">
        <f ca="1">LW123-TODAY()</f>
        <v>668</v>
      </c>
      <c r="LY123" s="5" t="str">
        <f t="shared" ca="1" si="360"/>
        <v>VIGENTE</v>
      </c>
      <c r="LZ123" s="4"/>
      <c r="MA123" s="4">
        <v>44988</v>
      </c>
      <c r="MB123" s="4">
        <f>DATE(YEAR(MA123)+5,MONTH(MA123),DAY(MA123))</f>
        <v>46815</v>
      </c>
      <c r="MC123" s="8">
        <f ca="1">MB123-TODAY()</f>
        <v>670</v>
      </c>
      <c r="MD123" s="5" t="str">
        <f t="shared" ca="1" si="361"/>
        <v>VIGENTE</v>
      </c>
      <c r="ME123" s="2"/>
      <c r="MF123" s="2"/>
      <c r="MG123" s="4"/>
      <c r="MH123" s="8"/>
      <c r="MI123" s="5" t="str">
        <f t="shared" si="333"/>
        <v>NO APLICA</v>
      </c>
      <c r="MJ123" s="2"/>
      <c r="MK123" s="2"/>
      <c r="ML123" s="4"/>
      <c r="MM123" s="8"/>
      <c r="MN123" s="5" t="str">
        <f t="shared" si="334"/>
        <v>NO APLICA</v>
      </c>
      <c r="MO123" s="5"/>
      <c r="MP123" s="2"/>
      <c r="MQ123" s="4"/>
      <c r="MR123" s="8"/>
      <c r="MS123" s="5" t="str">
        <f t="shared" si="335"/>
        <v>NO APLICA</v>
      </c>
      <c r="MT123" s="5"/>
      <c r="MU123" s="2"/>
      <c r="MV123" s="4"/>
      <c r="MW123" s="2"/>
      <c r="MX123" s="5" t="str">
        <f t="shared" si="336"/>
        <v>NO APLICA</v>
      </c>
      <c r="MY123" s="2"/>
      <c r="MZ123" s="4">
        <v>44834</v>
      </c>
      <c r="NA123" s="4">
        <f>DATE(YEAR(MZ123)+5,MONTH(MZ123),DAY(MZ123))</f>
        <v>46660</v>
      </c>
      <c r="NB123" s="8">
        <f ca="1">NA123-TODAY()</f>
        <v>515</v>
      </c>
      <c r="NC123" s="5" t="str">
        <f t="shared" ca="1" si="337"/>
        <v>VIGENTE</v>
      </c>
      <c r="ND123" s="2"/>
      <c r="NE123" s="4">
        <v>44835</v>
      </c>
      <c r="NF123" s="4">
        <f>DATE(YEAR(NE123)+5,MONTH(NE123),DAY(NE123))</f>
        <v>46661</v>
      </c>
      <c r="NG123" s="8">
        <f ca="1">NF123-TODAY()</f>
        <v>516</v>
      </c>
      <c r="NH123" s="5" t="str">
        <f t="shared" ca="1" si="338"/>
        <v>VIGENTE</v>
      </c>
      <c r="NI123" s="2"/>
      <c r="NJ123" s="6"/>
      <c r="NK123" s="4"/>
      <c r="NL123" s="8"/>
      <c r="NM123" s="5" t="str">
        <f t="shared" si="339"/>
        <v>NO APLICA</v>
      </c>
      <c r="NN123" s="3"/>
      <c r="NO123" s="4">
        <v>45001</v>
      </c>
      <c r="NP123" s="4">
        <f>DATE(YEAR(NO123)+5,MONTH(NO123),DAY(NO123))</f>
        <v>46828</v>
      </c>
      <c r="NQ123" s="8">
        <f ca="1">NP123-TODAY()</f>
        <v>683</v>
      </c>
      <c r="NR123" s="5" t="str">
        <f t="shared" ca="1" si="340"/>
        <v>VIGENTE</v>
      </c>
      <c r="NS123" s="2"/>
      <c r="NT123" s="2"/>
      <c r="NU123" s="4"/>
      <c r="NV123" s="2"/>
      <c r="NW123" s="5" t="str">
        <f t="shared" si="341"/>
        <v>NO APLICA</v>
      </c>
      <c r="NX123" s="6"/>
      <c r="NY123" s="6"/>
      <c r="NZ123" s="4"/>
      <c r="OA123" s="8"/>
      <c r="OB123" s="5" t="str">
        <f t="shared" si="342"/>
        <v>NO APLICA</v>
      </c>
      <c r="OC123" s="6"/>
      <c r="OD123" s="6"/>
      <c r="OE123" s="6"/>
      <c r="OF123" s="6"/>
      <c r="OG123" s="5" t="str">
        <f t="shared" si="343"/>
        <v>NO APLICA</v>
      </c>
      <c r="OH123" s="2"/>
      <c r="OI123" s="2"/>
      <c r="OJ123" s="4"/>
      <c r="OK123" s="8"/>
      <c r="OL123" s="5" t="str">
        <f t="shared" si="344"/>
        <v>NO APLICA</v>
      </c>
      <c r="OM123" s="6"/>
      <c r="ON123" s="6"/>
      <c r="OO123" s="6"/>
      <c r="OP123" s="6"/>
      <c r="OQ123" s="5" t="str">
        <f t="shared" si="345"/>
        <v>NO APLICA</v>
      </c>
      <c r="OR123" s="6"/>
      <c r="OS123" s="6"/>
      <c r="OT123" s="6"/>
      <c r="OU123" s="6"/>
      <c r="OV123" s="5" t="str">
        <f t="shared" si="346"/>
        <v>NO APLICA</v>
      </c>
      <c r="OW123" s="6"/>
      <c r="OX123" s="6"/>
      <c r="OY123" s="6"/>
      <c r="OZ123" s="6"/>
      <c r="PA123" s="5" t="str">
        <f t="shared" si="347"/>
        <v>NO APLICA</v>
      </c>
      <c r="PB123" s="6"/>
      <c r="PC123" s="6"/>
      <c r="PD123" s="6"/>
      <c r="PE123" s="6"/>
      <c r="PF123" s="5" t="str">
        <f t="shared" si="348"/>
        <v>NO APLICA</v>
      </c>
      <c r="PG123" s="6"/>
      <c r="PH123" s="6"/>
      <c r="PI123" s="6"/>
      <c r="PJ123" s="6"/>
      <c r="PK123" s="5" t="str">
        <f t="shared" si="349"/>
        <v>NO APLICA</v>
      </c>
      <c r="PL123" s="5"/>
      <c r="PM123" s="6"/>
      <c r="PN123" s="4"/>
      <c r="PO123" s="8"/>
      <c r="PP123" s="5" t="str">
        <f t="shared" si="350"/>
        <v>NO APLICA</v>
      </c>
      <c r="PQ123" s="6"/>
      <c r="PR123" s="6"/>
      <c r="PS123" s="6"/>
      <c r="PT123" s="6"/>
      <c r="PU123" s="5" t="str">
        <f t="shared" si="351"/>
        <v>NO APLICA</v>
      </c>
      <c r="PV123" s="5"/>
      <c r="PW123" s="6"/>
      <c r="PX123" s="6"/>
      <c r="PY123" s="6"/>
      <c r="PZ123" s="5" t="str">
        <f t="shared" si="352"/>
        <v>NO APLICA</v>
      </c>
    </row>
    <row r="124" spans="1:442" ht="15.6" hidden="1" thickTop="1" thickBot="1" x14ac:dyDescent="0.35">
      <c r="A124" s="26">
        <v>121</v>
      </c>
      <c r="B124" s="27">
        <v>1617</v>
      </c>
      <c r="C124" s="28" t="s">
        <v>412</v>
      </c>
      <c r="D124" s="29" t="s">
        <v>157</v>
      </c>
      <c r="E124" s="30" t="s">
        <v>158</v>
      </c>
      <c r="F124" s="5"/>
      <c r="G124" s="6"/>
      <c r="H124" s="4"/>
      <c r="I124" s="8"/>
      <c r="J124" s="5" t="str">
        <f t="shared" si="242"/>
        <v>NO APLICA</v>
      </c>
      <c r="K124" s="5"/>
      <c r="L124" s="6"/>
      <c r="M124" s="6"/>
      <c r="N124" s="8"/>
      <c r="O124" s="5" t="str">
        <f t="shared" si="243"/>
        <v>NO APLICA</v>
      </c>
      <c r="P124" s="6"/>
      <c r="Q124" s="6"/>
      <c r="R124" s="4"/>
      <c r="S124" s="8"/>
      <c r="T124" s="5" t="str">
        <f t="shared" si="353"/>
        <v>NO APLICA</v>
      </c>
      <c r="U124" s="5"/>
      <c r="V124" s="2" t="s">
        <v>413</v>
      </c>
      <c r="W124" s="4">
        <v>44772</v>
      </c>
      <c r="X124" s="4">
        <f t="shared" si="410"/>
        <v>46598</v>
      </c>
      <c r="Y124" s="8">
        <f t="shared" ca="1" si="411"/>
        <v>453</v>
      </c>
      <c r="Z124" s="5" t="str">
        <f t="shared" ca="1" si="412"/>
        <v>VIGENTE</v>
      </c>
      <c r="AA124" s="5"/>
      <c r="AB124" s="2" t="s">
        <v>414</v>
      </c>
      <c r="AC124" s="4">
        <v>45233</v>
      </c>
      <c r="AD124" s="4">
        <f t="shared" si="430"/>
        <v>47060</v>
      </c>
      <c r="AE124" s="8">
        <f t="shared" ca="1" si="431"/>
        <v>915</v>
      </c>
      <c r="AF124" s="5" t="str">
        <f t="shared" ca="1" si="247"/>
        <v>VIGENTE</v>
      </c>
      <c r="AG124" s="3"/>
      <c r="AH124" s="4">
        <v>45680</v>
      </c>
      <c r="AI124" s="4">
        <f t="shared" si="432"/>
        <v>46409</v>
      </c>
      <c r="AJ124" s="8">
        <f t="shared" ca="1" si="248"/>
        <v>264</v>
      </c>
      <c r="AK124" s="5" t="str">
        <f t="shared" ca="1" si="408"/>
        <v>VIGENTE</v>
      </c>
      <c r="AL124" s="3"/>
      <c r="AM124" s="4">
        <v>45710</v>
      </c>
      <c r="AN124" s="4">
        <f>DATE(YEAR(AM124)+2,MONTH(AM124),DAY(AM124)-1)</f>
        <v>46439</v>
      </c>
      <c r="AO124" s="8">
        <f t="shared" ca="1" si="249"/>
        <v>294</v>
      </c>
      <c r="AP124" s="5" t="str">
        <f t="shared" ca="1" si="250"/>
        <v>VIGENTE</v>
      </c>
      <c r="AQ124" s="2"/>
      <c r="AR124" s="4">
        <v>45740</v>
      </c>
      <c r="AS124" s="4">
        <f>DATE(YEAR(AR124)+2,MONTH(AR124),DAY(AR124)-1)</f>
        <v>46469</v>
      </c>
      <c r="AT124" s="8">
        <f t="shared" ca="1" si="251"/>
        <v>324</v>
      </c>
      <c r="AU124" s="5" t="str">
        <f t="shared" ca="1" si="252"/>
        <v>VIGENTE</v>
      </c>
      <c r="AV124" s="3"/>
      <c r="AW124" s="4">
        <v>45702</v>
      </c>
      <c r="AX124" s="4">
        <f>DATE(YEAR(AW124)+2,MONTH(AW124),DAY(AW124)-1)</f>
        <v>46431</v>
      </c>
      <c r="AY124" s="8">
        <f t="shared" ca="1" si="253"/>
        <v>286</v>
      </c>
      <c r="AZ124" s="5" t="str">
        <f t="shared" ca="1" si="254"/>
        <v>VIGENTE</v>
      </c>
      <c r="BA124" s="3"/>
      <c r="BB124" s="4">
        <v>46041</v>
      </c>
      <c r="BC124" s="4">
        <f>DATE(YEAR(BB124)+2,MONTH(BB124),DAY(BB124))</f>
        <v>46771</v>
      </c>
      <c r="BD124" s="8">
        <f t="shared" ca="1" si="255"/>
        <v>626</v>
      </c>
      <c r="BE124" s="5" t="str">
        <f t="shared" ca="1" si="256"/>
        <v>VIGENTE</v>
      </c>
      <c r="BF124" s="3"/>
      <c r="BG124" s="4">
        <v>46027</v>
      </c>
      <c r="BH124" s="4">
        <f t="shared" si="443"/>
        <v>46757</v>
      </c>
      <c r="BI124" s="8">
        <f t="shared" ca="1" si="257"/>
        <v>612</v>
      </c>
      <c r="BJ124" s="5" t="str">
        <f t="shared" ca="1" si="258"/>
        <v>VIGENTE</v>
      </c>
      <c r="BK124" s="3"/>
      <c r="BL124" s="4">
        <v>45570</v>
      </c>
      <c r="BM124" s="4">
        <f>DATE(YEAR(BL124)+2,MONTH(BL124),DAY(BL124)-1)</f>
        <v>46299</v>
      </c>
      <c r="BN124" s="8">
        <f t="shared" ca="1" si="259"/>
        <v>154</v>
      </c>
      <c r="BO124" s="5" t="str">
        <f t="shared" ca="1" si="260"/>
        <v>VIGENTE</v>
      </c>
      <c r="BP124" s="3"/>
      <c r="BQ124" s="39">
        <v>45701</v>
      </c>
      <c r="BR124" s="4">
        <f>DATE(YEAR(BQ124)+2,MONTH(BQ124),DAY(BQ124)-1)</f>
        <v>46430</v>
      </c>
      <c r="BS124" s="8">
        <f t="shared" ca="1" si="261"/>
        <v>285</v>
      </c>
      <c r="BT124" s="5" t="str">
        <f t="shared" ca="1" si="262"/>
        <v>VIGENTE</v>
      </c>
      <c r="BU124" s="3"/>
      <c r="BV124" s="4">
        <v>46135</v>
      </c>
      <c r="BW124" s="4">
        <f>DATE(YEAR(BV124)+2,MONTH(BV124),DAY(BV124)-1)</f>
        <v>46865</v>
      </c>
      <c r="BX124" s="8">
        <f t="shared" ca="1" si="263"/>
        <v>720</v>
      </c>
      <c r="BY124" s="5" t="str">
        <f t="shared" ca="1" si="264"/>
        <v>VIGENTE</v>
      </c>
      <c r="BZ124" s="3"/>
      <c r="CA124" s="4">
        <v>45730</v>
      </c>
      <c r="CB124" s="4">
        <f>DATE(YEAR(CA124)+2,MONTH(CA124),DAY(CA124)-1)</f>
        <v>46459</v>
      </c>
      <c r="CC124" s="8">
        <f t="shared" ca="1" si="265"/>
        <v>314</v>
      </c>
      <c r="CD124" s="5" t="str">
        <f t="shared" ca="1" si="266"/>
        <v>VIGENTE</v>
      </c>
      <c r="CE124" s="6"/>
      <c r="CF124" s="4">
        <v>45832</v>
      </c>
      <c r="CG124" s="4">
        <f t="shared" si="416"/>
        <v>47293</v>
      </c>
      <c r="CH124" s="8">
        <f t="shared" ca="1" si="417"/>
        <v>1148</v>
      </c>
      <c r="CI124" s="5" t="str">
        <f t="shared" ca="1" si="418"/>
        <v>VIGENTE</v>
      </c>
      <c r="CJ124" s="4"/>
      <c r="CK124" s="4">
        <v>45511</v>
      </c>
      <c r="CL124" s="4">
        <f t="shared" si="433"/>
        <v>46240</v>
      </c>
      <c r="CM124" s="8">
        <f t="shared" ca="1" si="270"/>
        <v>95</v>
      </c>
      <c r="CN124" s="5" t="str">
        <f t="shared" ca="1" si="271"/>
        <v>VIGENTE</v>
      </c>
      <c r="CO124" s="3"/>
      <c r="CP124" s="39">
        <v>45517</v>
      </c>
      <c r="CQ124" s="4">
        <f t="shared" si="434"/>
        <v>46246</v>
      </c>
      <c r="CR124" s="8">
        <f t="shared" ca="1" si="272"/>
        <v>101</v>
      </c>
      <c r="CS124" s="5" t="str">
        <f t="shared" ca="1" si="273"/>
        <v>VIGENTE</v>
      </c>
      <c r="CT124" s="3"/>
      <c r="CU124" s="4">
        <v>45624</v>
      </c>
      <c r="CV124" s="4">
        <f t="shared" si="435"/>
        <v>46353</v>
      </c>
      <c r="CW124" s="8">
        <f t="shared" ca="1" si="274"/>
        <v>208</v>
      </c>
      <c r="CX124" s="5" t="str">
        <f t="shared" ca="1" si="275"/>
        <v>VIGENTE</v>
      </c>
      <c r="CY124" s="3"/>
      <c r="CZ124" s="4">
        <v>45665</v>
      </c>
      <c r="DA124" s="4">
        <f>DATE(YEAR(CZ124)+2,MONTH(CZ124),DAY(CZ124)-1)</f>
        <v>46394</v>
      </c>
      <c r="DB124" s="8">
        <f t="shared" ca="1" si="276"/>
        <v>249</v>
      </c>
      <c r="DC124" s="5" t="str">
        <f t="shared" ca="1" si="277"/>
        <v>VIGENTE</v>
      </c>
      <c r="DD124" s="3"/>
      <c r="DE124" s="39">
        <v>45549</v>
      </c>
      <c r="DF124" s="4">
        <f t="shared" si="436"/>
        <v>46278</v>
      </c>
      <c r="DG124" s="8">
        <f t="shared" ca="1" si="278"/>
        <v>133</v>
      </c>
      <c r="DH124" s="5" t="str">
        <f t="shared" ca="1" si="279"/>
        <v>VIGENTE</v>
      </c>
      <c r="DI124" s="3"/>
      <c r="DJ124" s="39">
        <v>45580</v>
      </c>
      <c r="DK124" s="4">
        <f>DATE(YEAR(DJ124)+2,MONTH(DJ124),DAY(DJ124)-1)</f>
        <v>46309</v>
      </c>
      <c r="DL124" s="8">
        <f t="shared" ca="1" si="280"/>
        <v>164</v>
      </c>
      <c r="DM124" s="5" t="str">
        <f t="shared" ca="1" si="281"/>
        <v>VIGENTE</v>
      </c>
      <c r="DN124" s="3"/>
      <c r="DO124" s="4">
        <v>45590</v>
      </c>
      <c r="DP124" s="4">
        <f>DATE(YEAR(DO124)+2,MONTH(DO124),DAY(DO124)-1)</f>
        <v>46319</v>
      </c>
      <c r="DQ124" s="8">
        <f t="shared" ca="1" si="282"/>
        <v>174</v>
      </c>
      <c r="DR124" s="5" t="str">
        <f t="shared" ca="1" si="283"/>
        <v>VIGENTE</v>
      </c>
      <c r="DS124" s="3"/>
      <c r="DT124" s="4">
        <v>46053</v>
      </c>
      <c r="DU124" s="4">
        <f>DATE(YEAR(DT124)+2,MONTH(DT124),DAY(DT124))</f>
        <v>46783</v>
      </c>
      <c r="DV124" s="8">
        <f t="shared" ca="1" si="284"/>
        <v>638</v>
      </c>
      <c r="DW124" s="5" t="str">
        <f t="shared" ca="1" si="285"/>
        <v>VIGENTE</v>
      </c>
      <c r="DX124" s="3"/>
      <c r="DY124" s="4">
        <v>45663</v>
      </c>
      <c r="DZ124" s="4">
        <f t="shared" si="437"/>
        <v>46392</v>
      </c>
      <c r="EA124" s="8">
        <f t="shared" ca="1" si="286"/>
        <v>247</v>
      </c>
      <c r="EB124" s="5" t="str">
        <f t="shared" ca="1" si="287"/>
        <v>VIGENTE</v>
      </c>
      <c r="EC124" s="3"/>
      <c r="ED124" s="39">
        <v>45674</v>
      </c>
      <c r="EE124" s="4">
        <f t="shared" si="438"/>
        <v>46403</v>
      </c>
      <c r="EF124" s="8">
        <f t="shared" ca="1" si="288"/>
        <v>258</v>
      </c>
      <c r="EG124" s="5" t="str">
        <f t="shared" ca="1" si="289"/>
        <v>VIGENTE</v>
      </c>
      <c r="EH124" s="3"/>
      <c r="EI124" s="3">
        <v>46107</v>
      </c>
      <c r="EJ124" s="4">
        <f t="shared" si="355"/>
        <v>46472</v>
      </c>
      <c r="EK124" s="8">
        <f t="shared" ca="1" si="290"/>
        <v>327</v>
      </c>
      <c r="EL124" s="5" t="str">
        <f t="shared" ca="1" si="291"/>
        <v>VIGENTE</v>
      </c>
      <c r="EM124" s="3"/>
      <c r="EN124" s="4">
        <v>45660</v>
      </c>
      <c r="EO124" s="4">
        <f t="shared" si="439"/>
        <v>46389</v>
      </c>
      <c r="EP124" s="8">
        <f t="shared" ca="1" si="292"/>
        <v>244</v>
      </c>
      <c r="EQ124" s="5" t="str">
        <f t="shared" ca="1" si="293"/>
        <v>VIGENTE</v>
      </c>
      <c r="ER124" s="3"/>
      <c r="ES124" s="39">
        <v>46094</v>
      </c>
      <c r="ET124" s="4">
        <f>DATE(YEAR(ES124)+2,MONTH(ES124),DAY(ES124))</f>
        <v>46825</v>
      </c>
      <c r="EU124" s="8">
        <f t="shared" ca="1" si="294"/>
        <v>680</v>
      </c>
      <c r="EV124" s="5" t="str">
        <f t="shared" ca="1" si="295"/>
        <v>VIGENTE</v>
      </c>
      <c r="EW124" s="3"/>
      <c r="EX124" s="4">
        <v>45694</v>
      </c>
      <c r="EY124" s="4">
        <f>DATE(YEAR(EX124)+2,MONTH(EX124),DAY(EX124)-1)</f>
        <v>46423</v>
      </c>
      <c r="EZ124" s="8">
        <f t="shared" ca="1" si="296"/>
        <v>278</v>
      </c>
      <c r="FA124" s="5" t="str">
        <f t="shared" ca="1" si="297"/>
        <v>VIGENTE</v>
      </c>
      <c r="FB124" s="3"/>
      <c r="FC124" s="4">
        <v>45666</v>
      </c>
      <c r="FD124" s="4">
        <f>DATE(YEAR(FC124)+2,MONTH(FC124),DAY(FC124)-1)</f>
        <v>46395</v>
      </c>
      <c r="FE124" s="8">
        <f t="shared" ca="1" si="298"/>
        <v>250</v>
      </c>
      <c r="FF124" s="5" t="str">
        <f t="shared" ca="1" si="299"/>
        <v>VIGENTE</v>
      </c>
      <c r="FG124" s="3"/>
      <c r="FH124" s="4">
        <v>45668</v>
      </c>
      <c r="FI124" s="4">
        <f>DATE(YEAR(FH124)+2,MONTH(FH124),DAY(FH124)-1)</f>
        <v>46397</v>
      </c>
      <c r="FJ124" s="8">
        <f t="shared" ca="1" si="300"/>
        <v>252</v>
      </c>
      <c r="FK124" s="5" t="str">
        <f t="shared" ca="1" si="301"/>
        <v>VIGENTE</v>
      </c>
      <c r="FL124" s="3"/>
      <c r="FM124" s="39">
        <v>45530</v>
      </c>
      <c r="FN124" s="4">
        <f t="shared" si="440"/>
        <v>46259</v>
      </c>
      <c r="FO124" s="8">
        <f t="shared" ca="1" si="302"/>
        <v>114</v>
      </c>
      <c r="FP124" s="5" t="str">
        <f t="shared" ca="1" si="303"/>
        <v>VIGENTE</v>
      </c>
      <c r="FQ124" s="3"/>
      <c r="FR124" s="39">
        <v>45586</v>
      </c>
      <c r="FS124" s="4">
        <f t="shared" si="441"/>
        <v>46315</v>
      </c>
      <c r="FT124" s="8">
        <f t="shared" ca="1" si="304"/>
        <v>170</v>
      </c>
      <c r="FU124" s="5" t="str">
        <f t="shared" ca="1" si="305"/>
        <v>VIGENTE</v>
      </c>
      <c r="FV124" s="3"/>
      <c r="FW124" s="4">
        <v>45587</v>
      </c>
      <c r="FX124" s="4">
        <f>DATE(YEAR(FW124)+2,MONTH(FW124),DAY(FW124)-1)</f>
        <v>46316</v>
      </c>
      <c r="FY124" s="8">
        <f t="shared" ca="1" si="306"/>
        <v>171</v>
      </c>
      <c r="FZ124" s="5" t="str">
        <f t="shared" ca="1" si="307"/>
        <v>VIGENTE</v>
      </c>
      <c r="GA124" s="3"/>
      <c r="GB124" s="4">
        <v>46030</v>
      </c>
      <c r="GC124" s="4">
        <f>DATE(YEAR(GB124)+2,MONTH(GB124),DAY(GB124))</f>
        <v>46760</v>
      </c>
      <c r="GD124" s="8">
        <f t="shared" ca="1" si="308"/>
        <v>615</v>
      </c>
      <c r="GE124" s="5" t="str">
        <f t="shared" ca="1" si="309"/>
        <v>VIGENTE</v>
      </c>
      <c r="GF124" s="3"/>
      <c r="GG124" s="4">
        <v>45579</v>
      </c>
      <c r="GH124" s="4">
        <f t="shared" si="442"/>
        <v>46308</v>
      </c>
      <c r="GI124" s="8">
        <f t="shared" ca="1" si="310"/>
        <v>163</v>
      </c>
      <c r="GJ124" s="5" t="str">
        <f t="shared" ca="1" si="311"/>
        <v>VIGENTE</v>
      </c>
      <c r="GK124" s="3"/>
      <c r="GL124" s="4">
        <v>45687</v>
      </c>
      <c r="GM124" s="4">
        <f>DATE(YEAR(GL124)+2,MONTH(GL124),DAY(GL124)-1)</f>
        <v>46416</v>
      </c>
      <c r="GN124" s="8">
        <f t="shared" ca="1" si="312"/>
        <v>271</v>
      </c>
      <c r="GO124" s="5" t="str">
        <f t="shared" ca="1" si="313"/>
        <v>VIGENTE</v>
      </c>
      <c r="GP124" s="4"/>
      <c r="GQ124" s="4">
        <v>44912</v>
      </c>
      <c r="GR124" s="4">
        <f t="shared" si="314"/>
        <v>46738</v>
      </c>
      <c r="GS124" s="8">
        <f t="shared" ca="1" si="405"/>
        <v>593</v>
      </c>
      <c r="GT124" s="5" t="str">
        <f t="shared" ca="1" si="419"/>
        <v>VIGENTE</v>
      </c>
      <c r="GU124" s="3"/>
      <c r="GV124" s="4">
        <v>44952</v>
      </c>
      <c r="GW124" s="4">
        <f t="shared" si="316"/>
        <v>46778</v>
      </c>
      <c r="GX124" s="8">
        <f t="shared" ca="1" si="317"/>
        <v>633</v>
      </c>
      <c r="GY124" s="5" t="str">
        <f t="shared" ca="1" si="426"/>
        <v>VIGENTE</v>
      </c>
      <c r="GZ124" s="2"/>
      <c r="HA124" s="4">
        <v>44911</v>
      </c>
      <c r="HB124" s="4">
        <f t="shared" si="319"/>
        <v>46737</v>
      </c>
      <c r="HC124" s="8">
        <f t="shared" ca="1" si="320"/>
        <v>592</v>
      </c>
      <c r="HD124" s="5" t="str">
        <f t="shared" ca="1" si="421"/>
        <v>VIGENTE</v>
      </c>
      <c r="HE124" s="6"/>
      <c r="HF124" s="4">
        <v>45094</v>
      </c>
      <c r="HG124" s="4">
        <f t="shared" si="428"/>
        <v>46921</v>
      </c>
      <c r="HH124" s="8">
        <f t="shared" ca="1" si="429"/>
        <v>776</v>
      </c>
      <c r="HI124" s="5" t="str">
        <f t="shared" ca="1" si="427"/>
        <v>VIGENTE</v>
      </c>
      <c r="HJ124" s="2"/>
      <c r="HK124" s="6"/>
      <c r="HL124" s="4"/>
      <c r="HM124" s="8"/>
      <c r="HN124" s="5" t="str">
        <f>IF(HM124&gt;=61,"VIGENTE",IF(HM124&gt;=1,"POR VENCER",IF(HM124&lt;=-1,"PROGRAMAR",IF(HK124=0,"NO APLICA"))))</f>
        <v>NO APLICA</v>
      </c>
      <c r="HO124" s="2"/>
      <c r="HP124" s="2"/>
      <c r="HQ124" s="4"/>
      <c r="HR124" s="2"/>
      <c r="HS124" s="5" t="str">
        <f t="shared" si="322"/>
        <v>NO APLICA</v>
      </c>
      <c r="HT124" s="2"/>
      <c r="HU124" s="6"/>
      <c r="HV124" s="4"/>
      <c r="HW124" s="8"/>
      <c r="HX124" s="5" t="str">
        <f t="shared" si="323"/>
        <v>NO APLICA</v>
      </c>
      <c r="HY124" s="2"/>
      <c r="HZ124" s="6"/>
      <c r="IA124" s="4"/>
      <c r="IB124" s="8"/>
      <c r="IC124" s="5" t="str">
        <f t="shared" si="324"/>
        <v>NO APLICA</v>
      </c>
      <c r="ID124" s="2"/>
      <c r="IE124" s="6"/>
      <c r="IF124" s="4"/>
      <c r="IG124" s="8"/>
      <c r="IH124" s="5" t="str">
        <f t="shared" si="325"/>
        <v>NO APLICA</v>
      </c>
      <c r="II124" s="6"/>
      <c r="IJ124" s="6"/>
      <c r="IK124" s="4"/>
      <c r="IL124" s="8"/>
      <c r="IM124" s="5" t="str">
        <f t="shared" si="326"/>
        <v>NO APLICA</v>
      </c>
      <c r="IN124" s="2"/>
      <c r="IO124" s="6"/>
      <c r="IP124" s="4"/>
      <c r="IQ124" s="8"/>
      <c r="IR124" s="5" t="str">
        <f t="shared" si="327"/>
        <v>NO APLICA</v>
      </c>
      <c r="IS124" s="2"/>
      <c r="IT124" s="6"/>
      <c r="IU124" s="4"/>
      <c r="IV124" s="8"/>
      <c r="IW124" s="5" t="str">
        <f t="shared" si="328"/>
        <v>NO APLICA</v>
      </c>
      <c r="IX124" s="2"/>
      <c r="IY124" s="6"/>
      <c r="IZ124" s="4"/>
      <c r="JA124" s="8"/>
      <c r="JB124" s="5" t="str">
        <f t="shared" si="329"/>
        <v>NO APLICA</v>
      </c>
      <c r="JC124" s="3" t="s">
        <v>780</v>
      </c>
      <c r="JD124" s="3"/>
      <c r="JE124" s="4"/>
      <c r="JF124" s="8"/>
      <c r="JG124" s="5"/>
      <c r="JH124" s="3" t="s">
        <v>780</v>
      </c>
      <c r="JI124" s="6"/>
      <c r="JJ124" s="6"/>
      <c r="JK124" s="6"/>
      <c r="JL124" s="5"/>
      <c r="JM124" s="6" t="s">
        <v>780</v>
      </c>
      <c r="JN124" s="6"/>
      <c r="JO124" s="6"/>
      <c r="JP124" s="6"/>
      <c r="JQ124" s="5"/>
      <c r="JR124" s="6" t="s">
        <v>780</v>
      </c>
      <c r="JS124" s="6"/>
      <c r="JT124" s="6"/>
      <c r="JU124" s="6"/>
      <c r="JV124" s="5"/>
      <c r="JW124" s="6" t="s">
        <v>780</v>
      </c>
      <c r="JX124" s="5"/>
      <c r="JY124" s="5"/>
      <c r="JZ124" s="5"/>
      <c r="KA124" s="5"/>
      <c r="KB124" s="5"/>
      <c r="KC124" s="2"/>
      <c r="KD124" s="4"/>
      <c r="KE124" s="8"/>
      <c r="KF124" s="5" t="str">
        <f t="shared" si="330"/>
        <v>NO APLICA</v>
      </c>
      <c r="KG124" s="5"/>
      <c r="KH124" s="2"/>
      <c r="KI124" s="4"/>
      <c r="KJ124" s="8"/>
      <c r="KK124" s="5" t="str">
        <f t="shared" si="356"/>
        <v>NO APLICA</v>
      </c>
      <c r="KL124" s="5"/>
      <c r="KM124" s="2"/>
      <c r="KN124" s="4"/>
      <c r="KO124" s="8"/>
      <c r="KP124" s="5" t="str">
        <f t="shared" si="331"/>
        <v>NO APLICA</v>
      </c>
      <c r="KQ124" s="5"/>
      <c r="KR124" s="3">
        <v>45346</v>
      </c>
      <c r="KS124" s="4">
        <f>DATE(YEAR(KR124)+5,MONTH(KR124),DAY(KR124))</f>
        <v>47173</v>
      </c>
      <c r="KT124" s="8">
        <f ca="1">KS124-TODAY()</f>
        <v>1028</v>
      </c>
      <c r="KU124" s="5" t="str">
        <f t="shared" ca="1" si="357"/>
        <v>VIGENTE</v>
      </c>
      <c r="KV124" s="2"/>
      <c r="KW124" s="6"/>
      <c r="KX124" s="4"/>
      <c r="KY124" s="8"/>
      <c r="KZ124" s="5" t="str">
        <f t="shared" si="366"/>
        <v>NO APLICA</v>
      </c>
      <c r="LA124" s="5"/>
      <c r="LB124" s="6"/>
      <c r="LC124" s="4"/>
      <c r="LD124" s="8"/>
      <c r="LE124" s="5" t="str">
        <f t="shared" si="358"/>
        <v>NO APLICA</v>
      </c>
      <c r="LF124" s="6"/>
      <c r="LG124" s="6"/>
      <c r="LH124" s="4"/>
      <c r="LI124" s="8"/>
      <c r="LJ124" s="5" t="str">
        <f t="shared" si="332"/>
        <v>NO APLICA</v>
      </c>
      <c r="LK124" s="5"/>
      <c r="LL124" s="5"/>
      <c r="LM124" s="4"/>
      <c r="LN124" s="8"/>
      <c r="LO124" s="5" t="str">
        <f t="shared" si="367"/>
        <v>NO APLICA</v>
      </c>
      <c r="LP124" s="2"/>
      <c r="LQ124" s="6"/>
      <c r="LR124" s="4"/>
      <c r="LS124" s="8"/>
      <c r="LT124" s="5" t="str">
        <f t="shared" si="359"/>
        <v>NO APLICA</v>
      </c>
      <c r="LU124" s="6"/>
      <c r="LV124" s="6"/>
      <c r="LW124" s="4"/>
      <c r="LX124" s="8"/>
      <c r="LY124" s="5" t="str">
        <f t="shared" si="360"/>
        <v>NO APLICA</v>
      </c>
      <c r="LZ124" s="6"/>
      <c r="MA124" s="6"/>
      <c r="MB124" s="4"/>
      <c r="MC124" s="8"/>
      <c r="MD124" s="5" t="str">
        <f t="shared" si="361"/>
        <v>NO APLICA</v>
      </c>
      <c r="ME124" s="2"/>
      <c r="MF124" s="2"/>
      <c r="MG124" s="4"/>
      <c r="MH124" s="8"/>
      <c r="MI124" s="5" t="str">
        <f t="shared" si="333"/>
        <v>NO APLICA</v>
      </c>
      <c r="MJ124" s="2"/>
      <c r="MK124" s="2"/>
      <c r="ML124" s="4"/>
      <c r="MM124" s="8"/>
      <c r="MN124" s="5" t="str">
        <f t="shared" si="334"/>
        <v>NO APLICA</v>
      </c>
      <c r="MO124" s="5"/>
      <c r="MP124" s="2"/>
      <c r="MQ124" s="4"/>
      <c r="MR124" s="8"/>
      <c r="MS124" s="5" t="str">
        <f t="shared" si="335"/>
        <v>NO APLICA</v>
      </c>
      <c r="MT124" s="5"/>
      <c r="MU124" s="2"/>
      <c r="MV124" s="4"/>
      <c r="MW124" s="2"/>
      <c r="MX124" s="5" t="str">
        <f t="shared" si="336"/>
        <v>NO APLICA</v>
      </c>
      <c r="MY124" s="2"/>
      <c r="MZ124" s="4">
        <v>44834</v>
      </c>
      <c r="NA124" s="4">
        <f>DATE(YEAR(MZ124)+5,MONTH(MZ124),DAY(MZ124))</f>
        <v>46660</v>
      </c>
      <c r="NB124" s="8">
        <f ca="1">NA124-TODAY()</f>
        <v>515</v>
      </c>
      <c r="NC124" s="5" t="str">
        <f t="shared" ca="1" si="337"/>
        <v>VIGENTE</v>
      </c>
      <c r="ND124" s="2"/>
      <c r="NE124" s="4">
        <v>44835</v>
      </c>
      <c r="NF124" s="4">
        <f>DATE(YEAR(NE124)+5,MONTH(NE124),DAY(NE124))</f>
        <v>46661</v>
      </c>
      <c r="NG124" s="8">
        <f ca="1">NF124-TODAY()</f>
        <v>516</v>
      </c>
      <c r="NH124" s="5" t="str">
        <f t="shared" ca="1" si="338"/>
        <v>VIGENTE</v>
      </c>
      <c r="NI124" s="2"/>
      <c r="NJ124" s="4">
        <v>44751</v>
      </c>
      <c r="NK124" s="4">
        <f>DATE(YEAR(NJ124)+5,MONTH(NJ124),DAY(NJ124))</f>
        <v>46577</v>
      </c>
      <c r="NL124" s="8">
        <f ca="1">NK124-TODAY()</f>
        <v>432</v>
      </c>
      <c r="NM124" s="5" t="str">
        <f t="shared" ca="1" si="339"/>
        <v>VIGENTE</v>
      </c>
      <c r="NN124" s="2"/>
      <c r="NO124" s="2"/>
      <c r="NP124" s="4"/>
      <c r="NQ124" s="8"/>
      <c r="NR124" s="5" t="str">
        <f t="shared" si="340"/>
        <v>NO APLICA</v>
      </c>
      <c r="NS124" s="4"/>
      <c r="NT124" s="4">
        <v>45103</v>
      </c>
      <c r="NU124" s="4">
        <f>DATE(YEAR(NT124)+5,MONTH(NT124),DAY(NT124))</f>
        <v>46930</v>
      </c>
      <c r="NV124" s="8">
        <f ca="1">NU124-TODAY()</f>
        <v>785</v>
      </c>
      <c r="NW124" s="5" t="str">
        <f t="shared" ca="1" si="341"/>
        <v>VIGENTE</v>
      </c>
      <c r="NX124" s="6"/>
      <c r="NY124" s="6"/>
      <c r="NZ124" s="4"/>
      <c r="OA124" s="8"/>
      <c r="OB124" s="5" t="str">
        <f t="shared" si="342"/>
        <v>NO APLICA</v>
      </c>
      <c r="OC124" s="6"/>
      <c r="OD124" s="6"/>
      <c r="OE124" s="6"/>
      <c r="OF124" s="6"/>
      <c r="OG124" s="5" t="str">
        <f t="shared" si="343"/>
        <v>NO APLICA</v>
      </c>
      <c r="OH124" s="2"/>
      <c r="OI124" s="2"/>
      <c r="OJ124" s="4"/>
      <c r="OK124" s="8"/>
      <c r="OL124" s="5" t="str">
        <f t="shared" si="344"/>
        <v>NO APLICA</v>
      </c>
      <c r="OM124" s="6"/>
      <c r="ON124" s="6"/>
      <c r="OO124" s="6"/>
      <c r="OP124" s="6"/>
      <c r="OQ124" s="5" t="str">
        <f t="shared" si="345"/>
        <v>NO APLICA</v>
      </c>
      <c r="OR124" s="6"/>
      <c r="OS124" s="6"/>
      <c r="OT124" s="6"/>
      <c r="OU124" s="6"/>
      <c r="OV124" s="5" t="str">
        <f t="shared" si="346"/>
        <v>NO APLICA</v>
      </c>
      <c r="OW124" s="6"/>
      <c r="OX124" s="6"/>
      <c r="OY124" s="6"/>
      <c r="OZ124" s="6"/>
      <c r="PA124" s="5" t="str">
        <f t="shared" si="347"/>
        <v>NO APLICA</v>
      </c>
      <c r="PB124" s="6"/>
      <c r="PC124" s="6"/>
      <c r="PD124" s="6"/>
      <c r="PE124" s="6"/>
      <c r="PF124" s="5" t="str">
        <f t="shared" si="348"/>
        <v>NO APLICA</v>
      </c>
      <c r="PG124" s="6"/>
      <c r="PH124" s="6"/>
      <c r="PI124" s="6"/>
      <c r="PJ124" s="6"/>
      <c r="PK124" s="5" t="str">
        <f t="shared" si="349"/>
        <v>NO APLICA</v>
      </c>
      <c r="PL124" s="5"/>
      <c r="PM124" s="6"/>
      <c r="PN124" s="4"/>
      <c r="PO124" s="8"/>
      <c r="PP124" s="5" t="str">
        <f t="shared" si="350"/>
        <v>NO APLICA</v>
      </c>
      <c r="PQ124" s="6"/>
      <c r="PR124" s="6"/>
      <c r="PS124" s="6"/>
      <c r="PT124" s="6"/>
      <c r="PU124" s="5" t="str">
        <f t="shared" si="351"/>
        <v>NO APLICA</v>
      </c>
      <c r="PV124" s="5"/>
      <c r="PW124" s="6"/>
      <c r="PX124" s="6"/>
      <c r="PY124" s="6"/>
      <c r="PZ124" s="5" t="str">
        <f t="shared" si="352"/>
        <v>NO APLICA</v>
      </c>
    </row>
    <row r="125" spans="1:442" ht="15.6" hidden="1" thickTop="1" thickBot="1" x14ac:dyDescent="0.35">
      <c r="A125" s="26">
        <v>122</v>
      </c>
      <c r="B125" s="27">
        <v>1112</v>
      </c>
      <c r="C125" s="28" t="s">
        <v>415</v>
      </c>
      <c r="D125" s="29" t="s">
        <v>68</v>
      </c>
      <c r="E125" s="30" t="s">
        <v>77</v>
      </c>
      <c r="F125" s="5"/>
      <c r="G125" s="6"/>
      <c r="H125" s="4"/>
      <c r="I125" s="8"/>
      <c r="J125" s="5" t="str">
        <f t="shared" si="242"/>
        <v>NO APLICA</v>
      </c>
      <c r="K125" s="5"/>
      <c r="L125" s="6"/>
      <c r="M125" s="6"/>
      <c r="N125" s="8"/>
      <c r="O125" s="5" t="str">
        <f t="shared" si="243"/>
        <v>NO APLICA</v>
      </c>
      <c r="P125" s="6"/>
      <c r="Q125" s="6"/>
      <c r="R125" s="4"/>
      <c r="S125" s="8"/>
      <c r="T125" s="5" t="str">
        <f t="shared" si="353"/>
        <v>NO APLICA</v>
      </c>
      <c r="U125" s="5"/>
      <c r="V125" s="2" t="s">
        <v>416</v>
      </c>
      <c r="W125" s="4">
        <v>44838</v>
      </c>
      <c r="X125" s="4">
        <f t="shared" si="410"/>
        <v>46664</v>
      </c>
      <c r="Y125" s="8">
        <f t="shared" ca="1" si="411"/>
        <v>519</v>
      </c>
      <c r="Z125" s="5" t="str">
        <f t="shared" ca="1" si="412"/>
        <v>VIGENTE</v>
      </c>
      <c r="AA125" s="5"/>
      <c r="AB125" s="2" t="s">
        <v>417</v>
      </c>
      <c r="AC125" s="4">
        <v>44826</v>
      </c>
      <c r="AD125" s="4">
        <f t="shared" si="430"/>
        <v>46652</v>
      </c>
      <c r="AE125" s="8">
        <f t="shared" ca="1" si="431"/>
        <v>507</v>
      </c>
      <c r="AF125" s="5" t="str">
        <f t="shared" ca="1" si="247"/>
        <v>VIGENTE</v>
      </c>
      <c r="AG125" s="3"/>
      <c r="AH125" s="3">
        <v>45594</v>
      </c>
      <c r="AI125" s="4">
        <f t="shared" si="432"/>
        <v>46323</v>
      </c>
      <c r="AJ125" s="8">
        <f t="shared" ca="1" si="248"/>
        <v>178</v>
      </c>
      <c r="AK125" s="5" t="str">
        <f t="shared" ca="1" si="408"/>
        <v>VIGENTE</v>
      </c>
      <c r="AL125" s="3"/>
      <c r="AM125" s="4">
        <v>45959</v>
      </c>
      <c r="AN125" s="4">
        <f>DATE(YEAR(AM125)+2,MONTH(AM125),DAY(AM125))</f>
        <v>46689</v>
      </c>
      <c r="AO125" s="8">
        <f t="shared" ca="1" si="249"/>
        <v>544</v>
      </c>
      <c r="AP125" s="5" t="str">
        <f t="shared" ca="1" si="250"/>
        <v>VIGENTE</v>
      </c>
      <c r="AQ125" s="3"/>
      <c r="AR125" s="4">
        <v>45971</v>
      </c>
      <c r="AS125" s="4">
        <f>DATE(YEAR(AR125)+2,MONTH(AR125),DAY(AR125))</f>
        <v>46701</v>
      </c>
      <c r="AT125" s="8">
        <f t="shared" ca="1" si="251"/>
        <v>556</v>
      </c>
      <c r="AU125" s="5" t="str">
        <f t="shared" ca="1" si="252"/>
        <v>VIGENTE</v>
      </c>
      <c r="AV125" s="3"/>
      <c r="AW125" s="4">
        <v>45972</v>
      </c>
      <c r="AX125" s="4">
        <f>DATE(YEAR(AW125)+2,MONTH(AW125),DAY(AW125))</f>
        <v>46702</v>
      </c>
      <c r="AY125" s="8">
        <f t="shared" ca="1" si="253"/>
        <v>557</v>
      </c>
      <c r="AZ125" s="5" t="str">
        <f t="shared" ca="1" si="254"/>
        <v>VIGENTE</v>
      </c>
      <c r="BA125" s="3"/>
      <c r="BB125" s="4">
        <v>46041</v>
      </c>
      <c r="BC125" s="4">
        <f>DATE(YEAR(BB125)+2,MONTH(BB125),DAY(BB125))</f>
        <v>46771</v>
      </c>
      <c r="BD125" s="8">
        <f t="shared" ca="1" si="255"/>
        <v>626</v>
      </c>
      <c r="BE125" s="5" t="str">
        <f t="shared" ca="1" si="256"/>
        <v>VIGENTE</v>
      </c>
      <c r="BF125" s="3"/>
      <c r="BG125" s="4">
        <v>46067</v>
      </c>
      <c r="BH125" s="4">
        <f t="shared" si="443"/>
        <v>46797</v>
      </c>
      <c r="BI125" s="8">
        <f t="shared" ca="1" si="257"/>
        <v>652</v>
      </c>
      <c r="BJ125" s="5" t="str">
        <f t="shared" ca="1" si="258"/>
        <v>VIGENTE</v>
      </c>
      <c r="BK125" s="3"/>
      <c r="BL125" s="4">
        <v>46051</v>
      </c>
      <c r="BM125" s="4">
        <f>DATE(YEAR(BL125)+2,MONTH(BL125),DAY(BL125))</f>
        <v>46781</v>
      </c>
      <c r="BN125" s="8">
        <f t="shared" ca="1" si="259"/>
        <v>636</v>
      </c>
      <c r="BO125" s="5" t="str">
        <f t="shared" ca="1" si="260"/>
        <v>VIGENTE</v>
      </c>
      <c r="BP125" s="3"/>
      <c r="BQ125" s="39">
        <v>46069</v>
      </c>
      <c r="BR125" s="4">
        <f>DATE(YEAR(BQ125)+2,MONTH(BQ125),DAY(BQ125))</f>
        <v>46799</v>
      </c>
      <c r="BS125" s="8">
        <f t="shared" ca="1" si="261"/>
        <v>654</v>
      </c>
      <c r="BT125" s="5" t="str">
        <f t="shared" ca="1" si="262"/>
        <v>VIGENTE</v>
      </c>
      <c r="BU125" s="3"/>
      <c r="BV125" s="4">
        <v>46116</v>
      </c>
      <c r="BW125" s="4">
        <f>DATE(YEAR(BV125)+2,MONTH(BV125),DAY(BV125)-1)</f>
        <v>46846</v>
      </c>
      <c r="BX125" s="8">
        <f t="shared" ca="1" si="263"/>
        <v>701</v>
      </c>
      <c r="BY125" s="5" t="str">
        <f t="shared" ca="1" si="264"/>
        <v>VIGENTE</v>
      </c>
      <c r="BZ125" s="3"/>
      <c r="CA125" s="4">
        <v>45974</v>
      </c>
      <c r="CB125" s="4">
        <f>DATE(YEAR(CA125)+2,MONTH(CA125),DAY(CA125))</f>
        <v>46704</v>
      </c>
      <c r="CC125" s="8">
        <f t="shared" ca="1" si="265"/>
        <v>559</v>
      </c>
      <c r="CD125" s="5" t="str">
        <f t="shared" ca="1" si="266"/>
        <v>VIGENTE</v>
      </c>
      <c r="CE125" s="6"/>
      <c r="CF125" s="4">
        <v>45241</v>
      </c>
      <c r="CG125" s="4">
        <f t="shared" si="416"/>
        <v>46702</v>
      </c>
      <c r="CH125" s="8">
        <f t="shared" ca="1" si="417"/>
        <v>557</v>
      </c>
      <c r="CI125" s="5" t="str">
        <f t="shared" ca="1" si="418"/>
        <v>VIGENTE</v>
      </c>
      <c r="CJ125" s="4"/>
      <c r="CK125" s="4">
        <v>45504</v>
      </c>
      <c r="CL125" s="4">
        <f t="shared" si="433"/>
        <v>46233</v>
      </c>
      <c r="CM125" s="8">
        <f t="shared" ca="1" si="270"/>
        <v>88</v>
      </c>
      <c r="CN125" s="5" t="str">
        <f t="shared" ca="1" si="271"/>
        <v>POR VENCER</v>
      </c>
      <c r="CO125" s="3"/>
      <c r="CP125" s="39">
        <v>45517</v>
      </c>
      <c r="CQ125" s="4">
        <f t="shared" si="434"/>
        <v>46246</v>
      </c>
      <c r="CR125" s="8">
        <f t="shared" ca="1" si="272"/>
        <v>101</v>
      </c>
      <c r="CS125" s="5" t="str">
        <f t="shared" ca="1" si="273"/>
        <v>VIGENTE</v>
      </c>
      <c r="CT125" s="3"/>
      <c r="CU125" s="4">
        <v>45631</v>
      </c>
      <c r="CV125" s="4">
        <f t="shared" si="435"/>
        <v>46360</v>
      </c>
      <c r="CW125" s="8">
        <f t="shared" ca="1" si="274"/>
        <v>215</v>
      </c>
      <c r="CX125" s="5" t="str">
        <f t="shared" ca="1" si="275"/>
        <v>VIGENTE</v>
      </c>
      <c r="CY125" s="3"/>
      <c r="CZ125" s="4">
        <v>45665</v>
      </c>
      <c r="DA125" s="4">
        <f>DATE(YEAR(CZ125)+2,MONTH(CZ125),DAY(CZ125)-1)</f>
        <v>46394</v>
      </c>
      <c r="DB125" s="8">
        <f t="shared" ca="1" si="276"/>
        <v>249</v>
      </c>
      <c r="DC125" s="5" t="str">
        <f t="shared" ca="1" si="277"/>
        <v>VIGENTE</v>
      </c>
      <c r="DD125" s="3"/>
      <c r="DE125" s="39">
        <v>45689</v>
      </c>
      <c r="DF125" s="4">
        <f t="shared" si="436"/>
        <v>46418</v>
      </c>
      <c r="DG125" s="8">
        <f t="shared" ca="1" si="278"/>
        <v>273</v>
      </c>
      <c r="DH125" s="5" t="str">
        <f t="shared" ca="1" si="279"/>
        <v>VIGENTE</v>
      </c>
      <c r="DI125" s="3"/>
      <c r="DJ125" s="39">
        <v>45734</v>
      </c>
      <c r="DK125" s="4">
        <f>DATE(YEAR(DJ125)+2,MONTH(DJ125),DAY(DJ125)-1)</f>
        <v>46463</v>
      </c>
      <c r="DL125" s="8">
        <f t="shared" ca="1" si="280"/>
        <v>318</v>
      </c>
      <c r="DM125" s="5" t="str">
        <f t="shared" ca="1" si="281"/>
        <v>VIGENTE</v>
      </c>
      <c r="DN125" s="3"/>
      <c r="DO125" s="4">
        <v>46007</v>
      </c>
      <c r="DP125" s="4">
        <f>DATE(YEAR(DO125)+2,MONTH(DO125),DAY(DO125))</f>
        <v>46737</v>
      </c>
      <c r="DQ125" s="8">
        <f t="shared" ca="1" si="282"/>
        <v>592</v>
      </c>
      <c r="DR125" s="5" t="str">
        <f t="shared" ca="1" si="283"/>
        <v>VIGENTE</v>
      </c>
      <c r="DS125" s="3"/>
      <c r="DT125" s="4">
        <v>46053</v>
      </c>
      <c r="DU125" s="4">
        <f>DATE(YEAR(DT125)+2,MONTH(DT125),DAY(DT125))</f>
        <v>46783</v>
      </c>
      <c r="DV125" s="8">
        <f t="shared" ca="1" si="284"/>
        <v>638</v>
      </c>
      <c r="DW125" s="5" t="str">
        <f t="shared" ca="1" si="285"/>
        <v>VIGENTE</v>
      </c>
      <c r="DX125" s="3"/>
      <c r="DY125" s="4">
        <v>45709</v>
      </c>
      <c r="DZ125" s="4">
        <f t="shared" si="437"/>
        <v>46438</v>
      </c>
      <c r="EA125" s="8">
        <f t="shared" ca="1" si="286"/>
        <v>293</v>
      </c>
      <c r="EB125" s="5" t="str">
        <f t="shared" ca="1" si="287"/>
        <v>VIGENTE</v>
      </c>
      <c r="EC125" s="3"/>
      <c r="ED125" s="39">
        <v>45642</v>
      </c>
      <c r="EE125" s="4">
        <f t="shared" si="438"/>
        <v>46371</v>
      </c>
      <c r="EF125" s="8">
        <f t="shared" ca="1" si="288"/>
        <v>226</v>
      </c>
      <c r="EG125" s="5" t="str">
        <f t="shared" ca="1" si="289"/>
        <v>VIGENTE</v>
      </c>
      <c r="EH125" s="3"/>
      <c r="EI125" s="4">
        <v>46115</v>
      </c>
      <c r="EJ125" s="4">
        <f t="shared" si="355"/>
        <v>46480</v>
      </c>
      <c r="EK125" s="8">
        <f t="shared" ca="1" si="290"/>
        <v>335</v>
      </c>
      <c r="EL125" s="5" t="str">
        <f t="shared" ca="1" si="291"/>
        <v>VIGENTE</v>
      </c>
      <c r="EM125" s="3"/>
      <c r="EN125" s="4">
        <v>45636</v>
      </c>
      <c r="EO125" s="4">
        <f t="shared" si="439"/>
        <v>46365</v>
      </c>
      <c r="EP125" s="8">
        <f t="shared" ca="1" si="292"/>
        <v>220</v>
      </c>
      <c r="EQ125" s="5" t="str">
        <f t="shared" ca="1" si="293"/>
        <v>VIGENTE</v>
      </c>
      <c r="ER125" s="3"/>
      <c r="ES125" s="39">
        <v>46042</v>
      </c>
      <c r="ET125" s="4">
        <f>DATE(YEAR(ES125)+2,MONTH(ES125),DAY(ES125))</f>
        <v>46772</v>
      </c>
      <c r="EU125" s="8">
        <f t="shared" ca="1" si="294"/>
        <v>627</v>
      </c>
      <c r="EV125" s="5" t="str">
        <f t="shared" ca="1" si="295"/>
        <v>VIGENTE</v>
      </c>
      <c r="EW125" s="3"/>
      <c r="EX125" s="4">
        <v>45973</v>
      </c>
      <c r="EY125" s="4">
        <f>DATE(YEAR(EX125)+2,MONTH(EX125),DAY(EX125))</f>
        <v>46703</v>
      </c>
      <c r="EZ125" s="8">
        <f t="shared" ca="1" si="296"/>
        <v>558</v>
      </c>
      <c r="FA125" s="5" t="str">
        <f t="shared" ca="1" si="297"/>
        <v>VIGENTE</v>
      </c>
      <c r="FB125" s="3"/>
      <c r="FC125" s="4">
        <v>45931</v>
      </c>
      <c r="FD125" s="4">
        <f>DATE(YEAR(FC125)+2,MONTH(FC125),DAY(FC125))</f>
        <v>46661</v>
      </c>
      <c r="FE125" s="8">
        <f t="shared" ca="1" si="298"/>
        <v>516</v>
      </c>
      <c r="FF125" s="5" t="str">
        <f t="shared" ca="1" si="299"/>
        <v>VIGENTE</v>
      </c>
      <c r="FG125" s="3"/>
      <c r="FH125" s="4">
        <v>45969</v>
      </c>
      <c r="FI125" s="4">
        <f>DATE(YEAR(FH125)+2,MONTH(FH125),DAY(FH125))</f>
        <v>46699</v>
      </c>
      <c r="FJ125" s="8">
        <f t="shared" ca="1" si="300"/>
        <v>554</v>
      </c>
      <c r="FK125" s="5" t="str">
        <f t="shared" ca="1" si="301"/>
        <v>VIGENTE</v>
      </c>
      <c r="FL125" s="3"/>
      <c r="FM125" s="39">
        <v>45686</v>
      </c>
      <c r="FN125" s="4">
        <f t="shared" si="440"/>
        <v>46415</v>
      </c>
      <c r="FO125" s="8">
        <f t="shared" ca="1" si="302"/>
        <v>270</v>
      </c>
      <c r="FP125" s="5" t="str">
        <f t="shared" ca="1" si="303"/>
        <v>VIGENTE</v>
      </c>
      <c r="FQ125" s="3"/>
      <c r="FR125" s="39">
        <v>46132</v>
      </c>
      <c r="FS125" s="4">
        <f t="shared" si="441"/>
        <v>46862</v>
      </c>
      <c r="FT125" s="8">
        <f t="shared" ca="1" si="304"/>
        <v>717</v>
      </c>
      <c r="FU125" s="5" t="str">
        <f t="shared" ca="1" si="305"/>
        <v>VIGENTE</v>
      </c>
      <c r="FV125" s="3"/>
      <c r="FW125" s="4">
        <v>45574</v>
      </c>
      <c r="FX125" s="4">
        <f>DATE(YEAR(FW125)+2,MONTH(FW125),DAY(FW125)-1)</f>
        <v>46303</v>
      </c>
      <c r="FY125" s="8">
        <f t="shared" ca="1" si="306"/>
        <v>158</v>
      </c>
      <c r="FZ125" s="5" t="str">
        <f t="shared" ca="1" si="307"/>
        <v>VIGENTE</v>
      </c>
      <c r="GA125" s="3"/>
      <c r="GB125" s="4">
        <v>46030</v>
      </c>
      <c r="GC125" s="4">
        <f>DATE(YEAR(GB125)+2,MONTH(GB125),DAY(GB125))</f>
        <v>46760</v>
      </c>
      <c r="GD125" s="8">
        <f t="shared" ca="1" si="308"/>
        <v>615</v>
      </c>
      <c r="GE125" s="5" t="str">
        <f t="shared" ca="1" si="309"/>
        <v>VIGENTE</v>
      </c>
      <c r="GF125" s="3"/>
      <c r="GG125" s="4">
        <v>45672</v>
      </c>
      <c r="GH125" s="4">
        <f t="shared" si="442"/>
        <v>46401</v>
      </c>
      <c r="GI125" s="8">
        <f t="shared" ca="1" si="310"/>
        <v>256</v>
      </c>
      <c r="GJ125" s="5" t="str">
        <f t="shared" ca="1" si="311"/>
        <v>VIGENTE</v>
      </c>
      <c r="GK125" s="3"/>
      <c r="GL125" s="4">
        <v>45945</v>
      </c>
      <c r="GM125" s="4">
        <f>DATE(YEAR(GL125)+2,MONTH(GL125),DAY(GL125))</f>
        <v>46675</v>
      </c>
      <c r="GN125" s="8">
        <f t="shared" ca="1" si="312"/>
        <v>530</v>
      </c>
      <c r="GO125" s="5" t="str">
        <f t="shared" ca="1" si="313"/>
        <v>VIGENTE</v>
      </c>
      <c r="GP125" s="4"/>
      <c r="GQ125" s="4">
        <v>45265</v>
      </c>
      <c r="GR125" s="4">
        <f t="shared" si="314"/>
        <v>47092</v>
      </c>
      <c r="GS125" s="8">
        <f t="shared" ca="1" si="405"/>
        <v>947</v>
      </c>
      <c r="GT125" s="5" t="str">
        <f t="shared" ca="1" si="419"/>
        <v>VIGENTE</v>
      </c>
      <c r="GU125" s="3"/>
      <c r="GV125" s="4">
        <v>45245</v>
      </c>
      <c r="GW125" s="4">
        <f t="shared" si="316"/>
        <v>47072</v>
      </c>
      <c r="GX125" s="8">
        <f t="shared" ca="1" si="317"/>
        <v>927</v>
      </c>
      <c r="GY125" s="5" t="str">
        <f t="shared" ca="1" si="426"/>
        <v>VIGENTE</v>
      </c>
      <c r="GZ125" s="3"/>
      <c r="HA125" s="4">
        <v>45251</v>
      </c>
      <c r="HB125" s="4">
        <f t="shared" si="319"/>
        <v>47078</v>
      </c>
      <c r="HC125" s="8">
        <f t="shared" ca="1" si="320"/>
        <v>933</v>
      </c>
      <c r="HD125" s="5" t="str">
        <f t="shared" ca="1" si="421"/>
        <v>VIGENTE</v>
      </c>
      <c r="HE125" s="6"/>
      <c r="HF125" s="4">
        <v>44865</v>
      </c>
      <c r="HG125" s="4">
        <f t="shared" si="428"/>
        <v>46691</v>
      </c>
      <c r="HH125" s="8">
        <f t="shared" ca="1" si="429"/>
        <v>546</v>
      </c>
      <c r="HI125" s="5" t="str">
        <f t="shared" ca="1" si="427"/>
        <v>VIGENTE</v>
      </c>
      <c r="HJ125" s="3"/>
      <c r="HK125" s="4">
        <v>45341</v>
      </c>
      <c r="HL125" s="4">
        <f>DATE(YEAR(HK125)+5,MONTH(HK125),DAY(HK125))</f>
        <v>47168</v>
      </c>
      <c r="HM125" s="8">
        <f ca="1">HL125-TODAY()</f>
        <v>1023</v>
      </c>
      <c r="HN125" s="5" t="str">
        <f t="shared" ref="HN125:HN187" ca="1" si="444">IF(HM125&gt;=61,"VIGENTE",IF(HM125&gt;=1,"POR VENCER",IF(HM125&lt;=-1,"VENCIDA",IF(HK125=0,"NO APLICA"))))</f>
        <v>VIGENTE</v>
      </c>
      <c r="HO125" s="2"/>
      <c r="HP125" s="3">
        <v>45374</v>
      </c>
      <c r="HQ125" s="4">
        <f>DATE(YEAR(HP125)+5,MONTH(HP125),DAY(HP125))</f>
        <v>47200</v>
      </c>
      <c r="HR125" s="8">
        <f ca="1">HQ125-TODAY()</f>
        <v>1055</v>
      </c>
      <c r="HS125" s="5" t="str">
        <f t="shared" ca="1" si="322"/>
        <v>VIGENTE</v>
      </c>
      <c r="HT125" s="3"/>
      <c r="HU125" s="4">
        <v>45274</v>
      </c>
      <c r="HV125" s="4">
        <f>DATE(YEAR(HU125)+5,MONTH(HU125),DAY(HU125))</f>
        <v>47101</v>
      </c>
      <c r="HW125" s="8">
        <f ca="1">HV125-TODAY()</f>
        <v>956</v>
      </c>
      <c r="HX125" s="5" t="str">
        <f t="shared" ca="1" si="323"/>
        <v>VIGENTE</v>
      </c>
      <c r="HY125" s="3"/>
      <c r="HZ125" s="4">
        <v>45223</v>
      </c>
      <c r="IA125" s="4">
        <f>DATE(YEAR(HZ125)+5,MONTH(HZ125),DAY(HZ125))</f>
        <v>47050</v>
      </c>
      <c r="IB125" s="8">
        <f ca="1">IA125-TODAY()</f>
        <v>905</v>
      </c>
      <c r="IC125" s="5" t="str">
        <f t="shared" ca="1" si="324"/>
        <v>VIGENTE</v>
      </c>
      <c r="ID125" s="3"/>
      <c r="IE125" s="4">
        <v>45444</v>
      </c>
      <c r="IF125" s="4">
        <f>DATE(YEAR(IE125)+5,MONTH(IE125),DAY(IE125))</f>
        <v>47270</v>
      </c>
      <c r="IG125" s="8">
        <f ca="1">IF125-TODAY()</f>
        <v>1125</v>
      </c>
      <c r="IH125" s="5" t="str">
        <f t="shared" ca="1" si="325"/>
        <v>VIGENTE</v>
      </c>
      <c r="II125" s="4"/>
      <c r="IJ125" s="4">
        <v>45266</v>
      </c>
      <c r="IK125" s="4">
        <f>DATE(YEAR(IJ125)+5,MONTH(IJ125),DAY(IJ125))</f>
        <v>47093</v>
      </c>
      <c r="IL125" s="8">
        <f ca="1">IK125-TODAY()</f>
        <v>948</v>
      </c>
      <c r="IM125" s="5" t="str">
        <f t="shared" ca="1" si="326"/>
        <v>VIGENTE</v>
      </c>
      <c r="IN125" s="3"/>
      <c r="IO125" s="4">
        <v>45273</v>
      </c>
      <c r="IP125" s="4">
        <f>DATE(YEAR(IO125)+5,MONTH(IO125),DAY(IO125))</f>
        <v>47100</v>
      </c>
      <c r="IQ125" s="8">
        <f ca="1">IP125-TODAY()</f>
        <v>955</v>
      </c>
      <c r="IR125" s="5" t="str">
        <f t="shared" ca="1" si="327"/>
        <v>VIGENTE</v>
      </c>
      <c r="IS125" s="3"/>
      <c r="IT125" s="4">
        <v>45471</v>
      </c>
      <c r="IU125" s="4">
        <f>DATE(YEAR(IT125)+5,MONTH(IT125),DAY(IT125))</f>
        <v>47297</v>
      </c>
      <c r="IV125" s="8">
        <f ca="1">IU125-TODAY()</f>
        <v>1152</v>
      </c>
      <c r="IW125" s="5" t="str">
        <f t="shared" ca="1" si="328"/>
        <v>VIGENTE</v>
      </c>
      <c r="IX125" s="3"/>
      <c r="IY125" s="4">
        <v>45224</v>
      </c>
      <c r="IZ125" s="4">
        <f>DATE(YEAR(IY125)+5,MONTH(IY125),DAY(IY125))</f>
        <v>47051</v>
      </c>
      <c r="JA125" s="8">
        <f ca="1">IZ125-TODAY()</f>
        <v>906</v>
      </c>
      <c r="JB125" s="5" t="str">
        <f t="shared" ca="1" si="329"/>
        <v>VIGENTE</v>
      </c>
      <c r="JC125" s="3" t="s">
        <v>780</v>
      </c>
      <c r="JD125" s="3"/>
      <c r="JE125" s="4"/>
      <c r="JF125" s="8"/>
      <c r="JG125" s="5"/>
      <c r="JH125" s="3" t="s">
        <v>780</v>
      </c>
      <c r="JI125" s="6"/>
      <c r="JJ125" s="6"/>
      <c r="JK125" s="6"/>
      <c r="JL125" s="5"/>
      <c r="JM125" s="6" t="s">
        <v>780</v>
      </c>
      <c r="JN125" s="6"/>
      <c r="JO125" s="6"/>
      <c r="JP125" s="6"/>
      <c r="JQ125" s="5"/>
      <c r="JR125" s="6" t="s">
        <v>780</v>
      </c>
      <c r="JS125" s="6"/>
      <c r="JT125" s="6"/>
      <c r="JU125" s="6"/>
      <c r="JV125" s="5"/>
      <c r="JW125" s="6" t="s">
        <v>780</v>
      </c>
      <c r="JX125" s="5"/>
      <c r="JY125" s="5"/>
      <c r="JZ125" s="5"/>
      <c r="KA125" s="5"/>
      <c r="KB125" s="5"/>
      <c r="KC125" s="2"/>
      <c r="KD125" s="4"/>
      <c r="KE125" s="8"/>
      <c r="KF125" s="5" t="str">
        <f t="shared" si="330"/>
        <v>NO APLICA</v>
      </c>
      <c r="KG125" s="5"/>
      <c r="KH125" s="2"/>
      <c r="KI125" s="4"/>
      <c r="KJ125" s="8"/>
      <c r="KK125" s="5" t="str">
        <f t="shared" si="356"/>
        <v>NO APLICA</v>
      </c>
      <c r="KL125" s="5"/>
      <c r="KM125" s="2"/>
      <c r="KN125" s="4"/>
      <c r="KO125" s="8"/>
      <c r="KP125" s="5" t="str">
        <f t="shared" si="331"/>
        <v>NO APLICA</v>
      </c>
      <c r="KQ125" s="5"/>
      <c r="KR125" s="2"/>
      <c r="KS125" s="4"/>
      <c r="KT125" s="8"/>
      <c r="KU125" s="5" t="str">
        <f t="shared" si="357"/>
        <v>NO APLICA</v>
      </c>
      <c r="KV125" s="3"/>
      <c r="KW125" s="4">
        <v>44649</v>
      </c>
      <c r="KX125" s="4">
        <f>DATE(YEAR(KW125)+5,MONTH(KW125),DAY(KW125))</f>
        <v>46475</v>
      </c>
      <c r="KY125" s="8">
        <f ca="1">KX125-TODAY()</f>
        <v>330</v>
      </c>
      <c r="KZ125" s="5" t="str">
        <f t="shared" ca="1" si="366"/>
        <v>VIGENTE</v>
      </c>
      <c r="LA125" s="5"/>
      <c r="LB125" s="6"/>
      <c r="LC125" s="4"/>
      <c r="LD125" s="8"/>
      <c r="LE125" s="5" t="str">
        <f t="shared" si="358"/>
        <v>NO APLICA</v>
      </c>
      <c r="LF125" s="4"/>
      <c r="LG125" s="4"/>
      <c r="LH125" s="4"/>
      <c r="LI125" s="8"/>
      <c r="LJ125" s="5" t="str">
        <f t="shared" si="332"/>
        <v>NO APLICA</v>
      </c>
      <c r="LK125" s="5"/>
      <c r="LL125" s="5"/>
      <c r="LM125" s="4"/>
      <c r="LN125" s="8"/>
      <c r="LO125" s="5" t="str">
        <f t="shared" si="367"/>
        <v>NO APLICA</v>
      </c>
      <c r="LP125" s="2"/>
      <c r="LQ125" s="6"/>
      <c r="LR125" s="4"/>
      <c r="LS125" s="8"/>
      <c r="LT125" s="5" t="str">
        <f t="shared" si="359"/>
        <v>NO APLICA</v>
      </c>
      <c r="LU125" s="6"/>
      <c r="LV125" s="6"/>
      <c r="LW125" s="4"/>
      <c r="LX125" s="8"/>
      <c r="LY125" s="5" t="str">
        <f t="shared" si="360"/>
        <v>NO APLICA</v>
      </c>
      <c r="LZ125" s="6"/>
      <c r="MA125" s="6"/>
      <c r="MB125" s="4"/>
      <c r="MC125" s="8"/>
      <c r="MD125" s="5" t="str">
        <f t="shared" si="361"/>
        <v>NO APLICA</v>
      </c>
      <c r="ME125" s="2"/>
      <c r="MF125" s="2"/>
      <c r="MG125" s="4"/>
      <c r="MH125" s="8"/>
      <c r="MI125" s="5" t="str">
        <f t="shared" si="333"/>
        <v>NO APLICA</v>
      </c>
      <c r="MJ125" s="2"/>
      <c r="MK125" s="2"/>
      <c r="ML125" s="4"/>
      <c r="MM125" s="8"/>
      <c r="MN125" s="5" t="str">
        <f t="shared" si="334"/>
        <v>NO APLICA</v>
      </c>
      <c r="MO125" s="5"/>
      <c r="MP125" s="2"/>
      <c r="MQ125" s="4"/>
      <c r="MR125" s="8"/>
      <c r="MS125" s="5" t="str">
        <f t="shared" si="335"/>
        <v>NO APLICA</v>
      </c>
      <c r="MT125" s="5"/>
      <c r="MU125" s="2"/>
      <c r="MV125" s="4"/>
      <c r="MW125" s="2"/>
      <c r="MX125" s="5" t="str">
        <f t="shared" si="336"/>
        <v>NO APLICA</v>
      </c>
      <c r="MY125" s="2"/>
      <c r="MZ125" s="6"/>
      <c r="NA125" s="4"/>
      <c r="NB125" s="8"/>
      <c r="NC125" s="5" t="str">
        <f t="shared" si="337"/>
        <v>NO APLICA</v>
      </c>
      <c r="ND125" s="2"/>
      <c r="NE125" s="6"/>
      <c r="NF125" s="4"/>
      <c r="NG125" s="8"/>
      <c r="NH125" s="5" t="str">
        <f t="shared" si="338"/>
        <v>NO APLICA</v>
      </c>
      <c r="NI125" s="2"/>
      <c r="NJ125" s="6"/>
      <c r="NK125" s="4"/>
      <c r="NL125" s="8"/>
      <c r="NM125" s="5" t="str">
        <f t="shared" si="339"/>
        <v>NO APLICA</v>
      </c>
      <c r="NN125" s="2"/>
      <c r="NO125" s="2"/>
      <c r="NP125" s="4"/>
      <c r="NQ125" s="2"/>
      <c r="NR125" s="5" t="str">
        <f t="shared" si="340"/>
        <v>NO APLICA</v>
      </c>
      <c r="NS125" s="2"/>
      <c r="NT125" s="2"/>
      <c r="NU125" s="4"/>
      <c r="NV125" s="2"/>
      <c r="NW125" s="5" t="str">
        <f t="shared" si="341"/>
        <v>NO APLICA</v>
      </c>
      <c r="NX125" s="6"/>
      <c r="NY125" s="6"/>
      <c r="NZ125" s="4"/>
      <c r="OA125" s="8"/>
      <c r="OB125" s="5" t="str">
        <f t="shared" si="342"/>
        <v>NO APLICA</v>
      </c>
      <c r="OC125" s="6"/>
      <c r="OD125" s="6"/>
      <c r="OE125" s="6"/>
      <c r="OF125" s="6"/>
      <c r="OG125" s="5" t="str">
        <f t="shared" si="343"/>
        <v>NO APLICA</v>
      </c>
      <c r="OH125" s="2"/>
      <c r="OI125" s="2"/>
      <c r="OJ125" s="4"/>
      <c r="OK125" s="8"/>
      <c r="OL125" s="5" t="str">
        <f t="shared" si="344"/>
        <v>NO APLICA</v>
      </c>
      <c r="OM125" s="6"/>
      <c r="ON125" s="6"/>
      <c r="OO125" s="6"/>
      <c r="OP125" s="6"/>
      <c r="OQ125" s="5" t="str">
        <f t="shared" si="345"/>
        <v>NO APLICA</v>
      </c>
      <c r="OR125" s="6"/>
      <c r="OS125" s="6"/>
      <c r="OT125" s="6"/>
      <c r="OU125" s="6"/>
      <c r="OV125" s="5" t="str">
        <f t="shared" si="346"/>
        <v>NO APLICA</v>
      </c>
      <c r="OW125" s="6"/>
      <c r="OX125" s="6"/>
      <c r="OY125" s="6"/>
      <c r="OZ125" s="6"/>
      <c r="PA125" s="5" t="str">
        <f t="shared" si="347"/>
        <v>NO APLICA</v>
      </c>
      <c r="PB125" s="6"/>
      <c r="PC125" s="6"/>
      <c r="PD125" s="6"/>
      <c r="PE125" s="6"/>
      <c r="PF125" s="5" t="str">
        <f t="shared" si="348"/>
        <v>NO APLICA</v>
      </c>
      <c r="PG125" s="6"/>
      <c r="PH125" s="6"/>
      <c r="PI125" s="6"/>
      <c r="PJ125" s="6"/>
      <c r="PK125" s="5" t="str">
        <f t="shared" si="349"/>
        <v>NO APLICA</v>
      </c>
      <c r="PL125" s="5"/>
      <c r="PM125" s="6"/>
      <c r="PN125" s="4"/>
      <c r="PO125" s="8"/>
      <c r="PP125" s="5" t="str">
        <f t="shared" si="350"/>
        <v>NO APLICA</v>
      </c>
      <c r="PQ125" s="6"/>
      <c r="PR125" s="6"/>
      <c r="PS125" s="6"/>
      <c r="PT125" s="6"/>
      <c r="PU125" s="5" t="str">
        <f t="shared" si="351"/>
        <v>NO APLICA</v>
      </c>
      <c r="PV125" s="5"/>
      <c r="PW125" s="6"/>
      <c r="PX125" s="6"/>
      <c r="PY125" s="6"/>
      <c r="PZ125" s="5" t="str">
        <f t="shared" si="352"/>
        <v>NO APLICA</v>
      </c>
    </row>
    <row r="126" spans="1:442" ht="15.6" hidden="1" thickTop="1" thickBot="1" x14ac:dyDescent="0.35">
      <c r="A126" s="26">
        <v>123</v>
      </c>
      <c r="B126" s="27">
        <v>781</v>
      </c>
      <c r="C126" s="28" t="s">
        <v>418</v>
      </c>
      <c r="D126" s="29" t="s">
        <v>68</v>
      </c>
      <c r="E126" s="30" t="s">
        <v>129</v>
      </c>
      <c r="F126" s="2"/>
      <c r="G126" s="6"/>
      <c r="H126" s="4"/>
      <c r="I126" s="8"/>
      <c r="J126" s="5" t="str">
        <f t="shared" si="242"/>
        <v>NO APLICA</v>
      </c>
      <c r="K126" s="5"/>
      <c r="L126" s="6"/>
      <c r="M126" s="6"/>
      <c r="N126" s="8"/>
      <c r="O126" s="5" t="str">
        <f t="shared" si="243"/>
        <v>NO APLICA</v>
      </c>
      <c r="P126" s="6"/>
      <c r="Q126" s="6"/>
      <c r="R126" s="4"/>
      <c r="S126" s="8"/>
      <c r="T126" s="5" t="str">
        <f t="shared" si="353"/>
        <v>NO APLICA</v>
      </c>
      <c r="U126" s="5"/>
      <c r="V126" s="2" t="s">
        <v>419</v>
      </c>
      <c r="W126" s="4">
        <v>44790</v>
      </c>
      <c r="X126" s="4">
        <f t="shared" si="410"/>
        <v>46616</v>
      </c>
      <c r="Y126" s="8">
        <f t="shared" ca="1" si="411"/>
        <v>471</v>
      </c>
      <c r="Z126" s="5" t="str">
        <f t="shared" ca="1" si="412"/>
        <v>VIGENTE</v>
      </c>
      <c r="AA126" s="5"/>
      <c r="AB126" s="2" t="s">
        <v>420</v>
      </c>
      <c r="AC126" s="4">
        <v>44826</v>
      </c>
      <c r="AD126" s="4">
        <f t="shared" si="430"/>
        <v>46652</v>
      </c>
      <c r="AE126" s="8">
        <f t="shared" ca="1" si="431"/>
        <v>507</v>
      </c>
      <c r="AF126" s="5" t="str">
        <f t="shared" ca="1" si="247"/>
        <v>VIGENTE</v>
      </c>
      <c r="AG126" s="3"/>
      <c r="AH126" s="3">
        <v>45594</v>
      </c>
      <c r="AI126" s="4">
        <f t="shared" si="432"/>
        <v>46323</v>
      </c>
      <c r="AJ126" s="8">
        <f t="shared" ca="1" si="248"/>
        <v>178</v>
      </c>
      <c r="AK126" s="5" t="str">
        <f t="shared" ca="1" si="408"/>
        <v>VIGENTE</v>
      </c>
      <c r="AL126" s="4"/>
      <c r="AM126" s="4">
        <v>45926</v>
      </c>
      <c r="AN126" s="4">
        <f>DATE(YEAR(AM126)+2,MONTH(AM126),DAY(AM126))</f>
        <v>46656</v>
      </c>
      <c r="AO126" s="8">
        <f t="shared" ca="1" si="249"/>
        <v>511</v>
      </c>
      <c r="AP126" s="5" t="str">
        <f t="shared" ca="1" si="250"/>
        <v>VIGENTE</v>
      </c>
      <c r="AQ126" s="3"/>
      <c r="AR126" s="4">
        <v>45967</v>
      </c>
      <c r="AS126" s="4">
        <f>DATE(YEAR(AR126)+2,MONTH(AR126),DAY(AR126))</f>
        <v>46697</v>
      </c>
      <c r="AT126" s="8">
        <f t="shared" ca="1" si="251"/>
        <v>552</v>
      </c>
      <c r="AU126" s="5" t="str">
        <f t="shared" ca="1" si="252"/>
        <v>VIGENTE</v>
      </c>
      <c r="AV126" s="3"/>
      <c r="AW126" s="4">
        <v>45952</v>
      </c>
      <c r="AX126" s="4">
        <f>DATE(YEAR(AW126)+2,MONTH(AW126),DAY(AW126))</f>
        <v>46682</v>
      </c>
      <c r="AY126" s="8">
        <f t="shared" ca="1" si="253"/>
        <v>537</v>
      </c>
      <c r="AZ126" s="5" t="str">
        <f t="shared" ca="1" si="254"/>
        <v>VIGENTE</v>
      </c>
      <c r="BA126" s="3"/>
      <c r="BB126" s="4">
        <v>45603</v>
      </c>
      <c r="BC126" s="4">
        <f>DATE(YEAR(BB126)+2,MONTH(BB126),DAY(BB126)-1)</f>
        <v>46332</v>
      </c>
      <c r="BD126" s="8">
        <f t="shared" ca="1" si="255"/>
        <v>187</v>
      </c>
      <c r="BE126" s="5" t="str">
        <f t="shared" ca="1" si="256"/>
        <v>VIGENTE</v>
      </c>
      <c r="BF126" s="3"/>
      <c r="BG126" s="4">
        <v>45968</v>
      </c>
      <c r="BH126" s="4">
        <f t="shared" si="443"/>
        <v>46698</v>
      </c>
      <c r="BI126" s="8">
        <f t="shared" ca="1" si="257"/>
        <v>553</v>
      </c>
      <c r="BJ126" s="5" t="str">
        <f t="shared" ca="1" si="258"/>
        <v>VIGENTE</v>
      </c>
      <c r="BK126" s="3"/>
      <c r="BL126" s="4">
        <v>46056</v>
      </c>
      <c r="BM126" s="4">
        <f>DATE(YEAR(BL126)+2,MONTH(BL126),DAY(BL126))</f>
        <v>46786</v>
      </c>
      <c r="BN126" s="8">
        <f t="shared" ca="1" si="259"/>
        <v>641</v>
      </c>
      <c r="BO126" s="5" t="str">
        <f t="shared" ca="1" si="260"/>
        <v>VIGENTE</v>
      </c>
      <c r="BP126" s="3"/>
      <c r="BQ126" s="39">
        <v>46120</v>
      </c>
      <c r="BR126" s="4">
        <f>DATE(YEAR(BQ126)+2,MONTH(BQ126),DAY(BQ126)-1)</f>
        <v>46850</v>
      </c>
      <c r="BS126" s="8">
        <f t="shared" ca="1" si="261"/>
        <v>705</v>
      </c>
      <c r="BT126" s="5" t="str">
        <f t="shared" ca="1" si="262"/>
        <v>VIGENTE</v>
      </c>
      <c r="BU126" s="3"/>
      <c r="BV126" s="4">
        <v>46116</v>
      </c>
      <c r="BW126" s="4">
        <f>DATE(YEAR(BV126)+2,MONTH(BV126),DAY(BV126)-1)</f>
        <v>46846</v>
      </c>
      <c r="BX126" s="8">
        <f t="shared" ca="1" si="263"/>
        <v>701</v>
      </c>
      <c r="BY126" s="5" t="str">
        <f t="shared" ca="1" si="264"/>
        <v>VIGENTE</v>
      </c>
      <c r="BZ126" s="3"/>
      <c r="CA126" s="4">
        <v>45480</v>
      </c>
      <c r="CB126" s="4">
        <f>DATE(YEAR(CA126)+2,MONTH(CA126),DAY(CA126)-1)</f>
        <v>46209</v>
      </c>
      <c r="CC126" s="8">
        <f t="shared" ca="1" si="265"/>
        <v>64</v>
      </c>
      <c r="CD126" s="5" t="str">
        <f t="shared" ca="1" si="266"/>
        <v>POR VENCER</v>
      </c>
      <c r="CE126" s="6"/>
      <c r="CF126" s="4">
        <v>45211</v>
      </c>
      <c r="CG126" s="4">
        <f t="shared" si="416"/>
        <v>46672</v>
      </c>
      <c r="CH126" s="8">
        <f t="shared" ca="1" si="417"/>
        <v>527</v>
      </c>
      <c r="CI126" s="5" t="str">
        <f t="shared" ca="1" si="418"/>
        <v>VIGENTE</v>
      </c>
      <c r="CJ126" s="4"/>
      <c r="CK126" s="4">
        <v>45504</v>
      </c>
      <c r="CL126" s="4">
        <f t="shared" si="433"/>
        <v>46233</v>
      </c>
      <c r="CM126" s="8">
        <f t="shared" ca="1" si="270"/>
        <v>88</v>
      </c>
      <c r="CN126" s="5" t="str">
        <f t="shared" ca="1" si="271"/>
        <v>POR VENCER</v>
      </c>
      <c r="CO126" s="3"/>
      <c r="CP126" s="39">
        <v>45513</v>
      </c>
      <c r="CQ126" s="4">
        <f t="shared" si="434"/>
        <v>46242</v>
      </c>
      <c r="CR126" s="8">
        <f t="shared" ca="1" si="272"/>
        <v>97</v>
      </c>
      <c r="CS126" s="5" t="str">
        <f t="shared" ca="1" si="273"/>
        <v>VIGENTE</v>
      </c>
      <c r="CT126" s="3"/>
      <c r="CU126" s="4">
        <v>45645</v>
      </c>
      <c r="CV126" s="4">
        <f t="shared" si="435"/>
        <v>46374</v>
      </c>
      <c r="CW126" s="8">
        <f t="shared" ca="1" si="274"/>
        <v>229</v>
      </c>
      <c r="CX126" s="5" t="str">
        <f t="shared" ca="1" si="275"/>
        <v>VIGENTE</v>
      </c>
      <c r="CY126" s="3"/>
      <c r="CZ126" s="4">
        <v>45661</v>
      </c>
      <c r="DA126" s="4">
        <f>DATE(YEAR(CZ126)+2,MONTH(CZ126),DAY(CZ126)-1)</f>
        <v>46390</v>
      </c>
      <c r="DB126" s="8">
        <f t="shared" ca="1" si="276"/>
        <v>245</v>
      </c>
      <c r="DC126" s="5" t="str">
        <f t="shared" ca="1" si="277"/>
        <v>VIGENTE</v>
      </c>
      <c r="DD126" s="3"/>
      <c r="DE126" s="39">
        <v>45689</v>
      </c>
      <c r="DF126" s="4">
        <f t="shared" si="436"/>
        <v>46418</v>
      </c>
      <c r="DG126" s="8">
        <f t="shared" ca="1" si="278"/>
        <v>273</v>
      </c>
      <c r="DH126" s="5" t="str">
        <f t="shared" ca="1" si="279"/>
        <v>VIGENTE</v>
      </c>
      <c r="DI126" s="3"/>
      <c r="DJ126" s="39">
        <v>45696</v>
      </c>
      <c r="DK126" s="4">
        <f>DATE(YEAR(DJ126)+2,MONTH(DJ126),DAY(DJ126)-1)</f>
        <v>46425</v>
      </c>
      <c r="DL126" s="8">
        <f t="shared" ca="1" si="280"/>
        <v>280</v>
      </c>
      <c r="DM126" s="5" t="str">
        <f t="shared" ca="1" si="281"/>
        <v>VIGENTE</v>
      </c>
      <c r="DN126" s="3"/>
      <c r="DO126" s="4">
        <v>45520</v>
      </c>
      <c r="DP126" s="4">
        <f>DATE(YEAR(DO126)+2,MONTH(DO126),DAY(DO126)-1)</f>
        <v>46249</v>
      </c>
      <c r="DQ126" s="8">
        <f t="shared" ca="1" si="282"/>
        <v>104</v>
      </c>
      <c r="DR126" s="5" t="str">
        <f t="shared" ca="1" si="283"/>
        <v>VIGENTE</v>
      </c>
      <c r="DS126" s="3"/>
      <c r="DT126" s="4">
        <v>45685</v>
      </c>
      <c r="DU126" s="4">
        <f>DATE(YEAR(DT126)+2,MONTH(DT126),DAY(DT126)-1)</f>
        <v>46414</v>
      </c>
      <c r="DV126" s="8">
        <f t="shared" ca="1" si="284"/>
        <v>269</v>
      </c>
      <c r="DW126" s="5" t="str">
        <f t="shared" ca="1" si="285"/>
        <v>VIGENTE</v>
      </c>
      <c r="DX126" s="3"/>
      <c r="DY126" s="4">
        <v>45663</v>
      </c>
      <c r="DZ126" s="4">
        <f t="shared" si="437"/>
        <v>46392</v>
      </c>
      <c r="EA126" s="8">
        <f t="shared" ca="1" si="286"/>
        <v>247</v>
      </c>
      <c r="EB126" s="5" t="str">
        <f t="shared" ca="1" si="287"/>
        <v>VIGENTE</v>
      </c>
      <c r="EC126" s="3"/>
      <c r="ED126" s="39">
        <v>45674</v>
      </c>
      <c r="EE126" s="4">
        <f t="shared" si="438"/>
        <v>46403</v>
      </c>
      <c r="EF126" s="8">
        <f t="shared" ca="1" si="288"/>
        <v>258</v>
      </c>
      <c r="EG126" s="5" t="str">
        <f t="shared" ca="1" si="289"/>
        <v>VIGENTE</v>
      </c>
      <c r="EH126" s="3"/>
      <c r="EI126" s="4">
        <v>46115</v>
      </c>
      <c r="EJ126" s="4">
        <f t="shared" si="355"/>
        <v>46480</v>
      </c>
      <c r="EK126" s="8">
        <f t="shared" ca="1" si="290"/>
        <v>335</v>
      </c>
      <c r="EL126" s="5" t="str">
        <f t="shared" ca="1" si="291"/>
        <v>VIGENTE</v>
      </c>
      <c r="EM126" s="3"/>
      <c r="EN126" s="4">
        <v>45660</v>
      </c>
      <c r="EO126" s="4">
        <f t="shared" si="439"/>
        <v>46389</v>
      </c>
      <c r="EP126" s="8">
        <f t="shared" ca="1" si="292"/>
        <v>244</v>
      </c>
      <c r="EQ126" s="5" t="str">
        <f t="shared" ca="1" si="293"/>
        <v>VIGENTE</v>
      </c>
      <c r="ER126" s="2"/>
      <c r="ES126" s="39">
        <v>45755</v>
      </c>
      <c r="ET126" s="4">
        <f>DATE(YEAR(ES126)+2,MONTH(ES126),DAY(ES126)-1)</f>
        <v>46484</v>
      </c>
      <c r="EU126" s="8">
        <f t="shared" ca="1" si="294"/>
        <v>339</v>
      </c>
      <c r="EV126" s="5" t="str">
        <f t="shared" ca="1" si="295"/>
        <v>VIGENTE</v>
      </c>
      <c r="EW126" s="3"/>
      <c r="EX126" s="4">
        <v>45694</v>
      </c>
      <c r="EY126" s="4">
        <f>DATE(YEAR(EX126)+2,MONTH(EX126),DAY(EX126)-1)</f>
        <v>46423</v>
      </c>
      <c r="EZ126" s="8">
        <f t="shared" ca="1" si="296"/>
        <v>278</v>
      </c>
      <c r="FA126" s="5" t="str">
        <f t="shared" ca="1" si="297"/>
        <v>VIGENTE</v>
      </c>
      <c r="FB126" s="3"/>
      <c r="FC126" s="4">
        <v>45632</v>
      </c>
      <c r="FD126" s="4">
        <f>DATE(YEAR(FC126)+2,MONTH(FC126),DAY(FC126)-1)</f>
        <v>46361</v>
      </c>
      <c r="FE126" s="8">
        <f t="shared" ca="1" si="298"/>
        <v>216</v>
      </c>
      <c r="FF126" s="5" t="str">
        <f t="shared" ca="1" si="299"/>
        <v>VIGENTE</v>
      </c>
      <c r="FG126" s="3"/>
      <c r="FH126" s="4">
        <v>45668</v>
      </c>
      <c r="FI126" s="4">
        <f>DATE(YEAR(FH126)+2,MONTH(FH126),DAY(FH126)-1)</f>
        <v>46397</v>
      </c>
      <c r="FJ126" s="8">
        <f t="shared" ca="1" si="300"/>
        <v>252</v>
      </c>
      <c r="FK126" s="5" t="str">
        <f t="shared" ca="1" si="301"/>
        <v>VIGENTE</v>
      </c>
      <c r="FL126" s="3"/>
      <c r="FM126" s="39">
        <v>45576</v>
      </c>
      <c r="FN126" s="4">
        <f t="shared" si="440"/>
        <v>46305</v>
      </c>
      <c r="FO126" s="8">
        <f t="shared" ca="1" si="302"/>
        <v>160</v>
      </c>
      <c r="FP126" s="5" t="str">
        <f t="shared" ca="1" si="303"/>
        <v>VIGENTE</v>
      </c>
      <c r="FQ126" s="3"/>
      <c r="FR126" s="39">
        <v>45664</v>
      </c>
      <c r="FS126" s="4">
        <f t="shared" si="441"/>
        <v>46393</v>
      </c>
      <c r="FT126" s="8">
        <f t="shared" ca="1" si="304"/>
        <v>248</v>
      </c>
      <c r="FU126" s="5" t="str">
        <f t="shared" ca="1" si="305"/>
        <v>VIGENTE</v>
      </c>
      <c r="FV126" s="3"/>
      <c r="FW126" s="4">
        <v>45616</v>
      </c>
      <c r="FX126" s="4">
        <f>DATE(YEAR(FW126)+2,MONTH(FW126),DAY(FW126)-1)</f>
        <v>46345</v>
      </c>
      <c r="FY126" s="8">
        <f t="shared" ca="1" si="306"/>
        <v>200</v>
      </c>
      <c r="FZ126" s="5" t="str">
        <f t="shared" ca="1" si="307"/>
        <v>VIGENTE</v>
      </c>
      <c r="GA126" s="3"/>
      <c r="GB126" s="4">
        <v>45667</v>
      </c>
      <c r="GC126" s="4">
        <f>DATE(YEAR(GB126)+2,MONTH(GB126),DAY(GB126)-1)</f>
        <v>46396</v>
      </c>
      <c r="GD126" s="8">
        <f t="shared" ca="1" si="308"/>
        <v>251</v>
      </c>
      <c r="GE126" s="5" t="str">
        <f t="shared" ca="1" si="309"/>
        <v>VIGENTE</v>
      </c>
      <c r="GF126" s="3"/>
      <c r="GG126" s="4">
        <v>45672</v>
      </c>
      <c r="GH126" s="4">
        <f t="shared" si="442"/>
        <v>46401</v>
      </c>
      <c r="GI126" s="8">
        <f t="shared" ca="1" si="310"/>
        <v>256</v>
      </c>
      <c r="GJ126" s="5" t="str">
        <f t="shared" ca="1" si="311"/>
        <v>VIGENTE</v>
      </c>
      <c r="GK126" s="4"/>
      <c r="GL126" s="4">
        <v>45945</v>
      </c>
      <c r="GM126" s="4">
        <f>DATE(YEAR(GL126)+2,MONTH(GL126),DAY(GL126))</f>
        <v>46675</v>
      </c>
      <c r="GN126" s="8">
        <f t="shared" ca="1" si="312"/>
        <v>530</v>
      </c>
      <c r="GO126" s="5" t="str">
        <f t="shared" ca="1" si="313"/>
        <v>VIGENTE</v>
      </c>
      <c r="GP126" s="4"/>
      <c r="GQ126" s="4">
        <v>45013</v>
      </c>
      <c r="GR126" s="4">
        <f t="shared" si="314"/>
        <v>46840</v>
      </c>
      <c r="GS126" s="8">
        <f t="shared" ca="1" si="405"/>
        <v>695</v>
      </c>
      <c r="GT126" s="5" t="str">
        <f t="shared" ca="1" si="419"/>
        <v>VIGENTE</v>
      </c>
      <c r="GU126" s="3"/>
      <c r="GV126" s="4">
        <v>45478</v>
      </c>
      <c r="GW126" s="4">
        <f t="shared" si="316"/>
        <v>47304</v>
      </c>
      <c r="GX126" s="8">
        <f t="shared" ca="1" si="317"/>
        <v>1159</v>
      </c>
      <c r="GY126" s="5" t="str">
        <f t="shared" ca="1" si="426"/>
        <v>VIGENTE</v>
      </c>
      <c r="GZ126" s="2"/>
      <c r="HA126" s="4">
        <v>45016</v>
      </c>
      <c r="HB126" s="4">
        <f t="shared" si="319"/>
        <v>46843</v>
      </c>
      <c r="HC126" s="8">
        <f t="shared" ca="1" si="320"/>
        <v>698</v>
      </c>
      <c r="HD126" s="5" t="str">
        <f t="shared" ca="1" si="421"/>
        <v>VIGENTE</v>
      </c>
      <c r="HE126" s="6"/>
      <c r="HF126" s="4">
        <v>45094</v>
      </c>
      <c r="HG126" s="4">
        <f t="shared" si="428"/>
        <v>46921</v>
      </c>
      <c r="HH126" s="8">
        <f t="shared" ca="1" si="429"/>
        <v>776</v>
      </c>
      <c r="HI126" s="5" t="str">
        <f t="shared" ca="1" si="427"/>
        <v>VIGENTE</v>
      </c>
      <c r="HJ126" s="2"/>
      <c r="HK126" s="6"/>
      <c r="HL126" s="4"/>
      <c r="HM126" s="8"/>
      <c r="HN126" s="5" t="str">
        <f t="shared" si="444"/>
        <v>NO APLICA</v>
      </c>
      <c r="HO126" s="2"/>
      <c r="HP126" s="2"/>
      <c r="HQ126" s="4"/>
      <c r="HR126" s="2"/>
      <c r="HS126" s="5" t="str">
        <f t="shared" si="322"/>
        <v>NO APLICA</v>
      </c>
      <c r="HT126" s="2"/>
      <c r="HU126" s="4">
        <v>45128</v>
      </c>
      <c r="HV126" s="4">
        <f>DATE(YEAR(HU126)+5,MONTH(HU126),DAY(HU126))</f>
        <v>46955</v>
      </c>
      <c r="HW126" s="8">
        <f ca="1">HV126-TODAY()</f>
        <v>810</v>
      </c>
      <c r="HX126" s="5" t="str">
        <f t="shared" ca="1" si="323"/>
        <v>VIGENTE</v>
      </c>
      <c r="HY126" s="3"/>
      <c r="HZ126" s="4">
        <v>45486</v>
      </c>
      <c r="IA126" s="4">
        <f>DATE(YEAR(HZ126)+5,MONTH(HZ126),DAY(HZ126))</f>
        <v>47312</v>
      </c>
      <c r="IB126" s="8">
        <f ca="1">IA126-TODAY()</f>
        <v>1167</v>
      </c>
      <c r="IC126" s="5" t="str">
        <f t="shared" ca="1" si="324"/>
        <v>VIGENTE</v>
      </c>
      <c r="ID126" s="3"/>
      <c r="IE126" s="4">
        <v>45470</v>
      </c>
      <c r="IF126" s="4">
        <f>DATE(YEAR(IE126)+5,MONTH(IE126),DAY(IE126))</f>
        <v>47296</v>
      </c>
      <c r="IG126" s="8">
        <f ca="1">IF126-TODAY()</f>
        <v>1151</v>
      </c>
      <c r="IH126" s="5" t="str">
        <f t="shared" ca="1" si="325"/>
        <v>VIGENTE</v>
      </c>
      <c r="II126" s="4"/>
      <c r="IJ126" s="4">
        <v>45485</v>
      </c>
      <c r="IK126" s="4">
        <f>DATE(YEAR(IJ126)+5,MONTH(IJ126),DAY(IJ126))</f>
        <v>47311</v>
      </c>
      <c r="IL126" s="8">
        <f ca="1">IK126-TODAY()</f>
        <v>1166</v>
      </c>
      <c r="IM126" s="5" t="str">
        <f t="shared" ca="1" si="326"/>
        <v>VIGENTE</v>
      </c>
      <c r="IN126" s="3"/>
      <c r="IO126" s="4">
        <v>45490</v>
      </c>
      <c r="IP126" s="4">
        <f>DATE(YEAR(IO126)+5,MONTH(IO126),DAY(IO126))</f>
        <v>47316</v>
      </c>
      <c r="IQ126" s="8">
        <f ca="1">IP126-TODAY()</f>
        <v>1171</v>
      </c>
      <c r="IR126" s="5" t="str">
        <f t="shared" ca="1" si="327"/>
        <v>VIGENTE</v>
      </c>
      <c r="IS126" s="3"/>
      <c r="IT126" s="4">
        <v>45402</v>
      </c>
      <c r="IU126" s="4">
        <f>DATE(YEAR(IT126)+5,MONTH(IT126),DAY(IT126))</f>
        <v>47228</v>
      </c>
      <c r="IV126" s="8">
        <f ca="1">IU126-TODAY()</f>
        <v>1083</v>
      </c>
      <c r="IW126" s="5" t="str">
        <f t="shared" ca="1" si="328"/>
        <v>VIGENTE</v>
      </c>
      <c r="IX126" s="3"/>
      <c r="IY126" s="4">
        <v>45446</v>
      </c>
      <c r="IZ126" s="4">
        <f>DATE(YEAR(IY126)+5,MONTH(IY126),DAY(IY126))</f>
        <v>47272</v>
      </c>
      <c r="JA126" s="8">
        <f ca="1">IZ126-TODAY()</f>
        <v>1127</v>
      </c>
      <c r="JB126" s="5" t="str">
        <f t="shared" ca="1" si="329"/>
        <v>VIGENTE</v>
      </c>
      <c r="JC126" s="3" t="s">
        <v>780</v>
      </c>
      <c r="JD126" s="3"/>
      <c r="JE126" s="4"/>
      <c r="JF126" s="8"/>
      <c r="JG126" s="5"/>
      <c r="JH126" s="3" t="s">
        <v>780</v>
      </c>
      <c r="JI126" s="6"/>
      <c r="JJ126" s="6"/>
      <c r="JK126" s="6"/>
      <c r="JL126" s="5"/>
      <c r="JM126" s="6" t="s">
        <v>780</v>
      </c>
      <c r="JN126" s="6"/>
      <c r="JO126" s="6"/>
      <c r="JP126" s="6"/>
      <c r="JQ126" s="5"/>
      <c r="JR126" s="6" t="s">
        <v>780</v>
      </c>
      <c r="JS126" s="6"/>
      <c r="JT126" s="6"/>
      <c r="JU126" s="6"/>
      <c r="JV126" s="5"/>
      <c r="JW126" s="6" t="s">
        <v>780</v>
      </c>
      <c r="JX126" s="5"/>
      <c r="JY126" s="5"/>
      <c r="JZ126" s="5"/>
      <c r="KA126" s="5"/>
      <c r="KB126" s="5"/>
      <c r="KC126" s="2"/>
      <c r="KD126" s="4"/>
      <c r="KE126" s="8"/>
      <c r="KF126" s="5" t="str">
        <f t="shared" si="330"/>
        <v>NO APLICA</v>
      </c>
      <c r="KG126" s="5"/>
      <c r="KH126" s="2"/>
      <c r="KI126" s="4"/>
      <c r="KJ126" s="8"/>
      <c r="KK126" s="5" t="str">
        <f t="shared" si="356"/>
        <v>NO APLICA</v>
      </c>
      <c r="KL126" s="5"/>
      <c r="KM126" s="2"/>
      <c r="KN126" s="4"/>
      <c r="KO126" s="8"/>
      <c r="KP126" s="5" t="str">
        <f t="shared" si="331"/>
        <v>NO APLICA</v>
      </c>
      <c r="KQ126" s="5"/>
      <c r="KR126" s="2"/>
      <c r="KS126" s="4"/>
      <c r="KT126" s="8"/>
      <c r="KU126" s="5" t="str">
        <f t="shared" si="357"/>
        <v>NO APLICA</v>
      </c>
      <c r="KV126" s="3"/>
      <c r="KW126" s="4">
        <v>44649</v>
      </c>
      <c r="KX126" s="4">
        <f>DATE(YEAR(KW126)+5,MONTH(KW126),DAY(KW126))</f>
        <v>46475</v>
      </c>
      <c r="KY126" s="8">
        <f ca="1">KX126-TODAY()</f>
        <v>330</v>
      </c>
      <c r="KZ126" s="5" t="str">
        <f t="shared" ca="1" si="366"/>
        <v>VIGENTE</v>
      </c>
      <c r="LA126" s="5"/>
      <c r="LB126" s="6"/>
      <c r="LC126" s="4"/>
      <c r="LD126" s="8"/>
      <c r="LE126" s="5" t="str">
        <f t="shared" si="358"/>
        <v>NO APLICA</v>
      </c>
      <c r="LF126" s="4"/>
      <c r="LG126" s="4"/>
      <c r="LH126" s="4"/>
      <c r="LI126" s="8"/>
      <c r="LJ126" s="5" t="str">
        <f t="shared" si="332"/>
        <v>NO APLICA</v>
      </c>
      <c r="LK126" s="5"/>
      <c r="LL126" s="5"/>
      <c r="LM126" s="4"/>
      <c r="LN126" s="8"/>
      <c r="LO126" s="5" t="str">
        <f t="shared" si="367"/>
        <v>NO APLICA</v>
      </c>
      <c r="LP126" s="2"/>
      <c r="LQ126" s="6"/>
      <c r="LR126" s="4"/>
      <c r="LS126" s="8"/>
      <c r="LT126" s="5" t="str">
        <f t="shared" si="359"/>
        <v>NO APLICA</v>
      </c>
      <c r="LU126" s="6"/>
      <c r="LV126" s="6"/>
      <c r="LW126" s="4"/>
      <c r="LX126" s="8"/>
      <c r="LY126" s="5" t="str">
        <f t="shared" si="360"/>
        <v>NO APLICA</v>
      </c>
      <c r="LZ126" s="6"/>
      <c r="MA126" s="6"/>
      <c r="MB126" s="4"/>
      <c r="MC126" s="8"/>
      <c r="MD126" s="5" t="str">
        <f t="shared" si="361"/>
        <v>NO APLICA</v>
      </c>
      <c r="ME126" s="2"/>
      <c r="MF126" s="2"/>
      <c r="MG126" s="4"/>
      <c r="MH126" s="8"/>
      <c r="MI126" s="5" t="str">
        <f t="shared" si="333"/>
        <v>NO APLICA</v>
      </c>
      <c r="MJ126" s="2"/>
      <c r="MK126" s="2"/>
      <c r="ML126" s="4"/>
      <c r="MM126" s="8"/>
      <c r="MN126" s="5" t="str">
        <f t="shared" si="334"/>
        <v>NO APLICA</v>
      </c>
      <c r="MO126" s="5"/>
      <c r="MP126" s="2"/>
      <c r="MQ126" s="4"/>
      <c r="MR126" s="8"/>
      <c r="MS126" s="5" t="str">
        <f t="shared" si="335"/>
        <v>NO APLICA</v>
      </c>
      <c r="MT126" s="5"/>
      <c r="MU126" s="2"/>
      <c r="MV126" s="4"/>
      <c r="MW126" s="2"/>
      <c r="MX126" s="5" t="str">
        <f t="shared" si="336"/>
        <v>NO APLICA</v>
      </c>
      <c r="MY126" s="2"/>
      <c r="MZ126" s="6"/>
      <c r="NA126" s="4"/>
      <c r="NB126" s="8"/>
      <c r="NC126" s="5" t="str">
        <f t="shared" si="337"/>
        <v>NO APLICA</v>
      </c>
      <c r="ND126" s="2"/>
      <c r="NE126" s="6"/>
      <c r="NF126" s="4"/>
      <c r="NG126" s="8"/>
      <c r="NH126" s="5" t="str">
        <f t="shared" si="338"/>
        <v>NO APLICA</v>
      </c>
      <c r="NI126" s="2"/>
      <c r="NJ126" s="6"/>
      <c r="NK126" s="4"/>
      <c r="NL126" s="8"/>
      <c r="NM126" s="5" t="str">
        <f t="shared" si="339"/>
        <v>NO APLICA</v>
      </c>
      <c r="NN126" s="2"/>
      <c r="NO126" s="2"/>
      <c r="NP126" s="4"/>
      <c r="NQ126" s="8"/>
      <c r="NR126" s="5" t="str">
        <f t="shared" si="340"/>
        <v>NO APLICA</v>
      </c>
      <c r="NS126" s="2"/>
      <c r="NT126" s="2"/>
      <c r="NU126" s="2"/>
      <c r="NV126" s="2"/>
      <c r="NW126" s="5" t="str">
        <f t="shared" si="341"/>
        <v>NO APLICA</v>
      </c>
      <c r="NX126" s="6"/>
      <c r="NY126" s="6"/>
      <c r="NZ126" s="4"/>
      <c r="OA126" s="8"/>
      <c r="OB126" s="5" t="str">
        <f t="shared" si="342"/>
        <v>NO APLICA</v>
      </c>
      <c r="OC126" s="6"/>
      <c r="OD126" s="6"/>
      <c r="OE126" s="6"/>
      <c r="OF126" s="6"/>
      <c r="OG126" s="5" t="str">
        <f t="shared" si="343"/>
        <v>NO APLICA</v>
      </c>
      <c r="OH126" s="2"/>
      <c r="OI126" s="2"/>
      <c r="OJ126" s="4"/>
      <c r="OK126" s="8"/>
      <c r="OL126" s="5" t="str">
        <f t="shared" si="344"/>
        <v>NO APLICA</v>
      </c>
      <c r="OM126" s="6"/>
      <c r="ON126" s="6"/>
      <c r="OO126" s="6"/>
      <c r="OP126" s="6"/>
      <c r="OQ126" s="5" t="str">
        <f t="shared" si="345"/>
        <v>NO APLICA</v>
      </c>
      <c r="OR126" s="6"/>
      <c r="OS126" s="6"/>
      <c r="OT126" s="6"/>
      <c r="OU126" s="6"/>
      <c r="OV126" s="5" t="str">
        <f t="shared" si="346"/>
        <v>NO APLICA</v>
      </c>
      <c r="OW126" s="6"/>
      <c r="OX126" s="6"/>
      <c r="OY126" s="6"/>
      <c r="OZ126" s="6"/>
      <c r="PA126" s="5" t="str">
        <f t="shared" si="347"/>
        <v>NO APLICA</v>
      </c>
      <c r="PB126" s="6"/>
      <c r="PC126" s="6"/>
      <c r="PD126" s="6"/>
      <c r="PE126" s="6"/>
      <c r="PF126" s="5" t="str">
        <f t="shared" si="348"/>
        <v>NO APLICA</v>
      </c>
      <c r="PG126" s="6"/>
      <c r="PH126" s="6"/>
      <c r="PI126" s="6"/>
      <c r="PJ126" s="6"/>
      <c r="PK126" s="5" t="str">
        <f t="shared" si="349"/>
        <v>NO APLICA</v>
      </c>
      <c r="PL126" s="5"/>
      <c r="PM126" s="6"/>
      <c r="PN126" s="4"/>
      <c r="PO126" s="8"/>
      <c r="PP126" s="5" t="str">
        <f t="shared" si="350"/>
        <v>NO APLICA</v>
      </c>
      <c r="PQ126" s="6"/>
      <c r="PR126" s="6"/>
      <c r="PS126" s="6"/>
      <c r="PT126" s="6"/>
      <c r="PU126" s="5" t="str">
        <f t="shared" si="351"/>
        <v>NO APLICA</v>
      </c>
      <c r="PV126" s="5"/>
      <c r="PW126" s="6"/>
      <c r="PX126" s="6"/>
      <c r="PY126" s="6"/>
      <c r="PZ126" s="5" t="str">
        <f t="shared" si="352"/>
        <v>NO APLICA</v>
      </c>
    </row>
    <row r="127" spans="1:442" ht="15.6" hidden="1" thickTop="1" thickBot="1" x14ac:dyDescent="0.35">
      <c r="A127" s="26">
        <v>124</v>
      </c>
      <c r="B127" s="27">
        <v>1339</v>
      </c>
      <c r="C127" s="28" t="s">
        <v>421</v>
      </c>
      <c r="D127" s="29" t="s">
        <v>64</v>
      </c>
      <c r="E127" s="30" t="s">
        <v>81</v>
      </c>
      <c r="F127" s="5"/>
      <c r="G127" s="6"/>
      <c r="H127" s="4"/>
      <c r="I127" s="8"/>
      <c r="J127" s="5" t="str">
        <f t="shared" si="242"/>
        <v>NO APLICA</v>
      </c>
      <c r="K127" s="2"/>
      <c r="L127" s="6"/>
      <c r="M127" s="6"/>
      <c r="N127" s="8"/>
      <c r="O127" s="5" t="str">
        <f t="shared" si="243"/>
        <v>NO APLICA</v>
      </c>
      <c r="P127" s="4"/>
      <c r="Q127" s="4">
        <v>45583</v>
      </c>
      <c r="R127" s="4">
        <f>DATE(YEAR(Q127)+2,MONTH(Q127),DAY(Q127)-1)</f>
        <v>46312</v>
      </c>
      <c r="S127" s="8">
        <f ca="1">R127-TODAY()</f>
        <v>167</v>
      </c>
      <c r="T127" s="5" t="str">
        <f t="shared" ca="1" si="353"/>
        <v>VIGENTE</v>
      </c>
      <c r="U127" s="5"/>
      <c r="V127" s="2" t="s">
        <v>422</v>
      </c>
      <c r="W127" s="4">
        <v>44772</v>
      </c>
      <c r="X127" s="4">
        <f t="shared" si="410"/>
        <v>46598</v>
      </c>
      <c r="Y127" s="8">
        <f t="shared" ca="1" si="411"/>
        <v>453</v>
      </c>
      <c r="Z127" s="5" t="str">
        <f t="shared" ca="1" si="412"/>
        <v>VIGENTE</v>
      </c>
      <c r="AA127" s="5"/>
      <c r="AB127" s="2" t="s">
        <v>423</v>
      </c>
      <c r="AC127" s="4">
        <v>45192</v>
      </c>
      <c r="AD127" s="4">
        <f t="shared" si="430"/>
        <v>47019</v>
      </c>
      <c r="AE127" s="8">
        <f t="shared" ca="1" si="431"/>
        <v>874</v>
      </c>
      <c r="AF127" s="5" t="str">
        <f t="shared" ca="1" si="247"/>
        <v>VIGENTE</v>
      </c>
      <c r="AG127" s="3"/>
      <c r="AH127" s="4">
        <v>45609</v>
      </c>
      <c r="AI127" s="4">
        <f t="shared" si="432"/>
        <v>46338</v>
      </c>
      <c r="AJ127" s="8">
        <f t="shared" ca="1" si="248"/>
        <v>193</v>
      </c>
      <c r="AK127" s="5" t="str">
        <f t="shared" ca="1" si="408"/>
        <v>VIGENTE</v>
      </c>
      <c r="AL127" s="3"/>
      <c r="AM127" s="4">
        <v>45490</v>
      </c>
      <c r="AN127" s="4">
        <f>DATE(YEAR(AM127)+2,MONTH(AM127),DAY(AM127)-1)</f>
        <v>46219</v>
      </c>
      <c r="AO127" s="8">
        <f t="shared" ca="1" si="249"/>
        <v>74</v>
      </c>
      <c r="AP127" s="5" t="str">
        <f t="shared" ca="1" si="250"/>
        <v>POR VENCER</v>
      </c>
      <c r="AQ127" s="3"/>
      <c r="AR127" s="4">
        <v>45505</v>
      </c>
      <c r="AS127" s="4">
        <f>DATE(YEAR(AR127)+2,MONTH(AR127),DAY(AR127)-1)</f>
        <v>46234</v>
      </c>
      <c r="AT127" s="8">
        <f t="shared" ca="1" si="251"/>
        <v>89</v>
      </c>
      <c r="AU127" s="5" t="str">
        <f t="shared" ca="1" si="252"/>
        <v>POR VENCER</v>
      </c>
      <c r="AV127" s="3"/>
      <c r="AW127" s="4">
        <v>45702</v>
      </c>
      <c r="AX127" s="4">
        <f>DATE(YEAR(AW127)+2,MONTH(AW127),DAY(AW127)-1)</f>
        <v>46431</v>
      </c>
      <c r="AY127" s="8">
        <f t="shared" ca="1" si="253"/>
        <v>286</v>
      </c>
      <c r="AZ127" s="5" t="str">
        <f t="shared" ca="1" si="254"/>
        <v>VIGENTE</v>
      </c>
      <c r="BA127" s="3"/>
      <c r="BB127" s="4">
        <v>46041</v>
      </c>
      <c r="BC127" s="4">
        <f>DATE(YEAR(BB127)+2,MONTH(BB127),DAY(BB127))</f>
        <v>46771</v>
      </c>
      <c r="BD127" s="8">
        <f t="shared" ca="1" si="255"/>
        <v>626</v>
      </c>
      <c r="BE127" s="5" t="str">
        <f t="shared" ca="1" si="256"/>
        <v>VIGENTE</v>
      </c>
      <c r="BF127" s="3"/>
      <c r="BG127" s="4">
        <v>46027</v>
      </c>
      <c r="BH127" s="4">
        <f t="shared" si="443"/>
        <v>46757</v>
      </c>
      <c r="BI127" s="8">
        <f t="shared" ca="1" si="257"/>
        <v>612</v>
      </c>
      <c r="BJ127" s="5" t="str">
        <f t="shared" ca="1" si="258"/>
        <v>VIGENTE</v>
      </c>
      <c r="BK127" s="3"/>
      <c r="BL127" s="4">
        <v>45519</v>
      </c>
      <c r="BM127" s="4">
        <f>DATE(YEAR(BL127)+2,MONTH(BL127),DAY(BL127)-1)</f>
        <v>46248</v>
      </c>
      <c r="BN127" s="8">
        <f t="shared" ca="1" si="259"/>
        <v>103</v>
      </c>
      <c r="BO127" s="5" t="str">
        <f t="shared" ca="1" si="260"/>
        <v>VIGENTE</v>
      </c>
      <c r="BP127" s="3"/>
      <c r="BQ127" s="39">
        <v>45604</v>
      </c>
      <c r="BR127" s="4">
        <f>DATE(YEAR(BQ127)+2,MONTH(BQ127),DAY(BQ127)-1)</f>
        <v>46333</v>
      </c>
      <c r="BS127" s="8">
        <f t="shared" ca="1" si="261"/>
        <v>188</v>
      </c>
      <c r="BT127" s="5" t="str">
        <f t="shared" ca="1" si="262"/>
        <v>VIGENTE</v>
      </c>
      <c r="BU127" s="3"/>
      <c r="BV127" s="4">
        <v>46135</v>
      </c>
      <c r="BW127" s="4">
        <f>DATE(YEAR(BV127)+2,MONTH(BV127),DAY(BV127)-1)</f>
        <v>46865</v>
      </c>
      <c r="BX127" s="8">
        <f t="shared" ca="1" si="263"/>
        <v>720</v>
      </c>
      <c r="BY127" s="5" t="str">
        <f t="shared" ca="1" si="264"/>
        <v>VIGENTE</v>
      </c>
      <c r="BZ127" s="3"/>
      <c r="CA127" s="4">
        <v>45629</v>
      </c>
      <c r="CB127" s="4">
        <f>DATE(YEAR(CA127)+2,MONTH(CA127),DAY(CA127)-1)</f>
        <v>46358</v>
      </c>
      <c r="CC127" s="8">
        <f t="shared" ca="1" si="265"/>
        <v>213</v>
      </c>
      <c r="CD127" s="5" t="str">
        <f t="shared" ca="1" si="266"/>
        <v>VIGENTE</v>
      </c>
      <c r="CE127" s="6"/>
      <c r="CF127" s="4">
        <v>45828</v>
      </c>
      <c r="CG127" s="4">
        <f t="shared" si="416"/>
        <v>47289</v>
      </c>
      <c r="CH127" s="8">
        <f t="shared" ca="1" si="417"/>
        <v>1144</v>
      </c>
      <c r="CI127" s="5" t="str">
        <f t="shared" ca="1" si="418"/>
        <v>VIGENTE</v>
      </c>
      <c r="CJ127" s="4"/>
      <c r="CK127" s="4">
        <v>45601</v>
      </c>
      <c r="CL127" s="4">
        <f t="shared" si="433"/>
        <v>46330</v>
      </c>
      <c r="CM127" s="8">
        <f t="shared" ca="1" si="270"/>
        <v>185</v>
      </c>
      <c r="CN127" s="5" t="str">
        <f t="shared" ca="1" si="271"/>
        <v>VIGENTE</v>
      </c>
      <c r="CO127" s="3"/>
      <c r="CP127" s="39">
        <v>45597</v>
      </c>
      <c r="CQ127" s="4">
        <f t="shared" si="434"/>
        <v>46326</v>
      </c>
      <c r="CR127" s="8">
        <f t="shared" ca="1" si="272"/>
        <v>181</v>
      </c>
      <c r="CS127" s="5" t="str">
        <f t="shared" ca="1" si="273"/>
        <v>VIGENTE</v>
      </c>
      <c r="CT127" s="3"/>
      <c r="CU127" s="4">
        <v>45624</v>
      </c>
      <c r="CV127" s="4">
        <f t="shared" si="435"/>
        <v>46353</v>
      </c>
      <c r="CW127" s="8">
        <f t="shared" ca="1" si="274"/>
        <v>208</v>
      </c>
      <c r="CX127" s="5" t="str">
        <f t="shared" ca="1" si="275"/>
        <v>VIGENTE</v>
      </c>
      <c r="CY127" s="3"/>
      <c r="CZ127" s="4">
        <v>45665</v>
      </c>
      <c r="DA127" s="4">
        <f>DATE(YEAR(CZ127)+2,MONTH(CZ127),DAY(CZ127)-1)</f>
        <v>46394</v>
      </c>
      <c r="DB127" s="8">
        <f t="shared" ca="1" si="276"/>
        <v>249</v>
      </c>
      <c r="DC127" s="5" t="str">
        <f t="shared" ca="1" si="277"/>
        <v>VIGENTE</v>
      </c>
      <c r="DD127" s="3"/>
      <c r="DE127" s="39">
        <v>45596</v>
      </c>
      <c r="DF127" s="4">
        <f t="shared" si="436"/>
        <v>46325</v>
      </c>
      <c r="DG127" s="8">
        <f t="shared" ca="1" si="278"/>
        <v>180</v>
      </c>
      <c r="DH127" s="5" t="str">
        <f t="shared" ca="1" si="279"/>
        <v>VIGENTE</v>
      </c>
      <c r="DI127" s="3"/>
      <c r="DJ127" s="39">
        <v>45580</v>
      </c>
      <c r="DK127" s="4">
        <f>DATE(YEAR(DJ127)+2,MONTH(DJ127),DAY(DJ127)-1)</f>
        <v>46309</v>
      </c>
      <c r="DL127" s="8">
        <f t="shared" ca="1" si="280"/>
        <v>164</v>
      </c>
      <c r="DM127" s="5" t="str">
        <f t="shared" ca="1" si="281"/>
        <v>VIGENTE</v>
      </c>
      <c r="DN127" s="3"/>
      <c r="DO127" s="4">
        <v>45520</v>
      </c>
      <c r="DP127" s="4">
        <f>DATE(YEAR(DO127)+2,MONTH(DO127),DAY(DO127)-1)</f>
        <v>46249</v>
      </c>
      <c r="DQ127" s="8">
        <f t="shared" ca="1" si="282"/>
        <v>104</v>
      </c>
      <c r="DR127" s="5" t="str">
        <f t="shared" ca="1" si="283"/>
        <v>VIGENTE</v>
      </c>
      <c r="DS127" s="3"/>
      <c r="DT127" s="4">
        <v>45608</v>
      </c>
      <c r="DU127" s="4">
        <f>DATE(YEAR(DT127)+2,MONTH(DT127),DAY(DT127)-1)</f>
        <v>46337</v>
      </c>
      <c r="DV127" s="8">
        <f t="shared" ca="1" si="284"/>
        <v>192</v>
      </c>
      <c r="DW127" s="5" t="str">
        <f t="shared" ca="1" si="285"/>
        <v>VIGENTE</v>
      </c>
      <c r="DX127" s="3"/>
      <c r="DY127" s="4">
        <v>45663</v>
      </c>
      <c r="DZ127" s="4">
        <f t="shared" si="437"/>
        <v>46392</v>
      </c>
      <c r="EA127" s="8">
        <f t="shared" ca="1" si="286"/>
        <v>247</v>
      </c>
      <c r="EB127" s="5" t="str">
        <f t="shared" ca="1" si="287"/>
        <v>VIGENTE</v>
      </c>
      <c r="EC127" s="3"/>
      <c r="ED127" s="39">
        <v>45602</v>
      </c>
      <c r="EE127" s="4">
        <f t="shared" si="438"/>
        <v>46331</v>
      </c>
      <c r="EF127" s="8">
        <f t="shared" ca="1" si="288"/>
        <v>186</v>
      </c>
      <c r="EG127" s="5" t="str">
        <f t="shared" ca="1" si="289"/>
        <v>VIGENTE</v>
      </c>
      <c r="EH127" s="3"/>
      <c r="EI127" s="3">
        <v>46107</v>
      </c>
      <c r="EJ127" s="4">
        <f t="shared" si="355"/>
        <v>46472</v>
      </c>
      <c r="EK127" s="8">
        <f t="shared" ca="1" si="290"/>
        <v>327</v>
      </c>
      <c r="EL127" s="5" t="str">
        <f t="shared" ca="1" si="291"/>
        <v>VIGENTE</v>
      </c>
      <c r="EM127" s="3"/>
      <c r="EN127" s="4">
        <v>45671</v>
      </c>
      <c r="EO127" s="4">
        <f t="shared" si="439"/>
        <v>46400</v>
      </c>
      <c r="EP127" s="8">
        <f t="shared" ca="1" si="292"/>
        <v>255</v>
      </c>
      <c r="EQ127" s="5" t="str">
        <f t="shared" ca="1" si="293"/>
        <v>VIGENTE</v>
      </c>
      <c r="ER127" s="3"/>
      <c r="ES127" s="39">
        <v>45677</v>
      </c>
      <c r="ET127" s="4">
        <f>DATE(YEAR(ES127)+2,MONTH(ES127),DAY(ES127)-1)</f>
        <v>46406</v>
      </c>
      <c r="EU127" s="8">
        <f t="shared" ca="1" si="294"/>
        <v>261</v>
      </c>
      <c r="EV127" s="5" t="str">
        <f t="shared" ca="1" si="295"/>
        <v>VIGENTE</v>
      </c>
      <c r="EW127" s="3"/>
      <c r="EX127" s="4">
        <v>45610</v>
      </c>
      <c r="EY127" s="4">
        <f>DATE(YEAR(EX127)+2,MONTH(EX127),DAY(EX127)-1)</f>
        <v>46339</v>
      </c>
      <c r="EZ127" s="8">
        <f t="shared" ca="1" si="296"/>
        <v>194</v>
      </c>
      <c r="FA127" s="5" t="str">
        <f t="shared" ca="1" si="297"/>
        <v>VIGENTE</v>
      </c>
      <c r="FB127" s="3"/>
      <c r="FC127" s="4">
        <v>45611</v>
      </c>
      <c r="FD127" s="4">
        <f>DATE(YEAR(FC127)+2,MONTH(FC127),DAY(FC127)-1)</f>
        <v>46340</v>
      </c>
      <c r="FE127" s="8">
        <f t="shared" ca="1" si="298"/>
        <v>195</v>
      </c>
      <c r="FF127" s="5" t="str">
        <f t="shared" ca="1" si="299"/>
        <v>VIGENTE</v>
      </c>
      <c r="FG127" s="3"/>
      <c r="FH127" s="4">
        <v>45668</v>
      </c>
      <c r="FI127" s="4">
        <f>DATE(YEAR(FH127)+2,MONTH(FH127),DAY(FH127)-1)</f>
        <v>46397</v>
      </c>
      <c r="FJ127" s="8">
        <f t="shared" ca="1" si="300"/>
        <v>252</v>
      </c>
      <c r="FK127" s="5" t="str">
        <f t="shared" ca="1" si="301"/>
        <v>VIGENTE</v>
      </c>
      <c r="FL127" s="3"/>
      <c r="FM127" s="39">
        <v>45588</v>
      </c>
      <c r="FN127" s="4">
        <f t="shared" si="440"/>
        <v>46317</v>
      </c>
      <c r="FO127" s="8">
        <f t="shared" ca="1" si="302"/>
        <v>172</v>
      </c>
      <c r="FP127" s="5" t="str">
        <f t="shared" ca="1" si="303"/>
        <v>VIGENTE</v>
      </c>
      <c r="FQ127" s="3"/>
      <c r="FR127" s="39">
        <v>45586</v>
      </c>
      <c r="FS127" s="4">
        <f t="shared" si="441"/>
        <v>46315</v>
      </c>
      <c r="FT127" s="8">
        <f t="shared" ca="1" si="304"/>
        <v>170</v>
      </c>
      <c r="FU127" s="5" t="str">
        <f t="shared" ca="1" si="305"/>
        <v>VIGENTE</v>
      </c>
      <c r="FV127" s="3"/>
      <c r="FW127" s="4">
        <v>45587</v>
      </c>
      <c r="FX127" s="4">
        <f>DATE(YEAR(FW127)+2,MONTH(FW127),DAY(FW127)-1)</f>
        <v>46316</v>
      </c>
      <c r="FY127" s="8">
        <f t="shared" ca="1" si="306"/>
        <v>171</v>
      </c>
      <c r="FZ127" s="5" t="str">
        <f t="shared" ca="1" si="307"/>
        <v>VIGENTE</v>
      </c>
      <c r="GA127" s="3"/>
      <c r="GB127" s="4">
        <v>46030</v>
      </c>
      <c r="GC127" s="4">
        <f>DATE(YEAR(GB127)+2,MONTH(GB127),DAY(GB127))</f>
        <v>46760</v>
      </c>
      <c r="GD127" s="8">
        <f t="shared" ca="1" si="308"/>
        <v>615</v>
      </c>
      <c r="GE127" s="5" t="str">
        <f t="shared" ca="1" si="309"/>
        <v>VIGENTE</v>
      </c>
      <c r="GF127" s="3"/>
      <c r="GG127" s="4">
        <v>45579</v>
      </c>
      <c r="GH127" s="4">
        <f t="shared" si="442"/>
        <v>46308</v>
      </c>
      <c r="GI127" s="8">
        <f t="shared" ca="1" si="310"/>
        <v>163</v>
      </c>
      <c r="GJ127" s="5" t="str">
        <f t="shared" ca="1" si="311"/>
        <v>VIGENTE</v>
      </c>
      <c r="GK127" s="3"/>
      <c r="GL127" s="4">
        <v>45567</v>
      </c>
      <c r="GM127" s="4">
        <f>DATE(YEAR(GL127)+2,MONTH(GL127),DAY(GL127)-1)</f>
        <v>46296</v>
      </c>
      <c r="GN127" s="8">
        <f t="shared" ca="1" si="312"/>
        <v>151</v>
      </c>
      <c r="GO127" s="5" t="str">
        <f t="shared" ca="1" si="313"/>
        <v>VIGENTE</v>
      </c>
      <c r="GP127" s="4"/>
      <c r="GQ127" s="4">
        <v>44912</v>
      </c>
      <c r="GR127" s="4">
        <f t="shared" si="314"/>
        <v>46738</v>
      </c>
      <c r="GS127" s="8">
        <f t="shared" ca="1" si="405"/>
        <v>593</v>
      </c>
      <c r="GT127" s="5" t="str">
        <f t="shared" ca="1" si="419"/>
        <v>VIGENTE</v>
      </c>
      <c r="GU127" s="3"/>
      <c r="GV127" s="4">
        <v>44910</v>
      </c>
      <c r="GW127" s="4">
        <f t="shared" si="316"/>
        <v>46736</v>
      </c>
      <c r="GX127" s="8">
        <f t="shared" ca="1" si="317"/>
        <v>591</v>
      </c>
      <c r="GY127" s="5" t="str">
        <f t="shared" ca="1" si="426"/>
        <v>VIGENTE</v>
      </c>
      <c r="GZ127" s="2"/>
      <c r="HA127" s="4">
        <v>44911</v>
      </c>
      <c r="HB127" s="4">
        <f t="shared" si="319"/>
        <v>46737</v>
      </c>
      <c r="HC127" s="8">
        <f t="shared" ca="1" si="320"/>
        <v>592</v>
      </c>
      <c r="HD127" s="5" t="str">
        <f t="shared" ca="1" si="421"/>
        <v>VIGENTE</v>
      </c>
      <c r="HE127" s="6"/>
      <c r="HF127" s="4">
        <v>44956</v>
      </c>
      <c r="HG127" s="4">
        <f t="shared" si="428"/>
        <v>46782</v>
      </c>
      <c r="HH127" s="8">
        <f t="shared" ca="1" si="429"/>
        <v>637</v>
      </c>
      <c r="HI127" s="5" t="str">
        <f t="shared" ca="1" si="427"/>
        <v>VIGENTE</v>
      </c>
      <c r="HJ127" s="2"/>
      <c r="HK127" s="6"/>
      <c r="HL127" s="4"/>
      <c r="HM127" s="8"/>
      <c r="HN127" s="5" t="str">
        <f t="shared" si="444"/>
        <v>NO APLICA</v>
      </c>
      <c r="HO127" s="2"/>
      <c r="HP127" s="2"/>
      <c r="HQ127" s="4"/>
      <c r="HR127" s="2"/>
      <c r="HS127" s="5" t="str">
        <f t="shared" si="322"/>
        <v>NO APLICA</v>
      </c>
      <c r="HT127" s="2"/>
      <c r="HU127" s="6"/>
      <c r="HV127" s="4"/>
      <c r="HW127" s="8"/>
      <c r="HX127" s="5" t="str">
        <f t="shared" si="323"/>
        <v>NO APLICA</v>
      </c>
      <c r="HY127" s="2"/>
      <c r="HZ127" s="6"/>
      <c r="IA127" s="4"/>
      <c r="IB127" s="8"/>
      <c r="IC127" s="5" t="str">
        <f t="shared" si="324"/>
        <v>NO APLICA</v>
      </c>
      <c r="ID127" s="2"/>
      <c r="IE127" s="6"/>
      <c r="IF127" s="4"/>
      <c r="IG127" s="8"/>
      <c r="IH127" s="5" t="str">
        <f t="shared" si="325"/>
        <v>NO APLICA</v>
      </c>
      <c r="II127" s="6"/>
      <c r="IJ127" s="6"/>
      <c r="IK127" s="4"/>
      <c r="IL127" s="8"/>
      <c r="IM127" s="5" t="str">
        <f t="shared" si="326"/>
        <v>NO APLICA</v>
      </c>
      <c r="IN127" s="2"/>
      <c r="IO127" s="6"/>
      <c r="IP127" s="4"/>
      <c r="IQ127" s="8"/>
      <c r="IR127" s="5" t="str">
        <f t="shared" si="327"/>
        <v>NO APLICA</v>
      </c>
      <c r="IS127" s="2"/>
      <c r="IT127" s="6"/>
      <c r="IU127" s="4"/>
      <c r="IV127" s="8"/>
      <c r="IW127" s="5" t="str">
        <f t="shared" si="328"/>
        <v>NO APLICA</v>
      </c>
      <c r="IX127" s="2"/>
      <c r="IY127" s="6"/>
      <c r="IZ127" s="4"/>
      <c r="JA127" s="8"/>
      <c r="JB127" s="5" t="str">
        <f t="shared" si="329"/>
        <v>NO APLICA</v>
      </c>
      <c r="JC127" s="3" t="s">
        <v>780</v>
      </c>
      <c r="JD127" s="3"/>
      <c r="JE127" s="4"/>
      <c r="JF127" s="8"/>
      <c r="JG127" s="5"/>
      <c r="JH127" s="3" t="s">
        <v>780</v>
      </c>
      <c r="JI127" s="6"/>
      <c r="JJ127" s="6"/>
      <c r="JK127" s="6"/>
      <c r="JL127" s="5"/>
      <c r="JM127" s="6" t="s">
        <v>780</v>
      </c>
      <c r="JN127" s="6"/>
      <c r="JO127" s="6"/>
      <c r="JP127" s="6"/>
      <c r="JQ127" s="5"/>
      <c r="JR127" s="6" t="s">
        <v>780</v>
      </c>
      <c r="JS127" s="6"/>
      <c r="JT127" s="6"/>
      <c r="JU127" s="6"/>
      <c r="JV127" s="5"/>
      <c r="JW127" s="6" t="s">
        <v>780</v>
      </c>
      <c r="JX127" s="5"/>
      <c r="JY127" s="5"/>
      <c r="JZ127" s="5"/>
      <c r="KA127" s="5"/>
      <c r="KB127" s="5"/>
      <c r="KC127" s="2"/>
      <c r="KD127" s="4"/>
      <c r="KE127" s="8"/>
      <c r="KF127" s="5" t="str">
        <f t="shared" si="330"/>
        <v>NO APLICA</v>
      </c>
      <c r="KG127" s="5"/>
      <c r="KH127" s="2"/>
      <c r="KI127" s="4"/>
      <c r="KJ127" s="8"/>
      <c r="KK127" s="5" t="str">
        <f t="shared" si="356"/>
        <v>NO APLICA</v>
      </c>
      <c r="KL127" s="5"/>
      <c r="KM127" s="2"/>
      <c r="KN127" s="4"/>
      <c r="KO127" s="8"/>
      <c r="KP127" s="5" t="str">
        <f t="shared" si="331"/>
        <v>NO APLICA</v>
      </c>
      <c r="KQ127" s="5"/>
      <c r="KR127" s="2"/>
      <c r="KS127" s="4"/>
      <c r="KT127" s="8"/>
      <c r="KU127" s="5" t="str">
        <f t="shared" si="357"/>
        <v>NO APLICA</v>
      </c>
      <c r="KV127" s="2"/>
      <c r="KW127" s="6"/>
      <c r="KX127" s="4"/>
      <c r="KY127" s="8"/>
      <c r="KZ127" s="5" t="str">
        <f t="shared" si="366"/>
        <v>NO APLICA</v>
      </c>
      <c r="LA127" s="5"/>
      <c r="LB127" s="6"/>
      <c r="LC127" s="4"/>
      <c r="LD127" s="8"/>
      <c r="LE127" s="5" t="str">
        <f t="shared" si="358"/>
        <v>NO APLICA</v>
      </c>
      <c r="LF127" s="6"/>
      <c r="LG127" s="6"/>
      <c r="LH127" s="4"/>
      <c r="LI127" s="8"/>
      <c r="LJ127" s="5" t="str">
        <f t="shared" si="332"/>
        <v>NO APLICA</v>
      </c>
      <c r="LK127" s="5"/>
      <c r="LL127" s="5"/>
      <c r="LM127" s="4"/>
      <c r="LN127" s="8"/>
      <c r="LO127" s="5" t="str">
        <f t="shared" si="367"/>
        <v>NO APLICA</v>
      </c>
      <c r="LP127" s="2"/>
      <c r="LQ127" s="6"/>
      <c r="LR127" s="4"/>
      <c r="LS127" s="8"/>
      <c r="LT127" s="5" t="str">
        <f t="shared" si="359"/>
        <v>NO APLICA</v>
      </c>
      <c r="LU127" s="6"/>
      <c r="LV127" s="6"/>
      <c r="LW127" s="4"/>
      <c r="LX127" s="8"/>
      <c r="LY127" s="5" t="str">
        <f t="shared" si="360"/>
        <v>NO APLICA</v>
      </c>
      <c r="LZ127" s="6"/>
      <c r="MA127" s="6"/>
      <c r="MB127" s="4"/>
      <c r="MC127" s="8"/>
      <c r="MD127" s="5" t="str">
        <f t="shared" si="361"/>
        <v>NO APLICA</v>
      </c>
      <c r="ME127" s="2"/>
      <c r="MF127" s="2"/>
      <c r="MG127" s="4"/>
      <c r="MH127" s="8"/>
      <c r="MI127" s="5" t="str">
        <f t="shared" si="333"/>
        <v>NO APLICA</v>
      </c>
      <c r="MJ127" s="2"/>
      <c r="MK127" s="2"/>
      <c r="ML127" s="4"/>
      <c r="MM127" s="8"/>
      <c r="MN127" s="5" t="str">
        <f t="shared" si="334"/>
        <v>NO APLICA</v>
      </c>
      <c r="MO127" s="5"/>
      <c r="MP127" s="2"/>
      <c r="MQ127" s="4"/>
      <c r="MR127" s="8"/>
      <c r="MS127" s="5" t="str">
        <f t="shared" si="335"/>
        <v>NO APLICA</v>
      </c>
      <c r="MT127" s="5"/>
      <c r="MU127" s="2"/>
      <c r="MV127" s="4"/>
      <c r="MW127" s="2"/>
      <c r="MX127" s="5" t="str">
        <f t="shared" si="336"/>
        <v>NO APLICA</v>
      </c>
      <c r="MY127" s="2"/>
      <c r="MZ127" s="6"/>
      <c r="NA127" s="4"/>
      <c r="NB127" s="8"/>
      <c r="NC127" s="5" t="str">
        <f t="shared" si="337"/>
        <v>NO APLICA</v>
      </c>
      <c r="ND127" s="2"/>
      <c r="NE127" s="6"/>
      <c r="NF127" s="4"/>
      <c r="NG127" s="8"/>
      <c r="NH127" s="5" t="str">
        <f t="shared" si="338"/>
        <v>NO APLICA</v>
      </c>
      <c r="NI127" s="2"/>
      <c r="NJ127" s="6"/>
      <c r="NK127" s="4"/>
      <c r="NL127" s="8"/>
      <c r="NM127" s="5" t="str">
        <f t="shared" si="339"/>
        <v>NO APLICA</v>
      </c>
      <c r="NN127" s="2"/>
      <c r="NO127" s="2"/>
      <c r="NP127" s="4"/>
      <c r="NQ127" s="8"/>
      <c r="NR127" s="5" t="str">
        <f t="shared" si="340"/>
        <v>NO APLICA</v>
      </c>
      <c r="NS127" s="2"/>
      <c r="NT127" s="2"/>
      <c r="NU127" s="4"/>
      <c r="NV127" s="2"/>
      <c r="NW127" s="5" t="str">
        <f t="shared" si="341"/>
        <v>NO APLICA</v>
      </c>
      <c r="NX127" s="6"/>
      <c r="NY127" s="6"/>
      <c r="NZ127" s="4"/>
      <c r="OA127" s="8"/>
      <c r="OB127" s="5" t="str">
        <f t="shared" si="342"/>
        <v>NO APLICA</v>
      </c>
      <c r="OC127" s="6"/>
      <c r="OD127" s="6"/>
      <c r="OE127" s="6"/>
      <c r="OF127" s="6"/>
      <c r="OG127" s="5" t="str">
        <f t="shared" si="343"/>
        <v>NO APLICA</v>
      </c>
      <c r="OH127" s="2"/>
      <c r="OI127" s="2"/>
      <c r="OJ127" s="4"/>
      <c r="OK127" s="8"/>
      <c r="OL127" s="5" t="str">
        <f t="shared" si="344"/>
        <v>NO APLICA</v>
      </c>
      <c r="OM127" s="6"/>
      <c r="ON127" s="6"/>
      <c r="OO127" s="6"/>
      <c r="OP127" s="6"/>
      <c r="OQ127" s="5" t="str">
        <f t="shared" si="345"/>
        <v>NO APLICA</v>
      </c>
      <c r="OR127" s="6"/>
      <c r="OS127" s="6"/>
      <c r="OT127" s="6"/>
      <c r="OU127" s="6"/>
      <c r="OV127" s="5" t="str">
        <f t="shared" si="346"/>
        <v>NO APLICA</v>
      </c>
      <c r="OW127" s="6"/>
      <c r="OX127" s="6"/>
      <c r="OY127" s="6"/>
      <c r="OZ127" s="6"/>
      <c r="PA127" s="5" t="str">
        <f t="shared" si="347"/>
        <v>NO APLICA</v>
      </c>
      <c r="PB127" s="6"/>
      <c r="PC127" s="6"/>
      <c r="PD127" s="6"/>
      <c r="PE127" s="6"/>
      <c r="PF127" s="5" t="str">
        <f t="shared" si="348"/>
        <v>NO APLICA</v>
      </c>
      <c r="PG127" s="6"/>
      <c r="PH127" s="6"/>
      <c r="PI127" s="6"/>
      <c r="PJ127" s="6"/>
      <c r="PK127" s="5" t="str">
        <f t="shared" si="349"/>
        <v>NO APLICA</v>
      </c>
      <c r="PL127" s="5"/>
      <c r="PM127" s="6"/>
      <c r="PN127" s="4"/>
      <c r="PO127" s="8"/>
      <c r="PP127" s="5" t="str">
        <f t="shared" si="350"/>
        <v>NO APLICA</v>
      </c>
      <c r="PQ127" s="6"/>
      <c r="PR127" s="6"/>
      <c r="PS127" s="6"/>
      <c r="PT127" s="6"/>
      <c r="PU127" s="5" t="str">
        <f t="shared" si="351"/>
        <v>NO APLICA</v>
      </c>
      <c r="PV127" s="5"/>
      <c r="PW127" s="6"/>
      <c r="PX127" s="6"/>
      <c r="PY127" s="6"/>
      <c r="PZ127" s="5" t="str">
        <f t="shared" si="352"/>
        <v>NO APLICA</v>
      </c>
    </row>
    <row r="128" spans="1:442" ht="15.6" hidden="1" thickTop="1" thickBot="1" x14ac:dyDescent="0.35">
      <c r="A128" s="26">
        <v>125</v>
      </c>
      <c r="B128" s="31">
        <v>1730</v>
      </c>
      <c r="C128" s="28" t="s">
        <v>424</v>
      </c>
      <c r="D128" s="29" t="s">
        <v>68</v>
      </c>
      <c r="E128" s="30" t="s">
        <v>73</v>
      </c>
      <c r="F128" s="6"/>
      <c r="G128" s="6"/>
      <c r="H128" s="6"/>
      <c r="I128" s="6"/>
      <c r="J128" s="5" t="str">
        <f t="shared" si="242"/>
        <v>NO APLICA</v>
      </c>
      <c r="K128" s="6"/>
      <c r="L128" s="6"/>
      <c r="M128" s="6"/>
      <c r="N128" s="6"/>
      <c r="O128" s="5" t="str">
        <f t="shared" si="243"/>
        <v>NO APLICA</v>
      </c>
      <c r="P128" s="9"/>
      <c r="Q128" s="9"/>
      <c r="R128" s="9"/>
      <c r="S128" s="9"/>
      <c r="T128" s="5" t="str">
        <f t="shared" si="353"/>
        <v>NO APLICA</v>
      </c>
      <c r="U128" s="5"/>
      <c r="V128" s="6" t="s">
        <v>425</v>
      </c>
      <c r="W128" s="4">
        <v>45854</v>
      </c>
      <c r="X128" s="4">
        <f t="shared" si="410"/>
        <v>47680</v>
      </c>
      <c r="Y128" s="8">
        <f t="shared" ca="1" si="411"/>
        <v>1535</v>
      </c>
      <c r="Z128" s="5" t="str">
        <f t="shared" ca="1" si="412"/>
        <v>VIGENTE</v>
      </c>
      <c r="AA128" s="5"/>
      <c r="AB128" s="6" t="s">
        <v>426</v>
      </c>
      <c r="AC128" s="4">
        <v>45464</v>
      </c>
      <c r="AD128" s="4">
        <f t="shared" si="430"/>
        <v>47290</v>
      </c>
      <c r="AE128" s="8">
        <f t="shared" ca="1" si="431"/>
        <v>1145</v>
      </c>
      <c r="AF128" s="5" t="str">
        <f t="shared" ca="1" si="247"/>
        <v>VIGENTE</v>
      </c>
      <c r="AG128" s="4"/>
      <c r="AH128" s="4">
        <v>46006</v>
      </c>
      <c r="AI128" s="4">
        <f>DATE(YEAR(AH128)+2,MONTH(AH128),DAY(AH128))</f>
        <v>46736</v>
      </c>
      <c r="AJ128" s="8">
        <f t="shared" ca="1" si="248"/>
        <v>591</v>
      </c>
      <c r="AK128" s="5" t="str">
        <f t="shared" ca="1" si="408"/>
        <v>VIGENTE</v>
      </c>
      <c r="AL128" s="4"/>
      <c r="AM128" s="4">
        <v>46062</v>
      </c>
      <c r="AN128" s="4">
        <f>DATE(YEAR(AM128)+2,MONTH(AM128),DAY(AM128))</f>
        <v>46792</v>
      </c>
      <c r="AO128" s="8">
        <f t="shared" ca="1" si="249"/>
        <v>647</v>
      </c>
      <c r="AP128" s="5" t="str">
        <f t="shared" ca="1" si="250"/>
        <v>VIGENTE</v>
      </c>
      <c r="AQ128" s="4"/>
      <c r="AR128" s="4">
        <v>46048</v>
      </c>
      <c r="AS128" s="4">
        <f>DATE(YEAR(AR128)+2,MONTH(AR128),DAY(AR128))</f>
        <v>46778</v>
      </c>
      <c r="AT128" s="8">
        <f t="shared" ca="1" si="251"/>
        <v>633</v>
      </c>
      <c r="AU128" s="5" t="str">
        <f t="shared" ca="1" si="252"/>
        <v>VIGENTE</v>
      </c>
      <c r="AV128" s="4"/>
      <c r="AW128" s="4">
        <v>46070</v>
      </c>
      <c r="AX128" s="4">
        <f>DATE(YEAR(AW128)+2,MONTH(AW128),DAY(AW128))</f>
        <v>46800</v>
      </c>
      <c r="AY128" s="8">
        <f t="shared" ca="1" si="253"/>
        <v>655</v>
      </c>
      <c r="AZ128" s="5" t="str">
        <f t="shared" ca="1" si="254"/>
        <v>VIGENTE</v>
      </c>
      <c r="BA128" s="4"/>
      <c r="BB128" s="4">
        <v>46041</v>
      </c>
      <c r="BC128" s="4">
        <f>DATE(YEAR(BB128)+2,MONTH(BB128),DAY(BB128))</f>
        <v>46771</v>
      </c>
      <c r="BD128" s="8">
        <f t="shared" ca="1" si="255"/>
        <v>626</v>
      </c>
      <c r="BE128" s="5" t="str">
        <f t="shared" ca="1" si="256"/>
        <v>VIGENTE</v>
      </c>
      <c r="BF128" s="4"/>
      <c r="BG128" s="4">
        <v>45987</v>
      </c>
      <c r="BH128" s="4">
        <f t="shared" si="443"/>
        <v>46717</v>
      </c>
      <c r="BI128" s="8">
        <f t="shared" ca="1" si="257"/>
        <v>572</v>
      </c>
      <c r="BJ128" s="5" t="str">
        <f t="shared" ca="1" si="258"/>
        <v>VIGENTE</v>
      </c>
      <c r="BK128" s="4"/>
      <c r="BL128" s="4">
        <v>46035</v>
      </c>
      <c r="BM128" s="4">
        <f>DATE(YEAR(BL128)+2,MONTH(BL128),DAY(BL128))</f>
        <v>46765</v>
      </c>
      <c r="BN128" s="8">
        <f t="shared" ca="1" si="259"/>
        <v>620</v>
      </c>
      <c r="BO128" s="5" t="str">
        <f t="shared" ca="1" si="260"/>
        <v>VIGENTE</v>
      </c>
      <c r="BP128" s="4"/>
      <c r="BQ128" s="39">
        <v>45988</v>
      </c>
      <c r="BR128" s="4">
        <f>DATE(YEAR(BQ128)+2,MONTH(BQ128),DAY(BQ128))</f>
        <v>46718</v>
      </c>
      <c r="BS128" s="8">
        <f t="shared" ca="1" si="261"/>
        <v>573</v>
      </c>
      <c r="BT128" s="5" t="str">
        <f t="shared" ca="1" si="262"/>
        <v>VIGENTE</v>
      </c>
      <c r="BU128" s="4"/>
      <c r="BV128" s="4">
        <v>46063</v>
      </c>
      <c r="BW128" s="4">
        <f>DATE(YEAR(BV128)+2,MONTH(BV128),DAY(BV128))</f>
        <v>46793</v>
      </c>
      <c r="BX128" s="8">
        <f t="shared" ca="1" si="263"/>
        <v>648</v>
      </c>
      <c r="BY128" s="5" t="str">
        <f t="shared" ca="1" si="264"/>
        <v>VIGENTE</v>
      </c>
      <c r="BZ128" s="4"/>
      <c r="CA128" s="4">
        <v>45986</v>
      </c>
      <c r="CB128" s="4">
        <f>DATE(YEAR(CA128)+2,MONTH(CA128),DAY(CA128))</f>
        <v>46716</v>
      </c>
      <c r="CC128" s="8">
        <f t="shared" ca="1" si="265"/>
        <v>571</v>
      </c>
      <c r="CD128" s="5" t="str">
        <f t="shared" ca="1" si="266"/>
        <v>VIGENTE</v>
      </c>
      <c r="CE128" s="6"/>
      <c r="CF128" s="4">
        <v>45346</v>
      </c>
      <c r="CG128" s="4">
        <f t="shared" si="416"/>
        <v>46807</v>
      </c>
      <c r="CH128" s="8">
        <f t="shared" ca="1" si="417"/>
        <v>662</v>
      </c>
      <c r="CI128" s="5" t="str">
        <f t="shared" ca="1" si="418"/>
        <v>VIGENTE</v>
      </c>
      <c r="CJ128" s="4"/>
      <c r="CK128" s="4">
        <v>46018</v>
      </c>
      <c r="CL128" s="4">
        <f>DATE(YEAR(CK128)+2,MONTH(CK128),DAY(CK128))</f>
        <v>46748</v>
      </c>
      <c r="CM128" s="8">
        <f t="shared" ca="1" si="270"/>
        <v>603</v>
      </c>
      <c r="CN128" s="5" t="str">
        <f t="shared" ca="1" si="271"/>
        <v>VIGENTE</v>
      </c>
      <c r="CO128" s="4"/>
      <c r="CP128" s="39">
        <v>46038</v>
      </c>
      <c r="CQ128" s="4">
        <f>DATE(YEAR(CP128)+2,MONTH(CP128),DAY(CP128))</f>
        <v>46768</v>
      </c>
      <c r="CR128" s="8">
        <f t="shared" ca="1" si="272"/>
        <v>623</v>
      </c>
      <c r="CS128" s="5" t="str">
        <f t="shared" ca="1" si="273"/>
        <v>VIGENTE</v>
      </c>
      <c r="CT128" s="4"/>
      <c r="CU128" s="4">
        <v>46043</v>
      </c>
      <c r="CV128" s="4">
        <f>DATE(YEAR(CU128)+2,MONTH(CU128),DAY(CU128))</f>
        <v>46773</v>
      </c>
      <c r="CW128" s="8">
        <f t="shared" ca="1" si="274"/>
        <v>628</v>
      </c>
      <c r="CX128" s="5" t="str">
        <f t="shared" ca="1" si="275"/>
        <v>VIGENTE</v>
      </c>
      <c r="CY128" s="4"/>
      <c r="CZ128" s="4">
        <v>46000</v>
      </c>
      <c r="DA128" s="4">
        <f>DATE(YEAR(CZ128)+2,MONTH(CZ128),DAY(CZ128))</f>
        <v>46730</v>
      </c>
      <c r="DB128" s="8">
        <f t="shared" ca="1" si="276"/>
        <v>585</v>
      </c>
      <c r="DC128" s="5" t="str">
        <f t="shared" ca="1" si="277"/>
        <v>VIGENTE</v>
      </c>
      <c r="DD128" s="4"/>
      <c r="DE128" s="39">
        <v>46045</v>
      </c>
      <c r="DF128" s="4">
        <f>DATE(YEAR(DE128)+2,MONTH(DE128),DAY(DE128))</f>
        <v>46775</v>
      </c>
      <c r="DG128" s="8">
        <f t="shared" ca="1" si="278"/>
        <v>630</v>
      </c>
      <c r="DH128" s="5" t="str">
        <f t="shared" ca="1" si="279"/>
        <v>VIGENTE</v>
      </c>
      <c r="DI128" s="4"/>
      <c r="DJ128" s="39">
        <v>46029</v>
      </c>
      <c r="DK128" s="4">
        <f>DATE(YEAR(DJ128)+2,MONTH(DJ128),DAY(DJ128))</f>
        <v>46759</v>
      </c>
      <c r="DL128" s="8">
        <f t="shared" ca="1" si="280"/>
        <v>614</v>
      </c>
      <c r="DM128" s="5" t="str">
        <f t="shared" ca="1" si="281"/>
        <v>VIGENTE</v>
      </c>
      <c r="DN128" s="4"/>
      <c r="DO128" s="4">
        <v>46046</v>
      </c>
      <c r="DP128" s="4">
        <f>DATE(YEAR(DO128)+2,MONTH(DO128),DAY(DO128))</f>
        <v>46776</v>
      </c>
      <c r="DQ128" s="8">
        <f t="shared" ca="1" si="282"/>
        <v>631</v>
      </c>
      <c r="DR128" s="5" t="str">
        <f t="shared" ca="1" si="283"/>
        <v>VIGENTE</v>
      </c>
      <c r="DS128" s="4"/>
      <c r="DT128" s="4">
        <v>46053</v>
      </c>
      <c r="DU128" s="4">
        <f>DATE(YEAR(DT128)+2,MONTH(DT128),DAY(DT128))</f>
        <v>46783</v>
      </c>
      <c r="DV128" s="8">
        <f t="shared" ca="1" si="284"/>
        <v>638</v>
      </c>
      <c r="DW128" s="5" t="str">
        <f t="shared" ca="1" si="285"/>
        <v>VIGENTE</v>
      </c>
      <c r="DX128" s="4"/>
      <c r="DY128" s="4">
        <v>46032</v>
      </c>
      <c r="DZ128" s="4">
        <f>DATE(YEAR(DY128)+2,MONTH(DY128),DAY(DY128))</f>
        <v>46762</v>
      </c>
      <c r="EA128" s="8">
        <f t="shared" ca="1" si="286"/>
        <v>617</v>
      </c>
      <c r="EB128" s="5" t="str">
        <f t="shared" ca="1" si="287"/>
        <v>VIGENTE</v>
      </c>
      <c r="EC128" s="4"/>
      <c r="ED128" s="39">
        <v>46104</v>
      </c>
      <c r="EE128" s="4">
        <f>DATE(YEAR(ED128)+2,MONTH(ED128),DAY(ED128))</f>
        <v>46835</v>
      </c>
      <c r="EF128" s="8">
        <f t="shared" ca="1" si="288"/>
        <v>690</v>
      </c>
      <c r="EG128" s="5" t="str">
        <f t="shared" ca="1" si="289"/>
        <v>VIGENTE</v>
      </c>
      <c r="EH128" s="4"/>
      <c r="EI128" s="4">
        <v>46123</v>
      </c>
      <c r="EJ128" s="4">
        <f t="shared" si="355"/>
        <v>46488</v>
      </c>
      <c r="EK128" s="8">
        <f t="shared" ca="1" si="290"/>
        <v>343</v>
      </c>
      <c r="EL128" s="5" t="str">
        <f t="shared" ca="1" si="291"/>
        <v>VIGENTE</v>
      </c>
      <c r="EM128" s="4"/>
      <c r="EN128" s="4">
        <v>45983</v>
      </c>
      <c r="EO128" s="4">
        <f>DATE(YEAR(EN128)+2,MONTH(EN128),DAY(EN128))</f>
        <v>46713</v>
      </c>
      <c r="EP128" s="8">
        <f t="shared" ca="1" si="292"/>
        <v>568</v>
      </c>
      <c r="EQ128" s="5" t="str">
        <f t="shared" ca="1" si="293"/>
        <v>VIGENTE</v>
      </c>
      <c r="ER128" s="4"/>
      <c r="ES128" s="39">
        <v>45999</v>
      </c>
      <c r="ET128" s="4">
        <f>DATE(YEAR(ES128)+2,MONTH(ES128),DAY(ES128))</f>
        <v>46729</v>
      </c>
      <c r="EU128" s="8">
        <f t="shared" ca="1" si="294"/>
        <v>584</v>
      </c>
      <c r="EV128" s="5" t="str">
        <f t="shared" ca="1" si="295"/>
        <v>VIGENTE</v>
      </c>
      <c r="EW128" s="4"/>
      <c r="EX128" s="4">
        <v>46037</v>
      </c>
      <c r="EY128" s="4">
        <f>DATE(YEAR(EX128)+2,MONTH(EX128),DAY(EX128))</f>
        <v>46767</v>
      </c>
      <c r="EZ128" s="8">
        <f t="shared" ca="1" si="296"/>
        <v>622</v>
      </c>
      <c r="FA128" s="5" t="str">
        <f t="shared" ca="1" si="297"/>
        <v>VIGENTE</v>
      </c>
      <c r="FB128" s="4"/>
      <c r="FC128" s="4">
        <v>46091</v>
      </c>
      <c r="FD128" s="4">
        <f>DATE(YEAR(FC128)+2,MONTH(FC128),DAY(FC128))</f>
        <v>46822</v>
      </c>
      <c r="FE128" s="8">
        <f t="shared" ca="1" si="298"/>
        <v>677</v>
      </c>
      <c r="FF128" s="5" t="str">
        <f t="shared" ca="1" si="299"/>
        <v>VIGENTE</v>
      </c>
      <c r="FG128" s="4"/>
      <c r="FH128" s="4">
        <v>45992</v>
      </c>
      <c r="FI128" s="4">
        <f>DATE(YEAR(FH128)+2,MONTH(FH128),DAY(FH128))</f>
        <v>46722</v>
      </c>
      <c r="FJ128" s="8">
        <f t="shared" ca="1" si="300"/>
        <v>577</v>
      </c>
      <c r="FK128" s="5" t="str">
        <f t="shared" ca="1" si="301"/>
        <v>VIGENTE</v>
      </c>
      <c r="FL128" s="4"/>
      <c r="FM128" s="39">
        <v>46039</v>
      </c>
      <c r="FN128" s="4">
        <f>DATE(YEAR(FM128)+2,MONTH(FM128),DAY(FM128))</f>
        <v>46769</v>
      </c>
      <c r="FO128" s="8">
        <f t="shared" ca="1" si="302"/>
        <v>624</v>
      </c>
      <c r="FP128" s="5" t="str">
        <f t="shared" ca="1" si="303"/>
        <v>VIGENTE</v>
      </c>
      <c r="FQ128" s="4"/>
      <c r="FR128" s="39">
        <v>46034</v>
      </c>
      <c r="FS128" s="4">
        <f>DATE(YEAR(FR128)+2,MONTH(FR128),DAY(FR128))</f>
        <v>46764</v>
      </c>
      <c r="FT128" s="8">
        <f t="shared" ca="1" si="304"/>
        <v>619</v>
      </c>
      <c r="FU128" s="5" t="str">
        <f t="shared" ca="1" si="305"/>
        <v>VIGENTE</v>
      </c>
      <c r="FV128" s="4"/>
      <c r="FW128" s="4">
        <v>46014</v>
      </c>
      <c r="FX128" s="4">
        <f>DATE(YEAR(FW128)+2,MONTH(FW128),DAY(FW128))</f>
        <v>46744</v>
      </c>
      <c r="FY128" s="8">
        <f t="shared" ca="1" si="306"/>
        <v>599</v>
      </c>
      <c r="FZ128" s="5" t="str">
        <f t="shared" ca="1" si="307"/>
        <v>VIGENTE</v>
      </c>
      <c r="GA128" s="4"/>
      <c r="GB128" s="4">
        <v>46003</v>
      </c>
      <c r="GC128" s="4">
        <f>DATE(YEAR(GB128)+2,MONTH(GB128),DAY(GB128))</f>
        <v>46733</v>
      </c>
      <c r="GD128" s="8">
        <f t="shared" ca="1" si="308"/>
        <v>588</v>
      </c>
      <c r="GE128" s="5" t="str">
        <f t="shared" ca="1" si="309"/>
        <v>VIGENTE</v>
      </c>
      <c r="GF128" s="4"/>
      <c r="GG128" s="4">
        <v>46036</v>
      </c>
      <c r="GH128" s="4">
        <f>DATE(YEAR(GG128)+2,MONTH(GG128),DAY(GG128))</f>
        <v>46766</v>
      </c>
      <c r="GI128" s="8">
        <f t="shared" ca="1" si="310"/>
        <v>621</v>
      </c>
      <c r="GJ128" s="5" t="str">
        <f t="shared" ca="1" si="311"/>
        <v>VIGENTE</v>
      </c>
      <c r="GK128" s="4"/>
      <c r="GL128" s="4">
        <v>46044</v>
      </c>
      <c r="GM128" s="4">
        <f>DATE(YEAR(GL128)+2,MONTH(GL128),DAY(GL128))</f>
        <v>46774</v>
      </c>
      <c r="GN128" s="8">
        <f t="shared" ca="1" si="312"/>
        <v>629</v>
      </c>
      <c r="GO128" s="5" t="str">
        <f t="shared" ca="1" si="313"/>
        <v>VIGENTE</v>
      </c>
      <c r="GP128" s="4"/>
      <c r="GQ128" s="4">
        <v>45367</v>
      </c>
      <c r="GR128" s="4">
        <f t="shared" si="314"/>
        <v>47193</v>
      </c>
      <c r="GS128" s="8">
        <f t="shared" ca="1" si="405"/>
        <v>1048</v>
      </c>
      <c r="GT128" s="5" t="str">
        <f t="shared" ca="1" si="419"/>
        <v>VIGENTE</v>
      </c>
      <c r="GU128" s="4"/>
      <c r="GV128" s="4">
        <v>45342</v>
      </c>
      <c r="GW128" s="4">
        <f t="shared" si="316"/>
        <v>47169</v>
      </c>
      <c r="GX128" s="8">
        <f t="shared" ca="1" si="317"/>
        <v>1024</v>
      </c>
      <c r="GY128" s="5" t="str">
        <f t="shared" ca="1" si="426"/>
        <v>VIGENTE</v>
      </c>
      <c r="GZ128" s="6"/>
      <c r="HA128" s="4">
        <v>45348</v>
      </c>
      <c r="HB128" s="4">
        <f t="shared" si="319"/>
        <v>47175</v>
      </c>
      <c r="HC128" s="8">
        <f t="shared" ca="1" si="320"/>
        <v>1030</v>
      </c>
      <c r="HD128" s="5" t="str">
        <f t="shared" ca="1" si="421"/>
        <v>VIGENTE</v>
      </c>
      <c r="HE128" s="6"/>
      <c r="HF128" s="4">
        <v>45401</v>
      </c>
      <c r="HG128" s="4">
        <f t="shared" si="428"/>
        <v>47227</v>
      </c>
      <c r="HH128" s="8">
        <f t="shared" ca="1" si="429"/>
        <v>1082</v>
      </c>
      <c r="HI128" s="5" t="str">
        <f t="shared" ca="1" si="427"/>
        <v>VIGENTE</v>
      </c>
      <c r="HJ128" s="6"/>
      <c r="HK128" s="6"/>
      <c r="HL128" s="4"/>
      <c r="HM128" s="8"/>
      <c r="HN128" s="5" t="str">
        <f t="shared" si="444"/>
        <v>NO APLICA</v>
      </c>
      <c r="HO128" s="2"/>
      <c r="HP128" s="2"/>
      <c r="HQ128" s="4"/>
      <c r="HR128" s="2"/>
      <c r="HS128" s="5" t="str">
        <f t="shared" si="322"/>
        <v>NO APLICA</v>
      </c>
      <c r="HT128" s="6"/>
      <c r="HU128" s="6"/>
      <c r="HV128" s="4"/>
      <c r="HW128" s="8"/>
      <c r="HX128" s="5" t="str">
        <f t="shared" si="323"/>
        <v>NO APLICA</v>
      </c>
      <c r="HY128" s="6"/>
      <c r="HZ128" s="6"/>
      <c r="IA128" s="4"/>
      <c r="IB128" s="8"/>
      <c r="IC128" s="5" t="str">
        <f t="shared" si="324"/>
        <v>NO APLICA</v>
      </c>
      <c r="ID128" s="6"/>
      <c r="IE128" s="6"/>
      <c r="IF128" s="4"/>
      <c r="IG128" s="8"/>
      <c r="IH128" s="5" t="str">
        <f t="shared" si="325"/>
        <v>NO APLICA</v>
      </c>
      <c r="II128" s="6"/>
      <c r="IJ128" s="6"/>
      <c r="IK128" s="4"/>
      <c r="IL128" s="6"/>
      <c r="IM128" s="5" t="str">
        <f t="shared" si="326"/>
        <v>NO APLICA</v>
      </c>
      <c r="IN128" s="6"/>
      <c r="IO128" s="6"/>
      <c r="IP128" s="4"/>
      <c r="IQ128" s="8"/>
      <c r="IR128" s="5" t="str">
        <f t="shared" si="327"/>
        <v>NO APLICA</v>
      </c>
      <c r="IS128" s="6"/>
      <c r="IT128" s="4">
        <v>45402</v>
      </c>
      <c r="IU128" s="4">
        <f>DATE(YEAR(IT128)+5,MONTH(IT128),DAY(IT128))</f>
        <v>47228</v>
      </c>
      <c r="IV128" s="8">
        <f ca="1">IU128-TODAY()</f>
        <v>1083</v>
      </c>
      <c r="IW128" s="5" t="str">
        <f t="shared" ca="1" si="328"/>
        <v>VIGENTE</v>
      </c>
      <c r="IX128" s="6"/>
      <c r="IY128" s="6"/>
      <c r="IZ128" s="4"/>
      <c r="JA128" s="8"/>
      <c r="JB128" s="5" t="str">
        <f t="shared" si="329"/>
        <v>NO APLICA</v>
      </c>
      <c r="JC128" s="3" t="s">
        <v>780</v>
      </c>
      <c r="JD128" s="3"/>
      <c r="JE128" s="4"/>
      <c r="JF128" s="8"/>
      <c r="JG128" s="5"/>
      <c r="JH128" s="3" t="s">
        <v>780</v>
      </c>
      <c r="JI128" s="6"/>
      <c r="JJ128" s="6"/>
      <c r="JK128" s="6"/>
      <c r="JL128" s="5"/>
      <c r="JM128" s="6" t="s">
        <v>780</v>
      </c>
      <c r="JN128" s="6"/>
      <c r="JO128" s="6"/>
      <c r="JP128" s="6"/>
      <c r="JQ128" s="5"/>
      <c r="JR128" s="6" t="s">
        <v>780</v>
      </c>
      <c r="JS128" s="6"/>
      <c r="JT128" s="6"/>
      <c r="JU128" s="6"/>
      <c r="JV128" s="5"/>
      <c r="JW128" s="6" t="s">
        <v>780</v>
      </c>
      <c r="JX128" s="5"/>
      <c r="JY128" s="5"/>
      <c r="JZ128" s="5"/>
      <c r="KA128" s="5"/>
      <c r="KB128" s="5"/>
      <c r="KC128" s="3">
        <v>45362</v>
      </c>
      <c r="KD128" s="4">
        <f>DATE(YEAR(KC128)+5,MONTH(KC128),DAY(KC128))</f>
        <v>47188</v>
      </c>
      <c r="KE128" s="8">
        <f ca="1">KD128-TODAY()</f>
        <v>1043</v>
      </c>
      <c r="KF128" s="5" t="str">
        <f t="shared" ca="1" si="330"/>
        <v>VIGENTE</v>
      </c>
      <c r="KG128" s="5"/>
      <c r="KH128" s="2"/>
      <c r="KI128" s="4"/>
      <c r="KJ128" s="8"/>
      <c r="KK128" s="5" t="str">
        <f t="shared" si="356"/>
        <v>NO APLICA</v>
      </c>
      <c r="KL128" s="5"/>
      <c r="KM128" s="3"/>
      <c r="KN128" s="4"/>
      <c r="KO128" s="8"/>
      <c r="KP128" s="5" t="str">
        <f t="shared" si="331"/>
        <v>NO APLICA</v>
      </c>
      <c r="KQ128" s="5"/>
      <c r="KR128" s="3">
        <v>45346</v>
      </c>
      <c r="KS128" s="4">
        <f>DATE(YEAR(KR128)+5,MONTH(KR128),DAY(KR128))</f>
        <v>47173</v>
      </c>
      <c r="KT128" s="8">
        <f ca="1">KS128-TODAY()</f>
        <v>1028</v>
      </c>
      <c r="KU128" s="5" t="str">
        <f t="shared" ca="1" si="357"/>
        <v>VIGENTE</v>
      </c>
      <c r="KV128" s="6"/>
      <c r="KW128" s="6"/>
      <c r="KX128" s="4"/>
      <c r="KY128" s="6"/>
      <c r="KZ128" s="5" t="str">
        <f t="shared" si="366"/>
        <v>NO APLICA</v>
      </c>
      <c r="LA128" s="5"/>
      <c r="LB128" s="6"/>
      <c r="LC128" s="4"/>
      <c r="LD128" s="6"/>
      <c r="LE128" s="5" t="str">
        <f t="shared" si="358"/>
        <v>NO APLICA</v>
      </c>
      <c r="LF128" s="6"/>
      <c r="LG128" s="6"/>
      <c r="LH128" s="6"/>
      <c r="LI128" s="6"/>
      <c r="LJ128" s="5" t="str">
        <f t="shared" si="332"/>
        <v>NO APLICA</v>
      </c>
      <c r="LK128" s="5"/>
      <c r="LL128" s="5"/>
      <c r="LM128" s="4"/>
      <c r="LN128" s="8"/>
      <c r="LO128" s="5" t="str">
        <f t="shared" si="367"/>
        <v>NO APLICA</v>
      </c>
      <c r="LP128" s="6"/>
      <c r="LQ128" s="6"/>
      <c r="LR128" s="4"/>
      <c r="LS128" s="8"/>
      <c r="LT128" s="5" t="str">
        <f t="shared" si="359"/>
        <v>NO APLICA</v>
      </c>
      <c r="LU128" s="6"/>
      <c r="LV128" s="6"/>
      <c r="LW128" s="4"/>
      <c r="LX128" s="6"/>
      <c r="LY128" s="5" t="str">
        <f t="shared" si="360"/>
        <v>NO APLICA</v>
      </c>
      <c r="LZ128" s="6"/>
      <c r="MA128" s="6"/>
      <c r="MB128" s="4"/>
      <c r="MC128" s="6"/>
      <c r="MD128" s="5" t="str">
        <f t="shared" si="361"/>
        <v>NO APLICA</v>
      </c>
      <c r="ME128" s="6"/>
      <c r="MF128" s="6"/>
      <c r="MG128" s="4"/>
      <c r="MH128" s="6"/>
      <c r="MI128" s="5" t="str">
        <f t="shared" si="333"/>
        <v>NO APLICA</v>
      </c>
      <c r="MJ128" s="6"/>
      <c r="MK128" s="6"/>
      <c r="ML128" s="4"/>
      <c r="MM128" s="6"/>
      <c r="MN128" s="5" t="str">
        <f t="shared" si="334"/>
        <v>NO APLICA</v>
      </c>
      <c r="MO128" s="5"/>
      <c r="MP128" s="6"/>
      <c r="MQ128" s="4"/>
      <c r="MR128" s="6"/>
      <c r="MS128" s="5" t="str">
        <f t="shared" si="335"/>
        <v>NO APLICA</v>
      </c>
      <c r="MT128" s="5"/>
      <c r="MU128" s="6"/>
      <c r="MV128" s="6"/>
      <c r="MW128" s="6"/>
      <c r="MX128" s="5" t="str">
        <f t="shared" si="336"/>
        <v>NO APLICA</v>
      </c>
      <c r="MY128" s="6"/>
      <c r="MZ128" s="6"/>
      <c r="NA128" s="4"/>
      <c r="NB128" s="6"/>
      <c r="NC128" s="5" t="str">
        <f t="shared" si="337"/>
        <v>NO APLICA</v>
      </c>
      <c r="ND128" s="6"/>
      <c r="NE128" s="6"/>
      <c r="NF128" s="4"/>
      <c r="NG128" s="6"/>
      <c r="NH128" s="5" t="str">
        <f t="shared" si="338"/>
        <v>NO APLICA</v>
      </c>
      <c r="NI128" s="6"/>
      <c r="NJ128" s="6"/>
      <c r="NK128" s="4"/>
      <c r="NL128" s="6"/>
      <c r="NM128" s="5" t="str">
        <f t="shared" si="339"/>
        <v>NO APLICA</v>
      </c>
      <c r="NN128" s="6"/>
      <c r="NO128" s="6"/>
      <c r="NP128" s="4"/>
      <c r="NQ128" s="6"/>
      <c r="NR128" s="5" t="str">
        <f t="shared" si="340"/>
        <v>NO APLICA</v>
      </c>
      <c r="NS128" s="6"/>
      <c r="NT128" s="6"/>
      <c r="NU128" s="4"/>
      <c r="NV128" s="6"/>
      <c r="NW128" s="5" t="str">
        <f t="shared" si="341"/>
        <v>NO APLICA</v>
      </c>
      <c r="NX128" s="6"/>
      <c r="NY128" s="6"/>
      <c r="NZ128" s="4"/>
      <c r="OA128" s="8"/>
      <c r="OB128" s="5" t="str">
        <f t="shared" si="342"/>
        <v>NO APLICA</v>
      </c>
      <c r="OC128" s="6"/>
      <c r="OD128" s="6"/>
      <c r="OE128" s="6"/>
      <c r="OF128" s="6"/>
      <c r="OG128" s="5" t="str">
        <f t="shared" si="343"/>
        <v>NO APLICA</v>
      </c>
      <c r="OH128" s="6"/>
      <c r="OI128" s="6"/>
      <c r="OJ128" s="6"/>
      <c r="OK128" s="6"/>
      <c r="OL128" s="5" t="str">
        <f t="shared" si="344"/>
        <v>NO APLICA</v>
      </c>
      <c r="OM128" s="6"/>
      <c r="ON128" s="6"/>
      <c r="OO128" s="6"/>
      <c r="OP128" s="6"/>
      <c r="OQ128" s="5" t="str">
        <f t="shared" si="345"/>
        <v>NO APLICA</v>
      </c>
      <c r="OR128" s="6"/>
      <c r="OS128" s="6"/>
      <c r="OT128" s="6"/>
      <c r="OU128" s="6"/>
      <c r="OV128" s="5" t="str">
        <f t="shared" si="346"/>
        <v>NO APLICA</v>
      </c>
      <c r="OW128" s="6"/>
      <c r="OX128" s="6"/>
      <c r="OY128" s="6"/>
      <c r="OZ128" s="6"/>
      <c r="PA128" s="5" t="str">
        <f t="shared" si="347"/>
        <v>NO APLICA</v>
      </c>
      <c r="PB128" s="6"/>
      <c r="PC128" s="6"/>
      <c r="PD128" s="6"/>
      <c r="PE128" s="6"/>
      <c r="PF128" s="5" t="str">
        <f t="shared" si="348"/>
        <v>NO APLICA</v>
      </c>
      <c r="PG128" s="6"/>
      <c r="PH128" s="6"/>
      <c r="PI128" s="6"/>
      <c r="PJ128" s="6"/>
      <c r="PK128" s="5" t="str">
        <f t="shared" si="349"/>
        <v>NO APLICA</v>
      </c>
      <c r="PL128" s="5"/>
      <c r="PM128" s="6"/>
      <c r="PN128" s="6"/>
      <c r="PO128" s="6"/>
      <c r="PP128" s="5" t="str">
        <f t="shared" si="350"/>
        <v>NO APLICA</v>
      </c>
      <c r="PQ128" s="6"/>
      <c r="PR128" s="6"/>
      <c r="PS128" s="6"/>
      <c r="PT128" s="6"/>
      <c r="PU128" s="5" t="str">
        <f t="shared" si="351"/>
        <v>NO APLICA</v>
      </c>
      <c r="PV128" s="5"/>
      <c r="PW128" s="6"/>
      <c r="PX128" s="6"/>
      <c r="PY128" s="6"/>
      <c r="PZ128" s="5" t="str">
        <f t="shared" si="352"/>
        <v>NO APLICA</v>
      </c>
    </row>
    <row r="129" spans="1:442" ht="15.6" hidden="1" thickTop="1" thickBot="1" x14ac:dyDescent="0.35">
      <c r="A129" s="26">
        <v>126</v>
      </c>
      <c r="B129" s="31">
        <v>1639</v>
      </c>
      <c r="C129" s="28" t="s">
        <v>427</v>
      </c>
      <c r="D129" s="29" t="s">
        <v>68</v>
      </c>
      <c r="E129" s="30" t="s">
        <v>73</v>
      </c>
      <c r="F129" s="5"/>
      <c r="G129" s="6"/>
      <c r="H129" s="4"/>
      <c r="I129" s="8"/>
      <c r="J129" s="5" t="str">
        <f t="shared" si="242"/>
        <v>NO APLICA</v>
      </c>
      <c r="K129" s="5"/>
      <c r="L129" s="6"/>
      <c r="M129" s="6"/>
      <c r="N129" s="8"/>
      <c r="O129" s="5" t="str">
        <f t="shared" si="243"/>
        <v>NO APLICA</v>
      </c>
      <c r="P129" s="6"/>
      <c r="Q129" s="6"/>
      <c r="R129" s="4"/>
      <c r="S129" s="8"/>
      <c r="T129" s="5" t="str">
        <f t="shared" si="353"/>
        <v>NO APLICA</v>
      </c>
      <c r="U129" s="5"/>
      <c r="V129" s="2" t="s">
        <v>428</v>
      </c>
      <c r="W129" s="4">
        <v>44918</v>
      </c>
      <c r="X129" s="4">
        <f t="shared" si="410"/>
        <v>46744</v>
      </c>
      <c r="Y129" s="8">
        <f t="shared" ca="1" si="411"/>
        <v>599</v>
      </c>
      <c r="Z129" s="5" t="str">
        <f t="shared" ca="1" si="412"/>
        <v>VIGENTE</v>
      </c>
      <c r="AA129" s="5"/>
      <c r="AB129" s="2" t="s">
        <v>429</v>
      </c>
      <c r="AC129" s="4">
        <v>44988</v>
      </c>
      <c r="AD129" s="4">
        <f t="shared" si="430"/>
        <v>46815</v>
      </c>
      <c r="AE129" s="8">
        <f t="shared" ca="1" si="431"/>
        <v>670</v>
      </c>
      <c r="AF129" s="5" t="str">
        <f t="shared" ca="1" si="247"/>
        <v>VIGENTE</v>
      </c>
      <c r="AG129" s="3"/>
      <c r="AH129" s="4">
        <v>45609</v>
      </c>
      <c r="AI129" s="4">
        <f>DATE(YEAR(AH129)+2,MONTH(AH129),DAY(AH129)-1)</f>
        <v>46338</v>
      </c>
      <c r="AJ129" s="8">
        <f t="shared" ca="1" si="248"/>
        <v>193</v>
      </c>
      <c r="AK129" s="5" t="str">
        <f t="shared" ca="1" si="408"/>
        <v>VIGENTE</v>
      </c>
      <c r="AL129" s="3"/>
      <c r="AM129" s="4">
        <v>45516</v>
      </c>
      <c r="AN129" s="4">
        <f>DATE(YEAR(AM129)+2,MONTH(AM129),DAY(AM129)-1)</f>
        <v>46245</v>
      </c>
      <c r="AO129" s="8">
        <f t="shared" ca="1" si="249"/>
        <v>100</v>
      </c>
      <c r="AP129" s="5" t="str">
        <f t="shared" ca="1" si="250"/>
        <v>VIGENTE</v>
      </c>
      <c r="AQ129" s="3"/>
      <c r="AR129" s="4">
        <v>45505</v>
      </c>
      <c r="AS129" s="4">
        <f>DATE(YEAR(AR129)+2,MONTH(AR129),DAY(AR129)-1)</f>
        <v>46234</v>
      </c>
      <c r="AT129" s="8">
        <f t="shared" ca="1" si="251"/>
        <v>89</v>
      </c>
      <c r="AU129" s="5" t="str">
        <f t="shared" ca="1" si="252"/>
        <v>POR VENCER</v>
      </c>
      <c r="AV129" s="3"/>
      <c r="AW129" s="4">
        <v>45514</v>
      </c>
      <c r="AX129" s="4">
        <f>DATE(YEAR(AW129)+2,MONTH(AW129),DAY(AW129)-1)</f>
        <v>46243</v>
      </c>
      <c r="AY129" s="8">
        <f t="shared" ca="1" si="253"/>
        <v>98</v>
      </c>
      <c r="AZ129" s="5" t="str">
        <f t="shared" ca="1" si="254"/>
        <v>VIGENTE</v>
      </c>
      <c r="BA129" s="3"/>
      <c r="BB129" s="4">
        <v>45515</v>
      </c>
      <c r="BC129" s="4">
        <f>DATE(YEAR(BB129)+2,MONTH(BB129),DAY(BB129)-1)</f>
        <v>46244</v>
      </c>
      <c r="BD129" s="8">
        <f t="shared" ca="1" si="255"/>
        <v>99</v>
      </c>
      <c r="BE129" s="5" t="str">
        <f t="shared" ca="1" si="256"/>
        <v>VIGENTE</v>
      </c>
      <c r="BF129" s="3"/>
      <c r="BG129" s="4">
        <v>45531</v>
      </c>
      <c r="BH129" s="4">
        <f>DATE(YEAR(BG129)+2,MONTH(BG129),DAY(BG129)-1)</f>
        <v>46260</v>
      </c>
      <c r="BI129" s="8">
        <f t="shared" ca="1" si="257"/>
        <v>115</v>
      </c>
      <c r="BJ129" s="5" t="str">
        <f t="shared" ca="1" si="258"/>
        <v>VIGENTE</v>
      </c>
      <c r="BK129" s="3"/>
      <c r="BL129" s="4">
        <v>45519</v>
      </c>
      <c r="BM129" s="4">
        <f>DATE(YEAR(BL129)+2,MONTH(BL129),DAY(BL129)-1)</f>
        <v>46248</v>
      </c>
      <c r="BN129" s="8">
        <f t="shared" ca="1" si="259"/>
        <v>103</v>
      </c>
      <c r="BO129" s="5" t="str">
        <f t="shared" ca="1" si="260"/>
        <v>VIGENTE</v>
      </c>
      <c r="BP129" s="3"/>
      <c r="BQ129" s="39">
        <v>45532</v>
      </c>
      <c r="BR129" s="4">
        <f>DATE(YEAR(BQ129)+2,MONTH(BQ129),DAY(BQ129)-1)</f>
        <v>46261</v>
      </c>
      <c r="BS129" s="8">
        <f t="shared" ca="1" si="261"/>
        <v>116</v>
      </c>
      <c r="BT129" s="5" t="str">
        <f t="shared" ca="1" si="262"/>
        <v>VIGENTE</v>
      </c>
      <c r="BU129" s="3"/>
      <c r="BV129" s="4">
        <v>45611</v>
      </c>
      <c r="BW129" s="4">
        <f>DATE(YEAR(BV129)+2,MONTH(BV129),DAY(BV129)-1)</f>
        <v>46340</v>
      </c>
      <c r="BX129" s="8">
        <f t="shared" ca="1" si="263"/>
        <v>195</v>
      </c>
      <c r="BY129" s="5" t="str">
        <f t="shared" ca="1" si="264"/>
        <v>VIGENTE</v>
      </c>
      <c r="BZ129" s="3"/>
      <c r="CA129" s="4">
        <v>45546</v>
      </c>
      <c r="CB129" s="4">
        <f>DATE(YEAR(CA129)+2,MONTH(CA129),DAY(CA129)-1)</f>
        <v>46275</v>
      </c>
      <c r="CC129" s="8">
        <f t="shared" ca="1" si="265"/>
        <v>130</v>
      </c>
      <c r="CD129" s="5" t="str">
        <f t="shared" ca="1" si="266"/>
        <v>VIGENTE</v>
      </c>
      <c r="CE129" s="6"/>
      <c r="CF129" s="4">
        <v>45282</v>
      </c>
      <c r="CG129" s="4">
        <f t="shared" si="416"/>
        <v>46743</v>
      </c>
      <c r="CH129" s="8">
        <f t="shared" ca="1" si="417"/>
        <v>598</v>
      </c>
      <c r="CI129" s="5" t="str">
        <f t="shared" ca="1" si="418"/>
        <v>VIGENTE</v>
      </c>
      <c r="CJ129" s="4"/>
      <c r="CK129" s="4">
        <v>45504</v>
      </c>
      <c r="CL129" s="4">
        <f>DATE(YEAR(CK129)+2,MONTH(CK129),DAY(CK129)-1)</f>
        <v>46233</v>
      </c>
      <c r="CM129" s="8">
        <f t="shared" ca="1" si="270"/>
        <v>88</v>
      </c>
      <c r="CN129" s="5" t="str">
        <f t="shared" ca="1" si="271"/>
        <v>POR VENCER</v>
      </c>
      <c r="CO129" s="3"/>
      <c r="CP129" s="39">
        <v>45544</v>
      </c>
      <c r="CQ129" s="4">
        <f>DATE(YEAR(CP129)+2,MONTH(CP129),DAY(CP129)-1)</f>
        <v>46273</v>
      </c>
      <c r="CR129" s="8">
        <f t="shared" ca="1" si="272"/>
        <v>128</v>
      </c>
      <c r="CS129" s="5" t="str">
        <f t="shared" ca="1" si="273"/>
        <v>VIGENTE</v>
      </c>
      <c r="CT129" s="3"/>
      <c r="CU129" s="4">
        <v>45645</v>
      </c>
      <c r="CV129" s="4">
        <f>DATE(YEAR(CU129)+2,MONTH(CU129),DAY(CU129)-1)</f>
        <v>46374</v>
      </c>
      <c r="CW129" s="8">
        <f t="shared" ca="1" si="274"/>
        <v>229</v>
      </c>
      <c r="CX129" s="5" t="str">
        <f t="shared" ca="1" si="275"/>
        <v>VIGENTE</v>
      </c>
      <c r="CY129" s="3"/>
      <c r="CZ129" s="4">
        <v>45661</v>
      </c>
      <c r="DA129" s="4">
        <f>DATE(YEAR(CZ129)+2,MONTH(CZ129),DAY(CZ129)-1)</f>
        <v>46390</v>
      </c>
      <c r="DB129" s="8">
        <f t="shared" ca="1" si="276"/>
        <v>245</v>
      </c>
      <c r="DC129" s="5" t="str">
        <f t="shared" ca="1" si="277"/>
        <v>VIGENTE</v>
      </c>
      <c r="DD129" s="3"/>
      <c r="DE129" s="39">
        <v>45689</v>
      </c>
      <c r="DF129" s="4">
        <f>DATE(YEAR(DE129)+2,MONTH(DE129),DAY(DE129)-1)</f>
        <v>46418</v>
      </c>
      <c r="DG129" s="8">
        <f t="shared" ca="1" si="278"/>
        <v>273</v>
      </c>
      <c r="DH129" s="5" t="str">
        <f t="shared" ca="1" si="279"/>
        <v>VIGENTE</v>
      </c>
      <c r="DI129" s="3"/>
      <c r="DJ129" s="39">
        <v>45562</v>
      </c>
      <c r="DK129" s="4">
        <f>DATE(YEAR(DJ129)+2,MONTH(DJ129),DAY(DJ129)-1)</f>
        <v>46291</v>
      </c>
      <c r="DL129" s="8">
        <f t="shared" ca="1" si="280"/>
        <v>146</v>
      </c>
      <c r="DM129" s="5" t="str">
        <f t="shared" ca="1" si="281"/>
        <v>VIGENTE</v>
      </c>
      <c r="DN129" s="3"/>
      <c r="DO129" s="4">
        <v>45533</v>
      </c>
      <c r="DP129" s="4">
        <f>DATE(YEAR(DO129)+2,MONTH(DO129),DAY(DO129)-1)</f>
        <v>46262</v>
      </c>
      <c r="DQ129" s="8">
        <f t="shared" ca="1" si="282"/>
        <v>117</v>
      </c>
      <c r="DR129" s="5" t="str">
        <f t="shared" ca="1" si="283"/>
        <v>VIGENTE</v>
      </c>
      <c r="DS129" s="3"/>
      <c r="DT129" s="4">
        <v>45619</v>
      </c>
      <c r="DU129" s="4">
        <f>DATE(YEAR(DT129)+2,MONTH(DT129),DAY(DT129)-1)</f>
        <v>46348</v>
      </c>
      <c r="DV129" s="8">
        <f t="shared" ca="1" si="284"/>
        <v>203</v>
      </c>
      <c r="DW129" s="5" t="str">
        <f t="shared" ca="1" si="285"/>
        <v>VIGENTE</v>
      </c>
      <c r="DX129" s="3"/>
      <c r="DY129" s="4">
        <v>45709</v>
      </c>
      <c r="DZ129" s="4">
        <f>DATE(YEAR(DY129)+2,MONTH(DY129),DAY(DY129)-1)</f>
        <v>46438</v>
      </c>
      <c r="EA129" s="8">
        <f t="shared" ca="1" si="286"/>
        <v>293</v>
      </c>
      <c r="EB129" s="5" t="str">
        <f t="shared" ca="1" si="287"/>
        <v>VIGENTE</v>
      </c>
      <c r="EC129" s="3"/>
      <c r="ED129" s="39">
        <v>45674</v>
      </c>
      <c r="EE129" s="4">
        <f>DATE(YEAR(ED129)+2,MONTH(ED129),DAY(ED129)-1)</f>
        <v>46403</v>
      </c>
      <c r="EF129" s="8">
        <f t="shared" ca="1" si="288"/>
        <v>258</v>
      </c>
      <c r="EG129" s="5" t="str">
        <f t="shared" ca="1" si="289"/>
        <v>VIGENTE</v>
      </c>
      <c r="EH129" s="3"/>
      <c r="EI129" s="3">
        <v>46002</v>
      </c>
      <c r="EJ129" s="4">
        <f t="shared" si="355"/>
        <v>46367</v>
      </c>
      <c r="EK129" s="8">
        <f t="shared" ca="1" si="290"/>
        <v>222</v>
      </c>
      <c r="EL129" s="5" t="str">
        <f t="shared" ca="1" si="291"/>
        <v>VIGENTE</v>
      </c>
      <c r="EM129" s="3"/>
      <c r="EN129" s="4">
        <v>45660</v>
      </c>
      <c r="EO129" s="4">
        <f>DATE(YEAR(EN129)+2,MONTH(EN129),DAY(EN129)-1)</f>
        <v>46389</v>
      </c>
      <c r="EP129" s="8">
        <f t="shared" ca="1" si="292"/>
        <v>244</v>
      </c>
      <c r="EQ129" s="5" t="str">
        <f t="shared" ca="1" si="293"/>
        <v>VIGENTE</v>
      </c>
      <c r="ER129" s="3"/>
      <c r="ES129" s="39">
        <v>45677</v>
      </c>
      <c r="ET129" s="4">
        <f>DATE(YEAR(ES129)+2,MONTH(ES129),DAY(ES129)-1)</f>
        <v>46406</v>
      </c>
      <c r="EU129" s="8">
        <f t="shared" ca="1" si="294"/>
        <v>261</v>
      </c>
      <c r="EV129" s="5" t="str">
        <f t="shared" ca="1" si="295"/>
        <v>VIGENTE</v>
      </c>
      <c r="EW129" s="3"/>
      <c r="EX129" s="4">
        <v>45610</v>
      </c>
      <c r="EY129" s="4">
        <f>DATE(YEAR(EX129)+2,MONTH(EX129),DAY(EX129)-1)</f>
        <v>46339</v>
      </c>
      <c r="EZ129" s="8">
        <f t="shared" ca="1" si="296"/>
        <v>194</v>
      </c>
      <c r="FA129" s="5" t="str">
        <f t="shared" ca="1" si="297"/>
        <v>VIGENTE</v>
      </c>
      <c r="FB129" s="3"/>
      <c r="FC129" s="4">
        <v>45666</v>
      </c>
      <c r="FD129" s="4">
        <f>DATE(YEAR(FC129)+2,MONTH(FC129),DAY(FC129)-1)</f>
        <v>46395</v>
      </c>
      <c r="FE129" s="8">
        <f t="shared" ca="1" si="298"/>
        <v>250</v>
      </c>
      <c r="FF129" s="5" t="str">
        <f t="shared" ca="1" si="299"/>
        <v>VIGENTE</v>
      </c>
      <c r="FG129" s="3"/>
      <c r="FH129" s="4">
        <v>45668</v>
      </c>
      <c r="FI129" s="4">
        <f>DATE(YEAR(FH129)+2,MONTH(FH129),DAY(FH129)-1)</f>
        <v>46397</v>
      </c>
      <c r="FJ129" s="8">
        <f t="shared" ca="1" si="300"/>
        <v>252</v>
      </c>
      <c r="FK129" s="5" t="str">
        <f t="shared" ca="1" si="301"/>
        <v>VIGENTE</v>
      </c>
      <c r="FL129" s="3"/>
      <c r="FM129" s="39">
        <v>45545</v>
      </c>
      <c r="FN129" s="4">
        <f>DATE(YEAR(FM129)+2,MONTH(FM129),DAY(FM129)-1)</f>
        <v>46274</v>
      </c>
      <c r="FO129" s="8">
        <f t="shared" ca="1" si="302"/>
        <v>129</v>
      </c>
      <c r="FP129" s="5" t="str">
        <f t="shared" ca="1" si="303"/>
        <v>VIGENTE</v>
      </c>
      <c r="FQ129" s="3"/>
      <c r="FR129" s="39">
        <v>45543</v>
      </c>
      <c r="FS129" s="4">
        <f>DATE(YEAR(FR129)+2,MONTH(FR129),DAY(FR129)-1)</f>
        <v>46272</v>
      </c>
      <c r="FT129" s="8">
        <f t="shared" ca="1" si="304"/>
        <v>127</v>
      </c>
      <c r="FU129" s="5" t="str">
        <f t="shared" ca="1" si="305"/>
        <v>VIGENTE</v>
      </c>
      <c r="FV129" s="4"/>
      <c r="FW129" s="4">
        <v>45547</v>
      </c>
      <c r="FX129" s="4">
        <f>DATE(YEAR(FW129)+2,MONTH(FW129),DAY(FW129)-1)</f>
        <v>46276</v>
      </c>
      <c r="FY129" s="8">
        <f t="shared" ca="1" si="306"/>
        <v>131</v>
      </c>
      <c r="FZ129" s="5" t="str">
        <f t="shared" ca="1" si="307"/>
        <v>VIGENTE</v>
      </c>
      <c r="GA129" s="3"/>
      <c r="GB129" s="4">
        <v>45560</v>
      </c>
      <c r="GC129" s="4">
        <f>DATE(YEAR(GB129)+2,MONTH(GB129),DAY(GB129)-1)</f>
        <v>46289</v>
      </c>
      <c r="GD129" s="8">
        <f t="shared" ca="1" si="308"/>
        <v>144</v>
      </c>
      <c r="GE129" s="5" t="str">
        <f t="shared" ca="1" si="309"/>
        <v>VIGENTE</v>
      </c>
      <c r="GF129" s="3"/>
      <c r="GG129" s="4">
        <v>45570</v>
      </c>
      <c r="GH129" s="4">
        <f>DATE(YEAR(GG129)+2,MONTH(GG129),DAY(GG129)-1)</f>
        <v>46299</v>
      </c>
      <c r="GI129" s="8">
        <f t="shared" ca="1" si="310"/>
        <v>154</v>
      </c>
      <c r="GJ129" s="5" t="str">
        <f t="shared" ca="1" si="311"/>
        <v>VIGENTE</v>
      </c>
      <c r="GK129" s="3"/>
      <c r="GL129" s="4">
        <v>45557</v>
      </c>
      <c r="GM129" s="4">
        <f>DATE(YEAR(GL129)+2,MONTH(GL129),DAY(GL129)-1)</f>
        <v>46286</v>
      </c>
      <c r="GN129" s="8">
        <f t="shared" ca="1" si="312"/>
        <v>141</v>
      </c>
      <c r="GO129" s="5" t="str">
        <f t="shared" ca="1" si="313"/>
        <v>VIGENTE</v>
      </c>
      <c r="GP129" s="4"/>
      <c r="GQ129" s="4">
        <v>44912</v>
      </c>
      <c r="GR129" s="4">
        <f t="shared" si="314"/>
        <v>46738</v>
      </c>
      <c r="GS129" s="8">
        <f t="shared" ca="1" si="405"/>
        <v>593</v>
      </c>
      <c r="GT129" s="5" t="str">
        <f t="shared" ca="1" si="419"/>
        <v>VIGENTE</v>
      </c>
      <c r="GU129" s="3"/>
      <c r="GV129" s="4">
        <v>45099</v>
      </c>
      <c r="GW129" s="4">
        <f t="shared" si="316"/>
        <v>46926</v>
      </c>
      <c r="GX129" s="8">
        <f t="shared" ca="1" si="317"/>
        <v>781</v>
      </c>
      <c r="GY129" s="5" t="str">
        <f t="shared" ca="1" si="426"/>
        <v>VIGENTE</v>
      </c>
      <c r="GZ129" s="2"/>
      <c r="HA129" s="4">
        <v>44911</v>
      </c>
      <c r="HB129" s="4">
        <f t="shared" si="319"/>
        <v>46737</v>
      </c>
      <c r="HC129" s="8">
        <f t="shared" ca="1" si="320"/>
        <v>592</v>
      </c>
      <c r="HD129" s="5" t="str">
        <f t="shared" ca="1" si="421"/>
        <v>VIGENTE</v>
      </c>
      <c r="HE129" s="6"/>
      <c r="HF129" s="4">
        <v>45094</v>
      </c>
      <c r="HG129" s="4">
        <f t="shared" si="428"/>
        <v>46921</v>
      </c>
      <c r="HH129" s="8">
        <f t="shared" ca="1" si="429"/>
        <v>776</v>
      </c>
      <c r="HI129" s="5" t="str">
        <f t="shared" ca="1" si="427"/>
        <v>VIGENTE</v>
      </c>
      <c r="HJ129" s="2"/>
      <c r="HK129" s="6"/>
      <c r="HL129" s="4"/>
      <c r="HM129" s="8"/>
      <c r="HN129" s="5" t="str">
        <f t="shared" si="444"/>
        <v>NO APLICA</v>
      </c>
      <c r="HO129" s="2"/>
      <c r="HP129" s="2"/>
      <c r="HQ129" s="4"/>
      <c r="HR129" s="2"/>
      <c r="HS129" s="5" t="str">
        <f t="shared" si="322"/>
        <v>NO APLICA</v>
      </c>
      <c r="HT129" s="2"/>
      <c r="HU129" s="4">
        <v>45089</v>
      </c>
      <c r="HV129" s="4">
        <f>DATE(YEAR(HU129)+5,MONTH(HU129),DAY(HU129))</f>
        <v>46916</v>
      </c>
      <c r="HW129" s="8">
        <f ca="1">HV129-TODAY()</f>
        <v>771</v>
      </c>
      <c r="HX129" s="5" t="str">
        <f t="shared" ca="1" si="323"/>
        <v>VIGENTE</v>
      </c>
      <c r="HY129" s="2"/>
      <c r="HZ129" s="4">
        <v>45092</v>
      </c>
      <c r="IA129" s="4">
        <f>DATE(YEAR(HZ129)+5,MONTH(HZ129),DAY(HZ129))</f>
        <v>46919</v>
      </c>
      <c r="IB129" s="8">
        <f ca="1">IA129-TODAY()</f>
        <v>774</v>
      </c>
      <c r="IC129" s="5" t="str">
        <f t="shared" ca="1" si="324"/>
        <v>VIGENTE</v>
      </c>
      <c r="ID129" s="2"/>
      <c r="IE129" s="4">
        <v>45100</v>
      </c>
      <c r="IF129" s="4">
        <f>DATE(YEAR(IE129)+5,MONTH(IE129),DAY(IE129))</f>
        <v>46927</v>
      </c>
      <c r="IG129" s="8">
        <f ca="1">IF129-TODAY()</f>
        <v>782</v>
      </c>
      <c r="IH129" s="5" t="str">
        <f t="shared" ca="1" si="325"/>
        <v>VIGENTE</v>
      </c>
      <c r="II129" s="6"/>
      <c r="IJ129" s="4">
        <v>45105</v>
      </c>
      <c r="IK129" s="4">
        <f>DATE(YEAR(IJ129)+5,MONTH(IJ129),DAY(IJ129))</f>
        <v>46932</v>
      </c>
      <c r="IL129" s="8">
        <f ca="1">IK129-TODAY()</f>
        <v>787</v>
      </c>
      <c r="IM129" s="5" t="str">
        <f t="shared" ca="1" si="326"/>
        <v>VIGENTE</v>
      </c>
      <c r="IN129" s="2"/>
      <c r="IO129" s="4">
        <v>45064</v>
      </c>
      <c r="IP129" s="4">
        <f>DATE(YEAR(IO129)+5,MONTH(IO129),DAY(IO129))</f>
        <v>46891</v>
      </c>
      <c r="IQ129" s="8">
        <f ca="1">IP129-TODAY()</f>
        <v>746</v>
      </c>
      <c r="IR129" s="5" t="str">
        <f t="shared" ca="1" si="327"/>
        <v>VIGENTE</v>
      </c>
      <c r="IS129" s="2"/>
      <c r="IT129" s="4">
        <v>45104</v>
      </c>
      <c r="IU129" s="4">
        <f>DATE(YEAR(IT129)+5,MONTH(IT129),DAY(IT129))</f>
        <v>46931</v>
      </c>
      <c r="IV129" s="8">
        <f ca="1">IU129-TODAY()</f>
        <v>786</v>
      </c>
      <c r="IW129" s="5" t="str">
        <f t="shared" ca="1" si="328"/>
        <v>VIGENTE</v>
      </c>
      <c r="IX129" s="2"/>
      <c r="IY129" s="4">
        <v>45107</v>
      </c>
      <c r="IZ129" s="4">
        <f>DATE(YEAR(IY129)+5,MONTH(IY129),DAY(IY129))</f>
        <v>46934</v>
      </c>
      <c r="JA129" s="8">
        <f ca="1">IZ129-TODAY()</f>
        <v>789</v>
      </c>
      <c r="JB129" s="5" t="str">
        <f t="shared" ca="1" si="329"/>
        <v>VIGENTE</v>
      </c>
      <c r="JC129" s="3" t="s">
        <v>780</v>
      </c>
      <c r="JD129" s="3"/>
      <c r="JE129" s="4"/>
      <c r="JF129" s="8"/>
      <c r="JG129" s="5"/>
      <c r="JH129" s="3" t="s">
        <v>780</v>
      </c>
      <c r="JI129" s="6"/>
      <c r="JJ129" s="6"/>
      <c r="JK129" s="6"/>
      <c r="JL129" s="5"/>
      <c r="JM129" s="6" t="s">
        <v>780</v>
      </c>
      <c r="JN129" s="6"/>
      <c r="JO129" s="6"/>
      <c r="JP129" s="6"/>
      <c r="JQ129" s="5"/>
      <c r="JR129" s="6" t="s">
        <v>780</v>
      </c>
      <c r="JS129" s="6"/>
      <c r="JT129" s="6"/>
      <c r="JU129" s="6"/>
      <c r="JV129" s="5"/>
      <c r="JW129" s="6" t="s">
        <v>780</v>
      </c>
      <c r="JX129" s="5"/>
      <c r="JY129" s="5"/>
      <c r="JZ129" s="5"/>
      <c r="KA129" s="5"/>
      <c r="KB129" s="5"/>
      <c r="KC129" s="2"/>
      <c r="KD129" s="4"/>
      <c r="KE129" s="8"/>
      <c r="KF129" s="5" t="str">
        <f t="shared" si="330"/>
        <v>NO APLICA</v>
      </c>
      <c r="KG129" s="5"/>
      <c r="KH129" s="2"/>
      <c r="KI129" s="4"/>
      <c r="KJ129" s="8"/>
      <c r="KK129" s="5" t="str">
        <f t="shared" si="356"/>
        <v>NO APLICA</v>
      </c>
      <c r="KL129" s="5"/>
      <c r="KM129" s="2"/>
      <c r="KN129" s="4"/>
      <c r="KO129" s="8"/>
      <c r="KP129" s="5" t="str">
        <f t="shared" si="331"/>
        <v>NO APLICA</v>
      </c>
      <c r="KQ129" s="5"/>
      <c r="KR129" s="2"/>
      <c r="KS129" s="4"/>
      <c r="KT129" s="8"/>
      <c r="KU129" s="5" t="str">
        <f t="shared" si="357"/>
        <v>NO APLICA</v>
      </c>
      <c r="KV129" s="2"/>
      <c r="KW129" s="6"/>
      <c r="KX129" s="4"/>
      <c r="KY129" s="8"/>
      <c r="KZ129" s="5" t="str">
        <f t="shared" si="366"/>
        <v>NO APLICA</v>
      </c>
      <c r="LA129" s="5"/>
      <c r="LB129" s="6"/>
      <c r="LC129" s="4"/>
      <c r="LD129" s="8"/>
      <c r="LE129" s="5" t="str">
        <f t="shared" si="358"/>
        <v>NO APLICA</v>
      </c>
      <c r="LF129" s="6"/>
      <c r="LG129" s="6"/>
      <c r="LH129" s="4"/>
      <c r="LI129" s="8"/>
      <c r="LJ129" s="5" t="str">
        <f t="shared" si="332"/>
        <v>NO APLICA</v>
      </c>
      <c r="LK129" s="5"/>
      <c r="LL129" s="5"/>
      <c r="LM129" s="4"/>
      <c r="LN129" s="8"/>
      <c r="LO129" s="5" t="str">
        <f t="shared" si="367"/>
        <v>NO APLICA</v>
      </c>
      <c r="LP129" s="2"/>
      <c r="LQ129" s="6"/>
      <c r="LR129" s="4"/>
      <c r="LS129" s="8"/>
      <c r="LT129" s="5" t="str">
        <f t="shared" si="359"/>
        <v>NO APLICA</v>
      </c>
      <c r="LU129" s="6"/>
      <c r="LV129" s="6"/>
      <c r="LW129" s="4"/>
      <c r="LX129" s="8"/>
      <c r="LY129" s="5" t="str">
        <f t="shared" si="360"/>
        <v>NO APLICA</v>
      </c>
      <c r="LZ129" s="6"/>
      <c r="MA129" s="6"/>
      <c r="MB129" s="4"/>
      <c r="MC129" s="8"/>
      <c r="MD129" s="5" t="str">
        <f t="shared" si="361"/>
        <v>NO APLICA</v>
      </c>
      <c r="ME129" s="2"/>
      <c r="MF129" s="2"/>
      <c r="MG129" s="4"/>
      <c r="MH129" s="8"/>
      <c r="MI129" s="5" t="str">
        <f t="shared" si="333"/>
        <v>NO APLICA</v>
      </c>
      <c r="MJ129" s="2"/>
      <c r="MK129" s="2"/>
      <c r="ML129" s="4"/>
      <c r="MM129" s="8"/>
      <c r="MN129" s="5" t="str">
        <f t="shared" si="334"/>
        <v>NO APLICA</v>
      </c>
      <c r="MO129" s="5"/>
      <c r="MP129" s="2"/>
      <c r="MQ129" s="4"/>
      <c r="MR129" s="8"/>
      <c r="MS129" s="5" t="str">
        <f t="shared" si="335"/>
        <v>NO APLICA</v>
      </c>
      <c r="MT129" s="5"/>
      <c r="MU129" s="2"/>
      <c r="MV129" s="4"/>
      <c r="MW129" s="2"/>
      <c r="MX129" s="5" t="str">
        <f t="shared" si="336"/>
        <v>NO APLICA</v>
      </c>
      <c r="MY129" s="2"/>
      <c r="MZ129" s="6"/>
      <c r="NA129" s="4"/>
      <c r="NB129" s="8"/>
      <c r="NC129" s="5" t="str">
        <f t="shared" si="337"/>
        <v>NO APLICA</v>
      </c>
      <c r="ND129" s="2"/>
      <c r="NE129" s="6"/>
      <c r="NF129" s="4"/>
      <c r="NG129" s="8"/>
      <c r="NH129" s="5" t="str">
        <f t="shared" si="338"/>
        <v>NO APLICA</v>
      </c>
      <c r="NI129" s="2"/>
      <c r="NJ129" s="6"/>
      <c r="NK129" s="4"/>
      <c r="NL129" s="8"/>
      <c r="NM129" s="5" t="str">
        <f t="shared" si="339"/>
        <v>NO APLICA</v>
      </c>
      <c r="NN129" s="2"/>
      <c r="NO129" s="2"/>
      <c r="NP129" s="4"/>
      <c r="NQ129" s="8"/>
      <c r="NR129" s="5" t="str">
        <f t="shared" si="340"/>
        <v>NO APLICA</v>
      </c>
      <c r="NS129" s="2"/>
      <c r="NT129" s="2"/>
      <c r="NU129" s="4"/>
      <c r="NV129" s="2"/>
      <c r="NW129" s="5" t="str">
        <f t="shared" si="341"/>
        <v>NO APLICA</v>
      </c>
      <c r="NX129" s="6"/>
      <c r="NY129" s="6"/>
      <c r="NZ129" s="4"/>
      <c r="OA129" s="8"/>
      <c r="OB129" s="5" t="str">
        <f t="shared" si="342"/>
        <v>NO APLICA</v>
      </c>
      <c r="OC129" s="6"/>
      <c r="OD129" s="6"/>
      <c r="OE129" s="6"/>
      <c r="OF129" s="6"/>
      <c r="OG129" s="5" t="str">
        <f t="shared" si="343"/>
        <v>NO APLICA</v>
      </c>
      <c r="OH129" s="2"/>
      <c r="OI129" s="2"/>
      <c r="OJ129" s="4"/>
      <c r="OK129" s="8"/>
      <c r="OL129" s="5" t="str">
        <f t="shared" si="344"/>
        <v>NO APLICA</v>
      </c>
      <c r="OM129" s="6"/>
      <c r="ON129" s="6"/>
      <c r="OO129" s="6"/>
      <c r="OP129" s="6"/>
      <c r="OQ129" s="5" t="str">
        <f t="shared" si="345"/>
        <v>NO APLICA</v>
      </c>
      <c r="OR129" s="6"/>
      <c r="OS129" s="6"/>
      <c r="OT129" s="6"/>
      <c r="OU129" s="6"/>
      <c r="OV129" s="5" t="str">
        <f t="shared" si="346"/>
        <v>NO APLICA</v>
      </c>
      <c r="OW129" s="6"/>
      <c r="OX129" s="6"/>
      <c r="OY129" s="6"/>
      <c r="OZ129" s="6"/>
      <c r="PA129" s="5" t="str">
        <f t="shared" si="347"/>
        <v>NO APLICA</v>
      </c>
      <c r="PB129" s="6"/>
      <c r="PC129" s="6"/>
      <c r="PD129" s="6"/>
      <c r="PE129" s="6"/>
      <c r="PF129" s="5" t="str">
        <f t="shared" si="348"/>
        <v>NO APLICA</v>
      </c>
      <c r="PG129" s="6"/>
      <c r="PH129" s="6"/>
      <c r="PI129" s="6"/>
      <c r="PJ129" s="6"/>
      <c r="PK129" s="5" t="str">
        <f t="shared" si="349"/>
        <v>NO APLICA</v>
      </c>
      <c r="PL129" s="5"/>
      <c r="PM129" s="6"/>
      <c r="PN129" s="4"/>
      <c r="PO129" s="8"/>
      <c r="PP129" s="5" t="str">
        <f t="shared" si="350"/>
        <v>NO APLICA</v>
      </c>
      <c r="PQ129" s="6"/>
      <c r="PR129" s="6"/>
      <c r="PS129" s="6"/>
      <c r="PT129" s="6"/>
      <c r="PU129" s="5" t="str">
        <f t="shared" si="351"/>
        <v>NO APLICA</v>
      </c>
      <c r="PV129" s="5"/>
      <c r="PW129" s="6"/>
      <c r="PX129" s="6"/>
      <c r="PY129" s="6"/>
      <c r="PZ129" s="5" t="str">
        <f t="shared" si="352"/>
        <v>NO APLICA</v>
      </c>
    </row>
    <row r="130" spans="1:442" ht="15.6" hidden="1" thickTop="1" thickBot="1" x14ac:dyDescent="0.35">
      <c r="A130" s="26">
        <v>127</v>
      </c>
      <c r="B130" s="31">
        <v>1218</v>
      </c>
      <c r="C130" s="28" t="s">
        <v>430</v>
      </c>
      <c r="D130" s="29" t="s">
        <v>68</v>
      </c>
      <c r="E130" s="30" t="s">
        <v>73</v>
      </c>
      <c r="F130" s="5"/>
      <c r="G130" s="6"/>
      <c r="H130" s="4"/>
      <c r="I130" s="8"/>
      <c r="J130" s="5" t="str">
        <f t="shared" si="242"/>
        <v>NO APLICA</v>
      </c>
      <c r="K130" s="5"/>
      <c r="L130" s="6"/>
      <c r="M130" s="6"/>
      <c r="N130" s="8"/>
      <c r="O130" s="5" t="str">
        <f t="shared" si="243"/>
        <v>NO APLICA</v>
      </c>
      <c r="P130" s="6"/>
      <c r="Q130" s="6"/>
      <c r="R130" s="4"/>
      <c r="S130" s="8"/>
      <c r="T130" s="5" t="str">
        <f t="shared" si="353"/>
        <v>NO APLICA</v>
      </c>
      <c r="U130" s="5"/>
      <c r="V130" s="2" t="s">
        <v>431</v>
      </c>
      <c r="W130" s="4">
        <v>45041</v>
      </c>
      <c r="X130" s="4">
        <f t="shared" si="410"/>
        <v>46868</v>
      </c>
      <c r="Y130" s="8">
        <f t="shared" ca="1" si="411"/>
        <v>723</v>
      </c>
      <c r="Z130" s="5" t="str">
        <f t="shared" ca="1" si="412"/>
        <v>VIGENTE</v>
      </c>
      <c r="AA130" s="5"/>
      <c r="AB130" s="2" t="s">
        <v>432</v>
      </c>
      <c r="AC130" s="4">
        <v>45152</v>
      </c>
      <c r="AD130" s="4">
        <f t="shared" si="430"/>
        <v>46979</v>
      </c>
      <c r="AE130" s="8">
        <f t="shared" ca="1" si="431"/>
        <v>834</v>
      </c>
      <c r="AF130" s="5" t="str">
        <f t="shared" ca="1" si="247"/>
        <v>VIGENTE</v>
      </c>
      <c r="AG130" s="3"/>
      <c r="AH130" s="4">
        <v>45680</v>
      </c>
      <c r="AI130" s="4">
        <f>DATE(YEAR(AH130)+2,MONTH(AH130),DAY(AH130)-1)</f>
        <v>46409</v>
      </c>
      <c r="AJ130" s="8">
        <f t="shared" ca="1" si="248"/>
        <v>264</v>
      </c>
      <c r="AK130" s="5" t="str">
        <f t="shared" ca="1" si="408"/>
        <v>VIGENTE</v>
      </c>
      <c r="AL130" s="3"/>
      <c r="AM130" s="4">
        <v>45710</v>
      </c>
      <c r="AN130" s="4">
        <f>DATE(YEAR(AM130)+2,MONTH(AM130),DAY(AM130)-1)</f>
        <v>46439</v>
      </c>
      <c r="AO130" s="8">
        <f t="shared" ca="1" si="249"/>
        <v>294</v>
      </c>
      <c r="AP130" s="5" t="str">
        <f t="shared" ca="1" si="250"/>
        <v>VIGENTE</v>
      </c>
      <c r="AQ130" s="3"/>
      <c r="AR130" s="4">
        <v>45703</v>
      </c>
      <c r="AS130" s="4">
        <f>DATE(YEAR(AR130)+2,MONTH(AR130),DAY(AR130)-1)</f>
        <v>46432</v>
      </c>
      <c r="AT130" s="8">
        <f t="shared" ca="1" si="251"/>
        <v>287</v>
      </c>
      <c r="AU130" s="5" t="str">
        <f t="shared" ca="1" si="252"/>
        <v>VIGENTE</v>
      </c>
      <c r="AV130" s="3"/>
      <c r="AW130" s="4">
        <v>45765</v>
      </c>
      <c r="AX130" s="4">
        <f t="shared" ref="AX130:AX137" si="445">DATE(YEAR(AW130)+2,MONTH(AW130),DAY(AW130))</f>
        <v>46495</v>
      </c>
      <c r="AY130" s="8">
        <f t="shared" ca="1" si="253"/>
        <v>350</v>
      </c>
      <c r="AZ130" s="5" t="str">
        <f t="shared" ca="1" si="254"/>
        <v>VIGENTE</v>
      </c>
      <c r="BA130" s="3"/>
      <c r="BB130" s="4">
        <v>45708</v>
      </c>
      <c r="BC130" s="4">
        <f>DATE(YEAR(BB130)+2,MONTH(BB130),DAY(BB130)-1)</f>
        <v>46437</v>
      </c>
      <c r="BD130" s="8">
        <f t="shared" ca="1" si="255"/>
        <v>292</v>
      </c>
      <c r="BE130" s="5" t="str">
        <f t="shared" ca="1" si="256"/>
        <v>VIGENTE</v>
      </c>
      <c r="BF130" s="3"/>
      <c r="BG130" s="4">
        <v>45762</v>
      </c>
      <c r="BH130" s="4">
        <f t="shared" ref="BH130:BH135" si="446">DATE(YEAR(BG130)+2,MONTH(BG130),DAY(BG130))</f>
        <v>46492</v>
      </c>
      <c r="BI130" s="8">
        <f t="shared" ca="1" si="257"/>
        <v>347</v>
      </c>
      <c r="BJ130" s="5" t="str">
        <f t="shared" ca="1" si="258"/>
        <v>VIGENTE</v>
      </c>
      <c r="BK130" s="3"/>
      <c r="BL130" s="4">
        <v>45699</v>
      </c>
      <c r="BM130" s="4">
        <f>DATE(YEAR(BL130)+2,MONTH(BL130),DAY(BL130)-1)</f>
        <v>46428</v>
      </c>
      <c r="BN130" s="8">
        <f t="shared" ca="1" si="259"/>
        <v>283</v>
      </c>
      <c r="BO130" s="5" t="str">
        <f t="shared" ca="1" si="260"/>
        <v>VIGENTE</v>
      </c>
      <c r="BP130" s="3"/>
      <c r="BQ130" s="39">
        <v>45701</v>
      </c>
      <c r="BR130" s="4">
        <f>DATE(YEAR(BQ130)+2,MONTH(BQ130),DAY(BQ130)-1)</f>
        <v>46430</v>
      </c>
      <c r="BS130" s="8">
        <f t="shared" ca="1" si="261"/>
        <v>285</v>
      </c>
      <c r="BT130" s="5" t="str">
        <f t="shared" ca="1" si="262"/>
        <v>VIGENTE</v>
      </c>
      <c r="BU130" s="3"/>
      <c r="BV130" s="4">
        <v>45695</v>
      </c>
      <c r="BW130" s="4">
        <f>DATE(YEAR(BV130)+2,MONTH(BV130),DAY(BV130)-1)</f>
        <v>46424</v>
      </c>
      <c r="BX130" s="8">
        <f t="shared" ca="1" si="263"/>
        <v>279</v>
      </c>
      <c r="BY130" s="5" t="str">
        <f t="shared" ca="1" si="264"/>
        <v>VIGENTE</v>
      </c>
      <c r="BZ130" s="2"/>
      <c r="CA130" s="4">
        <v>45770</v>
      </c>
      <c r="CB130" s="4">
        <f t="shared" ref="CB130:CB137" si="447">DATE(YEAR(CA130)+2,MONTH(CA130),DAY(CA130))</f>
        <v>46500</v>
      </c>
      <c r="CC130" s="8">
        <f t="shared" ca="1" si="265"/>
        <v>355</v>
      </c>
      <c r="CD130" s="5" t="str">
        <f t="shared" ca="1" si="266"/>
        <v>VIGENTE</v>
      </c>
      <c r="CE130" s="6"/>
      <c r="CF130" s="4">
        <v>45247</v>
      </c>
      <c r="CG130" s="4">
        <f t="shared" si="416"/>
        <v>46708</v>
      </c>
      <c r="CH130" s="8">
        <f t="shared" ca="1" si="417"/>
        <v>563</v>
      </c>
      <c r="CI130" s="5" t="str">
        <f t="shared" ca="1" si="418"/>
        <v>VIGENTE</v>
      </c>
      <c r="CJ130" s="6"/>
      <c r="CK130" s="4">
        <v>45763</v>
      </c>
      <c r="CL130" s="4">
        <f>DATE(YEAR(CK130)+2,MONTH(CK130),DAY(CK130))</f>
        <v>46493</v>
      </c>
      <c r="CM130" s="8">
        <f t="shared" ca="1" si="270"/>
        <v>348</v>
      </c>
      <c r="CN130" s="5" t="str">
        <f t="shared" ca="1" si="271"/>
        <v>VIGENTE</v>
      </c>
      <c r="CO130" s="3"/>
      <c r="CP130" s="39">
        <v>45684</v>
      </c>
      <c r="CQ130" s="4">
        <f>DATE(YEAR(CP130)+2,MONTH(CP130),DAY(CP130)-1)</f>
        <v>46413</v>
      </c>
      <c r="CR130" s="8">
        <f t="shared" ca="1" si="272"/>
        <v>268</v>
      </c>
      <c r="CS130" s="5" t="str">
        <f t="shared" ca="1" si="273"/>
        <v>VIGENTE</v>
      </c>
      <c r="CT130" s="3"/>
      <c r="CU130" s="4">
        <v>45805</v>
      </c>
      <c r="CV130" s="4">
        <f>DATE(YEAR(CU130)+2,MONTH(CU130),DAY(CU130))</f>
        <v>46535</v>
      </c>
      <c r="CW130" s="8">
        <f t="shared" ca="1" si="274"/>
        <v>390</v>
      </c>
      <c r="CX130" s="5" t="str">
        <f t="shared" ca="1" si="275"/>
        <v>VIGENTE</v>
      </c>
      <c r="CY130" s="3"/>
      <c r="CZ130" s="4">
        <v>45681</v>
      </c>
      <c r="DA130" s="4">
        <f>DATE(YEAR(CZ130)+2,MONTH(CZ130),DAY(CZ130)-1)</f>
        <v>46410</v>
      </c>
      <c r="DB130" s="8">
        <f t="shared" ca="1" si="276"/>
        <v>265</v>
      </c>
      <c r="DC130" s="5" t="str">
        <f t="shared" ca="1" si="277"/>
        <v>VIGENTE</v>
      </c>
      <c r="DD130" s="3"/>
      <c r="DE130" s="39">
        <v>45761</v>
      </c>
      <c r="DF130" s="4">
        <f>DATE(YEAR(DE130)+2,MONTH(DE130),DAY(DE130))</f>
        <v>46491</v>
      </c>
      <c r="DG130" s="8">
        <f t="shared" ca="1" si="278"/>
        <v>346</v>
      </c>
      <c r="DH130" s="5" t="str">
        <f t="shared" ca="1" si="279"/>
        <v>VIGENTE</v>
      </c>
      <c r="DI130" s="3"/>
      <c r="DJ130" s="39">
        <v>45696</v>
      </c>
      <c r="DK130" s="4">
        <f>DATE(YEAR(DJ130)+2,MONTH(DJ130),DAY(DJ130)-1)</f>
        <v>46425</v>
      </c>
      <c r="DL130" s="8">
        <f t="shared" ca="1" si="280"/>
        <v>280</v>
      </c>
      <c r="DM130" s="5" t="str">
        <f t="shared" ca="1" si="281"/>
        <v>VIGENTE</v>
      </c>
      <c r="DN130" s="3"/>
      <c r="DO130" s="4">
        <v>45731</v>
      </c>
      <c r="DP130" s="4">
        <f>DATE(YEAR(DO130)+2,MONTH(DO130),DAY(DO130)-1)</f>
        <v>46460</v>
      </c>
      <c r="DQ130" s="8">
        <f t="shared" ca="1" si="282"/>
        <v>315</v>
      </c>
      <c r="DR130" s="5" t="str">
        <f t="shared" ca="1" si="283"/>
        <v>VIGENTE</v>
      </c>
      <c r="DS130" s="3"/>
      <c r="DT130" s="4">
        <v>45685</v>
      </c>
      <c r="DU130" s="4">
        <f>DATE(YEAR(DT130)+2,MONTH(DT130),DAY(DT130)-1)</f>
        <v>46414</v>
      </c>
      <c r="DV130" s="8">
        <f t="shared" ca="1" si="284"/>
        <v>269</v>
      </c>
      <c r="DW130" s="5" t="str">
        <f t="shared" ca="1" si="285"/>
        <v>VIGENTE</v>
      </c>
      <c r="DX130" s="3"/>
      <c r="DY130" s="4">
        <v>45804</v>
      </c>
      <c r="DZ130" s="4">
        <f>DATE(YEAR(DY130)+2,MONTH(DY130),DAY(DY130))</f>
        <v>46534</v>
      </c>
      <c r="EA130" s="8">
        <f t="shared" ca="1" si="286"/>
        <v>389</v>
      </c>
      <c r="EB130" s="5" t="str">
        <f t="shared" ca="1" si="287"/>
        <v>VIGENTE</v>
      </c>
      <c r="EC130" s="3"/>
      <c r="ED130" s="39">
        <v>45674</v>
      </c>
      <c r="EE130" s="4">
        <f>DATE(YEAR(ED130)+2,MONTH(ED130),DAY(ED130)-1)</f>
        <v>46403</v>
      </c>
      <c r="EF130" s="8">
        <f t="shared" ca="1" si="288"/>
        <v>258</v>
      </c>
      <c r="EG130" s="5" t="str">
        <f t="shared" ca="1" si="289"/>
        <v>VIGENTE</v>
      </c>
      <c r="EH130" s="3"/>
      <c r="EI130" s="4">
        <v>46115</v>
      </c>
      <c r="EJ130" s="4">
        <f t="shared" si="355"/>
        <v>46480</v>
      </c>
      <c r="EK130" s="8">
        <f t="shared" ca="1" si="290"/>
        <v>335</v>
      </c>
      <c r="EL130" s="5" t="str">
        <f t="shared" ca="1" si="291"/>
        <v>VIGENTE</v>
      </c>
      <c r="EM130" s="3"/>
      <c r="EN130" s="4">
        <v>45660</v>
      </c>
      <c r="EO130" s="4">
        <f>DATE(YEAR(EN130)+2,MONTH(EN130),DAY(EN130)-1)</f>
        <v>46389</v>
      </c>
      <c r="EP130" s="8">
        <f t="shared" ca="1" si="292"/>
        <v>244</v>
      </c>
      <c r="EQ130" s="5" t="str">
        <f t="shared" ca="1" si="293"/>
        <v>VIGENTE</v>
      </c>
      <c r="ER130" s="3"/>
      <c r="ES130" s="39">
        <v>45677</v>
      </c>
      <c r="ET130" s="4">
        <f>DATE(YEAR(ES130)+2,MONTH(ES130),DAY(ES130)-1)</f>
        <v>46406</v>
      </c>
      <c r="EU130" s="8">
        <f t="shared" ca="1" si="294"/>
        <v>261</v>
      </c>
      <c r="EV130" s="5" t="str">
        <f t="shared" ca="1" si="295"/>
        <v>VIGENTE</v>
      </c>
      <c r="EW130" s="3"/>
      <c r="EX130" s="4">
        <v>45719</v>
      </c>
      <c r="EY130" s="4">
        <f>DATE(YEAR(EX130)+2,MONTH(EX130),DAY(EX130)-1)</f>
        <v>46448</v>
      </c>
      <c r="EZ130" s="8">
        <f t="shared" ca="1" si="296"/>
        <v>303</v>
      </c>
      <c r="FA130" s="5" t="str">
        <f t="shared" ca="1" si="297"/>
        <v>VIGENTE</v>
      </c>
      <c r="FB130" s="3"/>
      <c r="FC130" s="4">
        <v>45729</v>
      </c>
      <c r="FD130" s="4">
        <f>DATE(YEAR(FC130)+2,MONTH(FC130),DAY(FC130)-1)</f>
        <v>46458</v>
      </c>
      <c r="FE130" s="8">
        <f t="shared" ca="1" si="298"/>
        <v>313</v>
      </c>
      <c r="FF130" s="5" t="str">
        <f t="shared" ca="1" si="299"/>
        <v>VIGENTE</v>
      </c>
      <c r="FG130" s="3"/>
      <c r="FH130" s="4">
        <v>45668</v>
      </c>
      <c r="FI130" s="4">
        <f>DATE(YEAR(FH130)+2,MONTH(FH130),DAY(FH130)-1)</f>
        <v>46397</v>
      </c>
      <c r="FJ130" s="8">
        <f t="shared" ca="1" si="300"/>
        <v>252</v>
      </c>
      <c r="FK130" s="5" t="str">
        <f t="shared" ca="1" si="301"/>
        <v>VIGENTE</v>
      </c>
      <c r="FL130" s="3"/>
      <c r="FM130" s="39">
        <v>45686</v>
      </c>
      <c r="FN130" s="4">
        <f>DATE(YEAR(FM130)+2,MONTH(FM130),DAY(FM130)-1)</f>
        <v>46415</v>
      </c>
      <c r="FO130" s="8">
        <f t="shared" ca="1" si="302"/>
        <v>270</v>
      </c>
      <c r="FP130" s="5" t="str">
        <f t="shared" ca="1" si="303"/>
        <v>VIGENTE</v>
      </c>
      <c r="FQ130" s="3"/>
      <c r="FR130" s="39">
        <v>45678</v>
      </c>
      <c r="FS130" s="4">
        <f>DATE(YEAR(FR130)+2,MONTH(FR130),DAY(FR130)-1)</f>
        <v>46407</v>
      </c>
      <c r="FT130" s="8">
        <f t="shared" ca="1" si="304"/>
        <v>262</v>
      </c>
      <c r="FU130" s="5" t="str">
        <f t="shared" ca="1" si="305"/>
        <v>VIGENTE</v>
      </c>
      <c r="FV130" s="3"/>
      <c r="FW130" s="4">
        <v>45700</v>
      </c>
      <c r="FX130" s="4">
        <f>DATE(YEAR(FW130)+2,MONTH(FW130),DAY(FW130)-1)</f>
        <v>46429</v>
      </c>
      <c r="FY130" s="8">
        <f t="shared" ca="1" si="306"/>
        <v>284</v>
      </c>
      <c r="FZ130" s="5" t="str">
        <f t="shared" ca="1" si="307"/>
        <v>VIGENTE</v>
      </c>
      <c r="GA130" s="3"/>
      <c r="GB130" s="4">
        <v>45667</v>
      </c>
      <c r="GC130" s="4">
        <f>DATE(YEAR(GB130)+2,MONTH(GB130),DAY(GB130)-1)</f>
        <v>46396</v>
      </c>
      <c r="GD130" s="8">
        <f t="shared" ca="1" si="308"/>
        <v>251</v>
      </c>
      <c r="GE130" s="5" t="str">
        <f t="shared" ca="1" si="309"/>
        <v>VIGENTE</v>
      </c>
      <c r="GF130" s="3"/>
      <c r="GG130" s="4">
        <v>45752</v>
      </c>
      <c r="GH130" s="4">
        <f>DATE(YEAR(GG130)+2,MONTH(GG130),DAY(GG130)-1)</f>
        <v>46481</v>
      </c>
      <c r="GI130" s="8">
        <f t="shared" ca="1" si="310"/>
        <v>336</v>
      </c>
      <c r="GJ130" s="5" t="str">
        <f t="shared" ca="1" si="311"/>
        <v>VIGENTE</v>
      </c>
      <c r="GK130" s="3"/>
      <c r="GL130" s="4">
        <v>45687</v>
      </c>
      <c r="GM130" s="4">
        <f>DATE(YEAR(GL130)+2,MONTH(GL130),DAY(GL130)-1)</f>
        <v>46416</v>
      </c>
      <c r="GN130" s="8">
        <f t="shared" ca="1" si="312"/>
        <v>271</v>
      </c>
      <c r="GO130" s="5" t="str">
        <f t="shared" ca="1" si="313"/>
        <v>VIGENTE</v>
      </c>
      <c r="GP130" s="4"/>
      <c r="GQ130" s="4">
        <v>45048</v>
      </c>
      <c r="GR130" s="4">
        <f t="shared" si="314"/>
        <v>46875</v>
      </c>
      <c r="GS130" s="8">
        <f t="shared" ca="1" si="405"/>
        <v>730</v>
      </c>
      <c r="GT130" s="5" t="str">
        <f t="shared" ca="1" si="419"/>
        <v>VIGENTE</v>
      </c>
      <c r="GU130" s="3"/>
      <c r="GV130" s="4">
        <v>45029</v>
      </c>
      <c r="GW130" s="4">
        <f t="shared" si="316"/>
        <v>46856</v>
      </c>
      <c r="GX130" s="8">
        <f t="shared" ca="1" si="317"/>
        <v>711</v>
      </c>
      <c r="GY130" s="5" t="str">
        <f t="shared" ca="1" si="426"/>
        <v>VIGENTE</v>
      </c>
      <c r="GZ130" s="2"/>
      <c r="HA130" s="4">
        <v>45127</v>
      </c>
      <c r="HB130" s="4">
        <f t="shared" si="319"/>
        <v>46954</v>
      </c>
      <c r="HC130" s="8">
        <f t="shared" ca="1" si="320"/>
        <v>809</v>
      </c>
      <c r="HD130" s="5" t="str">
        <f t="shared" ca="1" si="421"/>
        <v>VIGENTE</v>
      </c>
      <c r="HE130" s="6"/>
      <c r="HF130" s="4">
        <v>45150</v>
      </c>
      <c r="HG130" s="4">
        <f t="shared" si="428"/>
        <v>46977</v>
      </c>
      <c r="HH130" s="8">
        <f t="shared" ca="1" si="429"/>
        <v>832</v>
      </c>
      <c r="HI130" s="5" t="str">
        <f t="shared" ca="1" si="427"/>
        <v>VIGENTE</v>
      </c>
      <c r="HJ130" s="2"/>
      <c r="HK130" s="6"/>
      <c r="HL130" s="4"/>
      <c r="HM130" s="8"/>
      <c r="HN130" s="5" t="str">
        <f t="shared" si="444"/>
        <v>NO APLICA</v>
      </c>
      <c r="HO130" s="2"/>
      <c r="HP130" s="2"/>
      <c r="HQ130" s="4"/>
      <c r="HR130" s="2"/>
      <c r="HS130" s="5" t="str">
        <f t="shared" si="322"/>
        <v>NO APLICA</v>
      </c>
      <c r="HT130" s="2"/>
      <c r="HU130" s="4">
        <v>45180</v>
      </c>
      <c r="HV130" s="4">
        <f>DATE(YEAR(HU130)+5,MONTH(HU130),DAY(HU130))</f>
        <v>47007</v>
      </c>
      <c r="HW130" s="8">
        <f ca="1">HV130-TODAY()</f>
        <v>862</v>
      </c>
      <c r="HX130" s="5" t="str">
        <f t="shared" ca="1" si="323"/>
        <v>VIGENTE</v>
      </c>
      <c r="HY130" s="2"/>
      <c r="HZ130" s="4">
        <v>45194</v>
      </c>
      <c r="IA130" s="4">
        <f>DATE(YEAR(HZ130)+5,MONTH(HZ130),DAY(HZ130))</f>
        <v>47021</v>
      </c>
      <c r="IB130" s="8">
        <f ca="1">IA130-TODAY()</f>
        <v>876</v>
      </c>
      <c r="IC130" s="5" t="str">
        <f t="shared" ca="1" si="324"/>
        <v>VIGENTE</v>
      </c>
      <c r="ID130" s="2"/>
      <c r="IE130" s="4">
        <v>45192</v>
      </c>
      <c r="IF130" s="4">
        <f>DATE(YEAR(IE130)+5,MONTH(IE130),DAY(IE130))</f>
        <v>47019</v>
      </c>
      <c r="IG130" s="8">
        <f ca="1">IF130-TODAY()</f>
        <v>874</v>
      </c>
      <c r="IH130" s="5" t="str">
        <f t="shared" ca="1" si="325"/>
        <v>VIGENTE</v>
      </c>
      <c r="II130" s="6"/>
      <c r="IJ130" s="4">
        <v>45156</v>
      </c>
      <c r="IK130" s="4">
        <f>DATE(YEAR(IJ130)+5,MONTH(IJ130),DAY(IJ130))</f>
        <v>46983</v>
      </c>
      <c r="IL130" s="8">
        <f ca="1">IK130-TODAY()</f>
        <v>838</v>
      </c>
      <c r="IM130" s="5" t="str">
        <f t="shared" ca="1" si="326"/>
        <v>VIGENTE</v>
      </c>
      <c r="IN130" s="2"/>
      <c r="IO130" s="4">
        <v>45157</v>
      </c>
      <c r="IP130" s="4">
        <f>DATE(YEAR(IO130)+5,MONTH(IO130),DAY(IO130))</f>
        <v>46984</v>
      </c>
      <c r="IQ130" s="8">
        <f ca="1">IP130-TODAY()</f>
        <v>839</v>
      </c>
      <c r="IR130" s="5" t="str">
        <f t="shared" ca="1" si="327"/>
        <v>VIGENTE</v>
      </c>
      <c r="IS130" s="2"/>
      <c r="IT130" s="4">
        <v>45191</v>
      </c>
      <c r="IU130" s="4">
        <f>DATE(YEAR(IT130)+5,MONTH(IT130),DAY(IT130))</f>
        <v>47018</v>
      </c>
      <c r="IV130" s="8">
        <f ca="1">IU130-TODAY()</f>
        <v>873</v>
      </c>
      <c r="IW130" s="5" t="str">
        <f t="shared" ca="1" si="328"/>
        <v>VIGENTE</v>
      </c>
      <c r="IX130" s="2"/>
      <c r="IY130" s="4">
        <v>45216</v>
      </c>
      <c r="IZ130" s="4">
        <f>DATE(YEAR(IY130)+5,MONTH(IY130),DAY(IY130))</f>
        <v>47043</v>
      </c>
      <c r="JA130" s="8">
        <f ca="1">IZ130-TODAY()</f>
        <v>898</v>
      </c>
      <c r="JB130" s="5" t="str">
        <f t="shared" ca="1" si="329"/>
        <v>VIGENTE</v>
      </c>
      <c r="JC130" s="3" t="s">
        <v>780</v>
      </c>
      <c r="JD130" s="3"/>
      <c r="JE130" s="4"/>
      <c r="JF130" s="8"/>
      <c r="JG130" s="5"/>
      <c r="JH130" s="3" t="s">
        <v>780</v>
      </c>
      <c r="JI130" s="6"/>
      <c r="JJ130" s="6"/>
      <c r="JK130" s="6"/>
      <c r="JL130" s="5"/>
      <c r="JM130" s="6" t="s">
        <v>780</v>
      </c>
      <c r="JN130" s="6"/>
      <c r="JO130" s="6"/>
      <c r="JP130" s="6"/>
      <c r="JQ130" s="5"/>
      <c r="JR130" s="6" t="s">
        <v>780</v>
      </c>
      <c r="JS130" s="6"/>
      <c r="JT130" s="6"/>
      <c r="JU130" s="6"/>
      <c r="JV130" s="5"/>
      <c r="JW130" s="6" t="s">
        <v>780</v>
      </c>
      <c r="JX130" s="5"/>
      <c r="JY130" s="5"/>
      <c r="JZ130" s="5"/>
      <c r="KA130" s="5"/>
      <c r="KB130" s="5"/>
      <c r="KC130" s="2"/>
      <c r="KD130" s="4"/>
      <c r="KE130" s="8"/>
      <c r="KF130" s="5" t="str">
        <f t="shared" si="330"/>
        <v>NO APLICA</v>
      </c>
      <c r="KG130" s="5"/>
      <c r="KH130" s="2"/>
      <c r="KI130" s="4"/>
      <c r="KJ130" s="8"/>
      <c r="KK130" s="5" t="str">
        <f t="shared" si="356"/>
        <v>NO APLICA</v>
      </c>
      <c r="KL130" s="5"/>
      <c r="KM130" s="2"/>
      <c r="KN130" s="4"/>
      <c r="KO130" s="8"/>
      <c r="KP130" s="5" t="str">
        <f t="shared" si="331"/>
        <v>NO APLICA</v>
      </c>
      <c r="KQ130" s="5"/>
      <c r="KR130" s="3">
        <v>45346</v>
      </c>
      <c r="KS130" s="4">
        <f>DATE(YEAR(KR130)+5,MONTH(KR130),DAY(KR130))</f>
        <v>47173</v>
      </c>
      <c r="KT130" s="8">
        <f ca="1">KS130-TODAY()</f>
        <v>1028</v>
      </c>
      <c r="KU130" s="5" t="str">
        <f t="shared" ca="1" si="357"/>
        <v>VIGENTE</v>
      </c>
      <c r="KV130" s="2"/>
      <c r="KW130" s="6"/>
      <c r="KX130" s="4"/>
      <c r="KY130" s="8"/>
      <c r="KZ130" s="5" t="str">
        <f t="shared" si="366"/>
        <v>NO APLICA</v>
      </c>
      <c r="LA130" s="5"/>
      <c r="LB130" s="6"/>
      <c r="LC130" s="4"/>
      <c r="LD130" s="8"/>
      <c r="LE130" s="5" t="str">
        <f t="shared" si="358"/>
        <v>NO APLICA</v>
      </c>
      <c r="LF130" s="6"/>
      <c r="LG130" s="4">
        <v>45611</v>
      </c>
      <c r="LH130" s="4">
        <f>DATE(YEAR(LG130)+2,MONTH(LG130),DAY(LG130))</f>
        <v>46341</v>
      </c>
      <c r="LI130" s="8">
        <f ca="1">LH130-TODAY()</f>
        <v>196</v>
      </c>
      <c r="LJ130" s="5" t="str">
        <f t="shared" ca="1" si="332"/>
        <v>VIGENTE</v>
      </c>
      <c r="LK130" s="5"/>
      <c r="LL130" s="5"/>
      <c r="LM130" s="5"/>
      <c r="LN130" s="5"/>
      <c r="LO130" s="5" t="str">
        <f t="shared" si="367"/>
        <v>NO APLICA</v>
      </c>
      <c r="LP130" s="2"/>
      <c r="LQ130" s="6"/>
      <c r="LR130" s="4"/>
      <c r="LS130" s="8"/>
      <c r="LT130" s="5" t="str">
        <f t="shared" si="359"/>
        <v>NO APLICA</v>
      </c>
      <c r="LU130" s="6"/>
      <c r="LV130" s="6"/>
      <c r="LW130" s="4"/>
      <c r="LX130" s="8"/>
      <c r="LY130" s="5" t="str">
        <f t="shared" si="360"/>
        <v>NO APLICA</v>
      </c>
      <c r="LZ130" s="6"/>
      <c r="MA130" s="6"/>
      <c r="MB130" s="4"/>
      <c r="MC130" s="8"/>
      <c r="MD130" s="5" t="str">
        <f t="shared" si="361"/>
        <v>NO APLICA</v>
      </c>
      <c r="ME130" s="2"/>
      <c r="MF130" s="2"/>
      <c r="MG130" s="4"/>
      <c r="MH130" s="8"/>
      <c r="MI130" s="5" t="str">
        <f t="shared" si="333"/>
        <v>NO APLICA</v>
      </c>
      <c r="MJ130" s="2"/>
      <c r="MK130" s="2"/>
      <c r="ML130" s="4"/>
      <c r="MM130" s="8"/>
      <c r="MN130" s="5" t="str">
        <f t="shared" si="334"/>
        <v>NO APLICA</v>
      </c>
      <c r="MO130" s="5"/>
      <c r="MP130" s="2"/>
      <c r="MQ130" s="4"/>
      <c r="MR130" s="8"/>
      <c r="MS130" s="5" t="str">
        <f t="shared" si="335"/>
        <v>NO APLICA</v>
      </c>
      <c r="MT130" s="5"/>
      <c r="MU130" s="2"/>
      <c r="MV130" s="4"/>
      <c r="MW130" s="2"/>
      <c r="MX130" s="5" t="str">
        <f t="shared" si="336"/>
        <v>NO APLICA</v>
      </c>
      <c r="MY130" s="2"/>
      <c r="MZ130" s="6"/>
      <c r="NA130" s="4"/>
      <c r="NB130" s="8"/>
      <c r="NC130" s="5" t="str">
        <f t="shared" si="337"/>
        <v>NO APLICA</v>
      </c>
      <c r="ND130" s="2"/>
      <c r="NE130" s="6"/>
      <c r="NF130" s="4"/>
      <c r="NG130" s="8"/>
      <c r="NH130" s="5" t="str">
        <f t="shared" si="338"/>
        <v>NO APLICA</v>
      </c>
      <c r="NI130" s="2"/>
      <c r="NJ130" s="6"/>
      <c r="NK130" s="4"/>
      <c r="NL130" s="8"/>
      <c r="NM130" s="5" t="str">
        <f t="shared" si="339"/>
        <v>NO APLICA</v>
      </c>
      <c r="NN130" s="2"/>
      <c r="NO130" s="2"/>
      <c r="NP130" s="4"/>
      <c r="NQ130" s="2"/>
      <c r="NR130" s="5" t="str">
        <f t="shared" si="340"/>
        <v>NO APLICA</v>
      </c>
      <c r="NS130" s="2"/>
      <c r="NT130" s="2"/>
      <c r="NU130" s="4"/>
      <c r="NV130" s="2"/>
      <c r="NW130" s="5" t="str">
        <f t="shared" si="341"/>
        <v>NO APLICA</v>
      </c>
      <c r="NX130" s="6"/>
      <c r="NY130" s="6"/>
      <c r="NZ130" s="4"/>
      <c r="OA130" s="8"/>
      <c r="OB130" s="5" t="str">
        <f t="shared" si="342"/>
        <v>NO APLICA</v>
      </c>
      <c r="OC130" s="6"/>
      <c r="OD130" s="6"/>
      <c r="OE130" s="6"/>
      <c r="OF130" s="6"/>
      <c r="OG130" s="5" t="str">
        <f t="shared" si="343"/>
        <v>NO APLICA</v>
      </c>
      <c r="OH130" s="6"/>
      <c r="OI130" s="6"/>
      <c r="OJ130" s="4"/>
      <c r="OK130" s="8"/>
      <c r="OL130" s="5" t="str">
        <f t="shared" si="344"/>
        <v>NO APLICA</v>
      </c>
      <c r="OM130" s="6"/>
      <c r="ON130" s="6"/>
      <c r="OO130" s="6"/>
      <c r="OP130" s="6"/>
      <c r="OQ130" s="5" t="str">
        <f t="shared" si="345"/>
        <v>NO APLICA</v>
      </c>
      <c r="OR130" s="6"/>
      <c r="OS130" s="6"/>
      <c r="OT130" s="6"/>
      <c r="OU130" s="6"/>
      <c r="OV130" s="5" t="str">
        <f t="shared" si="346"/>
        <v>NO APLICA</v>
      </c>
      <c r="OW130" s="6"/>
      <c r="OX130" s="6"/>
      <c r="OY130" s="6"/>
      <c r="OZ130" s="6"/>
      <c r="PA130" s="5" t="str">
        <f t="shared" si="347"/>
        <v>NO APLICA</v>
      </c>
      <c r="PB130" s="6"/>
      <c r="PC130" s="6"/>
      <c r="PD130" s="6"/>
      <c r="PE130" s="6"/>
      <c r="PF130" s="5" t="str">
        <f t="shared" si="348"/>
        <v>NO APLICA</v>
      </c>
      <c r="PG130" s="6"/>
      <c r="PH130" s="6"/>
      <c r="PI130" s="6"/>
      <c r="PJ130" s="6"/>
      <c r="PK130" s="5" t="str">
        <f t="shared" si="349"/>
        <v>NO APLICA</v>
      </c>
      <c r="PL130" s="5"/>
      <c r="PM130" s="6"/>
      <c r="PN130" s="4"/>
      <c r="PO130" s="8"/>
      <c r="PP130" s="5" t="str">
        <f t="shared" si="350"/>
        <v>NO APLICA</v>
      </c>
      <c r="PQ130" s="6"/>
      <c r="PR130" s="6"/>
      <c r="PS130" s="6"/>
      <c r="PT130" s="6"/>
      <c r="PU130" s="5" t="str">
        <f t="shared" si="351"/>
        <v>NO APLICA</v>
      </c>
      <c r="PV130" s="5"/>
      <c r="PW130" s="6"/>
      <c r="PX130" s="6"/>
      <c r="PY130" s="6"/>
      <c r="PZ130" s="5" t="str">
        <f t="shared" si="352"/>
        <v>NO APLICA</v>
      </c>
    </row>
    <row r="131" spans="1:442" ht="15.6" hidden="1" thickTop="1" thickBot="1" x14ac:dyDescent="0.35">
      <c r="A131" s="26">
        <v>128</v>
      </c>
      <c r="B131" s="31">
        <v>1640</v>
      </c>
      <c r="C131" s="28" t="s">
        <v>433</v>
      </c>
      <c r="D131" s="29" t="s">
        <v>113</v>
      </c>
      <c r="E131" s="30" t="s">
        <v>174</v>
      </c>
      <c r="F131" s="2"/>
      <c r="G131" s="6"/>
      <c r="H131" s="4"/>
      <c r="I131" s="8"/>
      <c r="J131" s="5" t="str">
        <f t="shared" si="242"/>
        <v>NO APLICA</v>
      </c>
      <c r="K131" s="2"/>
      <c r="L131" s="6"/>
      <c r="M131" s="6"/>
      <c r="N131" s="8"/>
      <c r="O131" s="5" t="str">
        <f t="shared" si="243"/>
        <v>NO APLICA</v>
      </c>
      <c r="P131" s="6"/>
      <c r="Q131" s="6"/>
      <c r="R131" s="4"/>
      <c r="S131" s="8"/>
      <c r="T131" s="5" t="str">
        <f t="shared" si="353"/>
        <v>NO APLICA</v>
      </c>
      <c r="U131" s="5"/>
      <c r="V131" s="2" t="s">
        <v>434</v>
      </c>
      <c r="W131" s="4">
        <v>44944</v>
      </c>
      <c r="X131" s="4">
        <f t="shared" si="410"/>
        <v>46770</v>
      </c>
      <c r="Y131" s="8">
        <f t="shared" ca="1" si="411"/>
        <v>625</v>
      </c>
      <c r="Z131" s="5" t="str">
        <f t="shared" ca="1" si="412"/>
        <v>VIGENTE</v>
      </c>
      <c r="AA131" s="5"/>
      <c r="AB131" s="2"/>
      <c r="AC131" s="6"/>
      <c r="AD131" s="4"/>
      <c r="AE131" s="8"/>
      <c r="AF131" s="5" t="str">
        <f t="shared" si="247"/>
        <v>NO APLICA</v>
      </c>
      <c r="AG131" s="3"/>
      <c r="AH131" s="4">
        <v>45902</v>
      </c>
      <c r="AI131" s="4">
        <f t="shared" ref="AI131:AI137" si="448">DATE(YEAR(AH131)+2,MONTH(AH131),DAY(AH131))</f>
        <v>46632</v>
      </c>
      <c r="AJ131" s="8">
        <f t="shared" ca="1" si="248"/>
        <v>487</v>
      </c>
      <c r="AK131" s="5" t="str">
        <f t="shared" ca="1" si="408"/>
        <v>VIGENTE</v>
      </c>
      <c r="AL131" s="2"/>
      <c r="AM131" s="4">
        <v>45937</v>
      </c>
      <c r="AN131" s="4">
        <f t="shared" ref="AN131:AN137" si="449">DATE(YEAR(AM131)+2,MONTH(AM131),DAY(AM131))</f>
        <v>46667</v>
      </c>
      <c r="AO131" s="8">
        <f t="shared" ca="1" si="249"/>
        <v>522</v>
      </c>
      <c r="AP131" s="5" t="str">
        <f t="shared" ca="1" si="250"/>
        <v>VIGENTE</v>
      </c>
      <c r="AQ131" s="2"/>
      <c r="AR131" s="4">
        <v>45904</v>
      </c>
      <c r="AS131" s="4">
        <f t="shared" ref="AS131:AS137" si="450">DATE(YEAR(AR131)+2,MONTH(AR131),DAY(AR131))</f>
        <v>46634</v>
      </c>
      <c r="AT131" s="8">
        <f t="shared" ca="1" si="251"/>
        <v>489</v>
      </c>
      <c r="AU131" s="5" t="str">
        <f t="shared" ca="1" si="252"/>
        <v>VIGENTE</v>
      </c>
      <c r="AV131" s="2"/>
      <c r="AW131" s="4">
        <v>45927</v>
      </c>
      <c r="AX131" s="4">
        <f t="shared" si="445"/>
        <v>46657</v>
      </c>
      <c r="AY131" s="8">
        <f t="shared" ca="1" si="253"/>
        <v>512</v>
      </c>
      <c r="AZ131" s="5" t="str">
        <f t="shared" ca="1" si="254"/>
        <v>VIGENTE</v>
      </c>
      <c r="BA131" s="3"/>
      <c r="BB131" s="4">
        <v>45943</v>
      </c>
      <c r="BC131" s="4">
        <f>DATE(YEAR(BB131)+2,MONTH(BB131),DAY(BB131))</f>
        <v>46673</v>
      </c>
      <c r="BD131" s="8">
        <f t="shared" ca="1" si="255"/>
        <v>528</v>
      </c>
      <c r="BE131" s="5" t="str">
        <f t="shared" ca="1" si="256"/>
        <v>VIGENTE</v>
      </c>
      <c r="BF131" s="3"/>
      <c r="BG131" s="4">
        <v>45968</v>
      </c>
      <c r="BH131" s="4">
        <f t="shared" si="446"/>
        <v>46698</v>
      </c>
      <c r="BI131" s="8">
        <f t="shared" ca="1" si="257"/>
        <v>553</v>
      </c>
      <c r="BJ131" s="5" t="str">
        <f t="shared" ca="1" si="258"/>
        <v>VIGENTE</v>
      </c>
      <c r="BK131" s="3"/>
      <c r="BL131" s="4">
        <v>45976</v>
      </c>
      <c r="BM131" s="4">
        <f>DATE(YEAR(BL131)+2,MONTH(BL131),DAY(BL131))</f>
        <v>46706</v>
      </c>
      <c r="BN131" s="8">
        <f t="shared" ca="1" si="259"/>
        <v>561</v>
      </c>
      <c r="BO131" s="5" t="str">
        <f t="shared" ca="1" si="260"/>
        <v>VIGENTE</v>
      </c>
      <c r="BP131" s="3"/>
      <c r="BQ131" s="39">
        <v>45981</v>
      </c>
      <c r="BR131" s="4">
        <f>DATE(YEAR(BQ131)+2,MONTH(BQ131),DAY(BQ131))</f>
        <v>46711</v>
      </c>
      <c r="BS131" s="8">
        <f t="shared" ca="1" si="261"/>
        <v>566</v>
      </c>
      <c r="BT131" s="5" t="str">
        <f t="shared" ca="1" si="262"/>
        <v>VIGENTE</v>
      </c>
      <c r="BU131" s="3"/>
      <c r="BV131" s="4">
        <v>45950</v>
      </c>
      <c r="BW131" s="4">
        <f>DATE(YEAR(BV131)+2,MONTH(BV131),DAY(BV131))</f>
        <v>46680</v>
      </c>
      <c r="BX131" s="8">
        <f t="shared" ca="1" si="263"/>
        <v>535</v>
      </c>
      <c r="BY131" s="5" t="str">
        <f t="shared" ca="1" si="264"/>
        <v>VIGENTE</v>
      </c>
      <c r="BZ131" s="2"/>
      <c r="CA131" s="4">
        <v>45944</v>
      </c>
      <c r="CB131" s="4">
        <f t="shared" si="447"/>
        <v>46674</v>
      </c>
      <c r="CC131" s="8">
        <f t="shared" ca="1" si="265"/>
        <v>529</v>
      </c>
      <c r="CD131" s="5" t="str">
        <f t="shared" ca="1" si="266"/>
        <v>VIGENTE</v>
      </c>
      <c r="CE131" s="6"/>
      <c r="CF131" s="4">
        <v>45828</v>
      </c>
      <c r="CG131" s="4">
        <f t="shared" si="416"/>
        <v>47289</v>
      </c>
      <c r="CH131" s="8">
        <f t="shared" ca="1" si="417"/>
        <v>1144</v>
      </c>
      <c r="CI131" s="5" t="str">
        <f t="shared" ca="1" si="418"/>
        <v>VIGENTE</v>
      </c>
      <c r="CJ131" s="6"/>
      <c r="CK131" s="4">
        <v>45929</v>
      </c>
      <c r="CL131" s="4">
        <f>DATE(YEAR(CK131)+2,MONTH(CK131),DAY(CK131))</f>
        <v>46659</v>
      </c>
      <c r="CM131" s="8">
        <f t="shared" ca="1" si="270"/>
        <v>514</v>
      </c>
      <c r="CN131" s="5" t="str">
        <f t="shared" ca="1" si="271"/>
        <v>VIGENTE</v>
      </c>
      <c r="CO131" s="3"/>
      <c r="CP131" s="39">
        <v>45882</v>
      </c>
      <c r="CQ131" s="4">
        <f>DATE(YEAR(CP131)+2,MONTH(CP131),DAY(CP131))</f>
        <v>46612</v>
      </c>
      <c r="CR131" s="8">
        <f t="shared" ca="1" si="272"/>
        <v>467</v>
      </c>
      <c r="CS131" s="5" t="str">
        <f t="shared" ca="1" si="273"/>
        <v>VIGENTE</v>
      </c>
      <c r="CT131" s="2"/>
      <c r="CU131" s="4">
        <v>45905</v>
      </c>
      <c r="CV131" s="4">
        <f>DATE(YEAR(CU131)+2,MONTH(CU131),DAY(CU131))</f>
        <v>46635</v>
      </c>
      <c r="CW131" s="8">
        <f t="shared" ca="1" si="274"/>
        <v>490</v>
      </c>
      <c r="CX131" s="5" t="str">
        <f t="shared" ca="1" si="275"/>
        <v>VIGENTE</v>
      </c>
      <c r="CY131" s="3"/>
      <c r="CZ131" s="4">
        <v>45924</v>
      </c>
      <c r="DA131" s="4">
        <f>DATE(YEAR(CZ131)+2,MONTH(CZ131),DAY(CZ131))</f>
        <v>46654</v>
      </c>
      <c r="DB131" s="8">
        <f t="shared" ca="1" si="276"/>
        <v>509</v>
      </c>
      <c r="DC131" s="5" t="str">
        <f t="shared" ca="1" si="277"/>
        <v>VIGENTE</v>
      </c>
      <c r="DD131" s="3"/>
      <c r="DE131" s="39">
        <v>45986</v>
      </c>
      <c r="DF131" s="4">
        <f>DATE(YEAR(DE131)+2,MONTH(DE131),DAY(DE131))</f>
        <v>46716</v>
      </c>
      <c r="DG131" s="8">
        <f t="shared" ca="1" si="278"/>
        <v>571</v>
      </c>
      <c r="DH131" s="5" t="str">
        <f t="shared" ca="1" si="279"/>
        <v>VIGENTE</v>
      </c>
      <c r="DI131" s="2"/>
      <c r="DJ131" s="39">
        <v>45975</v>
      </c>
      <c r="DK131" s="4">
        <f>DATE(YEAR(DJ131)+2,MONTH(DJ131),DAY(DJ131))</f>
        <v>46705</v>
      </c>
      <c r="DL131" s="8">
        <f t="shared" ca="1" si="280"/>
        <v>560</v>
      </c>
      <c r="DM131" s="5" t="str">
        <f t="shared" ca="1" si="281"/>
        <v>VIGENTE</v>
      </c>
      <c r="DN131" s="3"/>
      <c r="DO131" s="4">
        <v>45982</v>
      </c>
      <c r="DP131" s="4">
        <f>DATE(YEAR(DO131)+2,MONTH(DO131),DAY(DO131))</f>
        <v>46712</v>
      </c>
      <c r="DQ131" s="8">
        <f t="shared" ca="1" si="282"/>
        <v>567</v>
      </c>
      <c r="DR131" s="5" t="str">
        <f t="shared" ca="1" si="283"/>
        <v>VIGENTE</v>
      </c>
      <c r="DS131" s="3"/>
      <c r="DT131" s="4">
        <v>45885</v>
      </c>
      <c r="DU131" s="4">
        <f>DATE(YEAR(DT131)+2,MONTH(DT131),DAY(DT131))</f>
        <v>46615</v>
      </c>
      <c r="DV131" s="8">
        <f t="shared" ca="1" si="284"/>
        <v>470</v>
      </c>
      <c r="DW131" s="5" t="str">
        <f t="shared" ca="1" si="285"/>
        <v>VIGENTE</v>
      </c>
      <c r="DX131" s="3"/>
      <c r="DY131" s="4">
        <v>46020</v>
      </c>
      <c r="DZ131" s="4">
        <f>DATE(YEAR(DY131)+2,MONTH(DY131),DAY(DY131))</f>
        <v>46750</v>
      </c>
      <c r="EA131" s="8">
        <f t="shared" ca="1" si="286"/>
        <v>605</v>
      </c>
      <c r="EB131" s="5" t="str">
        <f t="shared" ca="1" si="287"/>
        <v>VIGENTE</v>
      </c>
      <c r="EC131" s="3"/>
      <c r="ED131" s="39">
        <v>45913</v>
      </c>
      <c r="EE131" s="4">
        <f>DATE(YEAR(ED131)+2,MONTH(ED131),DAY(ED131))</f>
        <v>46643</v>
      </c>
      <c r="EF131" s="8">
        <f t="shared" ca="1" si="288"/>
        <v>498</v>
      </c>
      <c r="EG131" s="5" t="str">
        <f t="shared" ca="1" si="289"/>
        <v>VIGENTE</v>
      </c>
      <c r="EH131" s="3"/>
      <c r="EI131" s="3">
        <v>46002</v>
      </c>
      <c r="EJ131" s="4">
        <f t="shared" si="355"/>
        <v>46367</v>
      </c>
      <c r="EK131" s="8">
        <f t="shared" ca="1" si="290"/>
        <v>222</v>
      </c>
      <c r="EL131" s="5" t="str">
        <f t="shared" ca="1" si="291"/>
        <v>VIGENTE</v>
      </c>
      <c r="EM131" s="3"/>
      <c r="EN131" s="4">
        <v>45940</v>
      </c>
      <c r="EO131" s="4">
        <f>DATE(YEAR(EN131)+2,MONTH(EN131),DAY(EN131))</f>
        <v>46670</v>
      </c>
      <c r="EP131" s="8">
        <f t="shared" ca="1" si="292"/>
        <v>525</v>
      </c>
      <c r="EQ131" s="5" t="str">
        <f t="shared" ca="1" si="293"/>
        <v>VIGENTE</v>
      </c>
      <c r="ER131" s="2"/>
      <c r="ES131" s="39">
        <v>45922</v>
      </c>
      <c r="ET131" s="4">
        <f>DATE(YEAR(ES131)+2,MONTH(ES131),DAY(ES131))</f>
        <v>46652</v>
      </c>
      <c r="EU131" s="8">
        <f t="shared" ca="1" si="294"/>
        <v>507</v>
      </c>
      <c r="EV131" s="5" t="str">
        <f t="shared" ca="1" si="295"/>
        <v>VIGENTE</v>
      </c>
      <c r="EW131" s="2"/>
      <c r="EX131" s="4">
        <v>45917</v>
      </c>
      <c r="EY131" s="4">
        <f t="shared" ref="EY131:EY137" si="451">DATE(YEAR(EX131)+2,MONTH(EX131),DAY(EX131))</f>
        <v>46647</v>
      </c>
      <c r="EZ131" s="8">
        <f t="shared" ca="1" si="296"/>
        <v>502</v>
      </c>
      <c r="FA131" s="5" t="str">
        <f t="shared" ca="1" si="297"/>
        <v>VIGENTE</v>
      </c>
      <c r="FB131" s="2"/>
      <c r="FC131" s="4">
        <v>45931</v>
      </c>
      <c r="FD131" s="4">
        <f t="shared" ref="FD131:FD137" si="452">DATE(YEAR(FC131)+2,MONTH(FC131),DAY(FC131))</f>
        <v>46661</v>
      </c>
      <c r="FE131" s="8">
        <f t="shared" ca="1" si="298"/>
        <v>516</v>
      </c>
      <c r="FF131" s="5" t="str">
        <f t="shared" ca="1" si="299"/>
        <v>VIGENTE</v>
      </c>
      <c r="FG131" s="2"/>
      <c r="FH131" s="4">
        <v>45932</v>
      </c>
      <c r="FI131" s="4">
        <f t="shared" ref="FI131:FI137" si="453">DATE(YEAR(FH131)+2,MONTH(FH131),DAY(FH131))</f>
        <v>46662</v>
      </c>
      <c r="FJ131" s="8">
        <f t="shared" ca="1" si="300"/>
        <v>517</v>
      </c>
      <c r="FK131" s="5" t="str">
        <f t="shared" ca="1" si="301"/>
        <v>VIGENTE</v>
      </c>
      <c r="FL131" s="3"/>
      <c r="FM131" s="39">
        <v>45933</v>
      </c>
      <c r="FN131" s="4">
        <f>DATE(YEAR(FM131)+2,MONTH(FM131),DAY(FM131))</f>
        <v>46663</v>
      </c>
      <c r="FO131" s="8">
        <f t="shared" ca="1" si="302"/>
        <v>518</v>
      </c>
      <c r="FP131" s="5" t="str">
        <f t="shared" ca="1" si="303"/>
        <v>VIGENTE</v>
      </c>
      <c r="FQ131" s="3"/>
      <c r="FR131" s="39">
        <v>45957</v>
      </c>
      <c r="FS131" s="4">
        <f>DATE(YEAR(FR131)+2,MONTH(FR131),DAY(FR131))</f>
        <v>46687</v>
      </c>
      <c r="FT131" s="8">
        <f t="shared" ca="1" si="304"/>
        <v>542</v>
      </c>
      <c r="FU131" s="5" t="str">
        <f t="shared" ca="1" si="305"/>
        <v>VIGENTE</v>
      </c>
      <c r="FV131" s="3"/>
      <c r="FW131" s="4">
        <v>45993</v>
      </c>
      <c r="FX131" s="4">
        <f t="shared" ref="FX131:FX137" si="454">DATE(YEAR(FW131)+2,MONTH(FW131),DAY(FW131))</f>
        <v>46723</v>
      </c>
      <c r="FY131" s="8">
        <f t="shared" ca="1" si="306"/>
        <v>578</v>
      </c>
      <c r="FZ131" s="5" t="str">
        <f t="shared" ca="1" si="307"/>
        <v>VIGENTE</v>
      </c>
      <c r="GA131" s="3"/>
      <c r="GB131" s="4">
        <v>45833</v>
      </c>
      <c r="GC131" s="4">
        <f>DATE(YEAR(GB131)+2,MONTH(GB131),DAY(GB131))</f>
        <v>46563</v>
      </c>
      <c r="GD131" s="8">
        <f t="shared" ca="1" si="308"/>
        <v>418</v>
      </c>
      <c r="GE131" s="5" t="str">
        <f t="shared" ca="1" si="309"/>
        <v>VIGENTE</v>
      </c>
      <c r="GF131" s="3"/>
      <c r="GG131" s="4">
        <v>45912</v>
      </c>
      <c r="GH131" s="4">
        <f>DATE(YEAR(GG131)+2,MONTH(GG131),DAY(GG131))</f>
        <v>46642</v>
      </c>
      <c r="GI131" s="8">
        <f t="shared" ca="1" si="310"/>
        <v>497</v>
      </c>
      <c r="GJ131" s="5" t="str">
        <f t="shared" ca="1" si="311"/>
        <v>VIGENTE</v>
      </c>
      <c r="GK131" s="3"/>
      <c r="GL131" s="4">
        <v>45945</v>
      </c>
      <c r="GM131" s="4">
        <f>DATE(YEAR(GL131)+2,MONTH(GL131),DAY(GL131))</f>
        <v>46675</v>
      </c>
      <c r="GN131" s="8">
        <f t="shared" ca="1" si="312"/>
        <v>530</v>
      </c>
      <c r="GO131" s="5" t="str">
        <f t="shared" ca="1" si="313"/>
        <v>VIGENTE</v>
      </c>
      <c r="GP131" s="4"/>
      <c r="GQ131" s="4">
        <v>45219</v>
      </c>
      <c r="GR131" s="4">
        <f t="shared" si="314"/>
        <v>47046</v>
      </c>
      <c r="GS131" s="8">
        <f t="shared" ca="1" si="405"/>
        <v>901</v>
      </c>
      <c r="GT131" s="5" t="str">
        <f t="shared" ca="1" si="419"/>
        <v>VIGENTE</v>
      </c>
      <c r="GU131" s="3"/>
      <c r="GV131" s="4">
        <v>45267</v>
      </c>
      <c r="GW131" s="4">
        <f t="shared" si="316"/>
        <v>47094</v>
      </c>
      <c r="GX131" s="8">
        <f t="shared" ca="1" si="317"/>
        <v>949</v>
      </c>
      <c r="GY131" s="5" t="str">
        <f t="shared" ca="1" si="426"/>
        <v>VIGENTE</v>
      </c>
      <c r="GZ131" s="2"/>
      <c r="HA131" s="4">
        <v>45268</v>
      </c>
      <c r="HB131" s="4">
        <f t="shared" si="319"/>
        <v>47095</v>
      </c>
      <c r="HC131" s="8">
        <f t="shared" ca="1" si="320"/>
        <v>950</v>
      </c>
      <c r="HD131" s="5" t="str">
        <f t="shared" ca="1" si="421"/>
        <v>VIGENTE</v>
      </c>
      <c r="HE131" s="6"/>
      <c r="HF131" s="6"/>
      <c r="HG131" s="4"/>
      <c r="HH131" s="8"/>
      <c r="HI131" s="5" t="str">
        <f t="shared" si="427"/>
        <v>NO APLICA</v>
      </c>
      <c r="HJ131" s="2"/>
      <c r="HK131" s="6"/>
      <c r="HL131" s="4"/>
      <c r="HM131" s="8"/>
      <c r="HN131" s="5" t="str">
        <f t="shared" si="444"/>
        <v>NO APLICA</v>
      </c>
      <c r="HO131" s="2"/>
      <c r="HP131" s="2"/>
      <c r="HQ131" s="4"/>
      <c r="HR131" s="2"/>
      <c r="HS131" s="5" t="str">
        <f t="shared" si="322"/>
        <v>NO APLICA</v>
      </c>
      <c r="HT131" s="2"/>
      <c r="HU131" s="6"/>
      <c r="HV131" s="4"/>
      <c r="HW131" s="8"/>
      <c r="HX131" s="5" t="str">
        <f t="shared" si="323"/>
        <v>NO APLICA</v>
      </c>
      <c r="HY131" s="2"/>
      <c r="HZ131" s="6"/>
      <c r="IA131" s="4"/>
      <c r="IB131" s="8"/>
      <c r="IC131" s="5" t="str">
        <f t="shared" si="324"/>
        <v>NO APLICA</v>
      </c>
      <c r="ID131" s="2"/>
      <c r="IE131" s="6"/>
      <c r="IF131" s="4"/>
      <c r="IG131" s="8"/>
      <c r="IH131" s="5" t="str">
        <f t="shared" si="325"/>
        <v>NO APLICA</v>
      </c>
      <c r="II131" s="6"/>
      <c r="IJ131" s="6"/>
      <c r="IK131" s="4"/>
      <c r="IL131" s="8"/>
      <c r="IM131" s="5" t="str">
        <f t="shared" si="326"/>
        <v>NO APLICA</v>
      </c>
      <c r="IN131" s="2"/>
      <c r="IO131" s="6"/>
      <c r="IP131" s="4"/>
      <c r="IQ131" s="8"/>
      <c r="IR131" s="5" t="str">
        <f t="shared" si="327"/>
        <v>NO APLICA</v>
      </c>
      <c r="IS131" s="2"/>
      <c r="IT131" s="6"/>
      <c r="IU131" s="4"/>
      <c r="IV131" s="8"/>
      <c r="IW131" s="5" t="str">
        <f t="shared" si="328"/>
        <v>NO APLICA</v>
      </c>
      <c r="IX131" s="2"/>
      <c r="IY131" s="6"/>
      <c r="IZ131" s="4"/>
      <c r="JA131" s="8"/>
      <c r="JB131" s="5" t="str">
        <f t="shared" si="329"/>
        <v>NO APLICA</v>
      </c>
      <c r="JC131" s="3" t="s">
        <v>780</v>
      </c>
      <c r="JD131" s="3"/>
      <c r="JE131" s="4"/>
      <c r="JF131" s="8"/>
      <c r="JG131" s="5"/>
      <c r="JH131" s="3" t="s">
        <v>780</v>
      </c>
      <c r="JI131" s="6"/>
      <c r="JJ131" s="6"/>
      <c r="JK131" s="6"/>
      <c r="JL131" s="5"/>
      <c r="JM131" s="6" t="s">
        <v>780</v>
      </c>
      <c r="JN131" s="6"/>
      <c r="JO131" s="6"/>
      <c r="JP131" s="6"/>
      <c r="JQ131" s="5"/>
      <c r="JR131" s="6" t="s">
        <v>780</v>
      </c>
      <c r="JS131" s="6"/>
      <c r="JT131" s="6"/>
      <c r="JU131" s="6"/>
      <c r="JV131" s="5"/>
      <c r="JW131" s="6" t="s">
        <v>780</v>
      </c>
      <c r="JX131" s="5"/>
      <c r="JY131" s="5"/>
      <c r="JZ131" s="5"/>
      <c r="KA131" s="5"/>
      <c r="KB131" s="5"/>
      <c r="KC131" s="2"/>
      <c r="KD131" s="4"/>
      <c r="KE131" s="8"/>
      <c r="KF131" s="5" t="str">
        <f t="shared" si="330"/>
        <v>NO APLICA</v>
      </c>
      <c r="KG131" s="5"/>
      <c r="KH131" s="2"/>
      <c r="KI131" s="4"/>
      <c r="KJ131" s="8"/>
      <c r="KK131" s="5" t="str">
        <f t="shared" si="356"/>
        <v>NO APLICA</v>
      </c>
      <c r="KL131" s="5"/>
      <c r="KM131" s="2"/>
      <c r="KN131" s="4"/>
      <c r="KO131" s="8"/>
      <c r="KP131" s="5" t="str">
        <f t="shared" si="331"/>
        <v>NO APLICA</v>
      </c>
      <c r="KQ131" s="5"/>
      <c r="KR131" s="2"/>
      <c r="KS131" s="4"/>
      <c r="KT131" s="8"/>
      <c r="KU131" s="5" t="str">
        <f t="shared" si="357"/>
        <v>NO APLICA</v>
      </c>
      <c r="KV131" s="2"/>
      <c r="KW131" s="6"/>
      <c r="KX131" s="4"/>
      <c r="KY131" s="8"/>
      <c r="KZ131" s="5" t="str">
        <f t="shared" si="366"/>
        <v>NO APLICA</v>
      </c>
      <c r="LA131" s="5"/>
      <c r="LB131" s="6"/>
      <c r="LC131" s="4"/>
      <c r="LD131" s="8"/>
      <c r="LE131" s="5" t="str">
        <f t="shared" si="358"/>
        <v>NO APLICA</v>
      </c>
      <c r="LF131" s="6"/>
      <c r="LG131" s="6"/>
      <c r="LH131" s="4"/>
      <c r="LI131" s="8"/>
      <c r="LJ131" s="5" t="str">
        <f t="shared" si="332"/>
        <v>NO APLICA</v>
      </c>
      <c r="LK131" s="5"/>
      <c r="LL131" s="5"/>
      <c r="LM131" s="4"/>
      <c r="LN131" s="8"/>
      <c r="LO131" s="5" t="str">
        <f t="shared" si="367"/>
        <v>NO APLICA</v>
      </c>
      <c r="LP131" s="2"/>
      <c r="LQ131" s="6"/>
      <c r="LR131" s="4"/>
      <c r="LS131" s="8"/>
      <c r="LT131" s="5" t="str">
        <f t="shared" si="359"/>
        <v>NO APLICA</v>
      </c>
      <c r="LU131" s="6"/>
      <c r="LV131" s="6"/>
      <c r="LW131" s="4"/>
      <c r="LX131" s="8"/>
      <c r="LY131" s="5" t="str">
        <f t="shared" si="360"/>
        <v>NO APLICA</v>
      </c>
      <c r="LZ131" s="6"/>
      <c r="MA131" s="6"/>
      <c r="MB131" s="4"/>
      <c r="MC131" s="8"/>
      <c r="MD131" s="5" t="str">
        <f t="shared" si="361"/>
        <v>NO APLICA</v>
      </c>
      <c r="ME131" s="2"/>
      <c r="MF131" s="2"/>
      <c r="MG131" s="4"/>
      <c r="MH131" s="8"/>
      <c r="MI131" s="5" t="str">
        <f t="shared" si="333"/>
        <v>NO APLICA</v>
      </c>
      <c r="MJ131" s="2"/>
      <c r="MK131" s="2"/>
      <c r="ML131" s="4"/>
      <c r="MM131" s="8"/>
      <c r="MN131" s="5" t="str">
        <f t="shared" si="334"/>
        <v>NO APLICA</v>
      </c>
      <c r="MO131" s="5"/>
      <c r="MP131" s="2"/>
      <c r="MQ131" s="4"/>
      <c r="MR131" s="8"/>
      <c r="MS131" s="5" t="str">
        <f t="shared" si="335"/>
        <v>NO APLICA</v>
      </c>
      <c r="MT131" s="5"/>
      <c r="MU131" s="2"/>
      <c r="MV131" s="4"/>
      <c r="MW131" s="2"/>
      <c r="MX131" s="5" t="str">
        <f t="shared" si="336"/>
        <v>NO APLICA</v>
      </c>
      <c r="MY131" s="2"/>
      <c r="MZ131" s="6"/>
      <c r="NA131" s="4"/>
      <c r="NB131" s="8"/>
      <c r="NC131" s="5" t="str">
        <f t="shared" si="337"/>
        <v>NO APLICA</v>
      </c>
      <c r="ND131" s="2"/>
      <c r="NE131" s="6"/>
      <c r="NF131" s="4"/>
      <c r="NG131" s="8"/>
      <c r="NH131" s="5" t="str">
        <f t="shared" si="338"/>
        <v>NO APLICA</v>
      </c>
      <c r="NI131" s="2"/>
      <c r="NJ131" s="6"/>
      <c r="NK131" s="4"/>
      <c r="NL131" s="8"/>
      <c r="NM131" s="5" t="str">
        <f t="shared" si="339"/>
        <v>NO APLICA</v>
      </c>
      <c r="NN131" s="2"/>
      <c r="NO131" s="2"/>
      <c r="NP131" s="4"/>
      <c r="NQ131" s="8"/>
      <c r="NR131" s="5" t="str">
        <f t="shared" si="340"/>
        <v>NO APLICA</v>
      </c>
      <c r="NS131" s="2"/>
      <c r="NT131" s="2"/>
      <c r="NU131" s="4"/>
      <c r="NV131" s="2"/>
      <c r="NW131" s="5" t="str">
        <f t="shared" si="341"/>
        <v>NO APLICA</v>
      </c>
      <c r="NX131" s="6"/>
      <c r="NY131" s="6"/>
      <c r="NZ131" s="4"/>
      <c r="OA131" s="8"/>
      <c r="OB131" s="5" t="str">
        <f t="shared" si="342"/>
        <v>NO APLICA</v>
      </c>
      <c r="OC131" s="6"/>
      <c r="OD131" s="6"/>
      <c r="OE131" s="6"/>
      <c r="OF131" s="6"/>
      <c r="OG131" s="5" t="str">
        <f t="shared" si="343"/>
        <v>NO APLICA</v>
      </c>
      <c r="OH131" s="2"/>
      <c r="OI131" s="2"/>
      <c r="OJ131" s="4"/>
      <c r="OK131" s="8"/>
      <c r="OL131" s="5" t="str">
        <f t="shared" si="344"/>
        <v>NO APLICA</v>
      </c>
      <c r="OM131" s="6"/>
      <c r="ON131" s="6"/>
      <c r="OO131" s="6"/>
      <c r="OP131" s="6"/>
      <c r="OQ131" s="5" t="str">
        <f t="shared" si="345"/>
        <v>NO APLICA</v>
      </c>
      <c r="OR131" s="6"/>
      <c r="OS131" s="6"/>
      <c r="OT131" s="6"/>
      <c r="OU131" s="6"/>
      <c r="OV131" s="5" t="str">
        <f t="shared" si="346"/>
        <v>NO APLICA</v>
      </c>
      <c r="OW131" s="6"/>
      <c r="OX131" s="6"/>
      <c r="OY131" s="6"/>
      <c r="OZ131" s="6"/>
      <c r="PA131" s="5" t="str">
        <f t="shared" si="347"/>
        <v>NO APLICA</v>
      </c>
      <c r="PB131" s="6"/>
      <c r="PC131" s="6"/>
      <c r="PD131" s="6"/>
      <c r="PE131" s="6"/>
      <c r="PF131" s="5" t="str">
        <f t="shared" si="348"/>
        <v>NO APLICA</v>
      </c>
      <c r="PG131" s="6"/>
      <c r="PH131" s="6"/>
      <c r="PI131" s="6"/>
      <c r="PJ131" s="6"/>
      <c r="PK131" s="5" t="str">
        <f t="shared" si="349"/>
        <v>NO APLICA</v>
      </c>
      <c r="PL131" s="5"/>
      <c r="PM131" s="6"/>
      <c r="PN131" s="4"/>
      <c r="PO131" s="8"/>
      <c r="PP131" s="5" t="str">
        <f t="shared" si="350"/>
        <v>NO APLICA</v>
      </c>
      <c r="PQ131" s="6"/>
      <c r="PR131" s="6"/>
      <c r="PS131" s="6"/>
      <c r="PT131" s="6"/>
      <c r="PU131" s="5" t="str">
        <f t="shared" si="351"/>
        <v>NO APLICA</v>
      </c>
      <c r="PV131" s="5"/>
      <c r="PW131" s="6"/>
      <c r="PX131" s="6"/>
      <c r="PY131" s="6"/>
      <c r="PZ131" s="5" t="str">
        <f t="shared" si="352"/>
        <v>NO APLICA</v>
      </c>
    </row>
    <row r="132" spans="1:442" ht="15.6" hidden="1" thickTop="1" thickBot="1" x14ac:dyDescent="0.35">
      <c r="A132" s="26">
        <v>129</v>
      </c>
      <c r="B132" s="31">
        <v>1087</v>
      </c>
      <c r="C132" s="28" t="s">
        <v>435</v>
      </c>
      <c r="D132" s="29" t="s">
        <v>68</v>
      </c>
      <c r="E132" s="30" t="s">
        <v>73</v>
      </c>
      <c r="F132" s="6"/>
      <c r="G132" s="6"/>
      <c r="H132" s="6"/>
      <c r="I132" s="6"/>
      <c r="J132" s="5" t="str">
        <f t="shared" ref="J132:J189" si="455">IF(I132&gt;=61,"VIGENTE",IF(I132&gt;=1,"POR VENCER",IF(I132&lt;=-1,"VENCIDA",IF(G132=0,"NO APLICA"))))</f>
        <v>NO APLICA</v>
      </c>
      <c r="K132" s="6"/>
      <c r="L132" s="6"/>
      <c r="M132" s="6"/>
      <c r="N132" s="6"/>
      <c r="O132" s="5" t="str">
        <f t="shared" ref="O132:O195" si="456">IF(N132&gt;=61,"VIGENTE",IF(N132&gt;=1,"POR VENCER",IF(N132&lt;=-1,"VENCIDA",IF(L132=0,"NO APLICA"))))</f>
        <v>NO APLICA</v>
      </c>
      <c r="P132" s="6"/>
      <c r="Q132" s="6"/>
      <c r="R132" s="6"/>
      <c r="S132" s="6"/>
      <c r="T132" s="5" t="str">
        <f t="shared" si="353"/>
        <v>NO APLICA</v>
      </c>
      <c r="U132" s="5"/>
      <c r="V132" s="6" t="s">
        <v>436</v>
      </c>
      <c r="W132" s="4">
        <v>45107</v>
      </c>
      <c r="X132" s="4">
        <f t="shared" si="410"/>
        <v>46934</v>
      </c>
      <c r="Y132" s="8">
        <f t="shared" ca="1" si="411"/>
        <v>789</v>
      </c>
      <c r="Z132" s="5" t="str">
        <f t="shared" ca="1" si="412"/>
        <v>VIGENTE</v>
      </c>
      <c r="AA132" s="5"/>
      <c r="AB132" s="6" t="s">
        <v>437</v>
      </c>
      <c r="AC132" s="4">
        <v>45149</v>
      </c>
      <c r="AD132" s="4">
        <f>DATE(YEAR(AC132)+5,MONTH(AC132),DAY(AC132))</f>
        <v>46976</v>
      </c>
      <c r="AE132" s="8">
        <f ca="1">AD132-TODAY()</f>
        <v>831</v>
      </c>
      <c r="AF132" s="5" t="str">
        <f t="shared" ref="AF132:AF195" ca="1" si="457">IF(AE132&gt;=91,"VIGENTE",IF(AE132&gt;=1,"POR VENCER",IF(AE132&lt;=-1,"VENCIDA",IF(AC132=0,"NO APLICA"))))</f>
        <v>VIGENTE</v>
      </c>
      <c r="AG132" s="4"/>
      <c r="AH132" s="4">
        <v>45902</v>
      </c>
      <c r="AI132" s="4">
        <f t="shared" si="448"/>
        <v>46632</v>
      </c>
      <c r="AJ132" s="8">
        <f t="shared" ref="AJ132:AJ191" ca="1" si="458">AI132-TODAY()</f>
        <v>487</v>
      </c>
      <c r="AK132" s="5" t="str">
        <f t="shared" ca="1" si="408"/>
        <v>VIGENTE</v>
      </c>
      <c r="AL132" s="6"/>
      <c r="AM132" s="4">
        <v>45937</v>
      </c>
      <c r="AN132" s="4">
        <f t="shared" si="449"/>
        <v>46667</v>
      </c>
      <c r="AO132" s="8">
        <f t="shared" ref="AO132:AO191" ca="1" si="459">AN132-TODAY()</f>
        <v>522</v>
      </c>
      <c r="AP132" s="5" t="str">
        <f t="shared" ref="AP132:AP195" ca="1" si="460">IF(AO132&gt;=91,"VIGENTE",IF(AO132&gt;=1,"POR VENCER",IF(AO132&lt;=-1,"VENCIDA",IF(AM132=0,"NO APLICA"))))</f>
        <v>VIGENTE</v>
      </c>
      <c r="AQ132" s="4"/>
      <c r="AR132" s="4">
        <v>45967</v>
      </c>
      <c r="AS132" s="4">
        <f t="shared" si="450"/>
        <v>46697</v>
      </c>
      <c r="AT132" s="8">
        <f t="shared" ref="AT132:AT191" ca="1" si="461">AS132-TODAY()</f>
        <v>552</v>
      </c>
      <c r="AU132" s="5" t="str">
        <f t="shared" ref="AU132:AU195" ca="1" si="462">IF(AT132&gt;=91,"VIGENTE",IF(AT132&gt;=1,"POR VENCER",IF(AT132&lt;=-1,"VENCIDA",IF(AR132=0,"NO APLICA"))))</f>
        <v>VIGENTE</v>
      </c>
      <c r="AV132" s="4"/>
      <c r="AW132" s="4">
        <v>45765</v>
      </c>
      <c r="AX132" s="4">
        <f t="shared" si="445"/>
        <v>46495</v>
      </c>
      <c r="AY132" s="8">
        <f t="shared" ref="AY132:AY191" ca="1" si="463">AX132-TODAY()</f>
        <v>350</v>
      </c>
      <c r="AZ132" s="5" t="str">
        <f t="shared" ref="AZ132:AZ195" ca="1" si="464">IF(AY132&gt;=91,"VIGENTE",IF(AY132&gt;=1,"POR VENCER",IF(AY132&lt;=-1,"VENCIDA",IF(AW132=0,"NO APLICA"))))</f>
        <v>VIGENTE</v>
      </c>
      <c r="BA132" s="4"/>
      <c r="BB132" s="4">
        <v>45855</v>
      </c>
      <c r="BC132" s="4">
        <f>DATE(YEAR(BB132)+2,MONTH(BB132),DAY(BB132))</f>
        <v>46585</v>
      </c>
      <c r="BD132" s="8">
        <f t="shared" ref="BD132:BD191" ca="1" si="465">BC132-TODAY()</f>
        <v>440</v>
      </c>
      <c r="BE132" s="5" t="str">
        <f t="shared" ref="BE132:BE195" ca="1" si="466">IF(BD132&gt;=91,"VIGENTE",IF(BD132&gt;=1,"POR VENCER",IF(BD132&lt;=-1,"VENCIDA",IF(BB132=0,"NO APLICA"))))</f>
        <v>VIGENTE</v>
      </c>
      <c r="BF132" s="4"/>
      <c r="BG132" s="4">
        <v>45842</v>
      </c>
      <c r="BH132" s="4">
        <f t="shared" si="446"/>
        <v>46572</v>
      </c>
      <c r="BI132" s="8">
        <f t="shared" ref="BI132:BI191" ca="1" si="467">BH132-TODAY()</f>
        <v>427</v>
      </c>
      <c r="BJ132" s="5" t="str">
        <f t="shared" ref="BJ132:BJ195" ca="1" si="468">IF(BI132&gt;=91,"VIGENTE",IF(BI132&gt;=1,"POR VENCER",IF(BI132&lt;=-1,"VENCIDA",IF(BG132=0,"NO APLICA"))))</f>
        <v>VIGENTE</v>
      </c>
      <c r="BK132" s="3"/>
      <c r="BL132" s="4">
        <v>45976</v>
      </c>
      <c r="BM132" s="4">
        <f>DATE(YEAR(BL132)+2,MONTH(BL132),DAY(BL132))</f>
        <v>46706</v>
      </c>
      <c r="BN132" s="8">
        <f t="shared" ref="BN132:BN191" ca="1" si="469">BM132-TODAY()</f>
        <v>561</v>
      </c>
      <c r="BO132" s="5" t="str">
        <f t="shared" ref="BO132:BO195" ca="1" si="470">IF(BN132&gt;=91,"VIGENTE",IF(BN132&gt;=1,"POR VENCER",IF(BN132&lt;=-1,"VENCIDA",IF(BL132=0,"NO APLICA"))))</f>
        <v>VIGENTE</v>
      </c>
      <c r="BP132" s="4"/>
      <c r="BQ132" s="4">
        <v>45750</v>
      </c>
      <c r="BR132" s="4">
        <f>DATE(YEAR(BQ132)+2,MONTH(BQ132),DAY(BQ132)-1)</f>
        <v>46479</v>
      </c>
      <c r="BS132" s="8">
        <f t="shared" ref="BS132:BS191" ca="1" si="471">BR132-TODAY()</f>
        <v>334</v>
      </c>
      <c r="BT132" s="5" t="str">
        <f t="shared" ref="BT132:BT195" ca="1" si="472">IF(BS132&gt;=91,"VIGENTE",IF(BS132&gt;=1,"POR VENCER",IF(BS132&lt;=-1,"VENCIDA",IF(BQ132=0,"NO APLICA"))))</f>
        <v>VIGENTE</v>
      </c>
      <c r="BU132" s="6"/>
      <c r="BV132" s="4">
        <v>45950</v>
      </c>
      <c r="BW132" s="4">
        <f>DATE(YEAR(BV132)+2,MONTH(BV132),DAY(BV132))</f>
        <v>46680</v>
      </c>
      <c r="BX132" s="8">
        <f t="shared" ref="BX132:BX191" ca="1" si="473">BW132-TODAY()</f>
        <v>535</v>
      </c>
      <c r="BY132" s="5" t="str">
        <f t="shared" ref="BY132:BY195" ca="1" si="474">IF(BX132&gt;=91,"VIGENTE",IF(BX132&gt;=1,"POR VENCER",IF(BX132&lt;=-1,"VENCIDA",IF(BV132=0,"NO APLICA"))))</f>
        <v>VIGENTE</v>
      </c>
      <c r="BZ132" s="6"/>
      <c r="CA132" s="4">
        <v>45944</v>
      </c>
      <c r="CB132" s="4">
        <f t="shared" si="447"/>
        <v>46674</v>
      </c>
      <c r="CC132" s="8">
        <f t="shared" ref="CC132:CC191" ca="1" si="475">CB132-TODAY()</f>
        <v>529</v>
      </c>
      <c r="CD132" s="5" t="str">
        <f t="shared" ref="CD132:CD195" ca="1" si="476">IF(CC132&gt;=91,"VIGENTE",IF(CC132&gt;=1,"POR VENCER",IF(CC132&lt;=-1,"VENCIDA",IF(CA132=0,"NO APLICA"))))</f>
        <v>VIGENTE</v>
      </c>
      <c r="CE132" s="6"/>
      <c r="CF132" s="4">
        <v>45301</v>
      </c>
      <c r="CG132" s="4">
        <f t="shared" si="416"/>
        <v>46762</v>
      </c>
      <c r="CH132" s="8">
        <f t="shared" ca="1" si="417"/>
        <v>617</v>
      </c>
      <c r="CI132" s="5" t="str">
        <f t="shared" ca="1" si="418"/>
        <v>VIGENTE</v>
      </c>
      <c r="CJ132" s="4"/>
      <c r="CK132" s="4">
        <v>45801</v>
      </c>
      <c r="CL132" s="4">
        <f>DATE(YEAR(CK132)+2,MONTH(CK132),DAY(CK132)-1)</f>
        <v>46530</v>
      </c>
      <c r="CM132" s="8">
        <f t="shared" ref="CM132:CM191" ca="1" si="477">CL132-TODAY()</f>
        <v>385</v>
      </c>
      <c r="CN132" s="5" t="str">
        <f t="shared" ref="CN132:CN195" ca="1" si="478">IF(CM132&gt;=91,"VIGENTE",IF(CM132&gt;=1,"POR VENCER",IF(CM132&lt;=-1,"VENCIDA",IF(CK132=0,"NO APLICA"))))</f>
        <v>VIGENTE</v>
      </c>
      <c r="CO132" s="6"/>
      <c r="CP132" s="4">
        <v>45769</v>
      </c>
      <c r="CQ132" s="4">
        <f>DATE(YEAR(CP132)+2,MONTH(CP132),DAY(CP132))</f>
        <v>46499</v>
      </c>
      <c r="CR132" s="8">
        <f t="shared" ref="CR132:CR191" ca="1" si="479">CQ132-TODAY()</f>
        <v>354</v>
      </c>
      <c r="CS132" s="5" t="str">
        <f t="shared" ref="CS132:CS195" ca="1" si="480">IF(CR132&gt;=91,"VIGENTE",IF(CR132&gt;=1,"POR VENCER",IF(CR132&lt;=-1,"VENCIDA",IF(CP132=0,"NO APLICA"))))</f>
        <v>VIGENTE</v>
      </c>
      <c r="CT132" s="6"/>
      <c r="CU132" s="4">
        <v>45939</v>
      </c>
      <c r="CV132" s="4">
        <f>DATE(YEAR(CU132)+2,MONTH(CU132),DAY(CU132))</f>
        <v>46669</v>
      </c>
      <c r="CW132" s="8">
        <f t="shared" ref="CW132:CW191" ca="1" si="481">CV132-TODAY()</f>
        <v>524</v>
      </c>
      <c r="CX132" s="5" t="str">
        <f t="shared" ref="CX132:CX195" ca="1" si="482">IF(CW132&gt;=91,"VIGENTE",IF(CW132&gt;=1,"POR VENCER",IF(CW132&lt;=-1,"VENCIDA",IF(CU132=0,"NO APLICA"))))</f>
        <v>VIGENTE</v>
      </c>
      <c r="CY132" s="4"/>
      <c r="CZ132" s="4">
        <v>45843</v>
      </c>
      <c r="DA132" s="4">
        <f>DATE(YEAR(CZ132)+2,MONTH(CZ132),DAY(CZ132))</f>
        <v>46573</v>
      </c>
      <c r="DB132" s="8">
        <f t="shared" ref="DB132:DB191" ca="1" si="483">DA132-TODAY()</f>
        <v>428</v>
      </c>
      <c r="DC132" s="5" t="str">
        <f t="shared" ref="DC132:DC195" ca="1" si="484">IF(DB132&gt;=91,"VIGENTE",IF(DB132&gt;=1,"POR VENCER",IF(DB132&lt;=-1,"VENCIDA",IF(CZ132=0,"NO APLICA"))))</f>
        <v>VIGENTE</v>
      </c>
      <c r="DD132" s="4"/>
      <c r="DE132" s="4">
        <v>45854</v>
      </c>
      <c r="DF132" s="4">
        <f>DATE(YEAR(DE132)+2,MONTH(DE132),DAY(DE132))</f>
        <v>46584</v>
      </c>
      <c r="DG132" s="8">
        <f t="shared" ref="DG132:DG191" ca="1" si="485">DF132-TODAY()</f>
        <v>439</v>
      </c>
      <c r="DH132" s="5" t="str">
        <f t="shared" ref="DH132:DH195" ca="1" si="486">IF(DG132&gt;=91,"VIGENTE",IF(DG132&gt;=1,"POR VENCER",IF(DG132&lt;=-1,"VENCIDA",IF(DE132=0,"NO APLICA"))))</f>
        <v>VIGENTE</v>
      </c>
      <c r="DI132" s="4"/>
      <c r="DJ132" s="4">
        <v>45779</v>
      </c>
      <c r="DK132" s="4">
        <f>DATE(YEAR(DJ132)+2,MONTH(DJ132),DAY(DJ132))</f>
        <v>46509</v>
      </c>
      <c r="DL132" s="8">
        <f t="shared" ref="DL132:DL191" ca="1" si="487">DK132-TODAY()</f>
        <v>364</v>
      </c>
      <c r="DM132" s="5" t="str">
        <f t="shared" ref="DM132:DM195" ca="1" si="488">IF(DL132&gt;=91,"VIGENTE",IF(DL132&gt;=1,"POR VENCER",IF(DL132&lt;=-1,"VENCIDA",IF(DJ132=0,"NO APLICA"))))</f>
        <v>VIGENTE</v>
      </c>
      <c r="DN132" s="4"/>
      <c r="DO132" s="4">
        <v>45857</v>
      </c>
      <c r="DP132" s="4">
        <f>DATE(YEAR(DO132)+2,MONTH(DO132),DAY(DO132))</f>
        <v>46587</v>
      </c>
      <c r="DQ132" s="8">
        <f t="shared" ref="DQ132:DQ191" ca="1" si="489">DP132-TODAY()</f>
        <v>442</v>
      </c>
      <c r="DR132" s="5" t="str">
        <f t="shared" ref="DR132:DR195" ca="1" si="490">IF(DQ132&gt;=91,"VIGENTE",IF(DQ132&gt;=1,"POR VENCER",IF(DQ132&lt;=-1,"VENCIDA",IF(DO132=0,"NO APLICA"))))</f>
        <v>VIGENTE</v>
      </c>
      <c r="DS132" s="4"/>
      <c r="DT132" s="4">
        <v>45852</v>
      </c>
      <c r="DU132" s="4">
        <f>DATE(YEAR(DT132)+2,MONTH(DT132),DAY(DT132))</f>
        <v>46582</v>
      </c>
      <c r="DV132" s="8">
        <f t="shared" ref="DV132:DV191" ca="1" si="491">DU132-TODAY()</f>
        <v>437</v>
      </c>
      <c r="DW132" s="5" t="str">
        <f t="shared" ref="DW132:DW195" ca="1" si="492">IF(DV132&gt;=91,"VIGENTE",IF(DV132&gt;=1,"POR VENCER",IF(DV132&lt;=-1,"VENCIDA",IF(DT132=0,"NO APLICA"))))</f>
        <v>VIGENTE</v>
      </c>
      <c r="DX132" s="4"/>
      <c r="DY132" s="4">
        <v>45915</v>
      </c>
      <c r="DZ132" s="4">
        <f>DATE(YEAR(DY132)+2,MONTH(DY132),DAY(DY132))</f>
        <v>46645</v>
      </c>
      <c r="EA132" s="8">
        <f t="shared" ref="EA132:EA191" ca="1" si="493">DZ132-TODAY()</f>
        <v>500</v>
      </c>
      <c r="EB132" s="5" t="str">
        <f t="shared" ref="EB132:EB195" ca="1" si="494">IF(EA132&gt;=91,"VIGENTE",IF(EA132&gt;=1,"POR VENCER",IF(EA132&lt;=-1,"VENCIDA",IF(DY132=0,"NO APLICA"))))</f>
        <v>VIGENTE</v>
      </c>
      <c r="EC132" s="4"/>
      <c r="ED132" s="4">
        <v>45913</v>
      </c>
      <c r="EE132" s="4">
        <f>DATE(YEAR(ED132)+2,MONTH(ED132),DAY(ED132))</f>
        <v>46643</v>
      </c>
      <c r="EF132" s="8">
        <f t="shared" ref="EF132:EF191" ca="1" si="495">EE132-TODAY()</f>
        <v>498</v>
      </c>
      <c r="EG132" s="5" t="str">
        <f t="shared" ref="EG132:EG195" ca="1" si="496">IF(EF132&gt;=91,"VIGENTE",IF(EF132&gt;=1,"POR VENCER",IF(EF132&lt;=-1,"VENCIDA",IF(ED132=0,"NO APLICA"))))</f>
        <v>VIGENTE</v>
      </c>
      <c r="EH132" s="3"/>
      <c r="EI132" s="4">
        <v>45948</v>
      </c>
      <c r="EJ132" s="4">
        <f t="shared" si="355"/>
        <v>46313</v>
      </c>
      <c r="EK132" s="8">
        <f t="shared" ref="EK132:EK191" ca="1" si="497">EJ132-TODAY()</f>
        <v>168</v>
      </c>
      <c r="EL132" s="5" t="str">
        <f t="shared" ref="EL132:EL195" ca="1" si="498">IF(EK132&gt;=91,"VIGENTE",IF(EK132&gt;=1,"POR VENCER",IF(EK132&lt;=-1,"VENCIDA",IF(EI132=0,"NO APLICA"))))</f>
        <v>VIGENTE</v>
      </c>
      <c r="EM132" s="4"/>
      <c r="EN132" s="4">
        <v>45940</v>
      </c>
      <c r="EO132" s="4">
        <f>DATE(YEAR(EN132)+2,MONTH(EN132),DAY(EN132))</f>
        <v>46670</v>
      </c>
      <c r="EP132" s="8">
        <f t="shared" ref="EP132:EP191" ca="1" si="499">EO132-TODAY()</f>
        <v>525</v>
      </c>
      <c r="EQ132" s="5" t="str">
        <f t="shared" ref="EQ132:EQ195" ca="1" si="500">IF(EP132&gt;=91,"VIGENTE",IF(EP132&gt;=1,"POR VENCER",IF(EP132&lt;=-1,"VENCIDA",IF(EN132=0,"NO APLICA"))))</f>
        <v>VIGENTE</v>
      </c>
      <c r="ER132" s="4"/>
      <c r="ES132" s="4">
        <v>45824</v>
      </c>
      <c r="ET132" s="4">
        <f>DATE(YEAR(ES132)+2,MONTH(ES132),DAY(ES132))</f>
        <v>46554</v>
      </c>
      <c r="EU132" s="8">
        <f t="shared" ref="EU132:EU191" ca="1" si="501">ET132-TODAY()</f>
        <v>409</v>
      </c>
      <c r="EV132" s="5" t="str">
        <f t="shared" ref="EV132:EV195" ca="1" si="502">IF(EU132&gt;=91,"VIGENTE",IF(EU132&gt;=1,"POR VENCER",IF(EU132&lt;=-1,"VENCIDA",IF(ES132=0,"NO APLICA"))))</f>
        <v>VIGENTE</v>
      </c>
      <c r="EW132" s="4"/>
      <c r="EX132" s="4">
        <v>45964</v>
      </c>
      <c r="EY132" s="4">
        <f t="shared" si="451"/>
        <v>46694</v>
      </c>
      <c r="EZ132" s="8">
        <f t="shared" ref="EZ132:EZ191" ca="1" si="503">EY132-TODAY()</f>
        <v>549</v>
      </c>
      <c r="FA132" s="5" t="str">
        <f t="shared" ref="FA132:FA195" ca="1" si="504">IF(EZ132&gt;=91,"VIGENTE",IF(EZ132&gt;=1,"POR VENCER",IF(EZ132&lt;=-1,"VENCIDA",IF(EX132=0,"NO APLICA"))))</f>
        <v>VIGENTE</v>
      </c>
      <c r="FB132" s="4"/>
      <c r="FC132" s="4">
        <v>45783</v>
      </c>
      <c r="FD132" s="4">
        <f t="shared" si="452"/>
        <v>46513</v>
      </c>
      <c r="FE132" s="8">
        <f t="shared" ref="FE132:FE191" ca="1" si="505">FD132-TODAY()</f>
        <v>368</v>
      </c>
      <c r="FF132" s="5" t="str">
        <f t="shared" ref="FF132:FF195" ca="1" si="506">IF(FE132&gt;=91,"VIGENTE",IF(FE132&gt;=1,"POR VENCER",IF(FE132&lt;=-1,"VENCIDA",IF(FC132=0,"NO APLICA"))))</f>
        <v>VIGENTE</v>
      </c>
      <c r="FG132" s="4"/>
      <c r="FH132" s="4">
        <v>45790</v>
      </c>
      <c r="FI132" s="4">
        <f t="shared" si="453"/>
        <v>46520</v>
      </c>
      <c r="FJ132" s="8">
        <f t="shared" ref="FJ132:FJ191" ca="1" si="507">FI132-TODAY()</f>
        <v>375</v>
      </c>
      <c r="FK132" s="5" t="str">
        <f t="shared" ref="FK132:FK195" ca="1" si="508">IF(FJ132&gt;=91,"VIGENTE",IF(FJ132&gt;=1,"POR VENCER",IF(FJ132&lt;=-1,"VENCIDA",IF(FH132=0,"NO APLICA"))))</f>
        <v>VIGENTE</v>
      </c>
      <c r="FL132" s="4"/>
      <c r="FM132" s="4">
        <v>45784</v>
      </c>
      <c r="FN132" s="4">
        <f>DATE(YEAR(FM132)+2,MONTH(FM132),DAY(FM132))</f>
        <v>46514</v>
      </c>
      <c r="FO132" s="8">
        <f t="shared" ref="FO132:FO191" ca="1" si="509">FN132-TODAY()</f>
        <v>369</v>
      </c>
      <c r="FP132" s="5" t="str">
        <f t="shared" ref="FP132:FP195" ca="1" si="510">IF(FO132&gt;=91,"VIGENTE",IF(FO132&gt;=1,"POR VENCER",IF(FO132&lt;=-1,"VENCIDA",IF(FM132=0,"NO APLICA"))))</f>
        <v>VIGENTE</v>
      </c>
      <c r="FQ132" s="4"/>
      <c r="FR132" s="39">
        <v>45957</v>
      </c>
      <c r="FS132" s="4">
        <f>DATE(YEAR(FR132)+2,MONTH(FR132),DAY(FR132))</f>
        <v>46687</v>
      </c>
      <c r="FT132" s="8">
        <f t="shared" ref="FT132:FT191" ca="1" si="511">FS132-TODAY()</f>
        <v>542</v>
      </c>
      <c r="FU132" s="5" t="str">
        <f t="shared" ref="FU132:FU195" ca="1" si="512">IF(FT132&gt;=91,"VIGENTE",IF(FT132&gt;=1,"POR VENCER",IF(FT132&lt;=-1,"VENCIDA",IF(FR132=0,"NO APLICA"))))</f>
        <v>VIGENTE</v>
      </c>
      <c r="FV132" s="4"/>
      <c r="FW132" s="4">
        <v>45822</v>
      </c>
      <c r="FX132" s="4">
        <f t="shared" si="454"/>
        <v>46552</v>
      </c>
      <c r="FY132" s="8">
        <f t="shared" ref="FY132:FY191" ca="1" si="513">FX132-TODAY()</f>
        <v>407</v>
      </c>
      <c r="FZ132" s="5" t="str">
        <f t="shared" ref="FZ132:FZ195" ca="1" si="514">IF(FY132&gt;=91,"VIGENTE",IF(FY132&gt;=1,"POR VENCER",IF(FY132&lt;=-1,"VENCIDA",IF(FW132=0,"NO APLICA"))))</f>
        <v>VIGENTE</v>
      </c>
      <c r="GA132" s="4"/>
      <c r="GB132" s="4">
        <v>45925</v>
      </c>
      <c r="GC132" s="4">
        <f>DATE(YEAR(GB132)+2,MONTH(GB132),DAY(GB132))</f>
        <v>46655</v>
      </c>
      <c r="GD132" s="8">
        <f t="shared" ref="GD132:GD191" ca="1" si="515">GC132-TODAY()</f>
        <v>510</v>
      </c>
      <c r="GE132" s="5" t="str">
        <f t="shared" ref="GE132:GE195" ca="1" si="516">IF(GD132&gt;=91,"VIGENTE",IF(GD132&gt;=1,"POR VENCER",IF(GD132&lt;=-1,"VENCIDA",IF(GB132=0,"NO APLICA"))))</f>
        <v>VIGENTE</v>
      </c>
      <c r="GF132" s="4"/>
      <c r="GG132" s="4">
        <v>45849</v>
      </c>
      <c r="GH132" s="4">
        <f>DATE(YEAR(GG132)+2,MONTH(GG132),DAY(GG132))</f>
        <v>46579</v>
      </c>
      <c r="GI132" s="8">
        <f t="shared" ref="GI132:GI191" ca="1" si="517">GH132-TODAY()</f>
        <v>434</v>
      </c>
      <c r="GJ132" s="5" t="str">
        <f t="shared" ref="GJ132:GJ195" ca="1" si="518">IF(GI132&gt;=91,"VIGENTE",IF(GI132&gt;=1,"POR VENCER",IF(GI132&lt;=-1,"VENCIDA",IF(GG132=0,"NO APLICA"))))</f>
        <v>VIGENTE</v>
      </c>
      <c r="GK132" s="4"/>
      <c r="GL132" s="4">
        <v>45945</v>
      </c>
      <c r="GM132" s="4">
        <f>DATE(YEAR(GL132)+2,MONTH(GL132),DAY(GL132))</f>
        <v>46675</v>
      </c>
      <c r="GN132" s="8">
        <f t="shared" ref="GN132:GN191" ca="1" si="519">GM132-TODAY()</f>
        <v>530</v>
      </c>
      <c r="GO132" s="5" t="str">
        <f t="shared" ref="GO132:GO195" ca="1" si="520">IF(GN132&gt;=61,"VIGENTE",IF(GN132&gt;=1,"POR VENCER",IF(GN132&lt;=-1,"VENCIDA",IF(GL132=0,"NO APLICA"))))</f>
        <v>VIGENTE</v>
      </c>
      <c r="GP132" s="4"/>
      <c r="GQ132" s="4">
        <v>45164</v>
      </c>
      <c r="GR132" s="4">
        <f t="shared" ref="GR132:GR191" si="521">DATE(YEAR(GQ132)+5,MONTH(GQ132),DAY(GQ132))</f>
        <v>46991</v>
      </c>
      <c r="GS132" s="8">
        <f t="shared" ca="1" si="405"/>
        <v>846</v>
      </c>
      <c r="GT132" s="5" t="str">
        <f t="shared" ca="1" si="419"/>
        <v>VIGENTE</v>
      </c>
      <c r="GU132" s="4"/>
      <c r="GV132" s="4">
        <v>45200</v>
      </c>
      <c r="GW132" s="4">
        <f t="shared" ref="GW132:GW191" si="522">DATE(YEAR(GV132)+5,MONTH(GV132),DAY(GV132))</f>
        <v>47027</v>
      </c>
      <c r="GX132" s="8">
        <f t="shared" ref="GX132:GX191" ca="1" si="523">GW132-TODAY()</f>
        <v>882</v>
      </c>
      <c r="GY132" s="5" t="str">
        <f t="shared" ca="1" si="426"/>
        <v>VIGENTE</v>
      </c>
      <c r="GZ132" s="6"/>
      <c r="HA132" s="4">
        <v>45163</v>
      </c>
      <c r="HB132" s="4">
        <f t="shared" ref="HB132:HB191" si="524">DATE(YEAR(HA132)+5,MONTH(HA132),DAY(HA132))</f>
        <v>46990</v>
      </c>
      <c r="HC132" s="8">
        <f t="shared" ref="HC132:HC191" ca="1" si="525">HB132-TODAY()</f>
        <v>845</v>
      </c>
      <c r="HD132" s="5" t="str">
        <f t="shared" ca="1" si="421"/>
        <v>VIGENTE</v>
      </c>
      <c r="HE132" s="6"/>
      <c r="HF132" s="4">
        <v>45150</v>
      </c>
      <c r="HG132" s="4">
        <f>DATE(YEAR(HF132)+5,MONTH(HF132),DAY(HF132))</f>
        <v>46977</v>
      </c>
      <c r="HH132" s="8">
        <f ca="1">HG132-TODAY()</f>
        <v>832</v>
      </c>
      <c r="HI132" s="5" t="str">
        <f t="shared" ca="1" si="427"/>
        <v>VIGENTE</v>
      </c>
      <c r="HJ132" s="6"/>
      <c r="HK132" s="6"/>
      <c r="HL132" s="4"/>
      <c r="HM132" s="8"/>
      <c r="HN132" s="5" t="str">
        <f t="shared" si="444"/>
        <v>NO APLICA</v>
      </c>
      <c r="HO132" s="2"/>
      <c r="HP132" s="2"/>
      <c r="HQ132" s="4"/>
      <c r="HR132" s="2"/>
      <c r="HS132" s="5" t="str">
        <f t="shared" ref="HS132:HS195" si="526">IF(HR132&gt;=61,"VIGENTE",IF(HR132&gt;=1,"POR VENCER",IF(HR132&lt;=-1,"VENCIDA",IF(HP132=0,"NO APLICA"))))</f>
        <v>NO APLICA</v>
      </c>
      <c r="HT132" s="6"/>
      <c r="HU132" s="6"/>
      <c r="HV132" s="4"/>
      <c r="HW132" s="8"/>
      <c r="HX132" s="5" t="str">
        <f t="shared" ref="HX132:HX195" si="527">IF(HW132&gt;=61,"VIGENTE",IF(HW132&gt;=1,"POR VENCER",IF(HW132&lt;=-1,"VENCIDA",IF(HU132=0,"NO APLICA"))))</f>
        <v>NO APLICA</v>
      </c>
      <c r="HY132" s="6"/>
      <c r="HZ132" s="6"/>
      <c r="IA132" s="4"/>
      <c r="IB132" s="8"/>
      <c r="IC132" s="5" t="str">
        <f t="shared" ref="IC132:IC195" si="528">IF(IB132&gt;=61,"VIGENTE",IF(IB132&gt;=1,"POR VENCER",IF(IB132&lt;=-1,"VENCIDA",IF(HZ132=0,"NO APLICA"))))</f>
        <v>NO APLICA</v>
      </c>
      <c r="ID132" s="6"/>
      <c r="IE132" s="6"/>
      <c r="IF132" s="4"/>
      <c r="IG132" s="8"/>
      <c r="IH132" s="5" t="str">
        <f t="shared" ref="IH132:IH195" si="529">IF(IG132&gt;=61,"VIGENTE",IF(IG132&gt;=1,"POR VENCER",IF(IG132&lt;=-1,"VENCIDA",IF(IE132=0,"NO APLICA"))))</f>
        <v>NO APLICA</v>
      </c>
      <c r="II132" s="6"/>
      <c r="IJ132" s="6"/>
      <c r="IK132" s="4"/>
      <c r="IL132" s="6"/>
      <c r="IM132" s="5" t="str">
        <f t="shared" ref="IM132:IM195" si="530">IF(IL132&gt;=61,"VIGENTE",IF(IL132&gt;=1,"POR VENCER",IF(IL132&lt;=-1,"VENCIDA",IF(IJ132=0,"NO APLICA"))))</f>
        <v>NO APLICA</v>
      </c>
      <c r="IN132" s="6"/>
      <c r="IO132" s="4">
        <v>45354</v>
      </c>
      <c r="IP132" s="4">
        <f>DATE(YEAR(IO132)+5,MONTH(IO132),DAY(IO132))</f>
        <v>47180</v>
      </c>
      <c r="IQ132" s="8">
        <f ca="1">IP132-TODAY()</f>
        <v>1035</v>
      </c>
      <c r="IR132" s="5" t="str">
        <f t="shared" ref="IR132:IR195" ca="1" si="531">IF(IQ132&gt;=61,"VIGENTE",IF(IQ132&gt;=1,"POR VENCER",IF(IQ132&lt;=-1,"VENCIDA",IF(IO132=0,"NO APLICA"))))</f>
        <v>VIGENTE</v>
      </c>
      <c r="IS132" s="6"/>
      <c r="IT132" s="6"/>
      <c r="IU132" s="4"/>
      <c r="IV132" s="8"/>
      <c r="IW132" s="5" t="str">
        <f t="shared" ref="IW132:IW195" si="532">IF(IV132&gt;=61,"VIGENTE",IF(IV132&gt;=1,"POR VENCER",IF(IV132&lt;=-1,"VENCIDA",IF(IT132=0,"NO APLICA"))))</f>
        <v>NO APLICA</v>
      </c>
      <c r="IX132" s="6"/>
      <c r="IY132" s="6"/>
      <c r="IZ132" s="4"/>
      <c r="JA132" s="8"/>
      <c r="JB132" s="5" t="str">
        <f t="shared" ref="JB132:JB195" si="533">IF(JA132&gt;=61,"VIGENTE",IF(JA132&gt;=1,"POR VENCER",IF(JA132&lt;=-1,"VENCIDA",IF(IY132=0,"NO APLICA"))))</f>
        <v>NO APLICA</v>
      </c>
      <c r="JC132" s="3" t="s">
        <v>780</v>
      </c>
      <c r="JD132" s="3"/>
      <c r="JE132" s="4"/>
      <c r="JF132" s="8"/>
      <c r="JG132" s="5"/>
      <c r="JH132" s="3" t="s">
        <v>780</v>
      </c>
      <c r="JI132" s="6"/>
      <c r="JJ132" s="6"/>
      <c r="JK132" s="6"/>
      <c r="JL132" s="5"/>
      <c r="JM132" s="6" t="s">
        <v>780</v>
      </c>
      <c r="JN132" s="6"/>
      <c r="JO132" s="6"/>
      <c r="JP132" s="6"/>
      <c r="JQ132" s="5"/>
      <c r="JR132" s="6" t="s">
        <v>780</v>
      </c>
      <c r="JS132" s="6"/>
      <c r="JT132" s="6"/>
      <c r="JU132" s="6"/>
      <c r="JV132" s="5"/>
      <c r="JW132" s="6" t="s">
        <v>780</v>
      </c>
      <c r="JX132" s="5"/>
      <c r="JY132" s="5"/>
      <c r="JZ132" s="5"/>
      <c r="KA132" s="5"/>
      <c r="KB132" s="5"/>
      <c r="KC132" s="2"/>
      <c r="KD132" s="4"/>
      <c r="KE132" s="8"/>
      <c r="KF132" s="5" t="str">
        <f t="shared" ref="KF132:KF195" si="534">IF(KE132&gt;=61,"VIGENTE",IF(KE132&gt;=1,"POR VENCER",IF(KE132&lt;=-1,"VENCIDA",IF(KC132=0,"NO APLICA"))))</f>
        <v>NO APLICA</v>
      </c>
      <c r="KG132" s="5"/>
      <c r="KH132" s="2"/>
      <c r="KI132" s="4"/>
      <c r="KJ132" s="8"/>
      <c r="KK132" s="5" t="str">
        <f t="shared" si="356"/>
        <v>NO APLICA</v>
      </c>
      <c r="KL132" s="5"/>
      <c r="KM132" s="2"/>
      <c r="KN132" s="4"/>
      <c r="KO132" s="8"/>
      <c r="KP132" s="5" t="str">
        <f t="shared" ref="KP132:KP195" si="535">IF(KO132&gt;=61,"VIGENTE",IF(KO132&gt;=1,"POR VENCER",IF(KO132&lt;=-1,"VENCIDA",IF(KM132=0,"NO APLICA"))))</f>
        <v>NO APLICA</v>
      </c>
      <c r="KQ132" s="5"/>
      <c r="KR132" s="2"/>
      <c r="KS132" s="4"/>
      <c r="KT132" s="8"/>
      <c r="KU132" s="5" t="str">
        <f t="shared" si="357"/>
        <v>NO APLICA</v>
      </c>
      <c r="KV132" s="6"/>
      <c r="KW132" s="6"/>
      <c r="KX132" s="4"/>
      <c r="KY132" s="6"/>
      <c r="KZ132" s="5" t="str">
        <f t="shared" si="366"/>
        <v>NO APLICA</v>
      </c>
      <c r="LA132" s="5"/>
      <c r="LB132" s="6"/>
      <c r="LC132" s="4"/>
      <c r="LD132" s="6"/>
      <c r="LE132" s="5" t="str">
        <f t="shared" si="358"/>
        <v>NO APLICA</v>
      </c>
      <c r="LF132" s="6"/>
      <c r="LG132" s="6"/>
      <c r="LH132" s="6"/>
      <c r="LI132" s="6"/>
      <c r="LJ132" s="5" t="str">
        <f t="shared" ref="LJ132:LJ133" si="536">IF(LI132&gt;=61,"VIGENTE",IF(LI132&gt;=1,"POR VENCER",IF(LI132&lt;=-1,"VENCIDA",IF(LG132=0,"NO APLICA"))))</f>
        <v>NO APLICA</v>
      </c>
      <c r="LK132" s="5"/>
      <c r="LL132" s="5"/>
      <c r="LM132" s="4"/>
      <c r="LN132" s="8"/>
      <c r="LO132" s="5" t="str">
        <f t="shared" si="367"/>
        <v>NO APLICA</v>
      </c>
      <c r="LP132" s="6"/>
      <c r="LQ132" s="6"/>
      <c r="LR132" s="4"/>
      <c r="LS132" s="8"/>
      <c r="LT132" s="5" t="str">
        <f t="shared" si="359"/>
        <v>NO APLICA</v>
      </c>
      <c r="LU132" s="6"/>
      <c r="LV132" s="6"/>
      <c r="LW132" s="4"/>
      <c r="LX132" s="6"/>
      <c r="LY132" s="5" t="str">
        <f t="shared" si="360"/>
        <v>NO APLICA</v>
      </c>
      <c r="LZ132" s="6"/>
      <c r="MA132" s="6"/>
      <c r="MB132" s="4"/>
      <c r="MC132" s="6"/>
      <c r="MD132" s="5" t="str">
        <f t="shared" si="361"/>
        <v>NO APLICA</v>
      </c>
      <c r="ME132" s="6"/>
      <c r="MF132" s="6"/>
      <c r="MG132" s="4"/>
      <c r="MH132" s="6"/>
      <c r="MI132" s="5" t="str">
        <f t="shared" ref="MI132:MI195" si="537">IF(MH132&gt;=61,"VIGENTE",IF(MH132&gt;=1,"POR VENCER",IF(MH132&lt;=-1,"VENCIDA",IF(MF132=0,"NO APLICA"))))</f>
        <v>NO APLICA</v>
      </c>
      <c r="MJ132" s="6"/>
      <c r="MK132" s="6"/>
      <c r="ML132" s="4"/>
      <c r="MM132" s="6"/>
      <c r="MN132" s="5" t="str">
        <f t="shared" ref="MN132:MN195" si="538">IF(MM132&gt;=61,"VIGENTE",IF(MM132&gt;=1,"POR VENCER",IF(MM132&lt;=-1,"VENCIDA",IF(MK132=0,"NO APLICA"))))</f>
        <v>NO APLICA</v>
      </c>
      <c r="MO132" s="5"/>
      <c r="MP132" s="6"/>
      <c r="MQ132" s="4"/>
      <c r="MR132" s="6"/>
      <c r="MS132" s="5" t="str">
        <f t="shared" ref="MS132:MS195" si="539">IF(MR132&gt;=61,"VIGENTE",IF(MR132&gt;=1,"POR VENCER",IF(MR132&lt;=-1,"VENCIDA",IF(MP132=0,"NO APLICA"))))</f>
        <v>NO APLICA</v>
      </c>
      <c r="MT132" s="5"/>
      <c r="MU132" s="6"/>
      <c r="MV132" s="6"/>
      <c r="MW132" s="6"/>
      <c r="MX132" s="5" t="str">
        <f t="shared" ref="MX132:MX195" si="540">IF(MW132&gt;=61,"VIGENTE",IF(MW132&gt;=1,"POR VENCER",IF(MW132&lt;=-1,"VENCIDA",IF(MU132=0,"NO APLICA"))))</f>
        <v>NO APLICA</v>
      </c>
      <c r="MY132" s="6"/>
      <c r="MZ132" s="6"/>
      <c r="NA132" s="4"/>
      <c r="NB132" s="6"/>
      <c r="NC132" s="5" t="str">
        <f t="shared" ref="NC132:NC195" si="541">IF(NB132&gt;=61,"VIGENTE",IF(NB132&gt;=1,"POR VENCER",IF(NB132&lt;=-1,"VENCIDA",IF(MZ132=0,"NO APLICA"))))</f>
        <v>NO APLICA</v>
      </c>
      <c r="ND132" s="6"/>
      <c r="NE132" s="6"/>
      <c r="NF132" s="4"/>
      <c r="NG132" s="6"/>
      <c r="NH132" s="5" t="str">
        <f t="shared" ref="NH132:NH195" si="542">IF(NG132&gt;=61,"VIGENTE",IF(NG132&gt;=1,"POR VENCER",IF(NG132&lt;=-1,"VENCIDA",IF(NE132=0,"NO APLICA"))))</f>
        <v>NO APLICA</v>
      </c>
      <c r="NI132" s="6"/>
      <c r="NJ132" s="6"/>
      <c r="NK132" s="4"/>
      <c r="NL132" s="6"/>
      <c r="NM132" s="5" t="str">
        <f t="shared" ref="NM132:NM195" si="543">IF(NL132&gt;=61,"VIGENTE",IF(NL132&gt;=1,"POR VENCER",IF(NL132&lt;=-1,"VENCIDA",IF(NJ132=0,"NO APLICA"))))</f>
        <v>NO APLICA</v>
      </c>
      <c r="NN132" s="6"/>
      <c r="NO132" s="6"/>
      <c r="NP132" s="4"/>
      <c r="NQ132" s="6"/>
      <c r="NR132" s="5" t="str">
        <f t="shared" ref="NR132:NR195" si="544">IF(NQ132&gt;=61,"VIGENTE",IF(NQ132&gt;=1,"POR VENCER",IF(NQ132&lt;=-1,"VENCIDA",IF(NO132=0,"NO APLICA"))))</f>
        <v>NO APLICA</v>
      </c>
      <c r="NS132" s="6"/>
      <c r="NT132" s="6"/>
      <c r="NU132" s="4"/>
      <c r="NV132" s="6"/>
      <c r="NW132" s="5" t="str">
        <f t="shared" ref="NW132:NW195" si="545">IF(NV132&gt;=61,"VIGENTE",IF(NV132&gt;=1,"POR VENCER",IF(NV132&lt;=-1,"VENCIDA",IF(NT132=0,"NO APLICA"))))</f>
        <v>NO APLICA</v>
      </c>
      <c r="NX132" s="6"/>
      <c r="NY132" s="6"/>
      <c r="NZ132" s="4"/>
      <c r="OA132" s="8"/>
      <c r="OB132" s="5" t="str">
        <f t="shared" ref="OB132:OB195" si="546">IF(OA132&gt;=61,"VIGENTE",IF(OA132&gt;=1,"POR VENCER",IF(OA132&lt;=-1,"VENCIDA",IF(NY132=0,"NO APLICA"))))</f>
        <v>NO APLICA</v>
      </c>
      <c r="OC132" s="6"/>
      <c r="OD132" s="6"/>
      <c r="OE132" s="6"/>
      <c r="OF132" s="6"/>
      <c r="OG132" s="5" t="str">
        <f t="shared" ref="OG132:OG195" si="547">IF(OF132&gt;=61,"VIGENTE",IF(OF132&gt;=1,"POR VENCER",IF(OF132&lt;=-1,"VENCIDA",IF(OD132=0,"NO APLICA"))))</f>
        <v>NO APLICA</v>
      </c>
      <c r="OH132" s="6"/>
      <c r="OI132" s="6"/>
      <c r="OJ132" s="6"/>
      <c r="OK132" s="6"/>
      <c r="OL132" s="5" t="str">
        <f t="shared" ref="OL132:OL195" si="548">IF(OK132&gt;=61,"VIGENTE",IF(OK132&gt;=1,"POR VENCER",IF(OK132&lt;=-1,"VENCIDA",IF(OI132=0,"NO APLICA"))))</f>
        <v>NO APLICA</v>
      </c>
      <c r="OM132" s="6"/>
      <c r="ON132" s="6"/>
      <c r="OO132" s="6"/>
      <c r="OP132" s="6"/>
      <c r="OQ132" s="5" t="str">
        <f t="shared" ref="OQ132:OQ195" si="549">IF(OP132&gt;=61,"VIGENTE",IF(OP132&gt;=1,"POR VENCER",IF(OP132&lt;=-1,"VENCIDA",IF(ON132=0,"NO APLICA"))))</f>
        <v>NO APLICA</v>
      </c>
      <c r="OR132" s="6"/>
      <c r="OS132" s="6"/>
      <c r="OT132" s="6"/>
      <c r="OU132" s="6"/>
      <c r="OV132" s="5" t="str">
        <f t="shared" ref="OV132:OV195" si="550">IF(OU132&gt;=61,"VIGENTE",IF(OU132&gt;=1,"POR VENCER",IF(OU132&lt;=-1,"VENCIDA",IF(OS132=0,"NO APLICA"))))</f>
        <v>NO APLICA</v>
      </c>
      <c r="OW132" s="6"/>
      <c r="OX132" s="6"/>
      <c r="OY132" s="6"/>
      <c r="OZ132" s="6"/>
      <c r="PA132" s="5" t="str">
        <f t="shared" ref="PA132:PA195" si="551">IF(OZ132&gt;=61,"VIGENTE",IF(OZ132&gt;=1,"POR VENCER",IF(OZ132&lt;=-1,"VENCIDA",IF(OX132=0,"NO APLICA"))))</f>
        <v>NO APLICA</v>
      </c>
      <c r="PB132" s="6"/>
      <c r="PC132" s="6"/>
      <c r="PD132" s="6"/>
      <c r="PE132" s="6"/>
      <c r="PF132" s="5" t="str">
        <f t="shared" ref="PF132:PF195" si="552">IF(PE132&gt;=61,"VIGENTE",IF(PE132&gt;=1,"POR VENCER",IF(PE132&lt;=-1,"VENCIDA",IF(PC132=0,"NO APLICA"))))</f>
        <v>NO APLICA</v>
      </c>
      <c r="PG132" s="6"/>
      <c r="PH132" s="6"/>
      <c r="PI132" s="6"/>
      <c r="PJ132" s="6"/>
      <c r="PK132" s="5" t="str">
        <f t="shared" ref="PK132:PK195" si="553">IF(PJ132&gt;=61,"VIGENTE",IF(PJ132&gt;=1,"POR VENCER",IF(PJ132&lt;=-1,"VENCIDA",IF(PH132=0,"NO APLICA"))))</f>
        <v>NO APLICA</v>
      </c>
      <c r="PL132" s="5"/>
      <c r="PM132" s="6"/>
      <c r="PN132" s="6"/>
      <c r="PO132" s="6"/>
      <c r="PP132" s="5" t="str">
        <f t="shared" ref="PP132:PP195" si="554">IF(PO132&gt;=61,"VIGENTE",IF(PO132&gt;=1,"POR VENCER",IF(PO132&lt;=-1,"VENCIDA",IF(PM132=0,"NO APLICA"))))</f>
        <v>NO APLICA</v>
      </c>
      <c r="PQ132" s="6"/>
      <c r="PR132" s="6"/>
      <c r="PS132" s="6"/>
      <c r="PT132" s="6"/>
      <c r="PU132" s="5" t="str">
        <f t="shared" ref="PU132:PU195" si="555">IF(PT132&gt;=61,"VIGENTE",IF(PT132&gt;=1,"POR VENCER",IF(PT132&lt;=-1,"VENCIDA",IF(PR132=0,"NO APLICA"))))</f>
        <v>NO APLICA</v>
      </c>
      <c r="PV132" s="5"/>
      <c r="PW132" s="6"/>
      <c r="PX132" s="6"/>
      <c r="PY132" s="6"/>
      <c r="PZ132" s="5" t="str">
        <f t="shared" ref="PZ132:PZ195" si="556">IF(PY132&gt;=61,"VIGENTE",IF(PY132&gt;=1,"POR VENCER",IF(PY132&lt;=-1,"VENCIDA",IF(PW132=0,"NO APLICA"))))</f>
        <v>NO APLICA</v>
      </c>
    </row>
    <row r="133" spans="1:442" ht="15.6" hidden="1" thickTop="1" thickBot="1" x14ac:dyDescent="0.35">
      <c r="A133" s="26">
        <v>130</v>
      </c>
      <c r="B133" s="31">
        <v>1715</v>
      </c>
      <c r="C133" s="28" t="s">
        <v>438</v>
      </c>
      <c r="D133" s="29" t="s">
        <v>64</v>
      </c>
      <c r="E133" s="30" t="s">
        <v>81</v>
      </c>
      <c r="F133" s="6"/>
      <c r="G133" s="6"/>
      <c r="H133" s="6"/>
      <c r="I133" s="6"/>
      <c r="J133" s="5" t="str">
        <f t="shared" si="455"/>
        <v>NO APLICA</v>
      </c>
      <c r="K133" s="6"/>
      <c r="L133" s="6"/>
      <c r="M133" s="6"/>
      <c r="N133" s="6"/>
      <c r="O133" s="5" t="str">
        <f t="shared" si="456"/>
        <v>NO APLICA</v>
      </c>
      <c r="P133" s="4"/>
      <c r="Q133" s="4">
        <v>45583</v>
      </c>
      <c r="R133" s="4">
        <f>DATE(YEAR(Q133)+2,MONTH(Q133),DAY(Q133)-1)</f>
        <v>46312</v>
      </c>
      <c r="S133" s="8">
        <f ca="1">R133-TODAY()</f>
        <v>167</v>
      </c>
      <c r="T133" s="5" t="str">
        <f t="shared" ref="T133:T190" ca="1" si="557">IF(S133&gt;=61,"VIGENTE",IF(S133&gt;=1,"POR VENCER",IF(S133&lt;=-1,"VENCIDA",IF(S133=0,"NO APLICA"))))</f>
        <v>VIGENTE</v>
      </c>
      <c r="U133" s="5"/>
      <c r="V133" s="6" t="s">
        <v>439</v>
      </c>
      <c r="W133" s="4">
        <v>45309</v>
      </c>
      <c r="X133" s="4">
        <f t="shared" si="410"/>
        <v>47136</v>
      </c>
      <c r="Y133" s="8">
        <f t="shared" ca="1" si="411"/>
        <v>991</v>
      </c>
      <c r="Z133" s="5" t="str">
        <f t="shared" ca="1" si="412"/>
        <v>VIGENTE</v>
      </c>
      <c r="AA133" s="5"/>
      <c r="AB133" s="6"/>
      <c r="AC133" s="6"/>
      <c r="AD133" s="4"/>
      <c r="AE133" s="8"/>
      <c r="AF133" s="5" t="str">
        <f t="shared" si="457"/>
        <v>NO APLICA</v>
      </c>
      <c r="AG133" s="6"/>
      <c r="AH133" s="4">
        <v>45936</v>
      </c>
      <c r="AI133" s="4">
        <f t="shared" si="448"/>
        <v>46666</v>
      </c>
      <c r="AJ133" s="8">
        <f t="shared" ca="1" si="458"/>
        <v>521</v>
      </c>
      <c r="AK133" s="5" t="str">
        <f t="shared" ca="1" si="408"/>
        <v>VIGENTE</v>
      </c>
      <c r="AL133" s="4"/>
      <c r="AM133" s="4">
        <v>45959</v>
      </c>
      <c r="AN133" s="4">
        <f t="shared" si="449"/>
        <v>46689</v>
      </c>
      <c r="AO133" s="8">
        <f t="shared" ca="1" si="459"/>
        <v>544</v>
      </c>
      <c r="AP133" s="5" t="str">
        <f t="shared" ca="1" si="460"/>
        <v>VIGENTE</v>
      </c>
      <c r="AQ133" s="4"/>
      <c r="AR133" s="4">
        <v>45989</v>
      </c>
      <c r="AS133" s="4">
        <f t="shared" si="450"/>
        <v>46719</v>
      </c>
      <c r="AT133" s="8">
        <f t="shared" ca="1" si="461"/>
        <v>574</v>
      </c>
      <c r="AU133" s="5" t="str">
        <f t="shared" ca="1" si="462"/>
        <v>VIGENTE</v>
      </c>
      <c r="AV133" s="4"/>
      <c r="AW133" s="4">
        <v>45972</v>
      </c>
      <c r="AX133" s="4">
        <f t="shared" si="445"/>
        <v>46702</v>
      </c>
      <c r="AY133" s="8">
        <f t="shared" ca="1" si="463"/>
        <v>557</v>
      </c>
      <c r="AZ133" s="5" t="str">
        <f t="shared" ca="1" si="464"/>
        <v>VIGENTE</v>
      </c>
      <c r="BA133" s="3"/>
      <c r="BB133" s="4">
        <v>46041</v>
      </c>
      <c r="BC133" s="4">
        <f>DATE(YEAR(BB133)+2,MONTH(BB133),DAY(BB133))</f>
        <v>46771</v>
      </c>
      <c r="BD133" s="8">
        <f t="shared" ca="1" si="465"/>
        <v>626</v>
      </c>
      <c r="BE133" s="5" t="str">
        <f t="shared" ca="1" si="466"/>
        <v>VIGENTE</v>
      </c>
      <c r="BF133" s="6"/>
      <c r="BG133" s="4">
        <v>45997</v>
      </c>
      <c r="BH133" s="4">
        <f t="shared" si="446"/>
        <v>46727</v>
      </c>
      <c r="BI133" s="8">
        <f t="shared" ca="1" si="467"/>
        <v>582</v>
      </c>
      <c r="BJ133" s="5" t="str">
        <f t="shared" ca="1" si="468"/>
        <v>VIGENTE</v>
      </c>
      <c r="BK133" s="4"/>
      <c r="BL133" s="4">
        <v>46017</v>
      </c>
      <c r="BM133" s="4">
        <f>DATE(YEAR(BL133)+2,MONTH(BL133),DAY(BL133))</f>
        <v>46747</v>
      </c>
      <c r="BN133" s="8">
        <f t="shared" ca="1" si="469"/>
        <v>602</v>
      </c>
      <c r="BO133" s="5" t="str">
        <f t="shared" ca="1" si="470"/>
        <v>VIGENTE</v>
      </c>
      <c r="BP133" s="4"/>
      <c r="BQ133" s="39">
        <v>46050</v>
      </c>
      <c r="BR133" s="4">
        <f>DATE(YEAR(BQ133)+2,MONTH(BQ133),DAY(BQ133))</f>
        <v>46780</v>
      </c>
      <c r="BS133" s="8">
        <f t="shared" ca="1" si="471"/>
        <v>635</v>
      </c>
      <c r="BT133" s="5" t="str">
        <f t="shared" ca="1" si="472"/>
        <v>VIGENTE</v>
      </c>
      <c r="BU133" s="3"/>
      <c r="BV133" s="4">
        <v>46031</v>
      </c>
      <c r="BW133" s="4">
        <f>DATE(YEAR(BV133)+2,MONTH(BV133),DAY(BV133))</f>
        <v>46761</v>
      </c>
      <c r="BX133" s="8">
        <f t="shared" ca="1" si="473"/>
        <v>616</v>
      </c>
      <c r="BY133" s="5" t="str">
        <f t="shared" ca="1" si="474"/>
        <v>VIGENTE</v>
      </c>
      <c r="BZ133" s="6"/>
      <c r="CA133" s="4">
        <v>45986</v>
      </c>
      <c r="CB133" s="4">
        <f t="shared" si="447"/>
        <v>46716</v>
      </c>
      <c r="CC133" s="8">
        <f t="shared" ca="1" si="475"/>
        <v>571</v>
      </c>
      <c r="CD133" s="5" t="str">
        <f t="shared" ca="1" si="476"/>
        <v>VIGENTE</v>
      </c>
      <c r="CE133" s="6"/>
      <c r="CF133" s="4">
        <v>45723</v>
      </c>
      <c r="CG133" s="4">
        <f t="shared" si="416"/>
        <v>47184</v>
      </c>
      <c r="CH133" s="8">
        <f t="shared" ca="1" si="417"/>
        <v>1039</v>
      </c>
      <c r="CI133" s="5" t="str">
        <f t="shared" ca="1" si="418"/>
        <v>VIGENTE</v>
      </c>
      <c r="CJ133" s="4"/>
      <c r="CK133" s="4">
        <v>46018</v>
      </c>
      <c r="CL133" s="4">
        <f>DATE(YEAR(CK133)+2,MONTH(CK133),DAY(CK133))</f>
        <v>46748</v>
      </c>
      <c r="CM133" s="8">
        <f t="shared" ca="1" si="477"/>
        <v>603</v>
      </c>
      <c r="CN133" s="5" t="str">
        <f t="shared" ca="1" si="478"/>
        <v>VIGENTE</v>
      </c>
      <c r="CO133" s="4"/>
      <c r="CP133" s="39">
        <v>45979</v>
      </c>
      <c r="CQ133" s="4">
        <f>DATE(YEAR(CP133)+2,MONTH(CP133),DAY(CP133))</f>
        <v>46709</v>
      </c>
      <c r="CR133" s="8">
        <f t="shared" ca="1" si="479"/>
        <v>564</v>
      </c>
      <c r="CS133" s="5" t="str">
        <f t="shared" ca="1" si="480"/>
        <v>VIGENTE</v>
      </c>
      <c r="CT133" s="4"/>
      <c r="CU133" s="4">
        <v>46043</v>
      </c>
      <c r="CV133" s="4">
        <f>DATE(YEAR(CU133)+2,MONTH(CU133),DAY(CU133))</f>
        <v>46773</v>
      </c>
      <c r="CW133" s="8">
        <f t="shared" ca="1" si="481"/>
        <v>628</v>
      </c>
      <c r="CX133" s="5" t="str">
        <f t="shared" ca="1" si="482"/>
        <v>VIGENTE</v>
      </c>
      <c r="CY133" s="4"/>
      <c r="CZ133" s="4">
        <v>46000</v>
      </c>
      <c r="DA133" s="4">
        <f>DATE(YEAR(CZ133)+2,MONTH(CZ133),DAY(CZ133))</f>
        <v>46730</v>
      </c>
      <c r="DB133" s="8">
        <f t="shared" ca="1" si="483"/>
        <v>585</v>
      </c>
      <c r="DC133" s="5" t="str">
        <f t="shared" ca="1" si="484"/>
        <v>VIGENTE</v>
      </c>
      <c r="DD133" s="3"/>
      <c r="DE133" s="39">
        <v>45996</v>
      </c>
      <c r="DF133" s="4">
        <f>DATE(YEAR(DE133)+2,MONTH(DE133),DAY(DE133))</f>
        <v>46726</v>
      </c>
      <c r="DG133" s="8">
        <f t="shared" ca="1" si="485"/>
        <v>581</v>
      </c>
      <c r="DH133" s="5" t="str">
        <f t="shared" ca="1" si="486"/>
        <v>VIGENTE</v>
      </c>
      <c r="DI133" s="4"/>
      <c r="DJ133" s="39">
        <v>45975</v>
      </c>
      <c r="DK133" s="4">
        <f>DATE(YEAR(DJ133)+2,MONTH(DJ133),DAY(DJ133))</f>
        <v>46705</v>
      </c>
      <c r="DL133" s="8">
        <f t="shared" ca="1" si="487"/>
        <v>560</v>
      </c>
      <c r="DM133" s="5" t="str">
        <f t="shared" ca="1" si="488"/>
        <v>VIGENTE</v>
      </c>
      <c r="DN133" s="4"/>
      <c r="DO133" s="4">
        <v>46007</v>
      </c>
      <c r="DP133" s="4">
        <f>DATE(YEAR(DO133)+2,MONTH(DO133),DAY(DO133))</f>
        <v>46737</v>
      </c>
      <c r="DQ133" s="8">
        <f t="shared" ca="1" si="489"/>
        <v>592</v>
      </c>
      <c r="DR133" s="5" t="str">
        <f t="shared" ca="1" si="490"/>
        <v>VIGENTE</v>
      </c>
      <c r="DS133" s="4"/>
      <c r="DT133" s="3">
        <v>46009</v>
      </c>
      <c r="DU133" s="4">
        <f>DATE(YEAR(DT133)+2,MONTH(DT133),DAY(DT133))</f>
        <v>46739</v>
      </c>
      <c r="DV133" s="8">
        <f t="shared" ca="1" si="491"/>
        <v>594</v>
      </c>
      <c r="DW133" s="5" t="str">
        <f t="shared" ca="1" si="492"/>
        <v>VIGENTE</v>
      </c>
      <c r="DX133" s="4"/>
      <c r="DY133" s="4">
        <v>46032</v>
      </c>
      <c r="DZ133" s="4">
        <f>DATE(YEAR(DY133)+2,MONTH(DY133),DAY(DY133))</f>
        <v>46762</v>
      </c>
      <c r="EA133" s="8">
        <f t="shared" ca="1" si="493"/>
        <v>617</v>
      </c>
      <c r="EB133" s="5" t="str">
        <f t="shared" ca="1" si="494"/>
        <v>VIGENTE</v>
      </c>
      <c r="EC133" s="4"/>
      <c r="ED133" s="39">
        <v>45994</v>
      </c>
      <c r="EE133" s="4">
        <f>DATE(YEAR(ED133)+2,MONTH(ED133),DAY(ED133))</f>
        <v>46724</v>
      </c>
      <c r="EF133" s="8">
        <f t="shared" ca="1" si="495"/>
        <v>579</v>
      </c>
      <c r="EG133" s="5" t="str">
        <f t="shared" ca="1" si="496"/>
        <v>VIGENTE</v>
      </c>
      <c r="EH133" s="3"/>
      <c r="EI133" s="3">
        <v>46015</v>
      </c>
      <c r="EJ133" s="4">
        <f t="shared" ref="EJ133:EJ191" si="558">DATE(YEAR(EI133)+1,MONTH(EI133),DAY(EI133))</f>
        <v>46380</v>
      </c>
      <c r="EK133" s="8">
        <f t="shared" ca="1" si="497"/>
        <v>235</v>
      </c>
      <c r="EL133" s="5" t="str">
        <f t="shared" ca="1" si="498"/>
        <v>VIGENTE</v>
      </c>
      <c r="EM133" s="3"/>
      <c r="EN133" s="4">
        <v>45983</v>
      </c>
      <c r="EO133" s="4">
        <f>DATE(YEAR(EN133)+2,MONTH(EN133),DAY(EN133))</f>
        <v>46713</v>
      </c>
      <c r="EP133" s="8">
        <f t="shared" ca="1" si="499"/>
        <v>568</v>
      </c>
      <c r="EQ133" s="5" t="str">
        <f t="shared" ca="1" si="500"/>
        <v>VIGENTE</v>
      </c>
      <c r="ER133" s="6"/>
      <c r="ES133" s="39">
        <v>45999</v>
      </c>
      <c r="ET133" s="4">
        <f>DATE(YEAR(ES133)+2,MONTH(ES133),DAY(ES133))</f>
        <v>46729</v>
      </c>
      <c r="EU133" s="8">
        <f t="shared" ca="1" si="501"/>
        <v>584</v>
      </c>
      <c r="EV133" s="5" t="str">
        <f t="shared" ca="1" si="502"/>
        <v>VIGENTE</v>
      </c>
      <c r="EW133" s="4"/>
      <c r="EX133" s="4">
        <v>45964</v>
      </c>
      <c r="EY133" s="4">
        <f t="shared" si="451"/>
        <v>46694</v>
      </c>
      <c r="EZ133" s="8">
        <f t="shared" ca="1" si="503"/>
        <v>549</v>
      </c>
      <c r="FA133" s="5" t="str">
        <f t="shared" ca="1" si="504"/>
        <v>VIGENTE</v>
      </c>
      <c r="FB133" s="6"/>
      <c r="FC133" s="4">
        <v>45988</v>
      </c>
      <c r="FD133" s="4">
        <f t="shared" si="452"/>
        <v>46718</v>
      </c>
      <c r="FE133" s="8">
        <f t="shared" ca="1" si="505"/>
        <v>573</v>
      </c>
      <c r="FF133" s="5" t="str">
        <f t="shared" ca="1" si="506"/>
        <v>VIGENTE</v>
      </c>
      <c r="FG133" s="4"/>
      <c r="FH133" s="4">
        <v>45962</v>
      </c>
      <c r="FI133" s="4">
        <f t="shared" si="453"/>
        <v>46692</v>
      </c>
      <c r="FJ133" s="8">
        <f t="shared" ca="1" si="507"/>
        <v>547</v>
      </c>
      <c r="FK133" s="5" t="str">
        <f t="shared" ca="1" si="508"/>
        <v>VIGENTE</v>
      </c>
      <c r="FL133" s="4"/>
      <c r="FM133" s="39">
        <v>46039</v>
      </c>
      <c r="FN133" s="4">
        <f>DATE(YEAR(FM133)+2,MONTH(FM133),DAY(FM133))</f>
        <v>46769</v>
      </c>
      <c r="FO133" s="8">
        <f t="shared" ca="1" si="509"/>
        <v>624</v>
      </c>
      <c r="FP133" s="5" t="str">
        <f t="shared" ca="1" si="510"/>
        <v>VIGENTE</v>
      </c>
      <c r="FQ133" s="4"/>
      <c r="FR133" s="39">
        <v>46034</v>
      </c>
      <c r="FS133" s="4">
        <f>DATE(YEAR(FR133)+2,MONTH(FR133),DAY(FR133))</f>
        <v>46764</v>
      </c>
      <c r="FT133" s="8">
        <f t="shared" ca="1" si="511"/>
        <v>619</v>
      </c>
      <c r="FU133" s="5" t="str">
        <f t="shared" ca="1" si="512"/>
        <v>VIGENTE</v>
      </c>
      <c r="FV133" s="4"/>
      <c r="FW133" s="4">
        <v>46004</v>
      </c>
      <c r="FX133" s="4">
        <f t="shared" si="454"/>
        <v>46734</v>
      </c>
      <c r="FY133" s="8">
        <f t="shared" ca="1" si="513"/>
        <v>589</v>
      </c>
      <c r="FZ133" s="5" t="str">
        <f t="shared" ca="1" si="514"/>
        <v>VIGENTE</v>
      </c>
      <c r="GA133" s="4"/>
      <c r="GB133" s="4">
        <v>45925</v>
      </c>
      <c r="GC133" s="4">
        <f>DATE(YEAR(GB133)+2,MONTH(GB133),DAY(GB133))</f>
        <v>46655</v>
      </c>
      <c r="GD133" s="8">
        <f t="shared" ca="1" si="515"/>
        <v>510</v>
      </c>
      <c r="GE133" s="5" t="str">
        <f t="shared" ca="1" si="516"/>
        <v>VIGENTE</v>
      </c>
      <c r="GF133" s="4"/>
      <c r="GG133" s="4">
        <v>45960</v>
      </c>
      <c r="GH133" s="4">
        <f>DATE(YEAR(GG133)+2,MONTH(GG133),DAY(GG133))</f>
        <v>46690</v>
      </c>
      <c r="GI133" s="8">
        <f t="shared" ca="1" si="517"/>
        <v>545</v>
      </c>
      <c r="GJ133" s="5" t="str">
        <f t="shared" ca="1" si="518"/>
        <v>VIGENTE</v>
      </c>
      <c r="GK133" s="4"/>
      <c r="GL133" s="4">
        <v>45499</v>
      </c>
      <c r="GM133" s="4">
        <f>DATE(YEAR(GL133)+2,MONTH(GL133),DAY(GL133)-1)</f>
        <v>46228</v>
      </c>
      <c r="GN133" s="8">
        <f t="shared" ca="1" si="519"/>
        <v>83</v>
      </c>
      <c r="GO133" s="5" t="str">
        <f t="shared" ca="1" si="520"/>
        <v>VIGENTE</v>
      </c>
      <c r="GP133" s="4"/>
      <c r="GQ133" s="4">
        <v>45299</v>
      </c>
      <c r="GR133" s="4">
        <f t="shared" si="521"/>
        <v>47126</v>
      </c>
      <c r="GS133" s="8">
        <f t="shared" ca="1" si="405"/>
        <v>981</v>
      </c>
      <c r="GT133" s="5" t="str">
        <f t="shared" ca="1" si="419"/>
        <v>VIGENTE</v>
      </c>
      <c r="GU133" s="4"/>
      <c r="GV133" s="4">
        <v>45329</v>
      </c>
      <c r="GW133" s="4">
        <f t="shared" si="522"/>
        <v>47156</v>
      </c>
      <c r="GX133" s="8">
        <f t="shared" ca="1" si="523"/>
        <v>1011</v>
      </c>
      <c r="GY133" s="5" t="str">
        <f t="shared" ca="1" si="426"/>
        <v>VIGENTE</v>
      </c>
      <c r="GZ133" s="6"/>
      <c r="HA133" s="4">
        <v>45343</v>
      </c>
      <c r="HB133" s="4">
        <f t="shared" si="524"/>
        <v>47170</v>
      </c>
      <c r="HC133" s="8">
        <f t="shared" ca="1" si="525"/>
        <v>1025</v>
      </c>
      <c r="HD133" s="5" t="str">
        <f t="shared" ca="1" si="421"/>
        <v>VIGENTE</v>
      </c>
      <c r="HE133" s="6"/>
      <c r="HF133" s="4">
        <v>45317</v>
      </c>
      <c r="HG133" s="4">
        <f>DATE(YEAR(HF133)+5,MONTH(HF133),DAY(HF133))</f>
        <v>47144</v>
      </c>
      <c r="HH133" s="8">
        <f ca="1">HG133-TODAY()</f>
        <v>999</v>
      </c>
      <c r="HI133" s="5" t="str">
        <f t="shared" ca="1" si="427"/>
        <v>VIGENTE</v>
      </c>
      <c r="HJ133" s="6"/>
      <c r="HK133" s="6"/>
      <c r="HL133" s="4"/>
      <c r="HM133" s="8"/>
      <c r="HN133" s="5" t="str">
        <f t="shared" si="444"/>
        <v>NO APLICA</v>
      </c>
      <c r="HO133" s="2"/>
      <c r="HP133" s="2"/>
      <c r="HQ133" s="4"/>
      <c r="HR133" s="2"/>
      <c r="HS133" s="5" t="str">
        <f t="shared" si="526"/>
        <v>NO APLICA</v>
      </c>
      <c r="HT133" s="6"/>
      <c r="HU133" s="6"/>
      <c r="HV133" s="4"/>
      <c r="HW133" s="8"/>
      <c r="HX133" s="5" t="str">
        <f t="shared" si="527"/>
        <v>NO APLICA</v>
      </c>
      <c r="HY133" s="6"/>
      <c r="HZ133" s="6"/>
      <c r="IA133" s="4"/>
      <c r="IB133" s="8"/>
      <c r="IC133" s="5" t="str">
        <f t="shared" si="528"/>
        <v>NO APLICA</v>
      </c>
      <c r="ID133" s="6"/>
      <c r="IE133" s="6"/>
      <c r="IF133" s="4"/>
      <c r="IG133" s="8"/>
      <c r="IH133" s="5" t="str">
        <f t="shared" si="529"/>
        <v>NO APLICA</v>
      </c>
      <c r="II133" s="6"/>
      <c r="IJ133" s="6"/>
      <c r="IK133" s="4"/>
      <c r="IL133" s="6"/>
      <c r="IM133" s="5" t="str">
        <f t="shared" si="530"/>
        <v>NO APLICA</v>
      </c>
      <c r="IN133" s="6"/>
      <c r="IO133" s="6"/>
      <c r="IP133" s="4"/>
      <c r="IQ133" s="8"/>
      <c r="IR133" s="5" t="str">
        <f t="shared" si="531"/>
        <v>NO APLICA</v>
      </c>
      <c r="IS133" s="6"/>
      <c r="IT133" s="6"/>
      <c r="IU133" s="4"/>
      <c r="IV133" s="8"/>
      <c r="IW133" s="5" t="str">
        <f t="shared" si="532"/>
        <v>NO APLICA</v>
      </c>
      <c r="IX133" s="6"/>
      <c r="IY133" s="6"/>
      <c r="IZ133" s="4"/>
      <c r="JA133" s="8"/>
      <c r="JB133" s="5" t="str">
        <f t="shared" si="533"/>
        <v>NO APLICA</v>
      </c>
      <c r="JC133" s="3" t="s">
        <v>780</v>
      </c>
      <c r="JD133" s="3"/>
      <c r="JE133" s="4"/>
      <c r="JF133" s="8"/>
      <c r="JG133" s="5"/>
      <c r="JH133" s="3" t="s">
        <v>780</v>
      </c>
      <c r="JI133" s="6"/>
      <c r="JJ133" s="6"/>
      <c r="JK133" s="6"/>
      <c r="JL133" s="5"/>
      <c r="JM133" s="6" t="s">
        <v>780</v>
      </c>
      <c r="JN133" s="6"/>
      <c r="JO133" s="6"/>
      <c r="JP133" s="6"/>
      <c r="JQ133" s="5"/>
      <c r="JR133" s="6" t="s">
        <v>780</v>
      </c>
      <c r="JS133" s="6"/>
      <c r="JT133" s="6"/>
      <c r="JU133" s="6"/>
      <c r="JV133" s="5"/>
      <c r="JW133" s="6" t="s">
        <v>780</v>
      </c>
      <c r="JX133" s="5"/>
      <c r="JY133" s="5"/>
      <c r="JZ133" s="5"/>
      <c r="KA133" s="5"/>
      <c r="KB133" s="5"/>
      <c r="KC133" s="2"/>
      <c r="KD133" s="4"/>
      <c r="KE133" s="8"/>
      <c r="KF133" s="5" t="str">
        <f t="shared" si="534"/>
        <v>NO APLICA</v>
      </c>
      <c r="KG133" s="5"/>
      <c r="KH133" s="2"/>
      <c r="KI133" s="4"/>
      <c r="KJ133" s="8"/>
      <c r="KK133" s="5" t="str">
        <f t="shared" ref="KK133:KK196" si="559">IF(KJ133&gt;=61,"VIGENTE",IF(KJ133&gt;=1,"POR VENCER",IF(KJ133&lt;=-1,"VENCIDA",IF(KH133=0,"NO APLICA"))))</f>
        <v>NO APLICA</v>
      </c>
      <c r="KL133" s="5"/>
      <c r="KM133" s="2"/>
      <c r="KN133" s="4"/>
      <c r="KO133" s="8"/>
      <c r="KP133" s="5" t="str">
        <f t="shared" si="535"/>
        <v>NO APLICA</v>
      </c>
      <c r="KQ133" s="5"/>
      <c r="KR133" s="3">
        <v>45346</v>
      </c>
      <c r="KS133" s="4">
        <f>DATE(YEAR(KR133)+5,MONTH(KR133),DAY(KR133))</f>
        <v>47173</v>
      </c>
      <c r="KT133" s="8">
        <f ca="1">KS133-TODAY()</f>
        <v>1028</v>
      </c>
      <c r="KU133" s="5" t="str">
        <f t="shared" ref="KU133:KU196" ca="1" si="560">IF(KT133&gt;=61,"VIGENTE",IF(KT133&gt;=1,"POR VENCER",IF(KT133&lt;=-1,"VENCIDA",IF(KR133=0,"NO APLICA"))))</f>
        <v>VIGENTE</v>
      </c>
      <c r="KV133" s="6"/>
      <c r="KW133" s="6"/>
      <c r="KX133" s="4"/>
      <c r="KY133" s="6"/>
      <c r="KZ133" s="5" t="str">
        <f t="shared" si="366"/>
        <v>NO APLICA</v>
      </c>
      <c r="LA133" s="5"/>
      <c r="LB133" s="6"/>
      <c r="LC133" s="4"/>
      <c r="LD133" s="6"/>
      <c r="LE133" s="5" t="str">
        <f t="shared" ref="LE133:LE196" si="561">IF(LD133&gt;=61,"VIGENTE",IF(LD133&gt;=1,"POR VENCER",IF(LD133&lt;=-1,"VENCIDA",IF(LB133=0,"NO APLICA"))))</f>
        <v>NO APLICA</v>
      </c>
      <c r="LF133" s="6"/>
      <c r="LG133" s="6"/>
      <c r="LH133" s="6"/>
      <c r="LI133" s="6"/>
      <c r="LJ133" s="5" t="str">
        <f t="shared" si="536"/>
        <v>NO APLICA</v>
      </c>
      <c r="LK133" s="5"/>
      <c r="LL133" s="5"/>
      <c r="LM133" s="4"/>
      <c r="LN133" s="8"/>
      <c r="LO133" s="5" t="str">
        <f t="shared" si="367"/>
        <v>NO APLICA</v>
      </c>
      <c r="LP133" s="6"/>
      <c r="LQ133" s="6"/>
      <c r="LR133" s="4"/>
      <c r="LS133" s="8"/>
      <c r="LT133" s="5" t="str">
        <f t="shared" ref="LT133:LT196" si="562">IF(LS133&gt;=61,"VIGENTE",IF(LS133&gt;=1,"POR VENCER",IF(LS133&lt;=-1,"VENCIDA",IF(LQ133=0,"NO APLICA"))))</f>
        <v>NO APLICA</v>
      </c>
      <c r="LU133" s="6"/>
      <c r="LV133" s="6"/>
      <c r="LW133" s="4"/>
      <c r="LX133" s="6"/>
      <c r="LY133" s="5" t="str">
        <f t="shared" ref="LY133:LY196" si="563">IF(LX133&gt;=61,"VIGENTE",IF(LX133&gt;=1,"POR VENCER",IF(LX133&lt;=-1,"VENCIDA",IF(LV133=0,"NO APLICA"))))</f>
        <v>NO APLICA</v>
      </c>
      <c r="LZ133" s="6"/>
      <c r="MA133" s="6"/>
      <c r="MB133" s="4"/>
      <c r="MC133" s="6"/>
      <c r="MD133" s="5" t="str">
        <f t="shared" ref="MD133:MD196" si="564">IF(MC133&gt;=61,"VIGENTE",IF(MC133&gt;=1,"POR VENCER",IF(MC133&lt;=-1,"VENCIDA",IF(MA133=0,"NO APLICA"))))</f>
        <v>NO APLICA</v>
      </c>
      <c r="ME133" s="6"/>
      <c r="MF133" s="6"/>
      <c r="MG133" s="4"/>
      <c r="MH133" s="6"/>
      <c r="MI133" s="5" t="str">
        <f t="shared" si="537"/>
        <v>NO APLICA</v>
      </c>
      <c r="MJ133" s="6"/>
      <c r="MK133" s="6"/>
      <c r="ML133" s="4"/>
      <c r="MM133" s="6"/>
      <c r="MN133" s="5" t="str">
        <f t="shared" si="538"/>
        <v>NO APLICA</v>
      </c>
      <c r="MO133" s="5"/>
      <c r="MP133" s="6"/>
      <c r="MQ133" s="4"/>
      <c r="MR133" s="6"/>
      <c r="MS133" s="5" t="str">
        <f t="shared" si="539"/>
        <v>NO APLICA</v>
      </c>
      <c r="MT133" s="5"/>
      <c r="MU133" s="6"/>
      <c r="MV133" s="6"/>
      <c r="MW133" s="6"/>
      <c r="MX133" s="5" t="str">
        <f t="shared" si="540"/>
        <v>NO APLICA</v>
      </c>
      <c r="MY133" s="6"/>
      <c r="MZ133" s="6"/>
      <c r="NA133" s="4"/>
      <c r="NB133" s="6"/>
      <c r="NC133" s="5" t="str">
        <f t="shared" si="541"/>
        <v>NO APLICA</v>
      </c>
      <c r="ND133" s="6"/>
      <c r="NE133" s="6"/>
      <c r="NF133" s="4"/>
      <c r="NG133" s="6"/>
      <c r="NH133" s="5" t="str">
        <f t="shared" si="542"/>
        <v>NO APLICA</v>
      </c>
      <c r="NI133" s="6"/>
      <c r="NJ133" s="6"/>
      <c r="NK133" s="4"/>
      <c r="NL133" s="6"/>
      <c r="NM133" s="5" t="str">
        <f t="shared" si="543"/>
        <v>NO APLICA</v>
      </c>
      <c r="NN133" s="6"/>
      <c r="NO133" s="6"/>
      <c r="NP133" s="4"/>
      <c r="NQ133" s="6"/>
      <c r="NR133" s="5" t="str">
        <f t="shared" si="544"/>
        <v>NO APLICA</v>
      </c>
      <c r="NS133" s="6"/>
      <c r="NT133" s="6"/>
      <c r="NU133" s="4"/>
      <c r="NV133" s="6"/>
      <c r="NW133" s="5" t="str">
        <f t="shared" si="545"/>
        <v>NO APLICA</v>
      </c>
      <c r="NX133" s="6"/>
      <c r="NY133" s="6"/>
      <c r="NZ133" s="4"/>
      <c r="OA133" s="8"/>
      <c r="OB133" s="5" t="str">
        <f t="shared" si="546"/>
        <v>NO APLICA</v>
      </c>
      <c r="OC133" s="6"/>
      <c r="OD133" s="6"/>
      <c r="OE133" s="6"/>
      <c r="OF133" s="6"/>
      <c r="OG133" s="5" t="str">
        <f t="shared" si="547"/>
        <v>NO APLICA</v>
      </c>
      <c r="OH133" s="6"/>
      <c r="OI133" s="6"/>
      <c r="OJ133" s="6"/>
      <c r="OK133" s="6"/>
      <c r="OL133" s="5" t="str">
        <f t="shared" si="548"/>
        <v>NO APLICA</v>
      </c>
      <c r="OM133" s="6"/>
      <c r="ON133" s="6"/>
      <c r="OO133" s="6"/>
      <c r="OP133" s="6"/>
      <c r="OQ133" s="5" t="str">
        <f t="shared" si="549"/>
        <v>NO APLICA</v>
      </c>
      <c r="OR133" s="6"/>
      <c r="OS133" s="6"/>
      <c r="OT133" s="6"/>
      <c r="OU133" s="6"/>
      <c r="OV133" s="5" t="str">
        <f t="shared" si="550"/>
        <v>NO APLICA</v>
      </c>
      <c r="OW133" s="6"/>
      <c r="OX133" s="6"/>
      <c r="OY133" s="6"/>
      <c r="OZ133" s="6"/>
      <c r="PA133" s="5" t="str">
        <f t="shared" si="551"/>
        <v>NO APLICA</v>
      </c>
      <c r="PB133" s="6"/>
      <c r="PC133" s="6"/>
      <c r="PD133" s="6"/>
      <c r="PE133" s="6"/>
      <c r="PF133" s="5" t="str">
        <f t="shared" si="552"/>
        <v>NO APLICA</v>
      </c>
      <c r="PG133" s="6"/>
      <c r="PH133" s="6"/>
      <c r="PI133" s="6"/>
      <c r="PJ133" s="6"/>
      <c r="PK133" s="5" t="str">
        <f t="shared" si="553"/>
        <v>NO APLICA</v>
      </c>
      <c r="PL133" s="5"/>
      <c r="PM133" s="6"/>
      <c r="PN133" s="6"/>
      <c r="PO133" s="6"/>
      <c r="PP133" s="5" t="str">
        <f t="shared" si="554"/>
        <v>NO APLICA</v>
      </c>
      <c r="PQ133" s="6"/>
      <c r="PR133" s="6"/>
      <c r="PS133" s="6"/>
      <c r="PT133" s="6"/>
      <c r="PU133" s="5" t="str">
        <f t="shared" si="555"/>
        <v>NO APLICA</v>
      </c>
      <c r="PV133" s="5"/>
      <c r="PW133" s="6"/>
      <c r="PX133" s="6"/>
      <c r="PY133" s="6"/>
      <c r="PZ133" s="5" t="str">
        <f t="shared" si="556"/>
        <v>NO APLICA</v>
      </c>
    </row>
    <row r="134" spans="1:442" ht="15.6" hidden="1" thickTop="1" thickBot="1" x14ac:dyDescent="0.35">
      <c r="A134" s="26">
        <v>131</v>
      </c>
      <c r="B134" s="27">
        <v>858</v>
      </c>
      <c r="C134" s="28" t="s">
        <v>440</v>
      </c>
      <c r="D134" s="29" t="s">
        <v>68</v>
      </c>
      <c r="E134" s="30" t="s">
        <v>77</v>
      </c>
      <c r="F134" s="5"/>
      <c r="G134" s="6"/>
      <c r="H134" s="4"/>
      <c r="I134" s="8"/>
      <c r="J134" s="5" t="str">
        <f t="shared" si="455"/>
        <v>NO APLICA</v>
      </c>
      <c r="K134" s="5"/>
      <c r="L134" s="6"/>
      <c r="M134" s="6"/>
      <c r="N134" s="8"/>
      <c r="O134" s="5" t="str">
        <f t="shared" si="456"/>
        <v>NO APLICA</v>
      </c>
      <c r="P134" s="6"/>
      <c r="Q134" s="6"/>
      <c r="R134" s="4"/>
      <c r="S134" s="8"/>
      <c r="T134" s="5" t="str">
        <f t="shared" si="557"/>
        <v>NO APLICA</v>
      </c>
      <c r="U134" s="5"/>
      <c r="V134" s="2" t="s">
        <v>441</v>
      </c>
      <c r="W134" s="4">
        <v>44786</v>
      </c>
      <c r="X134" s="4">
        <f t="shared" si="410"/>
        <v>46612</v>
      </c>
      <c r="Y134" s="8">
        <f t="shared" ca="1" si="411"/>
        <v>467</v>
      </c>
      <c r="Z134" s="5" t="str">
        <f t="shared" ca="1" si="412"/>
        <v>VIGENTE</v>
      </c>
      <c r="AA134" s="5"/>
      <c r="AB134" s="2" t="s">
        <v>442</v>
      </c>
      <c r="AC134" s="4">
        <v>44824</v>
      </c>
      <c r="AD134" s="4">
        <f>DATE(YEAR(AC134)+5,MONTH(AC134),DAY(AC134))</f>
        <v>46650</v>
      </c>
      <c r="AE134" s="8">
        <f ca="1">AD134-TODAY()</f>
        <v>505</v>
      </c>
      <c r="AF134" s="5" t="str">
        <f t="shared" ca="1" si="457"/>
        <v>VIGENTE</v>
      </c>
      <c r="AG134" s="3"/>
      <c r="AH134" s="4">
        <v>46006</v>
      </c>
      <c r="AI134" s="4">
        <f t="shared" si="448"/>
        <v>46736</v>
      </c>
      <c r="AJ134" s="8">
        <f t="shared" ca="1" si="458"/>
        <v>591</v>
      </c>
      <c r="AK134" s="5" t="str">
        <f t="shared" ca="1" si="408"/>
        <v>VIGENTE</v>
      </c>
      <c r="AL134" s="3"/>
      <c r="AM134" s="4">
        <v>45926</v>
      </c>
      <c r="AN134" s="4">
        <f t="shared" si="449"/>
        <v>46656</v>
      </c>
      <c r="AO134" s="8">
        <f t="shared" ca="1" si="459"/>
        <v>511</v>
      </c>
      <c r="AP134" s="5" t="str">
        <f t="shared" ca="1" si="460"/>
        <v>VIGENTE</v>
      </c>
      <c r="AQ134" s="3"/>
      <c r="AR134" s="4">
        <v>45971</v>
      </c>
      <c r="AS134" s="4">
        <f t="shared" si="450"/>
        <v>46701</v>
      </c>
      <c r="AT134" s="8">
        <f t="shared" ca="1" si="461"/>
        <v>556</v>
      </c>
      <c r="AU134" s="5" t="str">
        <f t="shared" ca="1" si="462"/>
        <v>VIGENTE</v>
      </c>
      <c r="AV134" s="3"/>
      <c r="AW134" s="4">
        <v>45972</v>
      </c>
      <c r="AX134" s="4">
        <f t="shared" si="445"/>
        <v>46702</v>
      </c>
      <c r="AY134" s="8">
        <f t="shared" ca="1" si="463"/>
        <v>557</v>
      </c>
      <c r="AZ134" s="5" t="str">
        <f t="shared" ca="1" si="464"/>
        <v>VIGENTE</v>
      </c>
      <c r="BA134" s="3"/>
      <c r="BB134" s="4">
        <v>46041</v>
      </c>
      <c r="BC134" s="4">
        <f>DATE(YEAR(BB134)+2,MONTH(BB134),DAY(BB134))</f>
        <v>46771</v>
      </c>
      <c r="BD134" s="8">
        <f t="shared" ca="1" si="465"/>
        <v>626</v>
      </c>
      <c r="BE134" s="5" t="str">
        <f t="shared" ca="1" si="466"/>
        <v>VIGENTE</v>
      </c>
      <c r="BF134" s="3"/>
      <c r="BG134" s="4">
        <v>46027</v>
      </c>
      <c r="BH134" s="4">
        <f t="shared" si="446"/>
        <v>46757</v>
      </c>
      <c r="BI134" s="8">
        <f t="shared" ca="1" si="467"/>
        <v>612</v>
      </c>
      <c r="BJ134" s="5" t="str">
        <f t="shared" ca="1" si="468"/>
        <v>VIGENTE</v>
      </c>
      <c r="BK134" s="3"/>
      <c r="BL134" s="4">
        <v>46035</v>
      </c>
      <c r="BM134" s="4">
        <f>DATE(YEAR(BL134)+2,MONTH(BL134),DAY(BL134))</f>
        <v>46765</v>
      </c>
      <c r="BN134" s="8">
        <f t="shared" ca="1" si="469"/>
        <v>620</v>
      </c>
      <c r="BO134" s="5" t="str">
        <f t="shared" ca="1" si="470"/>
        <v>VIGENTE</v>
      </c>
      <c r="BP134" s="3"/>
      <c r="BQ134" s="39">
        <v>46069</v>
      </c>
      <c r="BR134" s="4">
        <f>DATE(YEAR(BQ134)+2,MONTH(BQ134),DAY(BQ134))</f>
        <v>46799</v>
      </c>
      <c r="BS134" s="8">
        <f t="shared" ca="1" si="471"/>
        <v>654</v>
      </c>
      <c r="BT134" s="5" t="str">
        <f t="shared" ca="1" si="472"/>
        <v>VIGENTE</v>
      </c>
      <c r="BU134" s="3"/>
      <c r="BV134" s="4">
        <v>46116</v>
      </c>
      <c r="BW134" s="4">
        <f>DATE(YEAR(BV134)+2,MONTH(BV134),DAY(BV134)-1)</f>
        <v>46846</v>
      </c>
      <c r="BX134" s="8">
        <f t="shared" ca="1" si="473"/>
        <v>701</v>
      </c>
      <c r="BY134" s="5" t="str">
        <f t="shared" ca="1" si="474"/>
        <v>VIGENTE</v>
      </c>
      <c r="BZ134" s="3"/>
      <c r="CA134" s="4">
        <v>45944</v>
      </c>
      <c r="CB134" s="4">
        <f t="shared" si="447"/>
        <v>46674</v>
      </c>
      <c r="CC134" s="8">
        <f t="shared" ca="1" si="475"/>
        <v>529</v>
      </c>
      <c r="CD134" s="5" t="str">
        <f t="shared" ca="1" si="476"/>
        <v>VIGENTE</v>
      </c>
      <c r="CE134" s="6"/>
      <c r="CF134" s="4">
        <v>45211</v>
      </c>
      <c r="CG134" s="4">
        <f t="shared" si="416"/>
        <v>46672</v>
      </c>
      <c r="CH134" s="8">
        <f t="shared" ca="1" si="417"/>
        <v>527</v>
      </c>
      <c r="CI134" s="5" t="str">
        <f t="shared" ca="1" si="418"/>
        <v>VIGENTE</v>
      </c>
      <c r="CJ134" s="4"/>
      <c r="CK134" s="4">
        <v>45723</v>
      </c>
      <c r="CL134" s="4">
        <f>DATE(YEAR(CK134)+2,MONTH(CK134),DAY(CK134)-1)</f>
        <v>46452</v>
      </c>
      <c r="CM134" s="8">
        <f t="shared" ca="1" si="477"/>
        <v>307</v>
      </c>
      <c r="CN134" s="5" t="str">
        <f t="shared" ca="1" si="478"/>
        <v>VIGENTE</v>
      </c>
      <c r="CO134" s="3"/>
      <c r="CP134" s="39">
        <v>45684</v>
      </c>
      <c r="CQ134" s="4">
        <f>DATE(YEAR(CP134)+2,MONTH(CP134),DAY(CP134)-1)</f>
        <v>46413</v>
      </c>
      <c r="CR134" s="8">
        <f t="shared" ca="1" si="479"/>
        <v>268</v>
      </c>
      <c r="CS134" s="5" t="str">
        <f t="shared" ca="1" si="480"/>
        <v>VIGENTE</v>
      </c>
      <c r="CT134" s="3"/>
      <c r="CU134" s="4">
        <v>45631</v>
      </c>
      <c r="CV134" s="4">
        <f>DATE(YEAR(CU134)+2,MONTH(CU134),DAY(CU134)-1)</f>
        <v>46360</v>
      </c>
      <c r="CW134" s="8">
        <f t="shared" ca="1" si="481"/>
        <v>215</v>
      </c>
      <c r="CX134" s="5" t="str">
        <f t="shared" ca="1" si="482"/>
        <v>VIGENTE</v>
      </c>
      <c r="CY134" s="3"/>
      <c r="CZ134" s="4">
        <v>45665</v>
      </c>
      <c r="DA134" s="4">
        <f>DATE(YEAR(CZ134)+2,MONTH(CZ134),DAY(CZ134)-1)</f>
        <v>46394</v>
      </c>
      <c r="DB134" s="8">
        <f t="shared" ca="1" si="483"/>
        <v>249</v>
      </c>
      <c r="DC134" s="5" t="str">
        <f t="shared" ca="1" si="484"/>
        <v>VIGENTE</v>
      </c>
      <c r="DD134" s="3"/>
      <c r="DE134" s="39">
        <v>45689</v>
      </c>
      <c r="DF134" s="4">
        <f>DATE(YEAR(DE134)+2,MONTH(DE134),DAY(DE134)-1)</f>
        <v>46418</v>
      </c>
      <c r="DG134" s="8">
        <f t="shared" ca="1" si="485"/>
        <v>273</v>
      </c>
      <c r="DH134" s="5" t="str">
        <f t="shared" ca="1" si="486"/>
        <v>VIGENTE</v>
      </c>
      <c r="DI134" s="3"/>
      <c r="DJ134" s="39">
        <v>45734</v>
      </c>
      <c r="DK134" s="4">
        <f>DATE(YEAR(DJ134)+2,MONTH(DJ134),DAY(DJ134)-1)</f>
        <v>46463</v>
      </c>
      <c r="DL134" s="8">
        <f t="shared" ca="1" si="487"/>
        <v>318</v>
      </c>
      <c r="DM134" s="5" t="str">
        <f t="shared" ca="1" si="488"/>
        <v>VIGENTE</v>
      </c>
      <c r="DN134" s="3"/>
      <c r="DO134" s="4">
        <v>45982</v>
      </c>
      <c r="DP134" s="4">
        <f>DATE(YEAR(DO134)+2,MONTH(DO134),DAY(DO134))</f>
        <v>46712</v>
      </c>
      <c r="DQ134" s="8">
        <f t="shared" ca="1" si="489"/>
        <v>567</v>
      </c>
      <c r="DR134" s="5" t="str">
        <f t="shared" ca="1" si="490"/>
        <v>VIGENTE</v>
      </c>
      <c r="DS134" s="3"/>
      <c r="DT134" s="4">
        <v>46053</v>
      </c>
      <c r="DU134" s="4">
        <f>DATE(YEAR(DT134)+2,MONTH(DT134),DAY(DT134))</f>
        <v>46783</v>
      </c>
      <c r="DV134" s="8">
        <f t="shared" ca="1" si="491"/>
        <v>638</v>
      </c>
      <c r="DW134" s="5" t="str">
        <f t="shared" ca="1" si="492"/>
        <v>VIGENTE</v>
      </c>
      <c r="DX134" s="3"/>
      <c r="DY134" s="4">
        <v>45682</v>
      </c>
      <c r="DZ134" s="4">
        <f>DATE(YEAR(DY134)+2,MONTH(DY134),DAY(DY134)-1)</f>
        <v>46411</v>
      </c>
      <c r="EA134" s="8">
        <f t="shared" ca="1" si="493"/>
        <v>266</v>
      </c>
      <c r="EB134" s="5" t="str">
        <f t="shared" ca="1" si="494"/>
        <v>VIGENTE</v>
      </c>
      <c r="EC134" s="3"/>
      <c r="ED134" s="39">
        <v>45768</v>
      </c>
      <c r="EE134" s="4">
        <f>DATE(YEAR(ED134)+2,MONTH(ED134),DAY(ED134))</f>
        <v>46498</v>
      </c>
      <c r="EF134" s="8">
        <f t="shared" ca="1" si="495"/>
        <v>353</v>
      </c>
      <c r="EG134" s="5" t="str">
        <f t="shared" ca="1" si="496"/>
        <v>VIGENTE</v>
      </c>
      <c r="EH134" s="3"/>
      <c r="EI134" s="3">
        <v>46085</v>
      </c>
      <c r="EJ134" s="4">
        <f t="shared" si="558"/>
        <v>46450</v>
      </c>
      <c r="EK134" s="8">
        <f t="shared" ca="1" si="497"/>
        <v>305</v>
      </c>
      <c r="EL134" s="5" t="str">
        <f t="shared" ca="1" si="498"/>
        <v>VIGENTE</v>
      </c>
      <c r="EM134" s="3"/>
      <c r="EN134" s="4">
        <v>45737</v>
      </c>
      <c r="EO134" s="4">
        <f>DATE(YEAR(EN134)+2,MONTH(EN134),DAY(EN134)-1)</f>
        <v>46466</v>
      </c>
      <c r="EP134" s="8">
        <f t="shared" ca="1" si="499"/>
        <v>321</v>
      </c>
      <c r="EQ134" s="5" t="str">
        <f t="shared" ca="1" si="500"/>
        <v>VIGENTE</v>
      </c>
      <c r="ER134" s="3"/>
      <c r="ES134" s="39">
        <v>45999</v>
      </c>
      <c r="ET134" s="4">
        <f>DATE(YEAR(ES134)+2,MONTH(ES134),DAY(ES134))</f>
        <v>46729</v>
      </c>
      <c r="EU134" s="8">
        <f t="shared" ca="1" si="501"/>
        <v>584</v>
      </c>
      <c r="EV134" s="5" t="str">
        <f t="shared" ca="1" si="502"/>
        <v>VIGENTE</v>
      </c>
      <c r="EW134" s="3"/>
      <c r="EX134" s="4">
        <v>45953</v>
      </c>
      <c r="EY134" s="4">
        <f t="shared" si="451"/>
        <v>46683</v>
      </c>
      <c r="EZ134" s="8">
        <f t="shared" ca="1" si="503"/>
        <v>538</v>
      </c>
      <c r="FA134" s="5" t="str">
        <f t="shared" ca="1" si="504"/>
        <v>VIGENTE</v>
      </c>
      <c r="FB134" s="3"/>
      <c r="FC134" s="4">
        <v>45988</v>
      </c>
      <c r="FD134" s="4">
        <f t="shared" si="452"/>
        <v>46718</v>
      </c>
      <c r="FE134" s="8">
        <f t="shared" ca="1" si="505"/>
        <v>573</v>
      </c>
      <c r="FF134" s="5" t="str">
        <f t="shared" ca="1" si="506"/>
        <v>VIGENTE</v>
      </c>
      <c r="FG134" s="3"/>
      <c r="FH134" s="4">
        <v>45992</v>
      </c>
      <c r="FI134" s="4">
        <f t="shared" si="453"/>
        <v>46722</v>
      </c>
      <c r="FJ134" s="8">
        <f t="shared" ca="1" si="507"/>
        <v>577</v>
      </c>
      <c r="FK134" s="5" t="str">
        <f t="shared" ca="1" si="508"/>
        <v>VIGENTE</v>
      </c>
      <c r="FL134" s="3"/>
      <c r="FM134" s="39">
        <v>45738</v>
      </c>
      <c r="FN134" s="4">
        <f>DATE(YEAR(FM134)+2,MONTH(FM134),DAY(FM134)-1)</f>
        <v>46467</v>
      </c>
      <c r="FO134" s="8">
        <f t="shared" ca="1" si="509"/>
        <v>322</v>
      </c>
      <c r="FP134" s="5" t="str">
        <f t="shared" ca="1" si="510"/>
        <v>VIGENTE</v>
      </c>
      <c r="FQ134" s="3"/>
      <c r="FR134" s="39">
        <v>45678</v>
      </c>
      <c r="FS134" s="4">
        <f>DATE(YEAR(FR134)+2,MONTH(FR134),DAY(FR134)-1)</f>
        <v>46407</v>
      </c>
      <c r="FT134" s="8">
        <f t="shared" ca="1" si="511"/>
        <v>262</v>
      </c>
      <c r="FU134" s="5" t="str">
        <f t="shared" ca="1" si="512"/>
        <v>VIGENTE</v>
      </c>
      <c r="FV134" s="3"/>
      <c r="FW134" s="4">
        <v>46014</v>
      </c>
      <c r="FX134" s="4">
        <f t="shared" si="454"/>
        <v>46744</v>
      </c>
      <c r="FY134" s="8">
        <f t="shared" ca="1" si="513"/>
        <v>599</v>
      </c>
      <c r="FZ134" s="5" t="str">
        <f t="shared" ca="1" si="514"/>
        <v>VIGENTE</v>
      </c>
      <c r="GA134" s="3"/>
      <c r="GB134" s="4">
        <v>46030</v>
      </c>
      <c r="GC134" s="4">
        <f>DATE(YEAR(GB134)+2,MONTH(GB134),DAY(GB134))</f>
        <v>46760</v>
      </c>
      <c r="GD134" s="8">
        <f t="shared" ca="1" si="515"/>
        <v>615</v>
      </c>
      <c r="GE134" s="5" t="str">
        <f t="shared" ca="1" si="516"/>
        <v>VIGENTE</v>
      </c>
      <c r="GF134" s="3"/>
      <c r="GG134" s="4">
        <v>45712</v>
      </c>
      <c r="GH134" s="4">
        <f>DATE(YEAR(GG134)+2,MONTH(GG134),DAY(GG134)-1)</f>
        <v>46441</v>
      </c>
      <c r="GI134" s="8">
        <f t="shared" ca="1" si="517"/>
        <v>296</v>
      </c>
      <c r="GJ134" s="5" t="str">
        <f t="shared" ca="1" si="518"/>
        <v>VIGENTE</v>
      </c>
      <c r="GK134" s="3"/>
      <c r="GL134" s="4">
        <v>45923</v>
      </c>
      <c r="GM134" s="4">
        <f>DATE(YEAR(GL134)+2,MONTH(GL134),DAY(GL134))</f>
        <v>46653</v>
      </c>
      <c r="GN134" s="8">
        <f t="shared" ca="1" si="519"/>
        <v>508</v>
      </c>
      <c r="GO134" s="5" t="str">
        <f t="shared" ca="1" si="520"/>
        <v>VIGENTE</v>
      </c>
      <c r="GP134" s="4"/>
      <c r="GQ134" s="4">
        <v>45283</v>
      </c>
      <c r="GR134" s="4">
        <f t="shared" si="521"/>
        <v>47110</v>
      </c>
      <c r="GS134" s="8">
        <f t="shared" ca="1" si="405"/>
        <v>965</v>
      </c>
      <c r="GT134" s="5" t="str">
        <f t="shared" ca="1" si="419"/>
        <v>VIGENTE</v>
      </c>
      <c r="GU134" s="3"/>
      <c r="GV134" s="4">
        <v>45245</v>
      </c>
      <c r="GW134" s="4">
        <f t="shared" si="522"/>
        <v>47072</v>
      </c>
      <c r="GX134" s="8">
        <f t="shared" ca="1" si="523"/>
        <v>927</v>
      </c>
      <c r="GY134" s="5" t="str">
        <f t="shared" ca="1" si="426"/>
        <v>VIGENTE</v>
      </c>
      <c r="GZ134" s="3"/>
      <c r="HA134" s="4">
        <v>45182</v>
      </c>
      <c r="HB134" s="4">
        <f t="shared" si="524"/>
        <v>47009</v>
      </c>
      <c r="HC134" s="8">
        <f t="shared" ca="1" si="525"/>
        <v>864</v>
      </c>
      <c r="HD134" s="5" t="str">
        <f t="shared" ca="1" si="421"/>
        <v>VIGENTE</v>
      </c>
      <c r="HE134" s="6"/>
      <c r="HF134" s="4">
        <v>44865</v>
      </c>
      <c r="HG134" s="4">
        <f>DATE(YEAR(HF134)+5,MONTH(HF134),DAY(HF134))</f>
        <v>46691</v>
      </c>
      <c r="HH134" s="8">
        <f ca="1">HG134-TODAY()</f>
        <v>546</v>
      </c>
      <c r="HI134" s="5" t="str">
        <f t="shared" ca="1" si="427"/>
        <v>VIGENTE</v>
      </c>
      <c r="HJ134" s="3"/>
      <c r="HK134" s="4">
        <v>45368</v>
      </c>
      <c r="HL134" s="4">
        <f>DATE(YEAR(HK134)+5,MONTH(HK134),DAY(HK134))</f>
        <v>47194</v>
      </c>
      <c r="HM134" s="8">
        <f ca="1">HL134-TODAY()</f>
        <v>1049</v>
      </c>
      <c r="HN134" s="5" t="str">
        <f t="shared" ca="1" si="444"/>
        <v>VIGENTE</v>
      </c>
      <c r="HO134" s="2"/>
      <c r="HP134" s="3">
        <v>45377</v>
      </c>
      <c r="HQ134" s="4">
        <f>DATE(YEAR(HP134)+5,MONTH(HP134),DAY(HP134))</f>
        <v>47203</v>
      </c>
      <c r="HR134" s="8">
        <f ca="1">HQ134-TODAY()</f>
        <v>1058</v>
      </c>
      <c r="HS134" s="5" t="str">
        <f t="shared" ca="1" si="526"/>
        <v>VIGENTE</v>
      </c>
      <c r="HT134" s="3"/>
      <c r="HU134" s="4">
        <v>45306</v>
      </c>
      <c r="HV134" s="4">
        <f>DATE(YEAR(HU134)+5,MONTH(HU134),DAY(HU134))</f>
        <v>47133</v>
      </c>
      <c r="HW134" s="8">
        <f ca="1">HV134-TODAY()</f>
        <v>988</v>
      </c>
      <c r="HX134" s="5" t="str">
        <f t="shared" ca="1" si="527"/>
        <v>VIGENTE</v>
      </c>
      <c r="HY134" s="3"/>
      <c r="HZ134" s="4">
        <v>45205</v>
      </c>
      <c r="IA134" s="4">
        <f>DATE(YEAR(HZ134)+5,MONTH(HZ134),DAY(HZ134))</f>
        <v>47032</v>
      </c>
      <c r="IB134" s="8">
        <f ca="1">IA134-TODAY()</f>
        <v>887</v>
      </c>
      <c r="IC134" s="5" t="str">
        <f t="shared" ca="1" si="528"/>
        <v>VIGENTE</v>
      </c>
      <c r="ID134" s="3"/>
      <c r="IE134" s="4">
        <v>45230</v>
      </c>
      <c r="IF134" s="4">
        <f>DATE(YEAR(IE134)+5,MONTH(IE134),DAY(IE134))</f>
        <v>47057</v>
      </c>
      <c r="IG134" s="8">
        <f ca="1">IF134-TODAY()</f>
        <v>912</v>
      </c>
      <c r="IH134" s="5" t="str">
        <f t="shared" ca="1" si="529"/>
        <v>VIGENTE</v>
      </c>
      <c r="II134" s="4"/>
      <c r="IJ134" s="4">
        <v>45238</v>
      </c>
      <c r="IK134" s="4">
        <f>DATE(YEAR(IJ134)+5,MONTH(IJ134),DAY(IJ134))</f>
        <v>47065</v>
      </c>
      <c r="IL134" s="8">
        <f ca="1">IK134-TODAY()</f>
        <v>920</v>
      </c>
      <c r="IM134" s="5" t="str">
        <f t="shared" ca="1" si="530"/>
        <v>VIGENTE</v>
      </c>
      <c r="IN134" s="3"/>
      <c r="IO134" s="4">
        <v>45304</v>
      </c>
      <c r="IP134" s="4">
        <f>DATE(YEAR(IO134)+5,MONTH(IO134),DAY(IO134))</f>
        <v>47131</v>
      </c>
      <c r="IQ134" s="8">
        <f ca="1">IP134-TODAY()</f>
        <v>986</v>
      </c>
      <c r="IR134" s="5" t="str">
        <f t="shared" ca="1" si="531"/>
        <v>VIGENTE</v>
      </c>
      <c r="IS134" s="3"/>
      <c r="IT134" s="4">
        <v>45233</v>
      </c>
      <c r="IU134" s="4">
        <f>DATE(YEAR(IT134)+5,MONTH(IT134),DAY(IT134))</f>
        <v>47060</v>
      </c>
      <c r="IV134" s="8">
        <f ca="1">IU134-TODAY()</f>
        <v>915</v>
      </c>
      <c r="IW134" s="5" t="str">
        <f t="shared" ca="1" si="532"/>
        <v>VIGENTE</v>
      </c>
      <c r="IX134" s="3"/>
      <c r="IY134" s="4">
        <v>45189</v>
      </c>
      <c r="IZ134" s="4">
        <f>DATE(YEAR(IY134)+5,MONTH(IY134),DAY(IY134))</f>
        <v>47016</v>
      </c>
      <c r="JA134" s="8">
        <f ca="1">IZ134-TODAY()</f>
        <v>871</v>
      </c>
      <c r="JB134" s="5" t="str">
        <f t="shared" ca="1" si="533"/>
        <v>VIGENTE</v>
      </c>
      <c r="JC134" s="3" t="s">
        <v>780</v>
      </c>
      <c r="JD134" s="3"/>
      <c r="JE134" s="4"/>
      <c r="JF134" s="8"/>
      <c r="JG134" s="5"/>
      <c r="JH134" s="3" t="s">
        <v>780</v>
      </c>
      <c r="JI134" s="6"/>
      <c r="JJ134" s="6"/>
      <c r="JK134" s="6"/>
      <c r="JL134" s="5"/>
      <c r="JM134" s="6" t="s">
        <v>780</v>
      </c>
      <c r="JN134" s="6"/>
      <c r="JO134" s="6"/>
      <c r="JP134" s="6"/>
      <c r="JQ134" s="5"/>
      <c r="JR134" s="6" t="s">
        <v>780</v>
      </c>
      <c r="JS134" s="6"/>
      <c r="JT134" s="6"/>
      <c r="JU134" s="6"/>
      <c r="JV134" s="5"/>
      <c r="JW134" s="6" t="s">
        <v>780</v>
      </c>
      <c r="JX134" s="5"/>
      <c r="JY134" s="5"/>
      <c r="JZ134" s="5"/>
      <c r="KA134" s="5"/>
      <c r="KB134" s="5"/>
      <c r="KC134" s="2"/>
      <c r="KD134" s="4"/>
      <c r="KE134" s="8"/>
      <c r="KF134" s="5" t="str">
        <f t="shared" si="534"/>
        <v>NO APLICA</v>
      </c>
      <c r="KG134" s="5"/>
      <c r="KH134" s="3">
        <v>45328</v>
      </c>
      <c r="KI134" s="4">
        <f>DATE(YEAR(KH134)+5,MONTH(KH134),DAY(KH134)-1)</f>
        <v>47154</v>
      </c>
      <c r="KJ134" s="8">
        <f ca="1">KI134-TODAY()</f>
        <v>1009</v>
      </c>
      <c r="KK134" s="5" t="str">
        <f t="shared" ca="1" si="559"/>
        <v>VIGENTE</v>
      </c>
      <c r="KL134" s="5"/>
      <c r="KM134" s="2"/>
      <c r="KN134" s="4"/>
      <c r="KO134" s="8"/>
      <c r="KP134" s="5" t="str">
        <f t="shared" si="535"/>
        <v>NO APLICA</v>
      </c>
      <c r="KQ134" s="5"/>
      <c r="KR134" s="2"/>
      <c r="KS134" s="4"/>
      <c r="KT134" s="8"/>
      <c r="KU134" s="5" t="str">
        <f t="shared" si="560"/>
        <v>NO APLICA</v>
      </c>
      <c r="KV134" s="3"/>
      <c r="KW134" s="4">
        <v>44658</v>
      </c>
      <c r="KX134" s="4">
        <f>DATE(YEAR(KW134)+5,MONTH(KW134),DAY(KW134))</f>
        <v>46484</v>
      </c>
      <c r="KY134" s="8">
        <f ca="1">KX134-TODAY()</f>
        <v>339</v>
      </c>
      <c r="KZ134" s="5" t="str">
        <f t="shared" ref="KZ134:KZ197" ca="1" si="565">IF(KY134&gt;=61,"VIGENTE",IF(KY134&gt;=1,"POR VENCER",IF(KY134&lt;=-1,"VENCIDA",IF(KW134=0,"NO APLICA"))))</f>
        <v>VIGENTE</v>
      </c>
      <c r="LA134" s="5"/>
      <c r="LB134" s="4">
        <v>44613</v>
      </c>
      <c r="LC134" s="4">
        <f>DATE(YEAR(LB134)+5,MONTH(LB134),DAY(LB134))</f>
        <v>46439</v>
      </c>
      <c r="LD134" s="8">
        <f ca="1">LC134-TODAY()</f>
        <v>294</v>
      </c>
      <c r="LE134" s="5" t="str">
        <f t="shared" ca="1" si="561"/>
        <v>VIGENTE</v>
      </c>
      <c r="LF134" s="4"/>
      <c r="LG134" s="4"/>
      <c r="LH134" s="4"/>
      <c r="LI134" s="8"/>
      <c r="LJ134" s="5" t="str">
        <f>IF(LI134&gt;=61,"VIGENTE",IF(LI134&gt;=1,"POR VENCER",IF(LI134&lt;=-1,"VENCIDA",IF(LI134=0,"NO APLICA"))))</f>
        <v>NO APLICA</v>
      </c>
      <c r="LK134" s="5"/>
      <c r="LL134" s="5"/>
      <c r="LM134" s="5"/>
      <c r="LN134" s="5"/>
      <c r="LO134" s="5" t="str">
        <f t="shared" ref="LO134:LO196" si="566">IF(LN134&gt;=61,"VIGENTE",IF(LN134&gt;=1,"POR VENCER",IF(LN134&lt;=-1,"VENCIDA",IF(LL134=0,"NO APLICA"))))</f>
        <v>NO APLICA</v>
      </c>
      <c r="LP134" s="2"/>
      <c r="LQ134" s="6"/>
      <c r="LR134" s="4"/>
      <c r="LS134" s="8"/>
      <c r="LT134" s="5" t="str">
        <f t="shared" si="562"/>
        <v>NO APLICA</v>
      </c>
      <c r="LU134" s="6"/>
      <c r="LV134" s="6"/>
      <c r="LW134" s="4"/>
      <c r="LX134" s="8"/>
      <c r="LY134" s="5" t="str">
        <f t="shared" si="563"/>
        <v>NO APLICA</v>
      </c>
      <c r="LZ134" s="6"/>
      <c r="MA134" s="6"/>
      <c r="MB134" s="4"/>
      <c r="MC134" s="8"/>
      <c r="MD134" s="5" t="str">
        <f t="shared" si="564"/>
        <v>NO APLICA</v>
      </c>
      <c r="ME134" s="2"/>
      <c r="MF134" s="2"/>
      <c r="MG134" s="4"/>
      <c r="MH134" s="8"/>
      <c r="MI134" s="5" t="str">
        <f t="shared" si="537"/>
        <v>NO APLICA</v>
      </c>
      <c r="MJ134" s="2"/>
      <c r="MK134" s="2"/>
      <c r="ML134" s="4"/>
      <c r="MM134" s="8"/>
      <c r="MN134" s="5" t="str">
        <f t="shared" si="538"/>
        <v>NO APLICA</v>
      </c>
      <c r="MO134" s="5"/>
      <c r="MP134" s="2"/>
      <c r="MQ134" s="4"/>
      <c r="MR134" s="8"/>
      <c r="MS134" s="5" t="str">
        <f t="shared" si="539"/>
        <v>NO APLICA</v>
      </c>
      <c r="MT134" s="5"/>
      <c r="MU134" s="2"/>
      <c r="MV134" s="4"/>
      <c r="MW134" s="2"/>
      <c r="MX134" s="5" t="str">
        <f t="shared" si="540"/>
        <v>NO APLICA</v>
      </c>
      <c r="MY134" s="2"/>
      <c r="MZ134" s="6"/>
      <c r="NA134" s="4"/>
      <c r="NB134" s="8"/>
      <c r="NC134" s="5" t="str">
        <f t="shared" si="541"/>
        <v>NO APLICA</v>
      </c>
      <c r="ND134" s="2"/>
      <c r="NE134" s="6"/>
      <c r="NF134" s="4"/>
      <c r="NG134" s="8"/>
      <c r="NH134" s="5" t="str">
        <f t="shared" si="542"/>
        <v>NO APLICA</v>
      </c>
      <c r="NI134" s="2"/>
      <c r="NJ134" s="6"/>
      <c r="NK134" s="4"/>
      <c r="NL134" s="8"/>
      <c r="NM134" s="5" t="str">
        <f t="shared" si="543"/>
        <v>NO APLICA</v>
      </c>
      <c r="NN134" s="2"/>
      <c r="NO134" s="2"/>
      <c r="NP134" s="4"/>
      <c r="NQ134" s="2"/>
      <c r="NR134" s="5" t="str">
        <f t="shared" si="544"/>
        <v>NO APLICA</v>
      </c>
      <c r="NS134" s="2"/>
      <c r="NT134" s="2"/>
      <c r="NU134" s="2"/>
      <c r="NV134" s="2"/>
      <c r="NW134" s="5" t="str">
        <f t="shared" si="545"/>
        <v>NO APLICA</v>
      </c>
      <c r="NX134" s="6"/>
      <c r="NY134" s="6"/>
      <c r="NZ134" s="4"/>
      <c r="OA134" s="8"/>
      <c r="OB134" s="5" t="str">
        <f t="shared" si="546"/>
        <v>NO APLICA</v>
      </c>
      <c r="OC134" s="6"/>
      <c r="OD134" s="6"/>
      <c r="OE134" s="6"/>
      <c r="OF134" s="6"/>
      <c r="OG134" s="5" t="str">
        <f t="shared" si="547"/>
        <v>NO APLICA</v>
      </c>
      <c r="OH134" s="6"/>
      <c r="OI134" s="6"/>
      <c r="OJ134" s="4"/>
      <c r="OK134" s="8"/>
      <c r="OL134" s="5" t="str">
        <f t="shared" si="548"/>
        <v>NO APLICA</v>
      </c>
      <c r="OM134" s="6"/>
      <c r="ON134" s="6"/>
      <c r="OO134" s="6"/>
      <c r="OP134" s="6"/>
      <c r="OQ134" s="5" t="str">
        <f t="shared" si="549"/>
        <v>NO APLICA</v>
      </c>
      <c r="OR134" s="6"/>
      <c r="OS134" s="6"/>
      <c r="OT134" s="6"/>
      <c r="OU134" s="6"/>
      <c r="OV134" s="5" t="str">
        <f t="shared" si="550"/>
        <v>NO APLICA</v>
      </c>
      <c r="OW134" s="6"/>
      <c r="OX134" s="6"/>
      <c r="OY134" s="6"/>
      <c r="OZ134" s="6"/>
      <c r="PA134" s="5" t="str">
        <f t="shared" si="551"/>
        <v>NO APLICA</v>
      </c>
      <c r="PB134" s="6"/>
      <c r="PC134" s="6"/>
      <c r="PD134" s="6"/>
      <c r="PE134" s="6"/>
      <c r="PF134" s="5" t="str">
        <f t="shared" si="552"/>
        <v>NO APLICA</v>
      </c>
      <c r="PG134" s="6"/>
      <c r="PH134" s="6"/>
      <c r="PI134" s="6"/>
      <c r="PJ134" s="6"/>
      <c r="PK134" s="5" t="str">
        <f t="shared" si="553"/>
        <v>NO APLICA</v>
      </c>
      <c r="PL134" s="5"/>
      <c r="PM134" s="6"/>
      <c r="PN134" s="4"/>
      <c r="PO134" s="8"/>
      <c r="PP134" s="5" t="str">
        <f t="shared" si="554"/>
        <v>NO APLICA</v>
      </c>
      <c r="PQ134" s="6"/>
      <c r="PR134" s="6"/>
      <c r="PS134" s="6"/>
      <c r="PT134" s="6"/>
      <c r="PU134" s="5" t="str">
        <f t="shared" si="555"/>
        <v>NO APLICA</v>
      </c>
      <c r="PV134" s="5"/>
      <c r="PW134" s="6"/>
      <c r="PX134" s="6"/>
      <c r="PY134" s="6"/>
      <c r="PZ134" s="5" t="str">
        <f t="shared" si="556"/>
        <v>NO APLICA</v>
      </c>
    </row>
    <row r="135" spans="1:442" ht="15.6" hidden="1" thickTop="1" thickBot="1" x14ac:dyDescent="0.35">
      <c r="A135" s="26">
        <v>132</v>
      </c>
      <c r="B135" s="31">
        <v>1661</v>
      </c>
      <c r="C135" s="28" t="s">
        <v>443</v>
      </c>
      <c r="D135" s="29" t="s">
        <v>113</v>
      </c>
      <c r="E135" s="30" t="s">
        <v>174</v>
      </c>
      <c r="F135" s="5"/>
      <c r="G135" s="6"/>
      <c r="H135" s="4"/>
      <c r="I135" s="8"/>
      <c r="J135" s="5" t="str">
        <f t="shared" si="455"/>
        <v>NO APLICA</v>
      </c>
      <c r="K135" s="5"/>
      <c r="L135" s="6"/>
      <c r="M135" s="6"/>
      <c r="N135" s="8"/>
      <c r="O135" s="5" t="str">
        <f t="shared" si="456"/>
        <v>NO APLICA</v>
      </c>
      <c r="P135" s="6"/>
      <c r="Q135" s="6"/>
      <c r="R135" s="4"/>
      <c r="S135" s="8"/>
      <c r="T135" s="5" t="str">
        <f t="shared" si="557"/>
        <v>NO APLICA</v>
      </c>
      <c r="U135" s="5"/>
      <c r="V135" s="2" t="s">
        <v>444</v>
      </c>
      <c r="W135" s="4">
        <v>44944</v>
      </c>
      <c r="X135" s="4">
        <f t="shared" si="410"/>
        <v>46770</v>
      </c>
      <c r="Y135" s="8">
        <f t="shared" ca="1" si="411"/>
        <v>625</v>
      </c>
      <c r="Z135" s="5" t="str">
        <f t="shared" ca="1" si="412"/>
        <v>VIGENTE</v>
      </c>
      <c r="AA135" s="5"/>
      <c r="AB135" s="2"/>
      <c r="AC135" s="6"/>
      <c r="AD135" s="4"/>
      <c r="AE135" s="8"/>
      <c r="AF135" s="5" t="str">
        <f t="shared" si="457"/>
        <v>NO APLICA</v>
      </c>
      <c r="AG135" s="2"/>
      <c r="AH135" s="4">
        <v>45936</v>
      </c>
      <c r="AI135" s="4">
        <f t="shared" si="448"/>
        <v>46666</v>
      </c>
      <c r="AJ135" s="8">
        <f t="shared" ca="1" si="458"/>
        <v>521</v>
      </c>
      <c r="AK135" s="5" t="str">
        <f t="shared" ca="1" si="408"/>
        <v>VIGENTE</v>
      </c>
      <c r="AL135" s="2"/>
      <c r="AM135" s="4">
        <v>45926</v>
      </c>
      <c r="AN135" s="4">
        <f t="shared" si="449"/>
        <v>46656</v>
      </c>
      <c r="AO135" s="8">
        <f t="shared" ca="1" si="459"/>
        <v>511</v>
      </c>
      <c r="AP135" s="5" t="str">
        <f t="shared" ca="1" si="460"/>
        <v>VIGENTE</v>
      </c>
      <c r="AQ135" s="3"/>
      <c r="AR135" s="4">
        <v>45904</v>
      </c>
      <c r="AS135" s="4">
        <f t="shared" si="450"/>
        <v>46634</v>
      </c>
      <c r="AT135" s="8">
        <f t="shared" ca="1" si="461"/>
        <v>489</v>
      </c>
      <c r="AU135" s="5" t="str">
        <f t="shared" ca="1" si="462"/>
        <v>VIGENTE</v>
      </c>
      <c r="AV135" s="2"/>
      <c r="AW135" s="4">
        <v>45927</v>
      </c>
      <c r="AX135" s="4">
        <f t="shared" si="445"/>
        <v>46657</v>
      </c>
      <c r="AY135" s="8">
        <f t="shared" ca="1" si="463"/>
        <v>512</v>
      </c>
      <c r="AZ135" s="5" t="str">
        <f t="shared" ca="1" si="464"/>
        <v>VIGENTE</v>
      </c>
      <c r="BA135" s="3"/>
      <c r="BB135" s="4">
        <v>45943</v>
      </c>
      <c r="BC135" s="4">
        <f>DATE(YEAR(BB135)+2,MONTH(BB135),DAY(BB135))</f>
        <v>46673</v>
      </c>
      <c r="BD135" s="8">
        <f t="shared" ca="1" si="465"/>
        <v>528</v>
      </c>
      <c r="BE135" s="5" t="str">
        <f t="shared" ca="1" si="466"/>
        <v>VIGENTE</v>
      </c>
      <c r="BF135" s="3"/>
      <c r="BG135" s="4">
        <v>45880</v>
      </c>
      <c r="BH135" s="4">
        <f t="shared" si="446"/>
        <v>46610</v>
      </c>
      <c r="BI135" s="8">
        <f t="shared" ca="1" si="467"/>
        <v>465</v>
      </c>
      <c r="BJ135" s="5" t="str">
        <f t="shared" ca="1" si="468"/>
        <v>VIGENTE</v>
      </c>
      <c r="BK135" s="3"/>
      <c r="BL135" s="4">
        <v>45976</v>
      </c>
      <c r="BM135" s="4">
        <f>DATE(YEAR(BL135)+2,MONTH(BL135),DAY(BL135))</f>
        <v>46706</v>
      </c>
      <c r="BN135" s="8">
        <f t="shared" ca="1" si="469"/>
        <v>561</v>
      </c>
      <c r="BO135" s="5" t="str">
        <f t="shared" ca="1" si="470"/>
        <v>VIGENTE</v>
      </c>
      <c r="BP135" s="3"/>
      <c r="BQ135" s="39">
        <v>45981</v>
      </c>
      <c r="BR135" s="4">
        <f>DATE(YEAR(BQ135)+2,MONTH(BQ135),DAY(BQ135))</f>
        <v>46711</v>
      </c>
      <c r="BS135" s="8">
        <f t="shared" ca="1" si="471"/>
        <v>566</v>
      </c>
      <c r="BT135" s="5" t="str">
        <f t="shared" ca="1" si="472"/>
        <v>VIGENTE</v>
      </c>
      <c r="BU135" s="3"/>
      <c r="BV135" s="4">
        <v>45871</v>
      </c>
      <c r="BW135" s="4">
        <f>DATE(YEAR(BV135)+2,MONTH(BV135),DAY(BV135))</f>
        <v>46601</v>
      </c>
      <c r="BX135" s="8">
        <f t="shared" ca="1" si="473"/>
        <v>456</v>
      </c>
      <c r="BY135" s="5" t="str">
        <f t="shared" ca="1" si="474"/>
        <v>VIGENTE</v>
      </c>
      <c r="BZ135" s="2"/>
      <c r="CA135" s="4">
        <v>45911</v>
      </c>
      <c r="CB135" s="4">
        <f t="shared" si="447"/>
        <v>46641</v>
      </c>
      <c r="CC135" s="8">
        <f t="shared" ca="1" si="475"/>
        <v>496</v>
      </c>
      <c r="CD135" s="5" t="str">
        <f t="shared" ca="1" si="476"/>
        <v>VIGENTE</v>
      </c>
      <c r="CE135" s="6"/>
      <c r="CF135" s="4">
        <v>45832</v>
      </c>
      <c r="CG135" s="4">
        <f t="shared" si="416"/>
        <v>47293</v>
      </c>
      <c r="CH135" s="8">
        <f t="shared" ca="1" si="417"/>
        <v>1148</v>
      </c>
      <c r="CI135" s="5" t="str">
        <f t="shared" ca="1" si="418"/>
        <v>VIGENTE</v>
      </c>
      <c r="CJ135" s="6"/>
      <c r="CK135" s="4">
        <v>45929</v>
      </c>
      <c r="CL135" s="4">
        <f>DATE(YEAR(CK135)+2,MONTH(CK135),DAY(CK135))</f>
        <v>46659</v>
      </c>
      <c r="CM135" s="8">
        <f t="shared" ca="1" si="477"/>
        <v>514</v>
      </c>
      <c r="CN135" s="5" t="str">
        <f t="shared" ca="1" si="478"/>
        <v>VIGENTE</v>
      </c>
      <c r="CO135" s="3"/>
      <c r="CP135" s="39">
        <v>45882</v>
      </c>
      <c r="CQ135" s="4">
        <f>DATE(YEAR(CP135)+2,MONTH(CP135),DAY(CP135))</f>
        <v>46612</v>
      </c>
      <c r="CR135" s="8">
        <f t="shared" ca="1" si="479"/>
        <v>467</v>
      </c>
      <c r="CS135" s="5" t="str">
        <f t="shared" ca="1" si="480"/>
        <v>VIGENTE</v>
      </c>
      <c r="CT135" s="3"/>
      <c r="CU135" s="4">
        <v>45813</v>
      </c>
      <c r="CV135" s="4">
        <f>DATE(YEAR(CU135)+2,MONTH(CU135),DAY(CU135))</f>
        <v>46543</v>
      </c>
      <c r="CW135" s="8">
        <f t="shared" ca="1" si="481"/>
        <v>398</v>
      </c>
      <c r="CX135" s="5" t="str">
        <f t="shared" ca="1" si="482"/>
        <v>VIGENTE</v>
      </c>
      <c r="CY135" s="3"/>
      <c r="CZ135" s="4">
        <v>45989</v>
      </c>
      <c r="DA135" s="4">
        <f>DATE(YEAR(CZ135)+2,MONTH(CZ135),DAY(CZ135))</f>
        <v>46719</v>
      </c>
      <c r="DB135" s="8">
        <f t="shared" ca="1" si="483"/>
        <v>574</v>
      </c>
      <c r="DC135" s="5" t="str">
        <f t="shared" ca="1" si="484"/>
        <v>VIGENTE</v>
      </c>
      <c r="DD135" s="3"/>
      <c r="DE135" s="39">
        <v>45996</v>
      </c>
      <c r="DF135" s="4">
        <f>DATE(YEAR(DE135)+2,MONTH(DE135),DAY(DE135))</f>
        <v>46726</v>
      </c>
      <c r="DG135" s="8">
        <f t="shared" ca="1" si="485"/>
        <v>581</v>
      </c>
      <c r="DH135" s="5" t="str">
        <f t="shared" ca="1" si="486"/>
        <v>VIGENTE</v>
      </c>
      <c r="DI135" s="3"/>
      <c r="DJ135" s="39">
        <v>45899</v>
      </c>
      <c r="DK135" s="4">
        <f>DATE(YEAR(DJ135)+2,MONTH(DJ135),DAY(DJ135))</f>
        <v>46629</v>
      </c>
      <c r="DL135" s="8">
        <f t="shared" ca="1" si="487"/>
        <v>484</v>
      </c>
      <c r="DM135" s="5" t="str">
        <f t="shared" ca="1" si="488"/>
        <v>VIGENTE</v>
      </c>
      <c r="DN135" s="3"/>
      <c r="DO135" s="4">
        <v>45731</v>
      </c>
      <c r="DP135" s="4">
        <f>DATE(YEAR(DO135)+2,MONTH(DO135),DAY(DO135)-1)</f>
        <v>46460</v>
      </c>
      <c r="DQ135" s="8">
        <f t="shared" ca="1" si="489"/>
        <v>315</v>
      </c>
      <c r="DR135" s="5" t="str">
        <f t="shared" ca="1" si="490"/>
        <v>VIGENTE</v>
      </c>
      <c r="DS135" s="4"/>
      <c r="DT135" s="4">
        <v>46018</v>
      </c>
      <c r="DU135" s="4">
        <f>DATE(YEAR(DT135)+2,MONTH(DT135),DAY(DT135))</f>
        <v>46748</v>
      </c>
      <c r="DV135" s="8">
        <f t="shared" ca="1" si="491"/>
        <v>603</v>
      </c>
      <c r="DW135" s="5" t="str">
        <f t="shared" ca="1" si="492"/>
        <v>VIGENTE</v>
      </c>
      <c r="DX135" s="3"/>
      <c r="DY135" s="4">
        <v>46020</v>
      </c>
      <c r="DZ135" s="4">
        <f>DATE(YEAR(DY135)+2,MONTH(DY135),DAY(DY135))</f>
        <v>46750</v>
      </c>
      <c r="EA135" s="8">
        <f t="shared" ca="1" si="493"/>
        <v>605</v>
      </c>
      <c r="EB135" s="5" t="str">
        <f t="shared" ca="1" si="494"/>
        <v>VIGENTE</v>
      </c>
      <c r="EC135" s="3"/>
      <c r="ED135" s="39">
        <v>45913</v>
      </c>
      <c r="EE135" s="4">
        <f>DATE(YEAR(ED135)+2,MONTH(ED135),DAY(ED135))</f>
        <v>46643</v>
      </c>
      <c r="EF135" s="8">
        <f t="shared" ca="1" si="495"/>
        <v>498</v>
      </c>
      <c r="EG135" s="5" t="str">
        <f t="shared" ca="1" si="496"/>
        <v>VIGENTE</v>
      </c>
      <c r="EH135" s="3"/>
      <c r="EI135" s="3">
        <v>46002</v>
      </c>
      <c r="EJ135" s="4">
        <f t="shared" si="558"/>
        <v>46367</v>
      </c>
      <c r="EK135" s="8">
        <f t="shared" ca="1" si="497"/>
        <v>222</v>
      </c>
      <c r="EL135" s="5" t="str">
        <f t="shared" ca="1" si="498"/>
        <v>VIGENTE</v>
      </c>
      <c r="EM135" s="3"/>
      <c r="EN135" s="4">
        <v>45940</v>
      </c>
      <c r="EO135" s="4">
        <f>DATE(YEAR(EN135)+2,MONTH(EN135),DAY(EN135))</f>
        <v>46670</v>
      </c>
      <c r="EP135" s="8">
        <f t="shared" ca="1" si="499"/>
        <v>525</v>
      </c>
      <c r="EQ135" s="5" t="str">
        <f t="shared" ca="1" si="500"/>
        <v>VIGENTE</v>
      </c>
      <c r="ER135" s="2"/>
      <c r="ES135" s="39">
        <v>45999</v>
      </c>
      <c r="ET135" s="4">
        <f>DATE(YEAR(ES135)+2,MONTH(ES135),DAY(ES135))</f>
        <v>46729</v>
      </c>
      <c r="EU135" s="8">
        <f t="shared" ca="1" si="501"/>
        <v>584</v>
      </c>
      <c r="EV135" s="5" t="str">
        <f t="shared" ca="1" si="502"/>
        <v>VIGENTE</v>
      </c>
      <c r="EW135" s="2"/>
      <c r="EX135" s="4">
        <v>45917</v>
      </c>
      <c r="EY135" s="4">
        <f t="shared" si="451"/>
        <v>46647</v>
      </c>
      <c r="EZ135" s="8">
        <f t="shared" ca="1" si="503"/>
        <v>502</v>
      </c>
      <c r="FA135" s="5" t="str">
        <f t="shared" ca="1" si="504"/>
        <v>VIGENTE</v>
      </c>
      <c r="FB135" s="2"/>
      <c r="FC135" s="4">
        <v>45931</v>
      </c>
      <c r="FD135" s="4">
        <f t="shared" si="452"/>
        <v>46661</v>
      </c>
      <c r="FE135" s="8">
        <f t="shared" ca="1" si="505"/>
        <v>516</v>
      </c>
      <c r="FF135" s="5" t="str">
        <f t="shared" ca="1" si="506"/>
        <v>VIGENTE</v>
      </c>
      <c r="FG135" s="2"/>
      <c r="FH135" s="4">
        <v>45932</v>
      </c>
      <c r="FI135" s="4">
        <f t="shared" si="453"/>
        <v>46662</v>
      </c>
      <c r="FJ135" s="8">
        <f t="shared" ca="1" si="507"/>
        <v>517</v>
      </c>
      <c r="FK135" s="5" t="str">
        <f t="shared" ca="1" si="508"/>
        <v>VIGENTE</v>
      </c>
      <c r="FL135" s="3"/>
      <c r="FM135" s="39">
        <v>45933</v>
      </c>
      <c r="FN135" s="4">
        <f>DATE(YEAR(FM135)+2,MONTH(FM135),DAY(FM135))</f>
        <v>46663</v>
      </c>
      <c r="FO135" s="8">
        <f t="shared" ca="1" si="509"/>
        <v>518</v>
      </c>
      <c r="FP135" s="5" t="str">
        <f t="shared" ca="1" si="510"/>
        <v>VIGENTE</v>
      </c>
      <c r="FQ135" s="3"/>
      <c r="FR135" s="39">
        <v>45957</v>
      </c>
      <c r="FS135" s="4">
        <f>DATE(YEAR(FR135)+2,MONTH(FR135),DAY(FR135))</f>
        <v>46687</v>
      </c>
      <c r="FT135" s="8">
        <f t="shared" ca="1" si="511"/>
        <v>542</v>
      </c>
      <c r="FU135" s="5" t="str">
        <f t="shared" ca="1" si="512"/>
        <v>VIGENTE</v>
      </c>
      <c r="FV135" s="3"/>
      <c r="FW135" s="4">
        <v>45941</v>
      </c>
      <c r="FX135" s="4">
        <f t="shared" si="454"/>
        <v>46671</v>
      </c>
      <c r="FY135" s="8">
        <f t="shared" ca="1" si="513"/>
        <v>526</v>
      </c>
      <c r="FZ135" s="5" t="str">
        <f t="shared" ca="1" si="514"/>
        <v>VIGENTE</v>
      </c>
      <c r="GA135" s="3"/>
      <c r="GB135" s="4">
        <v>45833</v>
      </c>
      <c r="GC135" s="4">
        <f>DATE(YEAR(GB135)+2,MONTH(GB135),DAY(GB135))</f>
        <v>46563</v>
      </c>
      <c r="GD135" s="8">
        <f t="shared" ca="1" si="515"/>
        <v>418</v>
      </c>
      <c r="GE135" s="5" t="str">
        <f t="shared" ca="1" si="516"/>
        <v>VIGENTE</v>
      </c>
      <c r="GF135" s="3"/>
      <c r="GG135" s="4">
        <v>45960</v>
      </c>
      <c r="GH135" s="4">
        <f>DATE(YEAR(GG135)+2,MONTH(GG135),DAY(GG135))</f>
        <v>46690</v>
      </c>
      <c r="GI135" s="8">
        <f t="shared" ca="1" si="517"/>
        <v>545</v>
      </c>
      <c r="GJ135" s="5" t="str">
        <f t="shared" ca="1" si="518"/>
        <v>VIGENTE</v>
      </c>
      <c r="GK135" s="3"/>
      <c r="GL135" s="4">
        <v>45945</v>
      </c>
      <c r="GM135" s="4">
        <f>DATE(YEAR(GL135)+2,MONTH(GL135),DAY(GL135))</f>
        <v>46675</v>
      </c>
      <c r="GN135" s="8">
        <f t="shared" ca="1" si="519"/>
        <v>530</v>
      </c>
      <c r="GO135" s="5" t="str">
        <f t="shared" ca="1" si="520"/>
        <v>VIGENTE</v>
      </c>
      <c r="GP135" s="4"/>
      <c r="GQ135" s="4">
        <v>45244</v>
      </c>
      <c r="GR135" s="4">
        <f t="shared" si="521"/>
        <v>47071</v>
      </c>
      <c r="GS135" s="8">
        <f t="shared" ca="1" si="405"/>
        <v>926</v>
      </c>
      <c r="GT135" s="5" t="str">
        <f t="shared" ca="1" si="419"/>
        <v>VIGENTE</v>
      </c>
      <c r="GU135" s="3"/>
      <c r="GV135" s="4">
        <v>45267</v>
      </c>
      <c r="GW135" s="4">
        <f t="shared" si="522"/>
        <v>47094</v>
      </c>
      <c r="GX135" s="8">
        <f t="shared" ca="1" si="523"/>
        <v>949</v>
      </c>
      <c r="GY135" s="5" t="str">
        <f t="shared" ca="1" si="426"/>
        <v>VIGENTE</v>
      </c>
      <c r="GZ135" s="2"/>
      <c r="HA135" s="4">
        <v>45268</v>
      </c>
      <c r="HB135" s="4">
        <f t="shared" si="524"/>
        <v>47095</v>
      </c>
      <c r="HC135" s="8">
        <f t="shared" ca="1" si="525"/>
        <v>950</v>
      </c>
      <c r="HD135" s="5" t="str">
        <f t="shared" ca="1" si="421"/>
        <v>VIGENTE</v>
      </c>
      <c r="HE135" s="6"/>
      <c r="HF135" s="6"/>
      <c r="HG135" s="4"/>
      <c r="HH135" s="8"/>
      <c r="HI135" s="5" t="str">
        <f t="shared" si="427"/>
        <v>NO APLICA</v>
      </c>
      <c r="HJ135" s="2"/>
      <c r="HK135" s="6"/>
      <c r="HL135" s="4"/>
      <c r="HM135" s="8"/>
      <c r="HN135" s="5" t="str">
        <f t="shared" si="444"/>
        <v>NO APLICA</v>
      </c>
      <c r="HO135" s="2"/>
      <c r="HP135" s="2"/>
      <c r="HQ135" s="4"/>
      <c r="HR135" s="2"/>
      <c r="HS135" s="5" t="str">
        <f t="shared" si="526"/>
        <v>NO APLICA</v>
      </c>
      <c r="HT135" s="2"/>
      <c r="HU135" s="6"/>
      <c r="HV135" s="4"/>
      <c r="HW135" s="8"/>
      <c r="HX135" s="5" t="str">
        <f t="shared" si="527"/>
        <v>NO APLICA</v>
      </c>
      <c r="HY135" s="2"/>
      <c r="HZ135" s="6"/>
      <c r="IA135" s="4"/>
      <c r="IB135" s="8"/>
      <c r="IC135" s="5" t="str">
        <f t="shared" si="528"/>
        <v>NO APLICA</v>
      </c>
      <c r="ID135" s="2"/>
      <c r="IE135" s="6"/>
      <c r="IF135" s="4"/>
      <c r="IG135" s="8"/>
      <c r="IH135" s="5" t="str">
        <f t="shared" si="529"/>
        <v>NO APLICA</v>
      </c>
      <c r="II135" s="6"/>
      <c r="IJ135" s="6"/>
      <c r="IK135" s="4"/>
      <c r="IL135" s="8"/>
      <c r="IM135" s="5" t="str">
        <f t="shared" si="530"/>
        <v>NO APLICA</v>
      </c>
      <c r="IN135" s="2"/>
      <c r="IO135" s="6"/>
      <c r="IP135" s="4"/>
      <c r="IQ135" s="8"/>
      <c r="IR135" s="5" t="str">
        <f t="shared" si="531"/>
        <v>NO APLICA</v>
      </c>
      <c r="IS135" s="2"/>
      <c r="IT135" s="6"/>
      <c r="IU135" s="4"/>
      <c r="IV135" s="8"/>
      <c r="IW135" s="5" t="str">
        <f t="shared" si="532"/>
        <v>NO APLICA</v>
      </c>
      <c r="IX135" s="2"/>
      <c r="IY135" s="6"/>
      <c r="IZ135" s="4"/>
      <c r="JA135" s="8"/>
      <c r="JB135" s="5" t="str">
        <f t="shared" si="533"/>
        <v>NO APLICA</v>
      </c>
      <c r="JC135" s="3" t="s">
        <v>780</v>
      </c>
      <c r="JD135" s="3"/>
      <c r="JE135" s="4"/>
      <c r="JF135" s="8"/>
      <c r="JG135" s="5"/>
      <c r="JH135" s="3" t="s">
        <v>780</v>
      </c>
      <c r="JI135" s="6"/>
      <c r="JJ135" s="6"/>
      <c r="JK135" s="6"/>
      <c r="JL135" s="5"/>
      <c r="JM135" s="6" t="s">
        <v>780</v>
      </c>
      <c r="JN135" s="6"/>
      <c r="JO135" s="6"/>
      <c r="JP135" s="6"/>
      <c r="JQ135" s="5"/>
      <c r="JR135" s="6" t="s">
        <v>780</v>
      </c>
      <c r="JS135" s="6"/>
      <c r="JT135" s="6"/>
      <c r="JU135" s="6"/>
      <c r="JV135" s="5"/>
      <c r="JW135" s="6" t="s">
        <v>780</v>
      </c>
      <c r="JX135" s="5"/>
      <c r="JY135" s="5"/>
      <c r="JZ135" s="5"/>
      <c r="KA135" s="5"/>
      <c r="KB135" s="5"/>
      <c r="KC135" s="2"/>
      <c r="KD135" s="4"/>
      <c r="KE135" s="8"/>
      <c r="KF135" s="5" t="str">
        <f t="shared" si="534"/>
        <v>NO APLICA</v>
      </c>
      <c r="KG135" s="5"/>
      <c r="KH135" s="2"/>
      <c r="KI135" s="4"/>
      <c r="KJ135" s="8"/>
      <c r="KK135" s="5" t="str">
        <f t="shared" si="559"/>
        <v>NO APLICA</v>
      </c>
      <c r="KL135" s="5"/>
      <c r="KM135" s="2"/>
      <c r="KN135" s="4"/>
      <c r="KO135" s="8"/>
      <c r="KP135" s="5" t="str">
        <f t="shared" si="535"/>
        <v>NO APLICA</v>
      </c>
      <c r="KQ135" s="5"/>
      <c r="KR135" s="2"/>
      <c r="KS135" s="4"/>
      <c r="KT135" s="8"/>
      <c r="KU135" s="5" t="str">
        <f t="shared" si="560"/>
        <v>NO APLICA</v>
      </c>
      <c r="KV135" s="2"/>
      <c r="KW135" s="6"/>
      <c r="KX135" s="4"/>
      <c r="KY135" s="8"/>
      <c r="KZ135" s="5" t="str">
        <f t="shared" si="565"/>
        <v>NO APLICA</v>
      </c>
      <c r="LA135" s="5"/>
      <c r="LB135" s="6"/>
      <c r="LC135" s="4"/>
      <c r="LD135" s="8"/>
      <c r="LE135" s="5" t="str">
        <f t="shared" si="561"/>
        <v>NO APLICA</v>
      </c>
      <c r="LF135" s="6"/>
      <c r="LG135" s="6"/>
      <c r="LH135" s="4"/>
      <c r="LI135" s="8"/>
      <c r="LJ135" s="5" t="str">
        <f t="shared" ref="LJ135:LJ166" si="567">IF(LI135&gt;=61,"VIGENTE",IF(LI135&gt;=1,"POR VENCER",IF(LI135&lt;=-1,"VENCIDA",IF(LG135=0,"NO APLICA"))))</f>
        <v>NO APLICA</v>
      </c>
      <c r="LK135" s="5"/>
      <c r="LL135" s="5"/>
      <c r="LM135" s="4"/>
      <c r="LN135" s="8"/>
      <c r="LO135" s="5" t="str">
        <f t="shared" si="566"/>
        <v>NO APLICA</v>
      </c>
      <c r="LP135" s="2"/>
      <c r="LQ135" s="6"/>
      <c r="LR135" s="4"/>
      <c r="LS135" s="8"/>
      <c r="LT135" s="5" t="str">
        <f t="shared" si="562"/>
        <v>NO APLICA</v>
      </c>
      <c r="LU135" s="6"/>
      <c r="LV135" s="6"/>
      <c r="LW135" s="4"/>
      <c r="LX135" s="8"/>
      <c r="LY135" s="5" t="str">
        <f t="shared" si="563"/>
        <v>NO APLICA</v>
      </c>
      <c r="LZ135" s="6"/>
      <c r="MA135" s="6"/>
      <c r="MB135" s="4"/>
      <c r="MC135" s="8"/>
      <c r="MD135" s="5" t="str">
        <f t="shared" si="564"/>
        <v>NO APLICA</v>
      </c>
      <c r="ME135" s="2"/>
      <c r="MF135" s="2"/>
      <c r="MG135" s="4"/>
      <c r="MH135" s="8"/>
      <c r="MI135" s="5" t="str">
        <f t="shared" si="537"/>
        <v>NO APLICA</v>
      </c>
      <c r="MJ135" s="2"/>
      <c r="MK135" s="2"/>
      <c r="ML135" s="4"/>
      <c r="MM135" s="8"/>
      <c r="MN135" s="5" t="str">
        <f t="shared" si="538"/>
        <v>NO APLICA</v>
      </c>
      <c r="MO135" s="5"/>
      <c r="MP135" s="2"/>
      <c r="MQ135" s="4"/>
      <c r="MR135" s="8"/>
      <c r="MS135" s="5" t="str">
        <f t="shared" si="539"/>
        <v>NO APLICA</v>
      </c>
      <c r="MT135" s="5"/>
      <c r="MU135" s="2"/>
      <c r="MV135" s="4"/>
      <c r="MW135" s="2"/>
      <c r="MX135" s="5" t="str">
        <f t="shared" si="540"/>
        <v>NO APLICA</v>
      </c>
      <c r="MY135" s="2"/>
      <c r="MZ135" s="6"/>
      <c r="NA135" s="4"/>
      <c r="NB135" s="8"/>
      <c r="NC135" s="5" t="str">
        <f t="shared" si="541"/>
        <v>NO APLICA</v>
      </c>
      <c r="ND135" s="2"/>
      <c r="NE135" s="6"/>
      <c r="NF135" s="4"/>
      <c r="NG135" s="8"/>
      <c r="NH135" s="5" t="str">
        <f t="shared" si="542"/>
        <v>NO APLICA</v>
      </c>
      <c r="NI135" s="2"/>
      <c r="NJ135" s="6"/>
      <c r="NK135" s="4"/>
      <c r="NL135" s="8"/>
      <c r="NM135" s="5" t="str">
        <f t="shared" si="543"/>
        <v>NO APLICA</v>
      </c>
      <c r="NN135" s="2"/>
      <c r="NO135" s="2"/>
      <c r="NP135" s="4"/>
      <c r="NQ135" s="8"/>
      <c r="NR135" s="5" t="str">
        <f t="shared" si="544"/>
        <v>NO APLICA</v>
      </c>
      <c r="NS135" s="2"/>
      <c r="NT135" s="2"/>
      <c r="NU135" s="4"/>
      <c r="NV135" s="2"/>
      <c r="NW135" s="5" t="str">
        <f t="shared" si="545"/>
        <v>NO APLICA</v>
      </c>
      <c r="NX135" s="6"/>
      <c r="NY135" s="6"/>
      <c r="NZ135" s="4"/>
      <c r="OA135" s="8"/>
      <c r="OB135" s="5" t="str">
        <f t="shared" si="546"/>
        <v>NO APLICA</v>
      </c>
      <c r="OC135" s="6"/>
      <c r="OD135" s="6"/>
      <c r="OE135" s="6"/>
      <c r="OF135" s="6"/>
      <c r="OG135" s="5" t="str">
        <f t="shared" si="547"/>
        <v>NO APLICA</v>
      </c>
      <c r="OH135" s="2"/>
      <c r="OI135" s="2"/>
      <c r="OJ135" s="4"/>
      <c r="OK135" s="8"/>
      <c r="OL135" s="5" t="str">
        <f t="shared" si="548"/>
        <v>NO APLICA</v>
      </c>
      <c r="OM135" s="6"/>
      <c r="ON135" s="6"/>
      <c r="OO135" s="6"/>
      <c r="OP135" s="6"/>
      <c r="OQ135" s="5" t="str">
        <f t="shared" si="549"/>
        <v>NO APLICA</v>
      </c>
      <c r="OR135" s="6"/>
      <c r="OS135" s="6"/>
      <c r="OT135" s="6"/>
      <c r="OU135" s="6"/>
      <c r="OV135" s="5" t="str">
        <f t="shared" si="550"/>
        <v>NO APLICA</v>
      </c>
      <c r="OW135" s="6"/>
      <c r="OX135" s="6"/>
      <c r="OY135" s="6"/>
      <c r="OZ135" s="6"/>
      <c r="PA135" s="5" t="str">
        <f t="shared" si="551"/>
        <v>NO APLICA</v>
      </c>
      <c r="PB135" s="6"/>
      <c r="PC135" s="6"/>
      <c r="PD135" s="6"/>
      <c r="PE135" s="6"/>
      <c r="PF135" s="5" t="str">
        <f t="shared" si="552"/>
        <v>NO APLICA</v>
      </c>
      <c r="PG135" s="6"/>
      <c r="PH135" s="6"/>
      <c r="PI135" s="6"/>
      <c r="PJ135" s="6"/>
      <c r="PK135" s="5" t="str">
        <f t="shared" si="553"/>
        <v>NO APLICA</v>
      </c>
      <c r="PL135" s="5"/>
      <c r="PM135" s="6"/>
      <c r="PN135" s="4"/>
      <c r="PO135" s="8"/>
      <c r="PP135" s="5" t="str">
        <f t="shared" si="554"/>
        <v>NO APLICA</v>
      </c>
      <c r="PQ135" s="6"/>
      <c r="PR135" s="6"/>
      <c r="PS135" s="6"/>
      <c r="PT135" s="6"/>
      <c r="PU135" s="5" t="str">
        <f t="shared" si="555"/>
        <v>NO APLICA</v>
      </c>
      <c r="PV135" s="5"/>
      <c r="PW135" s="6"/>
      <c r="PX135" s="6"/>
      <c r="PY135" s="6"/>
      <c r="PZ135" s="5" t="str">
        <f t="shared" si="556"/>
        <v>NO APLICA</v>
      </c>
    </row>
    <row r="136" spans="1:442" ht="15.6" hidden="1" thickTop="1" thickBot="1" x14ac:dyDescent="0.35">
      <c r="A136" s="26">
        <v>133</v>
      </c>
      <c r="B136" s="27">
        <v>1310</v>
      </c>
      <c r="C136" s="28" t="s">
        <v>445</v>
      </c>
      <c r="D136" s="29" t="s">
        <v>113</v>
      </c>
      <c r="E136" s="30" t="s">
        <v>126</v>
      </c>
      <c r="F136" s="3"/>
      <c r="G136" s="4">
        <v>46058</v>
      </c>
      <c r="H136" s="4">
        <f>DATE(YEAR(G136)+2,MONTH(G136),DAY(G136))</f>
        <v>46788</v>
      </c>
      <c r="I136" s="8">
        <f ca="1">H136-TODAY()</f>
        <v>643</v>
      </c>
      <c r="J136" s="5" t="str">
        <f t="shared" ca="1" si="455"/>
        <v>VIGENTE</v>
      </c>
      <c r="K136" s="2"/>
      <c r="L136" s="6"/>
      <c r="M136" s="6"/>
      <c r="N136" s="8"/>
      <c r="O136" s="5" t="str">
        <f t="shared" si="456"/>
        <v>NO APLICA</v>
      </c>
      <c r="P136" s="6"/>
      <c r="Q136" s="6"/>
      <c r="R136" s="4"/>
      <c r="S136" s="8"/>
      <c r="T136" s="5" t="str">
        <f t="shared" si="557"/>
        <v>NO APLICA</v>
      </c>
      <c r="U136" s="5"/>
      <c r="V136" s="2" t="s">
        <v>446</v>
      </c>
      <c r="W136" s="4">
        <v>45735</v>
      </c>
      <c r="X136" s="4">
        <f t="shared" si="410"/>
        <v>47561</v>
      </c>
      <c r="Y136" s="8">
        <f t="shared" ca="1" si="411"/>
        <v>1416</v>
      </c>
      <c r="Z136" s="5" t="str">
        <f t="shared" ca="1" si="412"/>
        <v>VIGENTE</v>
      </c>
      <c r="AA136" s="5"/>
      <c r="AB136" s="2"/>
      <c r="AC136" s="6"/>
      <c r="AD136" s="4"/>
      <c r="AE136" s="8"/>
      <c r="AF136" s="5" t="str">
        <f t="shared" si="457"/>
        <v>NO APLICA</v>
      </c>
      <c r="AG136" s="3"/>
      <c r="AH136" s="4">
        <v>45902</v>
      </c>
      <c r="AI136" s="4">
        <f t="shared" si="448"/>
        <v>46632</v>
      </c>
      <c r="AJ136" s="8">
        <f t="shared" ca="1" si="458"/>
        <v>487</v>
      </c>
      <c r="AK136" s="5" t="str">
        <f t="shared" ca="1" si="408"/>
        <v>VIGENTE</v>
      </c>
      <c r="AL136" s="3"/>
      <c r="AM136" s="4">
        <v>45926</v>
      </c>
      <c r="AN136" s="4">
        <f t="shared" si="449"/>
        <v>46656</v>
      </c>
      <c r="AO136" s="8">
        <f t="shared" ca="1" si="459"/>
        <v>511</v>
      </c>
      <c r="AP136" s="5" t="str">
        <f t="shared" ca="1" si="460"/>
        <v>VIGENTE</v>
      </c>
      <c r="AQ136" s="3"/>
      <c r="AR136" s="4">
        <v>45967</v>
      </c>
      <c r="AS136" s="4">
        <f t="shared" si="450"/>
        <v>46697</v>
      </c>
      <c r="AT136" s="8">
        <f t="shared" ca="1" si="461"/>
        <v>552</v>
      </c>
      <c r="AU136" s="5" t="str">
        <f t="shared" ca="1" si="462"/>
        <v>VIGENTE</v>
      </c>
      <c r="AV136" s="3"/>
      <c r="AW136" s="4">
        <v>45927</v>
      </c>
      <c r="AX136" s="4">
        <f t="shared" si="445"/>
        <v>46657</v>
      </c>
      <c r="AY136" s="8">
        <f t="shared" ca="1" si="463"/>
        <v>512</v>
      </c>
      <c r="AZ136" s="5" t="str">
        <f t="shared" ca="1" si="464"/>
        <v>VIGENTE</v>
      </c>
      <c r="BA136" s="3"/>
      <c r="BB136" s="4">
        <v>45622</v>
      </c>
      <c r="BC136" s="4">
        <f>DATE(YEAR(BB136)+2,MONTH(BB136),DAY(BB136)-1)</f>
        <v>46351</v>
      </c>
      <c r="BD136" s="8">
        <f t="shared" ca="1" si="465"/>
        <v>206</v>
      </c>
      <c r="BE136" s="5" t="str">
        <f t="shared" ca="1" si="466"/>
        <v>VIGENTE</v>
      </c>
      <c r="BF136" s="3"/>
      <c r="BG136" s="4">
        <v>45698</v>
      </c>
      <c r="BH136" s="4">
        <f>DATE(YEAR(BG136)+2,MONTH(BG136),DAY(BG136)-1)</f>
        <v>46427</v>
      </c>
      <c r="BI136" s="8">
        <f t="shared" ca="1" si="467"/>
        <v>282</v>
      </c>
      <c r="BJ136" s="5" t="str">
        <f t="shared" ca="1" si="468"/>
        <v>VIGENTE</v>
      </c>
      <c r="BK136" s="3"/>
      <c r="BL136" s="4">
        <v>45600</v>
      </c>
      <c r="BM136" s="4">
        <f>DATE(YEAR(BL136)+2,MONTH(BL136),DAY(BL136)-1)</f>
        <v>46329</v>
      </c>
      <c r="BN136" s="8">
        <f t="shared" ca="1" si="469"/>
        <v>184</v>
      </c>
      <c r="BO136" s="5" t="str">
        <f t="shared" ca="1" si="470"/>
        <v>VIGENTE</v>
      </c>
      <c r="BP136" s="3"/>
      <c r="BQ136" s="39">
        <v>45621</v>
      </c>
      <c r="BR136" s="4">
        <f>DATE(YEAR(BQ136)+2,MONTH(BQ136),DAY(BQ136)-1)</f>
        <v>46350</v>
      </c>
      <c r="BS136" s="8">
        <f t="shared" ca="1" si="471"/>
        <v>205</v>
      </c>
      <c r="BT136" s="5" t="str">
        <f t="shared" ca="1" si="472"/>
        <v>VIGENTE</v>
      </c>
      <c r="BU136" s="3"/>
      <c r="BV136" s="4">
        <v>45568</v>
      </c>
      <c r="BW136" s="4">
        <f>DATE(YEAR(BV136)+2,MONTH(BV136),DAY(BV136)-1)</f>
        <v>46297</v>
      </c>
      <c r="BX136" s="8">
        <f t="shared" ca="1" si="473"/>
        <v>152</v>
      </c>
      <c r="BY136" s="5" t="str">
        <f t="shared" ca="1" si="474"/>
        <v>VIGENTE</v>
      </c>
      <c r="BZ136" s="3"/>
      <c r="CA136" s="4">
        <v>45944</v>
      </c>
      <c r="CB136" s="4">
        <f t="shared" si="447"/>
        <v>46674</v>
      </c>
      <c r="CC136" s="8">
        <f t="shared" ca="1" si="475"/>
        <v>529</v>
      </c>
      <c r="CD136" s="5" t="str">
        <f t="shared" ca="1" si="476"/>
        <v>VIGENTE</v>
      </c>
      <c r="CE136" s="6"/>
      <c r="CF136" s="4">
        <v>45529</v>
      </c>
      <c r="CG136" s="4">
        <f t="shared" si="416"/>
        <v>46990</v>
      </c>
      <c r="CH136" s="8">
        <f t="shared" ca="1" si="417"/>
        <v>845</v>
      </c>
      <c r="CI136" s="5" t="str">
        <f t="shared" ca="1" si="418"/>
        <v>VIGENTE</v>
      </c>
      <c r="CJ136" s="4"/>
      <c r="CK136" s="4">
        <v>45777</v>
      </c>
      <c r="CL136" s="4">
        <f>DATE(YEAR(CK136)+2,MONTH(CK136),DAY(CK136))</f>
        <v>46507</v>
      </c>
      <c r="CM136" s="8">
        <f t="shared" ca="1" si="477"/>
        <v>362</v>
      </c>
      <c r="CN136" s="5" t="str">
        <f t="shared" ca="1" si="478"/>
        <v>VIGENTE</v>
      </c>
      <c r="CO136" s="3"/>
      <c r="CP136" s="39">
        <v>45769</v>
      </c>
      <c r="CQ136" s="4">
        <f>DATE(YEAR(CP136)+2,MONTH(CP136),DAY(CP136))</f>
        <v>46499</v>
      </c>
      <c r="CR136" s="8">
        <f t="shared" ca="1" si="479"/>
        <v>354</v>
      </c>
      <c r="CS136" s="5" t="str">
        <f t="shared" ca="1" si="480"/>
        <v>VIGENTE</v>
      </c>
      <c r="CT136" s="3"/>
      <c r="CU136" s="4">
        <v>45905</v>
      </c>
      <c r="CV136" s="4">
        <f>DATE(YEAR(CU136)+2,MONTH(CU136),DAY(CU136))</f>
        <v>46635</v>
      </c>
      <c r="CW136" s="8">
        <f t="shared" ca="1" si="481"/>
        <v>490</v>
      </c>
      <c r="CX136" s="5" t="str">
        <f t="shared" ca="1" si="482"/>
        <v>VIGENTE</v>
      </c>
      <c r="CY136" s="3"/>
      <c r="CZ136" s="4">
        <v>45835</v>
      </c>
      <c r="DA136" s="4">
        <f>DATE(YEAR(CZ136)+2,MONTH(CZ136),DAY(CZ136))</f>
        <v>46565</v>
      </c>
      <c r="DB136" s="8">
        <f t="shared" ca="1" si="483"/>
        <v>420</v>
      </c>
      <c r="DC136" s="5" t="str">
        <f t="shared" ca="1" si="484"/>
        <v>VIGENTE</v>
      </c>
      <c r="DD136" s="3"/>
      <c r="DE136" s="39">
        <v>45723</v>
      </c>
      <c r="DF136" s="4">
        <f>DATE(YEAR(DE136)+2,MONTH(DE136),DAY(DE136)-1)</f>
        <v>46452</v>
      </c>
      <c r="DG136" s="8">
        <f t="shared" ca="1" si="485"/>
        <v>307</v>
      </c>
      <c r="DH136" s="5" t="str">
        <f t="shared" ca="1" si="486"/>
        <v>VIGENTE</v>
      </c>
      <c r="DI136" s="3"/>
      <c r="DJ136" s="39">
        <v>45899</v>
      </c>
      <c r="DK136" s="4">
        <f>DATE(YEAR(DJ136)+2,MONTH(DJ136),DAY(DJ136))</f>
        <v>46629</v>
      </c>
      <c r="DL136" s="8">
        <f t="shared" ca="1" si="487"/>
        <v>484</v>
      </c>
      <c r="DM136" s="5" t="str">
        <f t="shared" ca="1" si="488"/>
        <v>VIGENTE</v>
      </c>
      <c r="DN136" s="3"/>
      <c r="DO136" s="4">
        <v>46007</v>
      </c>
      <c r="DP136" s="4">
        <f>DATE(YEAR(DO136)+2,MONTH(DO136),DAY(DO136))</f>
        <v>46737</v>
      </c>
      <c r="DQ136" s="8">
        <f t="shared" ca="1" si="489"/>
        <v>592</v>
      </c>
      <c r="DR136" s="5" t="str">
        <f t="shared" ca="1" si="490"/>
        <v>VIGENTE</v>
      </c>
      <c r="DS136" s="2"/>
      <c r="DT136" s="4">
        <v>45743</v>
      </c>
      <c r="DU136" s="4">
        <f>DATE(YEAR(DT136)+2,MONTH(DT136),DAY(DT136)-1)</f>
        <v>46472</v>
      </c>
      <c r="DV136" s="8">
        <f t="shared" ca="1" si="491"/>
        <v>327</v>
      </c>
      <c r="DW136" s="5" t="str">
        <f t="shared" ca="1" si="492"/>
        <v>VIGENTE</v>
      </c>
      <c r="DX136" s="3"/>
      <c r="DY136" s="4">
        <v>45751</v>
      </c>
      <c r="DZ136" s="4">
        <f>DATE(YEAR(DY136)+2,MONTH(DY136),DAY(DY136)-1)</f>
        <v>46480</v>
      </c>
      <c r="EA136" s="8">
        <f t="shared" ca="1" si="493"/>
        <v>335</v>
      </c>
      <c r="EB136" s="5" t="str">
        <f t="shared" ca="1" si="494"/>
        <v>VIGENTE</v>
      </c>
      <c r="EC136" s="3"/>
      <c r="ED136" s="39">
        <v>45730</v>
      </c>
      <c r="EE136" s="4">
        <f>DATE(YEAR(ED136)+2,MONTH(ED136),DAY(ED136)-1)</f>
        <v>46459</v>
      </c>
      <c r="EF136" s="8">
        <f t="shared" ca="1" si="495"/>
        <v>314</v>
      </c>
      <c r="EG136" s="5" t="str">
        <f t="shared" ca="1" si="496"/>
        <v>VIGENTE</v>
      </c>
      <c r="EH136" s="3"/>
      <c r="EI136" s="3">
        <v>46060</v>
      </c>
      <c r="EJ136" s="4">
        <f t="shared" si="558"/>
        <v>46425</v>
      </c>
      <c r="EK136" s="8">
        <f t="shared" ca="1" si="497"/>
        <v>280</v>
      </c>
      <c r="EL136" s="5" t="str">
        <f t="shared" ca="1" si="498"/>
        <v>VIGENTE</v>
      </c>
      <c r="EM136" s="3"/>
      <c r="EN136" s="4">
        <v>45705</v>
      </c>
      <c r="EO136" s="4">
        <f>DATE(YEAR(EN136)+2,MONTH(EN136),DAY(EN136)-1)</f>
        <v>46434</v>
      </c>
      <c r="EP136" s="8">
        <f t="shared" ca="1" si="499"/>
        <v>289</v>
      </c>
      <c r="EQ136" s="5" t="str">
        <f t="shared" ca="1" si="500"/>
        <v>VIGENTE</v>
      </c>
      <c r="ER136" s="3"/>
      <c r="ES136" s="39">
        <v>45677</v>
      </c>
      <c r="ET136" s="4">
        <f>DATE(YEAR(ES136)+2,MONTH(ES136),DAY(ES136)-1)</f>
        <v>46406</v>
      </c>
      <c r="EU136" s="8">
        <f t="shared" ca="1" si="501"/>
        <v>261</v>
      </c>
      <c r="EV136" s="5" t="str">
        <f t="shared" ca="1" si="502"/>
        <v>VIGENTE</v>
      </c>
      <c r="EW136" s="3"/>
      <c r="EX136" s="4">
        <v>45917</v>
      </c>
      <c r="EY136" s="4">
        <f t="shared" si="451"/>
        <v>46647</v>
      </c>
      <c r="EZ136" s="8">
        <f t="shared" ca="1" si="503"/>
        <v>502</v>
      </c>
      <c r="FA136" s="5" t="str">
        <f t="shared" ca="1" si="504"/>
        <v>VIGENTE</v>
      </c>
      <c r="FB136" s="3"/>
      <c r="FC136" s="4">
        <v>45988</v>
      </c>
      <c r="FD136" s="4">
        <f t="shared" si="452"/>
        <v>46718</v>
      </c>
      <c r="FE136" s="8">
        <f t="shared" ca="1" si="505"/>
        <v>573</v>
      </c>
      <c r="FF136" s="5" t="str">
        <f t="shared" ca="1" si="506"/>
        <v>VIGENTE</v>
      </c>
      <c r="FG136" s="3"/>
      <c r="FH136" s="4">
        <v>45832</v>
      </c>
      <c r="FI136" s="4">
        <f t="shared" si="453"/>
        <v>46562</v>
      </c>
      <c r="FJ136" s="8">
        <f t="shared" ca="1" si="507"/>
        <v>417</v>
      </c>
      <c r="FK136" s="5" t="str">
        <f t="shared" ca="1" si="508"/>
        <v>VIGENTE</v>
      </c>
      <c r="FL136" s="3"/>
      <c r="FM136" s="39">
        <v>45670</v>
      </c>
      <c r="FN136" s="4">
        <f>DATE(YEAR(FM136)+2,MONTH(FM136),DAY(FM136)-1)</f>
        <v>46399</v>
      </c>
      <c r="FO136" s="8">
        <f t="shared" ca="1" si="509"/>
        <v>254</v>
      </c>
      <c r="FP136" s="5" t="str">
        <f t="shared" ca="1" si="510"/>
        <v>VIGENTE</v>
      </c>
      <c r="FQ136" s="3"/>
      <c r="FR136" s="39">
        <v>45605</v>
      </c>
      <c r="FS136" s="4">
        <f>DATE(YEAR(FR136)+2,MONTH(FR136),DAY(FR136)-1)</f>
        <v>46334</v>
      </c>
      <c r="FT136" s="8">
        <f t="shared" ca="1" si="511"/>
        <v>189</v>
      </c>
      <c r="FU136" s="5" t="str">
        <f t="shared" ca="1" si="512"/>
        <v>VIGENTE</v>
      </c>
      <c r="FV136" s="3"/>
      <c r="FW136" s="4">
        <v>45993</v>
      </c>
      <c r="FX136" s="4">
        <f t="shared" si="454"/>
        <v>46723</v>
      </c>
      <c r="FY136" s="8">
        <f t="shared" ca="1" si="513"/>
        <v>578</v>
      </c>
      <c r="FZ136" s="5" t="str">
        <f t="shared" ca="1" si="514"/>
        <v>VIGENTE</v>
      </c>
      <c r="GA136" s="3"/>
      <c r="GB136" s="4">
        <v>45757</v>
      </c>
      <c r="GC136" s="4">
        <f>DATE(YEAR(GB136)+2,MONTH(GB136),DAY(GB136)-1)</f>
        <v>46486</v>
      </c>
      <c r="GD136" s="8">
        <f t="shared" ca="1" si="515"/>
        <v>341</v>
      </c>
      <c r="GE136" s="5" t="str">
        <f t="shared" ca="1" si="516"/>
        <v>VIGENTE</v>
      </c>
      <c r="GF136" s="3"/>
      <c r="GG136" s="4">
        <v>45731</v>
      </c>
      <c r="GH136" s="4">
        <f>DATE(YEAR(GG136)+2,MONTH(GG136),DAY(GG136)-1)</f>
        <v>46460</v>
      </c>
      <c r="GI136" s="8">
        <f t="shared" ca="1" si="517"/>
        <v>315</v>
      </c>
      <c r="GJ136" s="5" t="str">
        <f t="shared" ca="1" si="518"/>
        <v>VIGENTE</v>
      </c>
      <c r="GK136" s="3"/>
      <c r="GL136" s="4">
        <v>45687</v>
      </c>
      <c r="GM136" s="4">
        <f>DATE(YEAR(GL136)+2,MONTH(GL136),DAY(GL136)-1)</f>
        <v>46416</v>
      </c>
      <c r="GN136" s="8">
        <f t="shared" ca="1" si="519"/>
        <v>271</v>
      </c>
      <c r="GO136" s="5" t="str">
        <f t="shared" ca="1" si="520"/>
        <v>VIGENTE</v>
      </c>
      <c r="GP136" s="4"/>
      <c r="GQ136" s="4">
        <v>45072</v>
      </c>
      <c r="GR136" s="4">
        <f t="shared" si="521"/>
        <v>46899</v>
      </c>
      <c r="GS136" s="8">
        <f t="shared" ca="1" si="405"/>
        <v>754</v>
      </c>
      <c r="GT136" s="5" t="str">
        <f t="shared" ca="1" si="419"/>
        <v>VIGENTE</v>
      </c>
      <c r="GU136" s="3"/>
      <c r="GV136" s="4">
        <v>44952</v>
      </c>
      <c r="GW136" s="4">
        <f t="shared" si="522"/>
        <v>46778</v>
      </c>
      <c r="GX136" s="8">
        <f t="shared" ca="1" si="523"/>
        <v>633</v>
      </c>
      <c r="GY136" s="5" t="str">
        <f t="shared" ca="1" si="426"/>
        <v>VIGENTE</v>
      </c>
      <c r="GZ136" s="2"/>
      <c r="HA136" s="4">
        <v>45016</v>
      </c>
      <c r="HB136" s="4">
        <f t="shared" si="524"/>
        <v>46843</v>
      </c>
      <c r="HC136" s="8">
        <f t="shared" ca="1" si="525"/>
        <v>698</v>
      </c>
      <c r="HD136" s="5" t="str">
        <f t="shared" ca="1" si="421"/>
        <v>VIGENTE</v>
      </c>
      <c r="HE136" s="6"/>
      <c r="HF136" s="6"/>
      <c r="HG136" s="4"/>
      <c r="HH136" s="8"/>
      <c r="HI136" s="5" t="str">
        <f t="shared" si="427"/>
        <v>NO APLICA</v>
      </c>
      <c r="HJ136" s="2"/>
      <c r="HK136" s="6"/>
      <c r="HL136" s="4"/>
      <c r="HM136" s="8"/>
      <c r="HN136" s="5" t="str">
        <f t="shared" si="444"/>
        <v>NO APLICA</v>
      </c>
      <c r="HO136" s="2"/>
      <c r="HP136" s="2"/>
      <c r="HQ136" s="4"/>
      <c r="HR136" s="2"/>
      <c r="HS136" s="5" t="str">
        <f t="shared" si="526"/>
        <v>NO APLICA</v>
      </c>
      <c r="HT136" s="2"/>
      <c r="HU136" s="6"/>
      <c r="HV136" s="4"/>
      <c r="HW136" s="8"/>
      <c r="HX136" s="5" t="str">
        <f t="shared" si="527"/>
        <v>NO APLICA</v>
      </c>
      <c r="HY136" s="2"/>
      <c r="HZ136" s="6"/>
      <c r="IA136" s="4"/>
      <c r="IB136" s="8"/>
      <c r="IC136" s="5" t="str">
        <f t="shared" si="528"/>
        <v>NO APLICA</v>
      </c>
      <c r="ID136" s="2"/>
      <c r="IE136" s="6"/>
      <c r="IF136" s="4"/>
      <c r="IG136" s="8"/>
      <c r="IH136" s="5" t="str">
        <f t="shared" si="529"/>
        <v>NO APLICA</v>
      </c>
      <c r="II136" s="6"/>
      <c r="IJ136" s="6"/>
      <c r="IK136" s="4"/>
      <c r="IL136" s="8"/>
      <c r="IM136" s="5" t="str">
        <f t="shared" si="530"/>
        <v>NO APLICA</v>
      </c>
      <c r="IN136" s="2"/>
      <c r="IO136" s="6"/>
      <c r="IP136" s="4"/>
      <c r="IQ136" s="8"/>
      <c r="IR136" s="5" t="str">
        <f t="shared" si="531"/>
        <v>NO APLICA</v>
      </c>
      <c r="IS136" s="2"/>
      <c r="IT136" s="6"/>
      <c r="IU136" s="4"/>
      <c r="IV136" s="8"/>
      <c r="IW136" s="5" t="str">
        <f t="shared" si="532"/>
        <v>NO APLICA</v>
      </c>
      <c r="IX136" s="2"/>
      <c r="IY136" s="6"/>
      <c r="IZ136" s="4"/>
      <c r="JA136" s="8"/>
      <c r="JB136" s="5" t="str">
        <f t="shared" si="533"/>
        <v>NO APLICA</v>
      </c>
      <c r="JC136" s="3" t="s">
        <v>780</v>
      </c>
      <c r="JD136" s="3"/>
      <c r="JE136" s="4"/>
      <c r="JF136" s="8"/>
      <c r="JG136" s="5"/>
      <c r="JH136" s="3" t="s">
        <v>780</v>
      </c>
      <c r="JI136" s="6"/>
      <c r="JJ136" s="6"/>
      <c r="JK136" s="6"/>
      <c r="JL136" s="5"/>
      <c r="JM136" s="6" t="s">
        <v>780</v>
      </c>
      <c r="JN136" s="6"/>
      <c r="JO136" s="6"/>
      <c r="JP136" s="6"/>
      <c r="JQ136" s="5"/>
      <c r="JR136" s="6" t="s">
        <v>780</v>
      </c>
      <c r="JS136" s="6"/>
      <c r="JT136" s="6"/>
      <c r="JU136" s="6"/>
      <c r="JV136" s="5"/>
      <c r="JW136" s="6" t="s">
        <v>780</v>
      </c>
      <c r="JX136" s="5"/>
      <c r="JY136" s="5"/>
      <c r="JZ136" s="5"/>
      <c r="KA136" s="5"/>
      <c r="KB136" s="5"/>
      <c r="KC136" s="2"/>
      <c r="KD136" s="4"/>
      <c r="KE136" s="8"/>
      <c r="KF136" s="5" t="str">
        <f t="shared" si="534"/>
        <v>NO APLICA</v>
      </c>
      <c r="KG136" s="5"/>
      <c r="KH136" s="2"/>
      <c r="KI136" s="4"/>
      <c r="KJ136" s="8"/>
      <c r="KK136" s="5" t="str">
        <f t="shared" si="559"/>
        <v>NO APLICA</v>
      </c>
      <c r="KL136" s="5"/>
      <c r="KM136" s="2"/>
      <c r="KN136" s="4"/>
      <c r="KO136" s="8"/>
      <c r="KP136" s="5" t="str">
        <f t="shared" si="535"/>
        <v>NO APLICA</v>
      </c>
      <c r="KQ136" s="5"/>
      <c r="KR136" s="2"/>
      <c r="KS136" s="4"/>
      <c r="KT136" s="8"/>
      <c r="KU136" s="5" t="str">
        <f t="shared" si="560"/>
        <v>NO APLICA</v>
      </c>
      <c r="KV136" s="2"/>
      <c r="KW136" s="6"/>
      <c r="KX136" s="4"/>
      <c r="KY136" s="8"/>
      <c r="KZ136" s="5" t="str">
        <f t="shared" si="565"/>
        <v>NO APLICA</v>
      </c>
      <c r="LA136" s="5"/>
      <c r="LB136" s="6"/>
      <c r="LC136" s="4"/>
      <c r="LD136" s="8"/>
      <c r="LE136" s="5" t="str">
        <f t="shared" si="561"/>
        <v>NO APLICA</v>
      </c>
      <c r="LF136" s="6"/>
      <c r="LG136" s="6"/>
      <c r="LH136" s="4"/>
      <c r="LI136" s="8"/>
      <c r="LJ136" s="5" t="str">
        <f t="shared" si="567"/>
        <v>NO APLICA</v>
      </c>
      <c r="LK136" s="5"/>
      <c r="LL136" s="5"/>
      <c r="LM136" s="4"/>
      <c r="LN136" s="8"/>
      <c r="LO136" s="5" t="str">
        <f t="shared" si="566"/>
        <v>NO APLICA</v>
      </c>
      <c r="LP136" s="2"/>
      <c r="LQ136" s="6"/>
      <c r="LR136" s="4"/>
      <c r="LS136" s="8"/>
      <c r="LT136" s="5" t="str">
        <f t="shared" si="562"/>
        <v>NO APLICA</v>
      </c>
      <c r="LU136" s="6"/>
      <c r="LV136" s="6"/>
      <c r="LW136" s="4"/>
      <c r="LX136" s="8"/>
      <c r="LY136" s="5" t="str">
        <f t="shared" si="563"/>
        <v>NO APLICA</v>
      </c>
      <c r="LZ136" s="6"/>
      <c r="MA136" s="6"/>
      <c r="MB136" s="4"/>
      <c r="MC136" s="8"/>
      <c r="MD136" s="5" t="str">
        <f t="shared" si="564"/>
        <v>NO APLICA</v>
      </c>
      <c r="ME136" s="2"/>
      <c r="MF136" s="2"/>
      <c r="MG136" s="4"/>
      <c r="MH136" s="8"/>
      <c r="MI136" s="5" t="str">
        <f t="shared" si="537"/>
        <v>NO APLICA</v>
      </c>
      <c r="MJ136" s="2"/>
      <c r="MK136" s="2"/>
      <c r="ML136" s="4"/>
      <c r="MM136" s="8"/>
      <c r="MN136" s="5" t="str">
        <f t="shared" si="538"/>
        <v>NO APLICA</v>
      </c>
      <c r="MO136" s="5"/>
      <c r="MP136" s="2"/>
      <c r="MQ136" s="4"/>
      <c r="MR136" s="8"/>
      <c r="MS136" s="5" t="str">
        <f t="shared" si="539"/>
        <v>NO APLICA</v>
      </c>
      <c r="MT136" s="5"/>
      <c r="MU136" s="2"/>
      <c r="MV136" s="4"/>
      <c r="MW136" s="2"/>
      <c r="MX136" s="5" t="str">
        <f t="shared" si="540"/>
        <v>NO APLICA</v>
      </c>
      <c r="MY136" s="2"/>
      <c r="MZ136" s="6"/>
      <c r="NA136" s="4"/>
      <c r="NB136" s="8"/>
      <c r="NC136" s="5" t="str">
        <f t="shared" si="541"/>
        <v>NO APLICA</v>
      </c>
      <c r="ND136" s="2"/>
      <c r="NE136" s="6"/>
      <c r="NF136" s="4"/>
      <c r="NG136" s="8"/>
      <c r="NH136" s="5" t="str">
        <f t="shared" si="542"/>
        <v>NO APLICA</v>
      </c>
      <c r="NI136" s="2"/>
      <c r="NJ136" s="6"/>
      <c r="NK136" s="4"/>
      <c r="NL136" s="8"/>
      <c r="NM136" s="5" t="str">
        <f t="shared" si="543"/>
        <v>NO APLICA</v>
      </c>
      <c r="NN136" s="2"/>
      <c r="NO136" s="2"/>
      <c r="NP136" s="4"/>
      <c r="NQ136" s="8"/>
      <c r="NR136" s="5" t="str">
        <f t="shared" si="544"/>
        <v>NO APLICA</v>
      </c>
      <c r="NS136" s="2"/>
      <c r="NT136" s="2"/>
      <c r="NU136" s="4"/>
      <c r="NV136" s="2"/>
      <c r="NW136" s="5" t="str">
        <f t="shared" si="545"/>
        <v>NO APLICA</v>
      </c>
      <c r="NX136" s="6"/>
      <c r="NY136" s="6"/>
      <c r="NZ136" s="4"/>
      <c r="OA136" s="8"/>
      <c r="OB136" s="5" t="str">
        <f t="shared" si="546"/>
        <v>NO APLICA</v>
      </c>
      <c r="OC136" s="6"/>
      <c r="OD136" s="6"/>
      <c r="OE136" s="6"/>
      <c r="OF136" s="6"/>
      <c r="OG136" s="5" t="str">
        <f t="shared" si="547"/>
        <v>NO APLICA</v>
      </c>
      <c r="OH136" s="2"/>
      <c r="OI136" s="2"/>
      <c r="OJ136" s="4"/>
      <c r="OK136" s="8"/>
      <c r="OL136" s="5" t="str">
        <f t="shared" si="548"/>
        <v>NO APLICA</v>
      </c>
      <c r="OM136" s="6"/>
      <c r="ON136" s="6"/>
      <c r="OO136" s="6"/>
      <c r="OP136" s="6"/>
      <c r="OQ136" s="5" t="str">
        <f t="shared" si="549"/>
        <v>NO APLICA</v>
      </c>
      <c r="OR136" s="6"/>
      <c r="OS136" s="6"/>
      <c r="OT136" s="6"/>
      <c r="OU136" s="6"/>
      <c r="OV136" s="5" t="str">
        <f t="shared" si="550"/>
        <v>NO APLICA</v>
      </c>
      <c r="OW136" s="6"/>
      <c r="OX136" s="6"/>
      <c r="OY136" s="6"/>
      <c r="OZ136" s="6"/>
      <c r="PA136" s="5" t="str">
        <f t="shared" si="551"/>
        <v>NO APLICA</v>
      </c>
      <c r="PB136" s="6"/>
      <c r="PC136" s="6"/>
      <c r="PD136" s="6"/>
      <c r="PE136" s="6"/>
      <c r="PF136" s="5" t="str">
        <f t="shared" si="552"/>
        <v>NO APLICA</v>
      </c>
      <c r="PG136" s="6"/>
      <c r="PH136" s="6"/>
      <c r="PI136" s="6"/>
      <c r="PJ136" s="6"/>
      <c r="PK136" s="5" t="str">
        <f t="shared" si="553"/>
        <v>NO APLICA</v>
      </c>
      <c r="PL136" s="5"/>
      <c r="PM136" s="6"/>
      <c r="PN136" s="4"/>
      <c r="PO136" s="8"/>
      <c r="PP136" s="5" t="str">
        <f t="shared" si="554"/>
        <v>NO APLICA</v>
      </c>
      <c r="PQ136" s="6"/>
      <c r="PR136" s="6"/>
      <c r="PS136" s="6"/>
      <c r="PT136" s="6"/>
      <c r="PU136" s="5" t="str">
        <f t="shared" si="555"/>
        <v>NO APLICA</v>
      </c>
      <c r="PV136" s="5"/>
      <c r="PW136" s="6"/>
      <c r="PX136" s="6"/>
      <c r="PY136" s="6"/>
      <c r="PZ136" s="5" t="str">
        <f t="shared" si="556"/>
        <v>NO APLICA</v>
      </c>
    </row>
    <row r="137" spans="1:442" ht="15.6" hidden="1" thickTop="1" thickBot="1" x14ac:dyDescent="0.35">
      <c r="A137" s="26">
        <v>134</v>
      </c>
      <c r="B137" s="31">
        <v>1693</v>
      </c>
      <c r="C137" s="28" t="s">
        <v>447</v>
      </c>
      <c r="D137" s="29" t="s">
        <v>68</v>
      </c>
      <c r="E137" s="30" t="s">
        <v>73</v>
      </c>
      <c r="F137" s="5"/>
      <c r="G137" s="6"/>
      <c r="H137" s="4"/>
      <c r="I137" s="8"/>
      <c r="J137" s="5" t="str">
        <f t="shared" si="455"/>
        <v>NO APLICA</v>
      </c>
      <c r="K137" s="5"/>
      <c r="L137" s="6"/>
      <c r="M137" s="6"/>
      <c r="N137" s="8"/>
      <c r="O137" s="5" t="str">
        <f t="shared" si="456"/>
        <v>NO APLICA</v>
      </c>
      <c r="P137" s="6"/>
      <c r="Q137" s="6"/>
      <c r="R137" s="4"/>
      <c r="S137" s="8"/>
      <c r="T137" s="5" t="str">
        <f t="shared" si="557"/>
        <v>NO APLICA</v>
      </c>
      <c r="U137" s="5"/>
      <c r="V137" s="2" t="s">
        <v>448</v>
      </c>
      <c r="W137" s="4">
        <v>45156</v>
      </c>
      <c r="X137" s="4">
        <f t="shared" si="410"/>
        <v>46983</v>
      </c>
      <c r="Y137" s="8">
        <f t="shared" ca="1" si="411"/>
        <v>838</v>
      </c>
      <c r="Z137" s="5" t="str">
        <f t="shared" ca="1" si="412"/>
        <v>VIGENTE</v>
      </c>
      <c r="AA137" s="5"/>
      <c r="AB137" s="2" t="s">
        <v>449</v>
      </c>
      <c r="AC137" s="4">
        <v>45162</v>
      </c>
      <c r="AD137" s="4">
        <f>DATE(YEAR(AC137)+5,MONTH(AC137),DAY(AC137))</f>
        <v>46989</v>
      </c>
      <c r="AE137" s="8">
        <f ca="1">AD137-TODAY()</f>
        <v>844</v>
      </c>
      <c r="AF137" s="5" t="str">
        <f t="shared" ca="1" si="457"/>
        <v>VIGENTE</v>
      </c>
      <c r="AG137" s="3"/>
      <c r="AH137" s="4">
        <v>45936</v>
      </c>
      <c r="AI137" s="4">
        <f t="shared" si="448"/>
        <v>46666</v>
      </c>
      <c r="AJ137" s="8">
        <f t="shared" ca="1" si="458"/>
        <v>521</v>
      </c>
      <c r="AK137" s="5" t="str">
        <f t="shared" ca="1" si="408"/>
        <v>VIGENTE</v>
      </c>
      <c r="AL137" s="3"/>
      <c r="AM137" s="4">
        <v>45959</v>
      </c>
      <c r="AN137" s="4">
        <f t="shared" si="449"/>
        <v>46689</v>
      </c>
      <c r="AO137" s="8">
        <f t="shared" ca="1" si="459"/>
        <v>544</v>
      </c>
      <c r="AP137" s="5" t="str">
        <f t="shared" ca="1" si="460"/>
        <v>VIGENTE</v>
      </c>
      <c r="AQ137" s="3"/>
      <c r="AR137" s="4">
        <v>45967</v>
      </c>
      <c r="AS137" s="4">
        <f t="shared" si="450"/>
        <v>46697</v>
      </c>
      <c r="AT137" s="8">
        <f t="shared" ca="1" si="461"/>
        <v>552</v>
      </c>
      <c r="AU137" s="5" t="str">
        <f t="shared" ca="1" si="462"/>
        <v>VIGENTE</v>
      </c>
      <c r="AV137" s="3"/>
      <c r="AW137" s="4">
        <v>45906</v>
      </c>
      <c r="AX137" s="4">
        <f t="shared" si="445"/>
        <v>46636</v>
      </c>
      <c r="AY137" s="8">
        <f t="shared" ca="1" si="463"/>
        <v>491</v>
      </c>
      <c r="AZ137" s="5" t="str">
        <f t="shared" ca="1" si="464"/>
        <v>VIGENTE</v>
      </c>
      <c r="BA137" s="3"/>
      <c r="BB137" s="4">
        <v>45930</v>
      </c>
      <c r="BC137" s="4">
        <f>DATE(YEAR(BB137)+2,MONTH(BB137),DAY(BB137))</f>
        <v>46660</v>
      </c>
      <c r="BD137" s="8">
        <f t="shared" ca="1" si="465"/>
        <v>515</v>
      </c>
      <c r="BE137" s="5" t="str">
        <f t="shared" ca="1" si="466"/>
        <v>VIGENTE</v>
      </c>
      <c r="BF137" s="2"/>
      <c r="BG137" s="4">
        <v>45987</v>
      </c>
      <c r="BH137" s="4">
        <f>DATE(YEAR(BG137)+2,MONTH(BG137),DAY(BG137))</f>
        <v>46717</v>
      </c>
      <c r="BI137" s="8">
        <f t="shared" ca="1" si="467"/>
        <v>572</v>
      </c>
      <c r="BJ137" s="5" t="str">
        <f t="shared" ca="1" si="468"/>
        <v>VIGENTE</v>
      </c>
      <c r="BK137" s="3"/>
      <c r="BL137" s="4">
        <v>45976</v>
      </c>
      <c r="BM137" s="4">
        <f>DATE(YEAR(BL137)+2,MONTH(BL137),DAY(BL137))</f>
        <v>46706</v>
      </c>
      <c r="BN137" s="8">
        <f t="shared" ca="1" si="469"/>
        <v>561</v>
      </c>
      <c r="BO137" s="5" t="str">
        <f t="shared" ca="1" si="470"/>
        <v>VIGENTE</v>
      </c>
      <c r="BP137" s="4"/>
      <c r="BQ137" s="39">
        <v>45981</v>
      </c>
      <c r="BR137" s="4">
        <f>DATE(YEAR(BQ137)+2,MONTH(BQ137),DAY(BQ137))</f>
        <v>46711</v>
      </c>
      <c r="BS137" s="8">
        <f t="shared" ca="1" si="471"/>
        <v>566</v>
      </c>
      <c r="BT137" s="5" t="str">
        <f t="shared" ca="1" si="472"/>
        <v>VIGENTE</v>
      </c>
      <c r="BU137" s="3"/>
      <c r="BV137" s="4">
        <v>46031</v>
      </c>
      <c r="BW137" s="4">
        <f>DATE(YEAR(BV137)+2,MONTH(BV137),DAY(BV137))</f>
        <v>46761</v>
      </c>
      <c r="BX137" s="8">
        <f t="shared" ca="1" si="473"/>
        <v>616</v>
      </c>
      <c r="BY137" s="5" t="str">
        <f t="shared" ca="1" si="474"/>
        <v>VIGENTE</v>
      </c>
      <c r="BZ137" s="3"/>
      <c r="CA137" s="4">
        <v>45954</v>
      </c>
      <c r="CB137" s="4">
        <f t="shared" si="447"/>
        <v>46684</v>
      </c>
      <c r="CC137" s="8">
        <f t="shared" ca="1" si="475"/>
        <v>539</v>
      </c>
      <c r="CD137" s="5" t="str">
        <f t="shared" ca="1" si="476"/>
        <v>VIGENTE</v>
      </c>
      <c r="CE137" s="6"/>
      <c r="CF137" s="4">
        <v>45164</v>
      </c>
      <c r="CG137" s="4">
        <f t="shared" si="416"/>
        <v>46625</v>
      </c>
      <c r="CH137" s="8">
        <f t="shared" ca="1" si="417"/>
        <v>480</v>
      </c>
      <c r="CI137" s="5" t="str">
        <f t="shared" ca="1" si="418"/>
        <v>VIGENTE</v>
      </c>
      <c r="CJ137" s="4"/>
      <c r="CK137" s="4">
        <v>45929</v>
      </c>
      <c r="CL137" s="4">
        <f>DATE(YEAR(CK137)+2,MONTH(CK137),DAY(CK137))</f>
        <v>46659</v>
      </c>
      <c r="CM137" s="8">
        <f t="shared" ca="1" si="477"/>
        <v>514</v>
      </c>
      <c r="CN137" s="5" t="str">
        <f t="shared" ca="1" si="478"/>
        <v>VIGENTE</v>
      </c>
      <c r="CO137" s="4"/>
      <c r="CP137" s="39">
        <v>45979</v>
      </c>
      <c r="CQ137" s="4">
        <f>DATE(YEAR(CP137)+2,MONTH(CP137),DAY(CP137))</f>
        <v>46709</v>
      </c>
      <c r="CR137" s="8">
        <f t="shared" ca="1" si="479"/>
        <v>564</v>
      </c>
      <c r="CS137" s="5" t="str">
        <f t="shared" ca="1" si="480"/>
        <v>VIGENTE</v>
      </c>
      <c r="CT137" s="2"/>
      <c r="CU137" s="4">
        <v>45939</v>
      </c>
      <c r="CV137" s="4">
        <f>DATE(YEAR(CU137)+2,MONTH(CU137),DAY(CU137))</f>
        <v>46669</v>
      </c>
      <c r="CW137" s="8">
        <f t="shared" ca="1" si="481"/>
        <v>524</v>
      </c>
      <c r="CX137" s="5" t="str">
        <f t="shared" ca="1" si="482"/>
        <v>VIGENTE</v>
      </c>
      <c r="CY137" s="3"/>
      <c r="CZ137" s="4">
        <v>45843</v>
      </c>
      <c r="DA137" s="4">
        <f>DATE(YEAR(CZ137)+2,MONTH(CZ137),DAY(CZ137))</f>
        <v>46573</v>
      </c>
      <c r="DB137" s="8">
        <f t="shared" ca="1" si="483"/>
        <v>428</v>
      </c>
      <c r="DC137" s="5" t="str">
        <f t="shared" ca="1" si="484"/>
        <v>VIGENTE</v>
      </c>
      <c r="DD137" s="4"/>
      <c r="DE137" s="39">
        <v>46045</v>
      </c>
      <c r="DF137" s="4">
        <f>DATE(YEAR(DE137)+2,MONTH(DE137),DAY(DE137))</f>
        <v>46775</v>
      </c>
      <c r="DG137" s="8">
        <f t="shared" ca="1" si="485"/>
        <v>630</v>
      </c>
      <c r="DH137" s="5" t="str">
        <f t="shared" ca="1" si="486"/>
        <v>VIGENTE</v>
      </c>
      <c r="DI137" s="3"/>
      <c r="DJ137" s="39">
        <v>45779</v>
      </c>
      <c r="DK137" s="4">
        <f>DATE(YEAR(DJ137)+2,MONTH(DJ137),DAY(DJ137))</f>
        <v>46509</v>
      </c>
      <c r="DL137" s="8">
        <f t="shared" ca="1" si="487"/>
        <v>364</v>
      </c>
      <c r="DM137" s="5" t="str">
        <f t="shared" ca="1" si="488"/>
        <v>VIGENTE</v>
      </c>
      <c r="DN137" s="3"/>
      <c r="DO137" s="4">
        <v>46088</v>
      </c>
      <c r="DP137" s="4">
        <f>DATE(YEAR(DO137)+2,MONTH(DO137),DAY(DO137))</f>
        <v>46819</v>
      </c>
      <c r="DQ137" s="8">
        <f t="shared" ca="1" si="489"/>
        <v>674</v>
      </c>
      <c r="DR137" s="5" t="str">
        <f t="shared" ca="1" si="490"/>
        <v>VIGENTE</v>
      </c>
      <c r="DS137" s="3"/>
      <c r="DT137" s="4">
        <v>45918</v>
      </c>
      <c r="DU137" s="4">
        <f>DATE(YEAR(DT137)+2,MONTH(DT137),DAY(DT137))</f>
        <v>46648</v>
      </c>
      <c r="DV137" s="8">
        <f t="shared" ca="1" si="491"/>
        <v>503</v>
      </c>
      <c r="DW137" s="5" t="str">
        <f t="shared" ca="1" si="492"/>
        <v>VIGENTE</v>
      </c>
      <c r="DX137" s="3"/>
      <c r="DY137" s="4">
        <v>45915</v>
      </c>
      <c r="DZ137" s="4">
        <f>DATE(YEAR(DY137)+2,MONTH(DY137),DAY(DY137))</f>
        <v>46645</v>
      </c>
      <c r="EA137" s="8">
        <f t="shared" ca="1" si="493"/>
        <v>500</v>
      </c>
      <c r="EB137" s="5" t="str">
        <f t="shared" ca="1" si="494"/>
        <v>VIGENTE</v>
      </c>
      <c r="EC137" s="4"/>
      <c r="ED137" s="39">
        <v>45994</v>
      </c>
      <c r="EE137" s="4">
        <f>DATE(YEAR(ED137)+2,MONTH(ED137),DAY(ED137))</f>
        <v>46724</v>
      </c>
      <c r="EF137" s="8">
        <f t="shared" ca="1" si="495"/>
        <v>579</v>
      </c>
      <c r="EG137" s="5" t="str">
        <f t="shared" ca="1" si="496"/>
        <v>VIGENTE</v>
      </c>
      <c r="EH137" s="3"/>
      <c r="EI137" s="3">
        <v>46085</v>
      </c>
      <c r="EJ137" s="4">
        <f t="shared" si="558"/>
        <v>46450</v>
      </c>
      <c r="EK137" s="8">
        <f t="shared" ca="1" si="497"/>
        <v>305</v>
      </c>
      <c r="EL137" s="5" t="str">
        <f t="shared" ca="1" si="498"/>
        <v>VIGENTE</v>
      </c>
      <c r="EM137" s="3"/>
      <c r="EN137" s="4">
        <v>45995</v>
      </c>
      <c r="EO137" s="4">
        <f>DATE(YEAR(EN137)+2,MONTH(EN137),DAY(EN137))</f>
        <v>46725</v>
      </c>
      <c r="EP137" s="8">
        <f t="shared" ca="1" si="499"/>
        <v>580</v>
      </c>
      <c r="EQ137" s="5" t="str">
        <f t="shared" ca="1" si="500"/>
        <v>VIGENTE</v>
      </c>
      <c r="ER137" s="3"/>
      <c r="ES137" s="39">
        <v>45796</v>
      </c>
      <c r="ET137" s="4">
        <f>DATE(YEAR(ES137)+2,MONTH(ES137),DAY(ES137))</f>
        <v>46526</v>
      </c>
      <c r="EU137" s="8">
        <f t="shared" ca="1" si="501"/>
        <v>381</v>
      </c>
      <c r="EV137" s="5" t="str">
        <f t="shared" ca="1" si="502"/>
        <v>VIGENTE</v>
      </c>
      <c r="EW137" s="2"/>
      <c r="EX137" s="4">
        <v>45953</v>
      </c>
      <c r="EY137" s="4">
        <f t="shared" si="451"/>
        <v>46683</v>
      </c>
      <c r="EZ137" s="8">
        <f t="shared" ca="1" si="503"/>
        <v>538</v>
      </c>
      <c r="FA137" s="5" t="str">
        <f t="shared" ca="1" si="504"/>
        <v>VIGENTE</v>
      </c>
      <c r="FB137" s="2"/>
      <c r="FC137" s="4">
        <v>45988</v>
      </c>
      <c r="FD137" s="4">
        <f t="shared" si="452"/>
        <v>46718</v>
      </c>
      <c r="FE137" s="8">
        <f t="shared" ca="1" si="505"/>
        <v>573</v>
      </c>
      <c r="FF137" s="5" t="str">
        <f t="shared" ca="1" si="506"/>
        <v>VIGENTE</v>
      </c>
      <c r="FG137" s="4"/>
      <c r="FH137" s="4">
        <v>45962</v>
      </c>
      <c r="FI137" s="4">
        <f t="shared" si="453"/>
        <v>46692</v>
      </c>
      <c r="FJ137" s="8">
        <f t="shared" ca="1" si="507"/>
        <v>547</v>
      </c>
      <c r="FK137" s="5" t="str">
        <f t="shared" ca="1" si="508"/>
        <v>VIGENTE</v>
      </c>
      <c r="FL137" s="4"/>
      <c r="FM137" s="39">
        <v>46039</v>
      </c>
      <c r="FN137" s="4">
        <f>DATE(YEAR(FM137)+2,MONTH(FM137),DAY(FM137))</f>
        <v>46769</v>
      </c>
      <c r="FO137" s="8">
        <f t="shared" ca="1" si="509"/>
        <v>624</v>
      </c>
      <c r="FP137" s="5" t="str">
        <f t="shared" ca="1" si="510"/>
        <v>VIGENTE</v>
      </c>
      <c r="FQ137" s="3"/>
      <c r="FR137" s="39">
        <v>45957</v>
      </c>
      <c r="FS137" s="4">
        <f>DATE(YEAR(FR137)+2,MONTH(FR137),DAY(FR137))</f>
        <v>46687</v>
      </c>
      <c r="FT137" s="8">
        <f t="shared" ca="1" si="511"/>
        <v>542</v>
      </c>
      <c r="FU137" s="5" t="str">
        <f t="shared" ca="1" si="512"/>
        <v>VIGENTE</v>
      </c>
      <c r="FV137" s="3"/>
      <c r="FW137" s="4">
        <v>45908</v>
      </c>
      <c r="FX137" s="4">
        <f t="shared" si="454"/>
        <v>46638</v>
      </c>
      <c r="FY137" s="8">
        <f t="shared" ca="1" si="513"/>
        <v>493</v>
      </c>
      <c r="FZ137" s="5" t="str">
        <f t="shared" ca="1" si="514"/>
        <v>VIGENTE</v>
      </c>
      <c r="GA137" s="3"/>
      <c r="GB137" s="4">
        <v>45925</v>
      </c>
      <c r="GC137" s="4">
        <f>DATE(YEAR(GB137)+2,MONTH(GB137),DAY(GB137))</f>
        <v>46655</v>
      </c>
      <c r="GD137" s="8">
        <f t="shared" ca="1" si="515"/>
        <v>510</v>
      </c>
      <c r="GE137" s="5" t="str">
        <f t="shared" ca="1" si="516"/>
        <v>VIGENTE</v>
      </c>
      <c r="GF137" s="3"/>
      <c r="GG137" s="4">
        <v>46079</v>
      </c>
      <c r="GH137" s="4">
        <f>DATE(YEAR(GG137)+2,MONTH(GG137),DAY(GG137))</f>
        <v>46809</v>
      </c>
      <c r="GI137" s="8">
        <f t="shared" ca="1" si="517"/>
        <v>664</v>
      </c>
      <c r="GJ137" s="5" t="str">
        <f t="shared" ca="1" si="518"/>
        <v>VIGENTE</v>
      </c>
      <c r="GK137" s="3"/>
      <c r="GL137" s="4">
        <v>45945</v>
      </c>
      <c r="GM137" s="4">
        <f>DATE(YEAR(GL137)+2,MONTH(GL137),DAY(GL137))</f>
        <v>46675</v>
      </c>
      <c r="GN137" s="8">
        <f t="shared" ca="1" si="519"/>
        <v>530</v>
      </c>
      <c r="GO137" s="5" t="str">
        <f t="shared" ca="1" si="520"/>
        <v>VIGENTE</v>
      </c>
      <c r="GP137" s="4"/>
      <c r="GQ137" s="4">
        <v>45224</v>
      </c>
      <c r="GR137" s="4">
        <f t="shared" si="521"/>
        <v>47051</v>
      </c>
      <c r="GS137" s="8">
        <f t="shared" ca="1" si="405"/>
        <v>906</v>
      </c>
      <c r="GT137" s="5" t="str">
        <f t="shared" ca="1" si="419"/>
        <v>VIGENTE</v>
      </c>
      <c r="GU137" s="3"/>
      <c r="GV137" s="4">
        <v>45389</v>
      </c>
      <c r="GW137" s="4">
        <f t="shared" si="522"/>
        <v>47215</v>
      </c>
      <c r="GX137" s="8">
        <f t="shared" ca="1" si="523"/>
        <v>1070</v>
      </c>
      <c r="GY137" s="5" t="str">
        <f t="shared" ca="1" si="426"/>
        <v>VIGENTE</v>
      </c>
      <c r="GZ137" s="2"/>
      <c r="HA137" s="4">
        <v>45258</v>
      </c>
      <c r="HB137" s="4">
        <f t="shared" si="524"/>
        <v>47085</v>
      </c>
      <c r="HC137" s="8">
        <f t="shared" ca="1" si="525"/>
        <v>940</v>
      </c>
      <c r="HD137" s="5" t="str">
        <f t="shared" ca="1" si="421"/>
        <v>VIGENTE</v>
      </c>
      <c r="HE137" s="6"/>
      <c r="HF137" s="4">
        <v>45227</v>
      </c>
      <c r="HG137" s="4">
        <f>DATE(YEAR(HF137)+5,MONTH(HF137),DAY(HF137))</f>
        <v>47054</v>
      </c>
      <c r="HH137" s="8">
        <f ca="1">HG137-TODAY()</f>
        <v>909</v>
      </c>
      <c r="HI137" s="5" t="str">
        <f t="shared" ca="1" si="427"/>
        <v>VIGENTE</v>
      </c>
      <c r="HJ137" s="2"/>
      <c r="HK137" s="6"/>
      <c r="HL137" s="4"/>
      <c r="HM137" s="8"/>
      <c r="HN137" s="5" t="str">
        <f t="shared" si="444"/>
        <v>NO APLICA</v>
      </c>
      <c r="HO137" s="2"/>
      <c r="HP137" s="2"/>
      <c r="HQ137" s="4"/>
      <c r="HR137" s="2"/>
      <c r="HS137" s="5" t="str">
        <f t="shared" si="526"/>
        <v>NO APLICA</v>
      </c>
      <c r="HT137" s="2"/>
      <c r="HU137" s="6"/>
      <c r="HV137" s="4"/>
      <c r="HW137" s="8"/>
      <c r="HX137" s="5" t="str">
        <f t="shared" si="527"/>
        <v>NO APLICA</v>
      </c>
      <c r="HY137" s="2"/>
      <c r="HZ137" s="6"/>
      <c r="IA137" s="4"/>
      <c r="IB137" s="8"/>
      <c r="IC137" s="5" t="str">
        <f t="shared" si="528"/>
        <v>NO APLICA</v>
      </c>
      <c r="ID137" s="2"/>
      <c r="IE137" s="4">
        <v>45355</v>
      </c>
      <c r="IF137" s="4">
        <f>DATE(YEAR(IE137)+5,MONTH(IE137),DAY(IE137))</f>
        <v>47181</v>
      </c>
      <c r="IG137" s="8">
        <f ca="1">IF137-TODAY()</f>
        <v>1036</v>
      </c>
      <c r="IH137" s="5" t="str">
        <f t="shared" ca="1" si="529"/>
        <v>VIGENTE</v>
      </c>
      <c r="II137" s="6"/>
      <c r="IJ137" s="6"/>
      <c r="IK137" s="4"/>
      <c r="IL137" s="8"/>
      <c r="IM137" s="5" t="str">
        <f t="shared" si="530"/>
        <v>NO APLICA</v>
      </c>
      <c r="IN137" s="2"/>
      <c r="IO137" s="4"/>
      <c r="IP137" s="4"/>
      <c r="IQ137" s="8"/>
      <c r="IR137" s="5" t="str">
        <f t="shared" si="531"/>
        <v>NO APLICA</v>
      </c>
      <c r="IS137" s="2"/>
      <c r="IT137" s="4">
        <v>45350</v>
      </c>
      <c r="IU137" s="4">
        <f>DATE(YEAR(IT137)+5,MONTH(IT137),DAY(IT137))</f>
        <v>47177</v>
      </c>
      <c r="IV137" s="8">
        <f ca="1">IU137-TODAY()</f>
        <v>1032</v>
      </c>
      <c r="IW137" s="5" t="str">
        <f t="shared" ca="1" si="532"/>
        <v>VIGENTE</v>
      </c>
      <c r="IX137" s="2"/>
      <c r="IY137" s="4">
        <v>45339</v>
      </c>
      <c r="IZ137" s="4">
        <f>DATE(YEAR(IY137)+5,MONTH(IY137),DAY(IY137))</f>
        <v>47166</v>
      </c>
      <c r="JA137" s="8">
        <f ca="1">IZ137-TODAY()</f>
        <v>1021</v>
      </c>
      <c r="JB137" s="5" t="str">
        <f t="shared" ca="1" si="533"/>
        <v>VIGENTE</v>
      </c>
      <c r="JC137" s="3" t="s">
        <v>780</v>
      </c>
      <c r="JD137" s="3"/>
      <c r="JE137" s="4"/>
      <c r="JF137" s="8"/>
      <c r="JG137" s="5"/>
      <c r="JH137" s="3" t="s">
        <v>780</v>
      </c>
      <c r="JI137" s="6"/>
      <c r="JJ137" s="6"/>
      <c r="JK137" s="6"/>
      <c r="JL137" s="5"/>
      <c r="JM137" s="6" t="s">
        <v>780</v>
      </c>
      <c r="JN137" s="6"/>
      <c r="JO137" s="6"/>
      <c r="JP137" s="6"/>
      <c r="JQ137" s="5"/>
      <c r="JR137" s="6" t="s">
        <v>780</v>
      </c>
      <c r="JS137" s="6"/>
      <c r="JT137" s="6"/>
      <c r="JU137" s="6"/>
      <c r="JV137" s="5"/>
      <c r="JW137" s="6" t="s">
        <v>780</v>
      </c>
      <c r="JX137" s="5"/>
      <c r="JY137" s="5"/>
      <c r="JZ137" s="5"/>
      <c r="KA137" s="5"/>
      <c r="KB137" s="5"/>
      <c r="KC137" s="2"/>
      <c r="KD137" s="4"/>
      <c r="KE137" s="8"/>
      <c r="KF137" s="5" t="str">
        <f t="shared" si="534"/>
        <v>NO APLICA</v>
      </c>
      <c r="KG137" s="5"/>
      <c r="KH137" s="2"/>
      <c r="KI137" s="4"/>
      <c r="KJ137" s="8"/>
      <c r="KK137" s="5" t="str">
        <f t="shared" si="559"/>
        <v>NO APLICA</v>
      </c>
      <c r="KL137" s="5"/>
      <c r="KM137" s="2"/>
      <c r="KN137" s="4"/>
      <c r="KO137" s="8"/>
      <c r="KP137" s="5" t="str">
        <f t="shared" si="535"/>
        <v>NO APLICA</v>
      </c>
      <c r="KQ137" s="5"/>
      <c r="KR137" s="2"/>
      <c r="KS137" s="4"/>
      <c r="KT137" s="8"/>
      <c r="KU137" s="5" t="str">
        <f t="shared" si="560"/>
        <v>NO APLICA</v>
      </c>
      <c r="KV137" s="2"/>
      <c r="KW137" s="6"/>
      <c r="KX137" s="4"/>
      <c r="KY137" s="8"/>
      <c r="KZ137" s="5" t="str">
        <f t="shared" si="565"/>
        <v>NO APLICA</v>
      </c>
      <c r="LA137" s="5"/>
      <c r="LB137" s="6"/>
      <c r="LC137" s="4"/>
      <c r="LD137" s="8"/>
      <c r="LE137" s="5" t="str">
        <f t="shared" si="561"/>
        <v>NO APLICA</v>
      </c>
      <c r="LF137" s="6"/>
      <c r="LG137" s="4"/>
      <c r="LH137" s="4"/>
      <c r="LI137" s="8"/>
      <c r="LJ137" s="5" t="str">
        <f t="shared" si="567"/>
        <v>NO APLICA</v>
      </c>
      <c r="LK137" s="5"/>
      <c r="LL137" s="5"/>
      <c r="LM137" s="4"/>
      <c r="LN137" s="8"/>
      <c r="LO137" s="5" t="str">
        <f t="shared" si="566"/>
        <v>NO APLICA</v>
      </c>
      <c r="LP137" s="2"/>
      <c r="LQ137" s="6"/>
      <c r="LR137" s="4"/>
      <c r="LS137" s="8"/>
      <c r="LT137" s="5" t="str">
        <f t="shared" si="562"/>
        <v>NO APLICA</v>
      </c>
      <c r="LU137" s="6"/>
      <c r="LV137" s="6"/>
      <c r="LW137" s="4"/>
      <c r="LX137" s="8"/>
      <c r="LY137" s="5" t="str">
        <f t="shared" si="563"/>
        <v>NO APLICA</v>
      </c>
      <c r="LZ137" s="6"/>
      <c r="MA137" s="6"/>
      <c r="MB137" s="4"/>
      <c r="MC137" s="8"/>
      <c r="MD137" s="5" t="str">
        <f t="shared" si="564"/>
        <v>NO APLICA</v>
      </c>
      <c r="ME137" s="2"/>
      <c r="MF137" s="2"/>
      <c r="MG137" s="4"/>
      <c r="MH137" s="8"/>
      <c r="MI137" s="5" t="str">
        <f t="shared" si="537"/>
        <v>NO APLICA</v>
      </c>
      <c r="MJ137" s="2"/>
      <c r="MK137" s="2"/>
      <c r="ML137" s="4"/>
      <c r="MM137" s="8"/>
      <c r="MN137" s="5" t="str">
        <f t="shared" si="538"/>
        <v>NO APLICA</v>
      </c>
      <c r="MO137" s="5"/>
      <c r="MP137" s="2"/>
      <c r="MQ137" s="4"/>
      <c r="MR137" s="8"/>
      <c r="MS137" s="5" t="str">
        <f t="shared" si="539"/>
        <v>NO APLICA</v>
      </c>
      <c r="MT137" s="5"/>
      <c r="MU137" s="2"/>
      <c r="MV137" s="4"/>
      <c r="MW137" s="2"/>
      <c r="MX137" s="5" t="str">
        <f t="shared" si="540"/>
        <v>NO APLICA</v>
      </c>
      <c r="MY137" s="2"/>
      <c r="MZ137" s="6"/>
      <c r="NA137" s="4"/>
      <c r="NB137" s="8"/>
      <c r="NC137" s="5" t="str">
        <f t="shared" si="541"/>
        <v>NO APLICA</v>
      </c>
      <c r="ND137" s="2"/>
      <c r="NE137" s="6"/>
      <c r="NF137" s="4"/>
      <c r="NG137" s="8"/>
      <c r="NH137" s="5" t="str">
        <f t="shared" si="542"/>
        <v>NO APLICA</v>
      </c>
      <c r="NI137" s="2"/>
      <c r="NJ137" s="6"/>
      <c r="NK137" s="4"/>
      <c r="NL137" s="8"/>
      <c r="NM137" s="5" t="str">
        <f t="shared" si="543"/>
        <v>NO APLICA</v>
      </c>
      <c r="NN137" s="2"/>
      <c r="NO137" s="2"/>
      <c r="NP137" s="4"/>
      <c r="NQ137" s="8"/>
      <c r="NR137" s="5" t="str">
        <f t="shared" si="544"/>
        <v>NO APLICA</v>
      </c>
      <c r="NS137" s="2"/>
      <c r="NT137" s="2"/>
      <c r="NU137" s="4"/>
      <c r="NV137" s="2"/>
      <c r="NW137" s="5" t="str">
        <f t="shared" si="545"/>
        <v>NO APLICA</v>
      </c>
      <c r="NX137" s="6"/>
      <c r="NY137" s="6"/>
      <c r="NZ137" s="4"/>
      <c r="OA137" s="8"/>
      <c r="OB137" s="5" t="str">
        <f t="shared" si="546"/>
        <v>NO APLICA</v>
      </c>
      <c r="OC137" s="6"/>
      <c r="OD137" s="6"/>
      <c r="OE137" s="6"/>
      <c r="OF137" s="6"/>
      <c r="OG137" s="5" t="str">
        <f t="shared" si="547"/>
        <v>NO APLICA</v>
      </c>
      <c r="OH137" s="6"/>
      <c r="OI137" s="6"/>
      <c r="OJ137" s="4"/>
      <c r="OK137" s="8"/>
      <c r="OL137" s="5" t="str">
        <f t="shared" si="548"/>
        <v>NO APLICA</v>
      </c>
      <c r="OM137" s="6"/>
      <c r="ON137" s="6"/>
      <c r="OO137" s="6"/>
      <c r="OP137" s="6"/>
      <c r="OQ137" s="5" t="str">
        <f t="shared" si="549"/>
        <v>NO APLICA</v>
      </c>
      <c r="OR137" s="6"/>
      <c r="OS137" s="6"/>
      <c r="OT137" s="6"/>
      <c r="OU137" s="6"/>
      <c r="OV137" s="5" t="str">
        <f t="shared" si="550"/>
        <v>NO APLICA</v>
      </c>
      <c r="OW137" s="6"/>
      <c r="OX137" s="6"/>
      <c r="OY137" s="6"/>
      <c r="OZ137" s="6"/>
      <c r="PA137" s="5" t="str">
        <f t="shared" si="551"/>
        <v>NO APLICA</v>
      </c>
      <c r="PB137" s="6"/>
      <c r="PC137" s="6"/>
      <c r="PD137" s="6"/>
      <c r="PE137" s="6"/>
      <c r="PF137" s="5" t="str">
        <f t="shared" si="552"/>
        <v>NO APLICA</v>
      </c>
      <c r="PG137" s="6"/>
      <c r="PH137" s="6"/>
      <c r="PI137" s="6"/>
      <c r="PJ137" s="6"/>
      <c r="PK137" s="5" t="str">
        <f t="shared" si="553"/>
        <v>NO APLICA</v>
      </c>
      <c r="PL137" s="5"/>
      <c r="PM137" s="6"/>
      <c r="PN137" s="4"/>
      <c r="PO137" s="8"/>
      <c r="PP137" s="5" t="str">
        <f t="shared" si="554"/>
        <v>NO APLICA</v>
      </c>
      <c r="PQ137" s="6"/>
      <c r="PR137" s="6"/>
      <c r="PS137" s="6"/>
      <c r="PT137" s="6"/>
      <c r="PU137" s="5" t="str">
        <f t="shared" si="555"/>
        <v>NO APLICA</v>
      </c>
      <c r="PV137" s="5"/>
      <c r="PW137" s="6"/>
      <c r="PX137" s="6"/>
      <c r="PY137" s="6"/>
      <c r="PZ137" s="5" t="str">
        <f t="shared" si="556"/>
        <v>NO APLICA</v>
      </c>
    </row>
    <row r="138" spans="1:442" ht="15.6" hidden="1" thickTop="1" thickBot="1" x14ac:dyDescent="0.35">
      <c r="A138" s="26">
        <v>135</v>
      </c>
      <c r="B138" s="27">
        <v>946</v>
      </c>
      <c r="C138" s="28" t="s">
        <v>450</v>
      </c>
      <c r="D138" s="29" t="s">
        <v>68</v>
      </c>
      <c r="E138" s="30" t="s">
        <v>451</v>
      </c>
      <c r="F138" s="5"/>
      <c r="G138" s="6"/>
      <c r="H138" s="4"/>
      <c r="I138" s="8"/>
      <c r="J138" s="5" t="str">
        <f t="shared" si="455"/>
        <v>NO APLICA</v>
      </c>
      <c r="K138" s="5"/>
      <c r="L138" s="6"/>
      <c r="M138" s="6"/>
      <c r="N138" s="8"/>
      <c r="O138" s="5" t="str">
        <f t="shared" si="456"/>
        <v>NO APLICA</v>
      </c>
      <c r="P138" s="6"/>
      <c r="Q138" s="6"/>
      <c r="R138" s="4"/>
      <c r="S138" s="8"/>
      <c r="T138" s="5" t="str">
        <f t="shared" si="557"/>
        <v>NO APLICA</v>
      </c>
      <c r="U138" s="5"/>
      <c r="V138" s="2" t="s">
        <v>452</v>
      </c>
      <c r="W138" s="4">
        <v>45401</v>
      </c>
      <c r="X138" s="4">
        <f t="shared" si="410"/>
        <v>47227</v>
      </c>
      <c r="Y138" s="8">
        <f t="shared" ca="1" si="411"/>
        <v>1082</v>
      </c>
      <c r="Z138" s="5" t="str">
        <f t="shared" ca="1" si="412"/>
        <v>VIGENTE</v>
      </c>
      <c r="AA138" s="5"/>
      <c r="AB138" s="2" t="s">
        <v>453</v>
      </c>
      <c r="AC138" s="3">
        <v>44391</v>
      </c>
      <c r="AD138" s="4">
        <f>DATE(YEAR(AC138)+5,MONTH(AC138),DAY(AC138))</f>
        <v>46217</v>
      </c>
      <c r="AE138" s="8">
        <f ca="1">AD138-TODAY()</f>
        <v>72</v>
      </c>
      <c r="AF138" s="5" t="str">
        <f t="shared" ca="1" si="457"/>
        <v>POR VENCER</v>
      </c>
      <c r="AG138" s="3"/>
      <c r="AH138" s="4">
        <v>45589</v>
      </c>
      <c r="AI138" s="4">
        <f>DATE(YEAR(AH138)+2,MONTH(AH138),DAY(AH138)-1)</f>
        <v>46318</v>
      </c>
      <c r="AJ138" s="8">
        <f t="shared" ca="1" si="458"/>
        <v>173</v>
      </c>
      <c r="AK138" s="5" t="str">
        <f t="shared" ca="1" si="408"/>
        <v>VIGENTE</v>
      </c>
      <c r="AL138" s="3"/>
      <c r="AM138" s="4">
        <v>45518</v>
      </c>
      <c r="AN138" s="4">
        <f>DATE(YEAR(AM138)+2,MONTH(AM138),DAY(AM138)-1)</f>
        <v>46247</v>
      </c>
      <c r="AO138" s="8">
        <f t="shared" ca="1" si="459"/>
        <v>102</v>
      </c>
      <c r="AP138" s="5" t="str">
        <f t="shared" ca="1" si="460"/>
        <v>VIGENTE</v>
      </c>
      <c r="AQ138" s="3"/>
      <c r="AR138" s="4">
        <v>45505</v>
      </c>
      <c r="AS138" s="4">
        <f>DATE(YEAR(AR138)+2,MONTH(AR138),DAY(AR138)-1)</f>
        <v>46234</v>
      </c>
      <c r="AT138" s="8">
        <f t="shared" ca="1" si="461"/>
        <v>89</v>
      </c>
      <c r="AU138" s="5" t="str">
        <f t="shared" ca="1" si="462"/>
        <v>POR VENCER</v>
      </c>
      <c r="AV138" s="3"/>
      <c r="AW138" s="4">
        <v>45514</v>
      </c>
      <c r="AX138" s="4">
        <f>DATE(YEAR(AW138)+2,MONTH(AW138),DAY(AW138)-1)</f>
        <v>46243</v>
      </c>
      <c r="AY138" s="8">
        <f t="shared" ca="1" si="463"/>
        <v>98</v>
      </c>
      <c r="AZ138" s="5" t="str">
        <f t="shared" ca="1" si="464"/>
        <v>VIGENTE</v>
      </c>
      <c r="BA138" s="3"/>
      <c r="BB138" s="4">
        <v>45515</v>
      </c>
      <c r="BC138" s="4">
        <f>DATE(YEAR(BB138)+2,MONTH(BB138),DAY(BB138)-1)</f>
        <v>46244</v>
      </c>
      <c r="BD138" s="8">
        <f t="shared" ca="1" si="465"/>
        <v>99</v>
      </c>
      <c r="BE138" s="5" t="str">
        <f t="shared" ca="1" si="466"/>
        <v>VIGENTE</v>
      </c>
      <c r="BF138" s="3"/>
      <c r="BG138" s="4">
        <v>45605</v>
      </c>
      <c r="BH138" s="4">
        <f>DATE(YEAR(BG138)+2,MONTH(BG138),DAY(BG138)-1)</f>
        <v>46334</v>
      </c>
      <c r="BI138" s="8">
        <f t="shared" ca="1" si="467"/>
        <v>189</v>
      </c>
      <c r="BJ138" s="5" t="str">
        <f t="shared" ca="1" si="468"/>
        <v>VIGENTE</v>
      </c>
      <c r="BK138" s="3"/>
      <c r="BL138" s="4">
        <v>45699</v>
      </c>
      <c r="BM138" s="4">
        <f>DATE(YEAR(BL138)+2,MONTH(BL138),DAY(BL138)-1)</f>
        <v>46428</v>
      </c>
      <c r="BN138" s="8">
        <f t="shared" ca="1" si="469"/>
        <v>283</v>
      </c>
      <c r="BO138" s="5" t="str">
        <f t="shared" ca="1" si="470"/>
        <v>VIGENTE</v>
      </c>
      <c r="BP138" s="3"/>
      <c r="BQ138" s="39">
        <v>45604</v>
      </c>
      <c r="BR138" s="4">
        <f>DATE(YEAR(BQ138)+2,MONTH(BQ138),DAY(BQ138)-1)</f>
        <v>46333</v>
      </c>
      <c r="BS138" s="8">
        <f t="shared" ca="1" si="471"/>
        <v>188</v>
      </c>
      <c r="BT138" s="5" t="str">
        <f t="shared" ca="1" si="472"/>
        <v>VIGENTE</v>
      </c>
      <c r="BU138" s="3"/>
      <c r="BV138" s="4">
        <v>45572</v>
      </c>
      <c r="BW138" s="4">
        <f>DATE(YEAR(BV138)+2,MONTH(BV138),DAY(BV138)-1)</f>
        <v>46301</v>
      </c>
      <c r="BX138" s="8">
        <f t="shared" ca="1" si="473"/>
        <v>156</v>
      </c>
      <c r="BY138" s="5" t="str">
        <f t="shared" ca="1" si="474"/>
        <v>VIGENTE</v>
      </c>
      <c r="BZ138" s="3"/>
      <c r="CA138" s="4">
        <v>45730</v>
      </c>
      <c r="CB138" s="4">
        <f>DATE(YEAR(CA138)+2,MONTH(CA138),DAY(CA138)-1)</f>
        <v>46459</v>
      </c>
      <c r="CC138" s="8">
        <f t="shared" ca="1" si="475"/>
        <v>314</v>
      </c>
      <c r="CD138" s="5" t="str">
        <f t="shared" ca="1" si="476"/>
        <v>VIGENTE</v>
      </c>
      <c r="CE138" s="6"/>
      <c r="CF138" s="4">
        <v>45393</v>
      </c>
      <c r="CG138" s="4">
        <f t="shared" si="416"/>
        <v>46854</v>
      </c>
      <c r="CH138" s="8">
        <f t="shared" ca="1" si="417"/>
        <v>709</v>
      </c>
      <c r="CI138" s="5" t="str">
        <f t="shared" ca="1" si="418"/>
        <v>VIGENTE</v>
      </c>
      <c r="CJ138" s="4"/>
      <c r="CK138" s="4">
        <v>45504</v>
      </c>
      <c r="CL138" s="4">
        <f>DATE(YEAR(CK138)+2,MONTH(CK138),DAY(CK138)-1)</f>
        <v>46233</v>
      </c>
      <c r="CM138" s="8">
        <f t="shared" ca="1" si="477"/>
        <v>88</v>
      </c>
      <c r="CN138" s="5" t="str">
        <f t="shared" ca="1" si="478"/>
        <v>POR VENCER</v>
      </c>
      <c r="CO138" s="3"/>
      <c r="CP138" s="39">
        <v>45684</v>
      </c>
      <c r="CQ138" s="4">
        <f>DATE(YEAR(CP138)+2,MONTH(CP138),DAY(CP138)-1)</f>
        <v>46413</v>
      </c>
      <c r="CR138" s="8">
        <f t="shared" ca="1" si="479"/>
        <v>268</v>
      </c>
      <c r="CS138" s="5" t="str">
        <f t="shared" ca="1" si="480"/>
        <v>VIGENTE</v>
      </c>
      <c r="CT138" s="3"/>
      <c r="CU138" s="4">
        <v>45639</v>
      </c>
      <c r="CV138" s="4">
        <f>DATE(YEAR(CU138)+2,MONTH(CU138),DAY(CU138)-1)</f>
        <v>46368</v>
      </c>
      <c r="CW138" s="8">
        <f t="shared" ca="1" si="481"/>
        <v>223</v>
      </c>
      <c r="CX138" s="5" t="str">
        <f t="shared" ca="1" si="482"/>
        <v>VIGENTE</v>
      </c>
      <c r="CY138" s="3"/>
      <c r="CZ138" s="4">
        <v>45665</v>
      </c>
      <c r="DA138" s="4">
        <f>DATE(YEAR(CZ138)+2,MONTH(CZ138),DAY(CZ138)-1)</f>
        <v>46394</v>
      </c>
      <c r="DB138" s="8">
        <f t="shared" ca="1" si="483"/>
        <v>249</v>
      </c>
      <c r="DC138" s="5" t="str">
        <f t="shared" ca="1" si="484"/>
        <v>VIGENTE</v>
      </c>
      <c r="DD138" s="3"/>
      <c r="DE138" s="39">
        <v>45596</v>
      </c>
      <c r="DF138" s="4">
        <f>DATE(YEAR(DE138)+2,MONTH(DE138),DAY(DE138)-1)</f>
        <v>46325</v>
      </c>
      <c r="DG138" s="8">
        <f t="shared" ca="1" si="485"/>
        <v>180</v>
      </c>
      <c r="DH138" s="5" t="str">
        <f t="shared" ca="1" si="486"/>
        <v>VIGENTE</v>
      </c>
      <c r="DI138" s="3"/>
      <c r="DJ138" s="39">
        <v>45580</v>
      </c>
      <c r="DK138" s="4">
        <f>DATE(YEAR(DJ138)+2,MONTH(DJ138),DAY(DJ138)-1)</f>
        <v>46309</v>
      </c>
      <c r="DL138" s="8">
        <f t="shared" ca="1" si="487"/>
        <v>164</v>
      </c>
      <c r="DM138" s="5" t="str">
        <f t="shared" ca="1" si="488"/>
        <v>VIGENTE</v>
      </c>
      <c r="DN138" s="3"/>
      <c r="DO138" s="4">
        <v>45577</v>
      </c>
      <c r="DP138" s="4">
        <f>DATE(YEAR(DO138)+2,MONTH(DO138),DAY(DO138)-1)</f>
        <v>46306</v>
      </c>
      <c r="DQ138" s="8">
        <f t="shared" ca="1" si="489"/>
        <v>161</v>
      </c>
      <c r="DR138" s="5" t="str">
        <f t="shared" ca="1" si="490"/>
        <v>VIGENTE</v>
      </c>
      <c r="DS138" s="3"/>
      <c r="DT138" s="4">
        <v>45619</v>
      </c>
      <c r="DU138" s="4">
        <f>DATE(YEAR(DT138)+2,MONTH(DT138),DAY(DT138)-1)</f>
        <v>46348</v>
      </c>
      <c r="DV138" s="8">
        <f t="shared" ca="1" si="491"/>
        <v>203</v>
      </c>
      <c r="DW138" s="5" t="str">
        <f t="shared" ca="1" si="492"/>
        <v>VIGENTE</v>
      </c>
      <c r="DX138" s="3"/>
      <c r="DY138" s="4">
        <v>45663</v>
      </c>
      <c r="DZ138" s="4">
        <f>DATE(YEAR(DY138)+2,MONTH(DY138),DAY(DY138)-1)</f>
        <v>46392</v>
      </c>
      <c r="EA138" s="8">
        <f t="shared" ca="1" si="493"/>
        <v>247</v>
      </c>
      <c r="EB138" s="5" t="str">
        <f t="shared" ca="1" si="494"/>
        <v>VIGENTE</v>
      </c>
      <c r="EC138" s="3"/>
      <c r="ED138" s="39">
        <v>45674</v>
      </c>
      <c r="EE138" s="4">
        <f>DATE(YEAR(ED138)+2,MONTH(ED138),DAY(ED138)-1)</f>
        <v>46403</v>
      </c>
      <c r="EF138" s="8">
        <f t="shared" ca="1" si="495"/>
        <v>258</v>
      </c>
      <c r="EG138" s="5" t="str">
        <f t="shared" ca="1" si="496"/>
        <v>VIGENTE</v>
      </c>
      <c r="EH138" s="3"/>
      <c r="EI138" s="3">
        <v>46085</v>
      </c>
      <c r="EJ138" s="4">
        <f t="shared" si="558"/>
        <v>46450</v>
      </c>
      <c r="EK138" s="8">
        <f t="shared" ca="1" si="497"/>
        <v>305</v>
      </c>
      <c r="EL138" s="5" t="str">
        <f t="shared" ca="1" si="498"/>
        <v>VIGENTE</v>
      </c>
      <c r="EM138" s="3"/>
      <c r="EN138" s="4">
        <v>45612</v>
      </c>
      <c r="EO138" s="4">
        <f>DATE(YEAR(EN138)+2,MONTH(EN138),DAY(EN138)-1)</f>
        <v>46341</v>
      </c>
      <c r="EP138" s="8">
        <f t="shared" ca="1" si="499"/>
        <v>196</v>
      </c>
      <c r="EQ138" s="5" t="str">
        <f t="shared" ca="1" si="500"/>
        <v>VIGENTE</v>
      </c>
      <c r="ER138" s="3"/>
      <c r="ES138" s="39">
        <v>45575</v>
      </c>
      <c r="ET138" s="4">
        <f>DATE(YEAR(ES138)+2,MONTH(ES138),DAY(ES138)-1)</f>
        <v>46304</v>
      </c>
      <c r="EU138" s="8">
        <f t="shared" ca="1" si="501"/>
        <v>159</v>
      </c>
      <c r="EV138" s="5" t="str">
        <f t="shared" ca="1" si="502"/>
        <v>VIGENTE</v>
      </c>
      <c r="EW138" s="3"/>
      <c r="EX138" s="4">
        <v>45610</v>
      </c>
      <c r="EY138" s="4">
        <f>DATE(YEAR(EX138)+2,MONTH(EX138),DAY(EX138)-1)</f>
        <v>46339</v>
      </c>
      <c r="EZ138" s="8">
        <f t="shared" ca="1" si="503"/>
        <v>194</v>
      </c>
      <c r="FA138" s="5" t="str">
        <f t="shared" ca="1" si="504"/>
        <v>VIGENTE</v>
      </c>
      <c r="FB138" s="3"/>
      <c r="FC138" s="4">
        <v>45666</v>
      </c>
      <c r="FD138" s="4">
        <f>DATE(YEAR(FC138)+2,MONTH(FC138),DAY(FC138)-1)</f>
        <v>46395</v>
      </c>
      <c r="FE138" s="8">
        <f t="shared" ca="1" si="505"/>
        <v>250</v>
      </c>
      <c r="FF138" s="5" t="str">
        <f t="shared" ca="1" si="506"/>
        <v>VIGENTE</v>
      </c>
      <c r="FG138" s="3"/>
      <c r="FH138" s="4">
        <v>45668</v>
      </c>
      <c r="FI138" s="4">
        <f>DATE(YEAR(FH138)+2,MONTH(FH138),DAY(FH138)-1)</f>
        <v>46397</v>
      </c>
      <c r="FJ138" s="8">
        <f t="shared" ca="1" si="507"/>
        <v>252</v>
      </c>
      <c r="FK138" s="5" t="str">
        <f t="shared" ca="1" si="508"/>
        <v>VIGENTE</v>
      </c>
      <c r="FL138" s="3"/>
      <c r="FM138" s="39">
        <v>45670</v>
      </c>
      <c r="FN138" s="4">
        <f>DATE(YEAR(FM138)+2,MONTH(FM138),DAY(FM138)-1)</f>
        <v>46399</v>
      </c>
      <c r="FO138" s="8">
        <f t="shared" ca="1" si="509"/>
        <v>254</v>
      </c>
      <c r="FP138" s="5" t="str">
        <f t="shared" ca="1" si="510"/>
        <v>VIGENTE</v>
      </c>
      <c r="FQ138" s="3"/>
      <c r="FR138" s="39">
        <v>45586</v>
      </c>
      <c r="FS138" s="4">
        <f>DATE(YEAR(FR138)+2,MONTH(FR138),DAY(FR138)-1)</f>
        <v>46315</v>
      </c>
      <c r="FT138" s="8">
        <f t="shared" ca="1" si="511"/>
        <v>170</v>
      </c>
      <c r="FU138" s="5" t="str">
        <f t="shared" ca="1" si="512"/>
        <v>VIGENTE</v>
      </c>
      <c r="FV138" s="3"/>
      <c r="FW138" s="4">
        <v>45574</v>
      </c>
      <c r="FX138" s="4">
        <f>DATE(YEAR(FW138)+2,MONTH(FW138),DAY(FW138)-1)</f>
        <v>46303</v>
      </c>
      <c r="FY138" s="8">
        <f t="shared" ca="1" si="513"/>
        <v>158</v>
      </c>
      <c r="FZ138" s="5" t="str">
        <f t="shared" ca="1" si="514"/>
        <v>VIGENTE</v>
      </c>
      <c r="GA138" s="3"/>
      <c r="GB138" s="4">
        <v>45667</v>
      </c>
      <c r="GC138" s="4">
        <f>DATE(YEAR(GB138)+2,MONTH(GB138),DAY(GB138)-1)</f>
        <v>46396</v>
      </c>
      <c r="GD138" s="8">
        <f t="shared" ca="1" si="515"/>
        <v>251</v>
      </c>
      <c r="GE138" s="5" t="str">
        <f t="shared" ca="1" si="516"/>
        <v>VIGENTE</v>
      </c>
      <c r="GF138" s="3"/>
      <c r="GG138" s="4">
        <v>45579</v>
      </c>
      <c r="GH138" s="4">
        <f>DATE(YEAR(GG138)+2,MONTH(GG138),DAY(GG138)-1)</f>
        <v>46308</v>
      </c>
      <c r="GI138" s="8">
        <f t="shared" ca="1" si="517"/>
        <v>163</v>
      </c>
      <c r="GJ138" s="5" t="str">
        <f t="shared" ca="1" si="518"/>
        <v>VIGENTE</v>
      </c>
      <c r="GK138" s="3"/>
      <c r="GL138" s="4">
        <v>45557</v>
      </c>
      <c r="GM138" s="4">
        <f>DATE(YEAR(GL138)+2,MONTH(GL138),DAY(GL138)-1)</f>
        <v>46286</v>
      </c>
      <c r="GN138" s="8">
        <f t="shared" ca="1" si="519"/>
        <v>141</v>
      </c>
      <c r="GO138" s="5" t="str">
        <f t="shared" ca="1" si="520"/>
        <v>VIGENTE</v>
      </c>
      <c r="GP138" s="4"/>
      <c r="GQ138" s="4">
        <v>44952</v>
      </c>
      <c r="GR138" s="4">
        <f t="shared" si="521"/>
        <v>46778</v>
      </c>
      <c r="GS138" s="8">
        <f t="shared" ca="1" si="405"/>
        <v>633</v>
      </c>
      <c r="GT138" s="5" t="str">
        <f t="shared" ca="1" si="419"/>
        <v>VIGENTE</v>
      </c>
      <c r="GU138" s="3"/>
      <c r="GV138" s="4">
        <v>45010</v>
      </c>
      <c r="GW138" s="4">
        <f t="shared" si="522"/>
        <v>46837</v>
      </c>
      <c r="GX138" s="8">
        <f t="shared" ca="1" si="523"/>
        <v>692</v>
      </c>
      <c r="GY138" s="5" t="str">
        <f t="shared" ca="1" si="426"/>
        <v>VIGENTE</v>
      </c>
      <c r="GZ138" s="3"/>
      <c r="HA138" s="4">
        <v>45499</v>
      </c>
      <c r="HB138" s="4">
        <f t="shared" si="524"/>
        <v>47325</v>
      </c>
      <c r="HC138" s="8">
        <f t="shared" ca="1" si="525"/>
        <v>1180</v>
      </c>
      <c r="HD138" s="5" t="str">
        <f t="shared" ca="1" si="421"/>
        <v>VIGENTE</v>
      </c>
      <c r="HE138" s="6"/>
      <c r="HF138" s="4">
        <v>44862</v>
      </c>
      <c r="HG138" s="4">
        <f>DATE(YEAR(HF138)+5,MONTH(HF138),DAY(HF138))</f>
        <v>46688</v>
      </c>
      <c r="HH138" s="8">
        <f ca="1">HG138-TODAY()</f>
        <v>543</v>
      </c>
      <c r="HI138" s="5" t="str">
        <f t="shared" ca="1" si="427"/>
        <v>VIGENTE</v>
      </c>
      <c r="HJ138" s="2"/>
      <c r="HK138" s="6"/>
      <c r="HL138" s="4"/>
      <c r="HM138" s="8"/>
      <c r="HN138" s="5" t="str">
        <f t="shared" si="444"/>
        <v>NO APLICA</v>
      </c>
      <c r="HO138" s="2"/>
      <c r="HP138" s="2"/>
      <c r="HQ138" s="4"/>
      <c r="HR138" s="2"/>
      <c r="HS138" s="5" t="str">
        <f t="shared" si="526"/>
        <v>NO APLICA</v>
      </c>
      <c r="HT138" s="3"/>
      <c r="HU138" s="4">
        <v>45420</v>
      </c>
      <c r="HV138" s="4">
        <f>DATE(YEAR(HU138)+5,MONTH(HU138),DAY(HU138))</f>
        <v>47246</v>
      </c>
      <c r="HW138" s="8">
        <f ca="1">HV138-TODAY()</f>
        <v>1101</v>
      </c>
      <c r="HX138" s="5" t="str">
        <f t="shared" ca="1" si="527"/>
        <v>VIGENTE</v>
      </c>
      <c r="HY138" s="3"/>
      <c r="HZ138" s="4">
        <v>45447</v>
      </c>
      <c r="IA138" s="4">
        <f>DATE(YEAR(HZ138)+5,MONTH(HZ138),DAY(HZ138))</f>
        <v>47273</v>
      </c>
      <c r="IB138" s="8">
        <f ca="1">IA138-TODAY()</f>
        <v>1128</v>
      </c>
      <c r="IC138" s="5" t="str">
        <f t="shared" ca="1" si="528"/>
        <v>VIGENTE</v>
      </c>
      <c r="ID138" s="3"/>
      <c r="IE138" s="4">
        <v>45470</v>
      </c>
      <c r="IF138" s="4">
        <f>DATE(YEAR(IE138)+5,MONTH(IE138),DAY(IE138))</f>
        <v>47296</v>
      </c>
      <c r="IG138" s="8">
        <f ca="1">IF138-TODAY()</f>
        <v>1151</v>
      </c>
      <c r="IH138" s="5" t="str">
        <f t="shared" ca="1" si="529"/>
        <v>VIGENTE</v>
      </c>
      <c r="II138" s="4"/>
      <c r="IJ138" s="4">
        <v>45449</v>
      </c>
      <c r="IK138" s="4">
        <f>DATE(YEAR(IJ138)+5,MONTH(IJ138),DAY(IJ138))</f>
        <v>47275</v>
      </c>
      <c r="IL138" s="8">
        <f ca="1">IK138-TODAY()</f>
        <v>1130</v>
      </c>
      <c r="IM138" s="5" t="str">
        <f t="shared" ca="1" si="530"/>
        <v>VIGENTE</v>
      </c>
      <c r="IN138" s="3"/>
      <c r="IO138" s="4">
        <v>45460</v>
      </c>
      <c r="IP138" s="4">
        <f>DATE(YEAR(IO138)+5,MONTH(IO138),DAY(IO138))</f>
        <v>47286</v>
      </c>
      <c r="IQ138" s="8">
        <f ca="1">IP138-TODAY()</f>
        <v>1141</v>
      </c>
      <c r="IR138" s="5" t="str">
        <f t="shared" ca="1" si="531"/>
        <v>VIGENTE</v>
      </c>
      <c r="IS138" s="3"/>
      <c r="IT138" s="4">
        <v>45435</v>
      </c>
      <c r="IU138" s="4">
        <f>DATE(YEAR(IT138)+5,MONTH(IT138),DAY(IT138))</f>
        <v>47261</v>
      </c>
      <c r="IV138" s="8">
        <f ca="1">IU138-TODAY()</f>
        <v>1116</v>
      </c>
      <c r="IW138" s="5" t="str">
        <f t="shared" ca="1" si="532"/>
        <v>VIGENTE</v>
      </c>
      <c r="IX138" s="3"/>
      <c r="IY138" s="4">
        <v>45477</v>
      </c>
      <c r="IZ138" s="4">
        <f>DATE(YEAR(IY138)+5,MONTH(IY138),DAY(IY138))</f>
        <v>47303</v>
      </c>
      <c r="JA138" s="8">
        <f ca="1">IZ138-TODAY()</f>
        <v>1158</v>
      </c>
      <c r="JB138" s="5" t="str">
        <f t="shared" ca="1" si="533"/>
        <v>VIGENTE</v>
      </c>
      <c r="JC138" s="3" t="s">
        <v>780</v>
      </c>
      <c r="JD138" s="3"/>
      <c r="JE138" s="4"/>
      <c r="JF138" s="8"/>
      <c r="JG138" s="5"/>
      <c r="JH138" s="3" t="s">
        <v>780</v>
      </c>
      <c r="JI138" s="6"/>
      <c r="JJ138" s="6"/>
      <c r="JK138" s="6"/>
      <c r="JL138" s="5"/>
      <c r="JM138" s="6" t="s">
        <v>780</v>
      </c>
      <c r="JN138" s="6"/>
      <c r="JO138" s="6"/>
      <c r="JP138" s="6"/>
      <c r="JQ138" s="5"/>
      <c r="JR138" s="6" t="s">
        <v>780</v>
      </c>
      <c r="JS138" s="6"/>
      <c r="JT138" s="6"/>
      <c r="JU138" s="6"/>
      <c r="JV138" s="5"/>
      <c r="JW138" s="6" t="s">
        <v>780</v>
      </c>
      <c r="JX138" s="5"/>
      <c r="JY138" s="5"/>
      <c r="JZ138" s="5"/>
      <c r="KA138" s="5"/>
      <c r="KB138" s="5"/>
      <c r="KC138" s="2"/>
      <c r="KD138" s="4"/>
      <c r="KE138" s="8"/>
      <c r="KF138" s="5" t="str">
        <f t="shared" si="534"/>
        <v>NO APLICA</v>
      </c>
      <c r="KG138" s="5"/>
      <c r="KH138" s="2"/>
      <c r="KI138" s="4"/>
      <c r="KJ138" s="8"/>
      <c r="KK138" s="5" t="str">
        <f t="shared" si="559"/>
        <v>NO APLICA</v>
      </c>
      <c r="KL138" s="5"/>
      <c r="KM138" s="2"/>
      <c r="KN138" s="4"/>
      <c r="KO138" s="8"/>
      <c r="KP138" s="5" t="str">
        <f t="shared" si="535"/>
        <v>NO APLICA</v>
      </c>
      <c r="KQ138" s="5"/>
      <c r="KR138" s="2"/>
      <c r="KS138" s="4"/>
      <c r="KT138" s="8"/>
      <c r="KU138" s="5" t="str">
        <f t="shared" si="560"/>
        <v>NO APLICA</v>
      </c>
      <c r="KV138" s="2"/>
      <c r="KW138" s="6"/>
      <c r="KX138" s="4"/>
      <c r="KY138" s="8"/>
      <c r="KZ138" s="5" t="str">
        <f t="shared" si="565"/>
        <v>NO APLICA</v>
      </c>
      <c r="LA138" s="5"/>
      <c r="LB138" s="4">
        <v>44545</v>
      </c>
      <c r="LC138" s="4">
        <f>DATE(YEAR(LB138)+5,MONTH(LB138),DAY(LB138))</f>
        <v>46371</v>
      </c>
      <c r="LD138" s="8">
        <f ca="1">LC138-TODAY()</f>
        <v>226</v>
      </c>
      <c r="LE138" s="5" t="str">
        <f t="shared" ca="1" si="561"/>
        <v>VIGENTE</v>
      </c>
      <c r="LF138" s="6"/>
      <c r="LG138" s="6"/>
      <c r="LH138" s="4"/>
      <c r="LI138" s="8"/>
      <c r="LJ138" s="5" t="str">
        <f t="shared" si="567"/>
        <v>NO APLICA</v>
      </c>
      <c r="LK138" s="5"/>
      <c r="LL138" s="5"/>
      <c r="LM138" s="4"/>
      <c r="LN138" s="8"/>
      <c r="LO138" s="5" t="str">
        <f t="shared" si="566"/>
        <v>NO APLICA</v>
      </c>
      <c r="LP138" s="2"/>
      <c r="LQ138" s="6"/>
      <c r="LR138" s="4"/>
      <c r="LS138" s="8"/>
      <c r="LT138" s="5" t="str">
        <f t="shared" si="562"/>
        <v>NO APLICA</v>
      </c>
      <c r="LU138" s="4"/>
      <c r="LV138" s="4">
        <v>44986</v>
      </c>
      <c r="LW138" s="4">
        <f>DATE(YEAR(LV138)+5,MONTH(LV138),DAY(LV138))</f>
        <v>46813</v>
      </c>
      <c r="LX138" s="8">
        <f ca="1">LW138-TODAY()</f>
        <v>668</v>
      </c>
      <c r="LY138" s="5" t="str">
        <f t="shared" ca="1" si="563"/>
        <v>VIGENTE</v>
      </c>
      <c r="LZ138" s="4"/>
      <c r="MA138" s="4">
        <v>44988</v>
      </c>
      <c r="MB138" s="4">
        <f>DATE(YEAR(MA138)+5,MONTH(MA138),DAY(MA138))</f>
        <v>46815</v>
      </c>
      <c r="MC138" s="8">
        <f ca="1">MB138-TODAY()</f>
        <v>670</v>
      </c>
      <c r="MD138" s="5" t="str">
        <f t="shared" ca="1" si="564"/>
        <v>VIGENTE</v>
      </c>
      <c r="ME138" s="2"/>
      <c r="MF138" s="2"/>
      <c r="MG138" s="4"/>
      <c r="MH138" s="8"/>
      <c r="MI138" s="5" t="str">
        <f t="shared" si="537"/>
        <v>NO APLICA</v>
      </c>
      <c r="MJ138" s="2"/>
      <c r="MK138" s="2"/>
      <c r="ML138" s="4"/>
      <c r="MM138" s="8"/>
      <c r="MN138" s="5" t="str">
        <f t="shared" si="538"/>
        <v>NO APLICA</v>
      </c>
      <c r="MO138" s="5"/>
      <c r="MP138" s="2"/>
      <c r="MQ138" s="4"/>
      <c r="MR138" s="8"/>
      <c r="MS138" s="5" t="str">
        <f t="shared" si="539"/>
        <v>NO APLICA</v>
      </c>
      <c r="MT138" s="5"/>
      <c r="MU138" s="2"/>
      <c r="MV138" s="4"/>
      <c r="MW138" s="2"/>
      <c r="MX138" s="5" t="str">
        <f t="shared" si="540"/>
        <v>NO APLICA</v>
      </c>
      <c r="MY138" s="2"/>
      <c r="MZ138" s="6"/>
      <c r="NA138" s="4"/>
      <c r="NB138" s="8"/>
      <c r="NC138" s="5" t="str">
        <f t="shared" si="541"/>
        <v>NO APLICA</v>
      </c>
      <c r="ND138" s="2"/>
      <c r="NE138" s="6"/>
      <c r="NF138" s="4"/>
      <c r="NG138" s="8"/>
      <c r="NH138" s="5" t="str">
        <f t="shared" si="542"/>
        <v>NO APLICA</v>
      </c>
      <c r="NI138" s="2"/>
      <c r="NJ138" s="6"/>
      <c r="NK138" s="4"/>
      <c r="NL138" s="8"/>
      <c r="NM138" s="5" t="str">
        <f t="shared" si="543"/>
        <v>NO APLICA</v>
      </c>
      <c r="NN138" s="2"/>
      <c r="NO138" s="2"/>
      <c r="NP138" s="4"/>
      <c r="NQ138" s="2"/>
      <c r="NR138" s="5" t="str">
        <f t="shared" si="544"/>
        <v>NO APLICA</v>
      </c>
      <c r="NS138" s="2"/>
      <c r="NT138" s="2"/>
      <c r="NU138" s="2"/>
      <c r="NV138" s="2"/>
      <c r="NW138" s="5" t="str">
        <f t="shared" si="545"/>
        <v>NO APLICA</v>
      </c>
      <c r="NX138" s="6"/>
      <c r="NY138" s="6"/>
      <c r="NZ138" s="4"/>
      <c r="OA138" s="8"/>
      <c r="OB138" s="5" t="str">
        <f t="shared" si="546"/>
        <v>NO APLICA</v>
      </c>
      <c r="OC138" s="6"/>
      <c r="OD138" s="6"/>
      <c r="OE138" s="6"/>
      <c r="OF138" s="6"/>
      <c r="OG138" s="5" t="str">
        <f t="shared" si="547"/>
        <v>NO APLICA</v>
      </c>
      <c r="OH138" s="6"/>
      <c r="OI138" s="6"/>
      <c r="OJ138" s="4"/>
      <c r="OK138" s="8"/>
      <c r="OL138" s="5" t="str">
        <f t="shared" si="548"/>
        <v>NO APLICA</v>
      </c>
      <c r="OM138" s="6"/>
      <c r="ON138" s="6"/>
      <c r="OO138" s="6"/>
      <c r="OP138" s="6"/>
      <c r="OQ138" s="5" t="str">
        <f t="shared" si="549"/>
        <v>NO APLICA</v>
      </c>
      <c r="OR138" s="6"/>
      <c r="OS138" s="6"/>
      <c r="OT138" s="6"/>
      <c r="OU138" s="6"/>
      <c r="OV138" s="5" t="str">
        <f t="shared" si="550"/>
        <v>NO APLICA</v>
      </c>
      <c r="OW138" s="4"/>
      <c r="OX138" s="4">
        <v>44770</v>
      </c>
      <c r="OY138" s="4">
        <f>DATE(YEAR(OX138)+5,MONTH(OX138),DAY(OX138))</f>
        <v>46596</v>
      </c>
      <c r="OZ138" s="8">
        <f ca="1">OY138-TODAY()</f>
        <v>451</v>
      </c>
      <c r="PA138" s="5" t="str">
        <f t="shared" ca="1" si="551"/>
        <v>VIGENTE</v>
      </c>
      <c r="PB138" s="6"/>
      <c r="PC138" s="6"/>
      <c r="PD138" s="6"/>
      <c r="PE138" s="6"/>
      <c r="PF138" s="5" t="str">
        <f t="shared" si="552"/>
        <v>NO APLICA</v>
      </c>
      <c r="PG138" s="6"/>
      <c r="PH138" s="6"/>
      <c r="PI138" s="6"/>
      <c r="PJ138" s="6"/>
      <c r="PK138" s="5" t="str">
        <f t="shared" si="553"/>
        <v>NO APLICA</v>
      </c>
      <c r="PL138" s="5"/>
      <c r="PM138" s="4">
        <v>44627</v>
      </c>
      <c r="PN138" s="4">
        <f>DATE(YEAR(PM138)+5,MONTH(PM138),DAY(PM138))</f>
        <v>46453</v>
      </c>
      <c r="PO138" s="8">
        <f ca="1">PN138-TODAY()</f>
        <v>308</v>
      </c>
      <c r="PP138" s="5" t="str">
        <f t="shared" ca="1" si="554"/>
        <v>VIGENTE</v>
      </c>
      <c r="PQ138" s="6"/>
      <c r="PR138" s="6"/>
      <c r="PS138" s="6"/>
      <c r="PT138" s="6"/>
      <c r="PU138" s="5" t="str">
        <f t="shared" si="555"/>
        <v>NO APLICA</v>
      </c>
      <c r="PV138" s="5"/>
      <c r="PW138" s="6"/>
      <c r="PX138" s="6"/>
      <c r="PY138" s="6"/>
      <c r="PZ138" s="5" t="str">
        <f t="shared" si="556"/>
        <v>NO APLICA</v>
      </c>
    </row>
    <row r="139" spans="1:442" ht="15.6" hidden="1" thickTop="1" thickBot="1" x14ac:dyDescent="0.35">
      <c r="A139" s="26">
        <v>136</v>
      </c>
      <c r="B139" s="31">
        <v>1638</v>
      </c>
      <c r="C139" s="28" t="s">
        <v>454</v>
      </c>
      <c r="D139" s="29" t="s">
        <v>113</v>
      </c>
      <c r="E139" s="30" t="s">
        <v>174</v>
      </c>
      <c r="F139" s="5"/>
      <c r="G139" s="6"/>
      <c r="H139" s="4"/>
      <c r="I139" s="8"/>
      <c r="J139" s="5" t="str">
        <f t="shared" si="455"/>
        <v>NO APLICA</v>
      </c>
      <c r="K139" s="5"/>
      <c r="L139" s="6"/>
      <c r="M139" s="6"/>
      <c r="N139" s="8"/>
      <c r="O139" s="5" t="str">
        <f t="shared" si="456"/>
        <v>NO APLICA</v>
      </c>
      <c r="P139" s="6"/>
      <c r="Q139" s="6"/>
      <c r="R139" s="4"/>
      <c r="S139" s="8"/>
      <c r="T139" s="5" t="str">
        <f t="shared" si="557"/>
        <v>NO APLICA</v>
      </c>
      <c r="U139" s="5"/>
      <c r="V139" s="2" t="s">
        <v>455</v>
      </c>
      <c r="W139" s="4">
        <v>44944</v>
      </c>
      <c r="X139" s="4">
        <f t="shared" si="410"/>
        <v>46770</v>
      </c>
      <c r="Y139" s="8">
        <f t="shared" ca="1" si="411"/>
        <v>625</v>
      </c>
      <c r="Z139" s="5" t="str">
        <f t="shared" ca="1" si="412"/>
        <v>VIGENTE</v>
      </c>
      <c r="AA139" s="5"/>
      <c r="AB139" s="2"/>
      <c r="AC139" s="6"/>
      <c r="AD139" s="4"/>
      <c r="AE139" s="8"/>
      <c r="AF139" s="5" t="str">
        <f t="shared" si="457"/>
        <v>NO APLICA</v>
      </c>
      <c r="AG139" s="3"/>
      <c r="AH139" s="4">
        <v>45902</v>
      </c>
      <c r="AI139" s="4">
        <f>DATE(YEAR(AH139)+2,MONTH(AH139),DAY(AH139))</f>
        <v>46632</v>
      </c>
      <c r="AJ139" s="8">
        <f t="shared" ca="1" si="458"/>
        <v>487</v>
      </c>
      <c r="AK139" s="5" t="str">
        <f t="shared" ca="1" si="408"/>
        <v>VIGENTE</v>
      </c>
      <c r="AL139" s="2"/>
      <c r="AM139" s="4">
        <v>45926</v>
      </c>
      <c r="AN139" s="4">
        <f>DATE(YEAR(AM139)+2,MONTH(AM139),DAY(AM139))</f>
        <v>46656</v>
      </c>
      <c r="AO139" s="8">
        <f t="shared" ca="1" si="459"/>
        <v>511</v>
      </c>
      <c r="AP139" s="5" t="str">
        <f t="shared" ca="1" si="460"/>
        <v>VIGENTE</v>
      </c>
      <c r="AQ139" s="2"/>
      <c r="AR139" s="4">
        <v>45904</v>
      </c>
      <c r="AS139" s="4">
        <f>DATE(YEAR(AR139)+2,MONTH(AR139),DAY(AR139))</f>
        <v>46634</v>
      </c>
      <c r="AT139" s="8">
        <f t="shared" ca="1" si="461"/>
        <v>489</v>
      </c>
      <c r="AU139" s="5" t="str">
        <f t="shared" ca="1" si="462"/>
        <v>VIGENTE</v>
      </c>
      <c r="AV139" s="2"/>
      <c r="AW139" s="4">
        <v>45927</v>
      </c>
      <c r="AX139" s="4">
        <f>DATE(YEAR(AW139)+2,MONTH(AW139),DAY(AW139))</f>
        <v>46657</v>
      </c>
      <c r="AY139" s="8">
        <f t="shared" ca="1" si="463"/>
        <v>512</v>
      </c>
      <c r="AZ139" s="5" t="str">
        <f t="shared" ca="1" si="464"/>
        <v>VIGENTE</v>
      </c>
      <c r="BA139" s="3"/>
      <c r="BB139" s="4">
        <v>45901</v>
      </c>
      <c r="BC139" s="4">
        <f>DATE(YEAR(BB139)+2,MONTH(BB139),DAY(BB139))</f>
        <v>46631</v>
      </c>
      <c r="BD139" s="8">
        <f t="shared" ca="1" si="465"/>
        <v>486</v>
      </c>
      <c r="BE139" s="5" t="str">
        <f t="shared" ca="1" si="466"/>
        <v>VIGENTE</v>
      </c>
      <c r="BF139" s="3"/>
      <c r="BG139" s="4">
        <v>45968</v>
      </c>
      <c r="BH139" s="4">
        <f>DATE(YEAR(BG139)+2,MONTH(BG139),DAY(BG139))</f>
        <v>46698</v>
      </c>
      <c r="BI139" s="8">
        <f t="shared" ca="1" si="467"/>
        <v>553</v>
      </c>
      <c r="BJ139" s="5" t="str">
        <f t="shared" ca="1" si="468"/>
        <v>VIGENTE</v>
      </c>
      <c r="BK139" s="3"/>
      <c r="BL139" s="4">
        <v>45976</v>
      </c>
      <c r="BM139" s="4">
        <f>DATE(YEAR(BL139)+2,MONTH(BL139),DAY(BL139))</f>
        <v>46706</v>
      </c>
      <c r="BN139" s="8">
        <f t="shared" ca="1" si="469"/>
        <v>561</v>
      </c>
      <c r="BO139" s="5" t="str">
        <f t="shared" ca="1" si="470"/>
        <v>VIGENTE</v>
      </c>
      <c r="BP139" s="3"/>
      <c r="BQ139" s="39">
        <v>45988</v>
      </c>
      <c r="BR139" s="4">
        <f>DATE(YEAR(BQ139)+2,MONTH(BQ139),DAY(BQ139))</f>
        <v>46718</v>
      </c>
      <c r="BS139" s="8">
        <f t="shared" ca="1" si="471"/>
        <v>573</v>
      </c>
      <c r="BT139" s="5" t="str">
        <f t="shared" ca="1" si="472"/>
        <v>VIGENTE</v>
      </c>
      <c r="BU139" s="3"/>
      <c r="BV139" s="4">
        <v>45950</v>
      </c>
      <c r="BW139" s="4">
        <f>DATE(YEAR(BV139)+2,MONTH(BV139),DAY(BV139))</f>
        <v>46680</v>
      </c>
      <c r="BX139" s="8">
        <f t="shared" ca="1" si="473"/>
        <v>535</v>
      </c>
      <c r="BY139" s="5" t="str">
        <f t="shared" ca="1" si="474"/>
        <v>VIGENTE</v>
      </c>
      <c r="BZ139" s="2"/>
      <c r="CA139" s="4">
        <v>45944</v>
      </c>
      <c r="CB139" s="4">
        <f>DATE(YEAR(CA139)+2,MONTH(CA139),DAY(CA139))</f>
        <v>46674</v>
      </c>
      <c r="CC139" s="8">
        <f t="shared" ca="1" si="475"/>
        <v>529</v>
      </c>
      <c r="CD139" s="5" t="str">
        <f t="shared" ca="1" si="476"/>
        <v>VIGENTE</v>
      </c>
      <c r="CE139" s="6"/>
      <c r="CF139" s="4">
        <v>45832</v>
      </c>
      <c r="CG139" s="4">
        <f t="shared" si="416"/>
        <v>47293</v>
      </c>
      <c r="CH139" s="8">
        <f t="shared" ca="1" si="417"/>
        <v>1148</v>
      </c>
      <c r="CI139" s="5" t="str">
        <f t="shared" ca="1" si="418"/>
        <v>VIGENTE</v>
      </c>
      <c r="CJ139" s="6"/>
      <c r="CK139" s="4">
        <v>45929</v>
      </c>
      <c r="CL139" s="4">
        <f>DATE(YEAR(CK139)+2,MONTH(CK139),DAY(CK139))</f>
        <v>46659</v>
      </c>
      <c r="CM139" s="8">
        <f t="shared" ca="1" si="477"/>
        <v>514</v>
      </c>
      <c r="CN139" s="5" t="str">
        <f t="shared" ca="1" si="478"/>
        <v>VIGENTE</v>
      </c>
      <c r="CO139" s="3"/>
      <c r="CP139" s="39">
        <v>45882</v>
      </c>
      <c r="CQ139" s="4">
        <f>DATE(YEAR(CP139)+2,MONTH(CP139),DAY(CP139))</f>
        <v>46612</v>
      </c>
      <c r="CR139" s="8">
        <f t="shared" ca="1" si="479"/>
        <v>467</v>
      </c>
      <c r="CS139" s="5" t="str">
        <f t="shared" ca="1" si="480"/>
        <v>VIGENTE</v>
      </c>
      <c r="CT139" s="3"/>
      <c r="CU139" s="4">
        <v>45965</v>
      </c>
      <c r="CV139" s="4">
        <f>DATE(YEAR(CU139)+2,MONTH(CU139),DAY(CU139))</f>
        <v>46695</v>
      </c>
      <c r="CW139" s="8">
        <f t="shared" ca="1" si="481"/>
        <v>550</v>
      </c>
      <c r="CX139" s="5" t="str">
        <f t="shared" ca="1" si="482"/>
        <v>VIGENTE</v>
      </c>
      <c r="CY139" s="3"/>
      <c r="CZ139" s="4">
        <v>45843</v>
      </c>
      <c r="DA139" s="4">
        <f>DATE(YEAR(CZ139)+2,MONTH(CZ139),DAY(CZ139))</f>
        <v>46573</v>
      </c>
      <c r="DB139" s="8">
        <f t="shared" ca="1" si="483"/>
        <v>428</v>
      </c>
      <c r="DC139" s="5" t="str">
        <f t="shared" ca="1" si="484"/>
        <v>VIGENTE</v>
      </c>
      <c r="DD139" s="3"/>
      <c r="DE139" s="39">
        <v>45896</v>
      </c>
      <c r="DF139" s="4">
        <f>DATE(YEAR(DE139)+2,MONTH(DE139),DAY(DE139))</f>
        <v>46626</v>
      </c>
      <c r="DG139" s="8">
        <f t="shared" ca="1" si="485"/>
        <v>481</v>
      </c>
      <c r="DH139" s="5" t="str">
        <f t="shared" ca="1" si="486"/>
        <v>VIGENTE</v>
      </c>
      <c r="DI139" s="2"/>
      <c r="DJ139" s="39">
        <v>45975</v>
      </c>
      <c r="DK139" s="4">
        <f>DATE(YEAR(DJ139)+2,MONTH(DJ139),DAY(DJ139))</f>
        <v>46705</v>
      </c>
      <c r="DL139" s="8">
        <f t="shared" ca="1" si="487"/>
        <v>560</v>
      </c>
      <c r="DM139" s="5" t="str">
        <f t="shared" ca="1" si="488"/>
        <v>VIGENTE</v>
      </c>
      <c r="DN139" s="4"/>
      <c r="DO139" s="4">
        <v>45873</v>
      </c>
      <c r="DP139" s="4">
        <f>DATE(YEAR(DO139)+2,MONTH(DO139),DAY(DO139))</f>
        <v>46603</v>
      </c>
      <c r="DQ139" s="8">
        <f t="shared" ca="1" si="489"/>
        <v>458</v>
      </c>
      <c r="DR139" s="5" t="str">
        <f t="shared" ca="1" si="490"/>
        <v>VIGENTE</v>
      </c>
      <c r="DS139" s="4"/>
      <c r="DT139" s="4">
        <v>46018</v>
      </c>
      <c r="DU139" s="4">
        <f>DATE(YEAR(DT139)+2,MONTH(DT139),DAY(DT139))</f>
        <v>46748</v>
      </c>
      <c r="DV139" s="8">
        <f t="shared" ca="1" si="491"/>
        <v>603</v>
      </c>
      <c r="DW139" s="5" t="str">
        <f t="shared" ca="1" si="492"/>
        <v>VIGENTE</v>
      </c>
      <c r="DX139" s="3"/>
      <c r="DY139" s="4">
        <v>45915</v>
      </c>
      <c r="DZ139" s="4">
        <f>DATE(YEAR(DY139)+2,MONTH(DY139),DAY(DY139))</f>
        <v>46645</v>
      </c>
      <c r="EA139" s="8">
        <f t="shared" ca="1" si="493"/>
        <v>500</v>
      </c>
      <c r="EB139" s="5" t="str">
        <f t="shared" ca="1" si="494"/>
        <v>VIGENTE</v>
      </c>
      <c r="EC139" s="3"/>
      <c r="ED139" s="39">
        <v>45938</v>
      </c>
      <c r="EE139" s="4">
        <f>DATE(YEAR(ED139)+2,MONTH(ED139),DAY(ED139))</f>
        <v>46668</v>
      </c>
      <c r="EF139" s="8">
        <f t="shared" ca="1" si="495"/>
        <v>523</v>
      </c>
      <c r="EG139" s="5" t="str">
        <f t="shared" ca="1" si="496"/>
        <v>VIGENTE</v>
      </c>
      <c r="EH139" s="3"/>
      <c r="EI139" s="3">
        <v>46002</v>
      </c>
      <c r="EJ139" s="4">
        <f t="shared" si="558"/>
        <v>46367</v>
      </c>
      <c r="EK139" s="8">
        <f t="shared" ca="1" si="497"/>
        <v>222</v>
      </c>
      <c r="EL139" s="5" t="str">
        <f t="shared" ca="1" si="498"/>
        <v>VIGENTE</v>
      </c>
      <c r="EM139" s="3"/>
      <c r="EN139" s="4">
        <v>45940</v>
      </c>
      <c r="EO139" s="4">
        <f>DATE(YEAR(EN139)+2,MONTH(EN139),DAY(EN139))</f>
        <v>46670</v>
      </c>
      <c r="EP139" s="8">
        <f t="shared" ca="1" si="499"/>
        <v>525</v>
      </c>
      <c r="EQ139" s="5" t="str">
        <f t="shared" ca="1" si="500"/>
        <v>VIGENTE</v>
      </c>
      <c r="ER139" s="3"/>
      <c r="ES139" s="39">
        <v>45993</v>
      </c>
      <c r="ET139" s="4">
        <f>DATE(YEAR(ES139)+2,MONTH(ES139),DAY(ES139))</f>
        <v>46723</v>
      </c>
      <c r="EU139" s="8">
        <f t="shared" ca="1" si="501"/>
        <v>578</v>
      </c>
      <c r="EV139" s="5" t="str">
        <f t="shared" ca="1" si="502"/>
        <v>VIGENTE</v>
      </c>
      <c r="EW139" s="2"/>
      <c r="EX139" s="4">
        <v>45917</v>
      </c>
      <c r="EY139" s="4">
        <f>DATE(YEAR(EX139)+2,MONTH(EX139),DAY(EX139))</f>
        <v>46647</v>
      </c>
      <c r="EZ139" s="8">
        <f t="shared" ca="1" si="503"/>
        <v>502</v>
      </c>
      <c r="FA139" s="5" t="str">
        <f t="shared" ca="1" si="504"/>
        <v>VIGENTE</v>
      </c>
      <c r="FB139" s="2"/>
      <c r="FC139" s="4">
        <v>45931</v>
      </c>
      <c r="FD139" s="4">
        <f>DATE(YEAR(FC139)+2,MONTH(FC139),DAY(FC139))</f>
        <v>46661</v>
      </c>
      <c r="FE139" s="8">
        <f t="shared" ca="1" si="505"/>
        <v>516</v>
      </c>
      <c r="FF139" s="5" t="str">
        <f t="shared" ca="1" si="506"/>
        <v>VIGENTE</v>
      </c>
      <c r="FG139" s="2"/>
      <c r="FH139" s="4">
        <v>45932</v>
      </c>
      <c r="FI139" s="4">
        <f>DATE(YEAR(FH139)+2,MONTH(FH139),DAY(FH139))</f>
        <v>46662</v>
      </c>
      <c r="FJ139" s="8">
        <f t="shared" ca="1" si="507"/>
        <v>517</v>
      </c>
      <c r="FK139" s="5" t="str">
        <f t="shared" ca="1" si="508"/>
        <v>VIGENTE</v>
      </c>
      <c r="FL139" s="3"/>
      <c r="FM139" s="39">
        <v>45933</v>
      </c>
      <c r="FN139" s="4">
        <f>DATE(YEAR(FM139)+2,MONTH(FM139),DAY(FM139))</f>
        <v>46663</v>
      </c>
      <c r="FO139" s="8">
        <f t="shared" ca="1" si="509"/>
        <v>518</v>
      </c>
      <c r="FP139" s="5" t="str">
        <f t="shared" ca="1" si="510"/>
        <v>VIGENTE</v>
      </c>
      <c r="FQ139" s="3"/>
      <c r="FR139" s="39">
        <v>45957</v>
      </c>
      <c r="FS139" s="4">
        <f>DATE(YEAR(FR139)+2,MONTH(FR139),DAY(FR139))</f>
        <v>46687</v>
      </c>
      <c r="FT139" s="8">
        <f t="shared" ca="1" si="511"/>
        <v>542</v>
      </c>
      <c r="FU139" s="5" t="str">
        <f t="shared" ca="1" si="512"/>
        <v>VIGENTE</v>
      </c>
      <c r="FV139" s="3"/>
      <c r="FW139" s="4">
        <v>45941</v>
      </c>
      <c r="FX139" s="4">
        <f>DATE(YEAR(FW139)+2,MONTH(FW139),DAY(FW139))</f>
        <v>46671</v>
      </c>
      <c r="FY139" s="8">
        <f t="shared" ca="1" si="513"/>
        <v>526</v>
      </c>
      <c r="FZ139" s="5" t="str">
        <f t="shared" ca="1" si="514"/>
        <v>VIGENTE</v>
      </c>
      <c r="GA139" s="3"/>
      <c r="GB139" s="4">
        <v>45833</v>
      </c>
      <c r="GC139" s="4">
        <f>DATE(YEAR(GB139)+2,MONTH(GB139),DAY(GB139))</f>
        <v>46563</v>
      </c>
      <c r="GD139" s="8">
        <f t="shared" ca="1" si="515"/>
        <v>418</v>
      </c>
      <c r="GE139" s="5" t="str">
        <f t="shared" ca="1" si="516"/>
        <v>VIGENTE</v>
      </c>
      <c r="GF139" s="3"/>
      <c r="GG139" s="4">
        <v>45960</v>
      </c>
      <c r="GH139" s="4">
        <f>DATE(YEAR(GG139)+2,MONTH(GG139),DAY(GG139))</f>
        <v>46690</v>
      </c>
      <c r="GI139" s="8">
        <f t="shared" ca="1" si="517"/>
        <v>545</v>
      </c>
      <c r="GJ139" s="5" t="str">
        <f t="shared" ca="1" si="518"/>
        <v>VIGENTE</v>
      </c>
      <c r="GK139" s="3"/>
      <c r="GL139" s="4">
        <v>45945</v>
      </c>
      <c r="GM139" s="4">
        <f>DATE(YEAR(GL139)+2,MONTH(GL139),DAY(GL139))</f>
        <v>46675</v>
      </c>
      <c r="GN139" s="8">
        <f t="shared" ca="1" si="519"/>
        <v>530</v>
      </c>
      <c r="GO139" s="5" t="str">
        <f t="shared" ca="1" si="520"/>
        <v>VIGENTE</v>
      </c>
      <c r="GP139" s="4"/>
      <c r="GQ139" s="4">
        <v>45181</v>
      </c>
      <c r="GR139" s="4">
        <f t="shared" si="521"/>
        <v>47008</v>
      </c>
      <c r="GS139" s="8">
        <f t="shared" ca="1" si="405"/>
        <v>863</v>
      </c>
      <c r="GT139" s="5" t="str">
        <f t="shared" ca="1" si="419"/>
        <v>VIGENTE</v>
      </c>
      <c r="GU139" s="3"/>
      <c r="GV139" s="4">
        <v>45267</v>
      </c>
      <c r="GW139" s="4">
        <f t="shared" si="522"/>
        <v>47094</v>
      </c>
      <c r="GX139" s="8">
        <f t="shared" ca="1" si="523"/>
        <v>949</v>
      </c>
      <c r="GY139" s="5" t="str">
        <f t="shared" ca="1" si="426"/>
        <v>VIGENTE</v>
      </c>
      <c r="GZ139" s="2"/>
      <c r="HA139" s="4">
        <v>45251</v>
      </c>
      <c r="HB139" s="4">
        <f t="shared" si="524"/>
        <v>47078</v>
      </c>
      <c r="HC139" s="8">
        <f t="shared" ca="1" si="525"/>
        <v>933</v>
      </c>
      <c r="HD139" s="5" t="str">
        <f t="shared" ca="1" si="421"/>
        <v>VIGENTE</v>
      </c>
      <c r="HE139" s="6"/>
      <c r="HF139" s="6"/>
      <c r="HG139" s="4"/>
      <c r="HH139" s="8"/>
      <c r="HI139" s="5" t="str">
        <f t="shared" si="427"/>
        <v>NO APLICA</v>
      </c>
      <c r="HJ139" s="2"/>
      <c r="HK139" s="6"/>
      <c r="HL139" s="4"/>
      <c r="HM139" s="8"/>
      <c r="HN139" s="5" t="str">
        <f t="shared" si="444"/>
        <v>NO APLICA</v>
      </c>
      <c r="HO139" s="2"/>
      <c r="HP139" s="2"/>
      <c r="HQ139" s="4"/>
      <c r="HR139" s="2"/>
      <c r="HS139" s="5" t="str">
        <f t="shared" si="526"/>
        <v>NO APLICA</v>
      </c>
      <c r="HT139" s="2"/>
      <c r="HU139" s="6"/>
      <c r="HV139" s="4"/>
      <c r="HW139" s="8"/>
      <c r="HX139" s="5" t="str">
        <f t="shared" si="527"/>
        <v>NO APLICA</v>
      </c>
      <c r="HY139" s="2"/>
      <c r="HZ139" s="6"/>
      <c r="IA139" s="4"/>
      <c r="IB139" s="8"/>
      <c r="IC139" s="5" t="str">
        <f t="shared" si="528"/>
        <v>NO APLICA</v>
      </c>
      <c r="ID139" s="2"/>
      <c r="IE139" s="6"/>
      <c r="IF139" s="4"/>
      <c r="IG139" s="8"/>
      <c r="IH139" s="5" t="str">
        <f t="shared" si="529"/>
        <v>NO APLICA</v>
      </c>
      <c r="II139" s="6"/>
      <c r="IJ139" s="6"/>
      <c r="IK139" s="4"/>
      <c r="IL139" s="8"/>
      <c r="IM139" s="5" t="str">
        <f t="shared" si="530"/>
        <v>NO APLICA</v>
      </c>
      <c r="IN139" s="2"/>
      <c r="IO139" s="6"/>
      <c r="IP139" s="4"/>
      <c r="IQ139" s="8"/>
      <c r="IR139" s="5" t="str">
        <f t="shared" si="531"/>
        <v>NO APLICA</v>
      </c>
      <c r="IS139" s="2"/>
      <c r="IT139" s="6"/>
      <c r="IU139" s="4"/>
      <c r="IV139" s="8"/>
      <c r="IW139" s="5" t="str">
        <f t="shared" si="532"/>
        <v>NO APLICA</v>
      </c>
      <c r="IX139" s="2"/>
      <c r="IY139" s="6"/>
      <c r="IZ139" s="4"/>
      <c r="JA139" s="8"/>
      <c r="JB139" s="5" t="str">
        <f t="shared" si="533"/>
        <v>NO APLICA</v>
      </c>
      <c r="JC139" s="3" t="s">
        <v>780</v>
      </c>
      <c r="JD139" s="3"/>
      <c r="JE139" s="4"/>
      <c r="JF139" s="8"/>
      <c r="JG139" s="5"/>
      <c r="JH139" s="3" t="s">
        <v>780</v>
      </c>
      <c r="JI139" s="6"/>
      <c r="JJ139" s="6"/>
      <c r="JK139" s="6"/>
      <c r="JL139" s="5"/>
      <c r="JM139" s="6" t="s">
        <v>780</v>
      </c>
      <c r="JN139" s="6"/>
      <c r="JO139" s="6"/>
      <c r="JP139" s="6"/>
      <c r="JQ139" s="5"/>
      <c r="JR139" s="6" t="s">
        <v>780</v>
      </c>
      <c r="JS139" s="6"/>
      <c r="JT139" s="6"/>
      <c r="JU139" s="6"/>
      <c r="JV139" s="5"/>
      <c r="JW139" s="6" t="s">
        <v>780</v>
      </c>
      <c r="JX139" s="5"/>
      <c r="JY139" s="5"/>
      <c r="JZ139" s="5"/>
      <c r="KA139" s="5"/>
      <c r="KB139" s="5"/>
      <c r="KC139" s="2"/>
      <c r="KD139" s="4"/>
      <c r="KE139" s="8"/>
      <c r="KF139" s="5" t="str">
        <f t="shared" si="534"/>
        <v>NO APLICA</v>
      </c>
      <c r="KG139" s="5"/>
      <c r="KH139" s="2"/>
      <c r="KI139" s="4"/>
      <c r="KJ139" s="8"/>
      <c r="KK139" s="5" t="str">
        <f t="shared" si="559"/>
        <v>NO APLICA</v>
      </c>
      <c r="KL139" s="5"/>
      <c r="KM139" s="2"/>
      <c r="KN139" s="4"/>
      <c r="KO139" s="8"/>
      <c r="KP139" s="5" t="str">
        <f t="shared" si="535"/>
        <v>NO APLICA</v>
      </c>
      <c r="KQ139" s="5"/>
      <c r="KR139" s="2"/>
      <c r="KS139" s="4"/>
      <c r="KT139" s="8"/>
      <c r="KU139" s="5" t="str">
        <f t="shared" si="560"/>
        <v>NO APLICA</v>
      </c>
      <c r="KV139" s="2"/>
      <c r="KW139" s="6"/>
      <c r="KX139" s="4"/>
      <c r="KY139" s="8"/>
      <c r="KZ139" s="5" t="str">
        <f t="shared" si="565"/>
        <v>NO APLICA</v>
      </c>
      <c r="LA139" s="5"/>
      <c r="LB139" s="6"/>
      <c r="LC139" s="4"/>
      <c r="LD139" s="8"/>
      <c r="LE139" s="5" t="str">
        <f t="shared" si="561"/>
        <v>NO APLICA</v>
      </c>
      <c r="LF139" s="6"/>
      <c r="LG139" s="6"/>
      <c r="LH139" s="4"/>
      <c r="LI139" s="8"/>
      <c r="LJ139" s="5" t="str">
        <f t="shared" si="567"/>
        <v>NO APLICA</v>
      </c>
      <c r="LK139" s="5"/>
      <c r="LL139" s="5"/>
      <c r="LM139" s="4"/>
      <c r="LN139" s="8"/>
      <c r="LO139" s="5" t="str">
        <f t="shared" si="566"/>
        <v>NO APLICA</v>
      </c>
      <c r="LP139" s="2"/>
      <c r="LQ139" s="6"/>
      <c r="LR139" s="4"/>
      <c r="LS139" s="8"/>
      <c r="LT139" s="5" t="str">
        <f t="shared" si="562"/>
        <v>NO APLICA</v>
      </c>
      <c r="LU139" s="6"/>
      <c r="LV139" s="6"/>
      <c r="LW139" s="4"/>
      <c r="LX139" s="8"/>
      <c r="LY139" s="5" t="str">
        <f t="shared" si="563"/>
        <v>NO APLICA</v>
      </c>
      <c r="LZ139" s="6"/>
      <c r="MA139" s="6"/>
      <c r="MB139" s="4"/>
      <c r="MC139" s="8"/>
      <c r="MD139" s="5" t="str">
        <f t="shared" si="564"/>
        <v>NO APLICA</v>
      </c>
      <c r="ME139" s="2"/>
      <c r="MF139" s="2"/>
      <c r="MG139" s="4"/>
      <c r="MH139" s="8"/>
      <c r="MI139" s="5" t="str">
        <f t="shared" si="537"/>
        <v>NO APLICA</v>
      </c>
      <c r="MJ139" s="2"/>
      <c r="MK139" s="2"/>
      <c r="ML139" s="4"/>
      <c r="MM139" s="8"/>
      <c r="MN139" s="5" t="str">
        <f t="shared" si="538"/>
        <v>NO APLICA</v>
      </c>
      <c r="MO139" s="5"/>
      <c r="MP139" s="2"/>
      <c r="MQ139" s="4"/>
      <c r="MR139" s="8"/>
      <c r="MS139" s="5" t="str">
        <f t="shared" si="539"/>
        <v>NO APLICA</v>
      </c>
      <c r="MT139" s="5"/>
      <c r="MU139" s="2"/>
      <c r="MV139" s="4"/>
      <c r="MW139" s="2"/>
      <c r="MX139" s="5" t="str">
        <f t="shared" si="540"/>
        <v>NO APLICA</v>
      </c>
      <c r="MY139" s="2"/>
      <c r="MZ139" s="6"/>
      <c r="NA139" s="4"/>
      <c r="NB139" s="8"/>
      <c r="NC139" s="5" t="str">
        <f t="shared" si="541"/>
        <v>NO APLICA</v>
      </c>
      <c r="ND139" s="2"/>
      <c r="NE139" s="6"/>
      <c r="NF139" s="4"/>
      <c r="NG139" s="8"/>
      <c r="NH139" s="5" t="str">
        <f t="shared" si="542"/>
        <v>NO APLICA</v>
      </c>
      <c r="NI139" s="2"/>
      <c r="NJ139" s="6"/>
      <c r="NK139" s="4"/>
      <c r="NL139" s="8"/>
      <c r="NM139" s="5" t="str">
        <f t="shared" si="543"/>
        <v>NO APLICA</v>
      </c>
      <c r="NN139" s="2"/>
      <c r="NO139" s="2"/>
      <c r="NP139" s="4"/>
      <c r="NQ139" s="8"/>
      <c r="NR139" s="5" t="str">
        <f t="shared" si="544"/>
        <v>NO APLICA</v>
      </c>
      <c r="NS139" s="2"/>
      <c r="NT139" s="2"/>
      <c r="NU139" s="4"/>
      <c r="NV139" s="2"/>
      <c r="NW139" s="5" t="str">
        <f t="shared" si="545"/>
        <v>NO APLICA</v>
      </c>
      <c r="NX139" s="6"/>
      <c r="NY139" s="6"/>
      <c r="NZ139" s="4"/>
      <c r="OA139" s="8"/>
      <c r="OB139" s="5" t="str">
        <f t="shared" si="546"/>
        <v>NO APLICA</v>
      </c>
      <c r="OC139" s="6"/>
      <c r="OD139" s="6"/>
      <c r="OE139" s="6"/>
      <c r="OF139" s="6"/>
      <c r="OG139" s="5" t="str">
        <f t="shared" si="547"/>
        <v>NO APLICA</v>
      </c>
      <c r="OH139" s="2"/>
      <c r="OI139" s="2"/>
      <c r="OJ139" s="4"/>
      <c r="OK139" s="8"/>
      <c r="OL139" s="5" t="str">
        <f t="shared" si="548"/>
        <v>NO APLICA</v>
      </c>
      <c r="OM139" s="6"/>
      <c r="ON139" s="6"/>
      <c r="OO139" s="6"/>
      <c r="OP139" s="6"/>
      <c r="OQ139" s="5" t="str">
        <f t="shared" si="549"/>
        <v>NO APLICA</v>
      </c>
      <c r="OR139" s="6"/>
      <c r="OS139" s="6"/>
      <c r="OT139" s="6"/>
      <c r="OU139" s="6"/>
      <c r="OV139" s="5" t="str">
        <f t="shared" si="550"/>
        <v>NO APLICA</v>
      </c>
      <c r="OW139" s="6"/>
      <c r="OX139" s="6"/>
      <c r="OY139" s="6"/>
      <c r="OZ139" s="6"/>
      <c r="PA139" s="5" t="str">
        <f t="shared" si="551"/>
        <v>NO APLICA</v>
      </c>
      <c r="PB139" s="6"/>
      <c r="PC139" s="6"/>
      <c r="PD139" s="6"/>
      <c r="PE139" s="6"/>
      <c r="PF139" s="5" t="str">
        <f t="shared" si="552"/>
        <v>NO APLICA</v>
      </c>
      <c r="PG139" s="6"/>
      <c r="PH139" s="6"/>
      <c r="PI139" s="6"/>
      <c r="PJ139" s="6"/>
      <c r="PK139" s="5" t="str">
        <f t="shared" si="553"/>
        <v>NO APLICA</v>
      </c>
      <c r="PL139" s="5"/>
      <c r="PM139" s="6"/>
      <c r="PN139" s="4"/>
      <c r="PO139" s="8"/>
      <c r="PP139" s="5" t="str">
        <f t="shared" si="554"/>
        <v>NO APLICA</v>
      </c>
      <c r="PQ139" s="6"/>
      <c r="PR139" s="6"/>
      <c r="PS139" s="6"/>
      <c r="PT139" s="6"/>
      <c r="PU139" s="5" t="str">
        <f t="shared" si="555"/>
        <v>NO APLICA</v>
      </c>
      <c r="PV139" s="5"/>
      <c r="PW139" s="6"/>
      <c r="PX139" s="6"/>
      <c r="PY139" s="6"/>
      <c r="PZ139" s="5" t="str">
        <f t="shared" si="556"/>
        <v>NO APLICA</v>
      </c>
    </row>
    <row r="140" spans="1:442" ht="15.6" hidden="1" thickTop="1" thickBot="1" x14ac:dyDescent="0.35">
      <c r="A140" s="26">
        <v>137</v>
      </c>
      <c r="B140" s="27">
        <v>469</v>
      </c>
      <c r="C140" s="28" t="s">
        <v>763</v>
      </c>
      <c r="D140" s="29" t="s">
        <v>68</v>
      </c>
      <c r="E140" s="30" t="s">
        <v>456</v>
      </c>
      <c r="F140" s="5"/>
      <c r="G140" s="6"/>
      <c r="H140" s="4"/>
      <c r="I140" s="8"/>
      <c r="J140" s="5" t="str">
        <f t="shared" si="455"/>
        <v>NO APLICA</v>
      </c>
      <c r="K140" s="5"/>
      <c r="L140" s="6"/>
      <c r="M140" s="6"/>
      <c r="N140" s="8"/>
      <c r="O140" s="5" t="str">
        <f t="shared" si="456"/>
        <v>NO APLICA</v>
      </c>
      <c r="P140" s="6"/>
      <c r="Q140" s="6"/>
      <c r="R140" s="4"/>
      <c r="S140" s="8"/>
      <c r="T140" s="5" t="str">
        <f t="shared" si="557"/>
        <v>NO APLICA</v>
      </c>
      <c r="U140" s="5"/>
      <c r="V140" s="2" t="s">
        <v>457</v>
      </c>
      <c r="W140" s="4">
        <v>45958</v>
      </c>
      <c r="X140" s="4">
        <f t="shared" si="410"/>
        <v>47784</v>
      </c>
      <c r="Y140" s="8">
        <f t="shared" ca="1" si="411"/>
        <v>1639</v>
      </c>
      <c r="Z140" s="5" t="str">
        <f t="shared" ca="1" si="412"/>
        <v>VIGENTE</v>
      </c>
      <c r="AA140" s="5"/>
      <c r="AB140" s="2" t="s">
        <v>458</v>
      </c>
      <c r="AC140" s="4">
        <v>44391</v>
      </c>
      <c r="AD140" s="4">
        <f>DATE(YEAR(AC140)+5,MONTH(AC140),DAY(AC140))</f>
        <v>46217</v>
      </c>
      <c r="AE140" s="8">
        <f ca="1">AD140-TODAY()</f>
        <v>72</v>
      </c>
      <c r="AF140" s="5" t="str">
        <f t="shared" ca="1" si="457"/>
        <v>POR VENCER</v>
      </c>
      <c r="AG140" s="3"/>
      <c r="AH140" s="4">
        <v>45680</v>
      </c>
      <c r="AI140" s="4">
        <f>DATE(YEAR(AH140)+2,MONTH(AH140),DAY(AH140)-1)</f>
        <v>46409</v>
      </c>
      <c r="AJ140" s="8">
        <f t="shared" ca="1" si="458"/>
        <v>264</v>
      </c>
      <c r="AK140" s="5" t="str">
        <f t="shared" ca="1" si="408"/>
        <v>VIGENTE</v>
      </c>
      <c r="AL140" s="3"/>
      <c r="AM140" s="4">
        <v>45710</v>
      </c>
      <c r="AN140" s="4">
        <f>DATE(YEAR(AM140)+2,MONTH(AM140),DAY(AM140)-1)</f>
        <v>46439</v>
      </c>
      <c r="AO140" s="8">
        <f t="shared" ca="1" si="459"/>
        <v>294</v>
      </c>
      <c r="AP140" s="5" t="str">
        <f t="shared" ca="1" si="460"/>
        <v>VIGENTE</v>
      </c>
      <c r="AQ140" s="3"/>
      <c r="AR140" s="4">
        <v>45703</v>
      </c>
      <c r="AS140" s="4">
        <f>DATE(YEAR(AR140)+2,MONTH(AR140),DAY(AR140)-1)</f>
        <v>46432</v>
      </c>
      <c r="AT140" s="8">
        <f t="shared" ca="1" si="461"/>
        <v>287</v>
      </c>
      <c r="AU140" s="5" t="str">
        <f t="shared" ca="1" si="462"/>
        <v>VIGENTE</v>
      </c>
      <c r="AV140" s="3"/>
      <c r="AW140" s="4">
        <v>45702</v>
      </c>
      <c r="AX140" s="4">
        <f>DATE(YEAR(AW140)+2,MONTH(AW140),DAY(AW140)-1)</f>
        <v>46431</v>
      </c>
      <c r="AY140" s="8">
        <f t="shared" ca="1" si="463"/>
        <v>286</v>
      </c>
      <c r="AZ140" s="5" t="str">
        <f t="shared" ca="1" si="464"/>
        <v>VIGENTE</v>
      </c>
      <c r="BA140" s="3"/>
      <c r="BB140" s="4">
        <v>45717</v>
      </c>
      <c r="BC140" s="4">
        <f>DATE(YEAR(BB140)+2,MONTH(BB140),DAY(BB140)-1)</f>
        <v>46446</v>
      </c>
      <c r="BD140" s="8">
        <f t="shared" ca="1" si="465"/>
        <v>301</v>
      </c>
      <c r="BE140" s="5" t="str">
        <f t="shared" ca="1" si="466"/>
        <v>VIGENTE</v>
      </c>
      <c r="BF140" s="3"/>
      <c r="BG140" s="4">
        <v>45698</v>
      </c>
      <c r="BH140" s="4">
        <f>DATE(YEAR(BG140)+2,MONTH(BG140),DAY(BG140)-1)</f>
        <v>46427</v>
      </c>
      <c r="BI140" s="8">
        <f t="shared" ca="1" si="467"/>
        <v>282</v>
      </c>
      <c r="BJ140" s="5" t="str">
        <f t="shared" ca="1" si="468"/>
        <v>VIGENTE</v>
      </c>
      <c r="BK140" s="3"/>
      <c r="BL140" s="4">
        <v>45570</v>
      </c>
      <c r="BM140" s="4">
        <f>DATE(YEAR(BL140)+2,MONTH(BL140),DAY(BL140)-1)</f>
        <v>46299</v>
      </c>
      <c r="BN140" s="8">
        <f t="shared" ca="1" si="469"/>
        <v>154</v>
      </c>
      <c r="BO140" s="5" t="str">
        <f t="shared" ca="1" si="470"/>
        <v>VIGENTE</v>
      </c>
      <c r="BP140" s="3"/>
      <c r="BQ140" s="39">
        <v>45701</v>
      </c>
      <c r="BR140" s="4">
        <f>DATE(YEAR(BQ140)+2,MONTH(BQ140),DAY(BQ140)-1)</f>
        <v>46430</v>
      </c>
      <c r="BS140" s="8">
        <f t="shared" ca="1" si="471"/>
        <v>285</v>
      </c>
      <c r="BT140" s="5" t="str">
        <f t="shared" ca="1" si="472"/>
        <v>VIGENTE</v>
      </c>
      <c r="BU140" s="3"/>
      <c r="BV140" s="4">
        <v>45568</v>
      </c>
      <c r="BW140" s="4">
        <f>DATE(YEAR(BV140)+2,MONTH(BV140),DAY(BV140)-1)</f>
        <v>46297</v>
      </c>
      <c r="BX140" s="8">
        <f t="shared" ca="1" si="473"/>
        <v>152</v>
      </c>
      <c r="BY140" s="5" t="str">
        <f t="shared" ca="1" si="474"/>
        <v>VIGENTE</v>
      </c>
      <c r="BZ140" s="3"/>
      <c r="CA140" s="4">
        <v>45730</v>
      </c>
      <c r="CB140" s="4">
        <f>DATE(YEAR(CA140)+2,MONTH(CA140),DAY(CA140)-1)</f>
        <v>46459</v>
      </c>
      <c r="CC140" s="8">
        <f t="shared" ca="1" si="475"/>
        <v>314</v>
      </c>
      <c r="CD140" s="5" t="str">
        <f t="shared" ca="1" si="476"/>
        <v>VIGENTE</v>
      </c>
      <c r="CE140" s="6"/>
      <c r="CF140" s="4">
        <v>45533</v>
      </c>
      <c r="CG140" s="4">
        <f t="shared" si="416"/>
        <v>46994</v>
      </c>
      <c r="CH140" s="8">
        <f t="shared" ca="1" si="417"/>
        <v>849</v>
      </c>
      <c r="CI140" s="5" t="str">
        <f t="shared" ca="1" si="418"/>
        <v>VIGENTE</v>
      </c>
      <c r="CJ140" s="4"/>
      <c r="CK140" s="4">
        <v>45601</v>
      </c>
      <c r="CL140" s="4">
        <f>DATE(YEAR(CK140)+2,MONTH(CK140),DAY(CK140)-1)</f>
        <v>46330</v>
      </c>
      <c r="CM140" s="8">
        <f t="shared" ca="1" si="477"/>
        <v>185</v>
      </c>
      <c r="CN140" s="5" t="str">
        <f t="shared" ca="1" si="478"/>
        <v>VIGENTE</v>
      </c>
      <c r="CO140" s="3"/>
      <c r="CP140" s="39">
        <v>45684</v>
      </c>
      <c r="CQ140" s="4">
        <f>DATE(YEAR(CP140)+2,MONTH(CP140),DAY(CP140)-1)</f>
        <v>46413</v>
      </c>
      <c r="CR140" s="8">
        <f t="shared" ca="1" si="479"/>
        <v>268</v>
      </c>
      <c r="CS140" s="5" t="str">
        <f t="shared" ca="1" si="480"/>
        <v>VIGENTE</v>
      </c>
      <c r="CT140" s="3"/>
      <c r="CU140" s="4">
        <v>45727</v>
      </c>
      <c r="CV140" s="4">
        <f>DATE(YEAR(CU140)+2,MONTH(CU140),DAY(CU140)-1)</f>
        <v>46456</v>
      </c>
      <c r="CW140" s="8">
        <f t="shared" ca="1" si="481"/>
        <v>311</v>
      </c>
      <c r="CX140" s="5" t="str">
        <f t="shared" ca="1" si="482"/>
        <v>VIGENTE</v>
      </c>
      <c r="CY140" s="3"/>
      <c r="CZ140" s="4">
        <v>45681</v>
      </c>
      <c r="DA140" s="4">
        <f>DATE(YEAR(CZ140)+2,MONTH(CZ140),DAY(CZ140)-1)</f>
        <v>46410</v>
      </c>
      <c r="DB140" s="8">
        <f t="shared" ca="1" si="483"/>
        <v>265</v>
      </c>
      <c r="DC140" s="5" t="str">
        <f t="shared" ca="1" si="484"/>
        <v>VIGENTE</v>
      </c>
      <c r="DD140" s="3"/>
      <c r="DE140" s="39">
        <v>45596</v>
      </c>
      <c r="DF140" s="4">
        <f>DATE(YEAR(DE140)+2,MONTH(DE140),DAY(DE140)-1)</f>
        <v>46325</v>
      </c>
      <c r="DG140" s="8">
        <f t="shared" ca="1" si="485"/>
        <v>180</v>
      </c>
      <c r="DH140" s="5" t="str">
        <f t="shared" ca="1" si="486"/>
        <v>VIGENTE</v>
      </c>
      <c r="DI140" s="3"/>
      <c r="DJ140" s="39">
        <v>45696</v>
      </c>
      <c r="DK140" s="4">
        <f>DATE(YEAR(DJ140)+2,MONTH(DJ140),DAY(DJ140)-1)</f>
        <v>46425</v>
      </c>
      <c r="DL140" s="8">
        <f t="shared" ca="1" si="487"/>
        <v>280</v>
      </c>
      <c r="DM140" s="5" t="str">
        <f t="shared" ca="1" si="488"/>
        <v>VIGENTE</v>
      </c>
      <c r="DN140" s="3"/>
      <c r="DO140" s="4">
        <v>45577</v>
      </c>
      <c r="DP140" s="4">
        <f>DATE(YEAR(DO140)+2,MONTH(DO140),DAY(DO140)-1)</f>
        <v>46306</v>
      </c>
      <c r="DQ140" s="8">
        <f t="shared" ca="1" si="489"/>
        <v>161</v>
      </c>
      <c r="DR140" s="5" t="str">
        <f t="shared" ca="1" si="490"/>
        <v>VIGENTE</v>
      </c>
      <c r="DS140" s="3"/>
      <c r="DT140" s="4">
        <v>45685</v>
      </c>
      <c r="DU140" s="4">
        <f>DATE(YEAR(DT140)+2,MONTH(DT140),DAY(DT140)-1)</f>
        <v>46414</v>
      </c>
      <c r="DV140" s="8">
        <f t="shared" ca="1" si="491"/>
        <v>269</v>
      </c>
      <c r="DW140" s="5" t="str">
        <f t="shared" ca="1" si="492"/>
        <v>VIGENTE</v>
      </c>
      <c r="DX140" s="3"/>
      <c r="DY140" s="4">
        <v>45663</v>
      </c>
      <c r="DZ140" s="4">
        <f>DATE(YEAR(DY140)+2,MONTH(DY140),DAY(DY140)-1)</f>
        <v>46392</v>
      </c>
      <c r="EA140" s="8">
        <f t="shared" ca="1" si="493"/>
        <v>247</v>
      </c>
      <c r="EB140" s="5" t="str">
        <f t="shared" ca="1" si="494"/>
        <v>VIGENTE</v>
      </c>
      <c r="EC140" s="3"/>
      <c r="ED140" s="39">
        <v>45674</v>
      </c>
      <c r="EE140" s="4">
        <f>DATE(YEAR(ED140)+2,MONTH(ED140),DAY(ED140)-1)</f>
        <v>46403</v>
      </c>
      <c r="EF140" s="8">
        <f t="shared" ca="1" si="495"/>
        <v>258</v>
      </c>
      <c r="EG140" s="5" t="str">
        <f t="shared" ca="1" si="496"/>
        <v>VIGENTE</v>
      </c>
      <c r="EH140" s="3"/>
      <c r="EI140" s="4">
        <v>46123</v>
      </c>
      <c r="EJ140" s="4">
        <f t="shared" si="558"/>
        <v>46488</v>
      </c>
      <c r="EK140" s="8">
        <f t="shared" ca="1" si="497"/>
        <v>343</v>
      </c>
      <c r="EL140" s="5" t="str">
        <f t="shared" ca="1" si="498"/>
        <v>VIGENTE</v>
      </c>
      <c r="EM140" s="3"/>
      <c r="EN140" s="4">
        <v>45636</v>
      </c>
      <c r="EO140" s="4">
        <f>DATE(YEAR(EN140)+2,MONTH(EN140),DAY(EN140)-1)</f>
        <v>46365</v>
      </c>
      <c r="EP140" s="8">
        <f t="shared" ca="1" si="499"/>
        <v>220</v>
      </c>
      <c r="EQ140" s="5" t="str">
        <f t="shared" ca="1" si="500"/>
        <v>VIGENTE</v>
      </c>
      <c r="ER140" s="3"/>
      <c r="ES140" s="39">
        <v>45623</v>
      </c>
      <c r="ET140" s="4">
        <f>DATE(YEAR(ES140)+2,MONTH(ES140),DAY(ES140)-1)</f>
        <v>46352</v>
      </c>
      <c r="EU140" s="8">
        <f t="shared" ca="1" si="501"/>
        <v>207</v>
      </c>
      <c r="EV140" s="5" t="str">
        <f t="shared" ca="1" si="502"/>
        <v>VIGENTE</v>
      </c>
      <c r="EW140" s="3"/>
      <c r="EX140" s="4">
        <v>45610</v>
      </c>
      <c r="EY140" s="4">
        <f>DATE(YEAR(EX140)+2,MONTH(EX140),DAY(EX140)-1)</f>
        <v>46339</v>
      </c>
      <c r="EZ140" s="8">
        <f t="shared" ca="1" si="503"/>
        <v>194</v>
      </c>
      <c r="FA140" s="5" t="str">
        <f t="shared" ca="1" si="504"/>
        <v>VIGENTE</v>
      </c>
      <c r="FB140" s="3"/>
      <c r="FC140" s="4">
        <v>45611</v>
      </c>
      <c r="FD140" s="4">
        <f>DATE(YEAR(FC140)+2,MONTH(FC140),DAY(FC140)-1)</f>
        <v>46340</v>
      </c>
      <c r="FE140" s="8">
        <f t="shared" ca="1" si="505"/>
        <v>195</v>
      </c>
      <c r="FF140" s="5" t="str">
        <f t="shared" ca="1" si="506"/>
        <v>VIGENTE</v>
      </c>
      <c r="FG140" s="3"/>
      <c r="FH140" s="4">
        <v>45668</v>
      </c>
      <c r="FI140" s="4">
        <f>DATE(YEAR(FH140)+2,MONTH(FH140),DAY(FH140)-1)</f>
        <v>46397</v>
      </c>
      <c r="FJ140" s="8">
        <f t="shared" ca="1" si="507"/>
        <v>252</v>
      </c>
      <c r="FK140" s="5" t="str">
        <f t="shared" ca="1" si="508"/>
        <v>VIGENTE</v>
      </c>
      <c r="FL140" s="3"/>
      <c r="FM140" s="39">
        <v>45588</v>
      </c>
      <c r="FN140" s="4">
        <f>DATE(YEAR(FM140)+2,MONTH(FM140),DAY(FM140)-1)</f>
        <v>46317</v>
      </c>
      <c r="FO140" s="8">
        <f t="shared" ca="1" si="509"/>
        <v>172</v>
      </c>
      <c r="FP140" s="5" t="str">
        <f t="shared" ca="1" si="510"/>
        <v>VIGENTE</v>
      </c>
      <c r="FQ140" s="3"/>
      <c r="FR140" s="39">
        <v>45664</v>
      </c>
      <c r="FS140" s="4">
        <f>DATE(YEAR(FR140)+2,MONTH(FR140),DAY(FR140)-1)</f>
        <v>46393</v>
      </c>
      <c r="FT140" s="8">
        <f t="shared" ca="1" si="511"/>
        <v>248</v>
      </c>
      <c r="FU140" s="5" t="str">
        <f t="shared" ca="1" si="512"/>
        <v>VIGENTE</v>
      </c>
      <c r="FV140" s="3"/>
      <c r="FW140" s="4">
        <v>45700</v>
      </c>
      <c r="FX140" s="4">
        <f>DATE(YEAR(FW140)+2,MONTH(FW140),DAY(FW140)-1)</f>
        <v>46429</v>
      </c>
      <c r="FY140" s="8">
        <f t="shared" ca="1" si="513"/>
        <v>284</v>
      </c>
      <c r="FZ140" s="5" t="str">
        <f t="shared" ca="1" si="514"/>
        <v>VIGENTE</v>
      </c>
      <c r="GA140" s="3"/>
      <c r="GB140" s="4">
        <v>45667</v>
      </c>
      <c r="GC140" s="4">
        <f>DATE(YEAR(GB140)+2,MONTH(GB140),DAY(GB140)-1)</f>
        <v>46396</v>
      </c>
      <c r="GD140" s="8">
        <f t="shared" ca="1" si="515"/>
        <v>251</v>
      </c>
      <c r="GE140" s="5" t="str">
        <f t="shared" ca="1" si="516"/>
        <v>VIGENTE</v>
      </c>
      <c r="GF140" s="3"/>
      <c r="GG140" s="4">
        <v>45672</v>
      </c>
      <c r="GH140" s="4">
        <f>DATE(YEAR(GG140)+2,MONTH(GG140),DAY(GG140)-1)</f>
        <v>46401</v>
      </c>
      <c r="GI140" s="8">
        <f t="shared" ca="1" si="517"/>
        <v>256</v>
      </c>
      <c r="GJ140" s="5" t="str">
        <f t="shared" ca="1" si="518"/>
        <v>VIGENTE</v>
      </c>
      <c r="GK140" s="3"/>
      <c r="GL140" s="4">
        <v>45608</v>
      </c>
      <c r="GM140" s="4">
        <f>DATE(YEAR(GL140)+2,MONTH(GL140),DAY(GL140)-1)</f>
        <v>46337</v>
      </c>
      <c r="GN140" s="8">
        <f t="shared" ca="1" si="519"/>
        <v>192</v>
      </c>
      <c r="GO140" s="5" t="str">
        <f t="shared" ca="1" si="520"/>
        <v>VIGENTE</v>
      </c>
      <c r="GP140" s="4"/>
      <c r="GQ140" s="4">
        <v>44966</v>
      </c>
      <c r="GR140" s="4">
        <f t="shared" si="521"/>
        <v>46792</v>
      </c>
      <c r="GS140" s="8">
        <f t="shared" ca="1" si="405"/>
        <v>647</v>
      </c>
      <c r="GT140" s="5" t="str">
        <f t="shared" ca="1" si="419"/>
        <v>VIGENTE</v>
      </c>
      <c r="GU140" s="3"/>
      <c r="GV140" s="4">
        <v>44952</v>
      </c>
      <c r="GW140" s="4">
        <f t="shared" si="522"/>
        <v>46778</v>
      </c>
      <c r="GX140" s="8">
        <f t="shared" ca="1" si="523"/>
        <v>633</v>
      </c>
      <c r="GY140" s="5" t="str">
        <f t="shared" ca="1" si="426"/>
        <v>VIGENTE</v>
      </c>
      <c r="GZ140" s="2"/>
      <c r="HA140" s="4">
        <v>44980</v>
      </c>
      <c r="HB140" s="4">
        <f t="shared" si="524"/>
        <v>46806</v>
      </c>
      <c r="HC140" s="8">
        <f t="shared" ca="1" si="525"/>
        <v>661</v>
      </c>
      <c r="HD140" s="5" t="str">
        <f t="shared" ca="1" si="421"/>
        <v>VIGENTE</v>
      </c>
      <c r="HE140" s="6"/>
      <c r="HF140" s="4">
        <v>44956</v>
      </c>
      <c r="HG140" s="4">
        <f>DATE(YEAR(HF140)+5,MONTH(HF140),DAY(HF140))</f>
        <v>46782</v>
      </c>
      <c r="HH140" s="8">
        <f ca="1">HG140-TODAY()</f>
        <v>637</v>
      </c>
      <c r="HI140" s="5" t="str">
        <f t="shared" ca="1" si="427"/>
        <v>VIGENTE</v>
      </c>
      <c r="HJ140" s="2"/>
      <c r="HK140" s="6"/>
      <c r="HL140" s="4"/>
      <c r="HM140" s="8"/>
      <c r="HN140" s="5" t="str">
        <f t="shared" si="444"/>
        <v>NO APLICA</v>
      </c>
      <c r="HO140" s="2"/>
      <c r="HP140" s="5"/>
      <c r="HQ140" s="4"/>
      <c r="HR140" s="5"/>
      <c r="HS140" s="5" t="str">
        <f t="shared" si="526"/>
        <v>NO APLICA</v>
      </c>
      <c r="HT140" s="2"/>
      <c r="HU140" s="4">
        <v>44953</v>
      </c>
      <c r="HV140" s="4">
        <f>DATE(YEAR(HU140)+5,MONTH(HU140),DAY(HU140))</f>
        <v>46779</v>
      </c>
      <c r="HW140" s="8">
        <f ca="1">HV140-TODAY()</f>
        <v>634</v>
      </c>
      <c r="HX140" s="5" t="str">
        <f t="shared" ca="1" si="527"/>
        <v>VIGENTE</v>
      </c>
      <c r="HY140" s="2"/>
      <c r="HZ140" s="4">
        <v>44988</v>
      </c>
      <c r="IA140" s="4">
        <f>DATE(YEAR(HZ140)+5,MONTH(HZ140),DAY(HZ140))</f>
        <v>46815</v>
      </c>
      <c r="IB140" s="8">
        <f ca="1">IA140-TODAY()</f>
        <v>670</v>
      </c>
      <c r="IC140" s="5" t="str">
        <f t="shared" ca="1" si="528"/>
        <v>VIGENTE</v>
      </c>
      <c r="ID140" s="2"/>
      <c r="IE140" s="4">
        <v>44971</v>
      </c>
      <c r="IF140" s="4">
        <f>DATE(YEAR(IE140)+5,MONTH(IE140),DAY(IE140))</f>
        <v>46797</v>
      </c>
      <c r="IG140" s="8">
        <f ca="1">IF140-TODAY()</f>
        <v>652</v>
      </c>
      <c r="IH140" s="5" t="str">
        <f t="shared" ca="1" si="529"/>
        <v>VIGENTE</v>
      </c>
      <c r="II140" s="6"/>
      <c r="IJ140" s="4">
        <v>44965</v>
      </c>
      <c r="IK140" s="4">
        <f>DATE(YEAR(IJ140)+5,MONTH(IJ140),DAY(IJ140))</f>
        <v>46791</v>
      </c>
      <c r="IL140" s="8">
        <f ca="1">IK140-TODAY()</f>
        <v>646</v>
      </c>
      <c r="IM140" s="5" t="str">
        <f t="shared" ca="1" si="530"/>
        <v>VIGENTE</v>
      </c>
      <c r="IN140" s="2"/>
      <c r="IO140" s="4">
        <v>44977</v>
      </c>
      <c r="IP140" s="4">
        <f>DATE(YEAR(IO140)+5,MONTH(IO140),DAY(IO140))</f>
        <v>46803</v>
      </c>
      <c r="IQ140" s="8">
        <f ca="1">IP140-TODAY()</f>
        <v>658</v>
      </c>
      <c r="IR140" s="5" t="str">
        <f t="shared" ca="1" si="531"/>
        <v>VIGENTE</v>
      </c>
      <c r="IS140" s="2"/>
      <c r="IT140" s="4">
        <v>44970</v>
      </c>
      <c r="IU140" s="4">
        <f>DATE(YEAR(IT140)+5,MONTH(IT140),DAY(IT140))</f>
        <v>46796</v>
      </c>
      <c r="IV140" s="8">
        <f ca="1">IU140-TODAY()</f>
        <v>651</v>
      </c>
      <c r="IW140" s="5" t="str">
        <f t="shared" ca="1" si="532"/>
        <v>VIGENTE</v>
      </c>
      <c r="IX140" s="2"/>
      <c r="IY140" s="4">
        <v>44973</v>
      </c>
      <c r="IZ140" s="4">
        <f>DATE(YEAR(IY140)+5,MONTH(IY140),DAY(IY140))</f>
        <v>46799</v>
      </c>
      <c r="JA140" s="8">
        <f ca="1">IZ140-TODAY()</f>
        <v>654</v>
      </c>
      <c r="JB140" s="5" t="str">
        <f t="shared" ca="1" si="533"/>
        <v>VIGENTE</v>
      </c>
      <c r="JC140" s="3" t="s">
        <v>780</v>
      </c>
      <c r="JD140" s="3"/>
      <c r="JE140" s="4"/>
      <c r="JF140" s="8"/>
      <c r="JG140" s="5"/>
      <c r="JH140" s="3" t="s">
        <v>780</v>
      </c>
      <c r="JI140" s="6"/>
      <c r="JJ140" s="6"/>
      <c r="JK140" s="6"/>
      <c r="JL140" s="5"/>
      <c r="JM140" s="6" t="s">
        <v>780</v>
      </c>
      <c r="JN140" s="6"/>
      <c r="JO140" s="6"/>
      <c r="JP140" s="6"/>
      <c r="JQ140" s="5"/>
      <c r="JR140" s="6" t="s">
        <v>780</v>
      </c>
      <c r="JS140" s="6"/>
      <c r="JT140" s="6"/>
      <c r="JU140" s="6"/>
      <c r="JV140" s="5"/>
      <c r="JW140" s="6" t="s">
        <v>780</v>
      </c>
      <c r="JX140" s="5"/>
      <c r="JY140" s="5"/>
      <c r="JZ140" s="5"/>
      <c r="KA140" s="5"/>
      <c r="KB140" s="5"/>
      <c r="KC140" s="5"/>
      <c r="KD140" s="4"/>
      <c r="KE140" s="8"/>
      <c r="KF140" s="5" t="str">
        <f t="shared" si="534"/>
        <v>NO APLICA</v>
      </c>
      <c r="KG140" s="5"/>
      <c r="KH140" s="5"/>
      <c r="KI140" s="4"/>
      <c r="KJ140" s="8"/>
      <c r="KK140" s="5" t="str">
        <f t="shared" si="559"/>
        <v>NO APLICA</v>
      </c>
      <c r="KL140" s="5"/>
      <c r="KM140" s="5"/>
      <c r="KN140" s="4"/>
      <c r="KO140" s="8"/>
      <c r="KP140" s="5" t="str">
        <f t="shared" si="535"/>
        <v>NO APLICA</v>
      </c>
      <c r="KQ140" s="5"/>
      <c r="KR140" s="2"/>
      <c r="KS140" s="4"/>
      <c r="KT140" s="8"/>
      <c r="KU140" s="5" t="str">
        <f t="shared" si="560"/>
        <v>NO APLICA</v>
      </c>
      <c r="KV140" s="2"/>
      <c r="KW140" s="6"/>
      <c r="KX140" s="4"/>
      <c r="KY140" s="8"/>
      <c r="KZ140" s="5" t="str">
        <f t="shared" si="565"/>
        <v>NO APLICA</v>
      </c>
      <c r="LA140" s="5"/>
      <c r="LB140" s="4">
        <v>44615</v>
      </c>
      <c r="LC140" s="4">
        <f>DATE(YEAR(LB140)+5,MONTH(LB140),DAY(LB140))</f>
        <v>46441</v>
      </c>
      <c r="LD140" s="8">
        <f ca="1">LC140-TODAY()</f>
        <v>296</v>
      </c>
      <c r="LE140" s="5" t="str">
        <f t="shared" ca="1" si="561"/>
        <v>VIGENTE</v>
      </c>
      <c r="LF140" s="6"/>
      <c r="LG140" s="6"/>
      <c r="LH140" s="4"/>
      <c r="LI140" s="8"/>
      <c r="LJ140" s="5" t="str">
        <f t="shared" si="567"/>
        <v>NO APLICA</v>
      </c>
      <c r="LK140" s="5"/>
      <c r="LL140" s="5"/>
      <c r="LM140" s="4"/>
      <c r="LN140" s="8"/>
      <c r="LO140" s="5" t="str">
        <f t="shared" si="566"/>
        <v>NO APLICA</v>
      </c>
      <c r="LP140" s="5"/>
      <c r="LQ140" s="6"/>
      <c r="LR140" s="4"/>
      <c r="LS140" s="8"/>
      <c r="LT140" s="5" t="str">
        <f t="shared" si="562"/>
        <v>NO APLICA</v>
      </c>
      <c r="LU140" s="6"/>
      <c r="LV140" s="6"/>
      <c r="LW140" s="4"/>
      <c r="LX140" s="8"/>
      <c r="LY140" s="5" t="str">
        <f t="shared" si="563"/>
        <v>NO APLICA</v>
      </c>
      <c r="LZ140" s="6"/>
      <c r="MA140" s="6"/>
      <c r="MB140" s="4"/>
      <c r="MC140" s="8"/>
      <c r="MD140" s="5" t="str">
        <f t="shared" si="564"/>
        <v>NO APLICA</v>
      </c>
      <c r="ME140" s="5"/>
      <c r="MF140" s="5"/>
      <c r="MG140" s="4"/>
      <c r="MH140" s="8"/>
      <c r="MI140" s="5" t="str">
        <f t="shared" si="537"/>
        <v>NO APLICA</v>
      </c>
      <c r="MJ140" s="5"/>
      <c r="MK140" s="5"/>
      <c r="ML140" s="4"/>
      <c r="MM140" s="8"/>
      <c r="MN140" s="5" t="str">
        <f t="shared" si="538"/>
        <v>NO APLICA</v>
      </c>
      <c r="MO140" s="5"/>
      <c r="MP140" s="5"/>
      <c r="MQ140" s="4"/>
      <c r="MR140" s="8"/>
      <c r="MS140" s="5" t="str">
        <f t="shared" si="539"/>
        <v>NO APLICA</v>
      </c>
      <c r="MT140" s="5"/>
      <c r="MU140" s="5"/>
      <c r="MV140" s="4"/>
      <c r="MW140" s="5"/>
      <c r="MX140" s="5" t="str">
        <f t="shared" si="540"/>
        <v>NO APLICA</v>
      </c>
      <c r="MY140" s="5"/>
      <c r="MZ140" s="6"/>
      <c r="NA140" s="4"/>
      <c r="NB140" s="8"/>
      <c r="NC140" s="5" t="str">
        <f t="shared" si="541"/>
        <v>NO APLICA</v>
      </c>
      <c r="ND140" s="5"/>
      <c r="NE140" s="6"/>
      <c r="NF140" s="4"/>
      <c r="NG140" s="8"/>
      <c r="NH140" s="5" t="str">
        <f t="shared" si="542"/>
        <v>NO APLICA</v>
      </c>
      <c r="NI140" s="5"/>
      <c r="NJ140" s="6"/>
      <c r="NK140" s="4"/>
      <c r="NL140" s="8"/>
      <c r="NM140" s="5" t="str">
        <f t="shared" si="543"/>
        <v>NO APLICA</v>
      </c>
      <c r="NN140" s="5"/>
      <c r="NO140" s="5"/>
      <c r="NP140" s="4"/>
      <c r="NQ140" s="8"/>
      <c r="NR140" s="5" t="str">
        <f t="shared" si="544"/>
        <v>NO APLICA</v>
      </c>
      <c r="NS140" s="5"/>
      <c r="NT140" s="5"/>
      <c r="NU140" s="5"/>
      <c r="NV140" s="5"/>
      <c r="NW140" s="5" t="str">
        <f t="shared" si="545"/>
        <v>NO APLICA</v>
      </c>
      <c r="NX140" s="6"/>
      <c r="NY140" s="6"/>
      <c r="NZ140" s="4"/>
      <c r="OA140" s="8"/>
      <c r="OB140" s="5" t="str">
        <f t="shared" si="546"/>
        <v>NO APLICA</v>
      </c>
      <c r="OC140" s="6"/>
      <c r="OD140" s="6"/>
      <c r="OE140" s="6"/>
      <c r="OF140" s="6"/>
      <c r="OG140" s="5" t="str">
        <f t="shared" si="547"/>
        <v>NO APLICA</v>
      </c>
      <c r="OH140" s="5"/>
      <c r="OI140" s="5"/>
      <c r="OJ140" s="4"/>
      <c r="OK140" s="8"/>
      <c r="OL140" s="5" t="str">
        <f t="shared" si="548"/>
        <v>NO APLICA</v>
      </c>
      <c r="OM140" s="6"/>
      <c r="ON140" s="6"/>
      <c r="OO140" s="6"/>
      <c r="OP140" s="6"/>
      <c r="OQ140" s="5" t="str">
        <f t="shared" si="549"/>
        <v>NO APLICA</v>
      </c>
      <c r="OR140" s="6"/>
      <c r="OS140" s="6"/>
      <c r="OT140" s="6"/>
      <c r="OU140" s="6"/>
      <c r="OV140" s="5" t="str">
        <f t="shared" si="550"/>
        <v>NO APLICA</v>
      </c>
      <c r="OW140" s="6"/>
      <c r="OX140" s="6"/>
      <c r="OY140" s="6"/>
      <c r="OZ140" s="6"/>
      <c r="PA140" s="5" t="str">
        <f t="shared" si="551"/>
        <v>NO APLICA</v>
      </c>
      <c r="PB140" s="6"/>
      <c r="PC140" s="6"/>
      <c r="PD140" s="6"/>
      <c r="PE140" s="6"/>
      <c r="PF140" s="5" t="str">
        <f t="shared" si="552"/>
        <v>NO APLICA</v>
      </c>
      <c r="PG140" s="6"/>
      <c r="PH140" s="6"/>
      <c r="PI140" s="6"/>
      <c r="PJ140" s="6"/>
      <c r="PK140" s="5" t="str">
        <f t="shared" si="553"/>
        <v>NO APLICA</v>
      </c>
      <c r="PL140" s="5"/>
      <c r="PM140" s="6"/>
      <c r="PN140" s="4"/>
      <c r="PO140" s="8"/>
      <c r="PP140" s="5" t="str">
        <f t="shared" si="554"/>
        <v>NO APLICA</v>
      </c>
      <c r="PQ140" s="6"/>
      <c r="PR140" s="6"/>
      <c r="PS140" s="6"/>
      <c r="PT140" s="6"/>
      <c r="PU140" s="5" t="str">
        <f t="shared" si="555"/>
        <v>NO APLICA</v>
      </c>
      <c r="PV140" s="5"/>
      <c r="PW140" s="6"/>
      <c r="PX140" s="6"/>
      <c r="PY140" s="6"/>
      <c r="PZ140" s="5" t="str">
        <f t="shared" si="556"/>
        <v>NO APLICA</v>
      </c>
    </row>
    <row r="141" spans="1:442" ht="15.6" hidden="1" thickTop="1" thickBot="1" x14ac:dyDescent="0.35">
      <c r="A141" s="26">
        <v>138</v>
      </c>
      <c r="B141" s="27">
        <v>1582</v>
      </c>
      <c r="C141" s="28" t="s">
        <v>459</v>
      </c>
      <c r="D141" s="29" t="s">
        <v>113</v>
      </c>
      <c r="E141" s="30" t="s">
        <v>148</v>
      </c>
      <c r="F141" s="3"/>
      <c r="G141" s="4">
        <v>46060</v>
      </c>
      <c r="H141" s="4">
        <f>DATE(YEAR(G141)+2,MONTH(G141),DAY(G141))</f>
        <v>46790</v>
      </c>
      <c r="I141" s="8">
        <f ca="1">H141-TODAY()</f>
        <v>645</v>
      </c>
      <c r="J141" s="5" t="str">
        <f t="shared" ca="1" si="455"/>
        <v>VIGENTE</v>
      </c>
      <c r="K141" s="3"/>
      <c r="L141" s="4"/>
      <c r="M141" s="6"/>
      <c r="N141" s="8"/>
      <c r="O141" s="5" t="str">
        <f t="shared" si="456"/>
        <v>NO APLICA</v>
      </c>
      <c r="P141" s="6"/>
      <c r="Q141" s="6"/>
      <c r="R141" s="4"/>
      <c r="S141" s="8"/>
      <c r="T141" s="5" t="str">
        <f t="shared" si="557"/>
        <v>NO APLICA</v>
      </c>
      <c r="U141" s="5"/>
      <c r="V141" s="3" t="s">
        <v>460</v>
      </c>
      <c r="W141" s="4">
        <v>46069</v>
      </c>
      <c r="X141" s="4">
        <f t="shared" si="410"/>
        <v>47895</v>
      </c>
      <c r="Y141" s="8">
        <f t="shared" ca="1" si="411"/>
        <v>1750</v>
      </c>
      <c r="Z141" s="5" t="str">
        <f t="shared" ca="1" si="412"/>
        <v>VIGENTE</v>
      </c>
      <c r="AA141" s="5"/>
      <c r="AB141" s="2"/>
      <c r="AC141" s="6"/>
      <c r="AD141" s="4"/>
      <c r="AE141" s="8"/>
      <c r="AF141" s="5" t="str">
        <f t="shared" si="457"/>
        <v>NO APLICA</v>
      </c>
      <c r="AG141" s="3"/>
      <c r="AH141" s="4">
        <v>45902</v>
      </c>
      <c r="AI141" s="4">
        <f>DATE(YEAR(AH141)+2,MONTH(AH141),DAY(AH141))</f>
        <v>46632</v>
      </c>
      <c r="AJ141" s="8">
        <f t="shared" ca="1" si="458"/>
        <v>487</v>
      </c>
      <c r="AK141" s="5" t="str">
        <f t="shared" ca="1" si="408"/>
        <v>VIGENTE</v>
      </c>
      <c r="AL141" s="3"/>
      <c r="AM141" s="4">
        <v>45903</v>
      </c>
      <c r="AN141" s="4">
        <f>DATE(YEAR(AM141)+2,MONTH(AM141),DAY(AM141))</f>
        <v>46633</v>
      </c>
      <c r="AO141" s="8">
        <f t="shared" ca="1" si="459"/>
        <v>488</v>
      </c>
      <c r="AP141" s="5" t="str">
        <f t="shared" ca="1" si="460"/>
        <v>VIGENTE</v>
      </c>
      <c r="AQ141" s="3"/>
      <c r="AR141" s="4">
        <v>45904</v>
      </c>
      <c r="AS141" s="4">
        <f t="shared" ref="AS141:AS152" si="568">DATE(YEAR(AR141)+2,MONTH(AR141),DAY(AR141))</f>
        <v>46634</v>
      </c>
      <c r="AT141" s="8">
        <f t="shared" ca="1" si="461"/>
        <v>489</v>
      </c>
      <c r="AU141" s="5" t="str">
        <f t="shared" ca="1" si="462"/>
        <v>VIGENTE</v>
      </c>
      <c r="AV141" s="3"/>
      <c r="AW141" s="4">
        <v>45906</v>
      </c>
      <c r="AX141" s="4">
        <f t="shared" ref="AX141:AX152" si="569">DATE(YEAR(AW141)+2,MONTH(AW141),DAY(AW141))</f>
        <v>46636</v>
      </c>
      <c r="AY141" s="8">
        <f t="shared" ca="1" si="463"/>
        <v>491</v>
      </c>
      <c r="AZ141" s="5" t="str">
        <f t="shared" ca="1" si="464"/>
        <v>VIGENTE</v>
      </c>
      <c r="BA141" s="3"/>
      <c r="BB141" s="4">
        <v>45901</v>
      </c>
      <c r="BC141" s="4">
        <f>DATE(YEAR(BB141)+2,MONTH(BB141),DAY(BB141))</f>
        <v>46631</v>
      </c>
      <c r="BD141" s="8">
        <f t="shared" ca="1" si="465"/>
        <v>486</v>
      </c>
      <c r="BE141" s="5" t="str">
        <f t="shared" ca="1" si="466"/>
        <v>VIGENTE</v>
      </c>
      <c r="BF141" s="3"/>
      <c r="BG141" s="4">
        <v>45880</v>
      </c>
      <c r="BH141" s="4">
        <f>DATE(YEAR(BG141)+2,MONTH(BG141),DAY(BG141))</f>
        <v>46610</v>
      </c>
      <c r="BI141" s="8">
        <f t="shared" ca="1" si="467"/>
        <v>465</v>
      </c>
      <c r="BJ141" s="5" t="str">
        <f t="shared" ca="1" si="468"/>
        <v>VIGENTE</v>
      </c>
      <c r="BK141" s="3"/>
      <c r="BL141" s="4">
        <v>45797</v>
      </c>
      <c r="BM141" s="4">
        <f>DATE(YEAR(BL141)+2,MONTH(BL141),DAY(BL141))</f>
        <v>46527</v>
      </c>
      <c r="BN141" s="8">
        <f t="shared" ca="1" si="469"/>
        <v>382</v>
      </c>
      <c r="BO141" s="5" t="str">
        <f t="shared" ca="1" si="470"/>
        <v>VIGENTE</v>
      </c>
      <c r="BP141" s="3"/>
      <c r="BQ141" s="39">
        <v>45841</v>
      </c>
      <c r="BR141" s="4">
        <f t="shared" ref="BR141:BR150" si="570">DATE(YEAR(BQ141)+2,MONTH(BQ141),DAY(BQ141))</f>
        <v>46571</v>
      </c>
      <c r="BS141" s="8">
        <f t="shared" ca="1" si="471"/>
        <v>426</v>
      </c>
      <c r="BT141" s="5" t="str">
        <f t="shared" ca="1" si="472"/>
        <v>VIGENTE</v>
      </c>
      <c r="BU141" s="3"/>
      <c r="BV141" s="4">
        <v>45853</v>
      </c>
      <c r="BW141" s="4">
        <f>DATE(YEAR(BV141)+2,MONTH(BV141),DAY(BV141))</f>
        <v>46583</v>
      </c>
      <c r="BX141" s="8">
        <f t="shared" ca="1" si="473"/>
        <v>438</v>
      </c>
      <c r="BY141" s="5" t="str">
        <f t="shared" ca="1" si="474"/>
        <v>VIGENTE</v>
      </c>
      <c r="BZ141" s="3"/>
      <c r="CA141" s="4">
        <v>45931</v>
      </c>
      <c r="CB141" s="4">
        <f>DATE(YEAR(CA141)+2,MONTH(CA141),DAY(CA141))</f>
        <v>46661</v>
      </c>
      <c r="CC141" s="8">
        <f t="shared" ca="1" si="475"/>
        <v>516</v>
      </c>
      <c r="CD141" s="5" t="str">
        <f t="shared" ca="1" si="476"/>
        <v>VIGENTE</v>
      </c>
      <c r="CE141" s="6"/>
      <c r="CF141" s="4">
        <v>45723</v>
      </c>
      <c r="CG141" s="4">
        <f t="shared" si="416"/>
        <v>47184</v>
      </c>
      <c r="CH141" s="8">
        <f t="shared" ca="1" si="417"/>
        <v>1039</v>
      </c>
      <c r="CI141" s="5" t="str">
        <f t="shared" ca="1" si="418"/>
        <v>VIGENTE</v>
      </c>
      <c r="CJ141" s="4"/>
      <c r="CK141" s="4">
        <v>45801</v>
      </c>
      <c r="CL141" s="4">
        <f>DATE(YEAR(CK141)+2,MONTH(CK141),DAY(CK141)-1)</f>
        <v>46530</v>
      </c>
      <c r="CM141" s="8">
        <f t="shared" ca="1" si="477"/>
        <v>385</v>
      </c>
      <c r="CN141" s="5" t="str">
        <f t="shared" ca="1" si="478"/>
        <v>VIGENTE</v>
      </c>
      <c r="CO141" s="3"/>
      <c r="CP141" s="39">
        <v>45888</v>
      </c>
      <c r="CQ141" s="4">
        <f>DATE(YEAR(CP141)+2,MONTH(CP141),DAY(CP141))</f>
        <v>46618</v>
      </c>
      <c r="CR141" s="8">
        <f t="shared" ca="1" si="479"/>
        <v>473</v>
      </c>
      <c r="CS141" s="5" t="str">
        <f t="shared" ca="1" si="480"/>
        <v>VIGENTE</v>
      </c>
      <c r="CT141" s="3"/>
      <c r="CU141" s="4">
        <v>45813</v>
      </c>
      <c r="CV141" s="4">
        <f>DATE(YEAR(CU141)+2,MONTH(CU141),DAY(CU141))</f>
        <v>46543</v>
      </c>
      <c r="CW141" s="8">
        <f t="shared" ca="1" si="481"/>
        <v>398</v>
      </c>
      <c r="CX141" s="5" t="str">
        <f t="shared" ca="1" si="482"/>
        <v>VIGENTE</v>
      </c>
      <c r="CY141" s="3"/>
      <c r="CZ141" s="4">
        <v>45843</v>
      </c>
      <c r="DA141" s="4">
        <f>DATE(YEAR(CZ141)+2,MONTH(CZ141),DAY(CZ141))</f>
        <v>46573</v>
      </c>
      <c r="DB141" s="8">
        <f t="shared" ca="1" si="483"/>
        <v>428</v>
      </c>
      <c r="DC141" s="5" t="str">
        <f t="shared" ca="1" si="484"/>
        <v>VIGENTE</v>
      </c>
      <c r="DD141" s="3"/>
      <c r="DE141" s="39">
        <v>45761</v>
      </c>
      <c r="DF141" s="4">
        <f>DATE(YEAR(DE141)+2,MONTH(DE141),DAY(DE141))</f>
        <v>46491</v>
      </c>
      <c r="DG141" s="8">
        <f t="shared" ca="1" si="485"/>
        <v>346</v>
      </c>
      <c r="DH141" s="5" t="str">
        <f t="shared" ca="1" si="486"/>
        <v>VIGENTE</v>
      </c>
      <c r="DI141" s="3"/>
      <c r="DJ141" s="39">
        <v>45899</v>
      </c>
      <c r="DK141" s="4">
        <f>DATE(YEAR(DJ141)+2,MONTH(DJ141),DAY(DJ141))</f>
        <v>46629</v>
      </c>
      <c r="DL141" s="8">
        <f t="shared" ca="1" si="487"/>
        <v>484</v>
      </c>
      <c r="DM141" s="5" t="str">
        <f t="shared" ca="1" si="488"/>
        <v>VIGENTE</v>
      </c>
      <c r="DN141" s="4"/>
      <c r="DO141" s="4">
        <v>45873</v>
      </c>
      <c r="DP141" s="4">
        <f>DATE(YEAR(DO141)+2,MONTH(DO141),DAY(DO141))</f>
        <v>46603</v>
      </c>
      <c r="DQ141" s="8">
        <f t="shared" ca="1" si="489"/>
        <v>458</v>
      </c>
      <c r="DR141" s="5" t="str">
        <f t="shared" ca="1" si="490"/>
        <v>VIGENTE</v>
      </c>
      <c r="DS141" s="3"/>
      <c r="DT141" s="4">
        <v>45852</v>
      </c>
      <c r="DU141" s="4">
        <f>DATE(YEAR(DT141)+2,MONTH(DT141),DAY(DT141))</f>
        <v>46582</v>
      </c>
      <c r="DV141" s="8">
        <f t="shared" ca="1" si="491"/>
        <v>437</v>
      </c>
      <c r="DW141" s="5" t="str">
        <f t="shared" ca="1" si="492"/>
        <v>VIGENTE</v>
      </c>
      <c r="DX141" s="3"/>
      <c r="DY141" s="4">
        <v>45847</v>
      </c>
      <c r="DZ141" s="4">
        <f>DATE(YEAR(DY141)+2,MONTH(DY141),DAY(DY141))</f>
        <v>46577</v>
      </c>
      <c r="EA141" s="8">
        <f t="shared" ca="1" si="493"/>
        <v>432</v>
      </c>
      <c r="EB141" s="5" t="str">
        <f t="shared" ca="1" si="494"/>
        <v>VIGENTE</v>
      </c>
      <c r="EC141" s="3"/>
      <c r="ED141" s="39">
        <v>45938</v>
      </c>
      <c r="EE141" s="4">
        <f>DATE(YEAR(ED141)+2,MONTH(ED141),DAY(ED141))</f>
        <v>46668</v>
      </c>
      <c r="EF141" s="8">
        <f t="shared" ca="1" si="495"/>
        <v>523</v>
      </c>
      <c r="EG141" s="5" t="str">
        <f t="shared" ca="1" si="496"/>
        <v>VIGENTE</v>
      </c>
      <c r="EH141" s="3"/>
      <c r="EI141" s="3">
        <v>45911</v>
      </c>
      <c r="EJ141" s="4">
        <f t="shared" si="558"/>
        <v>46276</v>
      </c>
      <c r="EK141" s="8">
        <f t="shared" ca="1" si="497"/>
        <v>131</v>
      </c>
      <c r="EL141" s="5" t="str">
        <f t="shared" ca="1" si="498"/>
        <v>VIGENTE</v>
      </c>
      <c r="EM141" s="3"/>
      <c r="EN141" s="4">
        <v>45840</v>
      </c>
      <c r="EO141" s="4">
        <f>DATE(YEAR(EN141)+2,MONTH(EN141),DAY(EN141))</f>
        <v>46570</v>
      </c>
      <c r="EP141" s="8">
        <f t="shared" ca="1" si="499"/>
        <v>425</v>
      </c>
      <c r="EQ141" s="5" t="str">
        <f t="shared" ca="1" si="500"/>
        <v>VIGENTE</v>
      </c>
      <c r="ER141" s="2"/>
      <c r="ES141" s="39">
        <v>45735</v>
      </c>
      <c r="ET141" s="4">
        <f>DATE(YEAR(ES141)+2,MONTH(ES141),DAY(ES141)-1)</f>
        <v>46464</v>
      </c>
      <c r="EU141" s="8">
        <f t="shared" ca="1" si="501"/>
        <v>319</v>
      </c>
      <c r="EV141" s="5" t="str">
        <f t="shared" ca="1" si="502"/>
        <v>VIGENTE</v>
      </c>
      <c r="EW141" s="3"/>
      <c r="EX141" s="4">
        <v>45917</v>
      </c>
      <c r="EY141" s="4">
        <f>DATE(YEAR(EX141)+2,MONTH(EX141),DAY(EX141))</f>
        <v>46647</v>
      </c>
      <c r="EZ141" s="8">
        <f t="shared" ca="1" si="503"/>
        <v>502</v>
      </c>
      <c r="FA141" s="5" t="str">
        <f t="shared" ca="1" si="504"/>
        <v>VIGENTE</v>
      </c>
      <c r="FB141" s="3"/>
      <c r="FC141" s="4">
        <v>45803</v>
      </c>
      <c r="FD141" s="4">
        <f>DATE(YEAR(FC141)+2,MONTH(FC141),DAY(FC141))</f>
        <v>46533</v>
      </c>
      <c r="FE141" s="8">
        <f t="shared" ca="1" si="505"/>
        <v>388</v>
      </c>
      <c r="FF141" s="5" t="str">
        <f t="shared" ca="1" si="506"/>
        <v>VIGENTE</v>
      </c>
      <c r="FG141" s="2"/>
      <c r="FH141" s="4">
        <v>45932</v>
      </c>
      <c r="FI141" s="4">
        <f>DATE(YEAR(FH141)+2,MONTH(FH141),DAY(FH141))</f>
        <v>46662</v>
      </c>
      <c r="FJ141" s="8">
        <f t="shared" ca="1" si="507"/>
        <v>517</v>
      </c>
      <c r="FK141" s="5" t="str">
        <f t="shared" ca="1" si="508"/>
        <v>VIGENTE</v>
      </c>
      <c r="FL141" s="3"/>
      <c r="FM141" s="39">
        <v>45850</v>
      </c>
      <c r="FN141" s="4">
        <f>DATE(YEAR(FM141)+2,MONTH(FM141),DAY(FM141))</f>
        <v>46580</v>
      </c>
      <c r="FO141" s="8">
        <f t="shared" ca="1" si="509"/>
        <v>435</v>
      </c>
      <c r="FP141" s="5" t="str">
        <f t="shared" ca="1" si="510"/>
        <v>VIGENTE</v>
      </c>
      <c r="FQ141" s="3"/>
      <c r="FR141" s="39">
        <v>45846</v>
      </c>
      <c r="FS141" s="4">
        <f>DATE(YEAR(FR141)+2,MONTH(FR141),DAY(FR141))</f>
        <v>46576</v>
      </c>
      <c r="FT141" s="8">
        <f t="shared" ca="1" si="511"/>
        <v>431</v>
      </c>
      <c r="FU141" s="5" t="str">
        <f t="shared" ca="1" si="512"/>
        <v>VIGENTE</v>
      </c>
      <c r="FV141" s="3"/>
      <c r="FW141" s="4">
        <v>45875</v>
      </c>
      <c r="FX141" s="4">
        <f>DATE(YEAR(FW141)+2,MONTH(FW141),DAY(FW141))</f>
        <v>46605</v>
      </c>
      <c r="FY141" s="8">
        <f t="shared" ca="1" si="513"/>
        <v>460</v>
      </c>
      <c r="FZ141" s="5" t="str">
        <f t="shared" ca="1" si="514"/>
        <v>VIGENTE</v>
      </c>
      <c r="GA141" s="3"/>
      <c r="GB141" s="4">
        <v>45741</v>
      </c>
      <c r="GC141" s="4">
        <f>DATE(YEAR(GB141)+2,MONTH(GB141),DAY(GB141)-1)</f>
        <v>46470</v>
      </c>
      <c r="GD141" s="8">
        <f t="shared" ca="1" si="515"/>
        <v>325</v>
      </c>
      <c r="GE141" s="5" t="str">
        <f t="shared" ca="1" si="516"/>
        <v>VIGENTE</v>
      </c>
      <c r="GF141" s="3"/>
      <c r="GG141" s="4">
        <v>45912</v>
      </c>
      <c r="GH141" s="4">
        <f>DATE(YEAR(GG141)+2,MONTH(GG141),DAY(GG141))</f>
        <v>46642</v>
      </c>
      <c r="GI141" s="8">
        <f t="shared" ca="1" si="517"/>
        <v>497</v>
      </c>
      <c r="GJ141" s="5" t="str">
        <f t="shared" ca="1" si="518"/>
        <v>VIGENTE</v>
      </c>
      <c r="GK141" s="3"/>
      <c r="GL141" s="4">
        <v>45945</v>
      </c>
      <c r="GM141" s="4">
        <f t="shared" ref="GM141:GM150" si="571">DATE(YEAR(GL141)+2,MONTH(GL141),DAY(GL141))</f>
        <v>46675</v>
      </c>
      <c r="GN141" s="8">
        <f t="shared" ca="1" si="519"/>
        <v>530</v>
      </c>
      <c r="GO141" s="5" t="str">
        <f t="shared" ca="1" si="520"/>
        <v>VIGENTE</v>
      </c>
      <c r="GP141" s="4"/>
      <c r="GQ141" s="4">
        <v>45169</v>
      </c>
      <c r="GR141" s="4">
        <f t="shared" si="521"/>
        <v>46996</v>
      </c>
      <c r="GS141" s="8">
        <f t="shared" ca="1" si="405"/>
        <v>851</v>
      </c>
      <c r="GT141" s="5" t="str">
        <f t="shared" ca="1" si="419"/>
        <v>VIGENTE</v>
      </c>
      <c r="GU141" s="3"/>
      <c r="GV141" s="4">
        <v>45245</v>
      </c>
      <c r="GW141" s="4">
        <f t="shared" si="522"/>
        <v>47072</v>
      </c>
      <c r="GX141" s="8">
        <f t="shared" ca="1" si="523"/>
        <v>927</v>
      </c>
      <c r="GY141" s="5" t="str">
        <f t="shared" ca="1" si="426"/>
        <v>VIGENTE</v>
      </c>
      <c r="GZ141" s="2"/>
      <c r="HA141" s="4">
        <v>45182</v>
      </c>
      <c r="HB141" s="4">
        <f t="shared" si="524"/>
        <v>47009</v>
      </c>
      <c r="HC141" s="8">
        <f t="shared" ca="1" si="525"/>
        <v>864</v>
      </c>
      <c r="HD141" s="5" t="str">
        <f t="shared" ca="1" si="421"/>
        <v>VIGENTE</v>
      </c>
      <c r="HE141" s="6"/>
      <c r="HF141" s="6"/>
      <c r="HG141" s="4"/>
      <c r="HH141" s="8"/>
      <c r="HI141" s="5" t="str">
        <f t="shared" si="427"/>
        <v>NO APLICA</v>
      </c>
      <c r="HJ141" s="2"/>
      <c r="HK141" s="6"/>
      <c r="HL141" s="4"/>
      <c r="HM141" s="8"/>
      <c r="HN141" s="5" t="str">
        <f t="shared" si="444"/>
        <v>NO APLICA</v>
      </c>
      <c r="HO141" s="2"/>
      <c r="HP141" s="2"/>
      <c r="HQ141" s="4"/>
      <c r="HR141" s="2"/>
      <c r="HS141" s="5" t="str">
        <f t="shared" si="526"/>
        <v>NO APLICA</v>
      </c>
      <c r="HT141" s="2"/>
      <c r="HU141" s="6"/>
      <c r="HV141" s="4"/>
      <c r="HW141" s="8"/>
      <c r="HX141" s="5" t="str">
        <f t="shared" si="527"/>
        <v>NO APLICA</v>
      </c>
      <c r="HY141" s="2"/>
      <c r="HZ141" s="6"/>
      <c r="IA141" s="4"/>
      <c r="IB141" s="8"/>
      <c r="IC141" s="5" t="str">
        <f t="shared" si="528"/>
        <v>NO APLICA</v>
      </c>
      <c r="ID141" s="2"/>
      <c r="IE141" s="6"/>
      <c r="IF141" s="4"/>
      <c r="IG141" s="8"/>
      <c r="IH141" s="5" t="str">
        <f t="shared" si="529"/>
        <v>NO APLICA</v>
      </c>
      <c r="II141" s="6"/>
      <c r="IJ141" s="6"/>
      <c r="IK141" s="4"/>
      <c r="IL141" s="8"/>
      <c r="IM141" s="5" t="str">
        <f t="shared" si="530"/>
        <v>NO APLICA</v>
      </c>
      <c r="IN141" s="2"/>
      <c r="IO141" s="6"/>
      <c r="IP141" s="4"/>
      <c r="IQ141" s="8"/>
      <c r="IR141" s="5" t="str">
        <f t="shared" si="531"/>
        <v>NO APLICA</v>
      </c>
      <c r="IS141" s="2"/>
      <c r="IT141" s="6"/>
      <c r="IU141" s="4"/>
      <c r="IV141" s="8"/>
      <c r="IW141" s="5" t="str">
        <f t="shared" si="532"/>
        <v>NO APLICA</v>
      </c>
      <c r="IX141" s="2"/>
      <c r="IY141" s="6"/>
      <c r="IZ141" s="4"/>
      <c r="JA141" s="8"/>
      <c r="JB141" s="5" t="str">
        <f t="shared" si="533"/>
        <v>NO APLICA</v>
      </c>
      <c r="JC141" s="3" t="s">
        <v>780</v>
      </c>
      <c r="JD141" s="3"/>
      <c r="JE141" s="4"/>
      <c r="JF141" s="8"/>
      <c r="JG141" s="5"/>
      <c r="JH141" s="3" t="s">
        <v>780</v>
      </c>
      <c r="JI141" s="6"/>
      <c r="JJ141" s="6"/>
      <c r="JK141" s="6"/>
      <c r="JL141" s="5"/>
      <c r="JM141" s="6" t="s">
        <v>780</v>
      </c>
      <c r="JN141" s="6"/>
      <c r="JO141" s="6"/>
      <c r="JP141" s="6"/>
      <c r="JQ141" s="5"/>
      <c r="JR141" s="6" t="s">
        <v>780</v>
      </c>
      <c r="JS141" s="6"/>
      <c r="JT141" s="6"/>
      <c r="JU141" s="6"/>
      <c r="JV141" s="5"/>
      <c r="JW141" s="6" t="s">
        <v>780</v>
      </c>
      <c r="JX141" s="3"/>
      <c r="JY141" s="4"/>
      <c r="JZ141" s="8"/>
      <c r="KA141" s="5"/>
      <c r="KB141" s="5"/>
      <c r="KC141" s="2"/>
      <c r="KD141" s="4"/>
      <c r="KE141" s="8"/>
      <c r="KF141" s="5" t="str">
        <f t="shared" si="534"/>
        <v>NO APLICA</v>
      </c>
      <c r="KG141" s="5"/>
      <c r="KH141" s="2"/>
      <c r="KI141" s="4"/>
      <c r="KJ141" s="8"/>
      <c r="KK141" s="5" t="str">
        <f t="shared" si="559"/>
        <v>NO APLICA</v>
      </c>
      <c r="KL141" s="5"/>
      <c r="KM141" s="2"/>
      <c r="KN141" s="4"/>
      <c r="KO141" s="8"/>
      <c r="KP141" s="5" t="str">
        <f t="shared" si="535"/>
        <v>NO APLICA</v>
      </c>
      <c r="KQ141" s="5"/>
      <c r="KR141" s="2"/>
      <c r="KS141" s="4"/>
      <c r="KT141" s="8"/>
      <c r="KU141" s="5" t="str">
        <f t="shared" si="560"/>
        <v>NO APLICA</v>
      </c>
      <c r="KV141" s="2"/>
      <c r="KW141" s="6"/>
      <c r="KX141" s="4"/>
      <c r="KY141" s="8"/>
      <c r="KZ141" s="5" t="str">
        <f t="shared" si="565"/>
        <v>NO APLICA</v>
      </c>
      <c r="LA141" s="5"/>
      <c r="LB141" s="6"/>
      <c r="LC141" s="4"/>
      <c r="LD141" s="8"/>
      <c r="LE141" s="5" t="str">
        <f t="shared" si="561"/>
        <v>NO APLICA</v>
      </c>
      <c r="LF141" s="6"/>
      <c r="LG141" s="6"/>
      <c r="LH141" s="4"/>
      <c r="LI141" s="8"/>
      <c r="LJ141" s="5" t="str">
        <f t="shared" si="567"/>
        <v>NO APLICA</v>
      </c>
      <c r="LK141" s="5"/>
      <c r="LL141" s="5"/>
      <c r="LM141" s="4"/>
      <c r="LN141" s="8"/>
      <c r="LO141" s="5" t="str">
        <f t="shared" si="566"/>
        <v>NO APLICA</v>
      </c>
      <c r="LP141" s="2"/>
      <c r="LQ141" s="6"/>
      <c r="LR141" s="4"/>
      <c r="LS141" s="8"/>
      <c r="LT141" s="5" t="str">
        <f t="shared" si="562"/>
        <v>NO APLICA</v>
      </c>
      <c r="LU141" s="6"/>
      <c r="LV141" s="6"/>
      <c r="LW141" s="4"/>
      <c r="LX141" s="8"/>
      <c r="LY141" s="5" t="str">
        <f t="shared" si="563"/>
        <v>NO APLICA</v>
      </c>
      <c r="LZ141" s="6"/>
      <c r="MA141" s="6"/>
      <c r="MB141" s="4"/>
      <c r="MC141" s="8"/>
      <c r="MD141" s="5" t="str">
        <f t="shared" si="564"/>
        <v>NO APLICA</v>
      </c>
      <c r="ME141" s="2"/>
      <c r="MF141" s="2"/>
      <c r="MG141" s="4"/>
      <c r="MH141" s="8"/>
      <c r="MI141" s="5" t="str">
        <f t="shared" si="537"/>
        <v>NO APLICA</v>
      </c>
      <c r="MJ141" s="2"/>
      <c r="MK141" s="2"/>
      <c r="ML141" s="4"/>
      <c r="MM141" s="8"/>
      <c r="MN141" s="5" t="str">
        <f t="shared" si="538"/>
        <v>NO APLICA</v>
      </c>
      <c r="MO141" s="5"/>
      <c r="MP141" s="2"/>
      <c r="MQ141" s="4"/>
      <c r="MR141" s="8"/>
      <c r="MS141" s="5" t="str">
        <f t="shared" si="539"/>
        <v>NO APLICA</v>
      </c>
      <c r="MT141" s="5"/>
      <c r="MU141" s="2"/>
      <c r="MV141" s="4"/>
      <c r="MW141" s="2"/>
      <c r="MX141" s="5" t="str">
        <f t="shared" si="540"/>
        <v>NO APLICA</v>
      </c>
      <c r="MY141" s="2"/>
      <c r="MZ141" s="6"/>
      <c r="NA141" s="4"/>
      <c r="NB141" s="8"/>
      <c r="NC141" s="5" t="str">
        <f t="shared" si="541"/>
        <v>NO APLICA</v>
      </c>
      <c r="ND141" s="2"/>
      <c r="NE141" s="6"/>
      <c r="NF141" s="4"/>
      <c r="NG141" s="8"/>
      <c r="NH141" s="5" t="str">
        <f t="shared" si="542"/>
        <v>NO APLICA</v>
      </c>
      <c r="NI141" s="2"/>
      <c r="NJ141" s="6"/>
      <c r="NK141" s="4"/>
      <c r="NL141" s="8"/>
      <c r="NM141" s="5" t="str">
        <f t="shared" si="543"/>
        <v>NO APLICA</v>
      </c>
      <c r="NN141" s="2"/>
      <c r="NO141" s="2"/>
      <c r="NP141" s="4"/>
      <c r="NQ141" s="8"/>
      <c r="NR141" s="5" t="str">
        <f t="shared" si="544"/>
        <v>NO APLICA</v>
      </c>
      <c r="NS141" s="2"/>
      <c r="NT141" s="2"/>
      <c r="NU141" s="4"/>
      <c r="NV141" s="2"/>
      <c r="NW141" s="5" t="str">
        <f t="shared" si="545"/>
        <v>NO APLICA</v>
      </c>
      <c r="NX141" s="6"/>
      <c r="NY141" s="6"/>
      <c r="NZ141" s="4"/>
      <c r="OA141" s="8"/>
      <c r="OB141" s="5" t="str">
        <f t="shared" si="546"/>
        <v>NO APLICA</v>
      </c>
      <c r="OC141" s="6"/>
      <c r="OD141" s="6"/>
      <c r="OE141" s="6"/>
      <c r="OF141" s="6"/>
      <c r="OG141" s="5" t="str">
        <f t="shared" si="547"/>
        <v>NO APLICA</v>
      </c>
      <c r="OH141" s="6"/>
      <c r="OI141" s="6"/>
      <c r="OJ141" s="4"/>
      <c r="OK141" s="8"/>
      <c r="OL141" s="5" t="str">
        <f t="shared" si="548"/>
        <v>NO APLICA</v>
      </c>
      <c r="OM141" s="6"/>
      <c r="ON141" s="6"/>
      <c r="OO141" s="6"/>
      <c r="OP141" s="6"/>
      <c r="OQ141" s="5" t="str">
        <f t="shared" si="549"/>
        <v>NO APLICA</v>
      </c>
      <c r="OR141" s="6"/>
      <c r="OS141" s="6"/>
      <c r="OT141" s="6"/>
      <c r="OU141" s="6"/>
      <c r="OV141" s="5" t="str">
        <f t="shared" si="550"/>
        <v>NO APLICA</v>
      </c>
      <c r="OW141" s="6"/>
      <c r="OX141" s="6"/>
      <c r="OY141" s="6"/>
      <c r="OZ141" s="6"/>
      <c r="PA141" s="5" t="str">
        <f t="shared" si="551"/>
        <v>NO APLICA</v>
      </c>
      <c r="PB141" s="6"/>
      <c r="PC141" s="6"/>
      <c r="PD141" s="6"/>
      <c r="PE141" s="6"/>
      <c r="PF141" s="5" t="str">
        <f t="shared" si="552"/>
        <v>NO APLICA</v>
      </c>
      <c r="PG141" s="6"/>
      <c r="PH141" s="6"/>
      <c r="PI141" s="6"/>
      <c r="PJ141" s="6"/>
      <c r="PK141" s="5" t="str">
        <f t="shared" si="553"/>
        <v>NO APLICA</v>
      </c>
      <c r="PL141" s="5"/>
      <c r="PM141" s="6"/>
      <c r="PN141" s="4"/>
      <c r="PO141" s="8"/>
      <c r="PP141" s="5" t="str">
        <f t="shared" si="554"/>
        <v>NO APLICA</v>
      </c>
      <c r="PQ141" s="6"/>
      <c r="PR141" s="6"/>
      <c r="PS141" s="6"/>
      <c r="PT141" s="6"/>
      <c r="PU141" s="5" t="str">
        <f t="shared" si="555"/>
        <v>NO APLICA</v>
      </c>
      <c r="PV141" s="5"/>
      <c r="PW141" s="4">
        <v>45499</v>
      </c>
      <c r="PX141" s="4"/>
      <c r="PY141" s="8"/>
      <c r="PZ141" s="5" t="str">
        <f>IF(PY141&gt;=61,"VIGENTE",IF(PY141&gt;=1,"POR VENCER",IF(PY141&lt;=-1,"VENCIDA",IF(PY141=0,"NO APLICA"))))</f>
        <v>NO APLICA</v>
      </c>
    </row>
    <row r="142" spans="1:442" ht="15.6" hidden="1" thickTop="1" thickBot="1" x14ac:dyDescent="0.35">
      <c r="A142" s="26">
        <v>139</v>
      </c>
      <c r="B142" s="31">
        <v>1341</v>
      </c>
      <c r="C142" s="28" t="s">
        <v>764</v>
      </c>
      <c r="D142" s="29" t="s">
        <v>68</v>
      </c>
      <c r="E142" s="30" t="s">
        <v>73</v>
      </c>
      <c r="F142" s="6"/>
      <c r="G142" s="6"/>
      <c r="H142" s="6"/>
      <c r="I142" s="6"/>
      <c r="J142" s="5" t="str">
        <f t="shared" si="455"/>
        <v>NO APLICA</v>
      </c>
      <c r="K142" s="6"/>
      <c r="L142" s="6"/>
      <c r="M142" s="6"/>
      <c r="N142" s="6"/>
      <c r="O142" s="5" t="str">
        <f t="shared" si="456"/>
        <v>NO APLICA</v>
      </c>
      <c r="P142" s="6"/>
      <c r="Q142" s="6"/>
      <c r="R142" s="6"/>
      <c r="S142" s="6"/>
      <c r="T142" s="5" t="str">
        <f t="shared" si="557"/>
        <v>NO APLICA</v>
      </c>
      <c r="U142" s="5"/>
      <c r="V142" s="6" t="s">
        <v>461</v>
      </c>
      <c r="W142" s="4">
        <v>45337</v>
      </c>
      <c r="X142" s="4">
        <f t="shared" si="410"/>
        <v>47164</v>
      </c>
      <c r="Y142" s="8">
        <f t="shared" ca="1" si="411"/>
        <v>1019</v>
      </c>
      <c r="Z142" s="5" t="str">
        <f t="shared" ca="1" si="412"/>
        <v>VIGENTE</v>
      </c>
      <c r="AA142" s="5"/>
      <c r="AB142" s="6" t="s">
        <v>462</v>
      </c>
      <c r="AC142" s="4">
        <v>45464</v>
      </c>
      <c r="AD142" s="4">
        <f>DATE(YEAR(AC142)+5,MONTH(AC142),DAY(AC142))</f>
        <v>47290</v>
      </c>
      <c r="AE142" s="8">
        <f ca="1">AD142-TODAY()</f>
        <v>1145</v>
      </c>
      <c r="AF142" s="5" t="str">
        <f t="shared" ca="1" si="457"/>
        <v>VIGENTE</v>
      </c>
      <c r="AG142" s="4"/>
      <c r="AH142" s="4">
        <v>46002</v>
      </c>
      <c r="AI142" s="4">
        <f>DATE(YEAR(AH142)+2,MONTH(AH142),DAY(AH142))</f>
        <v>46732</v>
      </c>
      <c r="AJ142" s="8">
        <f t="shared" ca="1" si="458"/>
        <v>587</v>
      </c>
      <c r="AK142" s="5" t="str">
        <f t="shared" ca="1" si="408"/>
        <v>VIGENTE</v>
      </c>
      <c r="AL142" s="4"/>
      <c r="AM142" s="4">
        <v>46084</v>
      </c>
      <c r="AN142" s="4">
        <f>DATE(YEAR(AM142)+2,MONTH(AM142),DAY(AM142))</f>
        <v>46815</v>
      </c>
      <c r="AO142" s="8">
        <f t="shared" ca="1" si="459"/>
        <v>670</v>
      </c>
      <c r="AP142" s="5" t="str">
        <f t="shared" ca="1" si="460"/>
        <v>VIGENTE</v>
      </c>
      <c r="AQ142" s="6"/>
      <c r="AR142" s="4">
        <v>46048</v>
      </c>
      <c r="AS142" s="4">
        <f t="shared" si="568"/>
        <v>46778</v>
      </c>
      <c r="AT142" s="8">
        <f t="shared" ca="1" si="461"/>
        <v>633</v>
      </c>
      <c r="AU142" s="5" t="str">
        <f t="shared" ca="1" si="462"/>
        <v>VIGENTE</v>
      </c>
      <c r="AV142" s="6"/>
      <c r="AW142" s="4">
        <v>46070</v>
      </c>
      <c r="AX142" s="4">
        <f t="shared" si="569"/>
        <v>46800</v>
      </c>
      <c r="AY142" s="8">
        <f t="shared" ca="1" si="463"/>
        <v>655</v>
      </c>
      <c r="AZ142" s="5" t="str">
        <f t="shared" ca="1" si="464"/>
        <v>VIGENTE</v>
      </c>
      <c r="BA142" s="3"/>
      <c r="BB142" s="4">
        <v>46041</v>
      </c>
      <c r="BC142" s="4">
        <f>DATE(YEAR(BB142)+2,MONTH(BB142),DAY(BB142))</f>
        <v>46771</v>
      </c>
      <c r="BD142" s="8">
        <f t="shared" ca="1" si="465"/>
        <v>626</v>
      </c>
      <c r="BE142" s="5" t="str">
        <f t="shared" ca="1" si="466"/>
        <v>VIGENTE</v>
      </c>
      <c r="BF142" s="6"/>
      <c r="BG142" s="4">
        <v>45987</v>
      </c>
      <c r="BH142" s="4">
        <f>DATE(YEAR(BG142)+2,MONTH(BG142),DAY(BG142))</f>
        <v>46717</v>
      </c>
      <c r="BI142" s="8">
        <f t="shared" ca="1" si="467"/>
        <v>572</v>
      </c>
      <c r="BJ142" s="5" t="str">
        <f t="shared" ca="1" si="468"/>
        <v>VIGENTE</v>
      </c>
      <c r="BK142" s="4"/>
      <c r="BL142" s="4">
        <v>46035</v>
      </c>
      <c r="BM142" s="4">
        <f>DATE(YEAR(BL142)+2,MONTH(BL142),DAY(BL142))</f>
        <v>46765</v>
      </c>
      <c r="BN142" s="8">
        <f t="shared" ca="1" si="469"/>
        <v>620</v>
      </c>
      <c r="BO142" s="5" t="str">
        <f t="shared" ca="1" si="470"/>
        <v>VIGENTE</v>
      </c>
      <c r="BP142" s="4"/>
      <c r="BQ142" s="39">
        <v>45988</v>
      </c>
      <c r="BR142" s="4">
        <f t="shared" si="570"/>
        <v>46718</v>
      </c>
      <c r="BS142" s="8">
        <f t="shared" ca="1" si="471"/>
        <v>573</v>
      </c>
      <c r="BT142" s="5" t="str">
        <f t="shared" ca="1" si="472"/>
        <v>VIGENTE</v>
      </c>
      <c r="BU142" s="3"/>
      <c r="BV142" s="4">
        <v>46031</v>
      </c>
      <c r="BW142" s="4">
        <f>DATE(YEAR(BV142)+2,MONTH(BV142),DAY(BV142))</f>
        <v>46761</v>
      </c>
      <c r="BX142" s="8">
        <f t="shared" ca="1" si="473"/>
        <v>616</v>
      </c>
      <c r="BY142" s="5" t="str">
        <f t="shared" ca="1" si="474"/>
        <v>VIGENTE</v>
      </c>
      <c r="BZ142" s="6"/>
      <c r="CA142" s="4">
        <v>45986</v>
      </c>
      <c r="CB142" s="4">
        <f>DATE(YEAR(CA142)+2,MONTH(CA142),DAY(CA142))</f>
        <v>46716</v>
      </c>
      <c r="CC142" s="8">
        <f t="shared" ca="1" si="475"/>
        <v>571</v>
      </c>
      <c r="CD142" s="5" t="str">
        <f t="shared" ca="1" si="476"/>
        <v>VIGENTE</v>
      </c>
      <c r="CE142" s="6"/>
      <c r="CF142" s="4">
        <v>45346</v>
      </c>
      <c r="CG142" s="4">
        <f t="shared" si="416"/>
        <v>46807</v>
      </c>
      <c r="CH142" s="8">
        <f t="shared" ca="1" si="417"/>
        <v>662</v>
      </c>
      <c r="CI142" s="5" t="str">
        <f t="shared" ca="1" si="418"/>
        <v>VIGENTE</v>
      </c>
      <c r="CJ142" s="4"/>
      <c r="CK142" s="4">
        <v>46018</v>
      </c>
      <c r="CL142" s="4">
        <f>DATE(YEAR(CK142)+2,MONTH(CK142),DAY(CK142))</f>
        <v>46748</v>
      </c>
      <c r="CM142" s="8">
        <f t="shared" ca="1" si="477"/>
        <v>603</v>
      </c>
      <c r="CN142" s="5" t="str">
        <f t="shared" ca="1" si="478"/>
        <v>VIGENTE</v>
      </c>
      <c r="CO142" s="4"/>
      <c r="CP142" s="4">
        <v>46101</v>
      </c>
      <c r="CQ142" s="4">
        <f>DATE(YEAR(CP142)+2,MONTH(CP142),DAY(CP142))</f>
        <v>46832</v>
      </c>
      <c r="CR142" s="8">
        <f t="shared" ca="1" si="479"/>
        <v>687</v>
      </c>
      <c r="CS142" s="5" t="str">
        <f t="shared" ca="1" si="480"/>
        <v>VIGENTE</v>
      </c>
      <c r="CT142" s="4"/>
      <c r="CU142" s="4">
        <v>46043</v>
      </c>
      <c r="CV142" s="4">
        <f>DATE(YEAR(CU142)+2,MONTH(CU142),DAY(CU142))</f>
        <v>46773</v>
      </c>
      <c r="CW142" s="8">
        <f t="shared" ca="1" si="481"/>
        <v>628</v>
      </c>
      <c r="CX142" s="5" t="str">
        <f t="shared" ca="1" si="482"/>
        <v>VIGENTE</v>
      </c>
      <c r="CY142" s="4"/>
      <c r="CZ142" s="4">
        <v>46028</v>
      </c>
      <c r="DA142" s="4">
        <f>DATE(YEAR(CZ142)+2,MONTH(CZ142),DAY(CZ142))</f>
        <v>46758</v>
      </c>
      <c r="DB142" s="8">
        <f t="shared" ca="1" si="483"/>
        <v>613</v>
      </c>
      <c r="DC142" s="5" t="str">
        <f t="shared" ca="1" si="484"/>
        <v>VIGENTE</v>
      </c>
      <c r="DD142" s="4"/>
      <c r="DE142" s="4">
        <v>46066</v>
      </c>
      <c r="DF142" s="4">
        <f>DATE(YEAR(DE142)+2,MONTH(DE142),DAY(DE142))</f>
        <v>46796</v>
      </c>
      <c r="DG142" s="8">
        <f t="shared" ca="1" si="485"/>
        <v>651</v>
      </c>
      <c r="DH142" s="5" t="str">
        <f t="shared" ca="1" si="486"/>
        <v>VIGENTE</v>
      </c>
      <c r="DI142" s="6"/>
      <c r="DJ142" s="39">
        <v>46126</v>
      </c>
      <c r="DK142" s="4">
        <f>DATE(YEAR(DJ142)+2,MONTH(DJ142),DAY(DJ142)-1)</f>
        <v>46856</v>
      </c>
      <c r="DL142" s="8">
        <f t="shared" ca="1" si="487"/>
        <v>711</v>
      </c>
      <c r="DM142" s="5" t="str">
        <f t="shared" ca="1" si="488"/>
        <v>VIGENTE</v>
      </c>
      <c r="DN142" s="4"/>
      <c r="DO142" s="4">
        <v>46046</v>
      </c>
      <c r="DP142" s="4">
        <f>DATE(YEAR(DO142)+2,MONTH(DO142),DAY(DO142))</f>
        <v>46776</v>
      </c>
      <c r="DQ142" s="8">
        <f t="shared" ca="1" si="489"/>
        <v>631</v>
      </c>
      <c r="DR142" s="5" t="str">
        <f t="shared" ca="1" si="490"/>
        <v>VIGENTE</v>
      </c>
      <c r="DS142" s="6"/>
      <c r="DT142" s="4">
        <v>46053</v>
      </c>
      <c r="DU142" s="4">
        <f>DATE(YEAR(DT142)+2,MONTH(DT142),DAY(DT142))</f>
        <v>46783</v>
      </c>
      <c r="DV142" s="8">
        <f t="shared" ca="1" si="491"/>
        <v>638</v>
      </c>
      <c r="DW142" s="5" t="str">
        <f t="shared" ca="1" si="492"/>
        <v>VIGENTE</v>
      </c>
      <c r="DX142" s="4"/>
      <c r="DY142" s="4">
        <v>46099</v>
      </c>
      <c r="DZ142" s="4">
        <f>DATE(YEAR(DY142)+2,MONTH(DY142),DAY(DY142))</f>
        <v>46830</v>
      </c>
      <c r="EA142" s="8">
        <f t="shared" ca="1" si="493"/>
        <v>685</v>
      </c>
      <c r="EB142" s="5" t="str">
        <f t="shared" ca="1" si="494"/>
        <v>VIGENTE</v>
      </c>
      <c r="EC142" s="4"/>
      <c r="ED142" s="39">
        <v>46104</v>
      </c>
      <c r="EE142" s="4">
        <f>DATE(YEAR(ED142)+2,MONTH(ED142),DAY(ED142))</f>
        <v>46835</v>
      </c>
      <c r="EF142" s="8">
        <f t="shared" ca="1" si="495"/>
        <v>690</v>
      </c>
      <c r="EG142" s="5" t="str">
        <f t="shared" ca="1" si="496"/>
        <v>VIGENTE</v>
      </c>
      <c r="EH142" s="4"/>
      <c r="EI142" s="4">
        <v>46115</v>
      </c>
      <c r="EJ142" s="4">
        <f t="shared" si="558"/>
        <v>46480</v>
      </c>
      <c r="EK142" s="8">
        <f t="shared" ca="1" si="497"/>
        <v>335</v>
      </c>
      <c r="EL142" s="5" t="str">
        <f t="shared" ca="1" si="498"/>
        <v>VIGENTE</v>
      </c>
      <c r="EM142" s="4"/>
      <c r="EN142" s="4">
        <v>46100</v>
      </c>
      <c r="EO142" s="4">
        <f>DATE(YEAR(EN142)+2,MONTH(EN142),DAY(EN142))</f>
        <v>46831</v>
      </c>
      <c r="EP142" s="8">
        <f t="shared" ca="1" si="499"/>
        <v>686</v>
      </c>
      <c r="EQ142" s="5" t="str">
        <f t="shared" ca="1" si="500"/>
        <v>VIGENTE</v>
      </c>
      <c r="ER142" s="6"/>
      <c r="ES142" s="39">
        <v>45999</v>
      </c>
      <c r="ET142" s="4">
        <f>DATE(YEAR(ES142)+2,MONTH(ES142),DAY(ES142))</f>
        <v>46729</v>
      </c>
      <c r="EU142" s="8">
        <f t="shared" ca="1" si="501"/>
        <v>584</v>
      </c>
      <c r="EV142" s="5" t="str">
        <f t="shared" ca="1" si="502"/>
        <v>VIGENTE</v>
      </c>
      <c r="EW142" s="4"/>
      <c r="EX142" s="4">
        <v>46063</v>
      </c>
      <c r="EY142" s="4">
        <f>DATE(YEAR(EX142)+2,MONTH(EX142),DAY(EX142))</f>
        <v>46793</v>
      </c>
      <c r="EZ142" s="8">
        <f t="shared" ca="1" si="503"/>
        <v>648</v>
      </c>
      <c r="FA142" s="5" t="str">
        <f t="shared" ca="1" si="504"/>
        <v>VIGENTE</v>
      </c>
      <c r="FB142" s="4"/>
      <c r="FC142" s="4">
        <v>46017</v>
      </c>
      <c r="FD142" s="4">
        <f>DATE(YEAR(FC142)+2,MONTH(FC142),DAY(FC142))</f>
        <v>46747</v>
      </c>
      <c r="FE142" s="8">
        <f t="shared" ca="1" si="505"/>
        <v>602</v>
      </c>
      <c r="FF142" s="5" t="str">
        <f t="shared" ca="1" si="506"/>
        <v>VIGENTE</v>
      </c>
      <c r="FG142" s="6"/>
      <c r="FH142" s="4">
        <v>46009</v>
      </c>
      <c r="FI142" s="4">
        <f>DATE(YEAR(FH142)+2,MONTH(FH142),DAY(FH142))</f>
        <v>46739</v>
      </c>
      <c r="FJ142" s="8">
        <f t="shared" ca="1" si="507"/>
        <v>594</v>
      </c>
      <c r="FK142" s="5" t="str">
        <f t="shared" ca="1" si="508"/>
        <v>VIGENTE</v>
      </c>
      <c r="FL142" s="4"/>
      <c r="FM142" s="39">
        <v>46039</v>
      </c>
      <c r="FN142" s="4">
        <f>DATE(YEAR(FM142)+2,MONTH(FM142),DAY(FM142))</f>
        <v>46769</v>
      </c>
      <c r="FO142" s="8">
        <f t="shared" ca="1" si="509"/>
        <v>624</v>
      </c>
      <c r="FP142" s="5" t="str">
        <f t="shared" ca="1" si="510"/>
        <v>VIGENTE</v>
      </c>
      <c r="FQ142" s="4"/>
      <c r="FR142" s="39">
        <v>46034</v>
      </c>
      <c r="FS142" s="4">
        <f>DATE(YEAR(FR142)+2,MONTH(FR142),DAY(FR142))</f>
        <v>46764</v>
      </c>
      <c r="FT142" s="8">
        <f t="shared" ca="1" si="511"/>
        <v>619</v>
      </c>
      <c r="FU142" s="5" t="str">
        <f t="shared" ca="1" si="512"/>
        <v>VIGENTE</v>
      </c>
      <c r="FV142" s="4"/>
      <c r="FW142" s="4">
        <v>46014</v>
      </c>
      <c r="FX142" s="4">
        <f>DATE(YEAR(FW142)+2,MONTH(FW142),DAY(FW142))</f>
        <v>46744</v>
      </c>
      <c r="FY142" s="8">
        <f t="shared" ca="1" si="513"/>
        <v>599</v>
      </c>
      <c r="FZ142" s="5" t="str">
        <f t="shared" ca="1" si="514"/>
        <v>VIGENTE</v>
      </c>
      <c r="GA142" s="4"/>
      <c r="GB142" s="4">
        <v>46003</v>
      </c>
      <c r="GC142" s="4">
        <f>DATE(YEAR(GB142)+2,MONTH(GB142),DAY(GB142))</f>
        <v>46733</v>
      </c>
      <c r="GD142" s="8">
        <f t="shared" ca="1" si="515"/>
        <v>588</v>
      </c>
      <c r="GE142" s="5" t="str">
        <f t="shared" ca="1" si="516"/>
        <v>VIGENTE</v>
      </c>
      <c r="GF142" s="4"/>
      <c r="GG142" s="4">
        <v>46072</v>
      </c>
      <c r="GH142" s="4">
        <f>DATE(YEAR(GG142)+2,MONTH(GG142),DAY(GG142))</f>
        <v>46802</v>
      </c>
      <c r="GI142" s="8">
        <f t="shared" ca="1" si="517"/>
        <v>657</v>
      </c>
      <c r="GJ142" s="5" t="str">
        <f t="shared" ca="1" si="518"/>
        <v>VIGENTE</v>
      </c>
      <c r="GK142" s="3"/>
      <c r="GL142" s="4">
        <v>46044</v>
      </c>
      <c r="GM142" s="4">
        <f t="shared" si="571"/>
        <v>46774</v>
      </c>
      <c r="GN142" s="8">
        <f t="shared" ca="1" si="519"/>
        <v>629</v>
      </c>
      <c r="GO142" s="5" t="str">
        <f t="shared" ca="1" si="520"/>
        <v>VIGENTE</v>
      </c>
      <c r="GP142" s="4"/>
      <c r="GQ142" s="4">
        <v>45367</v>
      </c>
      <c r="GR142" s="4">
        <f t="shared" si="521"/>
        <v>47193</v>
      </c>
      <c r="GS142" s="8">
        <f t="shared" ca="1" si="405"/>
        <v>1048</v>
      </c>
      <c r="GT142" s="5" t="str">
        <f t="shared" ca="1" si="419"/>
        <v>VIGENTE</v>
      </c>
      <c r="GU142" s="4"/>
      <c r="GV142" s="4">
        <v>45389</v>
      </c>
      <c r="GW142" s="4">
        <f t="shared" si="522"/>
        <v>47215</v>
      </c>
      <c r="GX142" s="8">
        <f t="shared" ca="1" si="523"/>
        <v>1070</v>
      </c>
      <c r="GY142" s="5" t="str">
        <f t="shared" ca="1" si="426"/>
        <v>VIGENTE</v>
      </c>
      <c r="GZ142" s="6"/>
      <c r="HA142" s="4">
        <v>45348</v>
      </c>
      <c r="HB142" s="4">
        <f t="shared" si="524"/>
        <v>47175</v>
      </c>
      <c r="HC142" s="8">
        <f t="shared" ca="1" si="525"/>
        <v>1030</v>
      </c>
      <c r="HD142" s="5" t="str">
        <f t="shared" ca="1" si="421"/>
        <v>VIGENTE</v>
      </c>
      <c r="HE142" s="6"/>
      <c r="HF142" s="4">
        <v>45401</v>
      </c>
      <c r="HG142" s="4">
        <f>DATE(YEAR(HF142)+5,MONTH(HF142),DAY(HF142))</f>
        <v>47227</v>
      </c>
      <c r="HH142" s="8">
        <f ca="1">HG142-TODAY()</f>
        <v>1082</v>
      </c>
      <c r="HI142" s="5" t="str">
        <f t="shared" ca="1" si="427"/>
        <v>VIGENTE</v>
      </c>
      <c r="HJ142" s="6"/>
      <c r="HK142" s="6"/>
      <c r="HL142" s="4"/>
      <c r="HM142" s="8"/>
      <c r="HN142" s="5" t="str">
        <f t="shared" si="444"/>
        <v>NO APLICA</v>
      </c>
      <c r="HO142" s="2"/>
      <c r="HP142" s="2"/>
      <c r="HQ142" s="4"/>
      <c r="HR142" s="2"/>
      <c r="HS142" s="5" t="str">
        <f t="shared" si="526"/>
        <v>NO APLICA</v>
      </c>
      <c r="HT142" s="6"/>
      <c r="HU142" s="6"/>
      <c r="HV142" s="4"/>
      <c r="HW142" s="8"/>
      <c r="HX142" s="5" t="str">
        <f t="shared" si="527"/>
        <v>NO APLICA</v>
      </c>
      <c r="HY142" s="6"/>
      <c r="HZ142" s="6"/>
      <c r="IA142" s="4"/>
      <c r="IB142" s="8"/>
      <c r="IC142" s="5" t="str">
        <f t="shared" si="528"/>
        <v>NO APLICA</v>
      </c>
      <c r="ID142" s="6"/>
      <c r="IE142" s="6"/>
      <c r="IF142" s="4"/>
      <c r="IG142" s="8"/>
      <c r="IH142" s="5" t="str">
        <f t="shared" si="529"/>
        <v>NO APLICA</v>
      </c>
      <c r="II142" s="6"/>
      <c r="IJ142" s="6"/>
      <c r="IK142" s="4"/>
      <c r="IL142" s="6"/>
      <c r="IM142" s="5" t="str">
        <f t="shared" si="530"/>
        <v>NO APLICA</v>
      </c>
      <c r="IN142" s="6"/>
      <c r="IO142" s="6"/>
      <c r="IP142" s="4"/>
      <c r="IQ142" s="8"/>
      <c r="IR142" s="5" t="str">
        <f t="shared" si="531"/>
        <v>NO APLICA</v>
      </c>
      <c r="IS142" s="6"/>
      <c r="IT142" s="4">
        <v>45402</v>
      </c>
      <c r="IU142" s="4">
        <f>DATE(YEAR(IT142)+5,MONTH(IT142),DAY(IT142))</f>
        <v>47228</v>
      </c>
      <c r="IV142" s="8">
        <f ca="1">IU142-TODAY()</f>
        <v>1083</v>
      </c>
      <c r="IW142" s="5" t="str">
        <f t="shared" ca="1" si="532"/>
        <v>VIGENTE</v>
      </c>
      <c r="IX142" s="6"/>
      <c r="IY142" s="6"/>
      <c r="IZ142" s="4"/>
      <c r="JA142" s="8"/>
      <c r="JB142" s="5" t="str">
        <f t="shared" si="533"/>
        <v>NO APLICA</v>
      </c>
      <c r="JC142" s="3" t="s">
        <v>780</v>
      </c>
      <c r="JD142" s="3"/>
      <c r="JE142" s="4"/>
      <c r="JF142" s="8"/>
      <c r="JG142" s="5"/>
      <c r="JH142" s="3" t="s">
        <v>780</v>
      </c>
      <c r="JI142" s="6"/>
      <c r="JJ142" s="6"/>
      <c r="JK142" s="6"/>
      <c r="JL142" s="5"/>
      <c r="JM142" s="6" t="s">
        <v>780</v>
      </c>
      <c r="JN142" s="6"/>
      <c r="JO142" s="6"/>
      <c r="JP142" s="6"/>
      <c r="JQ142" s="5"/>
      <c r="JR142" s="6" t="s">
        <v>780</v>
      </c>
      <c r="JS142" s="6"/>
      <c r="JT142" s="6"/>
      <c r="JU142" s="6"/>
      <c r="JV142" s="5"/>
      <c r="JW142" s="6" t="s">
        <v>780</v>
      </c>
      <c r="JX142" s="5"/>
      <c r="JY142" s="5"/>
      <c r="JZ142" s="5"/>
      <c r="KA142" s="5"/>
      <c r="KB142" s="5"/>
      <c r="KC142" s="2"/>
      <c r="KD142" s="4"/>
      <c r="KE142" s="8"/>
      <c r="KF142" s="5" t="str">
        <f t="shared" si="534"/>
        <v>NO APLICA</v>
      </c>
      <c r="KG142" s="5"/>
      <c r="KH142" s="6"/>
      <c r="KI142" s="4"/>
      <c r="KJ142" s="6"/>
      <c r="KK142" s="5" t="str">
        <f t="shared" si="559"/>
        <v>NO APLICA</v>
      </c>
      <c r="KL142" s="5"/>
      <c r="KM142" s="2"/>
      <c r="KN142" s="4"/>
      <c r="KO142" s="8"/>
      <c r="KP142" s="5" t="str">
        <f t="shared" si="535"/>
        <v>NO APLICA</v>
      </c>
      <c r="KQ142" s="5"/>
      <c r="KR142" s="3">
        <v>45346</v>
      </c>
      <c r="KS142" s="4">
        <f>DATE(YEAR(KR142)+5,MONTH(KR142),DAY(KR142))</f>
        <v>47173</v>
      </c>
      <c r="KT142" s="8">
        <f ca="1">KS142-TODAY()</f>
        <v>1028</v>
      </c>
      <c r="KU142" s="5" t="str">
        <f t="shared" ca="1" si="560"/>
        <v>VIGENTE</v>
      </c>
      <c r="KV142" s="6"/>
      <c r="KW142" s="6"/>
      <c r="KX142" s="4"/>
      <c r="KY142" s="6"/>
      <c r="KZ142" s="5" t="str">
        <f t="shared" si="565"/>
        <v>NO APLICA</v>
      </c>
      <c r="LA142" s="5"/>
      <c r="LB142" s="6"/>
      <c r="LC142" s="4"/>
      <c r="LD142" s="6"/>
      <c r="LE142" s="5" t="str">
        <f t="shared" si="561"/>
        <v>NO APLICA</v>
      </c>
      <c r="LF142" s="6"/>
      <c r="LG142" s="6"/>
      <c r="LH142" s="6"/>
      <c r="LI142" s="6"/>
      <c r="LJ142" s="5" t="str">
        <f t="shared" si="567"/>
        <v>NO APLICA</v>
      </c>
      <c r="LK142" s="5"/>
      <c r="LL142" s="5"/>
      <c r="LM142" s="5"/>
      <c r="LN142" s="5"/>
      <c r="LO142" s="5" t="str">
        <f t="shared" si="566"/>
        <v>NO APLICA</v>
      </c>
      <c r="LP142" s="6"/>
      <c r="LQ142" s="6"/>
      <c r="LR142" s="4"/>
      <c r="LS142" s="8"/>
      <c r="LT142" s="5" t="str">
        <f t="shared" si="562"/>
        <v>NO APLICA</v>
      </c>
      <c r="LU142" s="6"/>
      <c r="LV142" s="6"/>
      <c r="LW142" s="4"/>
      <c r="LX142" s="6"/>
      <c r="LY142" s="5" t="str">
        <f t="shared" si="563"/>
        <v>NO APLICA</v>
      </c>
      <c r="LZ142" s="6"/>
      <c r="MA142" s="6"/>
      <c r="MB142" s="4"/>
      <c r="MC142" s="6"/>
      <c r="MD142" s="5" t="str">
        <f t="shared" si="564"/>
        <v>NO APLICA</v>
      </c>
      <c r="ME142" s="6"/>
      <c r="MF142" s="6"/>
      <c r="MG142" s="4"/>
      <c r="MH142" s="6"/>
      <c r="MI142" s="5" t="str">
        <f t="shared" si="537"/>
        <v>NO APLICA</v>
      </c>
      <c r="MJ142" s="6"/>
      <c r="MK142" s="6"/>
      <c r="ML142" s="4"/>
      <c r="MM142" s="6"/>
      <c r="MN142" s="5" t="str">
        <f t="shared" si="538"/>
        <v>NO APLICA</v>
      </c>
      <c r="MO142" s="5"/>
      <c r="MP142" s="6"/>
      <c r="MQ142" s="4"/>
      <c r="MR142" s="6"/>
      <c r="MS142" s="5" t="str">
        <f t="shared" si="539"/>
        <v>NO APLICA</v>
      </c>
      <c r="MT142" s="5"/>
      <c r="MU142" s="6"/>
      <c r="MV142" s="6"/>
      <c r="MW142" s="6"/>
      <c r="MX142" s="5" t="str">
        <f t="shared" si="540"/>
        <v>NO APLICA</v>
      </c>
      <c r="MY142" s="6"/>
      <c r="MZ142" s="6"/>
      <c r="NA142" s="4"/>
      <c r="NB142" s="6"/>
      <c r="NC142" s="5" t="str">
        <f t="shared" si="541"/>
        <v>NO APLICA</v>
      </c>
      <c r="ND142" s="6"/>
      <c r="NE142" s="6"/>
      <c r="NF142" s="4"/>
      <c r="NG142" s="6"/>
      <c r="NH142" s="5" t="str">
        <f t="shared" si="542"/>
        <v>NO APLICA</v>
      </c>
      <c r="NI142" s="6"/>
      <c r="NJ142" s="6"/>
      <c r="NK142" s="4"/>
      <c r="NL142" s="6"/>
      <c r="NM142" s="5" t="str">
        <f t="shared" si="543"/>
        <v>NO APLICA</v>
      </c>
      <c r="NN142" s="6"/>
      <c r="NO142" s="6"/>
      <c r="NP142" s="4"/>
      <c r="NQ142" s="6"/>
      <c r="NR142" s="5" t="str">
        <f t="shared" si="544"/>
        <v>NO APLICA</v>
      </c>
      <c r="NS142" s="6"/>
      <c r="NT142" s="6"/>
      <c r="NU142" s="4"/>
      <c r="NV142" s="6"/>
      <c r="NW142" s="5" t="str">
        <f t="shared" si="545"/>
        <v>NO APLICA</v>
      </c>
      <c r="NX142" s="6"/>
      <c r="NY142" s="6"/>
      <c r="NZ142" s="4"/>
      <c r="OA142" s="8"/>
      <c r="OB142" s="5" t="str">
        <f t="shared" si="546"/>
        <v>NO APLICA</v>
      </c>
      <c r="OC142" s="6"/>
      <c r="OD142" s="6"/>
      <c r="OE142" s="6"/>
      <c r="OF142" s="6"/>
      <c r="OG142" s="5" t="str">
        <f t="shared" si="547"/>
        <v>NO APLICA</v>
      </c>
      <c r="OH142" s="6"/>
      <c r="OI142" s="6"/>
      <c r="OJ142" s="6"/>
      <c r="OK142" s="6"/>
      <c r="OL142" s="5" t="str">
        <f t="shared" si="548"/>
        <v>NO APLICA</v>
      </c>
      <c r="OM142" s="6"/>
      <c r="ON142" s="6"/>
      <c r="OO142" s="4"/>
      <c r="OP142" s="8"/>
      <c r="OQ142" s="5" t="str">
        <f t="shared" si="549"/>
        <v>NO APLICA</v>
      </c>
      <c r="OR142" s="6"/>
      <c r="OS142" s="6"/>
      <c r="OT142" s="6"/>
      <c r="OU142" s="6"/>
      <c r="OV142" s="5" t="str">
        <f t="shared" si="550"/>
        <v>NO APLICA</v>
      </c>
      <c r="OW142" s="6"/>
      <c r="OX142" s="6"/>
      <c r="OY142" s="6"/>
      <c r="OZ142" s="6"/>
      <c r="PA142" s="5" t="str">
        <f t="shared" si="551"/>
        <v>NO APLICA</v>
      </c>
      <c r="PB142" s="6"/>
      <c r="PC142" s="6"/>
      <c r="PD142" s="6"/>
      <c r="PE142" s="6"/>
      <c r="PF142" s="5" t="str">
        <f t="shared" si="552"/>
        <v>NO APLICA</v>
      </c>
      <c r="PG142" s="6"/>
      <c r="PH142" s="6"/>
      <c r="PI142" s="6"/>
      <c r="PJ142" s="6"/>
      <c r="PK142" s="5" t="str">
        <f t="shared" si="553"/>
        <v>NO APLICA</v>
      </c>
      <c r="PL142" s="5"/>
      <c r="PM142" s="6"/>
      <c r="PN142" s="6"/>
      <c r="PO142" s="6"/>
      <c r="PP142" s="5" t="str">
        <f t="shared" si="554"/>
        <v>NO APLICA</v>
      </c>
      <c r="PQ142" s="6"/>
      <c r="PR142" s="6"/>
      <c r="PS142" s="6"/>
      <c r="PT142" s="6"/>
      <c r="PU142" s="5" t="str">
        <f t="shared" si="555"/>
        <v>NO APLICA</v>
      </c>
      <c r="PV142" s="5"/>
      <c r="PW142" s="6"/>
      <c r="PX142" s="6"/>
      <c r="PY142" s="6"/>
      <c r="PZ142" s="5" t="str">
        <f t="shared" si="556"/>
        <v>NO APLICA</v>
      </c>
    </row>
    <row r="143" spans="1:442" ht="15.6" hidden="1" thickTop="1" thickBot="1" x14ac:dyDescent="0.35">
      <c r="A143" s="26">
        <v>140</v>
      </c>
      <c r="B143" s="31">
        <v>1680</v>
      </c>
      <c r="C143" s="28" t="s">
        <v>463</v>
      </c>
      <c r="D143" s="29" t="s">
        <v>64</v>
      </c>
      <c r="E143" s="30" t="s">
        <v>81</v>
      </c>
      <c r="F143" s="5"/>
      <c r="G143" s="6"/>
      <c r="H143" s="4"/>
      <c r="I143" s="8"/>
      <c r="J143" s="5" t="str">
        <f t="shared" si="455"/>
        <v>NO APLICA</v>
      </c>
      <c r="K143" s="5"/>
      <c r="L143" s="6"/>
      <c r="M143" s="6"/>
      <c r="N143" s="8"/>
      <c r="O143" s="5" t="str">
        <f t="shared" si="456"/>
        <v>NO APLICA</v>
      </c>
      <c r="P143" s="4"/>
      <c r="Q143" s="4">
        <v>45590</v>
      </c>
      <c r="R143" s="4">
        <f>DATE(YEAR(Q143)+2,MONTH(Q143),DAY(Q143)-1)</f>
        <v>46319</v>
      </c>
      <c r="S143" s="8">
        <f ca="1">R143-TODAY()</f>
        <v>174</v>
      </c>
      <c r="T143" s="5" t="str">
        <f t="shared" ca="1" si="557"/>
        <v>VIGENTE</v>
      </c>
      <c r="U143" s="5"/>
      <c r="V143" s="2" t="s">
        <v>464</v>
      </c>
      <c r="W143" s="4">
        <v>45142</v>
      </c>
      <c r="X143" s="4">
        <f t="shared" si="410"/>
        <v>46969</v>
      </c>
      <c r="Y143" s="8">
        <f t="shared" ca="1" si="411"/>
        <v>824</v>
      </c>
      <c r="Z143" s="5" t="str">
        <f t="shared" ca="1" si="412"/>
        <v>VIGENTE</v>
      </c>
      <c r="AA143" s="5"/>
      <c r="AB143" s="2" t="s">
        <v>465</v>
      </c>
      <c r="AC143" s="4">
        <v>45192</v>
      </c>
      <c r="AD143" s="4">
        <f>DATE(YEAR(AC143)+5,MONTH(AC143),DAY(AC143))</f>
        <v>47019</v>
      </c>
      <c r="AE143" s="8">
        <f ca="1">AD143-TODAY()</f>
        <v>874</v>
      </c>
      <c r="AF143" s="5" t="str">
        <f t="shared" ca="1" si="457"/>
        <v>VIGENTE</v>
      </c>
      <c r="AG143" s="3"/>
      <c r="AH143" s="4">
        <v>45780</v>
      </c>
      <c r="AI143" s="4">
        <f>DATE(YEAR(AH143)+2,MONTH(AH143),DAY(AH143))</f>
        <v>46510</v>
      </c>
      <c r="AJ143" s="8">
        <f t="shared" ca="1" si="458"/>
        <v>365</v>
      </c>
      <c r="AK143" s="5" t="str">
        <f t="shared" ca="1" si="408"/>
        <v>VIGENTE</v>
      </c>
      <c r="AL143" s="3"/>
      <c r="AM143" s="4">
        <v>45748</v>
      </c>
      <c r="AN143" s="4">
        <f>DATE(YEAR(AM143)+2,MONTH(AM143),DAY(AM143)-1)</f>
        <v>46477</v>
      </c>
      <c r="AO143" s="8">
        <f t="shared" ca="1" si="459"/>
        <v>332</v>
      </c>
      <c r="AP143" s="5" t="str">
        <f t="shared" ca="1" si="460"/>
        <v>VIGENTE</v>
      </c>
      <c r="AQ143" s="3"/>
      <c r="AR143" s="4">
        <v>45775</v>
      </c>
      <c r="AS143" s="4">
        <f t="shared" si="568"/>
        <v>46505</v>
      </c>
      <c r="AT143" s="8">
        <f t="shared" ca="1" si="461"/>
        <v>360</v>
      </c>
      <c r="AU143" s="5" t="str">
        <f t="shared" ca="1" si="462"/>
        <v>VIGENTE</v>
      </c>
      <c r="AV143" s="3"/>
      <c r="AW143" s="4">
        <v>45765</v>
      </c>
      <c r="AX143" s="4">
        <f t="shared" si="569"/>
        <v>46495</v>
      </c>
      <c r="AY143" s="8">
        <f t="shared" ca="1" si="463"/>
        <v>350</v>
      </c>
      <c r="AZ143" s="5" t="str">
        <f t="shared" ca="1" si="464"/>
        <v>VIGENTE</v>
      </c>
      <c r="BA143" s="3"/>
      <c r="BB143" s="4">
        <v>45742</v>
      </c>
      <c r="BC143" s="4">
        <f>DATE(YEAR(BB143)+2,MONTH(BB143),DAY(BB143)-1)</f>
        <v>46471</v>
      </c>
      <c r="BD143" s="8">
        <f t="shared" ca="1" si="465"/>
        <v>326</v>
      </c>
      <c r="BE143" s="5" t="str">
        <f t="shared" ca="1" si="466"/>
        <v>VIGENTE</v>
      </c>
      <c r="BF143" s="2"/>
      <c r="BG143" s="4">
        <v>45762</v>
      </c>
      <c r="BH143" s="4">
        <f>DATE(YEAR(BG143)+2,MONTH(BG143),DAY(BG143))</f>
        <v>46492</v>
      </c>
      <c r="BI143" s="8">
        <f t="shared" ca="1" si="467"/>
        <v>347</v>
      </c>
      <c r="BJ143" s="5" t="str">
        <f t="shared" ca="1" si="468"/>
        <v>VIGENTE</v>
      </c>
      <c r="BK143" s="3"/>
      <c r="BL143" s="4">
        <v>45797</v>
      </c>
      <c r="BM143" s="4">
        <f>DATE(YEAR(BL143)+2,MONTH(BL143),DAY(BL143))</f>
        <v>46527</v>
      </c>
      <c r="BN143" s="8">
        <f t="shared" ca="1" si="469"/>
        <v>382</v>
      </c>
      <c r="BO143" s="5" t="str">
        <f t="shared" ca="1" si="470"/>
        <v>VIGENTE</v>
      </c>
      <c r="BP143" s="3"/>
      <c r="BQ143" s="39">
        <v>45841</v>
      </c>
      <c r="BR143" s="4">
        <f t="shared" si="570"/>
        <v>46571</v>
      </c>
      <c r="BS143" s="8">
        <f t="shared" ca="1" si="471"/>
        <v>426</v>
      </c>
      <c r="BT143" s="5" t="str">
        <f t="shared" ca="1" si="472"/>
        <v>VIGENTE</v>
      </c>
      <c r="BU143" s="3"/>
      <c r="BV143" s="4">
        <v>45853</v>
      </c>
      <c r="BW143" s="4">
        <f>DATE(YEAR(BV143)+2,MONTH(BV143),DAY(BV143))</f>
        <v>46583</v>
      </c>
      <c r="BX143" s="8">
        <f t="shared" ca="1" si="473"/>
        <v>438</v>
      </c>
      <c r="BY143" s="5" t="str">
        <f t="shared" ca="1" si="474"/>
        <v>VIGENTE</v>
      </c>
      <c r="BZ143" s="3"/>
      <c r="CA143" s="4">
        <v>45818</v>
      </c>
      <c r="CB143" s="4">
        <f>DATE(YEAR(CA143)+2,MONTH(CA143),DAY(CA143))</f>
        <v>46548</v>
      </c>
      <c r="CC143" s="8">
        <f t="shared" ca="1" si="475"/>
        <v>403</v>
      </c>
      <c r="CD143" s="5" t="str">
        <f t="shared" ca="1" si="476"/>
        <v>VIGENTE</v>
      </c>
      <c r="CE143" s="6"/>
      <c r="CF143" s="4">
        <v>46134</v>
      </c>
      <c r="CG143" s="4">
        <f t="shared" si="416"/>
        <v>47595</v>
      </c>
      <c r="CH143" s="8">
        <f t="shared" ca="1" si="417"/>
        <v>1450</v>
      </c>
      <c r="CI143" s="5" t="str">
        <f ca="1">IF(CH143&gt;=90,"VIGENTE",IF(CH143&gt;=1,"POR VENCER",IF(CH143&lt;=-1,"VENCIDA",IF(CH143=0,"NO APLICA"))))</f>
        <v>VIGENTE</v>
      </c>
      <c r="CJ143" s="4"/>
      <c r="CK143" s="4">
        <v>45801</v>
      </c>
      <c r="CL143" s="4">
        <f>DATE(YEAR(CK143)+2,MONTH(CK143),DAY(CK143)-1)</f>
        <v>46530</v>
      </c>
      <c r="CM143" s="8">
        <f t="shared" ca="1" si="477"/>
        <v>385</v>
      </c>
      <c r="CN143" s="5" t="str">
        <f t="shared" ca="1" si="478"/>
        <v>VIGENTE</v>
      </c>
      <c r="CO143" s="2"/>
      <c r="CP143" s="39">
        <v>45769</v>
      </c>
      <c r="CQ143" s="4">
        <f>DATE(YEAR(CP143)+2,MONTH(CP143),DAY(CP143))</f>
        <v>46499</v>
      </c>
      <c r="CR143" s="8">
        <f t="shared" ca="1" si="479"/>
        <v>354</v>
      </c>
      <c r="CS143" s="5" t="str">
        <f t="shared" ca="1" si="480"/>
        <v>VIGENTE</v>
      </c>
      <c r="CT143" s="3"/>
      <c r="CU143" s="4">
        <v>45905</v>
      </c>
      <c r="CV143" s="4">
        <f>DATE(YEAR(CU143)+2,MONTH(CU143),DAY(CU143))</f>
        <v>46635</v>
      </c>
      <c r="CW143" s="8">
        <f t="shared" ca="1" si="481"/>
        <v>490</v>
      </c>
      <c r="CX143" s="5" t="str">
        <f t="shared" ca="1" si="482"/>
        <v>VIGENTE</v>
      </c>
      <c r="CY143" s="3"/>
      <c r="CZ143" s="4">
        <v>45835</v>
      </c>
      <c r="DA143" s="4">
        <f>DATE(YEAR(CZ143)+2,MONTH(CZ143),DAY(CZ143))</f>
        <v>46565</v>
      </c>
      <c r="DB143" s="8">
        <f t="shared" ca="1" si="483"/>
        <v>420</v>
      </c>
      <c r="DC143" s="5" t="str">
        <f t="shared" ca="1" si="484"/>
        <v>VIGENTE</v>
      </c>
      <c r="DD143" s="3"/>
      <c r="DE143" s="39">
        <v>45761</v>
      </c>
      <c r="DF143" s="4">
        <f>DATE(YEAR(DE143)+2,MONTH(DE143),DAY(DE143))</f>
        <v>46491</v>
      </c>
      <c r="DG143" s="8">
        <f t="shared" ca="1" si="485"/>
        <v>346</v>
      </c>
      <c r="DH143" s="5" t="str">
        <f t="shared" ca="1" si="486"/>
        <v>VIGENTE</v>
      </c>
      <c r="DI143" s="3"/>
      <c r="DJ143" s="39">
        <v>45779</v>
      </c>
      <c r="DK143" s="4">
        <f>DATE(YEAR(DJ143)+2,MONTH(DJ143),DAY(DJ143))</f>
        <v>46509</v>
      </c>
      <c r="DL143" s="8">
        <f t="shared" ca="1" si="487"/>
        <v>364</v>
      </c>
      <c r="DM143" s="5" t="str">
        <f t="shared" ca="1" si="488"/>
        <v>VIGENTE</v>
      </c>
      <c r="DN143" s="4"/>
      <c r="DO143" s="4">
        <v>45873</v>
      </c>
      <c r="DP143" s="4">
        <f>DATE(YEAR(DO143)+2,MONTH(DO143),DAY(DO143))</f>
        <v>46603</v>
      </c>
      <c r="DQ143" s="8">
        <f t="shared" ca="1" si="489"/>
        <v>458</v>
      </c>
      <c r="DR143" s="5" t="str">
        <f t="shared" ca="1" si="490"/>
        <v>VIGENTE</v>
      </c>
      <c r="DS143" s="3"/>
      <c r="DT143" s="4">
        <v>45852</v>
      </c>
      <c r="DU143" s="4">
        <f>DATE(YEAR(DT143)+2,MONTH(DT143),DAY(DT143))</f>
        <v>46582</v>
      </c>
      <c r="DV143" s="8">
        <f t="shared" ca="1" si="491"/>
        <v>437</v>
      </c>
      <c r="DW143" s="5" t="str">
        <f t="shared" ca="1" si="492"/>
        <v>VIGENTE</v>
      </c>
      <c r="DX143" s="3"/>
      <c r="DY143" s="4">
        <v>45804</v>
      </c>
      <c r="DZ143" s="4">
        <f>DATE(YEAR(DY143)+2,MONTH(DY143),DAY(DY143))</f>
        <v>46534</v>
      </c>
      <c r="EA143" s="8">
        <f t="shared" ca="1" si="493"/>
        <v>389</v>
      </c>
      <c r="EB143" s="5" t="str">
        <f t="shared" ca="1" si="494"/>
        <v>VIGENTE</v>
      </c>
      <c r="EC143" s="3"/>
      <c r="ED143" s="39">
        <v>45787</v>
      </c>
      <c r="EE143" s="4">
        <f>DATE(YEAR(ED143)+2,MONTH(ED143),DAY(ED143))</f>
        <v>46517</v>
      </c>
      <c r="EF143" s="8">
        <f t="shared" ca="1" si="495"/>
        <v>372</v>
      </c>
      <c r="EG143" s="5" t="str">
        <f t="shared" ca="1" si="496"/>
        <v>VIGENTE</v>
      </c>
      <c r="EH143" s="3"/>
      <c r="EI143" s="4">
        <v>46123</v>
      </c>
      <c r="EJ143" s="4">
        <f t="shared" si="558"/>
        <v>46488</v>
      </c>
      <c r="EK143" s="8">
        <f t="shared" ca="1" si="497"/>
        <v>343</v>
      </c>
      <c r="EL143" s="5" t="str">
        <f t="shared" ca="1" si="498"/>
        <v>VIGENTE</v>
      </c>
      <c r="EM143" s="3"/>
      <c r="EN143" s="4">
        <v>45840</v>
      </c>
      <c r="EO143" s="4">
        <f>DATE(YEAR(EN143)+2,MONTH(EN143),DAY(EN143))</f>
        <v>46570</v>
      </c>
      <c r="EP143" s="8">
        <f t="shared" ca="1" si="499"/>
        <v>425</v>
      </c>
      <c r="EQ143" s="5" t="str">
        <f t="shared" ca="1" si="500"/>
        <v>VIGENTE</v>
      </c>
      <c r="ER143" s="3"/>
      <c r="ES143" s="39">
        <v>45824</v>
      </c>
      <c r="ET143" s="4">
        <f>DATE(YEAR(ES143)+2,MONTH(ES143),DAY(ES143))</f>
        <v>46554</v>
      </c>
      <c r="EU143" s="8">
        <f t="shared" ca="1" si="501"/>
        <v>409</v>
      </c>
      <c r="EV143" s="5" t="str">
        <f t="shared" ca="1" si="502"/>
        <v>VIGENTE</v>
      </c>
      <c r="EW143" s="3"/>
      <c r="EX143" s="4">
        <v>45794</v>
      </c>
      <c r="EY143" s="4">
        <f>DATE(YEAR(EX143)+2,MONTH(EX143),DAY(EX143))</f>
        <v>46524</v>
      </c>
      <c r="EZ143" s="8">
        <f t="shared" ca="1" si="503"/>
        <v>379</v>
      </c>
      <c r="FA143" s="5" t="str">
        <f t="shared" ca="1" si="504"/>
        <v>VIGENTE</v>
      </c>
      <c r="FB143" s="2"/>
      <c r="FC143" s="4">
        <v>45931</v>
      </c>
      <c r="FD143" s="4">
        <f>DATE(YEAR(FC143)+2,MONTH(FC143),DAY(FC143))</f>
        <v>46661</v>
      </c>
      <c r="FE143" s="8">
        <f t="shared" ca="1" si="505"/>
        <v>516</v>
      </c>
      <c r="FF143" s="5" t="str">
        <f t="shared" ca="1" si="506"/>
        <v>VIGENTE</v>
      </c>
      <c r="FG143" s="3"/>
      <c r="FH143" s="4">
        <v>45832</v>
      </c>
      <c r="FI143" s="4">
        <f>DATE(YEAR(FH143)+2,MONTH(FH143),DAY(FH143))</f>
        <v>46562</v>
      </c>
      <c r="FJ143" s="8">
        <f t="shared" ca="1" si="507"/>
        <v>417</v>
      </c>
      <c r="FK143" s="5" t="str">
        <f t="shared" ca="1" si="508"/>
        <v>VIGENTE</v>
      </c>
      <c r="FL143" s="3"/>
      <c r="FM143" s="39">
        <v>45771</v>
      </c>
      <c r="FN143" s="4">
        <f>DATE(YEAR(FM143)+2,MONTH(FM143),DAY(FM143))</f>
        <v>46501</v>
      </c>
      <c r="FO143" s="8">
        <f t="shared" ca="1" si="509"/>
        <v>356</v>
      </c>
      <c r="FP143" s="5" t="str">
        <f t="shared" ca="1" si="510"/>
        <v>VIGENTE</v>
      </c>
      <c r="FQ143" s="3"/>
      <c r="FR143" s="39">
        <v>45782</v>
      </c>
      <c r="FS143" s="4">
        <f>DATE(YEAR(FR143)+2,MONTH(FR143),DAY(FR143))</f>
        <v>46512</v>
      </c>
      <c r="FT143" s="8">
        <f t="shared" ca="1" si="511"/>
        <v>367</v>
      </c>
      <c r="FU143" s="5" t="str">
        <f t="shared" ca="1" si="512"/>
        <v>VIGENTE</v>
      </c>
      <c r="FV143" s="3"/>
      <c r="FW143" s="4">
        <v>45875</v>
      </c>
      <c r="FX143" s="4">
        <f>DATE(YEAR(FW143)+2,MONTH(FW143),DAY(FW143))</f>
        <v>46605</v>
      </c>
      <c r="FY143" s="8">
        <f t="shared" ca="1" si="513"/>
        <v>460</v>
      </c>
      <c r="FZ143" s="5" t="str">
        <f t="shared" ca="1" si="514"/>
        <v>VIGENTE</v>
      </c>
      <c r="GA143" s="3"/>
      <c r="GB143" s="4">
        <v>45833</v>
      </c>
      <c r="GC143" s="4">
        <f>DATE(YEAR(GB143)+2,MONTH(GB143),DAY(GB143))</f>
        <v>46563</v>
      </c>
      <c r="GD143" s="8">
        <f t="shared" ca="1" si="515"/>
        <v>418</v>
      </c>
      <c r="GE143" s="5" t="str">
        <f t="shared" ca="1" si="516"/>
        <v>VIGENTE</v>
      </c>
      <c r="GF143" s="3"/>
      <c r="GG143" s="4">
        <v>45731</v>
      </c>
      <c r="GH143" s="4">
        <f>DATE(YEAR(GG143)+2,MONTH(GG143),DAY(GG143)-1)</f>
        <v>46460</v>
      </c>
      <c r="GI143" s="8">
        <f t="shared" ca="1" si="517"/>
        <v>315</v>
      </c>
      <c r="GJ143" s="5" t="str">
        <f t="shared" ca="1" si="518"/>
        <v>VIGENTE</v>
      </c>
      <c r="GK143" s="3"/>
      <c r="GL143" s="4">
        <v>45848</v>
      </c>
      <c r="GM143" s="4">
        <f t="shared" si="571"/>
        <v>46578</v>
      </c>
      <c r="GN143" s="8">
        <f t="shared" ca="1" si="519"/>
        <v>433</v>
      </c>
      <c r="GO143" s="5" t="str">
        <f t="shared" ca="1" si="520"/>
        <v>VIGENTE</v>
      </c>
      <c r="GP143" s="4"/>
      <c r="GQ143" s="4">
        <v>45136</v>
      </c>
      <c r="GR143" s="4">
        <f t="shared" si="521"/>
        <v>46963</v>
      </c>
      <c r="GS143" s="8">
        <f t="shared" ca="1" si="405"/>
        <v>818</v>
      </c>
      <c r="GT143" s="5" t="str">
        <f t="shared" ca="1" si="419"/>
        <v>VIGENTE</v>
      </c>
      <c r="GU143" s="3"/>
      <c r="GV143" s="4">
        <v>45203</v>
      </c>
      <c r="GW143" s="4">
        <f t="shared" si="522"/>
        <v>47030</v>
      </c>
      <c r="GX143" s="8">
        <f t="shared" ca="1" si="523"/>
        <v>885</v>
      </c>
      <c r="GY143" s="5" t="str">
        <f t="shared" ca="1" si="426"/>
        <v>VIGENTE</v>
      </c>
      <c r="GZ143" s="2"/>
      <c r="HA143" s="4">
        <v>45187</v>
      </c>
      <c r="HB143" s="4">
        <f t="shared" si="524"/>
        <v>47014</v>
      </c>
      <c r="HC143" s="8">
        <f t="shared" ca="1" si="525"/>
        <v>869</v>
      </c>
      <c r="HD143" s="5" t="str">
        <f t="shared" ca="1" si="421"/>
        <v>VIGENTE</v>
      </c>
      <c r="HE143" s="6"/>
      <c r="HF143" s="4">
        <v>45150</v>
      </c>
      <c r="HG143" s="4">
        <f>DATE(YEAR(HF143)+5,MONTH(HF143),DAY(HF143))</f>
        <v>46977</v>
      </c>
      <c r="HH143" s="8">
        <f ca="1">HG143-TODAY()</f>
        <v>832</v>
      </c>
      <c r="HI143" s="5" t="str">
        <f t="shared" ca="1" si="427"/>
        <v>VIGENTE</v>
      </c>
      <c r="HJ143" s="2"/>
      <c r="HK143" s="6"/>
      <c r="HL143" s="4"/>
      <c r="HM143" s="8"/>
      <c r="HN143" s="5" t="str">
        <f t="shared" si="444"/>
        <v>NO APLICA</v>
      </c>
      <c r="HO143" s="2"/>
      <c r="HP143" s="2"/>
      <c r="HQ143" s="4"/>
      <c r="HR143" s="2"/>
      <c r="HS143" s="5" t="str">
        <f t="shared" si="526"/>
        <v>NO APLICA</v>
      </c>
      <c r="HT143" s="2"/>
      <c r="HU143" s="6"/>
      <c r="HV143" s="4"/>
      <c r="HW143" s="8"/>
      <c r="HX143" s="5" t="str">
        <f t="shared" si="527"/>
        <v>NO APLICA</v>
      </c>
      <c r="HY143" s="2"/>
      <c r="HZ143" s="6"/>
      <c r="IA143" s="4"/>
      <c r="IB143" s="8"/>
      <c r="IC143" s="5" t="str">
        <f t="shared" si="528"/>
        <v>NO APLICA</v>
      </c>
      <c r="ID143" s="2"/>
      <c r="IE143" s="6"/>
      <c r="IF143" s="4"/>
      <c r="IG143" s="8"/>
      <c r="IH143" s="5" t="str">
        <f t="shared" si="529"/>
        <v>NO APLICA</v>
      </c>
      <c r="II143" s="6"/>
      <c r="IJ143" s="6"/>
      <c r="IK143" s="4"/>
      <c r="IL143" s="8"/>
      <c r="IM143" s="5" t="str">
        <f t="shared" si="530"/>
        <v>NO APLICA</v>
      </c>
      <c r="IN143" s="2"/>
      <c r="IO143" s="6"/>
      <c r="IP143" s="4"/>
      <c r="IQ143" s="8"/>
      <c r="IR143" s="5" t="str">
        <f t="shared" si="531"/>
        <v>NO APLICA</v>
      </c>
      <c r="IS143" s="2"/>
      <c r="IT143" s="6"/>
      <c r="IU143" s="4"/>
      <c r="IV143" s="8"/>
      <c r="IW143" s="5" t="str">
        <f t="shared" si="532"/>
        <v>NO APLICA</v>
      </c>
      <c r="IX143" s="2"/>
      <c r="IY143" s="6"/>
      <c r="IZ143" s="4"/>
      <c r="JA143" s="8"/>
      <c r="JB143" s="5" t="str">
        <f t="shared" si="533"/>
        <v>NO APLICA</v>
      </c>
      <c r="JC143" s="3" t="s">
        <v>780</v>
      </c>
      <c r="JD143" s="3"/>
      <c r="JE143" s="4"/>
      <c r="JF143" s="8"/>
      <c r="JG143" s="5"/>
      <c r="JH143" s="3" t="s">
        <v>780</v>
      </c>
      <c r="JI143" s="6"/>
      <c r="JJ143" s="6"/>
      <c r="JK143" s="6"/>
      <c r="JL143" s="5"/>
      <c r="JM143" s="6" t="s">
        <v>780</v>
      </c>
      <c r="JN143" s="6"/>
      <c r="JO143" s="6"/>
      <c r="JP143" s="6"/>
      <c r="JQ143" s="5"/>
      <c r="JR143" s="6" t="s">
        <v>780</v>
      </c>
      <c r="JS143" s="6"/>
      <c r="JT143" s="6"/>
      <c r="JU143" s="6"/>
      <c r="JV143" s="5"/>
      <c r="JW143" s="6" t="s">
        <v>780</v>
      </c>
      <c r="JX143" s="5"/>
      <c r="JY143" s="5"/>
      <c r="JZ143" s="5"/>
      <c r="KA143" s="5"/>
      <c r="KB143" s="5"/>
      <c r="KC143" s="2"/>
      <c r="KD143" s="4"/>
      <c r="KE143" s="8"/>
      <c r="KF143" s="5" t="str">
        <f t="shared" si="534"/>
        <v>NO APLICA</v>
      </c>
      <c r="KG143" s="5"/>
      <c r="KH143" s="2"/>
      <c r="KI143" s="4"/>
      <c r="KJ143" s="8"/>
      <c r="KK143" s="5" t="str">
        <f t="shared" si="559"/>
        <v>NO APLICA</v>
      </c>
      <c r="KL143" s="5"/>
      <c r="KM143" s="2"/>
      <c r="KN143" s="4"/>
      <c r="KO143" s="8"/>
      <c r="KP143" s="5" t="str">
        <f t="shared" si="535"/>
        <v>NO APLICA</v>
      </c>
      <c r="KQ143" s="5"/>
      <c r="KR143" s="2"/>
      <c r="KS143" s="4"/>
      <c r="KT143" s="8"/>
      <c r="KU143" s="5" t="str">
        <f t="shared" si="560"/>
        <v>NO APLICA</v>
      </c>
      <c r="KV143" s="2"/>
      <c r="KW143" s="6"/>
      <c r="KX143" s="4"/>
      <c r="KY143" s="8"/>
      <c r="KZ143" s="5" t="str">
        <f t="shared" si="565"/>
        <v>NO APLICA</v>
      </c>
      <c r="LA143" s="5"/>
      <c r="LB143" s="6"/>
      <c r="LC143" s="4"/>
      <c r="LD143" s="8"/>
      <c r="LE143" s="5" t="str">
        <f t="shared" si="561"/>
        <v>NO APLICA</v>
      </c>
      <c r="LF143" s="6"/>
      <c r="LG143" s="6"/>
      <c r="LH143" s="4"/>
      <c r="LI143" s="8"/>
      <c r="LJ143" s="5" t="str">
        <f t="shared" si="567"/>
        <v>NO APLICA</v>
      </c>
      <c r="LK143" s="5"/>
      <c r="LL143" s="5"/>
      <c r="LM143" s="5"/>
      <c r="LN143" s="5"/>
      <c r="LO143" s="5" t="str">
        <f t="shared" si="566"/>
        <v>NO APLICA</v>
      </c>
      <c r="LP143" s="2"/>
      <c r="LQ143" s="6"/>
      <c r="LR143" s="4"/>
      <c r="LS143" s="8"/>
      <c r="LT143" s="5" t="str">
        <f t="shared" si="562"/>
        <v>NO APLICA</v>
      </c>
      <c r="LU143" s="6"/>
      <c r="LV143" s="6"/>
      <c r="LW143" s="4"/>
      <c r="LX143" s="8"/>
      <c r="LY143" s="5" t="str">
        <f t="shared" si="563"/>
        <v>NO APLICA</v>
      </c>
      <c r="LZ143" s="6"/>
      <c r="MA143" s="6"/>
      <c r="MB143" s="4"/>
      <c r="MC143" s="8"/>
      <c r="MD143" s="5" t="str">
        <f t="shared" si="564"/>
        <v>NO APLICA</v>
      </c>
      <c r="ME143" s="2"/>
      <c r="MF143" s="2"/>
      <c r="MG143" s="4"/>
      <c r="MH143" s="8"/>
      <c r="MI143" s="5" t="str">
        <f t="shared" si="537"/>
        <v>NO APLICA</v>
      </c>
      <c r="MJ143" s="2"/>
      <c r="MK143" s="2"/>
      <c r="ML143" s="4"/>
      <c r="MM143" s="8"/>
      <c r="MN143" s="5" t="str">
        <f t="shared" si="538"/>
        <v>NO APLICA</v>
      </c>
      <c r="MO143" s="5"/>
      <c r="MP143" s="2"/>
      <c r="MQ143" s="4"/>
      <c r="MR143" s="8"/>
      <c r="MS143" s="5" t="str">
        <f t="shared" si="539"/>
        <v>NO APLICA</v>
      </c>
      <c r="MT143" s="5"/>
      <c r="MU143" s="2"/>
      <c r="MV143" s="4"/>
      <c r="MW143" s="2"/>
      <c r="MX143" s="5" t="str">
        <f t="shared" si="540"/>
        <v>NO APLICA</v>
      </c>
      <c r="MY143" s="2"/>
      <c r="MZ143" s="6"/>
      <c r="NA143" s="4"/>
      <c r="NB143" s="8"/>
      <c r="NC143" s="5" t="str">
        <f t="shared" si="541"/>
        <v>NO APLICA</v>
      </c>
      <c r="ND143" s="2"/>
      <c r="NE143" s="6"/>
      <c r="NF143" s="4"/>
      <c r="NG143" s="8"/>
      <c r="NH143" s="5" t="str">
        <f t="shared" si="542"/>
        <v>NO APLICA</v>
      </c>
      <c r="NI143" s="2"/>
      <c r="NJ143" s="6"/>
      <c r="NK143" s="4"/>
      <c r="NL143" s="8"/>
      <c r="NM143" s="5" t="str">
        <f t="shared" si="543"/>
        <v>NO APLICA</v>
      </c>
      <c r="NN143" s="2"/>
      <c r="NO143" s="2"/>
      <c r="NP143" s="4"/>
      <c r="NQ143" s="8"/>
      <c r="NR143" s="5" t="str">
        <f t="shared" si="544"/>
        <v>NO APLICA</v>
      </c>
      <c r="NS143" s="2"/>
      <c r="NT143" s="2"/>
      <c r="NU143" s="4"/>
      <c r="NV143" s="2"/>
      <c r="NW143" s="5" t="str">
        <f t="shared" si="545"/>
        <v>NO APLICA</v>
      </c>
      <c r="NX143" s="6"/>
      <c r="NY143" s="4"/>
      <c r="NZ143" s="4"/>
      <c r="OA143" s="8"/>
      <c r="OB143" s="5" t="str">
        <f t="shared" si="546"/>
        <v>NO APLICA</v>
      </c>
      <c r="OC143" s="6"/>
      <c r="OD143" s="6"/>
      <c r="OE143" s="6"/>
      <c r="OF143" s="6"/>
      <c r="OG143" s="5" t="str">
        <f t="shared" si="547"/>
        <v>NO APLICA</v>
      </c>
      <c r="OH143" s="6"/>
      <c r="OI143" s="6"/>
      <c r="OJ143" s="4"/>
      <c r="OK143" s="8"/>
      <c r="OL143" s="5" t="str">
        <f t="shared" si="548"/>
        <v>NO APLICA</v>
      </c>
      <c r="OM143" s="6"/>
      <c r="ON143" s="6"/>
      <c r="OO143" s="6"/>
      <c r="OP143" s="6"/>
      <c r="OQ143" s="5" t="str">
        <f t="shared" si="549"/>
        <v>NO APLICA</v>
      </c>
      <c r="OR143" s="6"/>
      <c r="OS143" s="6"/>
      <c r="OT143" s="6"/>
      <c r="OU143" s="6"/>
      <c r="OV143" s="5" t="str">
        <f t="shared" si="550"/>
        <v>NO APLICA</v>
      </c>
      <c r="OW143" s="6"/>
      <c r="OX143" s="6"/>
      <c r="OY143" s="6"/>
      <c r="OZ143" s="6"/>
      <c r="PA143" s="5" t="str">
        <f t="shared" si="551"/>
        <v>NO APLICA</v>
      </c>
      <c r="PB143" s="6"/>
      <c r="PC143" s="6"/>
      <c r="PD143" s="6"/>
      <c r="PE143" s="6"/>
      <c r="PF143" s="5" t="str">
        <f t="shared" si="552"/>
        <v>NO APLICA</v>
      </c>
      <c r="PG143" s="6"/>
      <c r="PH143" s="6"/>
      <c r="PI143" s="6"/>
      <c r="PJ143" s="6"/>
      <c r="PK143" s="5" t="str">
        <f t="shared" si="553"/>
        <v>NO APLICA</v>
      </c>
      <c r="PL143" s="5"/>
      <c r="PM143" s="6"/>
      <c r="PN143" s="4"/>
      <c r="PO143" s="8"/>
      <c r="PP143" s="5" t="str">
        <f t="shared" si="554"/>
        <v>NO APLICA</v>
      </c>
      <c r="PQ143" s="6"/>
      <c r="PR143" s="6"/>
      <c r="PS143" s="6"/>
      <c r="PT143" s="6"/>
      <c r="PU143" s="5" t="str">
        <f t="shared" si="555"/>
        <v>NO APLICA</v>
      </c>
      <c r="PV143" s="5"/>
      <c r="PW143" s="6"/>
      <c r="PX143" s="6"/>
      <c r="PY143" s="6"/>
      <c r="PZ143" s="5" t="str">
        <f t="shared" si="556"/>
        <v>NO APLICA</v>
      </c>
    </row>
    <row r="144" spans="1:442" ht="15.6" hidden="1" thickTop="1" thickBot="1" x14ac:dyDescent="0.35">
      <c r="A144" s="26">
        <v>141</v>
      </c>
      <c r="B144" s="31">
        <v>1729</v>
      </c>
      <c r="C144" s="28" t="s">
        <v>466</v>
      </c>
      <c r="D144" s="29" t="s">
        <v>117</v>
      </c>
      <c r="E144" s="30" t="s">
        <v>118</v>
      </c>
      <c r="F144" s="6"/>
      <c r="G144" s="6"/>
      <c r="H144" s="6"/>
      <c r="I144" s="6"/>
      <c r="J144" s="5" t="str">
        <f t="shared" si="455"/>
        <v>NO APLICA</v>
      </c>
      <c r="K144" s="6"/>
      <c r="L144" s="6"/>
      <c r="M144" s="6"/>
      <c r="N144" s="6"/>
      <c r="O144" s="5" t="str">
        <f t="shared" si="456"/>
        <v>NO APLICA</v>
      </c>
      <c r="P144" s="6"/>
      <c r="Q144" s="6"/>
      <c r="R144" s="6"/>
      <c r="S144" s="6"/>
      <c r="T144" s="5" t="str">
        <f t="shared" si="557"/>
        <v>NO APLICA</v>
      </c>
      <c r="U144" s="5"/>
      <c r="V144" s="6" t="s">
        <v>467</v>
      </c>
      <c r="W144" s="4">
        <v>45502</v>
      </c>
      <c r="X144" s="4">
        <f t="shared" si="410"/>
        <v>47328</v>
      </c>
      <c r="Y144" s="8">
        <f t="shared" ca="1" si="411"/>
        <v>1183</v>
      </c>
      <c r="Z144" s="5" t="str">
        <f t="shared" ca="1" si="412"/>
        <v>VIGENTE</v>
      </c>
      <c r="AA144" s="5"/>
      <c r="AB144" s="6" t="s">
        <v>468</v>
      </c>
      <c r="AC144" s="4">
        <v>45499</v>
      </c>
      <c r="AD144" s="4">
        <f>DATE(YEAR(AC144)+5,MONTH(AC144),DAY(AC144))</f>
        <v>47325</v>
      </c>
      <c r="AE144" s="8">
        <f ca="1">AD144-TODAY()</f>
        <v>1180</v>
      </c>
      <c r="AF144" s="5" t="str">
        <f t="shared" ca="1" si="457"/>
        <v>VIGENTE</v>
      </c>
      <c r="AG144" s="4"/>
      <c r="AH144" s="4">
        <v>46085</v>
      </c>
      <c r="AI144" s="4">
        <f>DATE(YEAR(AH144)+2,MONTH(AH144),DAY(AH144))</f>
        <v>46816</v>
      </c>
      <c r="AJ144" s="8">
        <f t="shared" ca="1" si="458"/>
        <v>671</v>
      </c>
      <c r="AK144" s="5" t="str">
        <f t="shared" ca="1" si="408"/>
        <v>VIGENTE</v>
      </c>
      <c r="AL144" s="6"/>
      <c r="AM144" s="4">
        <v>46062</v>
      </c>
      <c r="AN144" s="4">
        <f t="shared" ref="AN144:AN157" si="572">DATE(YEAR(AM144)+2,MONTH(AM144),DAY(AM144))</f>
        <v>46792</v>
      </c>
      <c r="AO144" s="8">
        <f t="shared" ca="1" si="459"/>
        <v>647</v>
      </c>
      <c r="AP144" s="5" t="str">
        <f t="shared" ca="1" si="460"/>
        <v>VIGENTE</v>
      </c>
      <c r="AQ144" s="4"/>
      <c r="AR144" s="4">
        <v>45989</v>
      </c>
      <c r="AS144" s="4">
        <f t="shared" si="568"/>
        <v>46719</v>
      </c>
      <c r="AT144" s="8">
        <f t="shared" ca="1" si="461"/>
        <v>574</v>
      </c>
      <c r="AU144" s="5" t="str">
        <f t="shared" ca="1" si="462"/>
        <v>VIGENTE</v>
      </c>
      <c r="AV144" s="6"/>
      <c r="AW144" s="4">
        <v>46070</v>
      </c>
      <c r="AX144" s="4">
        <f t="shared" si="569"/>
        <v>46800</v>
      </c>
      <c r="AY144" s="8">
        <f t="shared" ca="1" si="463"/>
        <v>655</v>
      </c>
      <c r="AZ144" s="5" t="str">
        <f t="shared" ca="1" si="464"/>
        <v>VIGENTE</v>
      </c>
      <c r="BA144" s="4"/>
      <c r="BB144" s="4">
        <v>46041</v>
      </c>
      <c r="BC144" s="4">
        <f>DATE(YEAR(BB144)+2,MONTH(BB144),DAY(BB144))</f>
        <v>46771</v>
      </c>
      <c r="BD144" s="8">
        <f t="shared" ca="1" si="465"/>
        <v>626</v>
      </c>
      <c r="BE144" s="5" t="str">
        <f t="shared" ca="1" si="466"/>
        <v>VIGENTE</v>
      </c>
      <c r="BF144" s="6"/>
      <c r="BG144" s="4">
        <v>45987</v>
      </c>
      <c r="BH144" s="4">
        <f>DATE(YEAR(BG144)+2,MONTH(BG144),DAY(BG144))</f>
        <v>46717</v>
      </c>
      <c r="BI144" s="8">
        <f t="shared" ca="1" si="467"/>
        <v>572</v>
      </c>
      <c r="BJ144" s="5" t="str">
        <f t="shared" ca="1" si="468"/>
        <v>VIGENTE</v>
      </c>
      <c r="BK144" s="4"/>
      <c r="BL144" s="4">
        <v>46007</v>
      </c>
      <c r="BM144" s="4">
        <f>DATE(YEAR(BL144)+2,MONTH(BL144),DAY(BL144))</f>
        <v>46737</v>
      </c>
      <c r="BN144" s="8">
        <f t="shared" ca="1" si="469"/>
        <v>592</v>
      </c>
      <c r="BO144" s="5" t="str">
        <f t="shared" ca="1" si="470"/>
        <v>VIGENTE</v>
      </c>
      <c r="BP144" s="4"/>
      <c r="BQ144" s="39">
        <v>45988</v>
      </c>
      <c r="BR144" s="4">
        <f t="shared" si="570"/>
        <v>46718</v>
      </c>
      <c r="BS144" s="8">
        <f t="shared" ca="1" si="471"/>
        <v>573</v>
      </c>
      <c r="BT144" s="5" t="str">
        <f t="shared" ca="1" si="472"/>
        <v>VIGENTE</v>
      </c>
      <c r="BU144" s="3"/>
      <c r="BV144" s="4">
        <v>46031</v>
      </c>
      <c r="BW144" s="4">
        <f>DATE(YEAR(BV144)+2,MONTH(BV144),DAY(BV144))</f>
        <v>46761</v>
      </c>
      <c r="BX144" s="8">
        <f t="shared" ca="1" si="473"/>
        <v>616</v>
      </c>
      <c r="BY144" s="5" t="str">
        <f t="shared" ca="1" si="474"/>
        <v>VIGENTE</v>
      </c>
      <c r="BZ144" s="6"/>
      <c r="CA144" s="4">
        <v>45986</v>
      </c>
      <c r="CB144" s="4">
        <f>DATE(YEAR(CA144)+2,MONTH(CA144),DAY(CA144))</f>
        <v>46716</v>
      </c>
      <c r="CC144" s="8">
        <f t="shared" ca="1" si="475"/>
        <v>571</v>
      </c>
      <c r="CD144" s="5" t="str">
        <f t="shared" ca="1" si="476"/>
        <v>VIGENTE</v>
      </c>
      <c r="CE144" s="6"/>
      <c r="CF144" s="4">
        <v>45372</v>
      </c>
      <c r="CG144" s="4">
        <f t="shared" si="416"/>
        <v>46833</v>
      </c>
      <c r="CH144" s="8">
        <f t="shared" ca="1" si="417"/>
        <v>688</v>
      </c>
      <c r="CI144" s="5" t="str">
        <f t="shared" ref="CI144:CI207" ca="1" si="573">IF(CH144&gt;=90,"VIGENTE",IF(CH144&gt;=1,"POR VENCER",IF(CH144&lt;=-1,"VENCIDA",IF(CH144=0,"NO APLICA"))))</f>
        <v>VIGENTE</v>
      </c>
      <c r="CJ144" s="4"/>
      <c r="CK144" s="4">
        <v>46018</v>
      </c>
      <c r="CL144" s="4">
        <f>DATE(YEAR(CK144)+2,MONTH(CK144),DAY(CK144))</f>
        <v>46748</v>
      </c>
      <c r="CM144" s="8">
        <f t="shared" ca="1" si="477"/>
        <v>603</v>
      </c>
      <c r="CN144" s="5" t="str">
        <f t="shared" ca="1" si="478"/>
        <v>VIGENTE</v>
      </c>
      <c r="CO144" s="4"/>
      <c r="CP144" s="39">
        <v>46038</v>
      </c>
      <c r="CQ144" s="4">
        <f>DATE(YEAR(CP144)+2,MONTH(CP144),DAY(CP144))</f>
        <v>46768</v>
      </c>
      <c r="CR144" s="8">
        <f t="shared" ca="1" si="479"/>
        <v>623</v>
      </c>
      <c r="CS144" s="5" t="str">
        <f t="shared" ca="1" si="480"/>
        <v>VIGENTE</v>
      </c>
      <c r="CT144" s="4"/>
      <c r="CU144" s="4">
        <v>46043</v>
      </c>
      <c r="CV144" s="4">
        <f>DATE(YEAR(CU144)+2,MONTH(CU144),DAY(CU144))</f>
        <v>46773</v>
      </c>
      <c r="CW144" s="8">
        <f t="shared" ca="1" si="481"/>
        <v>628</v>
      </c>
      <c r="CX144" s="5" t="str">
        <f t="shared" ca="1" si="482"/>
        <v>VIGENTE</v>
      </c>
      <c r="CY144" s="4"/>
      <c r="CZ144" s="4">
        <v>46028</v>
      </c>
      <c r="DA144" s="4">
        <f>DATE(YEAR(CZ144)+2,MONTH(CZ144),DAY(CZ144))</f>
        <v>46758</v>
      </c>
      <c r="DB144" s="8">
        <f t="shared" ca="1" si="483"/>
        <v>613</v>
      </c>
      <c r="DC144" s="5" t="str">
        <f t="shared" ca="1" si="484"/>
        <v>VIGENTE</v>
      </c>
      <c r="DD144" s="4"/>
      <c r="DE144" s="4">
        <v>45996</v>
      </c>
      <c r="DF144" s="4">
        <f>DATE(YEAR(DE144)+2,MONTH(DE144),DAY(DE144))</f>
        <v>46726</v>
      </c>
      <c r="DG144" s="8">
        <f t="shared" ca="1" si="485"/>
        <v>581</v>
      </c>
      <c r="DH144" s="5" t="str">
        <f t="shared" ca="1" si="486"/>
        <v>VIGENTE</v>
      </c>
      <c r="DI144" s="4"/>
      <c r="DJ144" s="39">
        <v>46029</v>
      </c>
      <c r="DK144" s="4">
        <f>DATE(YEAR(DJ144)+2,MONTH(DJ144),DAY(DJ144))</f>
        <v>46759</v>
      </c>
      <c r="DL144" s="8">
        <f t="shared" ca="1" si="487"/>
        <v>614</v>
      </c>
      <c r="DM144" s="5" t="str">
        <f t="shared" ca="1" si="488"/>
        <v>VIGENTE</v>
      </c>
      <c r="DN144" s="4"/>
      <c r="DO144" s="4">
        <v>45982</v>
      </c>
      <c r="DP144" s="4">
        <f>DATE(YEAR(DO144)+2,MONTH(DO144),DAY(DO144))</f>
        <v>46712</v>
      </c>
      <c r="DQ144" s="8">
        <f t="shared" ca="1" si="489"/>
        <v>567</v>
      </c>
      <c r="DR144" s="5" t="str">
        <f t="shared" ca="1" si="490"/>
        <v>VIGENTE</v>
      </c>
      <c r="DS144" s="6"/>
      <c r="DT144" s="4">
        <v>46053</v>
      </c>
      <c r="DU144" s="4">
        <f>DATE(YEAR(DT144)+2,MONTH(DT144),DAY(DT144))</f>
        <v>46783</v>
      </c>
      <c r="DV144" s="8">
        <f t="shared" ca="1" si="491"/>
        <v>638</v>
      </c>
      <c r="DW144" s="5" t="str">
        <f t="shared" ca="1" si="492"/>
        <v>VIGENTE</v>
      </c>
      <c r="DX144" s="4"/>
      <c r="DY144" s="4">
        <v>46032</v>
      </c>
      <c r="DZ144" s="4">
        <f>DATE(YEAR(DY144)+2,MONTH(DY144),DAY(DY144))</f>
        <v>46762</v>
      </c>
      <c r="EA144" s="8">
        <f t="shared" ca="1" si="493"/>
        <v>617</v>
      </c>
      <c r="EB144" s="5" t="str">
        <f t="shared" ca="1" si="494"/>
        <v>VIGENTE</v>
      </c>
      <c r="EC144" s="4"/>
      <c r="ED144" s="39">
        <v>45994</v>
      </c>
      <c r="EE144" s="4">
        <f>DATE(YEAR(ED144)+2,MONTH(ED144),DAY(ED144))</f>
        <v>46724</v>
      </c>
      <c r="EF144" s="8">
        <f t="shared" ca="1" si="495"/>
        <v>579</v>
      </c>
      <c r="EG144" s="5" t="str">
        <f t="shared" ca="1" si="496"/>
        <v>VIGENTE</v>
      </c>
      <c r="EH144" s="3"/>
      <c r="EI144" s="3">
        <v>46015</v>
      </c>
      <c r="EJ144" s="4">
        <f t="shared" si="558"/>
        <v>46380</v>
      </c>
      <c r="EK144" s="8">
        <f t="shared" ca="1" si="497"/>
        <v>235</v>
      </c>
      <c r="EL144" s="5" t="str">
        <f t="shared" ca="1" si="498"/>
        <v>VIGENTE</v>
      </c>
      <c r="EM144" s="3"/>
      <c r="EN144" s="4">
        <v>45983</v>
      </c>
      <c r="EO144" s="4">
        <f>DATE(YEAR(EN144)+2,MONTH(EN144),DAY(EN144))</f>
        <v>46713</v>
      </c>
      <c r="EP144" s="8">
        <f t="shared" ca="1" si="499"/>
        <v>568</v>
      </c>
      <c r="EQ144" s="5" t="str">
        <f t="shared" ca="1" si="500"/>
        <v>VIGENTE</v>
      </c>
      <c r="ER144" s="6"/>
      <c r="ES144" s="39">
        <v>45999</v>
      </c>
      <c r="ET144" s="4">
        <f>DATE(YEAR(ES144)+2,MONTH(ES144),DAY(ES144))</f>
        <v>46729</v>
      </c>
      <c r="EU144" s="8">
        <f t="shared" ca="1" si="501"/>
        <v>584</v>
      </c>
      <c r="EV144" s="5" t="str">
        <f t="shared" ca="1" si="502"/>
        <v>VIGENTE</v>
      </c>
      <c r="EW144" s="4"/>
      <c r="EX144" s="4">
        <v>45964</v>
      </c>
      <c r="EY144" s="4">
        <f>DATE(YEAR(EX144)+2,MONTH(EX144),DAY(EX144))</f>
        <v>46694</v>
      </c>
      <c r="EZ144" s="8">
        <f t="shared" ca="1" si="503"/>
        <v>549</v>
      </c>
      <c r="FA144" s="5" t="str">
        <f t="shared" ca="1" si="504"/>
        <v>VIGENTE</v>
      </c>
      <c r="FB144" s="4"/>
      <c r="FC144" s="4">
        <v>46017</v>
      </c>
      <c r="FD144" s="4">
        <f>DATE(YEAR(FC144)+2,MONTH(FC144),DAY(FC144))</f>
        <v>46747</v>
      </c>
      <c r="FE144" s="8">
        <f t="shared" ca="1" si="505"/>
        <v>602</v>
      </c>
      <c r="FF144" s="5" t="str">
        <f t="shared" ca="1" si="506"/>
        <v>VIGENTE</v>
      </c>
      <c r="FG144" s="4"/>
      <c r="FH144" s="4">
        <v>45969</v>
      </c>
      <c r="FI144" s="4">
        <f>DATE(YEAR(FH144)+2,MONTH(FH144),DAY(FH144))</f>
        <v>46699</v>
      </c>
      <c r="FJ144" s="8">
        <f t="shared" ca="1" si="507"/>
        <v>554</v>
      </c>
      <c r="FK144" s="5" t="str">
        <f t="shared" ca="1" si="508"/>
        <v>VIGENTE</v>
      </c>
      <c r="FL144" s="4"/>
      <c r="FM144" s="39">
        <v>46039</v>
      </c>
      <c r="FN144" s="4">
        <f>DATE(YEAR(FM144)+2,MONTH(FM144),DAY(FM144))</f>
        <v>46769</v>
      </c>
      <c r="FO144" s="8">
        <f t="shared" ca="1" si="509"/>
        <v>624</v>
      </c>
      <c r="FP144" s="5" t="str">
        <f t="shared" ca="1" si="510"/>
        <v>VIGENTE</v>
      </c>
      <c r="FQ144" s="4"/>
      <c r="FR144" s="39">
        <v>46034</v>
      </c>
      <c r="FS144" s="4">
        <f>DATE(YEAR(FR144)+2,MONTH(FR144),DAY(FR144))</f>
        <v>46764</v>
      </c>
      <c r="FT144" s="8">
        <f t="shared" ca="1" si="511"/>
        <v>619</v>
      </c>
      <c r="FU144" s="5" t="str">
        <f t="shared" ca="1" si="512"/>
        <v>VIGENTE</v>
      </c>
      <c r="FV144" s="4"/>
      <c r="FW144" s="4">
        <v>45993</v>
      </c>
      <c r="FX144" s="4">
        <f>DATE(YEAR(FW144)+2,MONTH(FW144),DAY(FW144))</f>
        <v>46723</v>
      </c>
      <c r="FY144" s="8">
        <f t="shared" ca="1" si="513"/>
        <v>578</v>
      </c>
      <c r="FZ144" s="5" t="str">
        <f t="shared" ca="1" si="514"/>
        <v>VIGENTE</v>
      </c>
      <c r="GA144" s="4"/>
      <c r="GB144" s="4">
        <v>46030</v>
      </c>
      <c r="GC144" s="4">
        <f>DATE(YEAR(GB144)+2,MONTH(GB144),DAY(GB144))</f>
        <v>46760</v>
      </c>
      <c r="GD144" s="8">
        <f t="shared" ca="1" si="515"/>
        <v>615</v>
      </c>
      <c r="GE144" s="5" t="str">
        <f t="shared" ca="1" si="516"/>
        <v>VIGENTE</v>
      </c>
      <c r="GF144" s="4"/>
      <c r="GG144" s="4">
        <v>46036</v>
      </c>
      <c r="GH144" s="4">
        <f>DATE(YEAR(GG144)+2,MONTH(GG144),DAY(GG144))</f>
        <v>46766</v>
      </c>
      <c r="GI144" s="8">
        <f t="shared" ca="1" si="517"/>
        <v>621</v>
      </c>
      <c r="GJ144" s="5" t="str">
        <f t="shared" ca="1" si="518"/>
        <v>VIGENTE</v>
      </c>
      <c r="GK144" s="3"/>
      <c r="GL144" s="4">
        <v>46044</v>
      </c>
      <c r="GM144" s="4">
        <f t="shared" si="571"/>
        <v>46774</v>
      </c>
      <c r="GN144" s="8">
        <f t="shared" ca="1" si="519"/>
        <v>629</v>
      </c>
      <c r="GO144" s="5" t="str">
        <f t="shared" ca="1" si="520"/>
        <v>VIGENTE</v>
      </c>
      <c r="GP144" s="4"/>
      <c r="GQ144" s="4">
        <v>45367</v>
      </c>
      <c r="GR144" s="4">
        <f t="shared" si="521"/>
        <v>47193</v>
      </c>
      <c r="GS144" s="8">
        <f t="shared" ca="1" si="405"/>
        <v>1048</v>
      </c>
      <c r="GT144" s="5" t="str">
        <f t="shared" ca="1" si="419"/>
        <v>VIGENTE</v>
      </c>
      <c r="GU144" s="4"/>
      <c r="GV144" s="4">
        <v>45389</v>
      </c>
      <c r="GW144" s="4">
        <f t="shared" si="522"/>
        <v>47215</v>
      </c>
      <c r="GX144" s="8">
        <f t="shared" ca="1" si="523"/>
        <v>1070</v>
      </c>
      <c r="GY144" s="5" t="str">
        <f t="shared" ca="1" si="426"/>
        <v>VIGENTE</v>
      </c>
      <c r="GZ144" s="6"/>
      <c r="HA144" s="4">
        <v>45343</v>
      </c>
      <c r="HB144" s="4">
        <f t="shared" si="524"/>
        <v>47170</v>
      </c>
      <c r="HC144" s="8">
        <f t="shared" ca="1" si="525"/>
        <v>1025</v>
      </c>
      <c r="HD144" s="5" t="str">
        <f t="shared" ca="1" si="421"/>
        <v>VIGENTE</v>
      </c>
      <c r="HE144" s="6"/>
      <c r="HF144" s="4">
        <v>45392</v>
      </c>
      <c r="HG144" s="4">
        <f>DATE(YEAR(HF144)+5,MONTH(HF144),DAY(HF144))</f>
        <v>47218</v>
      </c>
      <c r="HH144" s="8">
        <f ca="1">HG144-TODAY()</f>
        <v>1073</v>
      </c>
      <c r="HI144" s="5" t="str">
        <f t="shared" ca="1" si="427"/>
        <v>VIGENTE</v>
      </c>
      <c r="HJ144" s="6"/>
      <c r="HK144" s="6"/>
      <c r="HL144" s="4"/>
      <c r="HM144" s="8"/>
      <c r="HN144" s="5" t="str">
        <f t="shared" si="444"/>
        <v>NO APLICA</v>
      </c>
      <c r="HO144" s="2"/>
      <c r="HP144" s="2"/>
      <c r="HQ144" s="4"/>
      <c r="HR144" s="2"/>
      <c r="HS144" s="5" t="str">
        <f t="shared" si="526"/>
        <v>NO APLICA</v>
      </c>
      <c r="HT144" s="6"/>
      <c r="HU144" s="6"/>
      <c r="HV144" s="4"/>
      <c r="HW144" s="8"/>
      <c r="HX144" s="5" t="str">
        <f t="shared" si="527"/>
        <v>NO APLICA</v>
      </c>
      <c r="HY144" s="6"/>
      <c r="HZ144" s="6"/>
      <c r="IA144" s="4"/>
      <c r="IB144" s="8"/>
      <c r="IC144" s="5" t="str">
        <f t="shared" si="528"/>
        <v>NO APLICA</v>
      </c>
      <c r="ID144" s="6"/>
      <c r="IE144" s="6"/>
      <c r="IF144" s="4"/>
      <c r="IG144" s="8"/>
      <c r="IH144" s="5" t="str">
        <f t="shared" si="529"/>
        <v>NO APLICA</v>
      </c>
      <c r="II144" s="6"/>
      <c r="IJ144" s="6"/>
      <c r="IK144" s="4"/>
      <c r="IL144" s="6"/>
      <c r="IM144" s="5" t="str">
        <f t="shared" si="530"/>
        <v>NO APLICA</v>
      </c>
      <c r="IN144" s="6"/>
      <c r="IO144" s="6"/>
      <c r="IP144" s="4"/>
      <c r="IQ144" s="8"/>
      <c r="IR144" s="5" t="str">
        <f t="shared" si="531"/>
        <v>NO APLICA</v>
      </c>
      <c r="IS144" s="6"/>
      <c r="IT144" s="6"/>
      <c r="IU144" s="4"/>
      <c r="IV144" s="8"/>
      <c r="IW144" s="5" t="str">
        <f t="shared" si="532"/>
        <v>NO APLICA</v>
      </c>
      <c r="IX144" s="6"/>
      <c r="IY144" s="6"/>
      <c r="IZ144" s="4"/>
      <c r="JA144" s="8"/>
      <c r="JB144" s="5" t="str">
        <f t="shared" si="533"/>
        <v>NO APLICA</v>
      </c>
      <c r="JC144" s="3" t="s">
        <v>780</v>
      </c>
      <c r="JD144" s="3"/>
      <c r="JE144" s="4"/>
      <c r="JF144" s="8"/>
      <c r="JG144" s="5"/>
      <c r="JH144" s="3" t="s">
        <v>780</v>
      </c>
      <c r="JI144" s="6"/>
      <c r="JJ144" s="6"/>
      <c r="JK144" s="6"/>
      <c r="JL144" s="5"/>
      <c r="JM144" s="6" t="s">
        <v>780</v>
      </c>
      <c r="JN144" s="6"/>
      <c r="JO144" s="6"/>
      <c r="JP144" s="6"/>
      <c r="JQ144" s="5"/>
      <c r="JR144" s="6" t="s">
        <v>780</v>
      </c>
      <c r="JS144" s="6"/>
      <c r="JT144" s="6"/>
      <c r="JU144" s="6"/>
      <c r="JV144" s="5"/>
      <c r="JW144" s="6" t="s">
        <v>780</v>
      </c>
      <c r="JX144" s="3"/>
      <c r="JY144" s="4"/>
      <c r="JZ144" s="8"/>
      <c r="KA144" s="5"/>
      <c r="KB144" s="5"/>
      <c r="KC144" s="2"/>
      <c r="KD144" s="4"/>
      <c r="KE144" s="8"/>
      <c r="KF144" s="5" t="str">
        <f t="shared" si="534"/>
        <v>NO APLICA</v>
      </c>
      <c r="KG144" s="5"/>
      <c r="KH144" s="6"/>
      <c r="KI144" s="4"/>
      <c r="KJ144" s="8"/>
      <c r="KK144" s="5" t="str">
        <f t="shared" si="559"/>
        <v>NO APLICA</v>
      </c>
      <c r="KL144" s="5"/>
      <c r="KM144" s="2"/>
      <c r="KN144" s="4"/>
      <c r="KO144" s="8"/>
      <c r="KP144" s="5" t="str">
        <f t="shared" si="535"/>
        <v>NO APLICA</v>
      </c>
      <c r="KQ144" s="5"/>
      <c r="KR144" s="2"/>
      <c r="KS144" s="4"/>
      <c r="KT144" s="8"/>
      <c r="KU144" s="5" t="str">
        <f t="shared" si="560"/>
        <v>NO APLICA</v>
      </c>
      <c r="KV144" s="6"/>
      <c r="KW144" s="6"/>
      <c r="KX144" s="4"/>
      <c r="KY144" s="6"/>
      <c r="KZ144" s="5" t="str">
        <f t="shared" si="565"/>
        <v>NO APLICA</v>
      </c>
      <c r="LA144" s="5"/>
      <c r="LB144" s="6"/>
      <c r="LC144" s="4"/>
      <c r="LD144" s="6"/>
      <c r="LE144" s="5" t="str">
        <f t="shared" si="561"/>
        <v>NO APLICA</v>
      </c>
      <c r="LF144" s="6"/>
      <c r="LG144" s="6"/>
      <c r="LH144" s="6"/>
      <c r="LI144" s="6"/>
      <c r="LJ144" s="5" t="str">
        <f t="shared" si="567"/>
        <v>NO APLICA</v>
      </c>
      <c r="LK144" s="5"/>
      <c r="LL144" s="5"/>
      <c r="LM144" s="4"/>
      <c r="LN144" s="8"/>
      <c r="LO144" s="5" t="str">
        <f t="shared" si="566"/>
        <v>NO APLICA</v>
      </c>
      <c r="LP144" s="6"/>
      <c r="LQ144" s="6"/>
      <c r="LR144" s="4"/>
      <c r="LS144" s="8"/>
      <c r="LT144" s="5" t="str">
        <f t="shared" si="562"/>
        <v>NO APLICA</v>
      </c>
      <c r="LU144" s="6"/>
      <c r="LV144" s="6"/>
      <c r="LW144" s="4"/>
      <c r="LX144" s="6"/>
      <c r="LY144" s="5" t="str">
        <f t="shared" si="563"/>
        <v>NO APLICA</v>
      </c>
      <c r="LZ144" s="6"/>
      <c r="MA144" s="6"/>
      <c r="MB144" s="4"/>
      <c r="MC144" s="6"/>
      <c r="MD144" s="5" t="str">
        <f t="shared" si="564"/>
        <v>NO APLICA</v>
      </c>
      <c r="ME144" s="6"/>
      <c r="MF144" s="6"/>
      <c r="MG144" s="4"/>
      <c r="MH144" s="6"/>
      <c r="MI144" s="5" t="str">
        <f t="shared" si="537"/>
        <v>NO APLICA</v>
      </c>
      <c r="MJ144" s="6"/>
      <c r="MK144" s="6"/>
      <c r="ML144" s="4"/>
      <c r="MM144" s="6"/>
      <c r="MN144" s="5" t="str">
        <f t="shared" si="538"/>
        <v>NO APLICA</v>
      </c>
      <c r="MO144" s="5"/>
      <c r="MP144" s="6"/>
      <c r="MQ144" s="4"/>
      <c r="MR144" s="6"/>
      <c r="MS144" s="5" t="str">
        <f t="shared" si="539"/>
        <v>NO APLICA</v>
      </c>
      <c r="MT144" s="5"/>
      <c r="MU144" s="6"/>
      <c r="MV144" s="6"/>
      <c r="MW144" s="6"/>
      <c r="MX144" s="5" t="str">
        <f t="shared" si="540"/>
        <v>NO APLICA</v>
      </c>
      <c r="MY144" s="6"/>
      <c r="MZ144" s="6"/>
      <c r="NA144" s="4"/>
      <c r="NB144" s="6"/>
      <c r="NC144" s="5" t="str">
        <f t="shared" si="541"/>
        <v>NO APLICA</v>
      </c>
      <c r="ND144" s="6"/>
      <c r="NE144" s="6"/>
      <c r="NF144" s="4"/>
      <c r="NG144" s="6"/>
      <c r="NH144" s="5" t="str">
        <f t="shared" si="542"/>
        <v>NO APLICA</v>
      </c>
      <c r="NI144" s="6"/>
      <c r="NJ144" s="6"/>
      <c r="NK144" s="4"/>
      <c r="NL144" s="6"/>
      <c r="NM144" s="5" t="str">
        <f t="shared" si="543"/>
        <v>NO APLICA</v>
      </c>
      <c r="NN144" s="6"/>
      <c r="NO144" s="6"/>
      <c r="NP144" s="4"/>
      <c r="NQ144" s="6"/>
      <c r="NR144" s="5" t="str">
        <f t="shared" si="544"/>
        <v>NO APLICA</v>
      </c>
      <c r="NS144" s="6"/>
      <c r="NT144" s="6"/>
      <c r="NU144" s="4"/>
      <c r="NV144" s="6"/>
      <c r="NW144" s="5" t="str">
        <f t="shared" si="545"/>
        <v>NO APLICA</v>
      </c>
      <c r="NX144" s="6"/>
      <c r="NY144" s="6"/>
      <c r="NZ144" s="4"/>
      <c r="OA144" s="8"/>
      <c r="OB144" s="5" t="str">
        <f t="shared" si="546"/>
        <v>NO APLICA</v>
      </c>
      <c r="OC144" s="6"/>
      <c r="OD144" s="6"/>
      <c r="OE144" s="6"/>
      <c r="OF144" s="6"/>
      <c r="OG144" s="5" t="str">
        <f t="shared" si="547"/>
        <v>NO APLICA</v>
      </c>
      <c r="OH144" s="6"/>
      <c r="OI144" s="6"/>
      <c r="OJ144" s="6"/>
      <c r="OK144" s="6"/>
      <c r="OL144" s="5" t="str">
        <f t="shared" si="548"/>
        <v>NO APLICA</v>
      </c>
      <c r="OM144" s="6"/>
      <c r="ON144" s="4">
        <v>45481</v>
      </c>
      <c r="OO144" s="4">
        <f>DATE(YEAR(ON144)+3,MONTH(ON144),DAY(ON144))</f>
        <v>46576</v>
      </c>
      <c r="OP144" s="8">
        <f ca="1">OO144-TODAY()</f>
        <v>431</v>
      </c>
      <c r="OQ144" s="5" t="str">
        <f t="shared" ca="1" si="549"/>
        <v>VIGENTE</v>
      </c>
      <c r="OR144" s="6"/>
      <c r="OS144" s="6"/>
      <c r="OT144" s="6"/>
      <c r="OU144" s="6"/>
      <c r="OV144" s="5" t="str">
        <f t="shared" si="550"/>
        <v>NO APLICA</v>
      </c>
      <c r="OW144" s="6"/>
      <c r="OX144" s="6"/>
      <c r="OY144" s="6"/>
      <c r="OZ144" s="6"/>
      <c r="PA144" s="5" t="str">
        <f t="shared" si="551"/>
        <v>NO APLICA</v>
      </c>
      <c r="PB144" s="6"/>
      <c r="PC144" s="6"/>
      <c r="PD144" s="6"/>
      <c r="PE144" s="6"/>
      <c r="PF144" s="5" t="str">
        <f t="shared" si="552"/>
        <v>NO APLICA</v>
      </c>
      <c r="PG144" s="6"/>
      <c r="PH144" s="6"/>
      <c r="PI144" s="6"/>
      <c r="PJ144" s="6"/>
      <c r="PK144" s="5" t="str">
        <f t="shared" si="553"/>
        <v>NO APLICA</v>
      </c>
      <c r="PL144" s="5"/>
      <c r="PM144" s="6"/>
      <c r="PN144" s="6"/>
      <c r="PO144" s="6"/>
      <c r="PP144" s="5" t="str">
        <f t="shared" si="554"/>
        <v>NO APLICA</v>
      </c>
      <c r="PQ144" s="6"/>
      <c r="PR144" s="6"/>
      <c r="PS144" s="6"/>
      <c r="PT144" s="6"/>
      <c r="PU144" s="5" t="str">
        <f t="shared" si="555"/>
        <v>NO APLICA</v>
      </c>
      <c r="PV144" s="5"/>
      <c r="PW144" s="6"/>
      <c r="PX144" s="4"/>
      <c r="PY144" s="8"/>
      <c r="PZ144" s="5" t="str">
        <f t="shared" si="556"/>
        <v>NO APLICA</v>
      </c>
    </row>
    <row r="145" spans="1:442" ht="15.6" hidden="1" thickTop="1" thickBot="1" x14ac:dyDescent="0.35">
      <c r="A145" s="26">
        <v>142</v>
      </c>
      <c r="B145" s="27">
        <v>1391</v>
      </c>
      <c r="C145" s="28" t="s">
        <v>469</v>
      </c>
      <c r="D145" s="29" t="s">
        <v>68</v>
      </c>
      <c r="E145" s="30" t="s">
        <v>77</v>
      </c>
      <c r="F145" s="5"/>
      <c r="G145" s="6"/>
      <c r="H145" s="4"/>
      <c r="I145" s="8"/>
      <c r="J145" s="5" t="str">
        <f t="shared" si="455"/>
        <v>NO APLICA</v>
      </c>
      <c r="K145" s="2"/>
      <c r="L145" s="6"/>
      <c r="M145" s="6"/>
      <c r="N145" s="8"/>
      <c r="O145" s="5" t="str">
        <f t="shared" si="456"/>
        <v>NO APLICA</v>
      </c>
      <c r="P145" s="6"/>
      <c r="Q145" s="6"/>
      <c r="R145" s="4"/>
      <c r="S145" s="8"/>
      <c r="T145" s="5" t="str">
        <f t="shared" si="557"/>
        <v>NO APLICA</v>
      </c>
      <c r="U145" s="5"/>
      <c r="V145" s="2" t="s">
        <v>470</v>
      </c>
      <c r="W145" s="4">
        <v>45391</v>
      </c>
      <c r="X145" s="4">
        <f t="shared" si="410"/>
        <v>47217</v>
      </c>
      <c r="Y145" s="8">
        <f t="shared" ca="1" si="411"/>
        <v>1072</v>
      </c>
      <c r="Z145" s="5" t="str">
        <f t="shared" ca="1" si="412"/>
        <v>VIGENTE</v>
      </c>
      <c r="AA145" s="5"/>
      <c r="AB145" s="2" t="s">
        <v>471</v>
      </c>
      <c r="AC145" s="4">
        <v>44603</v>
      </c>
      <c r="AD145" s="4">
        <f>DATE(YEAR(AC145)+5,MONTH(AC145),DAY(AC145))</f>
        <v>46429</v>
      </c>
      <c r="AE145" s="8">
        <f ca="1">AD145-TODAY()</f>
        <v>284</v>
      </c>
      <c r="AF145" s="5" t="str">
        <f t="shared" ca="1" si="457"/>
        <v>VIGENTE</v>
      </c>
      <c r="AG145" s="3"/>
      <c r="AH145" s="4">
        <v>45589</v>
      </c>
      <c r="AI145" s="4">
        <f>DATE(YEAR(AH145)+2,MONTH(AH145),DAY(AH145)-1)</f>
        <v>46318</v>
      </c>
      <c r="AJ145" s="8">
        <f t="shared" ca="1" si="458"/>
        <v>173</v>
      </c>
      <c r="AK145" s="5" t="str">
        <f t="shared" ca="1" si="408"/>
        <v>VIGENTE</v>
      </c>
      <c r="AL145" s="4"/>
      <c r="AM145" s="4">
        <v>45926</v>
      </c>
      <c r="AN145" s="4">
        <f t="shared" si="572"/>
        <v>46656</v>
      </c>
      <c r="AO145" s="8">
        <f t="shared" ca="1" si="459"/>
        <v>511</v>
      </c>
      <c r="AP145" s="5" t="str">
        <f t="shared" ca="1" si="460"/>
        <v>VIGENTE</v>
      </c>
      <c r="AQ145" s="3"/>
      <c r="AR145" s="4">
        <v>45989</v>
      </c>
      <c r="AS145" s="4">
        <f t="shared" si="568"/>
        <v>46719</v>
      </c>
      <c r="AT145" s="8">
        <f t="shared" ca="1" si="461"/>
        <v>574</v>
      </c>
      <c r="AU145" s="5" t="str">
        <f t="shared" ca="1" si="462"/>
        <v>VIGENTE</v>
      </c>
      <c r="AV145" s="3"/>
      <c r="AW145" s="4">
        <v>45972</v>
      </c>
      <c r="AX145" s="4">
        <f t="shared" si="569"/>
        <v>46702</v>
      </c>
      <c r="AY145" s="8">
        <f t="shared" ca="1" si="463"/>
        <v>557</v>
      </c>
      <c r="AZ145" s="5" t="str">
        <f t="shared" ca="1" si="464"/>
        <v>VIGENTE</v>
      </c>
      <c r="BA145" s="3"/>
      <c r="BB145" s="4">
        <v>45622</v>
      </c>
      <c r="BC145" s="4">
        <f>DATE(YEAR(BB145)+2,MONTH(BB145),DAY(BB145)-1)</f>
        <v>46351</v>
      </c>
      <c r="BD145" s="8">
        <f t="shared" ca="1" si="465"/>
        <v>206</v>
      </c>
      <c r="BE145" s="5" t="str">
        <f t="shared" ca="1" si="466"/>
        <v>VIGENTE</v>
      </c>
      <c r="BF145" s="3"/>
      <c r="BG145" s="4">
        <v>45987</v>
      </c>
      <c r="BH145" s="4">
        <f>DATE(YEAR(BG145)+2,MONTH(BG145),DAY(BG145))</f>
        <v>46717</v>
      </c>
      <c r="BI145" s="8">
        <f t="shared" ca="1" si="467"/>
        <v>572</v>
      </c>
      <c r="BJ145" s="5" t="str">
        <f t="shared" ca="1" si="468"/>
        <v>VIGENTE</v>
      </c>
      <c r="BK145" s="3"/>
      <c r="BL145" s="4">
        <v>46056</v>
      </c>
      <c r="BM145" s="4">
        <f>DATE(YEAR(BL145)+2,MONTH(BL145),DAY(BL145))</f>
        <v>46786</v>
      </c>
      <c r="BN145" s="8">
        <f t="shared" ca="1" si="469"/>
        <v>641</v>
      </c>
      <c r="BO145" s="5" t="str">
        <f t="shared" ca="1" si="470"/>
        <v>VIGENTE</v>
      </c>
      <c r="BP145" s="3"/>
      <c r="BQ145" s="39">
        <v>46069</v>
      </c>
      <c r="BR145" s="4">
        <f t="shared" si="570"/>
        <v>46799</v>
      </c>
      <c r="BS145" s="8">
        <f t="shared" ca="1" si="471"/>
        <v>654</v>
      </c>
      <c r="BT145" s="5" t="str">
        <f t="shared" ca="1" si="472"/>
        <v>VIGENTE</v>
      </c>
      <c r="BU145" s="3"/>
      <c r="BV145" s="4">
        <v>46116</v>
      </c>
      <c r="BW145" s="4">
        <f>DATE(YEAR(BV145)+2,MONTH(BV145),DAY(BV145)-1)</f>
        <v>46846</v>
      </c>
      <c r="BX145" s="8">
        <f t="shared" ca="1" si="473"/>
        <v>701</v>
      </c>
      <c r="BY145" s="5" t="str">
        <f t="shared" ca="1" si="474"/>
        <v>VIGENTE</v>
      </c>
      <c r="BZ145" s="3"/>
      <c r="CA145" s="4">
        <v>46119</v>
      </c>
      <c r="CB145" s="4">
        <f>DATE(YEAR(CA145)+2,MONTH(CA145),DAY(CA145)-1)</f>
        <v>46849</v>
      </c>
      <c r="CC145" s="8">
        <f t="shared" ca="1" si="475"/>
        <v>704</v>
      </c>
      <c r="CD145" s="5" t="str">
        <f t="shared" ca="1" si="476"/>
        <v>VIGENTE</v>
      </c>
      <c r="CE145" s="6"/>
      <c r="CF145" s="4">
        <v>45211</v>
      </c>
      <c r="CG145" s="4">
        <f t="shared" si="416"/>
        <v>46672</v>
      </c>
      <c r="CH145" s="8">
        <f t="shared" ca="1" si="417"/>
        <v>527</v>
      </c>
      <c r="CI145" s="5" t="str">
        <f t="shared" ca="1" si="573"/>
        <v>VIGENTE</v>
      </c>
      <c r="CJ145" s="4"/>
      <c r="CK145" s="4">
        <v>45504</v>
      </c>
      <c r="CL145" s="4">
        <f>DATE(YEAR(CK145)+2,MONTH(CK145),DAY(CK145)-1)</f>
        <v>46233</v>
      </c>
      <c r="CM145" s="8">
        <f t="shared" ca="1" si="477"/>
        <v>88</v>
      </c>
      <c r="CN145" s="5" t="str">
        <f t="shared" ca="1" si="478"/>
        <v>POR VENCER</v>
      </c>
      <c r="CO145" s="3"/>
      <c r="CP145" s="39">
        <v>45517</v>
      </c>
      <c r="CQ145" s="4">
        <f>DATE(YEAR(CP145)+2,MONTH(CP145),DAY(CP145)-1)</f>
        <v>46246</v>
      </c>
      <c r="CR145" s="8">
        <f t="shared" ca="1" si="479"/>
        <v>101</v>
      </c>
      <c r="CS145" s="5" t="str">
        <f t="shared" ca="1" si="480"/>
        <v>VIGENTE</v>
      </c>
      <c r="CT145" s="3"/>
      <c r="CU145" s="4">
        <v>45639</v>
      </c>
      <c r="CV145" s="4">
        <f>DATE(YEAR(CU145)+2,MONTH(CU145),DAY(CU145)-1)</f>
        <v>46368</v>
      </c>
      <c r="CW145" s="8">
        <f t="shared" ca="1" si="481"/>
        <v>223</v>
      </c>
      <c r="CX145" s="5" t="str">
        <f t="shared" ca="1" si="482"/>
        <v>VIGENTE</v>
      </c>
      <c r="CY145" s="3"/>
      <c r="CZ145" s="4">
        <v>45665</v>
      </c>
      <c r="DA145" s="4">
        <f>DATE(YEAR(CZ145)+2,MONTH(CZ145),DAY(CZ145)-1)</f>
        <v>46394</v>
      </c>
      <c r="DB145" s="8">
        <f t="shared" ca="1" si="483"/>
        <v>249</v>
      </c>
      <c r="DC145" s="5" t="str">
        <f t="shared" ca="1" si="484"/>
        <v>VIGENTE</v>
      </c>
      <c r="DD145" s="3"/>
      <c r="DE145" s="39">
        <v>45713</v>
      </c>
      <c r="DF145" s="4">
        <f>DATE(YEAR(DE145)+2,MONTH(DE145),DAY(DE145)-1)</f>
        <v>46442</v>
      </c>
      <c r="DG145" s="8">
        <f t="shared" ca="1" si="485"/>
        <v>297</v>
      </c>
      <c r="DH145" s="5" t="str">
        <f t="shared" ca="1" si="486"/>
        <v>VIGENTE</v>
      </c>
      <c r="DI145" s="3"/>
      <c r="DJ145" s="39">
        <v>45714</v>
      </c>
      <c r="DK145" s="4">
        <f>DATE(YEAR(DJ145)+2,MONTH(DJ145),DAY(DJ145)-1)</f>
        <v>46443</v>
      </c>
      <c r="DL145" s="8">
        <f t="shared" ca="1" si="487"/>
        <v>298</v>
      </c>
      <c r="DM145" s="5" t="str">
        <f t="shared" ca="1" si="488"/>
        <v>VIGENTE</v>
      </c>
      <c r="DN145" s="3"/>
      <c r="DO145" s="4">
        <v>45577</v>
      </c>
      <c r="DP145" s="4">
        <f>DATE(YEAR(DO145)+2,MONTH(DO145),DAY(DO145)-1)</f>
        <v>46306</v>
      </c>
      <c r="DQ145" s="8">
        <f t="shared" ca="1" si="489"/>
        <v>161</v>
      </c>
      <c r="DR145" s="5" t="str">
        <f t="shared" ca="1" si="490"/>
        <v>VIGENTE</v>
      </c>
      <c r="DS145" s="3"/>
      <c r="DT145" s="4">
        <v>45728</v>
      </c>
      <c r="DU145" s="4">
        <f>DATE(YEAR(DT145)+2,MONTH(DT145),DAY(DT145)-1)</f>
        <v>46457</v>
      </c>
      <c r="DV145" s="8">
        <f t="shared" ca="1" si="491"/>
        <v>312</v>
      </c>
      <c r="DW145" s="5" t="str">
        <f t="shared" ca="1" si="492"/>
        <v>VIGENTE</v>
      </c>
      <c r="DX145" s="3"/>
      <c r="DY145" s="4">
        <v>45682</v>
      </c>
      <c r="DZ145" s="4">
        <f>DATE(YEAR(DY145)+2,MONTH(DY145),DAY(DY145)-1)</f>
        <v>46411</v>
      </c>
      <c r="EA145" s="8">
        <f t="shared" ca="1" si="493"/>
        <v>266</v>
      </c>
      <c r="EB145" s="5" t="str">
        <f t="shared" ca="1" si="494"/>
        <v>VIGENTE</v>
      </c>
      <c r="EC145" s="3"/>
      <c r="ED145" s="39">
        <v>45674</v>
      </c>
      <c r="EE145" s="4">
        <f>DATE(YEAR(ED145)+2,MONTH(ED145),DAY(ED145)-1)</f>
        <v>46403</v>
      </c>
      <c r="EF145" s="8">
        <f t="shared" ca="1" si="495"/>
        <v>258</v>
      </c>
      <c r="EG145" s="5" t="str">
        <f t="shared" ca="1" si="496"/>
        <v>VIGENTE</v>
      </c>
      <c r="EH145" s="3"/>
      <c r="EI145" s="4">
        <v>46123</v>
      </c>
      <c r="EJ145" s="4">
        <f t="shared" si="558"/>
        <v>46488</v>
      </c>
      <c r="EK145" s="8">
        <f t="shared" ca="1" si="497"/>
        <v>343</v>
      </c>
      <c r="EL145" s="5" t="str">
        <f t="shared" ca="1" si="498"/>
        <v>VIGENTE</v>
      </c>
      <c r="EM145" s="3"/>
      <c r="EN145" s="4">
        <v>45671</v>
      </c>
      <c r="EO145" s="4">
        <f>DATE(YEAR(EN145)+2,MONTH(EN145),DAY(EN145)-1)</f>
        <v>46400</v>
      </c>
      <c r="EP145" s="8">
        <f t="shared" ca="1" si="499"/>
        <v>255</v>
      </c>
      <c r="EQ145" s="5" t="str">
        <f t="shared" ca="1" si="500"/>
        <v>VIGENTE</v>
      </c>
      <c r="ER145" s="2"/>
      <c r="ES145" s="39">
        <v>45755</v>
      </c>
      <c r="ET145" s="4">
        <f>DATE(YEAR(ES145)+2,MONTH(ES145),DAY(ES145)-1)</f>
        <v>46484</v>
      </c>
      <c r="EU145" s="8">
        <f t="shared" ca="1" si="501"/>
        <v>339</v>
      </c>
      <c r="EV145" s="5" t="str">
        <f t="shared" ca="1" si="502"/>
        <v>VIGENTE</v>
      </c>
      <c r="EW145" s="3"/>
      <c r="EX145" s="4">
        <v>45694</v>
      </c>
      <c r="EY145" s="4">
        <f>DATE(YEAR(EX145)+2,MONTH(EX145),DAY(EX145)-1)</f>
        <v>46423</v>
      </c>
      <c r="EZ145" s="8">
        <f t="shared" ca="1" si="503"/>
        <v>278</v>
      </c>
      <c r="FA145" s="5" t="str">
        <f t="shared" ca="1" si="504"/>
        <v>VIGENTE</v>
      </c>
      <c r="FB145" s="3"/>
      <c r="FC145" s="4">
        <v>45729</v>
      </c>
      <c r="FD145" s="4">
        <f>DATE(YEAR(FC145)+2,MONTH(FC145),DAY(FC145)-1)</f>
        <v>46458</v>
      </c>
      <c r="FE145" s="8">
        <f t="shared" ca="1" si="505"/>
        <v>313</v>
      </c>
      <c r="FF145" s="5" t="str">
        <f t="shared" ca="1" si="506"/>
        <v>VIGENTE</v>
      </c>
      <c r="FG145" s="3"/>
      <c r="FH145" s="4">
        <v>45691</v>
      </c>
      <c r="FI145" s="4">
        <f>DATE(YEAR(FH145)+2,MONTH(FH145),DAY(FH145)-1)</f>
        <v>46420</v>
      </c>
      <c r="FJ145" s="8">
        <f t="shared" ca="1" si="507"/>
        <v>275</v>
      </c>
      <c r="FK145" s="5" t="str">
        <f t="shared" ca="1" si="508"/>
        <v>VIGENTE</v>
      </c>
      <c r="FL145" s="3"/>
      <c r="FM145" s="39">
        <v>45670</v>
      </c>
      <c r="FN145" s="4">
        <f>DATE(YEAR(FM145)+2,MONTH(FM145),DAY(FM145)-1)</f>
        <v>46399</v>
      </c>
      <c r="FO145" s="8">
        <f t="shared" ca="1" si="509"/>
        <v>254</v>
      </c>
      <c r="FP145" s="5" t="str">
        <f t="shared" ca="1" si="510"/>
        <v>VIGENTE</v>
      </c>
      <c r="FQ145" s="3"/>
      <c r="FR145" s="39">
        <v>45747</v>
      </c>
      <c r="FS145" s="4">
        <f>DATE(YEAR(FR145)+2,MONTH(FR145),DAY(FR145)-1)</f>
        <v>46476</v>
      </c>
      <c r="FT145" s="8">
        <f t="shared" ca="1" si="511"/>
        <v>331</v>
      </c>
      <c r="FU145" s="5" t="str">
        <f t="shared" ca="1" si="512"/>
        <v>VIGENTE</v>
      </c>
      <c r="FV145" s="3"/>
      <c r="FW145" s="4">
        <v>45700</v>
      </c>
      <c r="FX145" s="4">
        <f>DATE(YEAR(FW145)+2,MONTH(FW145),DAY(FW145)-1)</f>
        <v>46429</v>
      </c>
      <c r="FY145" s="8">
        <f t="shared" ca="1" si="513"/>
        <v>284</v>
      </c>
      <c r="FZ145" s="5" t="str">
        <f t="shared" ca="1" si="514"/>
        <v>VIGENTE</v>
      </c>
      <c r="GA145" s="3"/>
      <c r="GB145" s="4">
        <v>45595</v>
      </c>
      <c r="GC145" s="4">
        <f>DATE(YEAR(GB145)+2,MONTH(GB145),DAY(GB145)-1)</f>
        <v>46324</v>
      </c>
      <c r="GD145" s="8">
        <f t="shared" ca="1" si="515"/>
        <v>179</v>
      </c>
      <c r="GE145" s="5" t="str">
        <f t="shared" ca="1" si="516"/>
        <v>VIGENTE</v>
      </c>
      <c r="GF145" s="3"/>
      <c r="GG145" s="4">
        <v>45712</v>
      </c>
      <c r="GH145" s="4">
        <f>DATE(YEAR(GG145)+2,MONTH(GG145),DAY(GG145)-1)</f>
        <v>46441</v>
      </c>
      <c r="GI145" s="8">
        <f t="shared" ca="1" si="517"/>
        <v>296</v>
      </c>
      <c r="GJ145" s="5" t="str">
        <f t="shared" ca="1" si="518"/>
        <v>VIGENTE</v>
      </c>
      <c r="GK145" s="4"/>
      <c r="GL145" s="4">
        <v>45945</v>
      </c>
      <c r="GM145" s="4">
        <f t="shared" si="571"/>
        <v>46675</v>
      </c>
      <c r="GN145" s="8">
        <f t="shared" ca="1" si="519"/>
        <v>530</v>
      </c>
      <c r="GO145" s="5" t="str">
        <f t="shared" ca="1" si="520"/>
        <v>VIGENTE</v>
      </c>
      <c r="GP145" s="4"/>
      <c r="GQ145" s="4">
        <v>45299</v>
      </c>
      <c r="GR145" s="4">
        <f t="shared" si="521"/>
        <v>47126</v>
      </c>
      <c r="GS145" s="8">
        <f t="shared" ca="1" si="405"/>
        <v>981</v>
      </c>
      <c r="GT145" s="5" t="str">
        <f t="shared" ca="1" si="419"/>
        <v>VIGENTE</v>
      </c>
      <c r="GU145" s="3"/>
      <c r="GV145" s="4">
        <v>44910</v>
      </c>
      <c r="GW145" s="4">
        <f t="shared" si="522"/>
        <v>46736</v>
      </c>
      <c r="GX145" s="8">
        <f t="shared" ca="1" si="523"/>
        <v>591</v>
      </c>
      <c r="GY145" s="5" t="str">
        <f t="shared" ca="1" si="426"/>
        <v>VIGENTE</v>
      </c>
      <c r="GZ145" s="3"/>
      <c r="HA145" s="4">
        <v>45454</v>
      </c>
      <c r="HB145" s="4">
        <f t="shared" si="524"/>
        <v>47280</v>
      </c>
      <c r="HC145" s="8">
        <f t="shared" ca="1" si="525"/>
        <v>1135</v>
      </c>
      <c r="HD145" s="5" t="str">
        <f t="shared" ca="1" si="421"/>
        <v>VIGENTE</v>
      </c>
      <c r="HE145" s="6"/>
      <c r="HF145" s="4">
        <v>44862</v>
      </c>
      <c r="HG145" s="4">
        <f>DATE(YEAR(HF145)+5,MONTH(HF145),DAY(HF145))</f>
        <v>46688</v>
      </c>
      <c r="HH145" s="8">
        <f ca="1">HG145-TODAY()</f>
        <v>543</v>
      </c>
      <c r="HI145" s="5" t="str">
        <f t="shared" ca="1" si="427"/>
        <v>VIGENTE</v>
      </c>
      <c r="HJ145" s="2"/>
      <c r="HK145" s="6"/>
      <c r="HL145" s="4"/>
      <c r="HM145" s="8"/>
      <c r="HN145" s="5" t="str">
        <f t="shared" si="444"/>
        <v>NO APLICA</v>
      </c>
      <c r="HO145" s="2"/>
      <c r="HP145" s="2"/>
      <c r="HQ145" s="4"/>
      <c r="HR145" s="2"/>
      <c r="HS145" s="5" t="str">
        <f t="shared" si="526"/>
        <v>NO APLICA</v>
      </c>
      <c r="HT145" s="3"/>
      <c r="HU145" s="4">
        <v>45469</v>
      </c>
      <c r="HV145" s="4">
        <f>DATE(YEAR(HU145)+5,MONTH(HU145),DAY(HU145))</f>
        <v>47295</v>
      </c>
      <c r="HW145" s="8">
        <f ca="1">HV145-TODAY()</f>
        <v>1150</v>
      </c>
      <c r="HX145" s="5" t="str">
        <f t="shared" ca="1" si="527"/>
        <v>VIGENTE</v>
      </c>
      <c r="HY145" s="3"/>
      <c r="HZ145" s="4">
        <v>45475</v>
      </c>
      <c r="IA145" s="4">
        <f>DATE(YEAR(HZ145)+5,MONTH(HZ145),DAY(HZ145))</f>
        <v>47301</v>
      </c>
      <c r="IB145" s="8">
        <f ca="1">IA145-TODAY()</f>
        <v>1156</v>
      </c>
      <c r="IC145" s="5" t="str">
        <f t="shared" ca="1" si="528"/>
        <v>VIGENTE</v>
      </c>
      <c r="ID145" s="3"/>
      <c r="IE145" s="4">
        <v>45470</v>
      </c>
      <c r="IF145" s="4">
        <f>DATE(YEAR(IE145)+5,MONTH(IE145),DAY(IE145))</f>
        <v>47296</v>
      </c>
      <c r="IG145" s="8">
        <f ca="1">IF145-TODAY()</f>
        <v>1151</v>
      </c>
      <c r="IH145" s="5" t="str">
        <f t="shared" ca="1" si="529"/>
        <v>VIGENTE</v>
      </c>
      <c r="II145" s="4"/>
      <c r="IJ145" s="4">
        <v>45452</v>
      </c>
      <c r="IK145" s="4">
        <f>DATE(YEAR(IJ145)+5,MONTH(IJ145),DAY(IJ145))</f>
        <v>47278</v>
      </c>
      <c r="IL145" s="8">
        <f ca="1">IK145-TODAY()</f>
        <v>1133</v>
      </c>
      <c r="IM145" s="5" t="str">
        <f t="shared" ca="1" si="530"/>
        <v>VIGENTE</v>
      </c>
      <c r="IN145" s="3"/>
      <c r="IO145" s="4">
        <v>45453</v>
      </c>
      <c r="IP145" s="4">
        <f>DATE(YEAR(IO145)+5,MONTH(IO145),DAY(IO145))</f>
        <v>47279</v>
      </c>
      <c r="IQ145" s="8">
        <f ca="1">IP145-TODAY()</f>
        <v>1134</v>
      </c>
      <c r="IR145" s="5" t="str">
        <f t="shared" ca="1" si="531"/>
        <v>VIGENTE</v>
      </c>
      <c r="IS145" s="3"/>
      <c r="IT145" s="4">
        <v>45503</v>
      </c>
      <c r="IU145" s="4">
        <f>DATE(YEAR(IT145)+5,MONTH(IT145),DAY(IT145))</f>
        <v>47329</v>
      </c>
      <c r="IV145" s="8">
        <f ca="1">IU145-TODAY()</f>
        <v>1184</v>
      </c>
      <c r="IW145" s="5" t="str">
        <f t="shared" ca="1" si="532"/>
        <v>VIGENTE</v>
      </c>
      <c r="IX145" s="3"/>
      <c r="IY145" s="4">
        <v>45461</v>
      </c>
      <c r="IZ145" s="4">
        <f>DATE(YEAR(IY145)+5,MONTH(IY145),DAY(IY145))</f>
        <v>47287</v>
      </c>
      <c r="JA145" s="8">
        <f ca="1">IZ145-TODAY()</f>
        <v>1142</v>
      </c>
      <c r="JB145" s="5" t="str">
        <f t="shared" ca="1" si="533"/>
        <v>VIGENTE</v>
      </c>
      <c r="JC145" s="3" t="s">
        <v>780</v>
      </c>
      <c r="JD145" s="3"/>
      <c r="JE145" s="4"/>
      <c r="JF145" s="8"/>
      <c r="JG145" s="5"/>
      <c r="JH145" s="3" t="s">
        <v>780</v>
      </c>
      <c r="JI145" s="6"/>
      <c r="JJ145" s="6"/>
      <c r="JK145" s="6"/>
      <c r="JL145" s="5"/>
      <c r="JM145" s="6" t="s">
        <v>780</v>
      </c>
      <c r="JN145" s="6"/>
      <c r="JO145" s="6"/>
      <c r="JP145" s="6"/>
      <c r="JQ145" s="5"/>
      <c r="JR145" s="6" t="s">
        <v>780</v>
      </c>
      <c r="JS145" s="6"/>
      <c r="JT145" s="6"/>
      <c r="JU145" s="6"/>
      <c r="JV145" s="5"/>
      <c r="JW145" s="6" t="s">
        <v>780</v>
      </c>
      <c r="JX145" s="5"/>
      <c r="JY145" s="5"/>
      <c r="JZ145" s="5"/>
      <c r="KA145" s="5"/>
      <c r="KB145" s="5"/>
      <c r="KC145" s="2"/>
      <c r="KD145" s="4"/>
      <c r="KE145" s="8"/>
      <c r="KF145" s="5" t="str">
        <f t="shared" si="534"/>
        <v>NO APLICA</v>
      </c>
      <c r="KG145" s="5"/>
      <c r="KH145" s="2"/>
      <c r="KI145" s="4"/>
      <c r="KJ145" s="8"/>
      <c r="KK145" s="5" t="str">
        <f t="shared" si="559"/>
        <v>NO APLICA</v>
      </c>
      <c r="KL145" s="5"/>
      <c r="KM145" s="2"/>
      <c r="KN145" s="4"/>
      <c r="KO145" s="8"/>
      <c r="KP145" s="5" t="str">
        <f t="shared" si="535"/>
        <v>NO APLICA</v>
      </c>
      <c r="KQ145" s="5"/>
      <c r="KR145" s="3">
        <v>45346</v>
      </c>
      <c r="KS145" s="4">
        <f>DATE(YEAR(KR145)+5,MONTH(KR145),DAY(KR145))</f>
        <v>47173</v>
      </c>
      <c r="KT145" s="8">
        <f ca="1">KS145-TODAY()</f>
        <v>1028</v>
      </c>
      <c r="KU145" s="5" t="str">
        <f t="shared" ca="1" si="560"/>
        <v>VIGENTE</v>
      </c>
      <c r="KV145" s="2"/>
      <c r="KW145" s="6"/>
      <c r="KX145" s="4"/>
      <c r="KY145" s="8"/>
      <c r="KZ145" s="5" t="str">
        <f t="shared" si="565"/>
        <v>NO APLICA</v>
      </c>
      <c r="LA145" s="5"/>
      <c r="LB145" s="6"/>
      <c r="LC145" s="4"/>
      <c r="LD145" s="8"/>
      <c r="LE145" s="5" t="str">
        <f t="shared" si="561"/>
        <v>NO APLICA</v>
      </c>
      <c r="LF145" s="6"/>
      <c r="LG145" s="4"/>
      <c r="LH145" s="4"/>
      <c r="LI145" s="8"/>
      <c r="LJ145" s="5" t="str">
        <f t="shared" si="567"/>
        <v>NO APLICA</v>
      </c>
      <c r="LK145" s="5"/>
      <c r="LL145" s="5"/>
      <c r="LM145" s="4"/>
      <c r="LN145" s="8"/>
      <c r="LO145" s="5" t="str">
        <f t="shared" si="566"/>
        <v>NO APLICA</v>
      </c>
      <c r="LP145" s="2"/>
      <c r="LQ145" s="6"/>
      <c r="LR145" s="4"/>
      <c r="LS145" s="8"/>
      <c r="LT145" s="5" t="str">
        <f t="shared" si="562"/>
        <v>NO APLICA</v>
      </c>
      <c r="LU145" s="6"/>
      <c r="LV145" s="6"/>
      <c r="LW145" s="4"/>
      <c r="LX145" s="8"/>
      <c r="LY145" s="5" t="str">
        <f t="shared" si="563"/>
        <v>NO APLICA</v>
      </c>
      <c r="LZ145" s="6"/>
      <c r="MA145" s="6"/>
      <c r="MB145" s="4"/>
      <c r="MC145" s="8"/>
      <c r="MD145" s="5" t="str">
        <f t="shared" si="564"/>
        <v>NO APLICA</v>
      </c>
      <c r="ME145" s="2"/>
      <c r="MF145" s="2"/>
      <c r="MG145" s="4"/>
      <c r="MH145" s="8"/>
      <c r="MI145" s="5" t="str">
        <f t="shared" si="537"/>
        <v>NO APLICA</v>
      </c>
      <c r="MJ145" s="2"/>
      <c r="MK145" s="2"/>
      <c r="ML145" s="4"/>
      <c r="MM145" s="8"/>
      <c r="MN145" s="5" t="str">
        <f t="shared" si="538"/>
        <v>NO APLICA</v>
      </c>
      <c r="MO145" s="5"/>
      <c r="MP145" s="2"/>
      <c r="MQ145" s="4"/>
      <c r="MR145" s="8"/>
      <c r="MS145" s="5" t="str">
        <f t="shared" si="539"/>
        <v>NO APLICA</v>
      </c>
      <c r="MT145" s="5"/>
      <c r="MU145" s="2"/>
      <c r="MV145" s="4"/>
      <c r="MW145" s="2"/>
      <c r="MX145" s="5" t="str">
        <f t="shared" si="540"/>
        <v>NO APLICA</v>
      </c>
      <c r="MY145" s="2"/>
      <c r="MZ145" s="6"/>
      <c r="NA145" s="4"/>
      <c r="NB145" s="8"/>
      <c r="NC145" s="5" t="str">
        <f t="shared" si="541"/>
        <v>NO APLICA</v>
      </c>
      <c r="ND145" s="2"/>
      <c r="NE145" s="6"/>
      <c r="NF145" s="4"/>
      <c r="NG145" s="8"/>
      <c r="NH145" s="5" t="str">
        <f t="shared" si="542"/>
        <v>NO APLICA</v>
      </c>
      <c r="NI145" s="2"/>
      <c r="NJ145" s="6"/>
      <c r="NK145" s="4"/>
      <c r="NL145" s="8"/>
      <c r="NM145" s="5" t="str">
        <f t="shared" si="543"/>
        <v>NO APLICA</v>
      </c>
      <c r="NN145" s="2"/>
      <c r="NO145" s="2"/>
      <c r="NP145" s="4"/>
      <c r="NQ145" s="8"/>
      <c r="NR145" s="5" t="str">
        <f t="shared" si="544"/>
        <v>NO APLICA</v>
      </c>
      <c r="NS145" s="2"/>
      <c r="NT145" s="2"/>
      <c r="NU145" s="4"/>
      <c r="NV145" s="2"/>
      <c r="NW145" s="5" t="str">
        <f t="shared" si="545"/>
        <v>NO APLICA</v>
      </c>
      <c r="NX145" s="6"/>
      <c r="NY145" s="6"/>
      <c r="NZ145" s="4"/>
      <c r="OA145" s="8"/>
      <c r="OB145" s="5" t="str">
        <f t="shared" si="546"/>
        <v>NO APLICA</v>
      </c>
      <c r="OC145" s="6"/>
      <c r="OD145" s="6"/>
      <c r="OE145" s="6"/>
      <c r="OF145" s="6"/>
      <c r="OG145" s="5" t="str">
        <f t="shared" si="547"/>
        <v>NO APLICA</v>
      </c>
      <c r="OH145" s="2"/>
      <c r="OI145" s="2"/>
      <c r="OJ145" s="4"/>
      <c r="OK145" s="8"/>
      <c r="OL145" s="5" t="str">
        <f t="shared" si="548"/>
        <v>NO APLICA</v>
      </c>
      <c r="OM145" s="6"/>
      <c r="ON145" s="6"/>
      <c r="OO145" s="6"/>
      <c r="OP145" s="6"/>
      <c r="OQ145" s="5" t="str">
        <f t="shared" si="549"/>
        <v>NO APLICA</v>
      </c>
      <c r="OR145" s="6"/>
      <c r="OS145" s="6"/>
      <c r="OT145" s="6"/>
      <c r="OU145" s="6"/>
      <c r="OV145" s="5" t="str">
        <f t="shared" si="550"/>
        <v>NO APLICA</v>
      </c>
      <c r="OW145" s="6"/>
      <c r="OX145" s="6"/>
      <c r="OY145" s="6"/>
      <c r="OZ145" s="6"/>
      <c r="PA145" s="5" t="str">
        <f t="shared" si="551"/>
        <v>NO APLICA</v>
      </c>
      <c r="PB145" s="6"/>
      <c r="PC145" s="6"/>
      <c r="PD145" s="6"/>
      <c r="PE145" s="6"/>
      <c r="PF145" s="5" t="str">
        <f t="shared" si="552"/>
        <v>NO APLICA</v>
      </c>
      <c r="PG145" s="6"/>
      <c r="PH145" s="6"/>
      <c r="PI145" s="6"/>
      <c r="PJ145" s="6"/>
      <c r="PK145" s="5" t="str">
        <f t="shared" si="553"/>
        <v>NO APLICA</v>
      </c>
      <c r="PL145" s="5"/>
      <c r="PM145" s="6"/>
      <c r="PN145" s="4"/>
      <c r="PO145" s="8"/>
      <c r="PP145" s="5" t="str">
        <f t="shared" si="554"/>
        <v>NO APLICA</v>
      </c>
      <c r="PQ145" s="6"/>
      <c r="PR145" s="6"/>
      <c r="PS145" s="6"/>
      <c r="PT145" s="6"/>
      <c r="PU145" s="5" t="str">
        <f t="shared" si="555"/>
        <v>NO APLICA</v>
      </c>
      <c r="PV145" s="5"/>
      <c r="PW145" s="6"/>
      <c r="PX145" s="6"/>
      <c r="PY145" s="6"/>
      <c r="PZ145" s="5" t="str">
        <f t="shared" si="556"/>
        <v>NO APLICA</v>
      </c>
    </row>
    <row r="146" spans="1:442" ht="15.6" hidden="1" thickTop="1" thickBot="1" x14ac:dyDescent="0.35">
      <c r="A146" s="26">
        <v>143</v>
      </c>
      <c r="B146" s="27">
        <v>1538</v>
      </c>
      <c r="C146" s="28" t="s">
        <v>472</v>
      </c>
      <c r="D146" s="29" t="s">
        <v>113</v>
      </c>
      <c r="E146" s="30" t="s">
        <v>126</v>
      </c>
      <c r="F146" s="3"/>
      <c r="G146" s="4">
        <v>46058</v>
      </c>
      <c r="H146" s="4">
        <f>DATE(YEAR(G146)+2,MONTH(G146),DAY(G146))</f>
        <v>46788</v>
      </c>
      <c r="I146" s="8">
        <f ca="1">H146-TODAY()</f>
        <v>643</v>
      </c>
      <c r="J146" s="5" t="str">
        <f t="shared" ca="1" si="455"/>
        <v>VIGENTE</v>
      </c>
      <c r="K146" s="2"/>
      <c r="L146" s="6"/>
      <c r="M146" s="6"/>
      <c r="N146" s="8"/>
      <c r="O146" s="5" t="str">
        <f t="shared" si="456"/>
        <v>NO APLICA</v>
      </c>
      <c r="P146" s="6"/>
      <c r="Q146" s="6"/>
      <c r="R146" s="4"/>
      <c r="S146" s="8"/>
      <c r="T146" s="5" t="str">
        <f t="shared" si="557"/>
        <v>NO APLICA</v>
      </c>
      <c r="U146" s="5"/>
      <c r="V146" s="2" t="s">
        <v>473</v>
      </c>
      <c r="W146" s="4">
        <v>45282</v>
      </c>
      <c r="X146" s="4">
        <f t="shared" si="410"/>
        <v>47109</v>
      </c>
      <c r="Y146" s="8">
        <f t="shared" ca="1" si="411"/>
        <v>964</v>
      </c>
      <c r="Z146" s="5" t="str">
        <f t="shared" ca="1" si="412"/>
        <v>VIGENTE</v>
      </c>
      <c r="AA146" s="5"/>
      <c r="AB146" s="2"/>
      <c r="AC146" s="6"/>
      <c r="AD146" s="4"/>
      <c r="AE146" s="8"/>
      <c r="AF146" s="5" t="str">
        <f t="shared" si="457"/>
        <v>NO APLICA</v>
      </c>
      <c r="AG146" s="3"/>
      <c r="AH146" s="4">
        <v>45902</v>
      </c>
      <c r="AI146" s="4">
        <f>DATE(YEAR(AH146)+2,MONTH(AH146),DAY(AH146))</f>
        <v>46632</v>
      </c>
      <c r="AJ146" s="8">
        <f t="shared" ca="1" si="458"/>
        <v>487</v>
      </c>
      <c r="AK146" s="5" t="str">
        <f t="shared" ca="1" si="408"/>
        <v>VIGENTE</v>
      </c>
      <c r="AL146" s="3"/>
      <c r="AM146" s="4">
        <v>45838</v>
      </c>
      <c r="AN146" s="4">
        <f t="shared" si="572"/>
        <v>46568</v>
      </c>
      <c r="AO146" s="8">
        <f t="shared" ca="1" si="459"/>
        <v>423</v>
      </c>
      <c r="AP146" s="5" t="str">
        <f t="shared" ca="1" si="460"/>
        <v>VIGENTE</v>
      </c>
      <c r="AQ146" s="3"/>
      <c r="AR146" s="4">
        <v>45904</v>
      </c>
      <c r="AS146" s="4">
        <f t="shared" si="568"/>
        <v>46634</v>
      </c>
      <c r="AT146" s="8">
        <f t="shared" ca="1" si="461"/>
        <v>489</v>
      </c>
      <c r="AU146" s="5" t="str">
        <f t="shared" ca="1" si="462"/>
        <v>VIGENTE</v>
      </c>
      <c r="AV146" s="3"/>
      <c r="AW146" s="4">
        <v>45927</v>
      </c>
      <c r="AX146" s="4">
        <f t="shared" si="569"/>
        <v>46657</v>
      </c>
      <c r="AY146" s="8">
        <f t="shared" ca="1" si="463"/>
        <v>512</v>
      </c>
      <c r="AZ146" s="5" t="str">
        <f t="shared" ca="1" si="464"/>
        <v>VIGENTE</v>
      </c>
      <c r="BA146" s="3"/>
      <c r="BB146" s="4">
        <v>45603</v>
      </c>
      <c r="BC146" s="4">
        <f>DATE(YEAR(BB146)+2,MONTH(BB146),DAY(BB146)-1)</f>
        <v>46332</v>
      </c>
      <c r="BD146" s="8">
        <f t="shared" ca="1" si="465"/>
        <v>187</v>
      </c>
      <c r="BE146" s="5" t="str">
        <f t="shared" ca="1" si="466"/>
        <v>VIGENTE</v>
      </c>
      <c r="BF146" s="3"/>
      <c r="BG146" s="4">
        <v>45698</v>
      </c>
      <c r="BH146" s="4">
        <f>DATE(YEAR(BG146)+2,MONTH(BG146),DAY(BG146)-1)</f>
        <v>46427</v>
      </c>
      <c r="BI146" s="8">
        <f t="shared" ca="1" si="467"/>
        <v>282</v>
      </c>
      <c r="BJ146" s="5" t="str">
        <f t="shared" ca="1" si="468"/>
        <v>VIGENTE</v>
      </c>
      <c r="BK146" s="3"/>
      <c r="BL146" s="4">
        <v>45600</v>
      </c>
      <c r="BM146" s="4">
        <f>DATE(YEAR(BL146)+2,MONTH(BL146),DAY(BL146)-1)</f>
        <v>46329</v>
      </c>
      <c r="BN146" s="8">
        <f t="shared" ca="1" si="469"/>
        <v>184</v>
      </c>
      <c r="BO146" s="5" t="str">
        <f t="shared" ca="1" si="470"/>
        <v>VIGENTE</v>
      </c>
      <c r="BP146" s="3"/>
      <c r="BQ146" s="39">
        <v>46050</v>
      </c>
      <c r="BR146" s="4">
        <f t="shared" si="570"/>
        <v>46780</v>
      </c>
      <c r="BS146" s="8">
        <f t="shared" ca="1" si="471"/>
        <v>635</v>
      </c>
      <c r="BT146" s="5" t="str">
        <f t="shared" ca="1" si="472"/>
        <v>VIGENTE</v>
      </c>
      <c r="BU146" s="3"/>
      <c r="BV146" s="4">
        <v>45527</v>
      </c>
      <c r="BW146" s="4">
        <f>DATE(YEAR(BV146)+2,MONTH(BV146),DAY(BV146)-1)</f>
        <v>46256</v>
      </c>
      <c r="BX146" s="8">
        <f t="shared" ca="1" si="473"/>
        <v>111</v>
      </c>
      <c r="BY146" s="5" t="str">
        <f t="shared" ca="1" si="474"/>
        <v>VIGENTE</v>
      </c>
      <c r="BZ146" s="3"/>
      <c r="CA146" s="4">
        <v>45944</v>
      </c>
      <c r="CB146" s="4">
        <f t="shared" ref="CB146:CB157" si="574">DATE(YEAR(CA146)+2,MONTH(CA146),DAY(CA146))</f>
        <v>46674</v>
      </c>
      <c r="CC146" s="8">
        <f t="shared" ca="1" si="475"/>
        <v>529</v>
      </c>
      <c r="CD146" s="5" t="str">
        <f t="shared" ca="1" si="476"/>
        <v>VIGENTE</v>
      </c>
      <c r="CE146" s="6"/>
      <c r="CF146" s="4">
        <v>45616</v>
      </c>
      <c r="CG146" s="4">
        <f t="shared" si="416"/>
        <v>47077</v>
      </c>
      <c r="CH146" s="8">
        <f t="shared" ca="1" si="417"/>
        <v>932</v>
      </c>
      <c r="CI146" s="5" t="str">
        <f t="shared" ca="1" si="573"/>
        <v>VIGENTE</v>
      </c>
      <c r="CJ146" s="4"/>
      <c r="CK146" s="4">
        <v>45929</v>
      </c>
      <c r="CL146" s="4">
        <f>DATE(YEAR(CK146)+2,MONTH(CK146),DAY(CK146))</f>
        <v>46659</v>
      </c>
      <c r="CM146" s="8">
        <f t="shared" ca="1" si="477"/>
        <v>514</v>
      </c>
      <c r="CN146" s="5" t="str">
        <f t="shared" ca="1" si="478"/>
        <v>VIGENTE</v>
      </c>
      <c r="CO146" s="3"/>
      <c r="CP146" s="39">
        <v>45882</v>
      </c>
      <c r="CQ146" s="4">
        <f>DATE(YEAR(CP146)+2,MONTH(CP146),DAY(CP146))</f>
        <v>46612</v>
      </c>
      <c r="CR146" s="8">
        <f t="shared" ca="1" si="479"/>
        <v>467</v>
      </c>
      <c r="CS146" s="5" t="str">
        <f t="shared" ca="1" si="480"/>
        <v>VIGENTE</v>
      </c>
      <c r="CT146" s="3"/>
      <c r="CU146" s="4">
        <v>45905</v>
      </c>
      <c r="CV146" s="4">
        <f>DATE(YEAR(CU146)+2,MONTH(CU146),DAY(CU146))</f>
        <v>46635</v>
      </c>
      <c r="CW146" s="8">
        <f t="shared" ca="1" si="481"/>
        <v>490</v>
      </c>
      <c r="CX146" s="5" t="str">
        <f t="shared" ca="1" si="482"/>
        <v>VIGENTE</v>
      </c>
      <c r="CY146" s="3"/>
      <c r="CZ146" s="4">
        <v>45843</v>
      </c>
      <c r="DA146" s="4">
        <f>DATE(YEAR(CZ146)+2,MONTH(CZ146),DAY(CZ146))</f>
        <v>46573</v>
      </c>
      <c r="DB146" s="8">
        <f t="shared" ca="1" si="483"/>
        <v>428</v>
      </c>
      <c r="DC146" s="5" t="str">
        <f t="shared" ca="1" si="484"/>
        <v>VIGENTE</v>
      </c>
      <c r="DD146" s="3"/>
      <c r="DE146" s="39">
        <v>46076</v>
      </c>
      <c r="DF146" s="4">
        <f>DATE(YEAR(DE146)+2,MONTH(DE146),DAY(DE146))</f>
        <v>46806</v>
      </c>
      <c r="DG146" s="8">
        <f t="shared" ca="1" si="485"/>
        <v>661</v>
      </c>
      <c r="DH146" s="5" t="str">
        <f t="shared" ca="1" si="486"/>
        <v>VIGENTE</v>
      </c>
      <c r="DI146" s="3"/>
      <c r="DJ146" s="39">
        <v>45955</v>
      </c>
      <c r="DK146" s="4">
        <f>DATE(YEAR(DJ146)+2,MONTH(DJ146),DAY(DJ146))</f>
        <v>46685</v>
      </c>
      <c r="DL146" s="8">
        <f t="shared" ca="1" si="487"/>
        <v>540</v>
      </c>
      <c r="DM146" s="5" t="str">
        <f t="shared" ca="1" si="488"/>
        <v>VIGENTE</v>
      </c>
      <c r="DN146" s="3"/>
      <c r="DO146" s="4">
        <v>46088</v>
      </c>
      <c r="DP146" s="4">
        <f>DATE(YEAR(DO146)+2,MONTH(DO146),DAY(DO146))</f>
        <v>46819</v>
      </c>
      <c r="DQ146" s="8">
        <f t="shared" ca="1" si="489"/>
        <v>674</v>
      </c>
      <c r="DR146" s="5" t="str">
        <f t="shared" ca="1" si="490"/>
        <v>VIGENTE</v>
      </c>
      <c r="DS146" s="3"/>
      <c r="DT146" s="4">
        <v>45728</v>
      </c>
      <c r="DU146" s="4">
        <f>DATE(YEAR(DT146)+2,MONTH(DT146),DAY(DT146)-1)</f>
        <v>46457</v>
      </c>
      <c r="DV146" s="8">
        <f t="shared" ca="1" si="491"/>
        <v>312</v>
      </c>
      <c r="DW146" s="5" t="str">
        <f t="shared" ca="1" si="492"/>
        <v>VIGENTE</v>
      </c>
      <c r="DX146" s="3"/>
      <c r="DY146" s="4">
        <v>45663</v>
      </c>
      <c r="DZ146" s="4">
        <f>DATE(YEAR(DY146)+2,MONTH(DY146),DAY(DY146)-1)</f>
        <v>46392</v>
      </c>
      <c r="EA146" s="8">
        <f t="shared" ca="1" si="493"/>
        <v>247</v>
      </c>
      <c r="EB146" s="5" t="str">
        <f t="shared" ca="1" si="494"/>
        <v>VIGENTE</v>
      </c>
      <c r="EC146" s="3"/>
      <c r="ED146" s="39">
        <v>46104</v>
      </c>
      <c r="EE146" s="4">
        <f>DATE(YEAR(ED146)+2,MONTH(ED146),DAY(ED146))</f>
        <v>46835</v>
      </c>
      <c r="EF146" s="8">
        <f t="shared" ca="1" si="495"/>
        <v>690</v>
      </c>
      <c r="EG146" s="5" t="str">
        <f t="shared" ca="1" si="496"/>
        <v>VIGENTE</v>
      </c>
      <c r="EH146" s="3"/>
      <c r="EI146" s="3">
        <v>46060</v>
      </c>
      <c r="EJ146" s="4">
        <f t="shared" si="558"/>
        <v>46425</v>
      </c>
      <c r="EK146" s="8">
        <f t="shared" ca="1" si="497"/>
        <v>280</v>
      </c>
      <c r="EL146" s="5" t="str">
        <f t="shared" ca="1" si="498"/>
        <v>VIGENTE</v>
      </c>
      <c r="EM146" s="3"/>
      <c r="EN146" s="3">
        <v>45596</v>
      </c>
      <c r="EO146" s="4">
        <f>DATE(YEAR(EN146)+2,MONTH(EN146),DAY(EN146)-1)</f>
        <v>46325</v>
      </c>
      <c r="EP146" s="8">
        <f t="shared" ca="1" si="499"/>
        <v>180</v>
      </c>
      <c r="EQ146" s="5" t="str">
        <f t="shared" ca="1" si="500"/>
        <v>VIGENTE</v>
      </c>
      <c r="ER146" s="3"/>
      <c r="ES146" s="39">
        <v>45677</v>
      </c>
      <c r="ET146" s="4">
        <f>DATE(YEAR(ES146)+2,MONTH(ES146),DAY(ES146)-1)</f>
        <v>46406</v>
      </c>
      <c r="EU146" s="8">
        <f t="shared" ca="1" si="501"/>
        <v>261</v>
      </c>
      <c r="EV146" s="5" t="str">
        <f t="shared" ca="1" si="502"/>
        <v>VIGENTE</v>
      </c>
      <c r="EW146" s="3"/>
      <c r="EX146" s="4">
        <v>45917</v>
      </c>
      <c r="EY146" s="4">
        <f t="shared" ref="EY146:EY157" si="575">DATE(YEAR(EX146)+2,MONTH(EX146),DAY(EX146))</f>
        <v>46647</v>
      </c>
      <c r="EZ146" s="8">
        <f t="shared" ca="1" si="503"/>
        <v>502</v>
      </c>
      <c r="FA146" s="5" t="str">
        <f t="shared" ca="1" si="504"/>
        <v>VIGENTE</v>
      </c>
      <c r="FB146" s="3"/>
      <c r="FC146" s="4">
        <v>45951</v>
      </c>
      <c r="FD146" s="4">
        <f t="shared" ref="FD146:FD157" si="576">DATE(YEAR(FC146)+2,MONTH(FC146),DAY(FC146))</f>
        <v>46681</v>
      </c>
      <c r="FE146" s="8">
        <f t="shared" ca="1" si="505"/>
        <v>536</v>
      </c>
      <c r="FF146" s="5" t="str">
        <f t="shared" ca="1" si="506"/>
        <v>VIGENTE</v>
      </c>
      <c r="FG146" s="3"/>
      <c r="FH146" s="4">
        <v>45919</v>
      </c>
      <c r="FI146" s="4">
        <f t="shared" ref="FI146:FI152" si="577">DATE(YEAR(FH146)+2,MONTH(FH146),DAY(FH146))</f>
        <v>46649</v>
      </c>
      <c r="FJ146" s="8">
        <f t="shared" ca="1" si="507"/>
        <v>504</v>
      </c>
      <c r="FK146" s="5" t="str">
        <f t="shared" ca="1" si="508"/>
        <v>VIGENTE</v>
      </c>
      <c r="FL146" s="3"/>
      <c r="FM146" s="39">
        <v>46049</v>
      </c>
      <c r="FN146" s="4">
        <f>DATE(YEAR(FM146)+2,MONTH(FM146),DAY(FM146))</f>
        <v>46779</v>
      </c>
      <c r="FO146" s="8">
        <f t="shared" ca="1" si="509"/>
        <v>634</v>
      </c>
      <c r="FP146" s="5" t="str">
        <f t="shared" ca="1" si="510"/>
        <v>VIGENTE</v>
      </c>
      <c r="FQ146" s="3"/>
      <c r="FR146" s="39">
        <v>46034</v>
      </c>
      <c r="FS146" s="4">
        <f>DATE(YEAR(FR146)+2,MONTH(FR146),DAY(FR146))</f>
        <v>46764</v>
      </c>
      <c r="FT146" s="8">
        <f t="shared" ca="1" si="511"/>
        <v>619</v>
      </c>
      <c r="FU146" s="5" t="str">
        <f t="shared" ca="1" si="512"/>
        <v>VIGENTE</v>
      </c>
      <c r="FV146" s="3"/>
      <c r="FW146" s="4">
        <v>45993</v>
      </c>
      <c r="FX146" s="4">
        <f>DATE(YEAR(FW146)+2,MONTH(FW146),DAY(FW146))</f>
        <v>46723</v>
      </c>
      <c r="FY146" s="8">
        <f t="shared" ca="1" si="513"/>
        <v>578</v>
      </c>
      <c r="FZ146" s="5" t="str">
        <f t="shared" ca="1" si="514"/>
        <v>VIGENTE</v>
      </c>
      <c r="GA146" s="3"/>
      <c r="GB146" s="4">
        <v>46073</v>
      </c>
      <c r="GC146" s="4">
        <f>DATE(YEAR(GB146)+2,MONTH(GB146),DAY(GB146))</f>
        <v>46803</v>
      </c>
      <c r="GD146" s="8">
        <f t="shared" ca="1" si="515"/>
        <v>658</v>
      </c>
      <c r="GE146" s="5" t="str">
        <f t="shared" ca="1" si="516"/>
        <v>VIGENTE</v>
      </c>
      <c r="GF146" s="3"/>
      <c r="GG146" s="4">
        <v>45672</v>
      </c>
      <c r="GH146" s="4">
        <f>DATE(YEAR(GG146)+2,MONTH(GG146),DAY(GG146)-1)</f>
        <v>46401</v>
      </c>
      <c r="GI146" s="8">
        <f t="shared" ca="1" si="517"/>
        <v>256</v>
      </c>
      <c r="GJ146" s="5" t="str">
        <f t="shared" ca="1" si="518"/>
        <v>VIGENTE</v>
      </c>
      <c r="GK146" s="3"/>
      <c r="GL146" s="4">
        <v>46044</v>
      </c>
      <c r="GM146" s="4">
        <f t="shared" si="571"/>
        <v>46774</v>
      </c>
      <c r="GN146" s="8">
        <f t="shared" ca="1" si="519"/>
        <v>629</v>
      </c>
      <c r="GO146" s="5" t="str">
        <f t="shared" ca="1" si="520"/>
        <v>VIGENTE</v>
      </c>
      <c r="GP146" s="4"/>
      <c r="GQ146" s="4">
        <v>45367</v>
      </c>
      <c r="GR146" s="4">
        <f t="shared" si="521"/>
        <v>47193</v>
      </c>
      <c r="GS146" s="8">
        <f t="shared" ca="1" si="405"/>
        <v>1048</v>
      </c>
      <c r="GT146" s="5" t="str">
        <f t="shared" ca="1" si="419"/>
        <v>VIGENTE</v>
      </c>
      <c r="GU146" s="3"/>
      <c r="GV146" s="4">
        <v>45432</v>
      </c>
      <c r="GW146" s="4">
        <f t="shared" si="522"/>
        <v>47258</v>
      </c>
      <c r="GX146" s="8">
        <f t="shared" ca="1" si="523"/>
        <v>1113</v>
      </c>
      <c r="GY146" s="5" t="str">
        <f t="shared" ca="1" si="426"/>
        <v>VIGENTE</v>
      </c>
      <c r="GZ146" s="3"/>
      <c r="HA146" s="4">
        <v>45454</v>
      </c>
      <c r="HB146" s="4">
        <f t="shared" si="524"/>
        <v>47280</v>
      </c>
      <c r="HC146" s="8">
        <f t="shared" ca="1" si="525"/>
        <v>1135</v>
      </c>
      <c r="HD146" s="5" t="str">
        <f t="shared" ca="1" si="421"/>
        <v>VIGENTE</v>
      </c>
      <c r="HE146" s="6"/>
      <c r="HF146" s="6"/>
      <c r="HG146" s="4"/>
      <c r="HH146" s="8"/>
      <c r="HI146" s="5" t="str">
        <f t="shared" si="427"/>
        <v>NO APLICA</v>
      </c>
      <c r="HJ146" s="2"/>
      <c r="HK146" s="6"/>
      <c r="HL146" s="4"/>
      <c r="HM146" s="8"/>
      <c r="HN146" s="5" t="str">
        <f t="shared" si="444"/>
        <v>NO APLICA</v>
      </c>
      <c r="HO146" s="2"/>
      <c r="HP146" s="2"/>
      <c r="HQ146" s="4"/>
      <c r="HR146" s="2"/>
      <c r="HS146" s="5" t="str">
        <f t="shared" si="526"/>
        <v>NO APLICA</v>
      </c>
      <c r="HT146" s="2"/>
      <c r="HU146" s="6"/>
      <c r="HV146" s="4"/>
      <c r="HW146" s="8"/>
      <c r="HX146" s="5" t="str">
        <f t="shared" si="527"/>
        <v>NO APLICA</v>
      </c>
      <c r="HY146" s="2"/>
      <c r="HZ146" s="6"/>
      <c r="IA146" s="4"/>
      <c r="IB146" s="8"/>
      <c r="IC146" s="5" t="str">
        <f t="shared" si="528"/>
        <v>NO APLICA</v>
      </c>
      <c r="ID146" s="2"/>
      <c r="IE146" s="6"/>
      <c r="IF146" s="4"/>
      <c r="IG146" s="8"/>
      <c r="IH146" s="5" t="str">
        <f t="shared" si="529"/>
        <v>NO APLICA</v>
      </c>
      <c r="II146" s="6"/>
      <c r="IJ146" s="6"/>
      <c r="IK146" s="4"/>
      <c r="IL146" s="8"/>
      <c r="IM146" s="5" t="str">
        <f t="shared" si="530"/>
        <v>NO APLICA</v>
      </c>
      <c r="IN146" s="2"/>
      <c r="IO146" s="6"/>
      <c r="IP146" s="4"/>
      <c r="IQ146" s="8"/>
      <c r="IR146" s="5" t="str">
        <f t="shared" si="531"/>
        <v>NO APLICA</v>
      </c>
      <c r="IS146" s="2"/>
      <c r="IT146" s="6"/>
      <c r="IU146" s="4"/>
      <c r="IV146" s="8"/>
      <c r="IW146" s="5" t="str">
        <f t="shared" si="532"/>
        <v>NO APLICA</v>
      </c>
      <c r="IX146" s="2"/>
      <c r="IY146" s="6"/>
      <c r="IZ146" s="4"/>
      <c r="JA146" s="8"/>
      <c r="JB146" s="5" t="str">
        <f t="shared" si="533"/>
        <v>NO APLICA</v>
      </c>
      <c r="JC146" s="3" t="s">
        <v>780</v>
      </c>
      <c r="JD146" s="3"/>
      <c r="JE146" s="4"/>
      <c r="JF146" s="8"/>
      <c r="JG146" s="5"/>
      <c r="JH146" s="3" t="s">
        <v>780</v>
      </c>
      <c r="JI146" s="6"/>
      <c r="JJ146" s="6"/>
      <c r="JK146" s="6"/>
      <c r="JL146" s="5"/>
      <c r="JM146" s="6" t="s">
        <v>780</v>
      </c>
      <c r="JN146" s="6"/>
      <c r="JO146" s="6"/>
      <c r="JP146" s="6"/>
      <c r="JQ146" s="5"/>
      <c r="JR146" s="6" t="s">
        <v>780</v>
      </c>
      <c r="JS146" s="6"/>
      <c r="JT146" s="6"/>
      <c r="JU146" s="6"/>
      <c r="JV146" s="5"/>
      <c r="JW146" s="6" t="s">
        <v>780</v>
      </c>
      <c r="JX146" s="5"/>
      <c r="JY146" s="5"/>
      <c r="JZ146" s="5"/>
      <c r="KA146" s="5"/>
      <c r="KB146" s="5"/>
      <c r="KC146" s="2"/>
      <c r="KD146" s="4"/>
      <c r="KE146" s="8"/>
      <c r="KF146" s="5" t="str">
        <f t="shared" si="534"/>
        <v>NO APLICA</v>
      </c>
      <c r="KG146" s="5"/>
      <c r="KH146" s="2"/>
      <c r="KI146" s="4"/>
      <c r="KJ146" s="8"/>
      <c r="KK146" s="5" t="str">
        <f t="shared" si="559"/>
        <v>NO APLICA</v>
      </c>
      <c r="KL146" s="5"/>
      <c r="KM146" s="2"/>
      <c r="KN146" s="4"/>
      <c r="KO146" s="8"/>
      <c r="KP146" s="5" t="str">
        <f t="shared" si="535"/>
        <v>NO APLICA</v>
      </c>
      <c r="KQ146" s="5"/>
      <c r="KR146" s="2"/>
      <c r="KS146" s="4"/>
      <c r="KT146" s="8"/>
      <c r="KU146" s="5" t="str">
        <f t="shared" si="560"/>
        <v>NO APLICA</v>
      </c>
      <c r="KV146" s="2"/>
      <c r="KW146" s="6"/>
      <c r="KX146" s="4"/>
      <c r="KY146" s="8"/>
      <c r="KZ146" s="5" t="str">
        <f t="shared" si="565"/>
        <v>NO APLICA</v>
      </c>
      <c r="LA146" s="5"/>
      <c r="LB146" s="6"/>
      <c r="LC146" s="4"/>
      <c r="LD146" s="8"/>
      <c r="LE146" s="5" t="str">
        <f t="shared" si="561"/>
        <v>NO APLICA</v>
      </c>
      <c r="LF146" s="6"/>
      <c r="LG146" s="6"/>
      <c r="LH146" s="4"/>
      <c r="LI146" s="8"/>
      <c r="LJ146" s="5" t="str">
        <f t="shared" si="567"/>
        <v>NO APLICA</v>
      </c>
      <c r="LK146" s="5"/>
      <c r="LL146" s="5"/>
      <c r="LM146" s="4"/>
      <c r="LN146" s="8"/>
      <c r="LO146" s="5" t="str">
        <f t="shared" si="566"/>
        <v>NO APLICA</v>
      </c>
      <c r="LP146" s="2"/>
      <c r="LQ146" s="6"/>
      <c r="LR146" s="4"/>
      <c r="LS146" s="8"/>
      <c r="LT146" s="5" t="str">
        <f t="shared" si="562"/>
        <v>NO APLICA</v>
      </c>
      <c r="LU146" s="6"/>
      <c r="LV146" s="6"/>
      <c r="LW146" s="4"/>
      <c r="LX146" s="8"/>
      <c r="LY146" s="5" t="str">
        <f t="shared" si="563"/>
        <v>NO APLICA</v>
      </c>
      <c r="LZ146" s="6"/>
      <c r="MA146" s="6"/>
      <c r="MB146" s="4"/>
      <c r="MC146" s="8"/>
      <c r="MD146" s="5" t="str">
        <f t="shared" si="564"/>
        <v>NO APLICA</v>
      </c>
      <c r="ME146" s="2"/>
      <c r="MF146" s="2"/>
      <c r="MG146" s="4"/>
      <c r="MH146" s="8"/>
      <c r="MI146" s="5" t="str">
        <f t="shared" si="537"/>
        <v>NO APLICA</v>
      </c>
      <c r="MJ146" s="2"/>
      <c r="MK146" s="2"/>
      <c r="ML146" s="4"/>
      <c r="MM146" s="8"/>
      <c r="MN146" s="5" t="str">
        <f t="shared" si="538"/>
        <v>NO APLICA</v>
      </c>
      <c r="MO146" s="5"/>
      <c r="MP146" s="2"/>
      <c r="MQ146" s="4"/>
      <c r="MR146" s="8"/>
      <c r="MS146" s="5" t="str">
        <f t="shared" si="539"/>
        <v>NO APLICA</v>
      </c>
      <c r="MT146" s="5"/>
      <c r="MU146" s="2"/>
      <c r="MV146" s="4"/>
      <c r="MW146" s="2"/>
      <c r="MX146" s="5" t="str">
        <f t="shared" si="540"/>
        <v>NO APLICA</v>
      </c>
      <c r="MY146" s="2"/>
      <c r="MZ146" s="6"/>
      <c r="NA146" s="4"/>
      <c r="NB146" s="8"/>
      <c r="NC146" s="5" t="str">
        <f t="shared" si="541"/>
        <v>NO APLICA</v>
      </c>
      <c r="ND146" s="2"/>
      <c r="NE146" s="6"/>
      <c r="NF146" s="4"/>
      <c r="NG146" s="8"/>
      <c r="NH146" s="5" t="str">
        <f t="shared" si="542"/>
        <v>NO APLICA</v>
      </c>
      <c r="NI146" s="2"/>
      <c r="NJ146" s="6"/>
      <c r="NK146" s="4"/>
      <c r="NL146" s="8"/>
      <c r="NM146" s="5" t="str">
        <f t="shared" si="543"/>
        <v>NO APLICA</v>
      </c>
      <c r="NN146" s="2"/>
      <c r="NO146" s="2"/>
      <c r="NP146" s="4"/>
      <c r="NQ146" s="8"/>
      <c r="NR146" s="5" t="str">
        <f t="shared" si="544"/>
        <v>NO APLICA</v>
      </c>
      <c r="NS146" s="2"/>
      <c r="NT146" s="2"/>
      <c r="NU146" s="4"/>
      <c r="NV146" s="2"/>
      <c r="NW146" s="5" t="str">
        <f t="shared" si="545"/>
        <v>NO APLICA</v>
      </c>
      <c r="NX146" s="6"/>
      <c r="NY146" s="6"/>
      <c r="NZ146" s="4"/>
      <c r="OA146" s="8"/>
      <c r="OB146" s="5" t="str">
        <f t="shared" si="546"/>
        <v>NO APLICA</v>
      </c>
      <c r="OC146" s="6"/>
      <c r="OD146" s="6"/>
      <c r="OE146" s="6"/>
      <c r="OF146" s="6"/>
      <c r="OG146" s="5" t="str">
        <f t="shared" si="547"/>
        <v>NO APLICA</v>
      </c>
      <c r="OH146" s="2"/>
      <c r="OI146" s="2"/>
      <c r="OJ146" s="4"/>
      <c r="OK146" s="8"/>
      <c r="OL146" s="5" t="str">
        <f t="shared" si="548"/>
        <v>NO APLICA</v>
      </c>
      <c r="OM146" s="6"/>
      <c r="ON146" s="6"/>
      <c r="OO146" s="6"/>
      <c r="OP146" s="6"/>
      <c r="OQ146" s="5" t="str">
        <f t="shared" si="549"/>
        <v>NO APLICA</v>
      </c>
      <c r="OR146" s="6"/>
      <c r="OS146" s="6"/>
      <c r="OT146" s="6"/>
      <c r="OU146" s="6"/>
      <c r="OV146" s="5" t="str">
        <f t="shared" si="550"/>
        <v>NO APLICA</v>
      </c>
      <c r="OW146" s="6"/>
      <c r="OX146" s="6"/>
      <c r="OY146" s="6"/>
      <c r="OZ146" s="6"/>
      <c r="PA146" s="5" t="str">
        <f t="shared" si="551"/>
        <v>NO APLICA</v>
      </c>
      <c r="PB146" s="6"/>
      <c r="PC146" s="6"/>
      <c r="PD146" s="6"/>
      <c r="PE146" s="6"/>
      <c r="PF146" s="5" t="str">
        <f t="shared" si="552"/>
        <v>NO APLICA</v>
      </c>
      <c r="PG146" s="6"/>
      <c r="PH146" s="6"/>
      <c r="PI146" s="6"/>
      <c r="PJ146" s="6"/>
      <c r="PK146" s="5" t="str">
        <f t="shared" si="553"/>
        <v>NO APLICA</v>
      </c>
      <c r="PL146" s="5"/>
      <c r="PM146" s="6"/>
      <c r="PN146" s="4"/>
      <c r="PO146" s="8"/>
      <c r="PP146" s="5" t="str">
        <f t="shared" si="554"/>
        <v>NO APLICA</v>
      </c>
      <c r="PQ146" s="6"/>
      <c r="PR146" s="6"/>
      <c r="PS146" s="6"/>
      <c r="PT146" s="6"/>
      <c r="PU146" s="5" t="str">
        <f t="shared" si="555"/>
        <v>NO APLICA</v>
      </c>
      <c r="PV146" s="5"/>
      <c r="PW146" s="6"/>
      <c r="PX146" s="6"/>
      <c r="PY146" s="6"/>
      <c r="PZ146" s="5" t="str">
        <f t="shared" si="556"/>
        <v>NO APLICA</v>
      </c>
    </row>
    <row r="147" spans="1:442" ht="15.6" hidden="1" thickTop="1" thickBot="1" x14ac:dyDescent="0.35">
      <c r="A147" s="26">
        <v>144</v>
      </c>
      <c r="B147" s="31">
        <v>393</v>
      </c>
      <c r="C147" s="28" t="s">
        <v>474</v>
      </c>
      <c r="D147" s="29" t="s">
        <v>68</v>
      </c>
      <c r="E147" s="30" t="s">
        <v>73</v>
      </c>
      <c r="F147" s="6"/>
      <c r="G147" s="6"/>
      <c r="H147" s="6"/>
      <c r="I147" s="6"/>
      <c r="J147" s="5" t="str">
        <f t="shared" si="455"/>
        <v>NO APLICA</v>
      </c>
      <c r="K147" s="6"/>
      <c r="L147" s="6"/>
      <c r="M147" s="6"/>
      <c r="N147" s="6"/>
      <c r="O147" s="5" t="str">
        <f t="shared" si="456"/>
        <v>NO APLICA</v>
      </c>
      <c r="P147" s="6"/>
      <c r="Q147" s="6"/>
      <c r="R147" s="6"/>
      <c r="S147" s="6"/>
      <c r="T147" s="5" t="str">
        <f t="shared" si="557"/>
        <v>NO APLICA</v>
      </c>
      <c r="U147" s="5"/>
      <c r="V147" s="6" t="s">
        <v>475</v>
      </c>
      <c r="W147" s="4">
        <v>45391</v>
      </c>
      <c r="X147" s="4">
        <f t="shared" si="410"/>
        <v>47217</v>
      </c>
      <c r="Y147" s="8">
        <f t="shared" ca="1" si="411"/>
        <v>1072</v>
      </c>
      <c r="Z147" s="5" t="str">
        <f t="shared" ca="1" si="412"/>
        <v>VIGENTE</v>
      </c>
      <c r="AA147" s="5"/>
      <c r="AB147" s="6" t="s">
        <v>476</v>
      </c>
      <c r="AC147" s="4">
        <v>45464</v>
      </c>
      <c r="AD147" s="4">
        <f t="shared" ref="AD147:AD152" si="578">DATE(YEAR(AC147)+5,MONTH(AC147),DAY(AC147))</f>
        <v>47290</v>
      </c>
      <c r="AE147" s="8">
        <f t="shared" ref="AE147:AE152" ca="1" si="579">AD147-TODAY()</f>
        <v>1145</v>
      </c>
      <c r="AF147" s="5" t="str">
        <f t="shared" ca="1" si="457"/>
        <v>VIGENTE</v>
      </c>
      <c r="AG147" s="4"/>
      <c r="AH147" s="4">
        <v>46085</v>
      </c>
      <c r="AI147" s="4">
        <f>DATE(YEAR(AH147)+2,MONTH(AH147),DAY(AH147))</f>
        <v>46816</v>
      </c>
      <c r="AJ147" s="8">
        <f t="shared" ca="1" si="458"/>
        <v>671</v>
      </c>
      <c r="AK147" s="5" t="str">
        <f t="shared" ca="1" si="408"/>
        <v>VIGENTE</v>
      </c>
      <c r="AL147" s="6"/>
      <c r="AM147" s="4">
        <v>46062</v>
      </c>
      <c r="AN147" s="4">
        <f t="shared" si="572"/>
        <v>46792</v>
      </c>
      <c r="AO147" s="8">
        <f t="shared" ca="1" si="459"/>
        <v>647</v>
      </c>
      <c r="AP147" s="5" t="str">
        <f t="shared" ca="1" si="460"/>
        <v>VIGENTE</v>
      </c>
      <c r="AQ147" s="6"/>
      <c r="AR147" s="4">
        <v>46048</v>
      </c>
      <c r="AS147" s="4">
        <f t="shared" si="568"/>
        <v>46778</v>
      </c>
      <c r="AT147" s="8">
        <f t="shared" ca="1" si="461"/>
        <v>633</v>
      </c>
      <c r="AU147" s="5" t="str">
        <f t="shared" ca="1" si="462"/>
        <v>VIGENTE</v>
      </c>
      <c r="AV147" s="6"/>
      <c r="AW147" s="4">
        <v>46070</v>
      </c>
      <c r="AX147" s="4">
        <f t="shared" si="569"/>
        <v>46800</v>
      </c>
      <c r="AY147" s="8">
        <f t="shared" ca="1" si="463"/>
        <v>655</v>
      </c>
      <c r="AZ147" s="5" t="str">
        <f t="shared" ca="1" si="464"/>
        <v>VIGENTE</v>
      </c>
      <c r="BA147" s="3"/>
      <c r="BB147" s="4">
        <v>46041</v>
      </c>
      <c r="BC147" s="4">
        <f>DATE(YEAR(BB147)+2,MONTH(BB147),DAY(BB147))</f>
        <v>46771</v>
      </c>
      <c r="BD147" s="8">
        <f t="shared" ca="1" si="465"/>
        <v>626</v>
      </c>
      <c r="BE147" s="5" t="str">
        <f t="shared" ca="1" si="466"/>
        <v>VIGENTE</v>
      </c>
      <c r="BF147" s="4"/>
      <c r="BG147" s="4">
        <v>46027</v>
      </c>
      <c r="BH147" s="4">
        <f>DATE(YEAR(BG147)+2,MONTH(BG147),DAY(BG147))</f>
        <v>46757</v>
      </c>
      <c r="BI147" s="8">
        <f t="shared" ca="1" si="467"/>
        <v>612</v>
      </c>
      <c r="BJ147" s="5" t="str">
        <f t="shared" ca="1" si="468"/>
        <v>VIGENTE</v>
      </c>
      <c r="BK147" s="4"/>
      <c r="BL147" s="4">
        <v>46035</v>
      </c>
      <c r="BM147" s="4">
        <f>DATE(YEAR(BL147)+2,MONTH(BL147),DAY(BL147))</f>
        <v>46765</v>
      </c>
      <c r="BN147" s="8">
        <f t="shared" ca="1" si="469"/>
        <v>620</v>
      </c>
      <c r="BO147" s="5" t="str">
        <f t="shared" ca="1" si="470"/>
        <v>VIGENTE</v>
      </c>
      <c r="BP147" s="4"/>
      <c r="BQ147" s="39">
        <v>46050</v>
      </c>
      <c r="BR147" s="4">
        <f t="shared" si="570"/>
        <v>46780</v>
      </c>
      <c r="BS147" s="8">
        <f t="shared" ca="1" si="471"/>
        <v>635</v>
      </c>
      <c r="BT147" s="5" t="str">
        <f t="shared" ca="1" si="472"/>
        <v>VIGENTE</v>
      </c>
      <c r="BU147" s="6"/>
      <c r="BV147" s="4">
        <v>46063</v>
      </c>
      <c r="BW147" s="4">
        <f>DATE(YEAR(BV147)+2,MONTH(BV147),DAY(BV147))</f>
        <v>46793</v>
      </c>
      <c r="BX147" s="8">
        <f t="shared" ca="1" si="473"/>
        <v>648</v>
      </c>
      <c r="BY147" s="5" t="str">
        <f t="shared" ca="1" si="474"/>
        <v>VIGENTE</v>
      </c>
      <c r="BZ147" s="6"/>
      <c r="CA147" s="4">
        <v>45986</v>
      </c>
      <c r="CB147" s="4">
        <f t="shared" si="574"/>
        <v>46716</v>
      </c>
      <c r="CC147" s="8">
        <f t="shared" ca="1" si="475"/>
        <v>571</v>
      </c>
      <c r="CD147" s="5" t="str">
        <f t="shared" ca="1" si="476"/>
        <v>VIGENTE</v>
      </c>
      <c r="CE147" s="6"/>
      <c r="CF147" s="4">
        <v>45616</v>
      </c>
      <c r="CG147" s="4">
        <f t="shared" si="416"/>
        <v>47077</v>
      </c>
      <c r="CH147" s="8">
        <f t="shared" ca="1" si="417"/>
        <v>932</v>
      </c>
      <c r="CI147" s="5" t="str">
        <f t="shared" ca="1" si="573"/>
        <v>VIGENTE</v>
      </c>
      <c r="CJ147" s="4"/>
      <c r="CK147" s="4">
        <v>46018</v>
      </c>
      <c r="CL147" s="4">
        <f>DATE(YEAR(CK147)+2,MONTH(CK147),DAY(CK147))</f>
        <v>46748</v>
      </c>
      <c r="CM147" s="8">
        <f t="shared" ca="1" si="477"/>
        <v>603</v>
      </c>
      <c r="CN147" s="5" t="str">
        <f t="shared" ca="1" si="478"/>
        <v>VIGENTE</v>
      </c>
      <c r="CO147" s="4"/>
      <c r="CP147" s="4">
        <v>46101</v>
      </c>
      <c r="CQ147" s="4">
        <f>DATE(YEAR(CP147)+2,MONTH(CP147),DAY(CP147))</f>
        <v>46832</v>
      </c>
      <c r="CR147" s="8">
        <f t="shared" ca="1" si="479"/>
        <v>687</v>
      </c>
      <c r="CS147" s="5" t="str">
        <f t="shared" ca="1" si="480"/>
        <v>VIGENTE</v>
      </c>
      <c r="CT147" s="4"/>
      <c r="CU147" s="4">
        <v>46043</v>
      </c>
      <c r="CV147" s="4">
        <f>DATE(YEAR(CU147)+2,MONTH(CU147),DAY(CU147))</f>
        <v>46773</v>
      </c>
      <c r="CW147" s="8">
        <f t="shared" ca="1" si="481"/>
        <v>628</v>
      </c>
      <c r="CX147" s="5" t="str">
        <f t="shared" ca="1" si="482"/>
        <v>VIGENTE</v>
      </c>
      <c r="CY147" s="4"/>
      <c r="CZ147" s="4">
        <v>46000</v>
      </c>
      <c r="DA147" s="4">
        <f>DATE(YEAR(CZ147)+2,MONTH(CZ147),DAY(CZ147))</f>
        <v>46730</v>
      </c>
      <c r="DB147" s="8">
        <f t="shared" ca="1" si="483"/>
        <v>585</v>
      </c>
      <c r="DC147" s="5" t="str">
        <f t="shared" ca="1" si="484"/>
        <v>VIGENTE</v>
      </c>
      <c r="DD147" s="4"/>
      <c r="DE147" s="39">
        <v>46045</v>
      </c>
      <c r="DF147" s="4">
        <f>DATE(YEAR(DE147)+2,MONTH(DE147),DAY(DE147))</f>
        <v>46775</v>
      </c>
      <c r="DG147" s="8">
        <f t="shared" ca="1" si="485"/>
        <v>630</v>
      </c>
      <c r="DH147" s="5" t="str">
        <f t="shared" ca="1" si="486"/>
        <v>VIGENTE</v>
      </c>
      <c r="DI147" s="4"/>
      <c r="DJ147" s="39">
        <v>46029</v>
      </c>
      <c r="DK147" s="4">
        <f>DATE(YEAR(DJ147)+2,MONTH(DJ147),DAY(DJ147))</f>
        <v>46759</v>
      </c>
      <c r="DL147" s="8">
        <f t="shared" ca="1" si="487"/>
        <v>614</v>
      </c>
      <c r="DM147" s="5" t="str">
        <f t="shared" ca="1" si="488"/>
        <v>VIGENTE</v>
      </c>
      <c r="DN147" s="4"/>
      <c r="DO147" s="4">
        <v>45982</v>
      </c>
      <c r="DP147" s="4">
        <f>DATE(YEAR(DO147)+2,MONTH(DO147),DAY(DO147))</f>
        <v>46712</v>
      </c>
      <c r="DQ147" s="8">
        <f t="shared" ca="1" si="489"/>
        <v>567</v>
      </c>
      <c r="DR147" s="5" t="str">
        <f t="shared" ca="1" si="490"/>
        <v>VIGENTE</v>
      </c>
      <c r="DS147" s="6"/>
      <c r="DT147" s="4">
        <v>46053</v>
      </c>
      <c r="DU147" s="4">
        <f>DATE(YEAR(DT147)+2,MONTH(DT147),DAY(DT147))</f>
        <v>46783</v>
      </c>
      <c r="DV147" s="8">
        <f t="shared" ca="1" si="491"/>
        <v>638</v>
      </c>
      <c r="DW147" s="5" t="str">
        <f t="shared" ca="1" si="492"/>
        <v>VIGENTE</v>
      </c>
      <c r="DX147" s="4"/>
      <c r="DY147" s="4">
        <v>46099</v>
      </c>
      <c r="DZ147" s="4">
        <f>DATE(YEAR(DY147)+2,MONTH(DY147),DAY(DY147))</f>
        <v>46830</v>
      </c>
      <c r="EA147" s="8">
        <f t="shared" ca="1" si="493"/>
        <v>685</v>
      </c>
      <c r="EB147" s="5" t="str">
        <f t="shared" ca="1" si="494"/>
        <v>VIGENTE</v>
      </c>
      <c r="EC147" s="4"/>
      <c r="ED147" s="39">
        <v>46104</v>
      </c>
      <c r="EE147" s="4">
        <f>DATE(YEAR(ED147)+2,MONTH(ED147),DAY(ED147))</f>
        <v>46835</v>
      </c>
      <c r="EF147" s="8">
        <f t="shared" ca="1" si="495"/>
        <v>690</v>
      </c>
      <c r="EG147" s="5" t="str">
        <f t="shared" ca="1" si="496"/>
        <v>VIGENTE</v>
      </c>
      <c r="EH147" s="4"/>
      <c r="EI147" s="4">
        <v>46123</v>
      </c>
      <c r="EJ147" s="4">
        <f t="shared" si="558"/>
        <v>46488</v>
      </c>
      <c r="EK147" s="8">
        <f t="shared" ca="1" si="497"/>
        <v>343</v>
      </c>
      <c r="EL147" s="5" t="str">
        <f t="shared" ca="1" si="498"/>
        <v>VIGENTE</v>
      </c>
      <c r="EM147" s="4"/>
      <c r="EN147" s="4">
        <v>46100</v>
      </c>
      <c r="EO147" s="4">
        <f>DATE(YEAR(EN147)+2,MONTH(EN147),DAY(EN147))</f>
        <v>46831</v>
      </c>
      <c r="EP147" s="8">
        <f t="shared" ca="1" si="499"/>
        <v>686</v>
      </c>
      <c r="EQ147" s="5" t="str">
        <f t="shared" ca="1" si="500"/>
        <v>VIGENTE</v>
      </c>
      <c r="ER147" s="6"/>
      <c r="ES147" s="39">
        <v>45999</v>
      </c>
      <c r="ET147" s="4">
        <f>DATE(YEAR(ES147)+2,MONTH(ES147),DAY(ES147))</f>
        <v>46729</v>
      </c>
      <c r="EU147" s="8">
        <f t="shared" ca="1" si="501"/>
        <v>584</v>
      </c>
      <c r="EV147" s="5" t="str">
        <f t="shared" ca="1" si="502"/>
        <v>VIGENTE</v>
      </c>
      <c r="EW147" s="4"/>
      <c r="EX147" s="4">
        <v>46037</v>
      </c>
      <c r="EY147" s="4">
        <f t="shared" si="575"/>
        <v>46767</v>
      </c>
      <c r="EZ147" s="8">
        <f t="shared" ca="1" si="503"/>
        <v>622</v>
      </c>
      <c r="FA147" s="5" t="str">
        <f t="shared" ca="1" si="504"/>
        <v>VIGENTE</v>
      </c>
      <c r="FB147" s="6"/>
      <c r="FC147" s="4">
        <v>46091</v>
      </c>
      <c r="FD147" s="4">
        <f t="shared" si="576"/>
        <v>46822</v>
      </c>
      <c r="FE147" s="8">
        <f t="shared" ca="1" si="505"/>
        <v>677</v>
      </c>
      <c r="FF147" s="5" t="str">
        <f t="shared" ca="1" si="506"/>
        <v>VIGENTE</v>
      </c>
      <c r="FG147" s="4"/>
      <c r="FH147" s="4">
        <v>45969</v>
      </c>
      <c r="FI147" s="4">
        <f t="shared" si="577"/>
        <v>46699</v>
      </c>
      <c r="FJ147" s="8">
        <f t="shared" ca="1" si="507"/>
        <v>554</v>
      </c>
      <c r="FK147" s="5" t="str">
        <f t="shared" ca="1" si="508"/>
        <v>VIGENTE</v>
      </c>
      <c r="FL147" s="4"/>
      <c r="FM147" s="39">
        <v>46039</v>
      </c>
      <c r="FN147" s="4">
        <f>DATE(YEAR(FM147)+2,MONTH(FM147),DAY(FM147))</f>
        <v>46769</v>
      </c>
      <c r="FO147" s="8">
        <f t="shared" ca="1" si="509"/>
        <v>624</v>
      </c>
      <c r="FP147" s="5" t="str">
        <f t="shared" ca="1" si="510"/>
        <v>VIGENTE</v>
      </c>
      <c r="FQ147" s="4"/>
      <c r="FR147" s="39">
        <v>46080</v>
      </c>
      <c r="FS147" s="4">
        <f>DATE(YEAR(FR147)+2,MONTH(FR147),DAY(FR147))</f>
        <v>46810</v>
      </c>
      <c r="FT147" s="8">
        <f t="shared" ca="1" si="511"/>
        <v>665</v>
      </c>
      <c r="FU147" s="5" t="str">
        <f t="shared" ca="1" si="512"/>
        <v>VIGENTE</v>
      </c>
      <c r="FV147" s="4"/>
      <c r="FW147" s="4">
        <v>46014</v>
      </c>
      <c r="FX147" s="4">
        <f>DATE(YEAR(FW147)+2,MONTH(FW147),DAY(FW147))</f>
        <v>46744</v>
      </c>
      <c r="FY147" s="8">
        <f t="shared" ca="1" si="513"/>
        <v>599</v>
      </c>
      <c r="FZ147" s="5" t="str">
        <f t="shared" ca="1" si="514"/>
        <v>VIGENTE</v>
      </c>
      <c r="GA147" s="4"/>
      <c r="GB147" s="4">
        <v>46030</v>
      </c>
      <c r="GC147" s="4">
        <f>DATE(YEAR(GB147)+2,MONTH(GB147),DAY(GB147))</f>
        <v>46760</v>
      </c>
      <c r="GD147" s="8">
        <f t="shared" ca="1" si="515"/>
        <v>615</v>
      </c>
      <c r="GE147" s="5" t="str">
        <f t="shared" ca="1" si="516"/>
        <v>VIGENTE</v>
      </c>
      <c r="GF147" s="4"/>
      <c r="GG147" s="4">
        <v>45960</v>
      </c>
      <c r="GH147" s="4">
        <f>DATE(YEAR(GG147)+2,MONTH(GG147),DAY(GG147))</f>
        <v>46690</v>
      </c>
      <c r="GI147" s="8">
        <f t="shared" ca="1" si="517"/>
        <v>545</v>
      </c>
      <c r="GJ147" s="5" t="str">
        <f t="shared" ca="1" si="518"/>
        <v>VIGENTE</v>
      </c>
      <c r="GK147" s="4"/>
      <c r="GL147" s="4">
        <v>46093</v>
      </c>
      <c r="GM147" s="4">
        <f t="shared" si="571"/>
        <v>46824</v>
      </c>
      <c r="GN147" s="8">
        <f t="shared" ca="1" si="519"/>
        <v>679</v>
      </c>
      <c r="GO147" s="5" t="str">
        <f t="shared" ca="1" si="520"/>
        <v>VIGENTE</v>
      </c>
      <c r="GP147" s="4"/>
      <c r="GQ147" s="4">
        <v>45421</v>
      </c>
      <c r="GR147" s="4">
        <f t="shared" si="521"/>
        <v>47247</v>
      </c>
      <c r="GS147" s="8">
        <f t="shared" ca="1" si="405"/>
        <v>1102</v>
      </c>
      <c r="GT147" s="5" t="str">
        <f t="shared" ca="1" si="419"/>
        <v>VIGENTE</v>
      </c>
      <c r="GU147" s="4"/>
      <c r="GV147" s="4">
        <v>45417</v>
      </c>
      <c r="GW147" s="4">
        <f t="shared" si="522"/>
        <v>47243</v>
      </c>
      <c r="GX147" s="8">
        <f t="shared" ca="1" si="523"/>
        <v>1098</v>
      </c>
      <c r="GY147" s="5" t="str">
        <f t="shared" ca="1" si="426"/>
        <v>VIGENTE</v>
      </c>
      <c r="GZ147" s="6"/>
      <c r="HA147" s="4">
        <v>45415</v>
      </c>
      <c r="HB147" s="4">
        <f t="shared" si="524"/>
        <v>47241</v>
      </c>
      <c r="HC147" s="8">
        <f t="shared" ca="1" si="525"/>
        <v>1096</v>
      </c>
      <c r="HD147" s="5" t="str">
        <f t="shared" ca="1" si="421"/>
        <v>VIGENTE</v>
      </c>
      <c r="HE147" s="6"/>
      <c r="HF147" s="4">
        <v>45401</v>
      </c>
      <c r="HG147" s="4">
        <f t="shared" ref="HG147:HG152" si="580">DATE(YEAR(HF147)+5,MONTH(HF147),DAY(HF147))</f>
        <v>47227</v>
      </c>
      <c r="HH147" s="8">
        <f t="shared" ref="HH147:HH152" ca="1" si="581">HG147-TODAY()</f>
        <v>1082</v>
      </c>
      <c r="HI147" s="5" t="str">
        <f t="shared" ca="1" si="427"/>
        <v>VIGENTE</v>
      </c>
      <c r="HJ147" s="6"/>
      <c r="HK147" s="6"/>
      <c r="HL147" s="4"/>
      <c r="HM147" s="8"/>
      <c r="HN147" s="5" t="str">
        <f t="shared" si="444"/>
        <v>NO APLICA</v>
      </c>
      <c r="HO147" s="2"/>
      <c r="HP147" s="5"/>
      <c r="HQ147" s="4"/>
      <c r="HR147" s="5"/>
      <c r="HS147" s="5" t="str">
        <f t="shared" si="526"/>
        <v>NO APLICA</v>
      </c>
      <c r="HT147" s="6"/>
      <c r="HU147" s="6"/>
      <c r="HV147" s="4"/>
      <c r="HW147" s="8"/>
      <c r="HX147" s="5" t="str">
        <f t="shared" si="527"/>
        <v>NO APLICA</v>
      </c>
      <c r="HY147" s="6"/>
      <c r="HZ147" s="6"/>
      <c r="IA147" s="4"/>
      <c r="IB147" s="8"/>
      <c r="IC147" s="5" t="str">
        <f t="shared" si="528"/>
        <v>NO APLICA</v>
      </c>
      <c r="ID147" s="6"/>
      <c r="IE147" s="6"/>
      <c r="IF147" s="4"/>
      <c r="IG147" s="8"/>
      <c r="IH147" s="5" t="str">
        <f t="shared" si="529"/>
        <v>NO APLICA</v>
      </c>
      <c r="II147" s="6"/>
      <c r="IJ147" s="6"/>
      <c r="IK147" s="4"/>
      <c r="IL147" s="6"/>
      <c r="IM147" s="5" t="str">
        <f t="shared" si="530"/>
        <v>NO APLICA</v>
      </c>
      <c r="IN147" s="6"/>
      <c r="IO147" s="6"/>
      <c r="IP147" s="4"/>
      <c r="IQ147" s="8"/>
      <c r="IR147" s="5" t="str">
        <f t="shared" si="531"/>
        <v>NO APLICA</v>
      </c>
      <c r="IS147" s="6"/>
      <c r="IT147" s="6"/>
      <c r="IU147" s="4"/>
      <c r="IV147" s="8"/>
      <c r="IW147" s="5" t="str">
        <f t="shared" si="532"/>
        <v>NO APLICA</v>
      </c>
      <c r="IX147" s="6"/>
      <c r="IY147" s="6"/>
      <c r="IZ147" s="4"/>
      <c r="JA147" s="8"/>
      <c r="JB147" s="5" t="str">
        <f t="shared" si="533"/>
        <v>NO APLICA</v>
      </c>
      <c r="JC147" s="3" t="s">
        <v>780</v>
      </c>
      <c r="JD147" s="3"/>
      <c r="JE147" s="4"/>
      <c r="JF147" s="8"/>
      <c r="JG147" s="5"/>
      <c r="JH147" s="3" t="s">
        <v>780</v>
      </c>
      <c r="JI147" s="6"/>
      <c r="JJ147" s="6"/>
      <c r="JK147" s="6"/>
      <c r="JL147" s="5"/>
      <c r="JM147" s="6" t="s">
        <v>780</v>
      </c>
      <c r="JN147" s="6"/>
      <c r="JO147" s="6"/>
      <c r="JP147" s="6"/>
      <c r="JQ147" s="5"/>
      <c r="JR147" s="6" t="s">
        <v>780</v>
      </c>
      <c r="JS147" s="6"/>
      <c r="JT147" s="6"/>
      <c r="JU147" s="6"/>
      <c r="JV147" s="5"/>
      <c r="JW147" s="6" t="s">
        <v>780</v>
      </c>
      <c r="JX147" s="5"/>
      <c r="JY147" s="5"/>
      <c r="JZ147" s="5"/>
      <c r="KA147" s="5"/>
      <c r="KB147" s="5"/>
      <c r="KC147" s="6"/>
      <c r="KD147" s="4"/>
      <c r="KE147" s="8"/>
      <c r="KF147" s="5" t="str">
        <f t="shared" si="534"/>
        <v>NO APLICA</v>
      </c>
      <c r="KG147" s="5"/>
      <c r="KH147" s="6"/>
      <c r="KI147" s="4"/>
      <c r="KJ147" s="6"/>
      <c r="KK147" s="5" t="str">
        <f t="shared" si="559"/>
        <v>NO APLICA</v>
      </c>
      <c r="KL147" s="5"/>
      <c r="KM147" s="6"/>
      <c r="KN147" s="4"/>
      <c r="KO147" s="8"/>
      <c r="KP147" s="5" t="str">
        <f t="shared" si="535"/>
        <v>NO APLICA</v>
      </c>
      <c r="KQ147" s="5"/>
      <c r="KR147" s="2"/>
      <c r="KS147" s="4"/>
      <c r="KT147" s="8"/>
      <c r="KU147" s="5" t="str">
        <f t="shared" si="560"/>
        <v>NO APLICA</v>
      </c>
      <c r="KV147" s="4"/>
      <c r="KW147" s="4">
        <v>44653</v>
      </c>
      <c r="KX147" s="4">
        <f>DATE(YEAR(KW147)+5,MONTH(KW147),DAY(KW147))</f>
        <v>46479</v>
      </c>
      <c r="KY147" s="8">
        <f ca="1">KX147-TODAY()</f>
        <v>334</v>
      </c>
      <c r="KZ147" s="5" t="str">
        <f t="shared" ca="1" si="565"/>
        <v>VIGENTE</v>
      </c>
      <c r="LA147" s="5"/>
      <c r="LB147" s="6"/>
      <c r="LC147" s="4"/>
      <c r="LD147" s="6"/>
      <c r="LE147" s="5" t="str">
        <f t="shared" si="561"/>
        <v>NO APLICA</v>
      </c>
      <c r="LF147" s="6"/>
      <c r="LG147" s="6"/>
      <c r="LH147" s="6"/>
      <c r="LI147" s="6"/>
      <c r="LJ147" s="5" t="str">
        <f t="shared" si="567"/>
        <v>NO APLICA</v>
      </c>
      <c r="LK147" s="5"/>
      <c r="LL147" s="5"/>
      <c r="LM147" s="4"/>
      <c r="LN147" s="8"/>
      <c r="LO147" s="5" t="str">
        <f t="shared" si="566"/>
        <v>NO APLICA</v>
      </c>
      <c r="LP147" s="6"/>
      <c r="LQ147" s="6"/>
      <c r="LR147" s="4"/>
      <c r="LS147" s="8"/>
      <c r="LT147" s="5" t="str">
        <f t="shared" si="562"/>
        <v>NO APLICA</v>
      </c>
      <c r="LU147" s="6"/>
      <c r="LV147" s="6"/>
      <c r="LW147" s="4"/>
      <c r="LX147" s="6"/>
      <c r="LY147" s="5" t="str">
        <f t="shared" si="563"/>
        <v>NO APLICA</v>
      </c>
      <c r="LZ147" s="6"/>
      <c r="MA147" s="6"/>
      <c r="MB147" s="4"/>
      <c r="MC147" s="6"/>
      <c r="MD147" s="5" t="str">
        <f t="shared" si="564"/>
        <v>NO APLICA</v>
      </c>
      <c r="ME147" s="6"/>
      <c r="MF147" s="6"/>
      <c r="MG147" s="4"/>
      <c r="MH147" s="6"/>
      <c r="MI147" s="5" t="str">
        <f t="shared" si="537"/>
        <v>NO APLICA</v>
      </c>
      <c r="MJ147" s="6"/>
      <c r="MK147" s="6"/>
      <c r="ML147" s="4"/>
      <c r="MM147" s="6"/>
      <c r="MN147" s="5" t="str">
        <f t="shared" si="538"/>
        <v>NO APLICA</v>
      </c>
      <c r="MO147" s="5"/>
      <c r="MP147" s="6"/>
      <c r="MQ147" s="4"/>
      <c r="MR147" s="6"/>
      <c r="MS147" s="5" t="str">
        <f t="shared" si="539"/>
        <v>NO APLICA</v>
      </c>
      <c r="MT147" s="5"/>
      <c r="MU147" s="6"/>
      <c r="MV147" s="6"/>
      <c r="MW147" s="6"/>
      <c r="MX147" s="5" t="str">
        <f t="shared" si="540"/>
        <v>NO APLICA</v>
      </c>
      <c r="MY147" s="6"/>
      <c r="MZ147" s="6"/>
      <c r="NA147" s="4"/>
      <c r="NB147" s="6"/>
      <c r="NC147" s="5" t="str">
        <f t="shared" si="541"/>
        <v>NO APLICA</v>
      </c>
      <c r="ND147" s="6"/>
      <c r="NE147" s="6"/>
      <c r="NF147" s="4"/>
      <c r="NG147" s="6"/>
      <c r="NH147" s="5" t="str">
        <f t="shared" si="542"/>
        <v>NO APLICA</v>
      </c>
      <c r="NI147" s="6"/>
      <c r="NJ147" s="6"/>
      <c r="NK147" s="4"/>
      <c r="NL147" s="6"/>
      <c r="NM147" s="5" t="str">
        <f t="shared" si="543"/>
        <v>NO APLICA</v>
      </c>
      <c r="NN147" s="6"/>
      <c r="NO147" s="6"/>
      <c r="NP147" s="4"/>
      <c r="NQ147" s="6"/>
      <c r="NR147" s="5" t="str">
        <f t="shared" si="544"/>
        <v>NO APLICA</v>
      </c>
      <c r="NS147" s="6"/>
      <c r="NT147" s="6"/>
      <c r="NU147" s="4"/>
      <c r="NV147" s="6"/>
      <c r="NW147" s="5" t="str">
        <f t="shared" si="545"/>
        <v>NO APLICA</v>
      </c>
      <c r="NX147" s="6"/>
      <c r="NY147" s="6"/>
      <c r="NZ147" s="4"/>
      <c r="OA147" s="8"/>
      <c r="OB147" s="5" t="str">
        <f t="shared" si="546"/>
        <v>NO APLICA</v>
      </c>
      <c r="OC147" s="6"/>
      <c r="OD147" s="6"/>
      <c r="OE147" s="6"/>
      <c r="OF147" s="6"/>
      <c r="OG147" s="5" t="str">
        <f t="shared" si="547"/>
        <v>NO APLICA</v>
      </c>
      <c r="OH147" s="6"/>
      <c r="OI147" s="6"/>
      <c r="OJ147" s="6"/>
      <c r="OK147" s="6"/>
      <c r="OL147" s="5" t="str">
        <f t="shared" si="548"/>
        <v>NO APLICA</v>
      </c>
      <c r="OM147" s="6"/>
      <c r="ON147" s="6"/>
      <c r="OO147" s="4"/>
      <c r="OP147" s="8"/>
      <c r="OQ147" s="5" t="str">
        <f t="shared" si="549"/>
        <v>NO APLICA</v>
      </c>
      <c r="OR147" s="6"/>
      <c r="OS147" s="6"/>
      <c r="OT147" s="6"/>
      <c r="OU147" s="6"/>
      <c r="OV147" s="5" t="str">
        <f t="shared" si="550"/>
        <v>NO APLICA</v>
      </c>
      <c r="OW147" s="6"/>
      <c r="OX147" s="6"/>
      <c r="OY147" s="6"/>
      <c r="OZ147" s="6"/>
      <c r="PA147" s="5" t="str">
        <f t="shared" si="551"/>
        <v>NO APLICA</v>
      </c>
      <c r="PB147" s="6"/>
      <c r="PC147" s="6"/>
      <c r="PD147" s="6"/>
      <c r="PE147" s="6"/>
      <c r="PF147" s="5" t="str">
        <f t="shared" si="552"/>
        <v>NO APLICA</v>
      </c>
      <c r="PG147" s="6"/>
      <c r="PH147" s="6"/>
      <c r="PI147" s="6"/>
      <c r="PJ147" s="6"/>
      <c r="PK147" s="5" t="str">
        <f t="shared" si="553"/>
        <v>NO APLICA</v>
      </c>
      <c r="PL147" s="5"/>
      <c r="PM147" s="6"/>
      <c r="PN147" s="6"/>
      <c r="PO147" s="6"/>
      <c r="PP147" s="5" t="str">
        <f t="shared" si="554"/>
        <v>NO APLICA</v>
      </c>
      <c r="PQ147" s="6"/>
      <c r="PR147" s="6"/>
      <c r="PS147" s="6"/>
      <c r="PT147" s="6"/>
      <c r="PU147" s="5" t="str">
        <f t="shared" si="555"/>
        <v>NO APLICA</v>
      </c>
      <c r="PV147" s="5"/>
      <c r="PW147" s="4">
        <v>46126</v>
      </c>
      <c r="PX147" s="4">
        <f>DATE(YEAR(PW147)+1,MONTH(PW147),DAY(PW147))</f>
        <v>46491</v>
      </c>
      <c r="PY147" s="8">
        <f ca="1">PX147-TODAY()</f>
        <v>346</v>
      </c>
      <c r="PZ147" s="5" t="str">
        <f t="shared" ca="1" si="556"/>
        <v>VIGENTE</v>
      </c>
    </row>
    <row r="148" spans="1:442" ht="15.6" hidden="1" thickTop="1" thickBot="1" x14ac:dyDescent="0.35">
      <c r="A148" s="26">
        <v>145</v>
      </c>
      <c r="B148" s="27">
        <v>842</v>
      </c>
      <c r="C148" s="28" t="s">
        <v>477</v>
      </c>
      <c r="D148" s="29" t="s">
        <v>68</v>
      </c>
      <c r="E148" s="30" t="s">
        <v>122</v>
      </c>
      <c r="F148" s="5"/>
      <c r="G148" s="6"/>
      <c r="H148" s="4"/>
      <c r="I148" s="8"/>
      <c r="J148" s="5" t="str">
        <f t="shared" si="455"/>
        <v>NO APLICA</v>
      </c>
      <c r="K148" s="5"/>
      <c r="L148" s="6"/>
      <c r="M148" s="6"/>
      <c r="N148" s="8"/>
      <c r="O148" s="5" t="str">
        <f t="shared" si="456"/>
        <v>NO APLICA</v>
      </c>
      <c r="P148" s="6"/>
      <c r="Q148" s="6"/>
      <c r="R148" s="4"/>
      <c r="S148" s="8"/>
      <c r="T148" s="5" t="str">
        <f t="shared" si="557"/>
        <v>NO APLICA</v>
      </c>
      <c r="U148" s="5"/>
      <c r="V148" s="2" t="s">
        <v>478</v>
      </c>
      <c r="W148" s="4">
        <v>45426</v>
      </c>
      <c r="X148" s="4">
        <f t="shared" si="410"/>
        <v>47252</v>
      </c>
      <c r="Y148" s="8">
        <f t="shared" ca="1" si="411"/>
        <v>1107</v>
      </c>
      <c r="Z148" s="5" t="str">
        <f t="shared" ca="1" si="412"/>
        <v>VIGENTE</v>
      </c>
      <c r="AA148" s="5"/>
      <c r="AB148" s="2" t="s">
        <v>479</v>
      </c>
      <c r="AC148" s="4">
        <v>44824</v>
      </c>
      <c r="AD148" s="4">
        <f t="shared" si="578"/>
        <v>46650</v>
      </c>
      <c r="AE148" s="8">
        <f t="shared" ca="1" si="579"/>
        <v>505</v>
      </c>
      <c r="AF148" s="5" t="str">
        <f t="shared" ca="1" si="457"/>
        <v>VIGENTE</v>
      </c>
      <c r="AG148" s="3"/>
      <c r="AH148" s="4">
        <v>45617</v>
      </c>
      <c r="AI148" s="4">
        <f>DATE(YEAR(AH148)+2,MONTH(AH148),DAY(AH148)-1)</f>
        <v>46346</v>
      </c>
      <c r="AJ148" s="8">
        <f t="shared" ca="1" si="458"/>
        <v>201</v>
      </c>
      <c r="AK148" s="5" t="str">
        <f t="shared" ca="1" si="408"/>
        <v>VIGENTE</v>
      </c>
      <c r="AL148" s="3"/>
      <c r="AM148" s="4">
        <v>45926</v>
      </c>
      <c r="AN148" s="4">
        <f t="shared" si="572"/>
        <v>46656</v>
      </c>
      <c r="AO148" s="8">
        <f t="shared" ca="1" si="459"/>
        <v>511</v>
      </c>
      <c r="AP148" s="5" t="str">
        <f t="shared" ca="1" si="460"/>
        <v>VIGENTE</v>
      </c>
      <c r="AQ148" s="3"/>
      <c r="AR148" s="4">
        <v>45887</v>
      </c>
      <c r="AS148" s="4">
        <f t="shared" si="568"/>
        <v>46617</v>
      </c>
      <c r="AT148" s="8">
        <f t="shared" ca="1" si="461"/>
        <v>472</v>
      </c>
      <c r="AU148" s="5" t="str">
        <f t="shared" ca="1" si="462"/>
        <v>VIGENTE</v>
      </c>
      <c r="AV148" s="3"/>
      <c r="AW148" s="4">
        <v>45972</v>
      </c>
      <c r="AX148" s="4">
        <f t="shared" si="569"/>
        <v>46702</v>
      </c>
      <c r="AY148" s="8">
        <f t="shared" ca="1" si="463"/>
        <v>557</v>
      </c>
      <c r="AZ148" s="5" t="str">
        <f t="shared" ca="1" si="464"/>
        <v>VIGENTE</v>
      </c>
      <c r="BA148" s="3"/>
      <c r="BB148" s="4">
        <v>45515</v>
      </c>
      <c r="BC148" s="4">
        <f>DATE(YEAR(BB148)+2,MONTH(BB148),DAY(BB148)-1)</f>
        <v>46244</v>
      </c>
      <c r="BD148" s="8">
        <f t="shared" ca="1" si="465"/>
        <v>99</v>
      </c>
      <c r="BE148" s="5" t="str">
        <f t="shared" ca="1" si="466"/>
        <v>VIGENTE</v>
      </c>
      <c r="BF148" s="3"/>
      <c r="BG148" s="4">
        <v>45968</v>
      </c>
      <c r="BH148" s="4">
        <f>DATE(YEAR(BG148)+2,MONTH(BG148),DAY(BG148))</f>
        <v>46698</v>
      </c>
      <c r="BI148" s="8">
        <f t="shared" ca="1" si="467"/>
        <v>553</v>
      </c>
      <c r="BJ148" s="5" t="str">
        <f t="shared" ca="1" si="468"/>
        <v>VIGENTE</v>
      </c>
      <c r="BK148" s="3"/>
      <c r="BL148" s="4">
        <v>45600</v>
      </c>
      <c r="BM148" s="4">
        <f>DATE(YEAR(BL148)+2,MONTH(BL148),DAY(BL148)-1)</f>
        <v>46329</v>
      </c>
      <c r="BN148" s="8">
        <f t="shared" ca="1" si="469"/>
        <v>184</v>
      </c>
      <c r="BO148" s="5" t="str">
        <f t="shared" ca="1" si="470"/>
        <v>VIGENTE</v>
      </c>
      <c r="BP148" s="3"/>
      <c r="BQ148" s="39">
        <v>46069</v>
      </c>
      <c r="BR148" s="4">
        <f t="shared" si="570"/>
        <v>46799</v>
      </c>
      <c r="BS148" s="8">
        <f t="shared" ca="1" si="471"/>
        <v>654</v>
      </c>
      <c r="BT148" s="5" t="str">
        <f t="shared" ca="1" si="472"/>
        <v>VIGENTE</v>
      </c>
      <c r="BU148" s="3"/>
      <c r="BV148" s="4">
        <v>46116</v>
      </c>
      <c r="BW148" s="4">
        <f>DATE(YEAR(BV148)+2,MONTH(BV148),DAY(BV148)-1)</f>
        <v>46846</v>
      </c>
      <c r="BX148" s="8">
        <f t="shared" ca="1" si="473"/>
        <v>701</v>
      </c>
      <c r="BY148" s="5" t="str">
        <f t="shared" ca="1" si="474"/>
        <v>VIGENTE</v>
      </c>
      <c r="BZ148" s="3"/>
      <c r="CA148" s="4">
        <v>45954</v>
      </c>
      <c r="CB148" s="4">
        <f t="shared" si="574"/>
        <v>46684</v>
      </c>
      <c r="CC148" s="8">
        <f t="shared" ca="1" si="475"/>
        <v>539</v>
      </c>
      <c r="CD148" s="5" t="str">
        <f t="shared" ca="1" si="476"/>
        <v>VIGENTE</v>
      </c>
      <c r="CE148" s="6"/>
      <c r="CF148" s="4">
        <v>45262</v>
      </c>
      <c r="CG148" s="4">
        <f t="shared" si="416"/>
        <v>46723</v>
      </c>
      <c r="CH148" s="8">
        <f t="shared" ca="1" si="417"/>
        <v>578</v>
      </c>
      <c r="CI148" s="5" t="str">
        <f t="shared" ca="1" si="573"/>
        <v>VIGENTE</v>
      </c>
      <c r="CJ148" s="4"/>
      <c r="CK148" s="4">
        <v>45504</v>
      </c>
      <c r="CL148" s="4">
        <f>DATE(YEAR(CK148)+2,MONTH(CK148),DAY(CK148)-1)</f>
        <v>46233</v>
      </c>
      <c r="CM148" s="8">
        <f t="shared" ca="1" si="477"/>
        <v>88</v>
      </c>
      <c r="CN148" s="5" t="str">
        <f t="shared" ca="1" si="478"/>
        <v>POR VENCER</v>
      </c>
      <c r="CO148" s="3"/>
      <c r="CP148" s="39">
        <v>45517</v>
      </c>
      <c r="CQ148" s="4">
        <f>DATE(YEAR(CP148)+2,MONTH(CP148),DAY(CP148)-1)</f>
        <v>46246</v>
      </c>
      <c r="CR148" s="8">
        <f t="shared" ca="1" si="479"/>
        <v>101</v>
      </c>
      <c r="CS148" s="5" t="str">
        <f t="shared" ca="1" si="480"/>
        <v>VIGENTE</v>
      </c>
      <c r="CT148" s="3"/>
      <c r="CU148" s="4">
        <v>45645</v>
      </c>
      <c r="CV148" s="4">
        <f>DATE(YEAR(CU148)+2,MONTH(CU148),DAY(CU148)-1)</f>
        <v>46374</v>
      </c>
      <c r="CW148" s="8">
        <f t="shared" ca="1" si="481"/>
        <v>229</v>
      </c>
      <c r="CX148" s="5" t="str">
        <f t="shared" ca="1" si="482"/>
        <v>VIGENTE</v>
      </c>
      <c r="CY148" s="3"/>
      <c r="CZ148" s="4">
        <v>45661</v>
      </c>
      <c r="DA148" s="4">
        <f>DATE(YEAR(CZ148)+2,MONTH(CZ148),DAY(CZ148)-1)</f>
        <v>46390</v>
      </c>
      <c r="DB148" s="8">
        <f t="shared" ca="1" si="483"/>
        <v>245</v>
      </c>
      <c r="DC148" s="5" t="str">
        <f t="shared" ca="1" si="484"/>
        <v>VIGENTE</v>
      </c>
      <c r="DD148" s="3"/>
      <c r="DE148" s="39">
        <v>45689</v>
      </c>
      <c r="DF148" s="4">
        <f>DATE(YEAR(DE148)+2,MONTH(DE148),DAY(DE148)-1)</f>
        <v>46418</v>
      </c>
      <c r="DG148" s="8">
        <f t="shared" ca="1" si="485"/>
        <v>273</v>
      </c>
      <c r="DH148" s="5" t="str">
        <f t="shared" ca="1" si="486"/>
        <v>VIGENTE</v>
      </c>
      <c r="DI148" s="3"/>
      <c r="DJ148" s="39">
        <v>45696</v>
      </c>
      <c r="DK148" s="4">
        <f>DATE(YEAR(DJ148)+2,MONTH(DJ148),DAY(DJ148)-1)</f>
        <v>46425</v>
      </c>
      <c r="DL148" s="8">
        <f t="shared" ca="1" si="487"/>
        <v>280</v>
      </c>
      <c r="DM148" s="5" t="str">
        <f t="shared" ca="1" si="488"/>
        <v>VIGENTE</v>
      </c>
      <c r="DN148" s="3"/>
      <c r="DO148" s="4">
        <v>46128</v>
      </c>
      <c r="DP148" s="4">
        <f>DATE(YEAR(DO148)+2,MONTH(DO148),DAY(DO148)-1)</f>
        <v>46858</v>
      </c>
      <c r="DQ148" s="8">
        <f t="shared" ca="1" si="489"/>
        <v>713</v>
      </c>
      <c r="DR148" s="5" t="str">
        <f t="shared" ca="1" si="490"/>
        <v>VIGENTE</v>
      </c>
      <c r="DS148" s="3"/>
      <c r="DT148" s="4">
        <v>45619</v>
      </c>
      <c r="DU148" s="4">
        <f>DATE(YEAR(DT148)+2,MONTH(DT148),DAY(DT148)-1)</f>
        <v>46348</v>
      </c>
      <c r="DV148" s="8">
        <f t="shared" ca="1" si="491"/>
        <v>203</v>
      </c>
      <c r="DW148" s="5" t="str">
        <f t="shared" ca="1" si="492"/>
        <v>VIGENTE</v>
      </c>
      <c r="DX148" s="3"/>
      <c r="DY148" s="4">
        <v>45709</v>
      </c>
      <c r="DZ148" s="4">
        <f>DATE(YEAR(DY148)+2,MONTH(DY148),DAY(DY148)-1)</f>
        <v>46438</v>
      </c>
      <c r="EA148" s="8">
        <f t="shared" ca="1" si="493"/>
        <v>293</v>
      </c>
      <c r="EB148" s="5" t="str">
        <f t="shared" ca="1" si="494"/>
        <v>VIGENTE</v>
      </c>
      <c r="EC148" s="3"/>
      <c r="ED148" s="39">
        <v>45674</v>
      </c>
      <c r="EE148" s="4">
        <f>DATE(YEAR(ED148)+2,MONTH(ED148),DAY(ED148)-1)</f>
        <v>46403</v>
      </c>
      <c r="EF148" s="8">
        <f t="shared" ca="1" si="495"/>
        <v>258</v>
      </c>
      <c r="EG148" s="5" t="str">
        <f t="shared" ca="1" si="496"/>
        <v>VIGENTE</v>
      </c>
      <c r="EH148" s="3"/>
      <c r="EI148" s="3">
        <v>46085</v>
      </c>
      <c r="EJ148" s="4">
        <f t="shared" si="558"/>
        <v>46450</v>
      </c>
      <c r="EK148" s="8">
        <f t="shared" ca="1" si="497"/>
        <v>305</v>
      </c>
      <c r="EL148" s="5" t="str">
        <f t="shared" ca="1" si="498"/>
        <v>VIGENTE</v>
      </c>
      <c r="EM148" s="3"/>
      <c r="EN148" s="4">
        <v>45671</v>
      </c>
      <c r="EO148" s="4">
        <f>DATE(YEAR(EN148)+2,MONTH(EN148),DAY(EN148)-1)</f>
        <v>46400</v>
      </c>
      <c r="EP148" s="8">
        <f t="shared" ca="1" si="499"/>
        <v>255</v>
      </c>
      <c r="EQ148" s="5" t="str">
        <f t="shared" ca="1" si="500"/>
        <v>VIGENTE</v>
      </c>
      <c r="ER148" s="3"/>
      <c r="ES148" s="39">
        <v>45735</v>
      </c>
      <c r="ET148" s="4">
        <f>DATE(YEAR(ES148)+2,MONTH(ES148),DAY(ES148)-1)</f>
        <v>46464</v>
      </c>
      <c r="EU148" s="8">
        <f t="shared" ca="1" si="501"/>
        <v>319</v>
      </c>
      <c r="EV148" s="5" t="str">
        <f t="shared" ca="1" si="502"/>
        <v>VIGENTE</v>
      </c>
      <c r="EW148" s="3"/>
      <c r="EX148" s="4">
        <v>45953</v>
      </c>
      <c r="EY148" s="4">
        <f t="shared" si="575"/>
        <v>46683</v>
      </c>
      <c r="EZ148" s="8">
        <f t="shared" ca="1" si="503"/>
        <v>538</v>
      </c>
      <c r="FA148" s="5" t="str">
        <f t="shared" ca="1" si="504"/>
        <v>VIGENTE</v>
      </c>
      <c r="FB148" s="3"/>
      <c r="FC148" s="4">
        <v>46017</v>
      </c>
      <c r="FD148" s="4">
        <f t="shared" si="576"/>
        <v>46747</v>
      </c>
      <c r="FE148" s="8">
        <f t="shared" ca="1" si="505"/>
        <v>602</v>
      </c>
      <c r="FF148" s="5" t="str">
        <f t="shared" ca="1" si="506"/>
        <v>VIGENTE</v>
      </c>
      <c r="FG148" s="3"/>
      <c r="FH148" s="4">
        <v>45969</v>
      </c>
      <c r="FI148" s="4">
        <f t="shared" si="577"/>
        <v>46699</v>
      </c>
      <c r="FJ148" s="8">
        <f t="shared" ca="1" si="507"/>
        <v>554</v>
      </c>
      <c r="FK148" s="5" t="str">
        <f t="shared" ca="1" si="508"/>
        <v>VIGENTE</v>
      </c>
      <c r="FL148" s="3"/>
      <c r="FM148" s="39">
        <v>45670</v>
      </c>
      <c r="FN148" s="4">
        <f>DATE(YEAR(FM148)+2,MONTH(FM148),DAY(FM148)-1)</f>
        <v>46399</v>
      </c>
      <c r="FO148" s="8">
        <f t="shared" ca="1" si="509"/>
        <v>254</v>
      </c>
      <c r="FP148" s="5" t="str">
        <f t="shared" ca="1" si="510"/>
        <v>VIGENTE</v>
      </c>
      <c r="FQ148" s="3"/>
      <c r="FR148" s="39">
        <v>45724</v>
      </c>
      <c r="FS148" s="4">
        <f>DATE(YEAR(FR148)+2,MONTH(FR148),DAY(FR148)-1)</f>
        <v>46453</v>
      </c>
      <c r="FT148" s="8">
        <f t="shared" ca="1" si="511"/>
        <v>308</v>
      </c>
      <c r="FU148" s="5" t="str">
        <f t="shared" ca="1" si="512"/>
        <v>VIGENTE</v>
      </c>
      <c r="FV148" s="4"/>
      <c r="FW148" s="4">
        <v>45616</v>
      </c>
      <c r="FX148" s="4">
        <f>DATE(YEAR(FW148)+2,MONTH(FW148),DAY(FW148)-1)</f>
        <v>46345</v>
      </c>
      <c r="FY148" s="8">
        <f t="shared" ca="1" si="513"/>
        <v>200</v>
      </c>
      <c r="FZ148" s="5" t="str">
        <f t="shared" ca="1" si="514"/>
        <v>VIGENTE</v>
      </c>
      <c r="GA148" s="3"/>
      <c r="GB148" s="4">
        <v>45667</v>
      </c>
      <c r="GC148" s="4">
        <f>DATE(YEAR(GB148)+2,MONTH(GB148),DAY(GB148)-1)</f>
        <v>46396</v>
      </c>
      <c r="GD148" s="8">
        <f t="shared" ca="1" si="515"/>
        <v>251</v>
      </c>
      <c r="GE148" s="5" t="str">
        <f t="shared" ca="1" si="516"/>
        <v>VIGENTE</v>
      </c>
      <c r="GF148" s="3"/>
      <c r="GG148" s="4">
        <v>45672</v>
      </c>
      <c r="GH148" s="4">
        <f>DATE(YEAR(GG148)+2,MONTH(GG148),DAY(GG148)-1)</f>
        <v>46401</v>
      </c>
      <c r="GI148" s="8">
        <f t="shared" ca="1" si="517"/>
        <v>256</v>
      </c>
      <c r="GJ148" s="5" t="str">
        <f t="shared" ca="1" si="518"/>
        <v>VIGENTE</v>
      </c>
      <c r="GK148" s="3"/>
      <c r="GL148" s="4">
        <v>45958</v>
      </c>
      <c r="GM148" s="4">
        <f t="shared" si="571"/>
        <v>46688</v>
      </c>
      <c r="GN148" s="8">
        <f t="shared" ca="1" si="519"/>
        <v>543</v>
      </c>
      <c r="GO148" s="5" t="str">
        <f t="shared" ca="1" si="520"/>
        <v>VIGENTE</v>
      </c>
      <c r="GP148" s="4"/>
      <c r="GQ148" s="4">
        <v>44952</v>
      </c>
      <c r="GR148" s="4">
        <f t="shared" si="521"/>
        <v>46778</v>
      </c>
      <c r="GS148" s="8">
        <f t="shared" ca="1" si="405"/>
        <v>633</v>
      </c>
      <c r="GT148" s="5" t="str">
        <f t="shared" ca="1" si="419"/>
        <v>VIGENTE</v>
      </c>
      <c r="GU148" s="3"/>
      <c r="GV148" s="4">
        <v>44979</v>
      </c>
      <c r="GW148" s="4">
        <f t="shared" si="522"/>
        <v>46805</v>
      </c>
      <c r="GX148" s="8">
        <f t="shared" ca="1" si="523"/>
        <v>660</v>
      </c>
      <c r="GY148" s="5" t="str">
        <f t="shared" ca="1" si="426"/>
        <v>VIGENTE</v>
      </c>
      <c r="GZ148" s="3"/>
      <c r="HA148" s="4">
        <v>45499</v>
      </c>
      <c r="HB148" s="4">
        <f t="shared" si="524"/>
        <v>47325</v>
      </c>
      <c r="HC148" s="8">
        <f t="shared" ca="1" si="525"/>
        <v>1180</v>
      </c>
      <c r="HD148" s="5" t="str">
        <f t="shared" ca="1" si="421"/>
        <v>VIGENTE</v>
      </c>
      <c r="HE148" s="6"/>
      <c r="HF148" s="4">
        <v>44879</v>
      </c>
      <c r="HG148" s="4">
        <f t="shared" si="580"/>
        <v>46705</v>
      </c>
      <c r="HH148" s="8">
        <f t="shared" ca="1" si="581"/>
        <v>560</v>
      </c>
      <c r="HI148" s="5" t="str">
        <f t="shared" ca="1" si="427"/>
        <v>VIGENTE</v>
      </c>
      <c r="HJ148" s="2"/>
      <c r="HK148" s="6"/>
      <c r="HL148" s="4"/>
      <c r="HM148" s="8"/>
      <c r="HN148" s="5" t="str">
        <f t="shared" si="444"/>
        <v>NO APLICA</v>
      </c>
      <c r="HO148" s="2"/>
      <c r="HP148" s="2"/>
      <c r="HQ148" s="4"/>
      <c r="HR148" s="2"/>
      <c r="HS148" s="5" t="str">
        <f t="shared" si="526"/>
        <v>NO APLICA</v>
      </c>
      <c r="HT148" s="2"/>
      <c r="HU148" s="4">
        <v>44923</v>
      </c>
      <c r="HV148" s="4">
        <f>DATE(YEAR(HU148)+5,MONTH(HU148),DAY(HU148))</f>
        <v>46749</v>
      </c>
      <c r="HW148" s="8">
        <f ca="1">HV148-TODAY()</f>
        <v>604</v>
      </c>
      <c r="HX148" s="5" t="str">
        <f t="shared" ca="1" si="527"/>
        <v>VIGENTE</v>
      </c>
      <c r="HY148" s="2"/>
      <c r="HZ148" s="4">
        <v>44928</v>
      </c>
      <c r="IA148" s="4">
        <f>DATE(YEAR(HZ148)+5,MONTH(HZ148),DAY(HZ148))</f>
        <v>46754</v>
      </c>
      <c r="IB148" s="8">
        <f ca="1">IA148-TODAY()</f>
        <v>609</v>
      </c>
      <c r="IC148" s="5" t="str">
        <f t="shared" ca="1" si="528"/>
        <v>VIGENTE</v>
      </c>
      <c r="ID148" s="2"/>
      <c r="IE148" s="4">
        <v>44922</v>
      </c>
      <c r="IF148" s="4">
        <f>DATE(YEAR(IE148)+5,MONTH(IE148),DAY(IE148))</f>
        <v>46748</v>
      </c>
      <c r="IG148" s="8">
        <f ca="1">IF148-TODAY()</f>
        <v>603</v>
      </c>
      <c r="IH148" s="5" t="str">
        <f t="shared" ca="1" si="529"/>
        <v>VIGENTE</v>
      </c>
      <c r="II148" s="6"/>
      <c r="IJ148" s="4">
        <v>45058</v>
      </c>
      <c r="IK148" s="4">
        <f>DATE(YEAR(IJ148)+5,MONTH(IJ148),DAY(IJ148))</f>
        <v>46885</v>
      </c>
      <c r="IL148" s="8">
        <f ca="1">IK148-TODAY()</f>
        <v>740</v>
      </c>
      <c r="IM148" s="5" t="str">
        <f t="shared" ca="1" si="530"/>
        <v>VIGENTE</v>
      </c>
      <c r="IN148" s="2"/>
      <c r="IO148" s="4">
        <v>45064</v>
      </c>
      <c r="IP148" s="4">
        <f>DATE(YEAR(IO148)+5,MONTH(IO148),DAY(IO148))</f>
        <v>46891</v>
      </c>
      <c r="IQ148" s="8">
        <f ca="1">IP148-TODAY()</f>
        <v>746</v>
      </c>
      <c r="IR148" s="5" t="str">
        <f t="shared" ca="1" si="531"/>
        <v>VIGENTE</v>
      </c>
      <c r="IS148" s="2"/>
      <c r="IT148" s="4">
        <v>45062</v>
      </c>
      <c r="IU148" s="4">
        <f>DATE(YEAR(IT148)+5,MONTH(IT148),DAY(IT148))</f>
        <v>46889</v>
      </c>
      <c r="IV148" s="8">
        <f ca="1">IU148-TODAY()</f>
        <v>744</v>
      </c>
      <c r="IW148" s="5" t="str">
        <f t="shared" ca="1" si="532"/>
        <v>VIGENTE</v>
      </c>
      <c r="IX148" s="2"/>
      <c r="IY148" s="4">
        <v>44916</v>
      </c>
      <c r="IZ148" s="4">
        <f>DATE(YEAR(IY148)+5,MONTH(IY148),DAY(IY148))</f>
        <v>46742</v>
      </c>
      <c r="JA148" s="8">
        <f ca="1">IZ148-TODAY()</f>
        <v>597</v>
      </c>
      <c r="JB148" s="5" t="str">
        <f t="shared" ca="1" si="533"/>
        <v>VIGENTE</v>
      </c>
      <c r="JC148" s="3" t="s">
        <v>780</v>
      </c>
      <c r="JD148" s="3"/>
      <c r="JE148" s="4"/>
      <c r="JF148" s="8"/>
      <c r="JG148" s="5"/>
      <c r="JH148" s="3" t="s">
        <v>780</v>
      </c>
      <c r="JI148" s="6"/>
      <c r="JJ148" s="6"/>
      <c r="JK148" s="6"/>
      <c r="JL148" s="5"/>
      <c r="JM148" s="6" t="s">
        <v>780</v>
      </c>
      <c r="JN148" s="6"/>
      <c r="JO148" s="6"/>
      <c r="JP148" s="6"/>
      <c r="JQ148" s="5"/>
      <c r="JR148" s="6" t="s">
        <v>780</v>
      </c>
      <c r="JS148" s="6"/>
      <c r="JT148" s="6"/>
      <c r="JU148" s="6"/>
      <c r="JV148" s="5"/>
      <c r="JW148" s="6" t="s">
        <v>780</v>
      </c>
      <c r="JX148" s="5"/>
      <c r="JY148" s="5"/>
      <c r="JZ148" s="5"/>
      <c r="KA148" s="5"/>
      <c r="KB148" s="5"/>
      <c r="KC148" s="2"/>
      <c r="KD148" s="4"/>
      <c r="KE148" s="8"/>
      <c r="KF148" s="5" t="str">
        <f t="shared" si="534"/>
        <v>NO APLICA</v>
      </c>
      <c r="KG148" s="5"/>
      <c r="KH148" s="2"/>
      <c r="KI148" s="4"/>
      <c r="KJ148" s="8"/>
      <c r="KK148" s="5" t="str">
        <f t="shared" si="559"/>
        <v>NO APLICA</v>
      </c>
      <c r="KL148" s="5"/>
      <c r="KM148" s="2"/>
      <c r="KN148" s="4"/>
      <c r="KO148" s="8"/>
      <c r="KP148" s="5" t="str">
        <f t="shared" si="535"/>
        <v>NO APLICA</v>
      </c>
      <c r="KQ148" s="5"/>
      <c r="KR148" s="2"/>
      <c r="KS148" s="4"/>
      <c r="KT148" s="8"/>
      <c r="KU148" s="5" t="str">
        <f t="shared" si="560"/>
        <v>NO APLICA</v>
      </c>
      <c r="KV148" s="2"/>
      <c r="KW148" s="6"/>
      <c r="KX148" s="4"/>
      <c r="KY148" s="8"/>
      <c r="KZ148" s="5" t="str">
        <f t="shared" si="565"/>
        <v>NO APLICA</v>
      </c>
      <c r="LA148" s="5"/>
      <c r="LB148" s="6"/>
      <c r="LC148" s="4"/>
      <c r="LD148" s="8"/>
      <c r="LE148" s="5" t="str">
        <f t="shared" si="561"/>
        <v>NO APLICA</v>
      </c>
      <c r="LF148" s="6"/>
      <c r="LG148" s="4"/>
      <c r="LH148" s="4"/>
      <c r="LI148" s="8"/>
      <c r="LJ148" s="5" t="str">
        <f t="shared" si="567"/>
        <v>NO APLICA</v>
      </c>
      <c r="LK148" s="5"/>
      <c r="LL148" s="5"/>
      <c r="LM148" s="5"/>
      <c r="LN148" s="5"/>
      <c r="LO148" s="5" t="str">
        <f t="shared" si="566"/>
        <v>NO APLICA</v>
      </c>
      <c r="LP148" s="2"/>
      <c r="LQ148" s="6"/>
      <c r="LR148" s="4"/>
      <c r="LS148" s="8"/>
      <c r="LT148" s="5" t="str">
        <f t="shared" si="562"/>
        <v>NO APLICA</v>
      </c>
      <c r="LU148" s="6"/>
      <c r="LV148" s="6"/>
      <c r="LW148" s="4"/>
      <c r="LX148" s="8"/>
      <c r="LY148" s="5" t="str">
        <f t="shared" si="563"/>
        <v>NO APLICA</v>
      </c>
      <c r="LZ148" s="6"/>
      <c r="MA148" s="6"/>
      <c r="MB148" s="4"/>
      <c r="MC148" s="8"/>
      <c r="MD148" s="5" t="str">
        <f t="shared" si="564"/>
        <v>NO APLICA</v>
      </c>
      <c r="ME148" s="2"/>
      <c r="MF148" s="2"/>
      <c r="MG148" s="4"/>
      <c r="MH148" s="8"/>
      <c r="MI148" s="5" t="str">
        <f t="shared" si="537"/>
        <v>NO APLICA</v>
      </c>
      <c r="MJ148" s="2"/>
      <c r="MK148" s="2"/>
      <c r="ML148" s="4"/>
      <c r="MM148" s="8"/>
      <c r="MN148" s="5" t="str">
        <f t="shared" si="538"/>
        <v>NO APLICA</v>
      </c>
      <c r="MO148" s="5"/>
      <c r="MP148" s="2"/>
      <c r="MQ148" s="4"/>
      <c r="MR148" s="8"/>
      <c r="MS148" s="5" t="str">
        <f t="shared" si="539"/>
        <v>NO APLICA</v>
      </c>
      <c r="MT148" s="5"/>
      <c r="MU148" s="2"/>
      <c r="MV148" s="4"/>
      <c r="MW148" s="2"/>
      <c r="MX148" s="5" t="str">
        <f t="shared" si="540"/>
        <v>NO APLICA</v>
      </c>
      <c r="MY148" s="2"/>
      <c r="MZ148" s="6"/>
      <c r="NA148" s="4"/>
      <c r="NB148" s="8"/>
      <c r="NC148" s="5" t="str">
        <f t="shared" si="541"/>
        <v>NO APLICA</v>
      </c>
      <c r="ND148" s="2"/>
      <c r="NE148" s="6"/>
      <c r="NF148" s="4"/>
      <c r="NG148" s="8"/>
      <c r="NH148" s="5" t="str">
        <f t="shared" si="542"/>
        <v>NO APLICA</v>
      </c>
      <c r="NI148" s="2"/>
      <c r="NJ148" s="6"/>
      <c r="NK148" s="4"/>
      <c r="NL148" s="8"/>
      <c r="NM148" s="5" t="str">
        <f t="shared" si="543"/>
        <v>NO APLICA</v>
      </c>
      <c r="NN148" s="2"/>
      <c r="NO148" s="2"/>
      <c r="NP148" s="4"/>
      <c r="NQ148" s="2"/>
      <c r="NR148" s="5" t="str">
        <f t="shared" si="544"/>
        <v>NO APLICA</v>
      </c>
      <c r="NS148" s="2"/>
      <c r="NT148" s="2"/>
      <c r="NU148" s="2"/>
      <c r="NV148" s="2"/>
      <c r="NW148" s="5" t="str">
        <f t="shared" si="545"/>
        <v>NO APLICA</v>
      </c>
      <c r="NX148" s="6"/>
      <c r="NY148" s="6"/>
      <c r="NZ148" s="4"/>
      <c r="OA148" s="8"/>
      <c r="OB148" s="5" t="str">
        <f t="shared" si="546"/>
        <v>NO APLICA</v>
      </c>
      <c r="OC148" s="6"/>
      <c r="OD148" s="6"/>
      <c r="OE148" s="6"/>
      <c r="OF148" s="6"/>
      <c r="OG148" s="5" t="str">
        <f t="shared" si="547"/>
        <v>NO APLICA</v>
      </c>
      <c r="OH148" s="6"/>
      <c r="OI148" s="6"/>
      <c r="OJ148" s="4"/>
      <c r="OK148" s="8"/>
      <c r="OL148" s="5" t="str">
        <f t="shared" si="548"/>
        <v>NO APLICA</v>
      </c>
      <c r="OM148" s="6"/>
      <c r="ON148" s="6"/>
      <c r="OO148" s="6"/>
      <c r="OP148" s="6"/>
      <c r="OQ148" s="5" t="str">
        <f t="shared" si="549"/>
        <v>NO APLICA</v>
      </c>
      <c r="OR148" s="6"/>
      <c r="OS148" s="6"/>
      <c r="OT148" s="6"/>
      <c r="OU148" s="6"/>
      <c r="OV148" s="5" t="str">
        <f t="shared" si="550"/>
        <v>NO APLICA</v>
      </c>
      <c r="OW148" s="6"/>
      <c r="OX148" s="6"/>
      <c r="OY148" s="6"/>
      <c r="OZ148" s="6"/>
      <c r="PA148" s="5" t="str">
        <f t="shared" si="551"/>
        <v>NO APLICA</v>
      </c>
      <c r="PB148" s="6"/>
      <c r="PC148" s="6"/>
      <c r="PD148" s="6"/>
      <c r="PE148" s="6"/>
      <c r="PF148" s="5" t="str">
        <f t="shared" si="552"/>
        <v>NO APLICA</v>
      </c>
      <c r="PG148" s="6"/>
      <c r="PH148" s="6"/>
      <c r="PI148" s="6"/>
      <c r="PJ148" s="6"/>
      <c r="PK148" s="5" t="str">
        <f t="shared" si="553"/>
        <v>NO APLICA</v>
      </c>
      <c r="PL148" s="5"/>
      <c r="PM148" s="6"/>
      <c r="PN148" s="4"/>
      <c r="PO148" s="8"/>
      <c r="PP148" s="5" t="str">
        <f t="shared" si="554"/>
        <v>NO APLICA</v>
      </c>
      <c r="PQ148" s="6"/>
      <c r="PR148" s="6"/>
      <c r="PS148" s="6"/>
      <c r="PT148" s="6"/>
      <c r="PU148" s="5" t="str">
        <f t="shared" si="555"/>
        <v>NO APLICA</v>
      </c>
      <c r="PV148" s="5"/>
      <c r="PW148" s="6"/>
      <c r="PX148" s="6"/>
      <c r="PY148" s="6"/>
      <c r="PZ148" s="5" t="str">
        <f t="shared" si="556"/>
        <v>NO APLICA</v>
      </c>
    </row>
    <row r="149" spans="1:442" ht="15.6" hidden="1" thickTop="1" thickBot="1" x14ac:dyDescent="0.35">
      <c r="A149" s="26">
        <v>146</v>
      </c>
      <c r="B149" s="27">
        <v>1135</v>
      </c>
      <c r="C149" s="28" t="s">
        <v>480</v>
      </c>
      <c r="D149" s="29" t="s">
        <v>68</v>
      </c>
      <c r="E149" s="30" t="s">
        <v>164</v>
      </c>
      <c r="F149" s="5"/>
      <c r="G149" s="6"/>
      <c r="H149" s="4"/>
      <c r="I149" s="8"/>
      <c r="J149" s="5" t="str">
        <f t="shared" si="455"/>
        <v>NO APLICA</v>
      </c>
      <c r="K149" s="2"/>
      <c r="L149" s="6"/>
      <c r="M149" s="6"/>
      <c r="N149" s="8"/>
      <c r="O149" s="5" t="str">
        <f t="shared" si="456"/>
        <v>NO APLICA</v>
      </c>
      <c r="P149" s="6"/>
      <c r="Q149" s="6"/>
      <c r="R149" s="4"/>
      <c r="S149" s="8"/>
      <c r="T149" s="5" t="str">
        <f t="shared" si="557"/>
        <v>NO APLICA</v>
      </c>
      <c r="U149" s="5"/>
      <c r="V149" s="2" t="s">
        <v>481</v>
      </c>
      <c r="W149" s="4">
        <v>44801</v>
      </c>
      <c r="X149" s="4">
        <f t="shared" si="410"/>
        <v>46627</v>
      </c>
      <c r="Y149" s="8">
        <f t="shared" ca="1" si="411"/>
        <v>482</v>
      </c>
      <c r="Z149" s="5" t="str">
        <f t="shared" ca="1" si="412"/>
        <v>VIGENTE</v>
      </c>
      <c r="AA149" s="5"/>
      <c r="AB149" s="2" t="s">
        <v>482</v>
      </c>
      <c r="AC149" s="4">
        <v>44831</v>
      </c>
      <c r="AD149" s="4">
        <f t="shared" si="578"/>
        <v>46657</v>
      </c>
      <c r="AE149" s="8">
        <f t="shared" ca="1" si="579"/>
        <v>512</v>
      </c>
      <c r="AF149" s="5" t="str">
        <f t="shared" ca="1" si="457"/>
        <v>VIGENTE</v>
      </c>
      <c r="AG149" s="3"/>
      <c r="AH149" s="4">
        <v>45594</v>
      </c>
      <c r="AI149" s="4">
        <f>DATE(YEAR(AH149)+2,MONTH(AH149),DAY(AH149)-1)</f>
        <v>46323</v>
      </c>
      <c r="AJ149" s="8">
        <f t="shared" ca="1" si="458"/>
        <v>178</v>
      </c>
      <c r="AK149" s="5" t="str">
        <f t="shared" ca="1" si="408"/>
        <v>VIGENTE</v>
      </c>
      <c r="AL149" s="3"/>
      <c r="AM149" s="4">
        <v>45937</v>
      </c>
      <c r="AN149" s="4">
        <f t="shared" si="572"/>
        <v>46667</v>
      </c>
      <c r="AO149" s="8">
        <f t="shared" ca="1" si="459"/>
        <v>522</v>
      </c>
      <c r="AP149" s="5" t="str">
        <f t="shared" ca="1" si="460"/>
        <v>VIGENTE</v>
      </c>
      <c r="AQ149" s="3"/>
      <c r="AR149" s="4">
        <v>45967</v>
      </c>
      <c r="AS149" s="4">
        <f t="shared" si="568"/>
        <v>46697</v>
      </c>
      <c r="AT149" s="8">
        <f t="shared" ca="1" si="461"/>
        <v>552</v>
      </c>
      <c r="AU149" s="5" t="str">
        <f t="shared" ca="1" si="462"/>
        <v>VIGENTE</v>
      </c>
      <c r="AV149" s="3"/>
      <c r="AW149" s="4">
        <v>45952</v>
      </c>
      <c r="AX149" s="4">
        <f t="shared" si="569"/>
        <v>46682</v>
      </c>
      <c r="AY149" s="8">
        <f t="shared" ca="1" si="463"/>
        <v>537</v>
      </c>
      <c r="AZ149" s="5" t="str">
        <f t="shared" ca="1" si="464"/>
        <v>VIGENTE</v>
      </c>
      <c r="BA149" s="3"/>
      <c r="BB149" s="4">
        <v>46071</v>
      </c>
      <c r="BC149" s="4">
        <f>DATE(YEAR(BB149)+2,MONTH(BB149),DAY(BB149))</f>
        <v>46801</v>
      </c>
      <c r="BD149" s="8">
        <f t="shared" ca="1" si="465"/>
        <v>656</v>
      </c>
      <c r="BE149" s="5" t="str">
        <f t="shared" ca="1" si="466"/>
        <v>VIGENTE</v>
      </c>
      <c r="BF149" s="3"/>
      <c r="BG149" s="4">
        <v>45968</v>
      </c>
      <c r="BH149" s="4">
        <f>DATE(YEAR(BG149)+2,MONTH(BG149),DAY(BG149))</f>
        <v>46698</v>
      </c>
      <c r="BI149" s="8">
        <f t="shared" ca="1" si="467"/>
        <v>553</v>
      </c>
      <c r="BJ149" s="5" t="str">
        <f t="shared" ca="1" si="468"/>
        <v>VIGENTE</v>
      </c>
      <c r="BK149" s="3"/>
      <c r="BL149" s="4">
        <v>46090</v>
      </c>
      <c r="BM149" s="4">
        <f>DATE(YEAR(BL149)+2,MONTH(BL149),DAY(BL149))</f>
        <v>46821</v>
      </c>
      <c r="BN149" s="8">
        <f t="shared" ca="1" si="469"/>
        <v>676</v>
      </c>
      <c r="BO149" s="5" t="str">
        <f t="shared" ca="1" si="470"/>
        <v>VIGENTE</v>
      </c>
      <c r="BP149" s="3"/>
      <c r="BQ149" s="39">
        <v>46069</v>
      </c>
      <c r="BR149" s="4">
        <f t="shared" si="570"/>
        <v>46799</v>
      </c>
      <c r="BS149" s="8">
        <f t="shared" ca="1" si="471"/>
        <v>654</v>
      </c>
      <c r="BT149" s="5" t="str">
        <f t="shared" ca="1" si="472"/>
        <v>VIGENTE</v>
      </c>
      <c r="BU149" s="3"/>
      <c r="BV149" s="4">
        <v>45950</v>
      </c>
      <c r="BW149" s="4">
        <f>DATE(YEAR(BV149)+2,MONTH(BV149),DAY(BV149))</f>
        <v>46680</v>
      </c>
      <c r="BX149" s="8">
        <f t="shared" ca="1" si="473"/>
        <v>535</v>
      </c>
      <c r="BY149" s="5" t="str">
        <f t="shared" ca="1" si="474"/>
        <v>VIGENTE</v>
      </c>
      <c r="BZ149" s="3"/>
      <c r="CA149" s="4">
        <v>45954</v>
      </c>
      <c r="CB149" s="4">
        <f t="shared" si="574"/>
        <v>46684</v>
      </c>
      <c r="CC149" s="8">
        <f t="shared" ca="1" si="475"/>
        <v>539</v>
      </c>
      <c r="CD149" s="5" t="str">
        <f t="shared" ca="1" si="476"/>
        <v>VIGENTE</v>
      </c>
      <c r="CE149" s="6"/>
      <c r="CF149" s="4">
        <v>45227</v>
      </c>
      <c r="CG149" s="4">
        <f t="shared" si="416"/>
        <v>46688</v>
      </c>
      <c r="CH149" s="8">
        <f t="shared" ca="1" si="417"/>
        <v>543</v>
      </c>
      <c r="CI149" s="5" t="str">
        <f t="shared" ca="1" si="573"/>
        <v>VIGENTE</v>
      </c>
      <c r="CJ149" s="4"/>
      <c r="CK149" s="4">
        <v>45526</v>
      </c>
      <c r="CL149" s="4">
        <f>DATE(YEAR(CK149)+2,MONTH(CK149),DAY(CK149)-1)</f>
        <v>46255</v>
      </c>
      <c r="CM149" s="8">
        <f t="shared" ca="1" si="477"/>
        <v>110</v>
      </c>
      <c r="CN149" s="5" t="str">
        <f t="shared" ca="1" si="478"/>
        <v>VIGENTE</v>
      </c>
      <c r="CO149" s="3"/>
      <c r="CP149" s="39">
        <v>45513</v>
      </c>
      <c r="CQ149" s="4">
        <f>DATE(YEAR(CP149)+2,MONTH(CP149),DAY(CP149)-1)</f>
        <v>46242</v>
      </c>
      <c r="CR149" s="8">
        <f t="shared" ca="1" si="479"/>
        <v>97</v>
      </c>
      <c r="CS149" s="5" t="str">
        <f t="shared" ca="1" si="480"/>
        <v>VIGENTE</v>
      </c>
      <c r="CT149" s="3"/>
      <c r="CU149" s="4">
        <v>45639</v>
      </c>
      <c r="CV149" s="4">
        <f>DATE(YEAR(CU149)+2,MONTH(CU149),DAY(CU149)-1)</f>
        <v>46368</v>
      </c>
      <c r="CW149" s="8">
        <f t="shared" ca="1" si="481"/>
        <v>223</v>
      </c>
      <c r="CX149" s="5" t="str">
        <f t="shared" ca="1" si="482"/>
        <v>VIGENTE</v>
      </c>
      <c r="CY149" s="3"/>
      <c r="CZ149" s="4">
        <v>45665</v>
      </c>
      <c r="DA149" s="4">
        <f>DATE(YEAR(CZ149)+2,MONTH(CZ149),DAY(CZ149)-1)</f>
        <v>46394</v>
      </c>
      <c r="DB149" s="8">
        <f t="shared" ca="1" si="483"/>
        <v>249</v>
      </c>
      <c r="DC149" s="5" t="str">
        <f t="shared" ca="1" si="484"/>
        <v>VIGENTE</v>
      </c>
      <c r="DD149" s="3"/>
      <c r="DE149" s="39">
        <v>45689</v>
      </c>
      <c r="DF149" s="4">
        <f>DATE(YEAR(DE149)+2,MONTH(DE149),DAY(DE149)-1)</f>
        <v>46418</v>
      </c>
      <c r="DG149" s="8">
        <f t="shared" ca="1" si="485"/>
        <v>273</v>
      </c>
      <c r="DH149" s="5" t="str">
        <f t="shared" ca="1" si="486"/>
        <v>VIGENTE</v>
      </c>
      <c r="DI149" s="3"/>
      <c r="DJ149" s="39">
        <v>45955</v>
      </c>
      <c r="DK149" s="4">
        <f>DATE(YEAR(DJ149)+2,MONTH(DJ149),DAY(DJ149))</f>
        <v>46685</v>
      </c>
      <c r="DL149" s="8">
        <f t="shared" ca="1" si="487"/>
        <v>540</v>
      </c>
      <c r="DM149" s="5" t="str">
        <f t="shared" ca="1" si="488"/>
        <v>VIGENTE</v>
      </c>
      <c r="DN149" s="3"/>
      <c r="DO149" s="4">
        <v>46008</v>
      </c>
      <c r="DP149" s="4">
        <f>DATE(YEAR(DO149)+2,MONTH(DO149),DAY(DO149))</f>
        <v>46738</v>
      </c>
      <c r="DQ149" s="8">
        <f t="shared" ca="1" si="489"/>
        <v>593</v>
      </c>
      <c r="DR149" s="5" t="str">
        <f t="shared" ca="1" si="490"/>
        <v>VIGENTE</v>
      </c>
      <c r="DS149" s="3"/>
      <c r="DT149" s="4">
        <v>46072</v>
      </c>
      <c r="DU149" s="4">
        <f>DATE(YEAR(DT149)+2,MONTH(DT149),DAY(DT149))</f>
        <v>46802</v>
      </c>
      <c r="DV149" s="8">
        <f t="shared" ca="1" si="491"/>
        <v>657</v>
      </c>
      <c r="DW149" s="5" t="str">
        <f t="shared" ca="1" si="492"/>
        <v>VIGENTE</v>
      </c>
      <c r="DX149" s="3"/>
      <c r="DY149" s="4">
        <v>46099</v>
      </c>
      <c r="DZ149" s="4">
        <f>DATE(YEAR(DY149)+2,MONTH(DY149),DAY(DY149))</f>
        <v>46830</v>
      </c>
      <c r="EA149" s="8">
        <f t="shared" ca="1" si="493"/>
        <v>685</v>
      </c>
      <c r="EB149" s="5" t="str">
        <f t="shared" ca="1" si="494"/>
        <v>VIGENTE</v>
      </c>
      <c r="EC149" s="3"/>
      <c r="ED149" s="39">
        <v>45994</v>
      </c>
      <c r="EE149" s="4">
        <f>DATE(YEAR(ED149)+2,MONTH(ED149),DAY(ED149))</f>
        <v>46724</v>
      </c>
      <c r="EF149" s="8">
        <f t="shared" ca="1" si="495"/>
        <v>579</v>
      </c>
      <c r="EG149" s="5" t="str">
        <f t="shared" ca="1" si="496"/>
        <v>VIGENTE</v>
      </c>
      <c r="EH149" s="3"/>
      <c r="EI149" s="3">
        <v>46015</v>
      </c>
      <c r="EJ149" s="4">
        <f t="shared" si="558"/>
        <v>46380</v>
      </c>
      <c r="EK149" s="8">
        <f t="shared" ca="1" si="497"/>
        <v>235</v>
      </c>
      <c r="EL149" s="5" t="str">
        <f t="shared" ca="1" si="498"/>
        <v>VIGENTE</v>
      </c>
      <c r="EM149" s="3"/>
      <c r="EN149" s="4">
        <v>46100</v>
      </c>
      <c r="EO149" s="4">
        <f>DATE(YEAR(EN149)+2,MONTH(EN149),DAY(EN149))</f>
        <v>46831</v>
      </c>
      <c r="EP149" s="8">
        <f t="shared" ca="1" si="499"/>
        <v>686</v>
      </c>
      <c r="EQ149" s="5" t="str">
        <f t="shared" ca="1" si="500"/>
        <v>VIGENTE</v>
      </c>
      <c r="ER149" s="3"/>
      <c r="ES149" s="39">
        <v>46094</v>
      </c>
      <c r="ET149" s="4">
        <f>DATE(YEAR(ES149)+2,MONTH(ES149),DAY(ES149))</f>
        <v>46825</v>
      </c>
      <c r="EU149" s="8">
        <f t="shared" ca="1" si="501"/>
        <v>680</v>
      </c>
      <c r="EV149" s="5" t="str">
        <f t="shared" ca="1" si="502"/>
        <v>VIGENTE</v>
      </c>
      <c r="EW149" s="3"/>
      <c r="EX149" s="4">
        <v>45953</v>
      </c>
      <c r="EY149" s="4">
        <f t="shared" si="575"/>
        <v>46683</v>
      </c>
      <c r="EZ149" s="8">
        <f t="shared" ca="1" si="503"/>
        <v>538</v>
      </c>
      <c r="FA149" s="5" t="str">
        <f t="shared" ca="1" si="504"/>
        <v>VIGENTE</v>
      </c>
      <c r="FB149" s="3"/>
      <c r="FC149" s="4">
        <v>45951</v>
      </c>
      <c r="FD149" s="4">
        <f t="shared" si="576"/>
        <v>46681</v>
      </c>
      <c r="FE149" s="8">
        <f t="shared" ca="1" si="505"/>
        <v>536</v>
      </c>
      <c r="FF149" s="5" t="str">
        <f t="shared" ca="1" si="506"/>
        <v>VIGENTE</v>
      </c>
      <c r="FG149" s="3"/>
      <c r="FH149" s="4">
        <v>45992</v>
      </c>
      <c r="FI149" s="4">
        <f t="shared" si="577"/>
        <v>46722</v>
      </c>
      <c r="FJ149" s="8">
        <f t="shared" ca="1" si="507"/>
        <v>577</v>
      </c>
      <c r="FK149" s="5" t="str">
        <f t="shared" ca="1" si="508"/>
        <v>VIGENTE</v>
      </c>
      <c r="FL149" s="3"/>
      <c r="FM149" s="39">
        <v>46039</v>
      </c>
      <c r="FN149" s="4">
        <f>DATE(YEAR(FM149)+2,MONTH(FM149),DAY(FM149))</f>
        <v>46769</v>
      </c>
      <c r="FO149" s="8">
        <f t="shared" ca="1" si="509"/>
        <v>624</v>
      </c>
      <c r="FP149" s="5" t="str">
        <f t="shared" ca="1" si="510"/>
        <v>VIGENTE</v>
      </c>
      <c r="FQ149" s="3"/>
      <c r="FR149" s="39">
        <v>46077</v>
      </c>
      <c r="FS149" s="4">
        <f>DATE(YEAR(FR149)+2,MONTH(FR149),DAY(FR149))</f>
        <v>46807</v>
      </c>
      <c r="FT149" s="8">
        <f t="shared" ca="1" si="511"/>
        <v>662</v>
      </c>
      <c r="FU149" s="5" t="str">
        <f t="shared" ca="1" si="512"/>
        <v>VIGENTE</v>
      </c>
      <c r="FV149" s="3"/>
      <c r="FW149" s="4">
        <v>45541</v>
      </c>
      <c r="FX149" s="4">
        <f>DATE(YEAR(FW149)+2,MONTH(FW149),DAY(FW149)-1)</f>
        <v>46270</v>
      </c>
      <c r="FY149" s="8">
        <f t="shared" ca="1" si="513"/>
        <v>125</v>
      </c>
      <c r="FZ149" s="5" t="str">
        <f t="shared" ca="1" si="514"/>
        <v>VIGENTE</v>
      </c>
      <c r="GA149" s="3"/>
      <c r="GB149" s="4">
        <v>46030</v>
      </c>
      <c r="GC149" s="4">
        <f>DATE(YEAR(GB149)+2,MONTH(GB149),DAY(GB149))</f>
        <v>46760</v>
      </c>
      <c r="GD149" s="8">
        <f t="shared" ca="1" si="515"/>
        <v>615</v>
      </c>
      <c r="GE149" s="5" t="str">
        <f t="shared" ca="1" si="516"/>
        <v>VIGENTE</v>
      </c>
      <c r="GF149" s="3"/>
      <c r="GG149" s="4">
        <v>45849</v>
      </c>
      <c r="GH149" s="4">
        <f>DATE(YEAR(GG149)+2,MONTH(GG149),DAY(GG149))</f>
        <v>46579</v>
      </c>
      <c r="GI149" s="8">
        <f t="shared" ca="1" si="517"/>
        <v>434</v>
      </c>
      <c r="GJ149" s="5" t="str">
        <f t="shared" ca="1" si="518"/>
        <v>VIGENTE</v>
      </c>
      <c r="GK149" s="3"/>
      <c r="GL149" s="4">
        <v>45945</v>
      </c>
      <c r="GM149" s="4">
        <f t="shared" si="571"/>
        <v>46675</v>
      </c>
      <c r="GN149" s="8">
        <f t="shared" ca="1" si="519"/>
        <v>530</v>
      </c>
      <c r="GO149" s="5" t="str">
        <f t="shared" ca="1" si="520"/>
        <v>VIGENTE</v>
      </c>
      <c r="GP149" s="4"/>
      <c r="GQ149" s="4">
        <v>45421</v>
      </c>
      <c r="GR149" s="4">
        <f t="shared" si="521"/>
        <v>47247</v>
      </c>
      <c r="GS149" s="8">
        <f t="shared" ca="1" si="405"/>
        <v>1102</v>
      </c>
      <c r="GT149" s="5" t="str">
        <f t="shared" ca="1" si="419"/>
        <v>VIGENTE</v>
      </c>
      <c r="GU149" s="3"/>
      <c r="GV149" s="4">
        <v>45200</v>
      </c>
      <c r="GW149" s="4">
        <f t="shared" si="522"/>
        <v>47027</v>
      </c>
      <c r="GX149" s="8">
        <f t="shared" ca="1" si="523"/>
        <v>882</v>
      </c>
      <c r="GY149" s="5" t="str">
        <f t="shared" ca="1" si="426"/>
        <v>VIGENTE</v>
      </c>
      <c r="GZ149" s="3"/>
      <c r="HA149" s="4">
        <v>45294</v>
      </c>
      <c r="HB149" s="4">
        <f t="shared" si="524"/>
        <v>47121</v>
      </c>
      <c r="HC149" s="8">
        <f t="shared" ca="1" si="525"/>
        <v>976</v>
      </c>
      <c r="HD149" s="5" t="str">
        <f t="shared" ca="1" si="421"/>
        <v>VIGENTE</v>
      </c>
      <c r="HE149" s="6"/>
      <c r="HF149" s="4">
        <v>45196</v>
      </c>
      <c r="HG149" s="4">
        <f t="shared" si="580"/>
        <v>47023</v>
      </c>
      <c r="HH149" s="8">
        <f t="shared" ca="1" si="581"/>
        <v>878</v>
      </c>
      <c r="HI149" s="5" t="str">
        <f t="shared" ca="1" si="427"/>
        <v>VIGENTE</v>
      </c>
      <c r="HJ149" s="2"/>
      <c r="HK149" s="6"/>
      <c r="HL149" s="4"/>
      <c r="HM149" s="8"/>
      <c r="HN149" s="5" t="str">
        <f t="shared" si="444"/>
        <v>NO APLICA</v>
      </c>
      <c r="HO149" s="2"/>
      <c r="HP149" s="2"/>
      <c r="HQ149" s="4"/>
      <c r="HR149" s="2"/>
      <c r="HS149" s="5" t="str">
        <f t="shared" si="526"/>
        <v>NO APLICA</v>
      </c>
      <c r="HT149" s="3"/>
      <c r="HU149" s="4">
        <v>45420</v>
      </c>
      <c r="HV149" s="4">
        <f>DATE(YEAR(HU149)+5,MONTH(HU149),DAY(HU149))</f>
        <v>47246</v>
      </c>
      <c r="HW149" s="8">
        <f ca="1">HV149-TODAY()</f>
        <v>1101</v>
      </c>
      <c r="HX149" s="5" t="str">
        <f t="shared" ca="1" si="527"/>
        <v>VIGENTE</v>
      </c>
      <c r="HY149" s="3"/>
      <c r="HZ149" s="4">
        <v>45486</v>
      </c>
      <c r="IA149" s="4">
        <f>DATE(YEAR(HZ149)+5,MONTH(HZ149),DAY(HZ149))</f>
        <v>47312</v>
      </c>
      <c r="IB149" s="8">
        <f ca="1">IA149-TODAY()</f>
        <v>1167</v>
      </c>
      <c r="IC149" s="5" t="str">
        <f t="shared" ca="1" si="528"/>
        <v>VIGENTE</v>
      </c>
      <c r="ID149" s="3"/>
      <c r="IE149" s="4">
        <v>45375</v>
      </c>
      <c r="IF149" s="4">
        <f>DATE(YEAR(IE149)+5,MONTH(IE149),DAY(IE149))</f>
        <v>47201</v>
      </c>
      <c r="IG149" s="8">
        <f ca="1">IF149-TODAY()</f>
        <v>1056</v>
      </c>
      <c r="IH149" s="5" t="str">
        <f t="shared" ca="1" si="529"/>
        <v>VIGENTE</v>
      </c>
      <c r="II149" s="4"/>
      <c r="IJ149" s="4">
        <v>45399</v>
      </c>
      <c r="IK149" s="4">
        <f>DATE(YEAR(IJ149)+5,MONTH(IJ149),DAY(IJ149))</f>
        <v>47225</v>
      </c>
      <c r="IL149" s="8">
        <f ca="1">IK149-TODAY()</f>
        <v>1080</v>
      </c>
      <c r="IM149" s="5" t="str">
        <f t="shared" ca="1" si="530"/>
        <v>VIGENTE</v>
      </c>
      <c r="IN149" s="3"/>
      <c r="IO149" s="4">
        <v>45386</v>
      </c>
      <c r="IP149" s="4">
        <f>DATE(YEAR(IO149)+5,MONTH(IO149),DAY(IO149))</f>
        <v>47212</v>
      </c>
      <c r="IQ149" s="8">
        <f ca="1">IP149-TODAY()</f>
        <v>1067</v>
      </c>
      <c r="IR149" s="5" t="str">
        <f t="shared" ca="1" si="531"/>
        <v>VIGENTE</v>
      </c>
      <c r="IS149" s="3"/>
      <c r="IT149" s="4">
        <v>45385</v>
      </c>
      <c r="IU149" s="4">
        <f>DATE(YEAR(IT149)+5,MONTH(IT149),DAY(IT149))</f>
        <v>47211</v>
      </c>
      <c r="IV149" s="8">
        <f ca="1">IU149-TODAY()</f>
        <v>1066</v>
      </c>
      <c r="IW149" s="5" t="str">
        <f t="shared" ca="1" si="532"/>
        <v>VIGENTE</v>
      </c>
      <c r="IX149" s="3"/>
      <c r="IY149" s="4">
        <v>45450</v>
      </c>
      <c r="IZ149" s="4">
        <f>DATE(YEAR(IY149)+5,MONTH(IY149),DAY(IY149))</f>
        <v>47276</v>
      </c>
      <c r="JA149" s="8">
        <f ca="1">IZ149-TODAY()</f>
        <v>1131</v>
      </c>
      <c r="JB149" s="5" t="str">
        <f t="shared" ca="1" si="533"/>
        <v>VIGENTE</v>
      </c>
      <c r="JC149" s="3" t="s">
        <v>780</v>
      </c>
      <c r="JD149" s="3"/>
      <c r="JE149" s="4"/>
      <c r="JF149" s="8"/>
      <c r="JG149" s="5"/>
      <c r="JH149" s="3" t="s">
        <v>780</v>
      </c>
      <c r="JI149" s="6"/>
      <c r="JJ149" s="6"/>
      <c r="JK149" s="6"/>
      <c r="JL149" s="5"/>
      <c r="JM149" s="6" t="s">
        <v>780</v>
      </c>
      <c r="JN149" s="6"/>
      <c r="JO149" s="6"/>
      <c r="JP149" s="6"/>
      <c r="JQ149" s="5"/>
      <c r="JR149" s="6" t="s">
        <v>780</v>
      </c>
      <c r="JS149" s="6"/>
      <c r="JT149" s="6"/>
      <c r="JU149" s="6"/>
      <c r="JV149" s="5"/>
      <c r="JW149" s="6" t="s">
        <v>780</v>
      </c>
      <c r="JX149" s="3"/>
      <c r="JY149" s="4"/>
      <c r="JZ149" s="8"/>
      <c r="KA149" s="5"/>
      <c r="KB149" s="5"/>
      <c r="KC149" s="2"/>
      <c r="KD149" s="4"/>
      <c r="KE149" s="8"/>
      <c r="KF149" s="5" t="str">
        <f t="shared" si="534"/>
        <v>NO APLICA</v>
      </c>
      <c r="KG149" s="5"/>
      <c r="KH149" s="2"/>
      <c r="KI149" s="4"/>
      <c r="KJ149" s="8"/>
      <c r="KK149" s="5" t="str">
        <f t="shared" si="559"/>
        <v>NO APLICA</v>
      </c>
      <c r="KL149" s="5"/>
      <c r="KM149" s="2"/>
      <c r="KN149" s="4"/>
      <c r="KO149" s="8"/>
      <c r="KP149" s="5" t="str">
        <f t="shared" si="535"/>
        <v>NO APLICA</v>
      </c>
      <c r="KQ149" s="5"/>
      <c r="KR149" s="3">
        <v>45346</v>
      </c>
      <c r="KS149" s="4">
        <f>DATE(YEAR(KR149)+5,MONTH(KR149),DAY(KR149))</f>
        <v>47173</v>
      </c>
      <c r="KT149" s="8">
        <f ca="1">KS149-TODAY()</f>
        <v>1028</v>
      </c>
      <c r="KU149" s="5" t="str">
        <f t="shared" ca="1" si="560"/>
        <v>VIGENTE</v>
      </c>
      <c r="KV149" s="3"/>
      <c r="KW149" s="4">
        <v>44651</v>
      </c>
      <c r="KX149" s="4">
        <f>DATE(YEAR(KW149)+5,MONTH(KW149),DAY(KW149))</f>
        <v>46477</v>
      </c>
      <c r="KY149" s="8">
        <f ca="1">KX149-TODAY()</f>
        <v>332</v>
      </c>
      <c r="KZ149" s="5" t="str">
        <f t="shared" ca="1" si="565"/>
        <v>VIGENTE</v>
      </c>
      <c r="LA149" s="5"/>
      <c r="LB149" s="6"/>
      <c r="LC149" s="4"/>
      <c r="LD149" s="8"/>
      <c r="LE149" s="5" t="str">
        <f t="shared" si="561"/>
        <v>NO APLICA</v>
      </c>
      <c r="LF149" s="6"/>
      <c r="LG149" s="4"/>
      <c r="LH149" s="4"/>
      <c r="LI149" s="8"/>
      <c r="LJ149" s="5" t="str">
        <f t="shared" si="567"/>
        <v>NO APLICA</v>
      </c>
      <c r="LK149" s="5"/>
      <c r="LL149" s="5"/>
      <c r="LM149" s="4"/>
      <c r="LN149" s="8"/>
      <c r="LO149" s="5" t="str">
        <f t="shared" si="566"/>
        <v>NO APLICA</v>
      </c>
      <c r="LP149" s="2"/>
      <c r="LQ149" s="6"/>
      <c r="LR149" s="4"/>
      <c r="LS149" s="8"/>
      <c r="LT149" s="5" t="str">
        <f t="shared" si="562"/>
        <v>NO APLICA</v>
      </c>
      <c r="LU149" s="6"/>
      <c r="LV149" s="6"/>
      <c r="LW149" s="4"/>
      <c r="LX149" s="8"/>
      <c r="LY149" s="5" t="str">
        <f t="shared" si="563"/>
        <v>NO APLICA</v>
      </c>
      <c r="LZ149" s="6"/>
      <c r="MA149" s="6"/>
      <c r="MB149" s="4"/>
      <c r="MC149" s="8"/>
      <c r="MD149" s="5" t="str">
        <f t="shared" si="564"/>
        <v>NO APLICA</v>
      </c>
      <c r="ME149" s="2"/>
      <c r="MF149" s="2"/>
      <c r="MG149" s="4"/>
      <c r="MH149" s="8"/>
      <c r="MI149" s="5" t="str">
        <f t="shared" si="537"/>
        <v>NO APLICA</v>
      </c>
      <c r="MJ149" s="2"/>
      <c r="MK149" s="2"/>
      <c r="ML149" s="4"/>
      <c r="MM149" s="8"/>
      <c r="MN149" s="5" t="str">
        <f t="shared" si="538"/>
        <v>NO APLICA</v>
      </c>
      <c r="MO149" s="5"/>
      <c r="MP149" s="3">
        <v>45154</v>
      </c>
      <c r="MQ149" s="4">
        <f>DATE(YEAR(MP149)+5,MONTH(MP149),DAY(MP149))</f>
        <v>46981</v>
      </c>
      <c r="MR149" s="8">
        <f ca="1">MQ149-TODAY()</f>
        <v>836</v>
      </c>
      <c r="MS149" s="5" t="str">
        <f t="shared" ca="1" si="539"/>
        <v>VIGENTE</v>
      </c>
      <c r="MT149" s="5"/>
      <c r="MU149" s="3">
        <v>45155</v>
      </c>
      <c r="MV149" s="4">
        <f>DATE(YEAR(MU149)+5,MONTH(MU149),DAY(MU149))</f>
        <v>46982</v>
      </c>
      <c r="MW149" s="8">
        <f ca="1">MV149-TODAY()</f>
        <v>837</v>
      </c>
      <c r="MX149" s="5" t="str">
        <f t="shared" ca="1" si="540"/>
        <v>VIGENTE</v>
      </c>
      <c r="MY149" s="2"/>
      <c r="MZ149" s="6"/>
      <c r="NA149" s="4"/>
      <c r="NB149" s="8"/>
      <c r="NC149" s="5" t="str">
        <f t="shared" si="541"/>
        <v>NO APLICA</v>
      </c>
      <c r="ND149" s="2"/>
      <c r="NE149" s="6"/>
      <c r="NF149" s="4"/>
      <c r="NG149" s="8"/>
      <c r="NH149" s="5" t="str">
        <f t="shared" si="542"/>
        <v>NO APLICA</v>
      </c>
      <c r="NI149" s="2"/>
      <c r="NJ149" s="6"/>
      <c r="NK149" s="4"/>
      <c r="NL149" s="8"/>
      <c r="NM149" s="5" t="str">
        <f t="shared" si="543"/>
        <v>NO APLICA</v>
      </c>
      <c r="NN149" s="2"/>
      <c r="NO149" s="2"/>
      <c r="NP149" s="4"/>
      <c r="NQ149" s="8"/>
      <c r="NR149" s="5" t="str">
        <f t="shared" si="544"/>
        <v>NO APLICA</v>
      </c>
      <c r="NS149" s="2"/>
      <c r="NT149" s="2"/>
      <c r="NU149" s="4"/>
      <c r="NV149" s="2"/>
      <c r="NW149" s="5" t="str">
        <f t="shared" si="545"/>
        <v>NO APLICA</v>
      </c>
      <c r="NX149" s="6"/>
      <c r="NY149" s="6"/>
      <c r="NZ149" s="4"/>
      <c r="OA149" s="8"/>
      <c r="OB149" s="5" t="str">
        <f t="shared" si="546"/>
        <v>NO APLICA</v>
      </c>
      <c r="OC149" s="6"/>
      <c r="OD149" s="6"/>
      <c r="OE149" s="6"/>
      <c r="OF149" s="6"/>
      <c r="OG149" s="5" t="str">
        <f t="shared" si="547"/>
        <v>NO APLICA</v>
      </c>
      <c r="OH149" s="6"/>
      <c r="OI149" s="6"/>
      <c r="OJ149" s="4"/>
      <c r="OK149" s="8"/>
      <c r="OL149" s="5" t="str">
        <f t="shared" si="548"/>
        <v>NO APLICA</v>
      </c>
      <c r="OM149" s="6"/>
      <c r="ON149" s="6"/>
      <c r="OO149" s="6"/>
      <c r="OP149" s="6"/>
      <c r="OQ149" s="5" t="str">
        <f t="shared" si="549"/>
        <v>NO APLICA</v>
      </c>
      <c r="OR149" s="6"/>
      <c r="OS149" s="6"/>
      <c r="OT149" s="6"/>
      <c r="OU149" s="6"/>
      <c r="OV149" s="5" t="str">
        <f t="shared" si="550"/>
        <v>NO APLICA</v>
      </c>
      <c r="OW149" s="6"/>
      <c r="OX149" s="6"/>
      <c r="OY149" s="6"/>
      <c r="OZ149" s="6"/>
      <c r="PA149" s="5" t="str">
        <f t="shared" si="551"/>
        <v>NO APLICA</v>
      </c>
      <c r="PB149" s="6"/>
      <c r="PC149" s="6"/>
      <c r="PD149" s="6"/>
      <c r="PE149" s="6"/>
      <c r="PF149" s="5" t="str">
        <f t="shared" si="552"/>
        <v>NO APLICA</v>
      </c>
      <c r="PG149" s="6"/>
      <c r="PH149" s="6"/>
      <c r="PI149" s="6"/>
      <c r="PJ149" s="6"/>
      <c r="PK149" s="5" t="str">
        <f t="shared" si="553"/>
        <v>NO APLICA</v>
      </c>
      <c r="PL149" s="5"/>
      <c r="PM149" s="6"/>
      <c r="PN149" s="4"/>
      <c r="PO149" s="8"/>
      <c r="PP149" s="5" t="str">
        <f t="shared" si="554"/>
        <v>NO APLICA</v>
      </c>
      <c r="PQ149" s="6"/>
      <c r="PR149" s="6"/>
      <c r="PS149" s="6"/>
      <c r="PT149" s="6"/>
      <c r="PU149" s="5" t="str">
        <f t="shared" si="555"/>
        <v>NO APLICA</v>
      </c>
      <c r="PV149" s="5"/>
      <c r="PW149" s="6"/>
      <c r="PX149" s="6"/>
      <c r="PY149" s="6"/>
      <c r="PZ149" s="5" t="str">
        <f t="shared" si="556"/>
        <v>NO APLICA</v>
      </c>
    </row>
    <row r="150" spans="1:442" ht="15.6" hidden="1" thickTop="1" thickBot="1" x14ac:dyDescent="0.35">
      <c r="A150" s="26">
        <v>147</v>
      </c>
      <c r="B150" s="27">
        <v>1591</v>
      </c>
      <c r="C150" s="28" t="s">
        <v>483</v>
      </c>
      <c r="D150" s="29" t="s">
        <v>64</v>
      </c>
      <c r="E150" s="30" t="s">
        <v>484</v>
      </c>
      <c r="F150" s="5"/>
      <c r="G150" s="6"/>
      <c r="H150" s="4"/>
      <c r="I150" s="8"/>
      <c r="J150" s="5" t="str">
        <f t="shared" si="455"/>
        <v>NO APLICA</v>
      </c>
      <c r="K150" s="5"/>
      <c r="L150" s="6"/>
      <c r="M150" s="6"/>
      <c r="N150" s="8"/>
      <c r="O150" s="5" t="str">
        <f t="shared" si="456"/>
        <v>NO APLICA</v>
      </c>
      <c r="P150" s="4"/>
      <c r="Q150" s="4">
        <v>45583</v>
      </c>
      <c r="R150" s="4">
        <f>DATE(YEAR(Q150)+2,MONTH(Q150),DAY(Q150)-1)</f>
        <v>46312</v>
      </c>
      <c r="S150" s="8">
        <f ca="1">R150-TODAY()</f>
        <v>167</v>
      </c>
      <c r="T150" s="5" t="str">
        <f t="shared" ca="1" si="557"/>
        <v>VIGENTE</v>
      </c>
      <c r="U150" s="5"/>
      <c r="V150" s="2" t="s">
        <v>485</v>
      </c>
      <c r="W150" s="4">
        <v>44590</v>
      </c>
      <c r="X150" s="4">
        <f t="shared" si="410"/>
        <v>46416</v>
      </c>
      <c r="Y150" s="8">
        <f t="shared" ca="1" si="411"/>
        <v>271</v>
      </c>
      <c r="Z150" s="5" t="str">
        <f t="shared" ca="1" si="412"/>
        <v>VIGENTE</v>
      </c>
      <c r="AA150" s="5"/>
      <c r="AB150" s="2" t="s">
        <v>486</v>
      </c>
      <c r="AC150" s="4">
        <v>45192</v>
      </c>
      <c r="AD150" s="4">
        <f t="shared" si="578"/>
        <v>47019</v>
      </c>
      <c r="AE150" s="8">
        <f t="shared" ca="1" si="579"/>
        <v>874</v>
      </c>
      <c r="AF150" s="5" t="str">
        <f t="shared" ca="1" si="457"/>
        <v>VIGENTE</v>
      </c>
      <c r="AG150" s="2"/>
      <c r="AH150" s="4">
        <v>45936</v>
      </c>
      <c r="AI150" s="4">
        <f>DATE(YEAR(AH150)+2,MONTH(AH150),DAY(AH150))</f>
        <v>46666</v>
      </c>
      <c r="AJ150" s="8">
        <f t="shared" ca="1" si="458"/>
        <v>521</v>
      </c>
      <c r="AK150" s="5" t="str">
        <f t="shared" ca="1" si="408"/>
        <v>VIGENTE</v>
      </c>
      <c r="AL150" s="2"/>
      <c r="AM150" s="4">
        <v>45937</v>
      </c>
      <c r="AN150" s="4">
        <f t="shared" si="572"/>
        <v>46667</v>
      </c>
      <c r="AO150" s="8">
        <f t="shared" ca="1" si="459"/>
        <v>522</v>
      </c>
      <c r="AP150" s="5" t="str">
        <f t="shared" ca="1" si="460"/>
        <v>VIGENTE</v>
      </c>
      <c r="AQ150" s="2"/>
      <c r="AR150" s="4">
        <v>45904</v>
      </c>
      <c r="AS150" s="4">
        <f t="shared" si="568"/>
        <v>46634</v>
      </c>
      <c r="AT150" s="8">
        <f t="shared" ca="1" si="461"/>
        <v>489</v>
      </c>
      <c r="AU150" s="5" t="str">
        <f t="shared" ca="1" si="462"/>
        <v>VIGENTE</v>
      </c>
      <c r="AV150" s="2"/>
      <c r="AW150" s="4">
        <v>45927</v>
      </c>
      <c r="AX150" s="4">
        <f t="shared" si="569"/>
        <v>46657</v>
      </c>
      <c r="AY150" s="8">
        <f t="shared" ca="1" si="463"/>
        <v>512</v>
      </c>
      <c r="AZ150" s="5" t="str">
        <f t="shared" ca="1" si="464"/>
        <v>VIGENTE</v>
      </c>
      <c r="BA150" s="3"/>
      <c r="BB150" s="4">
        <v>46041</v>
      </c>
      <c r="BC150" s="4">
        <f>DATE(YEAR(BB150)+2,MONTH(BB150),DAY(BB150))</f>
        <v>46771</v>
      </c>
      <c r="BD150" s="8">
        <f t="shared" ca="1" si="465"/>
        <v>626</v>
      </c>
      <c r="BE150" s="5" t="str">
        <f t="shared" ca="1" si="466"/>
        <v>VIGENTE</v>
      </c>
      <c r="BF150" s="2"/>
      <c r="BG150" s="4">
        <v>45997</v>
      </c>
      <c r="BH150" s="4">
        <f>DATE(YEAR(BG150)+2,MONTH(BG150),DAY(BG150))</f>
        <v>46727</v>
      </c>
      <c r="BI150" s="8">
        <f t="shared" ca="1" si="467"/>
        <v>582</v>
      </c>
      <c r="BJ150" s="5" t="str">
        <f t="shared" ca="1" si="468"/>
        <v>VIGENTE</v>
      </c>
      <c r="BK150" s="3"/>
      <c r="BL150" s="4">
        <v>46017</v>
      </c>
      <c r="BM150" s="4">
        <f>DATE(YEAR(BL150)+2,MONTH(BL150),DAY(BL150))</f>
        <v>46747</v>
      </c>
      <c r="BN150" s="8">
        <f t="shared" ca="1" si="469"/>
        <v>602</v>
      </c>
      <c r="BO150" s="5" t="str">
        <f t="shared" ca="1" si="470"/>
        <v>VIGENTE</v>
      </c>
      <c r="BP150" s="3"/>
      <c r="BQ150" s="39">
        <v>45988</v>
      </c>
      <c r="BR150" s="4">
        <f t="shared" si="570"/>
        <v>46718</v>
      </c>
      <c r="BS150" s="8">
        <f t="shared" ca="1" si="471"/>
        <v>573</v>
      </c>
      <c r="BT150" s="5" t="str">
        <f t="shared" ca="1" si="472"/>
        <v>VIGENTE</v>
      </c>
      <c r="BU150" s="3"/>
      <c r="BV150" s="4">
        <v>46031</v>
      </c>
      <c r="BW150" s="4">
        <f>DATE(YEAR(BV150)+2,MONTH(BV150),DAY(BV150))</f>
        <v>46761</v>
      </c>
      <c r="BX150" s="8">
        <f t="shared" ca="1" si="473"/>
        <v>616</v>
      </c>
      <c r="BY150" s="5" t="str">
        <f t="shared" ca="1" si="474"/>
        <v>VIGENTE</v>
      </c>
      <c r="BZ150" s="2"/>
      <c r="CA150" s="4">
        <v>45986</v>
      </c>
      <c r="CB150" s="4">
        <f t="shared" si="574"/>
        <v>46716</v>
      </c>
      <c r="CC150" s="8">
        <f t="shared" ca="1" si="475"/>
        <v>571</v>
      </c>
      <c r="CD150" s="5" t="str">
        <f t="shared" ca="1" si="476"/>
        <v>VIGENTE</v>
      </c>
      <c r="CE150" s="6"/>
      <c r="CF150" s="4">
        <v>45832</v>
      </c>
      <c r="CG150" s="4">
        <f t="shared" si="416"/>
        <v>47293</v>
      </c>
      <c r="CH150" s="8">
        <f t="shared" ca="1" si="417"/>
        <v>1148</v>
      </c>
      <c r="CI150" s="5" t="str">
        <f t="shared" ca="1" si="573"/>
        <v>VIGENTE</v>
      </c>
      <c r="CJ150" s="4"/>
      <c r="CK150" s="4">
        <v>46018</v>
      </c>
      <c r="CL150" s="4">
        <f>DATE(YEAR(CK150)+2,MONTH(CK150),DAY(CK150))</f>
        <v>46748</v>
      </c>
      <c r="CM150" s="8">
        <f t="shared" ca="1" si="477"/>
        <v>603</v>
      </c>
      <c r="CN150" s="5" t="str">
        <f t="shared" ca="1" si="478"/>
        <v>VIGENTE</v>
      </c>
      <c r="CO150" s="4"/>
      <c r="CP150" s="39">
        <v>45979</v>
      </c>
      <c r="CQ150" s="4">
        <f>DATE(YEAR(CP150)+2,MONTH(CP150),DAY(CP150))</f>
        <v>46709</v>
      </c>
      <c r="CR150" s="8">
        <f t="shared" ca="1" si="479"/>
        <v>564</v>
      </c>
      <c r="CS150" s="5" t="str">
        <f t="shared" ca="1" si="480"/>
        <v>VIGENTE</v>
      </c>
      <c r="CT150" s="2"/>
      <c r="CU150" s="4">
        <v>45905</v>
      </c>
      <c r="CV150" s="4">
        <f>DATE(YEAR(CU150)+2,MONTH(CU150),DAY(CU150))</f>
        <v>46635</v>
      </c>
      <c r="CW150" s="8">
        <f t="shared" ca="1" si="481"/>
        <v>490</v>
      </c>
      <c r="CX150" s="5" t="str">
        <f t="shared" ca="1" si="482"/>
        <v>VIGENTE</v>
      </c>
      <c r="CY150" s="3"/>
      <c r="CZ150" s="4">
        <v>46000</v>
      </c>
      <c r="DA150" s="4">
        <f>DATE(YEAR(CZ150)+2,MONTH(CZ150),DAY(CZ150))</f>
        <v>46730</v>
      </c>
      <c r="DB150" s="8">
        <f t="shared" ca="1" si="483"/>
        <v>585</v>
      </c>
      <c r="DC150" s="5" t="str">
        <f t="shared" ca="1" si="484"/>
        <v>VIGENTE</v>
      </c>
      <c r="DD150" s="3"/>
      <c r="DE150" s="39">
        <v>45996</v>
      </c>
      <c r="DF150" s="4">
        <f>DATE(YEAR(DE150)+2,MONTH(DE150),DAY(DE150))</f>
        <v>46726</v>
      </c>
      <c r="DG150" s="8">
        <f t="shared" ca="1" si="485"/>
        <v>581</v>
      </c>
      <c r="DH150" s="5" t="str">
        <f t="shared" ca="1" si="486"/>
        <v>VIGENTE</v>
      </c>
      <c r="DI150" s="4"/>
      <c r="DJ150" s="39">
        <v>45975</v>
      </c>
      <c r="DK150" s="4">
        <f>DATE(YEAR(DJ150)+2,MONTH(DJ150),DAY(DJ150))</f>
        <v>46705</v>
      </c>
      <c r="DL150" s="8">
        <f t="shared" ca="1" si="487"/>
        <v>560</v>
      </c>
      <c r="DM150" s="5" t="str">
        <f t="shared" ca="1" si="488"/>
        <v>VIGENTE</v>
      </c>
      <c r="DN150" s="3"/>
      <c r="DO150" s="4">
        <v>46007</v>
      </c>
      <c r="DP150" s="4">
        <f>DATE(YEAR(DO150)+2,MONTH(DO150),DAY(DO150))</f>
        <v>46737</v>
      </c>
      <c r="DQ150" s="8">
        <f t="shared" ca="1" si="489"/>
        <v>592</v>
      </c>
      <c r="DR150" s="5" t="str">
        <f t="shared" ca="1" si="490"/>
        <v>VIGENTE</v>
      </c>
      <c r="DS150" s="4"/>
      <c r="DT150" s="3">
        <v>46009</v>
      </c>
      <c r="DU150" s="4">
        <f>DATE(YEAR(DT150)+2,MONTH(DT150),DAY(DT150))</f>
        <v>46739</v>
      </c>
      <c r="DV150" s="8">
        <f t="shared" ca="1" si="491"/>
        <v>594</v>
      </c>
      <c r="DW150" s="5" t="str">
        <f t="shared" ca="1" si="492"/>
        <v>VIGENTE</v>
      </c>
      <c r="DX150" s="4"/>
      <c r="DY150" s="4">
        <v>46032</v>
      </c>
      <c r="DZ150" s="4">
        <f>DATE(YEAR(DY150)+2,MONTH(DY150),DAY(DY150))</f>
        <v>46762</v>
      </c>
      <c r="EA150" s="8">
        <f t="shared" ca="1" si="493"/>
        <v>617</v>
      </c>
      <c r="EB150" s="5" t="str">
        <f t="shared" ca="1" si="494"/>
        <v>VIGENTE</v>
      </c>
      <c r="EC150" s="4"/>
      <c r="ED150" s="39">
        <v>45994</v>
      </c>
      <c r="EE150" s="4">
        <f>DATE(YEAR(ED150)+2,MONTH(ED150),DAY(ED150))</f>
        <v>46724</v>
      </c>
      <c r="EF150" s="8">
        <f t="shared" ca="1" si="495"/>
        <v>579</v>
      </c>
      <c r="EG150" s="5" t="str">
        <f t="shared" ca="1" si="496"/>
        <v>VIGENTE</v>
      </c>
      <c r="EH150" s="3"/>
      <c r="EI150" s="3">
        <v>46015</v>
      </c>
      <c r="EJ150" s="4">
        <f t="shared" si="558"/>
        <v>46380</v>
      </c>
      <c r="EK150" s="8">
        <f t="shared" ca="1" si="497"/>
        <v>235</v>
      </c>
      <c r="EL150" s="5" t="str">
        <f t="shared" ca="1" si="498"/>
        <v>VIGENTE</v>
      </c>
      <c r="EM150" s="3"/>
      <c r="EN150" s="4">
        <v>45983</v>
      </c>
      <c r="EO150" s="4">
        <f>DATE(YEAR(EN150)+2,MONTH(EN150),DAY(EN150))</f>
        <v>46713</v>
      </c>
      <c r="EP150" s="8">
        <f t="shared" ca="1" si="499"/>
        <v>568</v>
      </c>
      <c r="EQ150" s="5" t="str">
        <f t="shared" ca="1" si="500"/>
        <v>VIGENTE</v>
      </c>
      <c r="ER150" s="2"/>
      <c r="ES150" s="39">
        <v>45999</v>
      </c>
      <c r="ET150" s="4">
        <f>DATE(YEAR(ES150)+2,MONTH(ES150),DAY(ES150))</f>
        <v>46729</v>
      </c>
      <c r="EU150" s="8">
        <f t="shared" ca="1" si="501"/>
        <v>584</v>
      </c>
      <c r="EV150" s="5" t="str">
        <f t="shared" ca="1" si="502"/>
        <v>VIGENTE</v>
      </c>
      <c r="EW150" s="3"/>
      <c r="EX150" s="4">
        <v>46037</v>
      </c>
      <c r="EY150" s="4">
        <f t="shared" si="575"/>
        <v>46767</v>
      </c>
      <c r="EZ150" s="8">
        <f t="shared" ca="1" si="503"/>
        <v>622</v>
      </c>
      <c r="FA150" s="5" t="str">
        <f t="shared" ca="1" si="504"/>
        <v>VIGENTE</v>
      </c>
      <c r="FB150" s="4"/>
      <c r="FC150" s="4">
        <v>46010</v>
      </c>
      <c r="FD150" s="4">
        <f t="shared" si="576"/>
        <v>46740</v>
      </c>
      <c r="FE150" s="8">
        <f t="shared" ca="1" si="505"/>
        <v>595</v>
      </c>
      <c r="FF150" s="5" t="str">
        <f t="shared" ca="1" si="506"/>
        <v>VIGENTE</v>
      </c>
      <c r="FG150" s="4"/>
      <c r="FH150" s="4">
        <v>45962</v>
      </c>
      <c r="FI150" s="4">
        <f t="shared" si="577"/>
        <v>46692</v>
      </c>
      <c r="FJ150" s="8">
        <f t="shared" ca="1" si="507"/>
        <v>547</v>
      </c>
      <c r="FK150" s="5" t="str">
        <f t="shared" ca="1" si="508"/>
        <v>VIGENTE</v>
      </c>
      <c r="FL150" s="4"/>
      <c r="FM150" s="39">
        <v>46039</v>
      </c>
      <c r="FN150" s="4">
        <f>DATE(YEAR(FM150)+2,MONTH(FM150),DAY(FM150))</f>
        <v>46769</v>
      </c>
      <c r="FO150" s="8">
        <f t="shared" ca="1" si="509"/>
        <v>624</v>
      </c>
      <c r="FP150" s="5" t="str">
        <f t="shared" ca="1" si="510"/>
        <v>VIGENTE</v>
      </c>
      <c r="FQ150" s="4"/>
      <c r="FR150" s="39">
        <v>46034</v>
      </c>
      <c r="FS150" s="4">
        <f>DATE(YEAR(FR150)+2,MONTH(FR150),DAY(FR150))</f>
        <v>46764</v>
      </c>
      <c r="FT150" s="8">
        <f t="shared" ca="1" si="511"/>
        <v>619</v>
      </c>
      <c r="FU150" s="5" t="str">
        <f t="shared" ca="1" si="512"/>
        <v>VIGENTE</v>
      </c>
      <c r="FV150" s="4"/>
      <c r="FW150" s="4">
        <v>46004</v>
      </c>
      <c r="FX150" s="4">
        <f>DATE(YEAR(FW150)+2,MONTH(FW150),DAY(FW150))</f>
        <v>46734</v>
      </c>
      <c r="FY150" s="8">
        <f t="shared" ca="1" si="513"/>
        <v>589</v>
      </c>
      <c r="FZ150" s="5" t="str">
        <f t="shared" ca="1" si="514"/>
        <v>VIGENTE</v>
      </c>
      <c r="GA150" s="3"/>
      <c r="GB150" s="4">
        <v>45925</v>
      </c>
      <c r="GC150" s="4">
        <f>DATE(YEAR(GB150)+2,MONTH(GB150),DAY(GB150))</f>
        <v>46655</v>
      </c>
      <c r="GD150" s="8">
        <f t="shared" ca="1" si="515"/>
        <v>510</v>
      </c>
      <c r="GE150" s="5" t="str">
        <f t="shared" ca="1" si="516"/>
        <v>VIGENTE</v>
      </c>
      <c r="GF150" s="3"/>
      <c r="GG150" s="4">
        <v>45960</v>
      </c>
      <c r="GH150" s="4">
        <f>DATE(YEAR(GG150)+2,MONTH(GG150),DAY(GG150))</f>
        <v>46690</v>
      </c>
      <c r="GI150" s="8">
        <f t="shared" ca="1" si="517"/>
        <v>545</v>
      </c>
      <c r="GJ150" s="5" t="str">
        <f t="shared" ca="1" si="518"/>
        <v>VIGENTE</v>
      </c>
      <c r="GK150" s="3"/>
      <c r="GL150" s="4">
        <v>46071</v>
      </c>
      <c r="GM150" s="4">
        <f t="shared" si="571"/>
        <v>46801</v>
      </c>
      <c r="GN150" s="8">
        <f t="shared" ca="1" si="519"/>
        <v>656</v>
      </c>
      <c r="GO150" s="5" t="str">
        <f t="shared" ca="1" si="520"/>
        <v>VIGENTE</v>
      </c>
      <c r="GP150" s="4"/>
      <c r="GQ150" s="4">
        <v>45299</v>
      </c>
      <c r="GR150" s="4">
        <f t="shared" si="521"/>
        <v>47126</v>
      </c>
      <c r="GS150" s="8">
        <f t="shared" ca="1" si="405"/>
        <v>981</v>
      </c>
      <c r="GT150" s="5" t="str">
        <f t="shared" ca="1" si="419"/>
        <v>VIGENTE</v>
      </c>
      <c r="GU150" s="3"/>
      <c r="GV150" s="4">
        <v>45329</v>
      </c>
      <c r="GW150" s="4">
        <f t="shared" si="522"/>
        <v>47156</v>
      </c>
      <c r="GX150" s="8">
        <f t="shared" ca="1" si="523"/>
        <v>1011</v>
      </c>
      <c r="GY150" s="5" t="str">
        <f t="shared" ca="1" si="426"/>
        <v>VIGENTE</v>
      </c>
      <c r="GZ150" s="2"/>
      <c r="HA150" s="4">
        <v>45343</v>
      </c>
      <c r="HB150" s="4">
        <f t="shared" si="524"/>
        <v>47170</v>
      </c>
      <c r="HC150" s="8">
        <f t="shared" ca="1" si="525"/>
        <v>1025</v>
      </c>
      <c r="HD150" s="5" t="str">
        <f t="shared" ca="1" si="421"/>
        <v>VIGENTE</v>
      </c>
      <c r="HE150" s="6"/>
      <c r="HF150" s="4">
        <v>45317</v>
      </c>
      <c r="HG150" s="4">
        <f t="shared" si="580"/>
        <v>47144</v>
      </c>
      <c r="HH150" s="8">
        <f t="shared" ca="1" si="581"/>
        <v>999</v>
      </c>
      <c r="HI150" s="5" t="str">
        <f t="shared" ca="1" si="427"/>
        <v>VIGENTE</v>
      </c>
      <c r="HJ150" s="2"/>
      <c r="HK150" s="6"/>
      <c r="HL150" s="4"/>
      <c r="HM150" s="8"/>
      <c r="HN150" s="5" t="str">
        <f t="shared" si="444"/>
        <v>NO APLICA</v>
      </c>
      <c r="HO150" s="2"/>
      <c r="HP150" s="2"/>
      <c r="HQ150" s="4"/>
      <c r="HR150" s="2"/>
      <c r="HS150" s="5" t="str">
        <f t="shared" si="526"/>
        <v>NO APLICA</v>
      </c>
      <c r="HT150" s="2"/>
      <c r="HU150" s="6"/>
      <c r="HV150" s="4"/>
      <c r="HW150" s="8"/>
      <c r="HX150" s="5" t="str">
        <f t="shared" si="527"/>
        <v>NO APLICA</v>
      </c>
      <c r="HY150" s="2"/>
      <c r="HZ150" s="6"/>
      <c r="IA150" s="4"/>
      <c r="IB150" s="8"/>
      <c r="IC150" s="5" t="str">
        <f t="shared" si="528"/>
        <v>NO APLICA</v>
      </c>
      <c r="ID150" s="2"/>
      <c r="IE150" s="6"/>
      <c r="IF150" s="4"/>
      <c r="IG150" s="8"/>
      <c r="IH150" s="5" t="str">
        <f t="shared" si="529"/>
        <v>NO APLICA</v>
      </c>
      <c r="II150" s="6"/>
      <c r="IJ150" s="6"/>
      <c r="IK150" s="4"/>
      <c r="IL150" s="8"/>
      <c r="IM150" s="5" t="str">
        <f t="shared" si="530"/>
        <v>NO APLICA</v>
      </c>
      <c r="IN150" s="2"/>
      <c r="IO150" s="6"/>
      <c r="IP150" s="4"/>
      <c r="IQ150" s="8"/>
      <c r="IR150" s="5" t="str">
        <f t="shared" si="531"/>
        <v>NO APLICA</v>
      </c>
      <c r="IS150" s="2"/>
      <c r="IT150" s="6"/>
      <c r="IU150" s="4"/>
      <c r="IV150" s="8"/>
      <c r="IW150" s="5" t="str">
        <f t="shared" si="532"/>
        <v>NO APLICA</v>
      </c>
      <c r="IX150" s="2"/>
      <c r="IY150" s="6"/>
      <c r="IZ150" s="4"/>
      <c r="JA150" s="8"/>
      <c r="JB150" s="5" t="str">
        <f t="shared" si="533"/>
        <v>NO APLICA</v>
      </c>
      <c r="JC150" s="3" t="s">
        <v>780</v>
      </c>
      <c r="JD150" s="3"/>
      <c r="JE150" s="4"/>
      <c r="JF150" s="8"/>
      <c r="JG150" s="5"/>
      <c r="JH150" s="3" t="s">
        <v>780</v>
      </c>
      <c r="JI150" s="6"/>
      <c r="JJ150" s="6"/>
      <c r="JK150" s="6"/>
      <c r="JL150" s="5"/>
      <c r="JM150" s="6" t="s">
        <v>780</v>
      </c>
      <c r="JN150" s="6"/>
      <c r="JO150" s="6"/>
      <c r="JP150" s="6"/>
      <c r="JQ150" s="5"/>
      <c r="JR150" s="6" t="s">
        <v>780</v>
      </c>
      <c r="JS150" s="6"/>
      <c r="JT150" s="6"/>
      <c r="JU150" s="6"/>
      <c r="JV150" s="5"/>
      <c r="JW150" s="6" t="s">
        <v>780</v>
      </c>
      <c r="JX150" s="5"/>
      <c r="JY150" s="5"/>
      <c r="JZ150" s="5"/>
      <c r="KA150" s="5"/>
      <c r="KB150" s="5"/>
      <c r="KC150" s="2"/>
      <c r="KD150" s="4"/>
      <c r="KE150" s="8"/>
      <c r="KF150" s="5" t="str">
        <f t="shared" si="534"/>
        <v>NO APLICA</v>
      </c>
      <c r="KG150" s="5"/>
      <c r="KH150" s="2"/>
      <c r="KI150" s="4"/>
      <c r="KJ150" s="8"/>
      <c r="KK150" s="5" t="str">
        <f t="shared" si="559"/>
        <v>NO APLICA</v>
      </c>
      <c r="KL150" s="5"/>
      <c r="KM150" s="2"/>
      <c r="KN150" s="4"/>
      <c r="KO150" s="8"/>
      <c r="KP150" s="5" t="str">
        <f t="shared" si="535"/>
        <v>NO APLICA</v>
      </c>
      <c r="KQ150" s="5"/>
      <c r="KR150" s="2"/>
      <c r="KS150" s="4"/>
      <c r="KT150" s="8"/>
      <c r="KU150" s="5" t="str">
        <f t="shared" si="560"/>
        <v>NO APLICA</v>
      </c>
      <c r="KV150" s="2"/>
      <c r="KW150" s="6"/>
      <c r="KX150" s="4"/>
      <c r="KY150" s="8"/>
      <c r="KZ150" s="5" t="str">
        <f t="shared" si="565"/>
        <v>NO APLICA</v>
      </c>
      <c r="LA150" s="5"/>
      <c r="LB150" s="6"/>
      <c r="LC150" s="4"/>
      <c r="LD150" s="8"/>
      <c r="LE150" s="5" t="str">
        <f t="shared" si="561"/>
        <v>NO APLICA</v>
      </c>
      <c r="LF150" s="6"/>
      <c r="LG150" s="6"/>
      <c r="LH150" s="4"/>
      <c r="LI150" s="8"/>
      <c r="LJ150" s="5" t="str">
        <f t="shared" si="567"/>
        <v>NO APLICA</v>
      </c>
      <c r="LK150" s="5"/>
      <c r="LL150" s="5"/>
      <c r="LM150" s="5"/>
      <c r="LN150" s="5"/>
      <c r="LO150" s="5" t="str">
        <f t="shared" si="566"/>
        <v>NO APLICA</v>
      </c>
      <c r="LP150" s="2"/>
      <c r="LQ150" s="6"/>
      <c r="LR150" s="4"/>
      <c r="LS150" s="8"/>
      <c r="LT150" s="5" t="str">
        <f t="shared" si="562"/>
        <v>NO APLICA</v>
      </c>
      <c r="LU150" s="6"/>
      <c r="LV150" s="6"/>
      <c r="LW150" s="4"/>
      <c r="LX150" s="8"/>
      <c r="LY150" s="5" t="str">
        <f t="shared" si="563"/>
        <v>NO APLICA</v>
      </c>
      <c r="LZ150" s="6"/>
      <c r="MA150" s="6"/>
      <c r="MB150" s="4"/>
      <c r="MC150" s="8"/>
      <c r="MD150" s="5" t="str">
        <f t="shared" si="564"/>
        <v>NO APLICA</v>
      </c>
      <c r="ME150" s="2"/>
      <c r="MF150" s="2"/>
      <c r="MG150" s="4"/>
      <c r="MH150" s="8"/>
      <c r="MI150" s="5" t="str">
        <f t="shared" si="537"/>
        <v>NO APLICA</v>
      </c>
      <c r="MJ150" s="2"/>
      <c r="MK150" s="2"/>
      <c r="ML150" s="4"/>
      <c r="MM150" s="8"/>
      <c r="MN150" s="5" t="str">
        <f t="shared" si="538"/>
        <v>NO APLICA</v>
      </c>
      <c r="MO150" s="5"/>
      <c r="MP150" s="2"/>
      <c r="MQ150" s="4"/>
      <c r="MR150" s="8"/>
      <c r="MS150" s="5" t="str">
        <f t="shared" si="539"/>
        <v>NO APLICA</v>
      </c>
      <c r="MT150" s="5"/>
      <c r="MU150" s="2"/>
      <c r="MV150" s="4"/>
      <c r="MW150" s="2"/>
      <c r="MX150" s="5" t="str">
        <f t="shared" si="540"/>
        <v>NO APLICA</v>
      </c>
      <c r="MY150" s="2"/>
      <c r="MZ150" s="6"/>
      <c r="NA150" s="4"/>
      <c r="NB150" s="8"/>
      <c r="NC150" s="5" t="str">
        <f t="shared" si="541"/>
        <v>NO APLICA</v>
      </c>
      <c r="ND150" s="2"/>
      <c r="NE150" s="6"/>
      <c r="NF150" s="4"/>
      <c r="NG150" s="8"/>
      <c r="NH150" s="5" t="str">
        <f t="shared" si="542"/>
        <v>NO APLICA</v>
      </c>
      <c r="NI150" s="2"/>
      <c r="NJ150" s="6"/>
      <c r="NK150" s="4"/>
      <c r="NL150" s="8"/>
      <c r="NM150" s="5" t="str">
        <f t="shared" si="543"/>
        <v>NO APLICA</v>
      </c>
      <c r="NN150" s="2"/>
      <c r="NO150" s="2"/>
      <c r="NP150" s="4"/>
      <c r="NQ150" s="2"/>
      <c r="NR150" s="5" t="str">
        <f t="shared" si="544"/>
        <v>NO APLICA</v>
      </c>
      <c r="NS150" s="2"/>
      <c r="NT150" s="2"/>
      <c r="NU150" s="4"/>
      <c r="NV150" s="2"/>
      <c r="NW150" s="5" t="str">
        <f t="shared" si="545"/>
        <v>NO APLICA</v>
      </c>
      <c r="NX150" s="6"/>
      <c r="NY150" s="6"/>
      <c r="NZ150" s="4"/>
      <c r="OA150" s="8"/>
      <c r="OB150" s="5" t="str">
        <f t="shared" si="546"/>
        <v>NO APLICA</v>
      </c>
      <c r="OC150" s="6"/>
      <c r="OD150" s="6"/>
      <c r="OE150" s="6"/>
      <c r="OF150" s="6"/>
      <c r="OG150" s="5" t="str">
        <f t="shared" si="547"/>
        <v>NO APLICA</v>
      </c>
      <c r="OH150" s="6"/>
      <c r="OI150" s="6"/>
      <c r="OJ150" s="4"/>
      <c r="OK150" s="8"/>
      <c r="OL150" s="5" t="str">
        <f t="shared" si="548"/>
        <v>NO APLICA</v>
      </c>
      <c r="OM150" s="6"/>
      <c r="ON150" s="6"/>
      <c r="OO150" s="6"/>
      <c r="OP150" s="6"/>
      <c r="OQ150" s="5" t="str">
        <f t="shared" si="549"/>
        <v>NO APLICA</v>
      </c>
      <c r="OR150" s="6"/>
      <c r="OS150" s="6"/>
      <c r="OT150" s="6"/>
      <c r="OU150" s="6"/>
      <c r="OV150" s="5" t="str">
        <f t="shared" si="550"/>
        <v>NO APLICA</v>
      </c>
      <c r="OW150" s="6"/>
      <c r="OX150" s="6"/>
      <c r="OY150" s="6"/>
      <c r="OZ150" s="6"/>
      <c r="PA150" s="5" t="str">
        <f t="shared" si="551"/>
        <v>NO APLICA</v>
      </c>
      <c r="PB150" s="6"/>
      <c r="PC150" s="6"/>
      <c r="PD150" s="6"/>
      <c r="PE150" s="6"/>
      <c r="PF150" s="5" t="str">
        <f t="shared" si="552"/>
        <v>NO APLICA</v>
      </c>
      <c r="PG150" s="6"/>
      <c r="PH150" s="6"/>
      <c r="PI150" s="6"/>
      <c r="PJ150" s="6"/>
      <c r="PK150" s="5" t="str">
        <f t="shared" si="553"/>
        <v>NO APLICA</v>
      </c>
      <c r="PL150" s="5"/>
      <c r="PM150" s="6"/>
      <c r="PN150" s="4"/>
      <c r="PO150" s="8"/>
      <c r="PP150" s="5" t="str">
        <f t="shared" si="554"/>
        <v>NO APLICA</v>
      </c>
      <c r="PQ150" s="6"/>
      <c r="PR150" s="6"/>
      <c r="PS150" s="6"/>
      <c r="PT150" s="6"/>
      <c r="PU150" s="5" t="str">
        <f t="shared" si="555"/>
        <v>NO APLICA</v>
      </c>
      <c r="PV150" s="5"/>
      <c r="PW150" s="6"/>
      <c r="PX150" s="6"/>
      <c r="PY150" s="6"/>
      <c r="PZ150" s="5" t="str">
        <f t="shared" si="556"/>
        <v>NO APLICA</v>
      </c>
    </row>
    <row r="151" spans="1:442" ht="15.6" hidden="1" thickTop="1" thickBot="1" x14ac:dyDescent="0.35">
      <c r="A151" s="26">
        <v>148</v>
      </c>
      <c r="B151" s="27">
        <v>857</v>
      </c>
      <c r="C151" s="28" t="s">
        <v>487</v>
      </c>
      <c r="D151" s="29" t="s">
        <v>68</v>
      </c>
      <c r="E151" s="30" t="s">
        <v>77</v>
      </c>
      <c r="F151" s="5"/>
      <c r="G151" s="6"/>
      <c r="H151" s="4"/>
      <c r="I151" s="8"/>
      <c r="J151" s="5" t="str">
        <f t="shared" si="455"/>
        <v>NO APLICA</v>
      </c>
      <c r="K151" s="5"/>
      <c r="L151" s="6"/>
      <c r="M151" s="6"/>
      <c r="N151" s="8"/>
      <c r="O151" s="5" t="str">
        <f t="shared" si="456"/>
        <v>NO APLICA</v>
      </c>
      <c r="P151" s="6"/>
      <c r="Q151" s="6"/>
      <c r="R151" s="4"/>
      <c r="S151" s="8"/>
      <c r="T151" s="5" t="str">
        <f t="shared" si="557"/>
        <v>NO APLICA</v>
      </c>
      <c r="U151" s="5"/>
      <c r="V151" s="2" t="s">
        <v>488</v>
      </c>
      <c r="W151" s="4">
        <v>45849</v>
      </c>
      <c r="X151" s="4">
        <f t="shared" si="410"/>
        <v>47675</v>
      </c>
      <c r="Y151" s="8">
        <f t="shared" ca="1" si="411"/>
        <v>1530</v>
      </c>
      <c r="Z151" s="5" t="str">
        <f t="shared" ca="1" si="412"/>
        <v>VIGENTE</v>
      </c>
      <c r="AA151" s="5"/>
      <c r="AB151" s="2" t="s">
        <v>489</v>
      </c>
      <c r="AC151" s="4">
        <v>44603</v>
      </c>
      <c r="AD151" s="4">
        <f t="shared" si="578"/>
        <v>46429</v>
      </c>
      <c r="AE151" s="8">
        <f t="shared" ca="1" si="579"/>
        <v>284</v>
      </c>
      <c r="AF151" s="5" t="str">
        <f t="shared" ca="1" si="457"/>
        <v>VIGENTE</v>
      </c>
      <c r="AG151" s="3"/>
      <c r="AH151" s="4">
        <v>45594</v>
      </c>
      <c r="AI151" s="4">
        <f>DATE(YEAR(AH151)+2,MONTH(AH151),DAY(AH151)-1)</f>
        <v>46323</v>
      </c>
      <c r="AJ151" s="8">
        <f t="shared" ca="1" si="458"/>
        <v>178</v>
      </c>
      <c r="AK151" s="5" t="str">
        <f t="shared" ca="1" si="408"/>
        <v>VIGENTE</v>
      </c>
      <c r="AL151" s="3"/>
      <c r="AM151" s="4">
        <v>45937</v>
      </c>
      <c r="AN151" s="4">
        <f t="shared" si="572"/>
        <v>46667</v>
      </c>
      <c r="AO151" s="8">
        <f t="shared" ca="1" si="459"/>
        <v>522</v>
      </c>
      <c r="AP151" s="5" t="str">
        <f t="shared" ca="1" si="460"/>
        <v>VIGENTE</v>
      </c>
      <c r="AQ151" s="3"/>
      <c r="AR151" s="4">
        <v>45989</v>
      </c>
      <c r="AS151" s="4">
        <f t="shared" si="568"/>
        <v>46719</v>
      </c>
      <c r="AT151" s="8">
        <f t="shared" ca="1" si="461"/>
        <v>574</v>
      </c>
      <c r="AU151" s="5" t="str">
        <f t="shared" ca="1" si="462"/>
        <v>VIGENTE</v>
      </c>
      <c r="AV151" s="3"/>
      <c r="AW151" s="4">
        <v>46070</v>
      </c>
      <c r="AX151" s="4">
        <f t="shared" si="569"/>
        <v>46800</v>
      </c>
      <c r="AY151" s="8">
        <f t="shared" ca="1" si="463"/>
        <v>655</v>
      </c>
      <c r="AZ151" s="5" t="str">
        <f t="shared" ca="1" si="464"/>
        <v>VIGENTE</v>
      </c>
      <c r="BA151" s="3"/>
      <c r="BB151" s="3">
        <v>45603</v>
      </c>
      <c r="BC151" s="4">
        <f>DATE(YEAR(BB151)+2,MONTH(BB151),DAY(BB151)-1)</f>
        <v>46332</v>
      </c>
      <c r="BD151" s="8">
        <f t="shared" ca="1" si="465"/>
        <v>187</v>
      </c>
      <c r="BE151" s="5" t="str">
        <f t="shared" ca="1" si="466"/>
        <v>VIGENTE</v>
      </c>
      <c r="BF151" s="3"/>
      <c r="BG151" s="3">
        <v>45643</v>
      </c>
      <c r="BH151" s="4">
        <f>DATE(YEAR(BG151)+2,MONTH(BG151),DAY(BG151)-1)</f>
        <v>46372</v>
      </c>
      <c r="BI151" s="8">
        <f t="shared" ca="1" si="467"/>
        <v>227</v>
      </c>
      <c r="BJ151" s="5" t="str">
        <f t="shared" ca="1" si="468"/>
        <v>VIGENTE</v>
      </c>
      <c r="BK151" s="3"/>
      <c r="BL151" s="4">
        <v>46035</v>
      </c>
      <c r="BM151" s="4">
        <f>DATE(YEAR(BL151)+2,MONTH(BL151),DAY(BL151))</f>
        <v>46765</v>
      </c>
      <c r="BN151" s="8">
        <f t="shared" ca="1" si="469"/>
        <v>620</v>
      </c>
      <c r="BO151" s="5" t="str">
        <f t="shared" ca="1" si="470"/>
        <v>VIGENTE</v>
      </c>
      <c r="BP151" s="3"/>
      <c r="BQ151" s="39">
        <v>45701</v>
      </c>
      <c r="BR151" s="4">
        <f>DATE(YEAR(BQ151)+2,MONTH(BQ151),DAY(BQ151)-1)</f>
        <v>46430</v>
      </c>
      <c r="BS151" s="8">
        <f t="shared" ca="1" si="471"/>
        <v>285</v>
      </c>
      <c r="BT151" s="5" t="str">
        <f t="shared" ca="1" si="472"/>
        <v>VIGENTE</v>
      </c>
      <c r="BU151" s="4"/>
      <c r="BV151" s="4">
        <v>45736</v>
      </c>
      <c r="BW151" s="4">
        <f>DATE(YEAR(BV151)+2,MONTH(BV151),DAY(BV151)-1)</f>
        <v>46465</v>
      </c>
      <c r="BX151" s="8">
        <f t="shared" ca="1" si="473"/>
        <v>320</v>
      </c>
      <c r="BY151" s="5" t="str">
        <f t="shared" ca="1" si="474"/>
        <v>VIGENTE</v>
      </c>
      <c r="BZ151" s="3"/>
      <c r="CA151" s="4">
        <v>45944</v>
      </c>
      <c r="CB151" s="4">
        <f t="shared" si="574"/>
        <v>46674</v>
      </c>
      <c r="CC151" s="8">
        <f t="shared" ca="1" si="475"/>
        <v>529</v>
      </c>
      <c r="CD151" s="5" t="str">
        <f t="shared" ca="1" si="476"/>
        <v>VIGENTE</v>
      </c>
      <c r="CE151" s="6"/>
      <c r="CF151" s="4">
        <v>45262</v>
      </c>
      <c r="CG151" s="4">
        <f t="shared" si="416"/>
        <v>46723</v>
      </c>
      <c r="CH151" s="8">
        <f t="shared" ca="1" si="417"/>
        <v>578</v>
      </c>
      <c r="CI151" s="5" t="str">
        <f t="shared" ca="1" si="573"/>
        <v>VIGENTE</v>
      </c>
      <c r="CJ151" s="4"/>
      <c r="CK151" s="4">
        <v>45688</v>
      </c>
      <c r="CL151" s="4">
        <f>DATE(YEAR(CK151)+2,MONTH(CK151),DAY(CK151)-1)</f>
        <v>46417</v>
      </c>
      <c r="CM151" s="8">
        <f t="shared" ca="1" si="477"/>
        <v>272</v>
      </c>
      <c r="CN151" s="5" t="str">
        <f t="shared" ca="1" si="478"/>
        <v>VIGENTE</v>
      </c>
      <c r="CO151" s="4"/>
      <c r="CP151" s="39">
        <v>45726</v>
      </c>
      <c r="CQ151" s="4">
        <f>DATE(YEAR(CP151)+2,MONTH(CP151),DAY(CP151)-1)</f>
        <v>46455</v>
      </c>
      <c r="CR151" s="8">
        <f t="shared" ca="1" si="479"/>
        <v>310</v>
      </c>
      <c r="CS151" s="5" t="str">
        <f t="shared" ca="1" si="480"/>
        <v>VIGENTE</v>
      </c>
      <c r="CT151" s="3"/>
      <c r="CU151" s="4">
        <v>45639</v>
      </c>
      <c r="CV151" s="4">
        <f>DATE(YEAR(CU151)+2,MONTH(CU151),DAY(CU151)-1)</f>
        <v>46368</v>
      </c>
      <c r="CW151" s="8">
        <f t="shared" ca="1" si="481"/>
        <v>223</v>
      </c>
      <c r="CX151" s="5" t="str">
        <f t="shared" ca="1" si="482"/>
        <v>VIGENTE</v>
      </c>
      <c r="CY151" s="3"/>
      <c r="CZ151" s="4">
        <v>45665</v>
      </c>
      <c r="DA151" s="4">
        <f>DATE(YEAR(CZ151)+2,MONTH(CZ151),DAY(CZ151)-1)</f>
        <v>46394</v>
      </c>
      <c r="DB151" s="8">
        <f t="shared" ca="1" si="483"/>
        <v>249</v>
      </c>
      <c r="DC151" s="5" t="str">
        <f t="shared" ca="1" si="484"/>
        <v>VIGENTE</v>
      </c>
      <c r="DD151" s="3"/>
      <c r="DE151" s="39">
        <v>45689</v>
      </c>
      <c r="DF151" s="4">
        <f>DATE(YEAR(DE151)+2,MONTH(DE151),DAY(DE151)-1)</f>
        <v>46418</v>
      </c>
      <c r="DG151" s="8">
        <f t="shared" ca="1" si="485"/>
        <v>273</v>
      </c>
      <c r="DH151" s="5" t="str">
        <f t="shared" ca="1" si="486"/>
        <v>VIGENTE</v>
      </c>
      <c r="DI151" s="3"/>
      <c r="DJ151" s="39">
        <v>46073</v>
      </c>
      <c r="DK151" s="4">
        <f>DATE(YEAR(DJ151)+2,MONTH(DJ151),DAY(DJ151))</f>
        <v>46803</v>
      </c>
      <c r="DL151" s="8">
        <f t="shared" ca="1" si="487"/>
        <v>658</v>
      </c>
      <c r="DM151" s="5" t="str">
        <f t="shared" ca="1" si="488"/>
        <v>VIGENTE</v>
      </c>
      <c r="DN151" s="3"/>
      <c r="DO151" s="4">
        <v>45982</v>
      </c>
      <c r="DP151" s="4">
        <f>DATE(YEAR(DO151)+2,MONTH(DO151),DAY(DO151))</f>
        <v>46712</v>
      </c>
      <c r="DQ151" s="8">
        <f t="shared" ca="1" si="489"/>
        <v>567</v>
      </c>
      <c r="DR151" s="5" t="str">
        <f t="shared" ca="1" si="490"/>
        <v>VIGENTE</v>
      </c>
      <c r="DS151" s="4"/>
      <c r="DT151" s="4">
        <v>45685</v>
      </c>
      <c r="DU151" s="4">
        <f>DATE(YEAR(DT151)+2,MONTH(DT151),DAY(DT151)-1)</f>
        <v>46414</v>
      </c>
      <c r="DV151" s="8">
        <f t="shared" ca="1" si="491"/>
        <v>269</v>
      </c>
      <c r="DW151" s="5" t="str">
        <f t="shared" ca="1" si="492"/>
        <v>VIGENTE</v>
      </c>
      <c r="DX151" s="4"/>
      <c r="DY151" s="4">
        <v>45663</v>
      </c>
      <c r="DZ151" s="4">
        <f>DATE(YEAR(DY151)+2,MONTH(DY151),DAY(DY151)-1)</f>
        <v>46392</v>
      </c>
      <c r="EA151" s="8">
        <f t="shared" ca="1" si="493"/>
        <v>247</v>
      </c>
      <c r="EB151" s="5" t="str">
        <f t="shared" ca="1" si="494"/>
        <v>VIGENTE</v>
      </c>
      <c r="EC151" s="4"/>
      <c r="ED151" s="39">
        <v>45583</v>
      </c>
      <c r="EE151" s="4">
        <f>DATE(YEAR(ED151)+2,MONTH(ED151),DAY(ED151)-1)</f>
        <v>46312</v>
      </c>
      <c r="EF151" s="8">
        <f t="shared" ca="1" si="495"/>
        <v>167</v>
      </c>
      <c r="EG151" s="5" t="str">
        <f t="shared" ca="1" si="496"/>
        <v>VIGENTE</v>
      </c>
      <c r="EH151" s="3"/>
      <c r="EI151" s="3">
        <v>46085</v>
      </c>
      <c r="EJ151" s="4">
        <f t="shared" si="558"/>
        <v>46450</v>
      </c>
      <c r="EK151" s="8">
        <f t="shared" ca="1" si="497"/>
        <v>305</v>
      </c>
      <c r="EL151" s="5" t="str">
        <f t="shared" ca="1" si="498"/>
        <v>VIGENTE</v>
      </c>
      <c r="EM151" s="4"/>
      <c r="EN151" s="4">
        <v>45671</v>
      </c>
      <c r="EO151" s="4">
        <f>DATE(YEAR(EN151)+2,MONTH(EN151),DAY(EN151)-1)</f>
        <v>46400</v>
      </c>
      <c r="EP151" s="8">
        <f t="shared" ca="1" si="499"/>
        <v>255</v>
      </c>
      <c r="EQ151" s="5" t="str">
        <f t="shared" ca="1" si="500"/>
        <v>VIGENTE</v>
      </c>
      <c r="ER151" s="4"/>
      <c r="ES151" s="39">
        <v>45677</v>
      </c>
      <c r="ET151" s="4">
        <f>DATE(YEAR(ES151)+2,MONTH(ES151),DAY(ES151)-1)</f>
        <v>46406</v>
      </c>
      <c r="EU151" s="8">
        <f t="shared" ca="1" si="501"/>
        <v>261</v>
      </c>
      <c r="EV151" s="5" t="str">
        <f t="shared" ca="1" si="502"/>
        <v>VIGENTE</v>
      </c>
      <c r="EW151" s="3"/>
      <c r="EX151" s="4">
        <v>45953</v>
      </c>
      <c r="EY151" s="4">
        <f t="shared" si="575"/>
        <v>46683</v>
      </c>
      <c r="EZ151" s="8">
        <f t="shared" ca="1" si="503"/>
        <v>538</v>
      </c>
      <c r="FA151" s="5" t="str">
        <f t="shared" ca="1" si="504"/>
        <v>VIGENTE</v>
      </c>
      <c r="FB151" s="3"/>
      <c r="FC151" s="4">
        <v>45931</v>
      </c>
      <c r="FD151" s="4">
        <f t="shared" si="576"/>
        <v>46661</v>
      </c>
      <c r="FE151" s="8">
        <f t="shared" ca="1" si="505"/>
        <v>516</v>
      </c>
      <c r="FF151" s="5" t="str">
        <f t="shared" ca="1" si="506"/>
        <v>VIGENTE</v>
      </c>
      <c r="FG151" s="3"/>
      <c r="FH151" s="4">
        <v>45992</v>
      </c>
      <c r="FI151" s="4">
        <f t="shared" si="577"/>
        <v>46722</v>
      </c>
      <c r="FJ151" s="8">
        <f t="shared" ca="1" si="507"/>
        <v>577</v>
      </c>
      <c r="FK151" s="5" t="str">
        <f t="shared" ca="1" si="508"/>
        <v>VIGENTE</v>
      </c>
      <c r="FL151" s="3"/>
      <c r="FM151" s="39">
        <v>45738</v>
      </c>
      <c r="FN151" s="4">
        <f>DATE(YEAR(FM151)+2,MONTH(FM151),DAY(FM151)-1)</f>
        <v>46467</v>
      </c>
      <c r="FO151" s="8">
        <f t="shared" ca="1" si="509"/>
        <v>322</v>
      </c>
      <c r="FP151" s="5" t="str">
        <f t="shared" ca="1" si="510"/>
        <v>VIGENTE</v>
      </c>
      <c r="FQ151" s="4"/>
      <c r="FR151" s="39">
        <v>45678</v>
      </c>
      <c r="FS151" s="4">
        <f>DATE(YEAR(FR151)+2,MONTH(FR151),DAY(FR151)-1)</f>
        <v>46407</v>
      </c>
      <c r="FT151" s="8">
        <f t="shared" ca="1" si="511"/>
        <v>262</v>
      </c>
      <c r="FU151" s="5" t="str">
        <f t="shared" ca="1" si="512"/>
        <v>VIGENTE</v>
      </c>
      <c r="FV151" s="3"/>
      <c r="FW151" s="4">
        <v>46014</v>
      </c>
      <c r="FX151" s="4">
        <f>DATE(YEAR(FW151)+2,MONTH(FW151),DAY(FW151))</f>
        <v>46744</v>
      </c>
      <c r="FY151" s="8">
        <f t="shared" ca="1" si="513"/>
        <v>599</v>
      </c>
      <c r="FZ151" s="5" t="str">
        <f t="shared" ca="1" si="514"/>
        <v>VIGENTE</v>
      </c>
      <c r="GA151" s="4"/>
      <c r="GB151" s="4">
        <v>45667</v>
      </c>
      <c r="GC151" s="4">
        <f>DATE(YEAR(GB151)+2,MONTH(GB151),DAY(GB151)-1)</f>
        <v>46396</v>
      </c>
      <c r="GD151" s="8">
        <f t="shared" ca="1" si="515"/>
        <v>251</v>
      </c>
      <c r="GE151" s="5" t="str">
        <f t="shared" ca="1" si="516"/>
        <v>VIGENTE</v>
      </c>
      <c r="GF151" s="4"/>
      <c r="GG151" s="4">
        <v>45672</v>
      </c>
      <c r="GH151" s="4">
        <f>DATE(YEAR(GG151)+2,MONTH(GG151),DAY(GG151)-1)</f>
        <v>46401</v>
      </c>
      <c r="GI151" s="8">
        <f t="shared" ca="1" si="517"/>
        <v>256</v>
      </c>
      <c r="GJ151" s="5" t="str">
        <f t="shared" ca="1" si="518"/>
        <v>VIGENTE</v>
      </c>
      <c r="GK151" s="4"/>
      <c r="GL151" s="4">
        <v>45633</v>
      </c>
      <c r="GM151" s="4">
        <f>DATE(YEAR(GL151)+2,MONTH(GL151),DAY(GL151)-1)</f>
        <v>46362</v>
      </c>
      <c r="GN151" s="8">
        <f t="shared" ca="1" si="519"/>
        <v>217</v>
      </c>
      <c r="GO151" s="5" t="str">
        <f t="shared" ca="1" si="520"/>
        <v>VIGENTE</v>
      </c>
      <c r="GP151" s="4"/>
      <c r="GQ151" s="4">
        <v>45299</v>
      </c>
      <c r="GR151" s="4">
        <f t="shared" si="521"/>
        <v>47126</v>
      </c>
      <c r="GS151" s="8">
        <f t="shared" ca="1" si="405"/>
        <v>981</v>
      </c>
      <c r="GT151" s="5" t="str">
        <f t="shared" ca="1" si="419"/>
        <v>VIGENTE</v>
      </c>
      <c r="GU151" s="3"/>
      <c r="GV151" s="4">
        <v>45195</v>
      </c>
      <c r="GW151" s="4">
        <f t="shared" si="522"/>
        <v>47022</v>
      </c>
      <c r="GX151" s="8">
        <f t="shared" ca="1" si="523"/>
        <v>877</v>
      </c>
      <c r="GY151" s="5" t="str">
        <f t="shared" ca="1" si="426"/>
        <v>VIGENTE</v>
      </c>
      <c r="GZ151" s="3"/>
      <c r="HA151" s="4">
        <v>45258</v>
      </c>
      <c r="HB151" s="4">
        <f t="shared" si="524"/>
        <v>47085</v>
      </c>
      <c r="HC151" s="8">
        <f t="shared" ca="1" si="525"/>
        <v>940</v>
      </c>
      <c r="HD151" s="5" t="str">
        <f t="shared" ca="1" si="421"/>
        <v>VIGENTE</v>
      </c>
      <c r="HE151" s="6"/>
      <c r="HF151" s="4">
        <v>44879</v>
      </c>
      <c r="HG151" s="4">
        <f t="shared" si="580"/>
        <v>46705</v>
      </c>
      <c r="HH151" s="8">
        <f t="shared" ca="1" si="581"/>
        <v>560</v>
      </c>
      <c r="HI151" s="5" t="str">
        <f t="shared" ca="1" si="427"/>
        <v>VIGENTE</v>
      </c>
      <c r="HJ151" s="2"/>
      <c r="HK151" s="6"/>
      <c r="HL151" s="4"/>
      <c r="HM151" s="8"/>
      <c r="HN151" s="5" t="str">
        <f t="shared" si="444"/>
        <v>NO APLICA</v>
      </c>
      <c r="HO151" s="2"/>
      <c r="HP151" s="2"/>
      <c r="HQ151" s="4"/>
      <c r="HR151" s="2"/>
      <c r="HS151" s="5" t="str">
        <f t="shared" si="526"/>
        <v>NO APLICA</v>
      </c>
      <c r="HT151" s="3"/>
      <c r="HU151" s="4">
        <v>45306</v>
      </c>
      <c r="HV151" s="4">
        <f>DATE(YEAR(HU151)+5,MONTH(HU151),DAY(HU151))</f>
        <v>47133</v>
      </c>
      <c r="HW151" s="8">
        <f ca="1">HV151-TODAY()</f>
        <v>988</v>
      </c>
      <c r="HX151" s="5" t="str">
        <f t="shared" ca="1" si="527"/>
        <v>VIGENTE</v>
      </c>
      <c r="HY151" s="3"/>
      <c r="HZ151" s="4">
        <v>45475</v>
      </c>
      <c r="IA151" s="4">
        <f>DATE(YEAR(HZ151)+5,MONTH(HZ151),DAY(HZ151))</f>
        <v>47301</v>
      </c>
      <c r="IB151" s="8">
        <f ca="1">IA151-TODAY()</f>
        <v>1156</v>
      </c>
      <c r="IC151" s="5" t="str">
        <f t="shared" ca="1" si="528"/>
        <v>VIGENTE</v>
      </c>
      <c r="ID151" s="2"/>
      <c r="IE151" s="4">
        <v>45024</v>
      </c>
      <c r="IF151" s="4">
        <f>DATE(YEAR(IE151)+5,MONTH(IE151),DAY(IE151))</f>
        <v>46851</v>
      </c>
      <c r="IG151" s="8">
        <f ca="1">IF151-TODAY()</f>
        <v>706</v>
      </c>
      <c r="IH151" s="5" t="str">
        <f t="shared" ca="1" si="529"/>
        <v>VIGENTE</v>
      </c>
      <c r="II151" s="4"/>
      <c r="IJ151" s="4">
        <v>45455</v>
      </c>
      <c r="IK151" s="4">
        <f>DATE(YEAR(IJ151)+5,MONTH(IJ151),DAY(IJ151))</f>
        <v>47281</v>
      </c>
      <c r="IL151" s="8">
        <f ca="1">IK151-TODAY()</f>
        <v>1136</v>
      </c>
      <c r="IM151" s="5" t="str">
        <f t="shared" ca="1" si="530"/>
        <v>VIGENTE</v>
      </c>
      <c r="IN151" s="3"/>
      <c r="IO151" s="4">
        <v>45460</v>
      </c>
      <c r="IP151" s="4">
        <f>DATE(YEAR(IO151)+5,MONTH(IO151),DAY(IO151))</f>
        <v>47286</v>
      </c>
      <c r="IQ151" s="8">
        <f ca="1">IP151-TODAY()</f>
        <v>1141</v>
      </c>
      <c r="IR151" s="5" t="str">
        <f t="shared" ca="1" si="531"/>
        <v>VIGENTE</v>
      </c>
      <c r="IS151" s="3"/>
      <c r="IT151" s="4">
        <v>45240</v>
      </c>
      <c r="IU151" s="4">
        <f>DATE(YEAR(IT151)+5,MONTH(IT151),DAY(IT151))</f>
        <v>47067</v>
      </c>
      <c r="IV151" s="8">
        <f ca="1">IU151-TODAY()</f>
        <v>922</v>
      </c>
      <c r="IW151" s="5" t="str">
        <f t="shared" ca="1" si="532"/>
        <v>VIGENTE</v>
      </c>
      <c r="IX151" s="3"/>
      <c r="IY151" s="4">
        <v>45289</v>
      </c>
      <c r="IZ151" s="4">
        <f>DATE(YEAR(IY151)+5,MONTH(IY151),DAY(IY151))</f>
        <v>47116</v>
      </c>
      <c r="JA151" s="8">
        <f ca="1">IZ151-TODAY()</f>
        <v>971</v>
      </c>
      <c r="JB151" s="5" t="str">
        <f t="shared" ca="1" si="533"/>
        <v>VIGENTE</v>
      </c>
      <c r="JC151" s="3" t="s">
        <v>780</v>
      </c>
      <c r="JD151" s="3"/>
      <c r="JE151" s="4"/>
      <c r="JF151" s="8"/>
      <c r="JG151" s="5"/>
      <c r="JH151" s="3" t="s">
        <v>780</v>
      </c>
      <c r="JI151" s="6"/>
      <c r="JJ151" s="6"/>
      <c r="JK151" s="6"/>
      <c r="JL151" s="5"/>
      <c r="JM151" s="6" t="s">
        <v>780</v>
      </c>
      <c r="JN151" s="6"/>
      <c r="JO151" s="6"/>
      <c r="JP151" s="6"/>
      <c r="JQ151" s="5"/>
      <c r="JR151" s="6" t="s">
        <v>780</v>
      </c>
      <c r="JS151" s="6"/>
      <c r="JT151" s="6"/>
      <c r="JU151" s="6"/>
      <c r="JV151" s="5"/>
      <c r="JW151" s="6" t="s">
        <v>780</v>
      </c>
      <c r="JX151" s="5"/>
      <c r="JY151" s="5"/>
      <c r="JZ151" s="5"/>
      <c r="KA151" s="5"/>
      <c r="KB151" s="5"/>
      <c r="KC151" s="2"/>
      <c r="KD151" s="4"/>
      <c r="KE151" s="8"/>
      <c r="KF151" s="5" t="str">
        <f t="shared" si="534"/>
        <v>NO APLICA</v>
      </c>
      <c r="KG151" s="5"/>
      <c r="KH151" s="3">
        <v>45328</v>
      </c>
      <c r="KI151" s="4">
        <f>DATE(YEAR(KH151)+5,MONTH(KH151),DAY(KH151)-1)</f>
        <v>47154</v>
      </c>
      <c r="KJ151" s="8">
        <f ca="1">KI151-TODAY()</f>
        <v>1009</v>
      </c>
      <c r="KK151" s="5" t="str">
        <f t="shared" ca="1" si="559"/>
        <v>VIGENTE</v>
      </c>
      <c r="KL151" s="5"/>
      <c r="KM151" s="2"/>
      <c r="KN151" s="4"/>
      <c r="KO151" s="8"/>
      <c r="KP151" s="5" t="str">
        <f t="shared" si="535"/>
        <v>NO APLICA</v>
      </c>
      <c r="KQ151" s="5"/>
      <c r="KR151" s="2"/>
      <c r="KS151" s="4"/>
      <c r="KT151" s="8"/>
      <c r="KU151" s="5" t="str">
        <f t="shared" si="560"/>
        <v>NO APLICA</v>
      </c>
      <c r="KV151" s="3"/>
      <c r="KW151" s="4">
        <v>44651</v>
      </c>
      <c r="KX151" s="4">
        <f>DATE(YEAR(KW151)+5,MONTH(KW151),DAY(KW151))</f>
        <v>46477</v>
      </c>
      <c r="KY151" s="8">
        <f ca="1">KX151-TODAY()</f>
        <v>332</v>
      </c>
      <c r="KZ151" s="5" t="str">
        <f t="shared" ca="1" si="565"/>
        <v>VIGENTE</v>
      </c>
      <c r="LA151" s="5"/>
      <c r="LB151" s="6"/>
      <c r="LC151" s="4"/>
      <c r="LD151" s="8"/>
      <c r="LE151" s="5" t="str">
        <f t="shared" si="561"/>
        <v>NO APLICA</v>
      </c>
      <c r="LF151" s="6"/>
      <c r="LG151" s="4"/>
      <c r="LH151" s="4"/>
      <c r="LI151" s="8"/>
      <c r="LJ151" s="5" t="str">
        <f t="shared" si="567"/>
        <v>NO APLICA</v>
      </c>
      <c r="LK151" s="5"/>
      <c r="LL151" s="5"/>
      <c r="LM151" s="5"/>
      <c r="LN151" s="5"/>
      <c r="LO151" s="5" t="str">
        <f t="shared" si="566"/>
        <v>NO APLICA</v>
      </c>
      <c r="LP151" s="2"/>
      <c r="LQ151" s="6"/>
      <c r="LR151" s="4"/>
      <c r="LS151" s="8"/>
      <c r="LT151" s="5" t="str">
        <f t="shared" si="562"/>
        <v>NO APLICA</v>
      </c>
      <c r="LU151" s="6"/>
      <c r="LV151" s="6"/>
      <c r="LW151" s="4"/>
      <c r="LX151" s="8"/>
      <c r="LY151" s="5" t="str">
        <f t="shared" si="563"/>
        <v>NO APLICA</v>
      </c>
      <c r="LZ151" s="6"/>
      <c r="MA151" s="6"/>
      <c r="MB151" s="4"/>
      <c r="MC151" s="8"/>
      <c r="MD151" s="5" t="str">
        <f t="shared" si="564"/>
        <v>NO APLICA</v>
      </c>
      <c r="ME151" s="2"/>
      <c r="MF151" s="2"/>
      <c r="MG151" s="4"/>
      <c r="MH151" s="8"/>
      <c r="MI151" s="5" t="str">
        <f t="shared" si="537"/>
        <v>NO APLICA</v>
      </c>
      <c r="MJ151" s="2"/>
      <c r="MK151" s="2"/>
      <c r="ML151" s="4"/>
      <c r="MM151" s="8"/>
      <c r="MN151" s="5" t="str">
        <f t="shared" si="538"/>
        <v>NO APLICA</v>
      </c>
      <c r="MO151" s="5"/>
      <c r="MP151" s="2"/>
      <c r="MQ151" s="4"/>
      <c r="MR151" s="8"/>
      <c r="MS151" s="5" t="str">
        <f t="shared" si="539"/>
        <v>NO APLICA</v>
      </c>
      <c r="MT151" s="5"/>
      <c r="MU151" s="2"/>
      <c r="MV151" s="4"/>
      <c r="MW151" s="2"/>
      <c r="MX151" s="5" t="str">
        <f t="shared" si="540"/>
        <v>NO APLICA</v>
      </c>
      <c r="MY151" s="2"/>
      <c r="MZ151" s="6"/>
      <c r="NA151" s="4"/>
      <c r="NB151" s="8"/>
      <c r="NC151" s="5" t="str">
        <f t="shared" si="541"/>
        <v>NO APLICA</v>
      </c>
      <c r="ND151" s="2"/>
      <c r="NE151" s="6"/>
      <c r="NF151" s="4"/>
      <c r="NG151" s="8"/>
      <c r="NH151" s="5" t="str">
        <f t="shared" si="542"/>
        <v>NO APLICA</v>
      </c>
      <c r="NI151" s="2"/>
      <c r="NJ151" s="6"/>
      <c r="NK151" s="4"/>
      <c r="NL151" s="8"/>
      <c r="NM151" s="5" t="str">
        <f t="shared" si="543"/>
        <v>NO APLICA</v>
      </c>
      <c r="NN151" s="2"/>
      <c r="NO151" s="2"/>
      <c r="NP151" s="4"/>
      <c r="NQ151" s="2"/>
      <c r="NR151" s="5" t="str">
        <f t="shared" si="544"/>
        <v>NO APLICA</v>
      </c>
      <c r="NS151" s="2"/>
      <c r="NT151" s="2"/>
      <c r="NU151" s="2"/>
      <c r="NV151" s="2"/>
      <c r="NW151" s="5" t="str">
        <f t="shared" si="545"/>
        <v>NO APLICA</v>
      </c>
      <c r="NX151" s="6"/>
      <c r="NY151" s="6"/>
      <c r="NZ151" s="4"/>
      <c r="OA151" s="8"/>
      <c r="OB151" s="5" t="str">
        <f t="shared" si="546"/>
        <v>NO APLICA</v>
      </c>
      <c r="OC151" s="6"/>
      <c r="OD151" s="6"/>
      <c r="OE151" s="6"/>
      <c r="OF151" s="6"/>
      <c r="OG151" s="5" t="str">
        <f t="shared" si="547"/>
        <v>NO APLICA</v>
      </c>
      <c r="OH151" s="6"/>
      <c r="OI151" s="6"/>
      <c r="OJ151" s="4"/>
      <c r="OK151" s="8"/>
      <c r="OL151" s="5" t="str">
        <f t="shared" si="548"/>
        <v>NO APLICA</v>
      </c>
      <c r="OM151" s="6"/>
      <c r="ON151" s="6"/>
      <c r="OO151" s="6"/>
      <c r="OP151" s="6"/>
      <c r="OQ151" s="5" t="str">
        <f t="shared" si="549"/>
        <v>NO APLICA</v>
      </c>
      <c r="OR151" s="6"/>
      <c r="OS151" s="6"/>
      <c r="OT151" s="6"/>
      <c r="OU151" s="6"/>
      <c r="OV151" s="5" t="str">
        <f t="shared" si="550"/>
        <v>NO APLICA</v>
      </c>
      <c r="OW151" s="6"/>
      <c r="OX151" s="6"/>
      <c r="OY151" s="6"/>
      <c r="OZ151" s="6"/>
      <c r="PA151" s="5" t="str">
        <f t="shared" si="551"/>
        <v>NO APLICA</v>
      </c>
      <c r="PB151" s="6"/>
      <c r="PC151" s="6"/>
      <c r="PD151" s="6"/>
      <c r="PE151" s="6"/>
      <c r="PF151" s="5" t="str">
        <f t="shared" si="552"/>
        <v>NO APLICA</v>
      </c>
      <c r="PG151" s="6"/>
      <c r="PH151" s="6"/>
      <c r="PI151" s="6"/>
      <c r="PJ151" s="6"/>
      <c r="PK151" s="5" t="str">
        <f t="shared" si="553"/>
        <v>NO APLICA</v>
      </c>
      <c r="PL151" s="5"/>
      <c r="PM151" s="6"/>
      <c r="PN151" s="4"/>
      <c r="PO151" s="8"/>
      <c r="PP151" s="5" t="str">
        <f t="shared" si="554"/>
        <v>NO APLICA</v>
      </c>
      <c r="PQ151" s="6"/>
      <c r="PR151" s="6"/>
      <c r="PS151" s="6"/>
      <c r="PT151" s="6"/>
      <c r="PU151" s="5" t="str">
        <f t="shared" si="555"/>
        <v>NO APLICA</v>
      </c>
      <c r="PV151" s="5"/>
      <c r="PW151" s="6"/>
      <c r="PX151" s="6"/>
      <c r="PY151" s="6"/>
      <c r="PZ151" s="5" t="str">
        <f t="shared" si="556"/>
        <v>NO APLICA</v>
      </c>
    </row>
    <row r="152" spans="1:442" ht="15.6" hidden="1" thickTop="1" thickBot="1" x14ac:dyDescent="0.35">
      <c r="A152" s="26">
        <v>149</v>
      </c>
      <c r="B152" s="27">
        <v>302</v>
      </c>
      <c r="C152" s="28" t="s">
        <v>490</v>
      </c>
      <c r="D152" s="29" t="s">
        <v>68</v>
      </c>
      <c r="E152" s="30" t="s">
        <v>93</v>
      </c>
      <c r="F152" s="5"/>
      <c r="G152" s="6"/>
      <c r="H152" s="4"/>
      <c r="I152" s="8"/>
      <c r="J152" s="5" t="str">
        <f t="shared" si="455"/>
        <v>NO APLICA</v>
      </c>
      <c r="K152" s="5"/>
      <c r="L152" s="6"/>
      <c r="M152" s="6"/>
      <c r="N152" s="8"/>
      <c r="O152" s="5" t="str">
        <f t="shared" si="456"/>
        <v>NO APLICA</v>
      </c>
      <c r="P152" s="4"/>
      <c r="Q152" s="4">
        <v>45822</v>
      </c>
      <c r="R152" s="4">
        <f>DATE(YEAR(Q152)+2,MONTH(Q152),DAY(Q152)-1)</f>
        <v>46551</v>
      </c>
      <c r="S152" s="8">
        <f ca="1">R152-TODAY()</f>
        <v>406</v>
      </c>
      <c r="T152" s="5" t="str">
        <f t="shared" ca="1" si="557"/>
        <v>VIGENTE</v>
      </c>
      <c r="U152" s="5"/>
      <c r="V152" s="2" t="s">
        <v>491</v>
      </c>
      <c r="W152" s="4">
        <v>45309</v>
      </c>
      <c r="X152" s="4">
        <f t="shared" si="410"/>
        <v>47136</v>
      </c>
      <c r="Y152" s="8">
        <f t="shared" ca="1" si="411"/>
        <v>991</v>
      </c>
      <c r="Z152" s="5" t="str">
        <f t="shared" ca="1" si="412"/>
        <v>VIGENTE</v>
      </c>
      <c r="AA152" s="5"/>
      <c r="AB152" s="2" t="s">
        <v>492</v>
      </c>
      <c r="AC152" s="4">
        <v>44579</v>
      </c>
      <c r="AD152" s="4">
        <f t="shared" si="578"/>
        <v>46405</v>
      </c>
      <c r="AE152" s="8">
        <f t="shared" ca="1" si="579"/>
        <v>260</v>
      </c>
      <c r="AF152" s="5" t="str">
        <f t="shared" ca="1" si="457"/>
        <v>VIGENTE</v>
      </c>
      <c r="AG152" s="3"/>
      <c r="AH152" s="3">
        <v>45589</v>
      </c>
      <c r="AI152" s="4">
        <f>DATE(YEAR(AH152)+2,MONTH(AH152),DAY(AH152)-1)</f>
        <v>46318</v>
      </c>
      <c r="AJ152" s="8">
        <f t="shared" ca="1" si="458"/>
        <v>173</v>
      </c>
      <c r="AK152" s="5" t="str">
        <f t="shared" ca="1" si="408"/>
        <v>VIGENTE</v>
      </c>
      <c r="AL152" s="3"/>
      <c r="AM152" s="4">
        <v>45937</v>
      </c>
      <c r="AN152" s="4">
        <f t="shared" si="572"/>
        <v>46667</v>
      </c>
      <c r="AO152" s="8">
        <f t="shared" ca="1" si="459"/>
        <v>522</v>
      </c>
      <c r="AP152" s="5" t="str">
        <f t="shared" ca="1" si="460"/>
        <v>VIGENTE</v>
      </c>
      <c r="AQ152" s="3"/>
      <c r="AR152" s="4">
        <v>45904</v>
      </c>
      <c r="AS152" s="4">
        <f t="shared" si="568"/>
        <v>46634</v>
      </c>
      <c r="AT152" s="8">
        <f t="shared" ca="1" si="461"/>
        <v>489</v>
      </c>
      <c r="AU152" s="5" t="str">
        <f t="shared" ca="1" si="462"/>
        <v>VIGENTE</v>
      </c>
      <c r="AV152" s="3"/>
      <c r="AW152" s="4">
        <v>45972</v>
      </c>
      <c r="AX152" s="4">
        <f t="shared" si="569"/>
        <v>46702</v>
      </c>
      <c r="AY152" s="8">
        <f t="shared" ca="1" si="463"/>
        <v>557</v>
      </c>
      <c r="AZ152" s="5" t="str">
        <f t="shared" ca="1" si="464"/>
        <v>VIGENTE</v>
      </c>
      <c r="BA152" s="3"/>
      <c r="BB152" s="4">
        <v>46041</v>
      </c>
      <c r="BC152" s="4">
        <f>DATE(YEAR(BB152)+2,MONTH(BB152),DAY(BB152))</f>
        <v>46771</v>
      </c>
      <c r="BD152" s="8">
        <f t="shared" ca="1" si="465"/>
        <v>626</v>
      </c>
      <c r="BE152" s="5" t="str">
        <f t="shared" ca="1" si="466"/>
        <v>VIGENTE</v>
      </c>
      <c r="BF152" s="3"/>
      <c r="BG152" s="4">
        <v>46027</v>
      </c>
      <c r="BH152" s="4">
        <f t="shared" ref="BH152:BH157" si="582">DATE(YEAR(BG152)+2,MONTH(BG152),DAY(BG152))</f>
        <v>46757</v>
      </c>
      <c r="BI152" s="8">
        <f t="shared" ca="1" si="467"/>
        <v>612</v>
      </c>
      <c r="BJ152" s="5" t="str">
        <f t="shared" ca="1" si="468"/>
        <v>VIGENTE</v>
      </c>
      <c r="BK152" s="3"/>
      <c r="BL152" s="4">
        <v>46051</v>
      </c>
      <c r="BM152" s="4">
        <f>DATE(YEAR(BL152)+2,MONTH(BL152),DAY(BL152))</f>
        <v>46781</v>
      </c>
      <c r="BN152" s="8">
        <f t="shared" ca="1" si="469"/>
        <v>636</v>
      </c>
      <c r="BO152" s="5" t="str">
        <f t="shared" ca="1" si="470"/>
        <v>VIGENTE</v>
      </c>
      <c r="BP152" s="3"/>
      <c r="BQ152" s="39">
        <v>46069</v>
      </c>
      <c r="BR152" s="4">
        <f>DATE(YEAR(BQ152)+2,MONTH(BQ152),DAY(BQ152))</f>
        <v>46799</v>
      </c>
      <c r="BS152" s="8">
        <f t="shared" ca="1" si="471"/>
        <v>654</v>
      </c>
      <c r="BT152" s="5" t="str">
        <f t="shared" ca="1" si="472"/>
        <v>VIGENTE</v>
      </c>
      <c r="BU152" s="3"/>
      <c r="BV152" s="4">
        <v>46063</v>
      </c>
      <c r="BW152" s="4">
        <f>DATE(YEAR(BV152)+2,MONTH(BV152),DAY(BV152))</f>
        <v>46793</v>
      </c>
      <c r="BX152" s="8">
        <f t="shared" ca="1" si="473"/>
        <v>648</v>
      </c>
      <c r="BY152" s="5" t="str">
        <f t="shared" ca="1" si="474"/>
        <v>VIGENTE</v>
      </c>
      <c r="BZ152" s="3"/>
      <c r="CA152" s="4">
        <v>45944</v>
      </c>
      <c r="CB152" s="4">
        <f t="shared" si="574"/>
        <v>46674</v>
      </c>
      <c r="CC152" s="8">
        <f t="shared" ca="1" si="475"/>
        <v>529</v>
      </c>
      <c r="CD152" s="5" t="str">
        <f t="shared" ca="1" si="476"/>
        <v>VIGENTE</v>
      </c>
      <c r="CE152" s="6"/>
      <c r="CF152" s="4">
        <v>45247</v>
      </c>
      <c r="CG152" s="4">
        <f t="shared" si="416"/>
        <v>46708</v>
      </c>
      <c r="CH152" s="8">
        <f t="shared" ca="1" si="417"/>
        <v>563</v>
      </c>
      <c r="CI152" s="5" t="str">
        <f t="shared" ca="1" si="573"/>
        <v>VIGENTE</v>
      </c>
      <c r="CJ152" s="4"/>
      <c r="CK152" s="4">
        <v>45895</v>
      </c>
      <c r="CL152" s="4">
        <f>DATE(YEAR(CK152)+2,MONTH(CK152),DAY(CK152))</f>
        <v>46625</v>
      </c>
      <c r="CM152" s="8">
        <f t="shared" ca="1" si="477"/>
        <v>480</v>
      </c>
      <c r="CN152" s="5" t="str">
        <f t="shared" ca="1" si="478"/>
        <v>VIGENTE</v>
      </c>
      <c r="CO152" s="3"/>
      <c r="CP152" s="39">
        <v>45517</v>
      </c>
      <c r="CQ152" s="4">
        <f>DATE(YEAR(CP152)+2,MONTH(CP152),DAY(CP152)-1)</f>
        <v>46246</v>
      </c>
      <c r="CR152" s="8">
        <f t="shared" ca="1" si="479"/>
        <v>101</v>
      </c>
      <c r="CS152" s="5" t="str">
        <f t="shared" ca="1" si="480"/>
        <v>VIGENTE</v>
      </c>
      <c r="CT152" s="3"/>
      <c r="CU152" s="4">
        <v>45631</v>
      </c>
      <c r="CV152" s="4">
        <f>DATE(YEAR(CU152)+2,MONTH(CU152),DAY(CU152)-1)</f>
        <v>46360</v>
      </c>
      <c r="CW152" s="8">
        <f t="shared" ca="1" si="481"/>
        <v>215</v>
      </c>
      <c r="CX152" s="5" t="str">
        <f t="shared" ca="1" si="482"/>
        <v>VIGENTE</v>
      </c>
      <c r="CY152" s="3"/>
      <c r="CZ152" s="4">
        <v>45744</v>
      </c>
      <c r="DA152" s="4">
        <f>DATE(YEAR(CZ152)+2,MONTH(CZ152),DAY(CZ152)-1)</f>
        <v>46473</v>
      </c>
      <c r="DB152" s="8">
        <f t="shared" ca="1" si="483"/>
        <v>328</v>
      </c>
      <c r="DC152" s="5" t="str">
        <f t="shared" ca="1" si="484"/>
        <v>VIGENTE</v>
      </c>
      <c r="DD152" s="3"/>
      <c r="DE152" s="39">
        <v>45689</v>
      </c>
      <c r="DF152" s="4">
        <f>DATE(YEAR(DE152)+2,MONTH(DE152),DAY(DE152)-1)</f>
        <v>46418</v>
      </c>
      <c r="DG152" s="8">
        <f t="shared" ca="1" si="485"/>
        <v>273</v>
      </c>
      <c r="DH152" s="5" t="str">
        <f t="shared" ca="1" si="486"/>
        <v>VIGENTE</v>
      </c>
      <c r="DI152" s="3"/>
      <c r="DJ152" s="39">
        <v>45696</v>
      </c>
      <c r="DK152" s="4">
        <f>DATE(YEAR(DJ152)+2,MONTH(DJ152),DAY(DJ152)-1)</f>
        <v>46425</v>
      </c>
      <c r="DL152" s="8">
        <f t="shared" ca="1" si="487"/>
        <v>280</v>
      </c>
      <c r="DM152" s="5" t="str">
        <f t="shared" ca="1" si="488"/>
        <v>VIGENTE</v>
      </c>
      <c r="DN152" s="3"/>
      <c r="DO152" s="4">
        <v>45982</v>
      </c>
      <c r="DP152" s="4">
        <f>DATE(YEAR(DO152)+2,MONTH(DO152),DAY(DO152))</f>
        <v>46712</v>
      </c>
      <c r="DQ152" s="8">
        <f t="shared" ca="1" si="489"/>
        <v>567</v>
      </c>
      <c r="DR152" s="5" t="str">
        <f t="shared" ca="1" si="490"/>
        <v>VIGENTE</v>
      </c>
      <c r="DS152" s="3"/>
      <c r="DT152" s="4">
        <v>46072</v>
      </c>
      <c r="DU152" s="4">
        <f>DATE(YEAR(DT152)+2,MONTH(DT152),DAY(DT152))</f>
        <v>46802</v>
      </c>
      <c r="DV152" s="8">
        <f t="shared" ca="1" si="491"/>
        <v>657</v>
      </c>
      <c r="DW152" s="5" t="str">
        <f t="shared" ca="1" si="492"/>
        <v>VIGENTE</v>
      </c>
      <c r="DX152" s="3"/>
      <c r="DY152" s="4">
        <v>45682</v>
      </c>
      <c r="DZ152" s="4">
        <f>DATE(YEAR(DY152)+2,MONTH(DY152),DAY(DY152)-1)</f>
        <v>46411</v>
      </c>
      <c r="EA152" s="8">
        <f t="shared" ca="1" si="493"/>
        <v>266</v>
      </c>
      <c r="EB152" s="5" t="str">
        <f t="shared" ca="1" si="494"/>
        <v>VIGENTE</v>
      </c>
      <c r="EC152" s="3"/>
      <c r="ED152" s="39">
        <v>45674</v>
      </c>
      <c r="EE152" s="4">
        <f>DATE(YEAR(ED152)+2,MONTH(ED152),DAY(ED152)-1)</f>
        <v>46403</v>
      </c>
      <c r="EF152" s="8">
        <f t="shared" ca="1" si="495"/>
        <v>258</v>
      </c>
      <c r="EG152" s="5" t="str">
        <f t="shared" ca="1" si="496"/>
        <v>VIGENTE</v>
      </c>
      <c r="EH152" s="3"/>
      <c r="EI152" s="4">
        <v>46123</v>
      </c>
      <c r="EJ152" s="4">
        <f t="shared" si="558"/>
        <v>46488</v>
      </c>
      <c r="EK152" s="8">
        <f t="shared" ca="1" si="497"/>
        <v>343</v>
      </c>
      <c r="EL152" s="5" t="str">
        <f t="shared" ca="1" si="498"/>
        <v>VIGENTE</v>
      </c>
      <c r="EM152" s="3"/>
      <c r="EN152" s="4">
        <v>45671</v>
      </c>
      <c r="EO152" s="4">
        <f>DATE(YEAR(EN152)+2,MONTH(EN152),DAY(EN152)-1)</f>
        <v>46400</v>
      </c>
      <c r="EP152" s="8">
        <f t="shared" ca="1" si="499"/>
        <v>255</v>
      </c>
      <c r="EQ152" s="5" t="str">
        <f t="shared" ca="1" si="500"/>
        <v>VIGENTE</v>
      </c>
      <c r="ER152" s="3"/>
      <c r="ES152" s="39">
        <v>46042</v>
      </c>
      <c r="ET152" s="4">
        <f>DATE(YEAR(ES152)+2,MONTH(ES152),DAY(ES152))</f>
        <v>46772</v>
      </c>
      <c r="EU152" s="8">
        <f t="shared" ca="1" si="501"/>
        <v>627</v>
      </c>
      <c r="EV152" s="5" t="str">
        <f t="shared" ca="1" si="502"/>
        <v>VIGENTE</v>
      </c>
      <c r="EW152" s="3"/>
      <c r="EX152" s="4">
        <v>45953</v>
      </c>
      <c r="EY152" s="4">
        <f t="shared" si="575"/>
        <v>46683</v>
      </c>
      <c r="EZ152" s="8">
        <f t="shared" ca="1" si="503"/>
        <v>538</v>
      </c>
      <c r="FA152" s="5" t="str">
        <f t="shared" ca="1" si="504"/>
        <v>VIGENTE</v>
      </c>
      <c r="FB152" s="3"/>
      <c r="FC152" s="4">
        <v>45922</v>
      </c>
      <c r="FD152" s="4">
        <f t="shared" si="576"/>
        <v>46652</v>
      </c>
      <c r="FE152" s="8">
        <f t="shared" ca="1" si="505"/>
        <v>507</v>
      </c>
      <c r="FF152" s="5" t="str">
        <f t="shared" ca="1" si="506"/>
        <v>VIGENTE</v>
      </c>
      <c r="FG152" s="3"/>
      <c r="FH152" s="4">
        <v>45919</v>
      </c>
      <c r="FI152" s="4">
        <f t="shared" si="577"/>
        <v>46649</v>
      </c>
      <c r="FJ152" s="8">
        <f t="shared" ca="1" si="507"/>
        <v>504</v>
      </c>
      <c r="FK152" s="5" t="str">
        <f t="shared" ca="1" si="508"/>
        <v>VIGENTE</v>
      </c>
      <c r="FL152" s="3"/>
      <c r="FM152" s="39">
        <v>45670</v>
      </c>
      <c r="FN152" s="4">
        <f>DATE(YEAR(FM152)+2,MONTH(FM152),DAY(FM152)-1)</f>
        <v>46399</v>
      </c>
      <c r="FO152" s="8">
        <f t="shared" ca="1" si="509"/>
        <v>254</v>
      </c>
      <c r="FP152" s="5" t="str">
        <f t="shared" ca="1" si="510"/>
        <v>VIGENTE</v>
      </c>
      <c r="FQ152" s="3"/>
      <c r="FR152" s="39">
        <v>45678</v>
      </c>
      <c r="FS152" s="4">
        <f>DATE(YEAR(FR152)+2,MONTH(FR152),DAY(FR152)-1)</f>
        <v>46407</v>
      </c>
      <c r="FT152" s="8">
        <f t="shared" ca="1" si="511"/>
        <v>262</v>
      </c>
      <c r="FU152" s="5" t="str">
        <f t="shared" ca="1" si="512"/>
        <v>VIGENTE</v>
      </c>
      <c r="FV152" s="4"/>
      <c r="FW152" s="4">
        <v>45574</v>
      </c>
      <c r="FX152" s="4">
        <f>DATE(YEAR(FW152)+2,MONTH(FW152),DAY(FW152)-1)</f>
        <v>46303</v>
      </c>
      <c r="FY152" s="8">
        <f t="shared" ca="1" si="513"/>
        <v>158</v>
      </c>
      <c r="FZ152" s="5" t="str">
        <f t="shared" ca="1" si="514"/>
        <v>VIGENTE</v>
      </c>
      <c r="GA152" s="3"/>
      <c r="GB152" s="4">
        <v>46030</v>
      </c>
      <c r="GC152" s="4">
        <f>DATE(YEAR(GB152)+2,MONTH(GB152),DAY(GB152))</f>
        <v>46760</v>
      </c>
      <c r="GD152" s="8">
        <f t="shared" ca="1" si="515"/>
        <v>615</v>
      </c>
      <c r="GE152" s="5" t="str">
        <f t="shared" ca="1" si="516"/>
        <v>VIGENTE</v>
      </c>
      <c r="GF152" s="3"/>
      <c r="GG152" s="4">
        <v>45672</v>
      </c>
      <c r="GH152" s="4">
        <f>DATE(YEAR(GG152)+2,MONTH(GG152),DAY(GG152)-1)</f>
        <v>46401</v>
      </c>
      <c r="GI152" s="8">
        <f t="shared" ca="1" si="517"/>
        <v>256</v>
      </c>
      <c r="GJ152" s="5" t="str">
        <f t="shared" ca="1" si="518"/>
        <v>VIGENTE</v>
      </c>
      <c r="GK152" s="3"/>
      <c r="GL152" s="4">
        <v>45848</v>
      </c>
      <c r="GM152" s="4">
        <f>DATE(YEAR(GL152)+2,MONTH(GL152),DAY(GL152))</f>
        <v>46578</v>
      </c>
      <c r="GN152" s="8">
        <f t="shared" ca="1" si="519"/>
        <v>433</v>
      </c>
      <c r="GO152" s="5" t="str">
        <f t="shared" ca="1" si="520"/>
        <v>VIGENTE</v>
      </c>
      <c r="GP152" s="4"/>
      <c r="GQ152" s="4">
        <v>45219</v>
      </c>
      <c r="GR152" s="4">
        <f t="shared" si="521"/>
        <v>47046</v>
      </c>
      <c r="GS152" s="8">
        <f t="shared" ca="1" si="405"/>
        <v>901</v>
      </c>
      <c r="GT152" s="5" t="str">
        <f t="shared" ca="1" si="419"/>
        <v>VIGENTE</v>
      </c>
      <c r="GU152" s="3"/>
      <c r="GV152" s="4">
        <v>45200</v>
      </c>
      <c r="GW152" s="4">
        <f t="shared" si="522"/>
        <v>47027</v>
      </c>
      <c r="GX152" s="8">
        <f t="shared" ca="1" si="523"/>
        <v>882</v>
      </c>
      <c r="GY152" s="5" t="str">
        <f t="shared" ca="1" si="426"/>
        <v>VIGENTE</v>
      </c>
      <c r="GZ152" s="3"/>
      <c r="HA152" s="4">
        <v>45251</v>
      </c>
      <c r="HB152" s="4">
        <f t="shared" si="524"/>
        <v>47078</v>
      </c>
      <c r="HC152" s="8">
        <f t="shared" ca="1" si="525"/>
        <v>933</v>
      </c>
      <c r="HD152" s="5" t="str">
        <f t="shared" ca="1" si="421"/>
        <v>VIGENTE</v>
      </c>
      <c r="HE152" s="6"/>
      <c r="HF152" s="4">
        <v>45020</v>
      </c>
      <c r="HG152" s="4">
        <f t="shared" si="580"/>
        <v>46847</v>
      </c>
      <c r="HH152" s="8">
        <f t="shared" ca="1" si="581"/>
        <v>702</v>
      </c>
      <c r="HI152" s="5" t="str">
        <f t="shared" ca="1" si="427"/>
        <v>VIGENTE</v>
      </c>
      <c r="HJ152" s="2"/>
      <c r="HK152" s="4">
        <v>45341</v>
      </c>
      <c r="HL152" s="4">
        <f>DATE(YEAR(HK152)+5,MONTH(HK152),DAY(HK152))</f>
        <v>47168</v>
      </c>
      <c r="HM152" s="8">
        <f ca="1">HL152-TODAY()</f>
        <v>1023</v>
      </c>
      <c r="HN152" s="5" t="str">
        <f t="shared" ca="1" si="444"/>
        <v>VIGENTE</v>
      </c>
      <c r="HO152" s="3"/>
      <c r="HP152" s="3">
        <v>45698</v>
      </c>
      <c r="HQ152" s="4">
        <f>DATE(YEAR(HP152)+5,MONTH(HP152),DAY(HP152))</f>
        <v>47524</v>
      </c>
      <c r="HR152" s="8">
        <f ca="1">HQ152-TODAY()</f>
        <v>1379</v>
      </c>
      <c r="HS152" s="5" t="str">
        <f t="shared" ca="1" si="526"/>
        <v>VIGENTE</v>
      </c>
      <c r="HT152" s="3"/>
      <c r="HU152" s="4">
        <v>45469</v>
      </c>
      <c r="HV152" s="4">
        <f>DATE(YEAR(HU152)+5,MONTH(HU152),DAY(HU152))</f>
        <v>47295</v>
      </c>
      <c r="HW152" s="8">
        <f ca="1">HV152-TODAY()</f>
        <v>1150</v>
      </c>
      <c r="HX152" s="5" t="str">
        <f t="shared" ca="1" si="527"/>
        <v>VIGENTE</v>
      </c>
      <c r="HY152" s="3"/>
      <c r="HZ152" s="4">
        <v>45234</v>
      </c>
      <c r="IA152" s="4">
        <f>DATE(YEAR(HZ152)+5,MONTH(HZ152),DAY(HZ152))</f>
        <v>47061</v>
      </c>
      <c r="IB152" s="8">
        <f ca="1">IA152-TODAY()</f>
        <v>916</v>
      </c>
      <c r="IC152" s="5" t="str">
        <f t="shared" ca="1" si="528"/>
        <v>VIGENTE</v>
      </c>
      <c r="ID152" s="3"/>
      <c r="IE152" s="4">
        <v>45192</v>
      </c>
      <c r="IF152" s="4">
        <f>DATE(YEAR(IE152)+5,MONTH(IE152),DAY(IE152))</f>
        <v>47019</v>
      </c>
      <c r="IG152" s="8">
        <f ca="1">IF152-TODAY()</f>
        <v>874</v>
      </c>
      <c r="IH152" s="5" t="str">
        <f t="shared" ca="1" si="529"/>
        <v>VIGENTE</v>
      </c>
      <c r="II152" s="4"/>
      <c r="IJ152" s="4">
        <v>45237</v>
      </c>
      <c r="IK152" s="4">
        <f>DATE(YEAR(IJ152)+5,MONTH(IJ152),DAY(IJ152))</f>
        <v>47064</v>
      </c>
      <c r="IL152" s="8">
        <f ca="1">IK152-TODAY()</f>
        <v>919</v>
      </c>
      <c r="IM152" s="5" t="str">
        <f t="shared" ca="1" si="530"/>
        <v>VIGENTE</v>
      </c>
      <c r="IN152" s="3"/>
      <c r="IO152" s="4">
        <v>45259</v>
      </c>
      <c r="IP152" s="4">
        <f>DATE(YEAR(IO152)+5,MONTH(IO152),DAY(IO152))</f>
        <v>47086</v>
      </c>
      <c r="IQ152" s="8">
        <f ca="1">IP152-TODAY()</f>
        <v>941</v>
      </c>
      <c r="IR152" s="5" t="str">
        <f t="shared" ca="1" si="531"/>
        <v>VIGENTE</v>
      </c>
      <c r="IS152" s="3"/>
      <c r="IT152" s="4">
        <v>45199</v>
      </c>
      <c r="IU152" s="4">
        <f>DATE(YEAR(IT152)+5,MONTH(IT152),DAY(IT152))</f>
        <v>47026</v>
      </c>
      <c r="IV152" s="8">
        <f ca="1">IU152-TODAY()</f>
        <v>881</v>
      </c>
      <c r="IW152" s="5" t="str">
        <f t="shared" ca="1" si="532"/>
        <v>VIGENTE</v>
      </c>
      <c r="IX152" s="3"/>
      <c r="IY152" s="4">
        <v>45197</v>
      </c>
      <c r="IZ152" s="4">
        <f>DATE(YEAR(IY152)+5,MONTH(IY152),DAY(IY152))</f>
        <v>47024</v>
      </c>
      <c r="JA152" s="8">
        <f ca="1">IZ152-TODAY()</f>
        <v>879</v>
      </c>
      <c r="JB152" s="5" t="str">
        <f t="shared" ca="1" si="533"/>
        <v>VIGENTE</v>
      </c>
      <c r="JC152" s="3" t="s">
        <v>780</v>
      </c>
      <c r="JD152" s="3"/>
      <c r="JE152" s="4"/>
      <c r="JF152" s="8"/>
      <c r="JG152" s="5"/>
      <c r="JH152" s="3" t="s">
        <v>780</v>
      </c>
      <c r="JI152" s="6"/>
      <c r="JJ152" s="6"/>
      <c r="JK152" s="6"/>
      <c r="JL152" s="5"/>
      <c r="JM152" s="6" t="s">
        <v>780</v>
      </c>
      <c r="JN152" s="6"/>
      <c r="JO152" s="6"/>
      <c r="JP152" s="6"/>
      <c r="JQ152" s="5"/>
      <c r="JR152" s="6" t="s">
        <v>780</v>
      </c>
      <c r="JS152" s="6"/>
      <c r="JT152" s="6"/>
      <c r="JU152" s="6"/>
      <c r="JV152" s="5"/>
      <c r="JW152" s="6" t="s">
        <v>780</v>
      </c>
      <c r="JX152" s="5"/>
      <c r="JY152" s="5"/>
      <c r="JZ152" s="5"/>
      <c r="KA152" s="5"/>
      <c r="KB152" s="5"/>
      <c r="KC152" s="5"/>
      <c r="KD152" s="4"/>
      <c r="KE152" s="8"/>
      <c r="KF152" s="5" t="str">
        <f t="shared" si="534"/>
        <v>NO APLICA</v>
      </c>
      <c r="KG152" s="5"/>
      <c r="KH152" s="5"/>
      <c r="KI152" s="4"/>
      <c r="KJ152" s="8"/>
      <c r="KK152" s="5" t="str">
        <f t="shared" si="559"/>
        <v>NO APLICA</v>
      </c>
      <c r="KL152" s="5"/>
      <c r="KM152" s="5"/>
      <c r="KN152" s="4"/>
      <c r="KO152" s="8"/>
      <c r="KP152" s="5" t="str">
        <f t="shared" si="535"/>
        <v>NO APLICA</v>
      </c>
      <c r="KQ152" s="5"/>
      <c r="KR152" s="2"/>
      <c r="KS152" s="4"/>
      <c r="KT152" s="8"/>
      <c r="KU152" s="5" t="str">
        <f t="shared" si="560"/>
        <v>NO APLICA</v>
      </c>
      <c r="KV152" s="3"/>
      <c r="KW152" s="4">
        <v>44651</v>
      </c>
      <c r="KX152" s="4">
        <f>DATE(YEAR(KW152)+5,MONTH(KW152),DAY(KW152))</f>
        <v>46477</v>
      </c>
      <c r="KY152" s="8">
        <f ca="1">KX152-TODAY()</f>
        <v>332</v>
      </c>
      <c r="KZ152" s="5" t="str">
        <f t="shared" ca="1" si="565"/>
        <v>VIGENTE</v>
      </c>
      <c r="LA152" s="5"/>
      <c r="LB152" s="6"/>
      <c r="LC152" s="4"/>
      <c r="LD152" s="8"/>
      <c r="LE152" s="5" t="str">
        <f t="shared" si="561"/>
        <v>NO APLICA</v>
      </c>
      <c r="LF152" s="6"/>
      <c r="LG152" s="6"/>
      <c r="LH152" s="4"/>
      <c r="LI152" s="8"/>
      <c r="LJ152" s="5" t="str">
        <f t="shared" si="567"/>
        <v>NO APLICA</v>
      </c>
      <c r="LK152" s="5"/>
      <c r="LL152" s="5"/>
      <c r="LM152" s="4"/>
      <c r="LN152" s="8"/>
      <c r="LO152" s="5" t="str">
        <f t="shared" si="566"/>
        <v>NO APLICA</v>
      </c>
      <c r="LP152" s="5"/>
      <c r="LQ152" s="6"/>
      <c r="LR152" s="4"/>
      <c r="LS152" s="8"/>
      <c r="LT152" s="5" t="str">
        <f t="shared" si="562"/>
        <v>NO APLICA</v>
      </c>
      <c r="LU152" s="6"/>
      <c r="LV152" s="6"/>
      <c r="LW152" s="4"/>
      <c r="LX152" s="8"/>
      <c r="LY152" s="5" t="str">
        <f t="shared" si="563"/>
        <v>NO APLICA</v>
      </c>
      <c r="LZ152" s="6"/>
      <c r="MA152" s="6"/>
      <c r="MB152" s="4"/>
      <c r="MC152" s="8"/>
      <c r="MD152" s="5" t="str">
        <f t="shared" si="564"/>
        <v>NO APLICA</v>
      </c>
      <c r="ME152" s="5"/>
      <c r="MF152" s="5"/>
      <c r="MG152" s="4"/>
      <c r="MH152" s="8"/>
      <c r="MI152" s="5" t="str">
        <f t="shared" si="537"/>
        <v>NO APLICA</v>
      </c>
      <c r="MJ152" s="5"/>
      <c r="MK152" s="5"/>
      <c r="ML152" s="4"/>
      <c r="MM152" s="8"/>
      <c r="MN152" s="5" t="str">
        <f t="shared" si="538"/>
        <v>NO APLICA</v>
      </c>
      <c r="MO152" s="5"/>
      <c r="MP152" s="5"/>
      <c r="MQ152" s="4"/>
      <c r="MR152" s="8"/>
      <c r="MS152" s="5" t="str">
        <f t="shared" si="539"/>
        <v>NO APLICA</v>
      </c>
      <c r="MT152" s="5"/>
      <c r="MU152" s="5"/>
      <c r="MV152" s="4"/>
      <c r="MW152" s="5"/>
      <c r="MX152" s="5" t="str">
        <f t="shared" si="540"/>
        <v>NO APLICA</v>
      </c>
      <c r="MY152" s="5"/>
      <c r="MZ152" s="6"/>
      <c r="NA152" s="4"/>
      <c r="NB152" s="8"/>
      <c r="NC152" s="5" t="str">
        <f t="shared" si="541"/>
        <v>NO APLICA</v>
      </c>
      <c r="ND152" s="5"/>
      <c r="NE152" s="6"/>
      <c r="NF152" s="4"/>
      <c r="NG152" s="8"/>
      <c r="NH152" s="5" t="str">
        <f t="shared" si="542"/>
        <v>NO APLICA</v>
      </c>
      <c r="NI152" s="5"/>
      <c r="NJ152" s="6"/>
      <c r="NK152" s="4"/>
      <c r="NL152" s="8"/>
      <c r="NM152" s="5" t="str">
        <f t="shared" si="543"/>
        <v>NO APLICA</v>
      </c>
      <c r="NN152" s="5"/>
      <c r="NO152" s="5"/>
      <c r="NP152" s="4"/>
      <c r="NQ152" s="8"/>
      <c r="NR152" s="5" t="str">
        <f t="shared" si="544"/>
        <v>NO APLICA</v>
      </c>
      <c r="NS152" s="5"/>
      <c r="NT152" s="5"/>
      <c r="NU152" s="5"/>
      <c r="NV152" s="5"/>
      <c r="NW152" s="5" t="str">
        <f t="shared" si="545"/>
        <v>NO APLICA</v>
      </c>
      <c r="NX152" s="6"/>
      <c r="NY152" s="6"/>
      <c r="NZ152" s="6"/>
      <c r="OA152" s="6"/>
      <c r="OB152" s="5" t="str">
        <f t="shared" si="546"/>
        <v>NO APLICA</v>
      </c>
      <c r="OC152" s="6"/>
      <c r="OD152" s="6"/>
      <c r="OE152" s="6"/>
      <c r="OF152" s="6"/>
      <c r="OG152" s="5" t="str">
        <f t="shared" si="547"/>
        <v>NO APLICA</v>
      </c>
      <c r="OH152" s="5"/>
      <c r="OI152" s="5"/>
      <c r="OJ152" s="4"/>
      <c r="OK152" s="8"/>
      <c r="OL152" s="5" t="str">
        <f t="shared" si="548"/>
        <v>NO APLICA</v>
      </c>
      <c r="OM152" s="6"/>
      <c r="ON152" s="6"/>
      <c r="OO152" s="6"/>
      <c r="OP152" s="6"/>
      <c r="OQ152" s="5" t="str">
        <f t="shared" si="549"/>
        <v>NO APLICA</v>
      </c>
      <c r="OR152" s="6"/>
      <c r="OS152" s="6"/>
      <c r="OT152" s="6"/>
      <c r="OU152" s="6"/>
      <c r="OV152" s="5" t="str">
        <f t="shared" si="550"/>
        <v>NO APLICA</v>
      </c>
      <c r="OW152" s="6"/>
      <c r="OX152" s="6"/>
      <c r="OY152" s="6"/>
      <c r="OZ152" s="6"/>
      <c r="PA152" s="5" t="str">
        <f t="shared" si="551"/>
        <v>NO APLICA</v>
      </c>
      <c r="PB152" s="6"/>
      <c r="PC152" s="6"/>
      <c r="PD152" s="6"/>
      <c r="PE152" s="6"/>
      <c r="PF152" s="5" t="str">
        <f t="shared" si="552"/>
        <v>NO APLICA</v>
      </c>
      <c r="PG152" s="6"/>
      <c r="PH152" s="6"/>
      <c r="PI152" s="6"/>
      <c r="PJ152" s="6"/>
      <c r="PK152" s="5" t="str">
        <f t="shared" si="553"/>
        <v>NO APLICA</v>
      </c>
      <c r="PL152" s="5"/>
      <c r="PM152" s="6"/>
      <c r="PN152" s="4"/>
      <c r="PO152" s="8"/>
      <c r="PP152" s="5" t="str">
        <f t="shared" si="554"/>
        <v>NO APLICA</v>
      </c>
      <c r="PQ152" s="6"/>
      <c r="PR152" s="6"/>
      <c r="PS152" s="6"/>
      <c r="PT152" s="6"/>
      <c r="PU152" s="5" t="str">
        <f t="shared" si="555"/>
        <v>NO APLICA</v>
      </c>
      <c r="PV152" s="5"/>
      <c r="PW152" s="6"/>
      <c r="PX152" s="6"/>
      <c r="PY152" s="6"/>
      <c r="PZ152" s="5" t="str">
        <f t="shared" si="556"/>
        <v>NO APLICA</v>
      </c>
    </row>
    <row r="153" spans="1:442" ht="15.6" hidden="1" thickTop="1" thickBot="1" x14ac:dyDescent="0.35">
      <c r="A153" s="26">
        <v>150</v>
      </c>
      <c r="B153" s="27">
        <v>787</v>
      </c>
      <c r="C153" s="28" t="s">
        <v>765</v>
      </c>
      <c r="D153" s="29" t="s">
        <v>113</v>
      </c>
      <c r="E153" s="30" t="s">
        <v>126</v>
      </c>
      <c r="F153" s="3"/>
      <c r="G153" s="4">
        <v>46119</v>
      </c>
      <c r="H153" s="4">
        <f>DATE(YEAR(G153)+2,MONTH(G153),DAY(G153))</f>
        <v>46850</v>
      </c>
      <c r="I153" s="8">
        <f ca="1">H153-TODAY()</f>
        <v>705</v>
      </c>
      <c r="J153" s="5" t="str">
        <f t="shared" ca="1" si="455"/>
        <v>VIGENTE</v>
      </c>
      <c r="K153" s="2"/>
      <c r="L153" s="6"/>
      <c r="M153" s="6"/>
      <c r="N153" s="8"/>
      <c r="O153" s="5" t="str">
        <f t="shared" si="456"/>
        <v>NO APLICA</v>
      </c>
      <c r="P153" s="6"/>
      <c r="Q153" s="6"/>
      <c r="R153" s="4"/>
      <c r="S153" s="8"/>
      <c r="T153" s="5" t="str">
        <f t="shared" si="557"/>
        <v>NO APLICA</v>
      </c>
      <c r="U153" s="5"/>
      <c r="V153" s="2" t="s">
        <v>493</v>
      </c>
      <c r="W153" s="4">
        <v>45078</v>
      </c>
      <c r="X153" s="4">
        <f t="shared" si="410"/>
        <v>46905</v>
      </c>
      <c r="Y153" s="8">
        <f t="shared" ca="1" si="411"/>
        <v>760</v>
      </c>
      <c r="Z153" s="5" t="str">
        <f t="shared" ca="1" si="412"/>
        <v>VIGENTE</v>
      </c>
      <c r="AA153" s="5"/>
      <c r="AB153" s="2"/>
      <c r="AC153" s="6"/>
      <c r="AD153" s="4"/>
      <c r="AE153" s="8"/>
      <c r="AF153" s="5" t="str">
        <f t="shared" si="457"/>
        <v>NO APLICA</v>
      </c>
      <c r="AG153" s="3"/>
      <c r="AH153" s="4">
        <v>45902</v>
      </c>
      <c r="AI153" s="4">
        <f>DATE(YEAR(AH153)+2,MONTH(AH153),DAY(AH153))</f>
        <v>46632</v>
      </c>
      <c r="AJ153" s="8">
        <f t="shared" ca="1" si="458"/>
        <v>487</v>
      </c>
      <c r="AK153" s="5" t="str">
        <f t="shared" ca="1" si="408"/>
        <v>VIGENTE</v>
      </c>
      <c r="AL153" s="3"/>
      <c r="AM153" s="4">
        <v>45903</v>
      </c>
      <c r="AN153" s="4">
        <f t="shared" si="572"/>
        <v>46633</v>
      </c>
      <c r="AO153" s="8">
        <f t="shared" ca="1" si="459"/>
        <v>488</v>
      </c>
      <c r="AP153" s="5" t="str">
        <f t="shared" ca="1" si="460"/>
        <v>VIGENTE</v>
      </c>
      <c r="AQ153" s="2"/>
      <c r="AR153" s="4">
        <v>45740</v>
      </c>
      <c r="AS153" s="4">
        <f>DATE(YEAR(AR153)+2,MONTH(AR153),DAY(AR153)-1)</f>
        <v>46469</v>
      </c>
      <c r="AT153" s="8">
        <f t="shared" ca="1" si="461"/>
        <v>324</v>
      </c>
      <c r="AU153" s="5" t="str">
        <f t="shared" ca="1" si="462"/>
        <v>VIGENTE</v>
      </c>
      <c r="AV153" s="3"/>
      <c r="AW153" s="4">
        <v>45702</v>
      </c>
      <c r="AX153" s="4">
        <f>DATE(YEAR(AW153)+2,MONTH(AW153),DAY(AW153)-1)</f>
        <v>46431</v>
      </c>
      <c r="AY153" s="8">
        <f t="shared" ca="1" si="463"/>
        <v>286</v>
      </c>
      <c r="AZ153" s="5" t="str">
        <f t="shared" ca="1" si="464"/>
        <v>VIGENTE</v>
      </c>
      <c r="BA153" s="3"/>
      <c r="BB153" s="4">
        <v>45742</v>
      </c>
      <c r="BC153" s="4">
        <f>DATE(YEAR(BB153)+2,MONTH(BB153),DAY(BB153)-1)</f>
        <v>46471</v>
      </c>
      <c r="BD153" s="8">
        <f t="shared" ca="1" si="465"/>
        <v>326</v>
      </c>
      <c r="BE153" s="5" t="str">
        <f t="shared" ca="1" si="466"/>
        <v>VIGENTE</v>
      </c>
      <c r="BF153" s="3"/>
      <c r="BG153" s="4">
        <v>45997</v>
      </c>
      <c r="BH153" s="4">
        <f t="shared" si="582"/>
        <v>46727</v>
      </c>
      <c r="BI153" s="8">
        <f t="shared" ca="1" si="467"/>
        <v>582</v>
      </c>
      <c r="BJ153" s="5" t="str">
        <f t="shared" ca="1" si="468"/>
        <v>VIGENTE</v>
      </c>
      <c r="BK153" s="3"/>
      <c r="BL153" s="4">
        <v>46051</v>
      </c>
      <c r="BM153" s="4">
        <f>DATE(YEAR(BL153)+2,MONTH(BL153),DAY(BL153))</f>
        <v>46781</v>
      </c>
      <c r="BN153" s="8">
        <f t="shared" ca="1" si="469"/>
        <v>636</v>
      </c>
      <c r="BO153" s="5" t="str">
        <f t="shared" ca="1" si="470"/>
        <v>VIGENTE</v>
      </c>
      <c r="BP153" s="3"/>
      <c r="BQ153" s="39">
        <v>46050</v>
      </c>
      <c r="BR153" s="4">
        <f>DATE(YEAR(BQ153)+2,MONTH(BQ153),DAY(BQ153))</f>
        <v>46780</v>
      </c>
      <c r="BS153" s="8">
        <f t="shared" ca="1" si="471"/>
        <v>635</v>
      </c>
      <c r="BT153" s="5" t="str">
        <f t="shared" ca="1" si="472"/>
        <v>VIGENTE</v>
      </c>
      <c r="BU153" s="3"/>
      <c r="BV153" s="4">
        <v>45572</v>
      </c>
      <c r="BW153" s="4">
        <f>DATE(YEAR(BV153)+2,MONTH(BV153),DAY(BV153)-1)</f>
        <v>46301</v>
      </c>
      <c r="BX153" s="8">
        <f t="shared" ca="1" si="473"/>
        <v>156</v>
      </c>
      <c r="BY153" s="5" t="str">
        <f t="shared" ca="1" si="474"/>
        <v>VIGENTE</v>
      </c>
      <c r="BZ153" s="3"/>
      <c r="CA153" s="4">
        <v>45944</v>
      </c>
      <c r="CB153" s="4">
        <f t="shared" si="574"/>
        <v>46674</v>
      </c>
      <c r="CC153" s="8">
        <f t="shared" ca="1" si="475"/>
        <v>529</v>
      </c>
      <c r="CD153" s="5" t="str">
        <f t="shared" ca="1" si="476"/>
        <v>VIGENTE</v>
      </c>
      <c r="CE153" s="6"/>
      <c r="CF153" s="4">
        <v>45828</v>
      </c>
      <c r="CG153" s="4">
        <f t="shared" si="416"/>
        <v>47289</v>
      </c>
      <c r="CH153" s="8">
        <f t="shared" ca="1" si="417"/>
        <v>1144</v>
      </c>
      <c r="CI153" s="5" t="str">
        <f t="shared" ca="1" si="573"/>
        <v>VIGENTE</v>
      </c>
      <c r="CJ153" s="4"/>
      <c r="CK153" s="4">
        <v>45688</v>
      </c>
      <c r="CL153" s="4">
        <f>DATE(YEAR(CK153)+2,MONTH(CK153),DAY(CK153)-1)</f>
        <v>46417</v>
      </c>
      <c r="CM153" s="8">
        <f t="shared" ca="1" si="477"/>
        <v>272</v>
      </c>
      <c r="CN153" s="5" t="str">
        <f t="shared" ca="1" si="478"/>
        <v>VIGENTE</v>
      </c>
      <c r="CO153" s="3"/>
      <c r="CP153" s="39">
        <v>45769</v>
      </c>
      <c r="CQ153" s="4">
        <f>DATE(YEAR(CP153)+2,MONTH(CP153),DAY(CP153))</f>
        <v>46499</v>
      </c>
      <c r="CR153" s="8">
        <f t="shared" ca="1" si="479"/>
        <v>354</v>
      </c>
      <c r="CS153" s="5" t="str">
        <f t="shared" ca="1" si="480"/>
        <v>VIGENTE</v>
      </c>
      <c r="CT153" s="3"/>
      <c r="CU153" s="4">
        <v>46043</v>
      </c>
      <c r="CV153" s="4">
        <f>DATE(YEAR(CU153)+2,MONTH(CU153),DAY(CU153))</f>
        <v>46773</v>
      </c>
      <c r="CW153" s="8">
        <f t="shared" ca="1" si="481"/>
        <v>628</v>
      </c>
      <c r="CX153" s="5" t="str">
        <f t="shared" ca="1" si="482"/>
        <v>VIGENTE</v>
      </c>
      <c r="CY153" s="3"/>
      <c r="CZ153" s="4">
        <v>45989</v>
      </c>
      <c r="DA153" s="4">
        <f>DATE(YEAR(CZ153)+2,MONTH(CZ153),DAY(CZ153))</f>
        <v>46719</v>
      </c>
      <c r="DB153" s="8">
        <f t="shared" ca="1" si="483"/>
        <v>574</v>
      </c>
      <c r="DC153" s="5" t="str">
        <f t="shared" ca="1" si="484"/>
        <v>VIGENTE</v>
      </c>
      <c r="DD153" s="3"/>
      <c r="DE153" s="39">
        <v>45723</v>
      </c>
      <c r="DF153" s="4">
        <f>DATE(YEAR(DE153)+2,MONTH(DE153),DAY(DE153)-1)</f>
        <v>46452</v>
      </c>
      <c r="DG153" s="8">
        <f t="shared" ca="1" si="485"/>
        <v>307</v>
      </c>
      <c r="DH153" s="5" t="str">
        <f t="shared" ca="1" si="486"/>
        <v>VIGENTE</v>
      </c>
      <c r="DI153" s="2"/>
      <c r="DJ153" s="39">
        <v>45734</v>
      </c>
      <c r="DK153" s="4">
        <f>DATE(YEAR(DJ153)+2,MONTH(DJ153),DAY(DJ153)-1)</f>
        <v>46463</v>
      </c>
      <c r="DL153" s="8">
        <f t="shared" ca="1" si="487"/>
        <v>318</v>
      </c>
      <c r="DM153" s="5" t="str">
        <f t="shared" ca="1" si="488"/>
        <v>VIGENTE</v>
      </c>
      <c r="DN153" s="3"/>
      <c r="DO153" s="4">
        <v>45731</v>
      </c>
      <c r="DP153" s="4">
        <f>DATE(YEAR(DO153)+2,MONTH(DO153),DAY(DO153)-1)</f>
        <v>46460</v>
      </c>
      <c r="DQ153" s="8">
        <f t="shared" ca="1" si="489"/>
        <v>315</v>
      </c>
      <c r="DR153" s="5" t="str">
        <f t="shared" ca="1" si="490"/>
        <v>VIGENTE</v>
      </c>
      <c r="DS153" s="2"/>
      <c r="DT153" s="4">
        <v>45743</v>
      </c>
      <c r="DU153" s="4">
        <f>DATE(YEAR(DT153)+2,MONTH(DT153),DAY(DT153)-1)</f>
        <v>46472</v>
      </c>
      <c r="DV153" s="8">
        <f t="shared" ca="1" si="491"/>
        <v>327</v>
      </c>
      <c r="DW153" s="5" t="str">
        <f t="shared" ca="1" si="492"/>
        <v>VIGENTE</v>
      </c>
      <c r="DX153" s="3"/>
      <c r="DY153" s="4">
        <v>45663</v>
      </c>
      <c r="DZ153" s="4">
        <f>DATE(YEAR(DY153)+2,MONTH(DY153),DAY(DY153)-1)</f>
        <v>46392</v>
      </c>
      <c r="EA153" s="8">
        <f t="shared" ca="1" si="493"/>
        <v>247</v>
      </c>
      <c r="EB153" s="5" t="str">
        <f t="shared" ca="1" si="494"/>
        <v>VIGENTE</v>
      </c>
      <c r="EC153" s="3"/>
      <c r="ED153" s="39">
        <v>45674</v>
      </c>
      <c r="EE153" s="4">
        <f>DATE(YEAR(ED153)+2,MONTH(ED153),DAY(ED153)-1)</f>
        <v>46403</v>
      </c>
      <c r="EF153" s="8">
        <f t="shared" ca="1" si="495"/>
        <v>258</v>
      </c>
      <c r="EG153" s="5" t="str">
        <f t="shared" ca="1" si="496"/>
        <v>VIGENTE</v>
      </c>
      <c r="EH153" s="3"/>
      <c r="EI153" s="3">
        <v>46060</v>
      </c>
      <c r="EJ153" s="4">
        <f t="shared" si="558"/>
        <v>46425</v>
      </c>
      <c r="EK153" s="8">
        <f t="shared" ca="1" si="497"/>
        <v>280</v>
      </c>
      <c r="EL153" s="5" t="str">
        <f t="shared" ca="1" si="498"/>
        <v>VIGENTE</v>
      </c>
      <c r="EM153" s="3"/>
      <c r="EN153" s="4">
        <v>45705</v>
      </c>
      <c r="EO153" s="4">
        <f>DATE(YEAR(EN153)+2,MONTH(EN153),DAY(EN153)-1)</f>
        <v>46434</v>
      </c>
      <c r="EP153" s="8">
        <f t="shared" ca="1" si="499"/>
        <v>289</v>
      </c>
      <c r="EQ153" s="5" t="str">
        <f t="shared" ca="1" si="500"/>
        <v>VIGENTE</v>
      </c>
      <c r="ER153" s="3"/>
      <c r="ES153" s="39">
        <v>45623</v>
      </c>
      <c r="ET153" s="4">
        <f>DATE(YEAR(ES153)+2,MONTH(ES153),DAY(ES153)-1)</f>
        <v>46352</v>
      </c>
      <c r="EU153" s="8">
        <f t="shared" ca="1" si="501"/>
        <v>207</v>
      </c>
      <c r="EV153" s="5" t="str">
        <f t="shared" ca="1" si="502"/>
        <v>VIGENTE</v>
      </c>
      <c r="EW153" s="3"/>
      <c r="EX153" s="4">
        <v>45917</v>
      </c>
      <c r="EY153" s="4">
        <f t="shared" si="575"/>
        <v>46647</v>
      </c>
      <c r="EZ153" s="8">
        <f t="shared" ca="1" si="503"/>
        <v>502</v>
      </c>
      <c r="FA153" s="5" t="str">
        <f t="shared" ca="1" si="504"/>
        <v>VIGENTE</v>
      </c>
      <c r="FB153" s="3"/>
      <c r="FC153" s="4">
        <v>45988</v>
      </c>
      <c r="FD153" s="4">
        <f t="shared" si="576"/>
        <v>46718</v>
      </c>
      <c r="FE153" s="8">
        <f t="shared" ca="1" si="505"/>
        <v>573</v>
      </c>
      <c r="FF153" s="5" t="str">
        <f t="shared" ca="1" si="506"/>
        <v>VIGENTE</v>
      </c>
      <c r="FG153" s="3"/>
      <c r="FH153" s="4">
        <v>45668</v>
      </c>
      <c r="FI153" s="4">
        <f>DATE(YEAR(FH153)+2,MONTH(FH153),DAY(FH153)-1)</f>
        <v>46397</v>
      </c>
      <c r="FJ153" s="8">
        <f t="shared" ca="1" si="507"/>
        <v>252</v>
      </c>
      <c r="FK153" s="5" t="str">
        <f t="shared" ca="1" si="508"/>
        <v>VIGENTE</v>
      </c>
      <c r="FL153" s="3"/>
      <c r="FM153" s="39">
        <v>45670</v>
      </c>
      <c r="FN153" s="4">
        <f>DATE(YEAR(FM153)+2,MONTH(FM153),DAY(FM153)-1)</f>
        <v>46399</v>
      </c>
      <c r="FO153" s="8">
        <f t="shared" ca="1" si="509"/>
        <v>254</v>
      </c>
      <c r="FP153" s="5" t="str">
        <f t="shared" ca="1" si="510"/>
        <v>VIGENTE</v>
      </c>
      <c r="FQ153" s="3"/>
      <c r="FR153" s="39">
        <v>45664</v>
      </c>
      <c r="FS153" s="4">
        <f>DATE(YEAR(FR153)+2,MONTH(FR153),DAY(FR153)-1)</f>
        <v>46393</v>
      </c>
      <c r="FT153" s="8">
        <f t="shared" ca="1" si="511"/>
        <v>248</v>
      </c>
      <c r="FU153" s="5" t="str">
        <f t="shared" ca="1" si="512"/>
        <v>VIGENTE</v>
      </c>
      <c r="FV153" s="3"/>
      <c r="FW153" s="4">
        <v>45993</v>
      </c>
      <c r="FX153" s="4">
        <f>DATE(YEAR(FW153)+2,MONTH(FW153),DAY(FW153))</f>
        <v>46723</v>
      </c>
      <c r="FY153" s="8">
        <f t="shared" ca="1" si="513"/>
        <v>578</v>
      </c>
      <c r="FZ153" s="5" t="str">
        <f t="shared" ca="1" si="514"/>
        <v>VIGENTE</v>
      </c>
      <c r="GA153" s="3"/>
      <c r="GB153" s="4">
        <v>45741</v>
      </c>
      <c r="GC153" s="4">
        <f>DATE(YEAR(GB153)+2,MONTH(GB153),DAY(GB153)-1)</f>
        <v>46470</v>
      </c>
      <c r="GD153" s="8">
        <f t="shared" ca="1" si="515"/>
        <v>325</v>
      </c>
      <c r="GE153" s="5" t="str">
        <f t="shared" ca="1" si="516"/>
        <v>VIGENTE</v>
      </c>
      <c r="GF153" s="3"/>
      <c r="GG153" s="4">
        <v>45752</v>
      </c>
      <c r="GH153" s="4">
        <f>DATE(YEAR(GG153)+2,MONTH(GG153),DAY(GG153)-1)</f>
        <v>46481</v>
      </c>
      <c r="GI153" s="8">
        <f t="shared" ca="1" si="517"/>
        <v>336</v>
      </c>
      <c r="GJ153" s="5" t="str">
        <f t="shared" ca="1" si="518"/>
        <v>VIGENTE</v>
      </c>
      <c r="GK153" s="3"/>
      <c r="GL153" s="4">
        <v>45687</v>
      </c>
      <c r="GM153" s="4">
        <f>DATE(YEAR(GL153)+2,MONTH(GL153),DAY(GL153)-1)</f>
        <v>46416</v>
      </c>
      <c r="GN153" s="8">
        <f t="shared" ca="1" si="519"/>
        <v>271</v>
      </c>
      <c r="GO153" s="5" t="str">
        <f t="shared" ca="1" si="520"/>
        <v>VIGENTE</v>
      </c>
      <c r="GP153" s="4"/>
      <c r="GQ153" s="4">
        <v>45048</v>
      </c>
      <c r="GR153" s="4">
        <f t="shared" si="521"/>
        <v>46875</v>
      </c>
      <c r="GS153" s="8">
        <f t="shared" ca="1" si="405"/>
        <v>730</v>
      </c>
      <c r="GT153" s="5" t="str">
        <f t="shared" ca="1" si="419"/>
        <v>VIGENTE</v>
      </c>
      <c r="GU153" s="3"/>
      <c r="GV153" s="4">
        <v>45010</v>
      </c>
      <c r="GW153" s="4">
        <f t="shared" si="522"/>
        <v>46837</v>
      </c>
      <c r="GX153" s="8">
        <f t="shared" ca="1" si="523"/>
        <v>692</v>
      </c>
      <c r="GY153" s="5" t="str">
        <f t="shared" ca="1" si="426"/>
        <v>VIGENTE</v>
      </c>
      <c r="GZ153" s="2"/>
      <c r="HA153" s="4">
        <v>45073</v>
      </c>
      <c r="HB153" s="4">
        <f t="shared" si="524"/>
        <v>46900</v>
      </c>
      <c r="HC153" s="8">
        <f t="shared" ca="1" si="525"/>
        <v>755</v>
      </c>
      <c r="HD153" s="5" t="str">
        <f t="shared" ca="1" si="421"/>
        <v>VIGENTE</v>
      </c>
      <c r="HE153" s="6"/>
      <c r="HF153" s="6"/>
      <c r="HG153" s="4"/>
      <c r="HH153" s="8"/>
      <c r="HI153" s="5" t="str">
        <f t="shared" si="427"/>
        <v>NO APLICA</v>
      </c>
      <c r="HJ153" s="2"/>
      <c r="HK153" s="6"/>
      <c r="HL153" s="4"/>
      <c r="HM153" s="8"/>
      <c r="HN153" s="5" t="str">
        <f t="shared" si="444"/>
        <v>NO APLICA</v>
      </c>
      <c r="HO153" s="2"/>
      <c r="HP153" s="2"/>
      <c r="HQ153" s="4"/>
      <c r="HR153" s="2"/>
      <c r="HS153" s="5" t="str">
        <f t="shared" si="526"/>
        <v>NO APLICA</v>
      </c>
      <c r="HT153" s="2"/>
      <c r="HU153" s="6"/>
      <c r="HV153" s="4"/>
      <c r="HW153" s="8"/>
      <c r="HX153" s="5" t="str">
        <f t="shared" si="527"/>
        <v>NO APLICA</v>
      </c>
      <c r="HY153" s="2"/>
      <c r="HZ153" s="6"/>
      <c r="IA153" s="4"/>
      <c r="IB153" s="8"/>
      <c r="IC153" s="5" t="str">
        <f t="shared" si="528"/>
        <v>NO APLICA</v>
      </c>
      <c r="ID153" s="2"/>
      <c r="IE153" s="6"/>
      <c r="IF153" s="4"/>
      <c r="IG153" s="8"/>
      <c r="IH153" s="5" t="str">
        <f t="shared" si="529"/>
        <v>NO APLICA</v>
      </c>
      <c r="II153" s="6"/>
      <c r="IJ153" s="6"/>
      <c r="IK153" s="4"/>
      <c r="IL153" s="8"/>
      <c r="IM153" s="5" t="str">
        <f t="shared" si="530"/>
        <v>NO APLICA</v>
      </c>
      <c r="IN153" s="2"/>
      <c r="IO153" s="6"/>
      <c r="IP153" s="4"/>
      <c r="IQ153" s="8"/>
      <c r="IR153" s="5" t="str">
        <f t="shared" si="531"/>
        <v>NO APLICA</v>
      </c>
      <c r="IS153" s="2"/>
      <c r="IT153" s="6"/>
      <c r="IU153" s="4"/>
      <c r="IV153" s="8"/>
      <c r="IW153" s="5" t="str">
        <f t="shared" si="532"/>
        <v>NO APLICA</v>
      </c>
      <c r="IX153" s="2"/>
      <c r="IY153" s="6"/>
      <c r="IZ153" s="4"/>
      <c r="JA153" s="8"/>
      <c r="JB153" s="5" t="str">
        <f t="shared" si="533"/>
        <v>NO APLICA</v>
      </c>
      <c r="JC153" s="3" t="s">
        <v>780</v>
      </c>
      <c r="JD153" s="3"/>
      <c r="JE153" s="4"/>
      <c r="JF153" s="8"/>
      <c r="JG153" s="5"/>
      <c r="JH153" s="3" t="s">
        <v>780</v>
      </c>
      <c r="JI153" s="6"/>
      <c r="JJ153" s="6"/>
      <c r="JK153" s="6"/>
      <c r="JL153" s="5"/>
      <c r="JM153" s="6" t="s">
        <v>780</v>
      </c>
      <c r="JN153" s="6"/>
      <c r="JO153" s="6"/>
      <c r="JP153" s="6"/>
      <c r="JQ153" s="5"/>
      <c r="JR153" s="6" t="s">
        <v>780</v>
      </c>
      <c r="JS153" s="6"/>
      <c r="JT153" s="6"/>
      <c r="JU153" s="6"/>
      <c r="JV153" s="5"/>
      <c r="JW153" s="6" t="s">
        <v>780</v>
      </c>
      <c r="JX153" s="5"/>
      <c r="JY153" s="5"/>
      <c r="JZ153" s="5"/>
      <c r="KA153" s="5"/>
      <c r="KB153" s="5"/>
      <c r="KC153" s="2"/>
      <c r="KD153" s="4"/>
      <c r="KE153" s="8"/>
      <c r="KF153" s="5" t="str">
        <f t="shared" si="534"/>
        <v>NO APLICA</v>
      </c>
      <c r="KG153" s="5"/>
      <c r="KH153" s="2"/>
      <c r="KI153" s="4"/>
      <c r="KJ153" s="8"/>
      <c r="KK153" s="5" t="str">
        <f t="shared" si="559"/>
        <v>NO APLICA</v>
      </c>
      <c r="KL153" s="5"/>
      <c r="KM153" s="2"/>
      <c r="KN153" s="4"/>
      <c r="KO153" s="8"/>
      <c r="KP153" s="5" t="str">
        <f t="shared" si="535"/>
        <v>NO APLICA</v>
      </c>
      <c r="KQ153" s="5"/>
      <c r="KR153" s="2"/>
      <c r="KS153" s="4"/>
      <c r="KT153" s="8"/>
      <c r="KU153" s="5" t="str">
        <f t="shared" si="560"/>
        <v>NO APLICA</v>
      </c>
      <c r="KV153" s="2"/>
      <c r="KW153" s="6"/>
      <c r="KX153" s="4"/>
      <c r="KY153" s="8"/>
      <c r="KZ153" s="5" t="str">
        <f t="shared" si="565"/>
        <v>NO APLICA</v>
      </c>
      <c r="LA153" s="5"/>
      <c r="LB153" s="6"/>
      <c r="LC153" s="4"/>
      <c r="LD153" s="8"/>
      <c r="LE153" s="5" t="str">
        <f t="shared" si="561"/>
        <v>NO APLICA</v>
      </c>
      <c r="LF153" s="6"/>
      <c r="LG153" s="6"/>
      <c r="LH153" s="4"/>
      <c r="LI153" s="8"/>
      <c r="LJ153" s="5" t="str">
        <f t="shared" si="567"/>
        <v>NO APLICA</v>
      </c>
      <c r="LK153" s="5"/>
      <c r="LL153" s="5"/>
      <c r="LM153" s="4"/>
      <c r="LN153" s="8"/>
      <c r="LO153" s="5" t="str">
        <f t="shared" si="566"/>
        <v>NO APLICA</v>
      </c>
      <c r="LP153" s="2"/>
      <c r="LQ153" s="6"/>
      <c r="LR153" s="4"/>
      <c r="LS153" s="8"/>
      <c r="LT153" s="5" t="str">
        <f t="shared" si="562"/>
        <v>NO APLICA</v>
      </c>
      <c r="LU153" s="6"/>
      <c r="LV153" s="6"/>
      <c r="LW153" s="4"/>
      <c r="LX153" s="8"/>
      <c r="LY153" s="5" t="str">
        <f t="shared" si="563"/>
        <v>NO APLICA</v>
      </c>
      <c r="LZ153" s="6"/>
      <c r="MA153" s="6"/>
      <c r="MB153" s="4"/>
      <c r="MC153" s="8"/>
      <c r="MD153" s="5" t="str">
        <f t="shared" si="564"/>
        <v>NO APLICA</v>
      </c>
      <c r="ME153" s="2"/>
      <c r="MF153" s="2"/>
      <c r="MG153" s="4"/>
      <c r="MH153" s="8"/>
      <c r="MI153" s="5" t="str">
        <f t="shared" si="537"/>
        <v>NO APLICA</v>
      </c>
      <c r="MJ153" s="2"/>
      <c r="MK153" s="2"/>
      <c r="ML153" s="4"/>
      <c r="MM153" s="8"/>
      <c r="MN153" s="5" t="str">
        <f t="shared" si="538"/>
        <v>NO APLICA</v>
      </c>
      <c r="MO153" s="5"/>
      <c r="MP153" s="2"/>
      <c r="MQ153" s="4"/>
      <c r="MR153" s="8"/>
      <c r="MS153" s="5" t="str">
        <f t="shared" si="539"/>
        <v>NO APLICA</v>
      </c>
      <c r="MT153" s="5"/>
      <c r="MU153" s="2"/>
      <c r="MV153" s="4"/>
      <c r="MW153" s="2"/>
      <c r="MX153" s="5" t="str">
        <f t="shared" si="540"/>
        <v>NO APLICA</v>
      </c>
      <c r="MY153" s="2"/>
      <c r="MZ153" s="6"/>
      <c r="NA153" s="4"/>
      <c r="NB153" s="8"/>
      <c r="NC153" s="5" t="str">
        <f t="shared" si="541"/>
        <v>NO APLICA</v>
      </c>
      <c r="ND153" s="2"/>
      <c r="NE153" s="6"/>
      <c r="NF153" s="4"/>
      <c r="NG153" s="8"/>
      <c r="NH153" s="5" t="str">
        <f t="shared" si="542"/>
        <v>NO APLICA</v>
      </c>
      <c r="NI153" s="2"/>
      <c r="NJ153" s="6"/>
      <c r="NK153" s="4"/>
      <c r="NL153" s="8"/>
      <c r="NM153" s="5" t="str">
        <f t="shared" si="543"/>
        <v>NO APLICA</v>
      </c>
      <c r="NN153" s="2"/>
      <c r="NO153" s="2"/>
      <c r="NP153" s="4"/>
      <c r="NQ153" s="8"/>
      <c r="NR153" s="5" t="str">
        <f t="shared" si="544"/>
        <v>NO APLICA</v>
      </c>
      <c r="NS153" s="2"/>
      <c r="NT153" s="2"/>
      <c r="NU153" s="2"/>
      <c r="NV153" s="2"/>
      <c r="NW153" s="5" t="str">
        <f t="shared" si="545"/>
        <v>NO APLICA</v>
      </c>
      <c r="NX153" s="6"/>
      <c r="NY153" s="6"/>
      <c r="NZ153" s="4"/>
      <c r="OA153" s="8"/>
      <c r="OB153" s="5" t="str">
        <f t="shared" si="546"/>
        <v>NO APLICA</v>
      </c>
      <c r="OC153" s="6"/>
      <c r="OD153" s="6"/>
      <c r="OE153" s="6"/>
      <c r="OF153" s="6"/>
      <c r="OG153" s="5" t="str">
        <f t="shared" si="547"/>
        <v>NO APLICA</v>
      </c>
      <c r="OH153" s="2"/>
      <c r="OI153" s="2"/>
      <c r="OJ153" s="4"/>
      <c r="OK153" s="8"/>
      <c r="OL153" s="5" t="str">
        <f t="shared" si="548"/>
        <v>NO APLICA</v>
      </c>
      <c r="OM153" s="6"/>
      <c r="ON153" s="6"/>
      <c r="OO153" s="6"/>
      <c r="OP153" s="6"/>
      <c r="OQ153" s="5" t="str">
        <f t="shared" si="549"/>
        <v>NO APLICA</v>
      </c>
      <c r="OR153" s="6"/>
      <c r="OS153" s="6"/>
      <c r="OT153" s="6"/>
      <c r="OU153" s="6"/>
      <c r="OV153" s="5" t="str">
        <f t="shared" si="550"/>
        <v>NO APLICA</v>
      </c>
      <c r="OW153" s="6"/>
      <c r="OX153" s="6"/>
      <c r="OY153" s="6"/>
      <c r="OZ153" s="6"/>
      <c r="PA153" s="5" t="str">
        <f t="shared" si="551"/>
        <v>NO APLICA</v>
      </c>
      <c r="PB153" s="6"/>
      <c r="PC153" s="6"/>
      <c r="PD153" s="6"/>
      <c r="PE153" s="6"/>
      <c r="PF153" s="5" t="str">
        <f t="shared" si="552"/>
        <v>NO APLICA</v>
      </c>
      <c r="PG153" s="6"/>
      <c r="PH153" s="6"/>
      <c r="PI153" s="6"/>
      <c r="PJ153" s="6"/>
      <c r="PK153" s="5" t="str">
        <f t="shared" si="553"/>
        <v>NO APLICA</v>
      </c>
      <c r="PL153" s="5"/>
      <c r="PM153" s="6"/>
      <c r="PN153" s="4"/>
      <c r="PO153" s="8"/>
      <c r="PP153" s="5" t="str">
        <f t="shared" si="554"/>
        <v>NO APLICA</v>
      </c>
      <c r="PQ153" s="6"/>
      <c r="PR153" s="6"/>
      <c r="PS153" s="6"/>
      <c r="PT153" s="6"/>
      <c r="PU153" s="5" t="str">
        <f t="shared" si="555"/>
        <v>NO APLICA</v>
      </c>
      <c r="PV153" s="5"/>
      <c r="PW153" s="6"/>
      <c r="PX153" s="6"/>
      <c r="PY153" s="6"/>
      <c r="PZ153" s="5" t="str">
        <f t="shared" si="556"/>
        <v>NO APLICA</v>
      </c>
    </row>
    <row r="154" spans="1:442" ht="15.6" hidden="1" thickTop="1" thickBot="1" x14ac:dyDescent="0.35">
      <c r="A154" s="26">
        <v>151</v>
      </c>
      <c r="B154" s="31">
        <v>325</v>
      </c>
      <c r="C154" s="28" t="s">
        <v>494</v>
      </c>
      <c r="D154" s="29" t="s">
        <v>68</v>
      </c>
      <c r="E154" s="30" t="s">
        <v>129</v>
      </c>
      <c r="F154" s="5"/>
      <c r="G154" s="6"/>
      <c r="H154" s="4"/>
      <c r="I154" s="8"/>
      <c r="J154" s="5" t="str">
        <f t="shared" si="455"/>
        <v>NO APLICA</v>
      </c>
      <c r="K154" s="5"/>
      <c r="L154" s="6"/>
      <c r="M154" s="6"/>
      <c r="N154" s="8"/>
      <c r="O154" s="5" t="str">
        <f t="shared" si="456"/>
        <v>NO APLICA</v>
      </c>
      <c r="P154" s="6"/>
      <c r="Q154" s="6"/>
      <c r="R154" s="4"/>
      <c r="S154" s="8"/>
      <c r="T154" s="5" t="str">
        <f t="shared" si="557"/>
        <v>NO APLICA</v>
      </c>
      <c r="U154" s="5"/>
      <c r="V154" s="2" t="s">
        <v>495</v>
      </c>
      <c r="W154" s="4">
        <v>45216</v>
      </c>
      <c r="X154" s="4">
        <f t="shared" si="410"/>
        <v>47043</v>
      </c>
      <c r="Y154" s="8">
        <f t="shared" ca="1" si="411"/>
        <v>898</v>
      </c>
      <c r="Z154" s="5" t="str">
        <f t="shared" ca="1" si="412"/>
        <v>VIGENTE</v>
      </c>
      <c r="AA154" s="5"/>
      <c r="AB154" s="2" t="s">
        <v>496</v>
      </c>
      <c r="AC154" s="4">
        <v>44579</v>
      </c>
      <c r="AD154" s="4">
        <f>DATE(YEAR(AC154)+5,MONTH(AC154),DAY(AC154))</f>
        <v>46405</v>
      </c>
      <c r="AE154" s="8">
        <f ca="1">AD154-TODAY()</f>
        <v>260</v>
      </c>
      <c r="AF154" s="5" t="str">
        <f t="shared" ca="1" si="457"/>
        <v>VIGENTE</v>
      </c>
      <c r="AG154" s="3"/>
      <c r="AH154" s="4">
        <v>45902</v>
      </c>
      <c r="AI154" s="4">
        <f>DATE(YEAR(AH154)+2,MONTH(AH154),DAY(AH154))</f>
        <v>46632</v>
      </c>
      <c r="AJ154" s="8">
        <f t="shared" ca="1" si="458"/>
        <v>487</v>
      </c>
      <c r="AK154" s="5" t="str">
        <f t="shared" ca="1" si="408"/>
        <v>VIGENTE</v>
      </c>
      <c r="AL154" s="3"/>
      <c r="AM154" s="4">
        <v>45926</v>
      </c>
      <c r="AN154" s="4">
        <f t="shared" si="572"/>
        <v>46656</v>
      </c>
      <c r="AO154" s="8">
        <f t="shared" ca="1" si="459"/>
        <v>511</v>
      </c>
      <c r="AP154" s="5" t="str">
        <f t="shared" ca="1" si="460"/>
        <v>VIGENTE</v>
      </c>
      <c r="AQ154" s="3"/>
      <c r="AR154" s="4">
        <v>45904</v>
      </c>
      <c r="AS154" s="4">
        <f>DATE(YEAR(AR154)+2,MONTH(AR154),DAY(AR154))</f>
        <v>46634</v>
      </c>
      <c r="AT154" s="8">
        <f t="shared" ca="1" si="461"/>
        <v>489</v>
      </c>
      <c r="AU154" s="5" t="str">
        <f t="shared" ca="1" si="462"/>
        <v>VIGENTE</v>
      </c>
      <c r="AV154" s="3"/>
      <c r="AW154" s="4">
        <v>45990</v>
      </c>
      <c r="AX154" s="4">
        <f>DATE(YEAR(AW154)+2,MONTH(AW154),DAY(AW154))</f>
        <v>46720</v>
      </c>
      <c r="AY154" s="8">
        <f t="shared" ca="1" si="463"/>
        <v>575</v>
      </c>
      <c r="AZ154" s="5" t="str">
        <f t="shared" ca="1" si="464"/>
        <v>VIGENTE</v>
      </c>
      <c r="BA154" s="3"/>
      <c r="BB154" s="4">
        <v>45901</v>
      </c>
      <c r="BC154" s="4">
        <f>DATE(YEAR(BB154)+2,MONTH(BB154),DAY(BB154))</f>
        <v>46631</v>
      </c>
      <c r="BD154" s="8">
        <f t="shared" ca="1" si="465"/>
        <v>486</v>
      </c>
      <c r="BE154" s="5" t="str">
        <f t="shared" ca="1" si="466"/>
        <v>VIGENTE</v>
      </c>
      <c r="BF154" s="3"/>
      <c r="BG154" s="4">
        <v>45880</v>
      </c>
      <c r="BH154" s="4">
        <f t="shared" si="582"/>
        <v>46610</v>
      </c>
      <c r="BI154" s="8">
        <f t="shared" ca="1" si="467"/>
        <v>465</v>
      </c>
      <c r="BJ154" s="5" t="str">
        <f t="shared" ca="1" si="468"/>
        <v>VIGENTE</v>
      </c>
      <c r="BK154" s="3"/>
      <c r="BL154" s="4">
        <v>45699</v>
      </c>
      <c r="BM154" s="4">
        <f>DATE(YEAR(BL154)+2,MONTH(BL154),DAY(BL154)-1)</f>
        <v>46428</v>
      </c>
      <c r="BN154" s="8">
        <f t="shared" ca="1" si="469"/>
        <v>283</v>
      </c>
      <c r="BO154" s="5" t="str">
        <f t="shared" ca="1" si="470"/>
        <v>VIGENTE</v>
      </c>
      <c r="BP154" s="3"/>
      <c r="BQ154" s="39">
        <v>45981</v>
      </c>
      <c r="BR154" s="4">
        <f>DATE(YEAR(BQ154)+2,MONTH(BQ154),DAY(BQ154))</f>
        <v>46711</v>
      </c>
      <c r="BS154" s="8">
        <f t="shared" ca="1" si="471"/>
        <v>566</v>
      </c>
      <c r="BT154" s="5" t="str">
        <f t="shared" ca="1" si="472"/>
        <v>VIGENTE</v>
      </c>
      <c r="BU154" s="3"/>
      <c r="BV154" s="4">
        <v>45871</v>
      </c>
      <c r="BW154" s="4">
        <f>DATE(YEAR(BV154)+2,MONTH(BV154),DAY(BV154))</f>
        <v>46601</v>
      </c>
      <c r="BX154" s="8">
        <f t="shared" ca="1" si="473"/>
        <v>456</v>
      </c>
      <c r="BY154" s="5" t="str">
        <f t="shared" ca="1" si="474"/>
        <v>VIGENTE</v>
      </c>
      <c r="BZ154" s="3"/>
      <c r="CA154" s="4">
        <v>45944</v>
      </c>
      <c r="CB154" s="4">
        <f t="shared" si="574"/>
        <v>46674</v>
      </c>
      <c r="CC154" s="8">
        <f t="shared" ca="1" si="475"/>
        <v>529</v>
      </c>
      <c r="CD154" s="5" t="str">
        <f t="shared" ca="1" si="476"/>
        <v>VIGENTE</v>
      </c>
      <c r="CE154" s="6"/>
      <c r="CF154" s="4">
        <v>45241</v>
      </c>
      <c r="CG154" s="4">
        <f t="shared" si="416"/>
        <v>46702</v>
      </c>
      <c r="CH154" s="8">
        <f t="shared" ca="1" si="417"/>
        <v>557</v>
      </c>
      <c r="CI154" s="5" t="str">
        <f t="shared" ca="1" si="573"/>
        <v>VIGENTE</v>
      </c>
      <c r="CJ154" s="4"/>
      <c r="CK154" s="4">
        <v>45895</v>
      </c>
      <c r="CL154" s="4">
        <f>DATE(YEAR(CK154)+2,MONTH(CK154),DAY(CK154))</f>
        <v>46625</v>
      </c>
      <c r="CM154" s="8">
        <f t="shared" ca="1" si="477"/>
        <v>480</v>
      </c>
      <c r="CN154" s="5" t="str">
        <f t="shared" ca="1" si="478"/>
        <v>VIGENTE</v>
      </c>
      <c r="CO154" s="3"/>
      <c r="CP154" s="39">
        <v>45898</v>
      </c>
      <c r="CQ154" s="4">
        <f>DATE(YEAR(CP154)+2,MONTH(CP154),DAY(CP154))</f>
        <v>46628</v>
      </c>
      <c r="CR154" s="8">
        <f t="shared" ca="1" si="479"/>
        <v>483</v>
      </c>
      <c r="CS154" s="5" t="str">
        <f t="shared" ca="1" si="480"/>
        <v>VIGENTE</v>
      </c>
      <c r="CT154" s="3"/>
      <c r="CU154" s="4">
        <v>45905</v>
      </c>
      <c r="CV154" s="4">
        <f>DATE(YEAR(CU154)+2,MONTH(CU154),DAY(CU154))</f>
        <v>46635</v>
      </c>
      <c r="CW154" s="8">
        <f t="shared" ca="1" si="481"/>
        <v>490</v>
      </c>
      <c r="CX154" s="5" t="str">
        <f t="shared" ca="1" si="482"/>
        <v>VIGENTE</v>
      </c>
      <c r="CY154" s="3"/>
      <c r="CZ154" s="4">
        <v>45924</v>
      </c>
      <c r="DA154" s="4">
        <f>DATE(YEAR(CZ154)+2,MONTH(CZ154),DAY(CZ154))</f>
        <v>46654</v>
      </c>
      <c r="DB154" s="8">
        <f t="shared" ca="1" si="483"/>
        <v>509</v>
      </c>
      <c r="DC154" s="5" t="str">
        <f t="shared" ca="1" si="484"/>
        <v>VIGENTE</v>
      </c>
      <c r="DD154" s="3"/>
      <c r="DE154" s="39">
        <v>45713</v>
      </c>
      <c r="DF154" s="4">
        <f>DATE(YEAR(DE154)+2,MONTH(DE154),DAY(DE154)-1)</f>
        <v>46442</v>
      </c>
      <c r="DG154" s="8">
        <f t="shared" ca="1" si="485"/>
        <v>297</v>
      </c>
      <c r="DH154" s="5" t="str">
        <f t="shared" ca="1" si="486"/>
        <v>VIGENTE</v>
      </c>
      <c r="DI154" s="3"/>
      <c r="DJ154" s="39">
        <v>45899</v>
      </c>
      <c r="DK154" s="4">
        <f>DATE(YEAR(DJ154)+2,MONTH(DJ154),DAY(DJ154))</f>
        <v>46629</v>
      </c>
      <c r="DL154" s="8">
        <f t="shared" ca="1" si="487"/>
        <v>484</v>
      </c>
      <c r="DM154" s="5" t="str">
        <f t="shared" ca="1" si="488"/>
        <v>VIGENTE</v>
      </c>
      <c r="DN154" s="3"/>
      <c r="DO154" s="4">
        <v>46007</v>
      </c>
      <c r="DP154" s="4">
        <f>DATE(YEAR(DO154)+2,MONTH(DO154),DAY(DO154))</f>
        <v>46737</v>
      </c>
      <c r="DQ154" s="8">
        <f t="shared" ca="1" si="489"/>
        <v>592</v>
      </c>
      <c r="DR154" s="5" t="str">
        <f t="shared" ca="1" si="490"/>
        <v>VIGENTE</v>
      </c>
      <c r="DS154" s="3"/>
      <c r="DT154" s="4">
        <v>45918</v>
      </c>
      <c r="DU154" s="4">
        <f>DATE(YEAR(DT154)+2,MONTH(DT154),DAY(DT154))</f>
        <v>46648</v>
      </c>
      <c r="DV154" s="8">
        <f t="shared" ca="1" si="491"/>
        <v>503</v>
      </c>
      <c r="DW154" s="5" t="str">
        <f t="shared" ca="1" si="492"/>
        <v>VIGENTE</v>
      </c>
      <c r="DX154" s="3"/>
      <c r="DY154" s="4">
        <v>46020</v>
      </c>
      <c r="DZ154" s="4">
        <f>DATE(YEAR(DY154)+2,MONTH(DY154),DAY(DY154))</f>
        <v>46750</v>
      </c>
      <c r="EA154" s="8">
        <f t="shared" ca="1" si="493"/>
        <v>605</v>
      </c>
      <c r="EB154" s="5" t="str">
        <f t="shared" ca="1" si="494"/>
        <v>VIGENTE</v>
      </c>
      <c r="EC154" s="3"/>
      <c r="ED154" s="39">
        <v>45913</v>
      </c>
      <c r="EE154" s="4">
        <f>DATE(YEAR(ED154)+2,MONTH(ED154),DAY(ED154))</f>
        <v>46643</v>
      </c>
      <c r="EF154" s="8">
        <f t="shared" ca="1" si="495"/>
        <v>498</v>
      </c>
      <c r="EG154" s="5" t="str">
        <f t="shared" ca="1" si="496"/>
        <v>VIGENTE</v>
      </c>
      <c r="EH154" s="3"/>
      <c r="EI154" s="4">
        <v>45948</v>
      </c>
      <c r="EJ154" s="4">
        <f t="shared" si="558"/>
        <v>46313</v>
      </c>
      <c r="EK154" s="8">
        <f t="shared" ca="1" si="497"/>
        <v>168</v>
      </c>
      <c r="EL154" s="5" t="str">
        <f t="shared" ca="1" si="498"/>
        <v>VIGENTE</v>
      </c>
      <c r="EM154" s="3"/>
      <c r="EN154" s="4">
        <v>45940</v>
      </c>
      <c r="EO154" s="4">
        <f>DATE(YEAR(EN154)+2,MONTH(EN154),DAY(EN154))</f>
        <v>46670</v>
      </c>
      <c r="EP154" s="8">
        <f t="shared" ca="1" si="499"/>
        <v>525</v>
      </c>
      <c r="EQ154" s="5" t="str">
        <f t="shared" ca="1" si="500"/>
        <v>VIGENTE</v>
      </c>
      <c r="ER154" s="3"/>
      <c r="ES154" s="39">
        <v>45824</v>
      </c>
      <c r="ET154" s="4">
        <f>DATE(YEAR(ES154)+2,MONTH(ES154),DAY(ES154))</f>
        <v>46554</v>
      </c>
      <c r="EU154" s="8">
        <f t="shared" ca="1" si="501"/>
        <v>409</v>
      </c>
      <c r="EV154" s="5" t="str">
        <f t="shared" ca="1" si="502"/>
        <v>VIGENTE</v>
      </c>
      <c r="EW154" s="3"/>
      <c r="EX154" s="4">
        <v>45917</v>
      </c>
      <c r="EY154" s="4">
        <f t="shared" si="575"/>
        <v>46647</v>
      </c>
      <c r="EZ154" s="8">
        <f t="shared" ca="1" si="503"/>
        <v>502</v>
      </c>
      <c r="FA154" s="5" t="str">
        <f t="shared" ca="1" si="504"/>
        <v>VIGENTE</v>
      </c>
      <c r="FB154" s="3"/>
      <c r="FC154" s="4">
        <v>45931</v>
      </c>
      <c r="FD154" s="4">
        <f t="shared" si="576"/>
        <v>46661</v>
      </c>
      <c r="FE154" s="8">
        <f t="shared" ca="1" si="505"/>
        <v>516</v>
      </c>
      <c r="FF154" s="5" t="str">
        <f t="shared" ca="1" si="506"/>
        <v>VIGENTE</v>
      </c>
      <c r="FG154" s="3"/>
      <c r="FH154" s="4">
        <v>45919</v>
      </c>
      <c r="FI154" s="4">
        <f>DATE(YEAR(FH154)+2,MONTH(FH154),DAY(FH154))</f>
        <v>46649</v>
      </c>
      <c r="FJ154" s="8">
        <f t="shared" ca="1" si="507"/>
        <v>504</v>
      </c>
      <c r="FK154" s="5" t="str">
        <f t="shared" ca="1" si="508"/>
        <v>VIGENTE</v>
      </c>
      <c r="FL154" s="3"/>
      <c r="FM154" s="39">
        <v>45920</v>
      </c>
      <c r="FN154" s="4">
        <f>DATE(YEAR(FM154)+2,MONTH(FM154),DAY(FM154))</f>
        <v>46650</v>
      </c>
      <c r="FO154" s="8">
        <f t="shared" ca="1" si="509"/>
        <v>505</v>
      </c>
      <c r="FP154" s="5" t="str">
        <f t="shared" ca="1" si="510"/>
        <v>VIGENTE</v>
      </c>
      <c r="FQ154" s="3"/>
      <c r="FR154" s="39">
        <v>45957</v>
      </c>
      <c r="FS154" s="4">
        <f>DATE(YEAR(FR154)+2,MONTH(FR154),DAY(FR154))</f>
        <v>46687</v>
      </c>
      <c r="FT154" s="8">
        <f t="shared" ca="1" si="511"/>
        <v>542</v>
      </c>
      <c r="FU154" s="5" t="str">
        <f t="shared" ca="1" si="512"/>
        <v>VIGENTE</v>
      </c>
      <c r="FV154" s="3"/>
      <c r="FW154" s="4">
        <v>45700</v>
      </c>
      <c r="FX154" s="4">
        <f>DATE(YEAR(FW154)+2,MONTH(FW154),DAY(FW154)-1)</f>
        <v>46429</v>
      </c>
      <c r="FY154" s="8">
        <f t="shared" ca="1" si="513"/>
        <v>284</v>
      </c>
      <c r="FZ154" s="5" t="str">
        <f t="shared" ca="1" si="514"/>
        <v>VIGENTE</v>
      </c>
      <c r="GA154" s="3"/>
      <c r="GB154" s="4">
        <v>45715</v>
      </c>
      <c r="GC154" s="4">
        <f>DATE(YEAR(GB154)+2,MONTH(GB154),DAY(GB154)-1)</f>
        <v>46444</v>
      </c>
      <c r="GD154" s="8">
        <f t="shared" ca="1" si="515"/>
        <v>299</v>
      </c>
      <c r="GE154" s="5" t="str">
        <f t="shared" ca="1" si="516"/>
        <v>VIGENTE</v>
      </c>
      <c r="GF154" s="3"/>
      <c r="GG154" s="4">
        <v>45912</v>
      </c>
      <c r="GH154" s="4">
        <f>DATE(YEAR(GG154)+2,MONTH(GG154),DAY(GG154))</f>
        <v>46642</v>
      </c>
      <c r="GI154" s="8">
        <f t="shared" ca="1" si="517"/>
        <v>497</v>
      </c>
      <c r="GJ154" s="5" t="str">
        <f t="shared" ca="1" si="518"/>
        <v>VIGENTE</v>
      </c>
      <c r="GK154" s="3"/>
      <c r="GL154" s="4">
        <v>45945</v>
      </c>
      <c r="GM154" s="4">
        <f>DATE(YEAR(GL154)+2,MONTH(GL154),DAY(GL154))</f>
        <v>46675</v>
      </c>
      <c r="GN154" s="8">
        <f t="shared" ca="1" si="519"/>
        <v>530</v>
      </c>
      <c r="GO154" s="5" t="str">
        <f t="shared" ca="1" si="520"/>
        <v>VIGENTE</v>
      </c>
      <c r="GP154" s="4"/>
      <c r="GQ154" s="4">
        <v>45244</v>
      </c>
      <c r="GR154" s="4">
        <f t="shared" si="521"/>
        <v>47071</v>
      </c>
      <c r="GS154" s="8">
        <f t="shared" ca="1" si="405"/>
        <v>926</v>
      </c>
      <c r="GT154" s="5" t="str">
        <f t="shared" ca="1" si="419"/>
        <v>VIGENTE</v>
      </c>
      <c r="GU154" s="3"/>
      <c r="GV154" s="4">
        <v>45252</v>
      </c>
      <c r="GW154" s="4">
        <f t="shared" si="522"/>
        <v>47079</v>
      </c>
      <c r="GX154" s="8">
        <f t="shared" ca="1" si="523"/>
        <v>934</v>
      </c>
      <c r="GY154" s="5" t="str">
        <f t="shared" ca="1" si="426"/>
        <v>VIGENTE</v>
      </c>
      <c r="GZ154" s="3"/>
      <c r="HA154" s="4">
        <v>45251</v>
      </c>
      <c r="HB154" s="4">
        <f t="shared" si="524"/>
        <v>47078</v>
      </c>
      <c r="HC154" s="8">
        <f t="shared" ca="1" si="525"/>
        <v>933</v>
      </c>
      <c r="HD154" s="5" t="str">
        <f t="shared" ca="1" si="421"/>
        <v>VIGENTE</v>
      </c>
      <c r="HE154" s="6"/>
      <c r="HF154" s="4">
        <v>45121</v>
      </c>
      <c r="HG154" s="4">
        <f t="shared" ref="HG154:HG162" si="583">DATE(YEAR(HF154)+5,MONTH(HF154),DAY(HF154))</f>
        <v>46948</v>
      </c>
      <c r="HH154" s="8">
        <f t="shared" ref="HH154:HH162" ca="1" si="584">HG154-TODAY()</f>
        <v>803</v>
      </c>
      <c r="HI154" s="5" t="str">
        <f t="shared" ca="1" si="427"/>
        <v>VIGENTE</v>
      </c>
      <c r="HJ154" s="2"/>
      <c r="HK154" s="6"/>
      <c r="HL154" s="4"/>
      <c r="HM154" s="8"/>
      <c r="HN154" s="5" t="str">
        <f t="shared" si="444"/>
        <v>NO APLICA</v>
      </c>
      <c r="HO154" s="2"/>
      <c r="HP154" s="5"/>
      <c r="HQ154" s="4"/>
      <c r="HR154" s="5"/>
      <c r="HS154" s="5" t="str">
        <f t="shared" si="526"/>
        <v>NO APLICA</v>
      </c>
      <c r="HT154" s="3"/>
      <c r="HU154" s="4">
        <v>45208</v>
      </c>
      <c r="HV154" s="4">
        <f>DATE(YEAR(HU154)+5,MONTH(HU154),DAY(HU154))</f>
        <v>47035</v>
      </c>
      <c r="HW154" s="8">
        <f ca="1">HV154-TODAY()</f>
        <v>890</v>
      </c>
      <c r="HX154" s="5" t="str">
        <f t="shared" ca="1" si="527"/>
        <v>VIGENTE</v>
      </c>
      <c r="HY154" s="3"/>
      <c r="HZ154" s="4">
        <v>45234</v>
      </c>
      <c r="IA154" s="4">
        <f>DATE(YEAR(HZ154)+5,MONTH(HZ154),DAY(HZ154))</f>
        <v>47061</v>
      </c>
      <c r="IB154" s="8">
        <f ca="1">IA154-TODAY()</f>
        <v>916</v>
      </c>
      <c r="IC154" s="5" t="str">
        <f t="shared" ca="1" si="528"/>
        <v>VIGENTE</v>
      </c>
      <c r="ID154" s="3"/>
      <c r="IE154" s="3">
        <v>45230</v>
      </c>
      <c r="IF154" s="4">
        <f>DATE(YEAR(IE154)+5,MONTH(IE154),DAY(IE154))</f>
        <v>47057</v>
      </c>
      <c r="IG154" s="8">
        <f ca="1">IF154-TODAY()</f>
        <v>912</v>
      </c>
      <c r="IH154" s="5" t="str">
        <f t="shared" ca="1" si="529"/>
        <v>VIGENTE</v>
      </c>
      <c r="II154" s="4"/>
      <c r="IJ154" s="4">
        <v>45225</v>
      </c>
      <c r="IK154" s="4">
        <f>DATE(YEAR(IJ154)+5,MONTH(IJ154),DAY(IJ154))</f>
        <v>47052</v>
      </c>
      <c r="IL154" s="8">
        <f ca="1">IK154-TODAY()</f>
        <v>907</v>
      </c>
      <c r="IM154" s="5" t="str">
        <f t="shared" ca="1" si="530"/>
        <v>VIGENTE</v>
      </c>
      <c r="IN154" s="3"/>
      <c r="IO154" s="4">
        <v>45239</v>
      </c>
      <c r="IP154" s="4">
        <f>DATE(YEAR(IO154)+5,MONTH(IO154),DAY(IO154))</f>
        <v>47066</v>
      </c>
      <c r="IQ154" s="8">
        <f ca="1">IP154-TODAY()</f>
        <v>921</v>
      </c>
      <c r="IR154" s="5" t="str">
        <f t="shared" ca="1" si="531"/>
        <v>VIGENTE</v>
      </c>
      <c r="IS154" s="3"/>
      <c r="IT154" s="4">
        <v>45233</v>
      </c>
      <c r="IU154" s="4">
        <f>DATE(YEAR(IT154)+5,MONTH(IT154),DAY(IT154))</f>
        <v>47060</v>
      </c>
      <c r="IV154" s="8">
        <f ca="1">IU154-TODAY()</f>
        <v>915</v>
      </c>
      <c r="IW154" s="5" t="str">
        <f t="shared" ca="1" si="532"/>
        <v>VIGENTE</v>
      </c>
      <c r="IX154" s="3"/>
      <c r="IY154" s="4">
        <v>45224</v>
      </c>
      <c r="IZ154" s="4">
        <f>DATE(YEAR(IY154)+5,MONTH(IY154),DAY(IY154))</f>
        <v>47051</v>
      </c>
      <c r="JA154" s="8">
        <f ca="1">IZ154-TODAY()</f>
        <v>906</v>
      </c>
      <c r="JB154" s="5" t="str">
        <f t="shared" ca="1" si="533"/>
        <v>VIGENTE</v>
      </c>
      <c r="JC154" s="3" t="s">
        <v>780</v>
      </c>
      <c r="JD154" s="3"/>
      <c r="JE154" s="4"/>
      <c r="JF154" s="8"/>
      <c r="JG154" s="5"/>
      <c r="JH154" s="3" t="s">
        <v>780</v>
      </c>
      <c r="JI154" s="6"/>
      <c r="JJ154" s="6"/>
      <c r="JK154" s="6"/>
      <c r="JL154" s="5"/>
      <c r="JM154" s="6" t="s">
        <v>780</v>
      </c>
      <c r="JN154" s="6"/>
      <c r="JO154" s="6"/>
      <c r="JP154" s="6"/>
      <c r="JQ154" s="5"/>
      <c r="JR154" s="6" t="s">
        <v>780</v>
      </c>
      <c r="JS154" s="6"/>
      <c r="JT154" s="6"/>
      <c r="JU154" s="6"/>
      <c r="JV154" s="5"/>
      <c r="JW154" s="6" t="s">
        <v>780</v>
      </c>
      <c r="JX154" s="5"/>
      <c r="JY154" s="5"/>
      <c r="JZ154" s="5"/>
      <c r="KA154" s="5"/>
      <c r="KB154" s="5"/>
      <c r="KC154" s="5"/>
      <c r="KD154" s="4"/>
      <c r="KE154" s="8"/>
      <c r="KF154" s="5" t="str">
        <f t="shared" si="534"/>
        <v>NO APLICA</v>
      </c>
      <c r="KG154" s="5"/>
      <c r="KH154" s="3">
        <v>45328</v>
      </c>
      <c r="KI154" s="4">
        <f>DATE(YEAR(KH154)+5,MONTH(KH154),DAY(KH154)-1)</f>
        <v>47154</v>
      </c>
      <c r="KJ154" s="8">
        <f ca="1">KI154-TODAY()</f>
        <v>1009</v>
      </c>
      <c r="KK154" s="5" t="str">
        <f t="shared" ca="1" si="559"/>
        <v>VIGENTE</v>
      </c>
      <c r="KL154" s="5"/>
      <c r="KM154" s="5"/>
      <c r="KN154" s="4"/>
      <c r="KO154" s="8"/>
      <c r="KP154" s="5" t="str">
        <f t="shared" si="535"/>
        <v>NO APLICA</v>
      </c>
      <c r="KQ154" s="5"/>
      <c r="KR154" s="2"/>
      <c r="KS154" s="4"/>
      <c r="KT154" s="8"/>
      <c r="KU154" s="5" t="str">
        <f t="shared" si="560"/>
        <v>NO APLICA</v>
      </c>
      <c r="KV154" s="2"/>
      <c r="KW154" s="6"/>
      <c r="KX154" s="4"/>
      <c r="KY154" s="8"/>
      <c r="KZ154" s="5" t="str">
        <f t="shared" si="565"/>
        <v>NO APLICA</v>
      </c>
      <c r="LA154" s="5"/>
      <c r="LB154" s="4">
        <v>44614</v>
      </c>
      <c r="LC154" s="4">
        <f>DATE(YEAR(LB154)+5,MONTH(LB154),DAY(LB154))</f>
        <v>46440</v>
      </c>
      <c r="LD154" s="8">
        <f ca="1">LC154-TODAY()</f>
        <v>295</v>
      </c>
      <c r="LE154" s="5" t="str">
        <f t="shared" ca="1" si="561"/>
        <v>VIGENTE</v>
      </c>
      <c r="LF154" s="4"/>
      <c r="LG154" s="4"/>
      <c r="LH154" s="4"/>
      <c r="LI154" s="8"/>
      <c r="LJ154" s="5" t="str">
        <f t="shared" si="567"/>
        <v>NO APLICA</v>
      </c>
      <c r="LK154" s="5"/>
      <c r="LL154" s="5"/>
      <c r="LM154" s="5"/>
      <c r="LN154" s="5"/>
      <c r="LO154" s="5" t="str">
        <f t="shared" si="566"/>
        <v>NO APLICA</v>
      </c>
      <c r="LP154" s="5"/>
      <c r="LQ154" s="6"/>
      <c r="LR154" s="4"/>
      <c r="LS154" s="8"/>
      <c r="LT154" s="5" t="str">
        <f t="shared" si="562"/>
        <v>NO APLICA</v>
      </c>
      <c r="LU154" s="6"/>
      <c r="LV154" s="6"/>
      <c r="LW154" s="4"/>
      <c r="LX154" s="8"/>
      <c r="LY154" s="5" t="str">
        <f t="shared" si="563"/>
        <v>NO APLICA</v>
      </c>
      <c r="LZ154" s="6"/>
      <c r="MA154" s="6"/>
      <c r="MB154" s="4"/>
      <c r="MC154" s="8"/>
      <c r="MD154" s="5" t="str">
        <f t="shared" si="564"/>
        <v>NO APLICA</v>
      </c>
      <c r="ME154" s="5"/>
      <c r="MF154" s="5"/>
      <c r="MG154" s="5"/>
      <c r="MH154" s="5"/>
      <c r="MI154" s="5" t="str">
        <f t="shared" si="537"/>
        <v>NO APLICA</v>
      </c>
      <c r="MJ154" s="5"/>
      <c r="MK154" s="5"/>
      <c r="ML154" s="4"/>
      <c r="MM154" s="8"/>
      <c r="MN154" s="5" t="str">
        <f t="shared" si="538"/>
        <v>NO APLICA</v>
      </c>
      <c r="MO154" s="5"/>
      <c r="MP154" s="3">
        <v>45154</v>
      </c>
      <c r="MQ154" s="4">
        <f>DATE(YEAR(MP154)+5,MONTH(MP154),DAY(MP154))</f>
        <v>46981</v>
      </c>
      <c r="MR154" s="8">
        <f ca="1">MQ154-TODAY()</f>
        <v>836</v>
      </c>
      <c r="MS154" s="5" t="str">
        <f t="shared" ca="1" si="539"/>
        <v>VIGENTE</v>
      </c>
      <c r="MT154" s="5"/>
      <c r="MU154" s="3">
        <v>45155</v>
      </c>
      <c r="MV154" s="4">
        <f>DATE(YEAR(MU154)+5,MONTH(MU154),DAY(MU154))</f>
        <v>46982</v>
      </c>
      <c r="MW154" s="8">
        <f ca="1">MV154-TODAY()</f>
        <v>837</v>
      </c>
      <c r="MX154" s="5" t="str">
        <f t="shared" ca="1" si="540"/>
        <v>VIGENTE</v>
      </c>
      <c r="MY154" s="5"/>
      <c r="MZ154" s="6"/>
      <c r="NA154" s="4"/>
      <c r="NB154" s="8"/>
      <c r="NC154" s="5" t="str">
        <f t="shared" si="541"/>
        <v>NO APLICA</v>
      </c>
      <c r="ND154" s="5"/>
      <c r="NE154" s="6"/>
      <c r="NF154" s="4"/>
      <c r="NG154" s="8"/>
      <c r="NH154" s="5" t="str">
        <f t="shared" si="542"/>
        <v>NO APLICA</v>
      </c>
      <c r="NI154" s="5"/>
      <c r="NJ154" s="6"/>
      <c r="NK154" s="4"/>
      <c r="NL154" s="8"/>
      <c r="NM154" s="5" t="str">
        <f t="shared" si="543"/>
        <v>NO APLICA</v>
      </c>
      <c r="NN154" s="5"/>
      <c r="NO154" s="5"/>
      <c r="NP154" s="5"/>
      <c r="NQ154" s="5"/>
      <c r="NR154" s="5" t="str">
        <f t="shared" si="544"/>
        <v>NO APLICA</v>
      </c>
      <c r="NS154" s="5"/>
      <c r="NT154" s="5"/>
      <c r="NU154" s="5"/>
      <c r="NV154" s="5"/>
      <c r="NW154" s="5" t="str">
        <f t="shared" si="545"/>
        <v>NO APLICA</v>
      </c>
      <c r="NX154" s="6"/>
      <c r="NY154" s="6"/>
      <c r="NZ154" s="6"/>
      <c r="OA154" s="6"/>
      <c r="OB154" s="5" t="str">
        <f t="shared" si="546"/>
        <v>NO APLICA</v>
      </c>
      <c r="OC154" s="6"/>
      <c r="OD154" s="6"/>
      <c r="OE154" s="6"/>
      <c r="OF154" s="6"/>
      <c r="OG154" s="5" t="str">
        <f t="shared" si="547"/>
        <v>NO APLICA</v>
      </c>
      <c r="OH154" s="6"/>
      <c r="OI154" s="6"/>
      <c r="OJ154" s="4"/>
      <c r="OK154" s="8"/>
      <c r="OL154" s="5" t="str">
        <f t="shared" si="548"/>
        <v>NO APLICA</v>
      </c>
      <c r="OM154" s="6"/>
      <c r="ON154" s="6"/>
      <c r="OO154" s="6"/>
      <c r="OP154" s="6"/>
      <c r="OQ154" s="5" t="str">
        <f t="shared" si="549"/>
        <v>NO APLICA</v>
      </c>
      <c r="OR154" s="6"/>
      <c r="OS154" s="6"/>
      <c r="OT154" s="6"/>
      <c r="OU154" s="6"/>
      <c r="OV154" s="5" t="str">
        <f t="shared" si="550"/>
        <v>NO APLICA</v>
      </c>
      <c r="OW154" s="6"/>
      <c r="OX154" s="6"/>
      <c r="OY154" s="6"/>
      <c r="OZ154" s="6"/>
      <c r="PA154" s="5" t="str">
        <f t="shared" si="551"/>
        <v>NO APLICA</v>
      </c>
      <c r="PB154" s="6"/>
      <c r="PC154" s="6"/>
      <c r="PD154" s="6"/>
      <c r="PE154" s="6"/>
      <c r="PF154" s="5" t="str">
        <f t="shared" si="552"/>
        <v>NO APLICA</v>
      </c>
      <c r="PG154" s="6"/>
      <c r="PH154" s="6"/>
      <c r="PI154" s="6"/>
      <c r="PJ154" s="6"/>
      <c r="PK154" s="5" t="str">
        <f t="shared" si="553"/>
        <v>NO APLICA</v>
      </c>
      <c r="PL154" s="5"/>
      <c r="PM154" s="6"/>
      <c r="PN154" s="4"/>
      <c r="PO154" s="8"/>
      <c r="PP154" s="5" t="str">
        <f t="shared" si="554"/>
        <v>NO APLICA</v>
      </c>
      <c r="PQ154" s="6"/>
      <c r="PR154" s="6"/>
      <c r="PS154" s="6"/>
      <c r="PT154" s="6"/>
      <c r="PU154" s="5" t="str">
        <f t="shared" si="555"/>
        <v>NO APLICA</v>
      </c>
      <c r="PV154" s="5"/>
      <c r="PW154" s="6"/>
      <c r="PX154" s="6"/>
      <c r="PY154" s="6"/>
      <c r="PZ154" s="5" t="str">
        <f t="shared" si="556"/>
        <v>NO APLICA</v>
      </c>
    </row>
    <row r="155" spans="1:442" ht="15.6" hidden="1" thickTop="1" thickBot="1" x14ac:dyDescent="0.35">
      <c r="A155" s="26">
        <v>152</v>
      </c>
      <c r="B155" s="31">
        <v>1722</v>
      </c>
      <c r="C155" s="28" t="s">
        <v>497</v>
      </c>
      <c r="D155" s="29" t="s">
        <v>64</v>
      </c>
      <c r="E155" s="30" t="s">
        <v>81</v>
      </c>
      <c r="F155" s="6"/>
      <c r="G155" s="6"/>
      <c r="H155" s="6"/>
      <c r="I155" s="6"/>
      <c r="J155" s="5" t="str">
        <f t="shared" si="455"/>
        <v>NO APLICA</v>
      </c>
      <c r="K155" s="6"/>
      <c r="L155" s="6"/>
      <c r="M155" s="6"/>
      <c r="N155" s="6"/>
      <c r="O155" s="5" t="str">
        <f t="shared" si="456"/>
        <v>NO APLICA</v>
      </c>
      <c r="P155" s="4"/>
      <c r="Q155" s="4">
        <v>45597</v>
      </c>
      <c r="R155" s="4">
        <f>DATE(YEAR(Q155)+2,MONTH(Q155),DAY(Q155)-1)</f>
        <v>46326</v>
      </c>
      <c r="S155" s="8">
        <f ca="1">R155-TODAY()</f>
        <v>181</v>
      </c>
      <c r="T155" s="5" t="str">
        <f t="shared" ca="1" si="557"/>
        <v>VIGENTE</v>
      </c>
      <c r="U155" s="5"/>
      <c r="V155" s="6" t="s">
        <v>498</v>
      </c>
      <c r="W155" s="4">
        <v>45309</v>
      </c>
      <c r="X155" s="4">
        <f t="shared" si="410"/>
        <v>47136</v>
      </c>
      <c r="Y155" s="8">
        <f t="shared" ca="1" si="411"/>
        <v>991</v>
      </c>
      <c r="Z155" s="5" t="str">
        <f t="shared" ca="1" si="412"/>
        <v>VIGENTE</v>
      </c>
      <c r="AA155" s="5"/>
      <c r="AB155" s="6"/>
      <c r="AC155" s="6"/>
      <c r="AD155" s="4"/>
      <c r="AE155" s="8"/>
      <c r="AF155" s="5" t="str">
        <f t="shared" si="457"/>
        <v>NO APLICA</v>
      </c>
      <c r="AG155" s="6"/>
      <c r="AH155" s="4">
        <v>45936</v>
      </c>
      <c r="AI155" s="4">
        <f>DATE(YEAR(AH155)+2,MONTH(AH155),DAY(AH155))</f>
        <v>46666</v>
      </c>
      <c r="AJ155" s="8">
        <f t="shared" ca="1" si="458"/>
        <v>521</v>
      </c>
      <c r="AK155" s="5" t="str">
        <f t="shared" ca="1" si="408"/>
        <v>VIGENTE</v>
      </c>
      <c r="AL155" s="6"/>
      <c r="AM155" s="4">
        <v>45937</v>
      </c>
      <c r="AN155" s="4">
        <f t="shared" si="572"/>
        <v>46667</v>
      </c>
      <c r="AO155" s="8">
        <f t="shared" ca="1" si="459"/>
        <v>522</v>
      </c>
      <c r="AP155" s="5" t="str">
        <f t="shared" ca="1" si="460"/>
        <v>VIGENTE</v>
      </c>
      <c r="AQ155" s="4"/>
      <c r="AR155" s="4">
        <v>45989</v>
      </c>
      <c r="AS155" s="4">
        <f>DATE(YEAR(AR155)+2,MONTH(AR155),DAY(AR155))</f>
        <v>46719</v>
      </c>
      <c r="AT155" s="8">
        <f t="shared" ca="1" si="461"/>
        <v>574</v>
      </c>
      <c r="AU155" s="5" t="str">
        <f t="shared" ca="1" si="462"/>
        <v>VIGENTE</v>
      </c>
      <c r="AV155" s="4"/>
      <c r="AW155" s="4">
        <v>45972</v>
      </c>
      <c r="AX155" s="4">
        <f>DATE(YEAR(AW155)+2,MONTH(AW155),DAY(AW155))</f>
        <v>46702</v>
      </c>
      <c r="AY155" s="8">
        <f t="shared" ca="1" si="463"/>
        <v>557</v>
      </c>
      <c r="AZ155" s="5" t="str">
        <f t="shared" ca="1" si="464"/>
        <v>VIGENTE</v>
      </c>
      <c r="BA155" s="3"/>
      <c r="BB155" s="4">
        <v>46041</v>
      </c>
      <c r="BC155" s="4">
        <f>DATE(YEAR(BB155)+2,MONTH(BB155),DAY(BB155))</f>
        <v>46771</v>
      </c>
      <c r="BD155" s="8">
        <f t="shared" ca="1" si="465"/>
        <v>626</v>
      </c>
      <c r="BE155" s="5" t="str">
        <f t="shared" ca="1" si="466"/>
        <v>VIGENTE</v>
      </c>
      <c r="BF155" s="6"/>
      <c r="BG155" s="4">
        <v>45997</v>
      </c>
      <c r="BH155" s="4">
        <f t="shared" si="582"/>
        <v>46727</v>
      </c>
      <c r="BI155" s="8">
        <f t="shared" ca="1" si="467"/>
        <v>582</v>
      </c>
      <c r="BJ155" s="5" t="str">
        <f t="shared" ca="1" si="468"/>
        <v>VIGENTE</v>
      </c>
      <c r="BK155" s="4"/>
      <c r="BL155" s="4">
        <v>46017</v>
      </c>
      <c r="BM155" s="4">
        <f>DATE(YEAR(BL155)+2,MONTH(BL155),DAY(BL155))</f>
        <v>46747</v>
      </c>
      <c r="BN155" s="8">
        <f t="shared" ca="1" si="469"/>
        <v>602</v>
      </c>
      <c r="BO155" s="5" t="str">
        <f t="shared" ca="1" si="470"/>
        <v>VIGENTE</v>
      </c>
      <c r="BP155" s="4"/>
      <c r="BQ155" s="39">
        <v>46050</v>
      </c>
      <c r="BR155" s="4">
        <f>DATE(YEAR(BQ155)+2,MONTH(BQ155),DAY(BQ155))</f>
        <v>46780</v>
      </c>
      <c r="BS155" s="8">
        <f t="shared" ca="1" si="471"/>
        <v>635</v>
      </c>
      <c r="BT155" s="5" t="str">
        <f t="shared" ca="1" si="472"/>
        <v>VIGENTE</v>
      </c>
      <c r="BU155" s="3"/>
      <c r="BV155" s="4">
        <v>46031</v>
      </c>
      <c r="BW155" s="4">
        <f>DATE(YEAR(BV155)+2,MONTH(BV155),DAY(BV155))</f>
        <v>46761</v>
      </c>
      <c r="BX155" s="8">
        <f t="shared" ca="1" si="473"/>
        <v>616</v>
      </c>
      <c r="BY155" s="5" t="str">
        <f t="shared" ca="1" si="474"/>
        <v>VIGENTE</v>
      </c>
      <c r="BZ155" s="6"/>
      <c r="CA155" s="4">
        <v>45986</v>
      </c>
      <c r="CB155" s="4">
        <f t="shared" si="574"/>
        <v>46716</v>
      </c>
      <c r="CC155" s="8">
        <f t="shared" ca="1" si="475"/>
        <v>571</v>
      </c>
      <c r="CD155" s="5" t="str">
        <f t="shared" ca="1" si="476"/>
        <v>VIGENTE</v>
      </c>
      <c r="CE155" s="6"/>
      <c r="CF155" s="4">
        <v>45723</v>
      </c>
      <c r="CG155" s="4">
        <f t="shared" si="416"/>
        <v>47184</v>
      </c>
      <c r="CH155" s="8">
        <f t="shared" ca="1" si="417"/>
        <v>1039</v>
      </c>
      <c r="CI155" s="5" t="str">
        <f t="shared" ca="1" si="573"/>
        <v>VIGENTE</v>
      </c>
      <c r="CJ155" s="4"/>
      <c r="CK155" s="4">
        <v>46018</v>
      </c>
      <c r="CL155" s="4">
        <f>DATE(YEAR(CK155)+2,MONTH(CK155),DAY(CK155))</f>
        <v>46748</v>
      </c>
      <c r="CM155" s="8">
        <f t="shared" ca="1" si="477"/>
        <v>603</v>
      </c>
      <c r="CN155" s="5" t="str">
        <f t="shared" ca="1" si="478"/>
        <v>VIGENTE</v>
      </c>
      <c r="CO155" s="4"/>
      <c r="CP155" s="39">
        <v>45979</v>
      </c>
      <c r="CQ155" s="4">
        <f>DATE(YEAR(CP155)+2,MONTH(CP155),DAY(CP155))</f>
        <v>46709</v>
      </c>
      <c r="CR155" s="8">
        <f t="shared" ca="1" si="479"/>
        <v>564</v>
      </c>
      <c r="CS155" s="5" t="str">
        <f t="shared" ca="1" si="480"/>
        <v>VIGENTE</v>
      </c>
      <c r="CT155" s="4"/>
      <c r="CU155" s="4">
        <v>46043</v>
      </c>
      <c r="CV155" s="4">
        <f>DATE(YEAR(CU155)+2,MONTH(CU155),DAY(CU155))</f>
        <v>46773</v>
      </c>
      <c r="CW155" s="8">
        <f t="shared" ca="1" si="481"/>
        <v>628</v>
      </c>
      <c r="CX155" s="5" t="str">
        <f t="shared" ca="1" si="482"/>
        <v>VIGENTE</v>
      </c>
      <c r="CY155" s="4"/>
      <c r="CZ155" s="4">
        <v>46000</v>
      </c>
      <c r="DA155" s="4">
        <f>DATE(YEAR(CZ155)+2,MONTH(CZ155),DAY(CZ155))</f>
        <v>46730</v>
      </c>
      <c r="DB155" s="8">
        <f t="shared" ca="1" si="483"/>
        <v>585</v>
      </c>
      <c r="DC155" s="5" t="str">
        <f t="shared" ca="1" si="484"/>
        <v>VIGENTE</v>
      </c>
      <c r="DD155" s="3"/>
      <c r="DE155" s="39">
        <v>45996</v>
      </c>
      <c r="DF155" s="4">
        <f>DATE(YEAR(DE155)+2,MONTH(DE155),DAY(DE155))</f>
        <v>46726</v>
      </c>
      <c r="DG155" s="8">
        <f t="shared" ca="1" si="485"/>
        <v>581</v>
      </c>
      <c r="DH155" s="5" t="str">
        <f t="shared" ca="1" si="486"/>
        <v>VIGENTE</v>
      </c>
      <c r="DI155" s="4"/>
      <c r="DJ155" s="39">
        <v>45975</v>
      </c>
      <c r="DK155" s="4">
        <f>DATE(YEAR(DJ155)+2,MONTH(DJ155),DAY(DJ155))</f>
        <v>46705</v>
      </c>
      <c r="DL155" s="8">
        <f t="shared" ca="1" si="487"/>
        <v>560</v>
      </c>
      <c r="DM155" s="5" t="str">
        <f t="shared" ca="1" si="488"/>
        <v>VIGENTE</v>
      </c>
      <c r="DN155" s="4"/>
      <c r="DO155" s="4">
        <v>45982</v>
      </c>
      <c r="DP155" s="4">
        <f>DATE(YEAR(DO155)+2,MONTH(DO155),DAY(DO155))</f>
        <v>46712</v>
      </c>
      <c r="DQ155" s="8">
        <f t="shared" ca="1" si="489"/>
        <v>567</v>
      </c>
      <c r="DR155" s="5" t="str">
        <f t="shared" ca="1" si="490"/>
        <v>VIGENTE</v>
      </c>
      <c r="DS155" s="4"/>
      <c r="DT155" s="3">
        <v>46009</v>
      </c>
      <c r="DU155" s="4">
        <f>DATE(YEAR(DT155)+2,MONTH(DT155),DAY(DT155))</f>
        <v>46739</v>
      </c>
      <c r="DV155" s="8">
        <f t="shared" ca="1" si="491"/>
        <v>594</v>
      </c>
      <c r="DW155" s="5" t="str">
        <f t="shared" ca="1" si="492"/>
        <v>VIGENTE</v>
      </c>
      <c r="DX155" s="4"/>
      <c r="DY155" s="4">
        <v>46032</v>
      </c>
      <c r="DZ155" s="4">
        <f>DATE(YEAR(DY155)+2,MONTH(DY155),DAY(DY155))</f>
        <v>46762</v>
      </c>
      <c r="EA155" s="8">
        <f t="shared" ca="1" si="493"/>
        <v>617</v>
      </c>
      <c r="EB155" s="5" t="str">
        <f t="shared" ca="1" si="494"/>
        <v>VIGENTE</v>
      </c>
      <c r="EC155" s="4"/>
      <c r="ED155" s="39">
        <v>45994</v>
      </c>
      <c r="EE155" s="4">
        <f>DATE(YEAR(ED155)+2,MONTH(ED155),DAY(ED155))</f>
        <v>46724</v>
      </c>
      <c r="EF155" s="8">
        <f t="shared" ca="1" si="495"/>
        <v>579</v>
      </c>
      <c r="EG155" s="5" t="str">
        <f t="shared" ca="1" si="496"/>
        <v>VIGENTE</v>
      </c>
      <c r="EH155" s="3"/>
      <c r="EI155" s="3">
        <v>46015</v>
      </c>
      <c r="EJ155" s="4">
        <f t="shared" si="558"/>
        <v>46380</v>
      </c>
      <c r="EK155" s="8">
        <f t="shared" ca="1" si="497"/>
        <v>235</v>
      </c>
      <c r="EL155" s="5" t="str">
        <f t="shared" ca="1" si="498"/>
        <v>VIGENTE</v>
      </c>
      <c r="EM155" s="3"/>
      <c r="EN155" s="4">
        <v>45983</v>
      </c>
      <c r="EO155" s="4">
        <f>DATE(YEAR(EN155)+2,MONTH(EN155),DAY(EN155))</f>
        <v>46713</v>
      </c>
      <c r="EP155" s="8">
        <f t="shared" ca="1" si="499"/>
        <v>568</v>
      </c>
      <c r="EQ155" s="5" t="str">
        <f t="shared" ca="1" si="500"/>
        <v>VIGENTE</v>
      </c>
      <c r="ER155" s="6"/>
      <c r="ES155" s="39">
        <v>45999</v>
      </c>
      <c r="ET155" s="4">
        <f>DATE(YEAR(ES155)+2,MONTH(ES155),DAY(ES155))</f>
        <v>46729</v>
      </c>
      <c r="EU155" s="8">
        <f t="shared" ca="1" si="501"/>
        <v>584</v>
      </c>
      <c r="EV155" s="5" t="str">
        <f t="shared" ca="1" si="502"/>
        <v>VIGENTE</v>
      </c>
      <c r="EW155" s="4"/>
      <c r="EX155" s="4">
        <v>45964</v>
      </c>
      <c r="EY155" s="4">
        <f t="shared" si="575"/>
        <v>46694</v>
      </c>
      <c r="EZ155" s="8">
        <f t="shared" ca="1" si="503"/>
        <v>549</v>
      </c>
      <c r="FA155" s="5" t="str">
        <f t="shared" ca="1" si="504"/>
        <v>VIGENTE</v>
      </c>
      <c r="FB155" s="6"/>
      <c r="FC155" s="4">
        <v>45988</v>
      </c>
      <c r="FD155" s="4">
        <f t="shared" si="576"/>
        <v>46718</v>
      </c>
      <c r="FE155" s="8">
        <f t="shared" ca="1" si="505"/>
        <v>573</v>
      </c>
      <c r="FF155" s="5" t="str">
        <f t="shared" ca="1" si="506"/>
        <v>VIGENTE</v>
      </c>
      <c r="FG155" s="4"/>
      <c r="FH155" s="4">
        <v>45962</v>
      </c>
      <c r="FI155" s="4">
        <f>DATE(YEAR(FH155)+2,MONTH(FH155),DAY(FH155))</f>
        <v>46692</v>
      </c>
      <c r="FJ155" s="8">
        <f t="shared" ca="1" si="507"/>
        <v>547</v>
      </c>
      <c r="FK155" s="5" t="str">
        <f t="shared" ca="1" si="508"/>
        <v>VIGENTE</v>
      </c>
      <c r="FL155" s="4"/>
      <c r="FM155" s="39">
        <v>46039</v>
      </c>
      <c r="FN155" s="4">
        <f>DATE(YEAR(FM155)+2,MONTH(FM155),DAY(FM155))</f>
        <v>46769</v>
      </c>
      <c r="FO155" s="8">
        <f t="shared" ca="1" si="509"/>
        <v>624</v>
      </c>
      <c r="FP155" s="5" t="str">
        <f t="shared" ca="1" si="510"/>
        <v>VIGENTE</v>
      </c>
      <c r="FQ155" s="4"/>
      <c r="FR155" s="39">
        <v>46034</v>
      </c>
      <c r="FS155" s="4">
        <f>DATE(YEAR(FR155)+2,MONTH(FR155),DAY(FR155))</f>
        <v>46764</v>
      </c>
      <c r="FT155" s="8">
        <f t="shared" ca="1" si="511"/>
        <v>619</v>
      </c>
      <c r="FU155" s="5" t="str">
        <f t="shared" ca="1" si="512"/>
        <v>VIGENTE</v>
      </c>
      <c r="FV155" s="4"/>
      <c r="FW155" s="4">
        <v>46004</v>
      </c>
      <c r="FX155" s="4">
        <f>DATE(YEAR(FW155)+2,MONTH(FW155),DAY(FW155))</f>
        <v>46734</v>
      </c>
      <c r="FY155" s="8">
        <f t="shared" ca="1" si="513"/>
        <v>589</v>
      </c>
      <c r="FZ155" s="5" t="str">
        <f t="shared" ca="1" si="514"/>
        <v>VIGENTE</v>
      </c>
      <c r="GA155" s="4"/>
      <c r="GB155" s="4">
        <v>45925</v>
      </c>
      <c r="GC155" s="4">
        <f>DATE(YEAR(GB155)+2,MONTH(GB155),DAY(GB155))</f>
        <v>46655</v>
      </c>
      <c r="GD155" s="8">
        <f t="shared" ca="1" si="515"/>
        <v>510</v>
      </c>
      <c r="GE155" s="5" t="str">
        <f t="shared" ca="1" si="516"/>
        <v>VIGENTE</v>
      </c>
      <c r="GF155" s="4"/>
      <c r="GG155" s="4">
        <v>45960</v>
      </c>
      <c r="GH155" s="4">
        <f>DATE(YEAR(GG155)+2,MONTH(GG155),DAY(GG155))</f>
        <v>46690</v>
      </c>
      <c r="GI155" s="8">
        <f t="shared" ca="1" si="517"/>
        <v>545</v>
      </c>
      <c r="GJ155" s="5" t="str">
        <f t="shared" ca="1" si="518"/>
        <v>VIGENTE</v>
      </c>
      <c r="GK155" s="4"/>
      <c r="GL155" s="4">
        <v>45499</v>
      </c>
      <c r="GM155" s="4">
        <f>DATE(YEAR(GL155)+2,MONTH(GL155),DAY(GL155)-1)</f>
        <v>46228</v>
      </c>
      <c r="GN155" s="8">
        <f t="shared" ca="1" si="519"/>
        <v>83</v>
      </c>
      <c r="GO155" s="5" t="str">
        <f t="shared" ca="1" si="520"/>
        <v>VIGENTE</v>
      </c>
      <c r="GP155" s="4"/>
      <c r="GQ155" s="4">
        <v>45299</v>
      </c>
      <c r="GR155" s="4">
        <f t="shared" si="521"/>
        <v>47126</v>
      </c>
      <c r="GS155" s="8">
        <f t="shared" ca="1" si="405"/>
        <v>981</v>
      </c>
      <c r="GT155" s="5" t="str">
        <f t="shared" ca="1" si="419"/>
        <v>VIGENTE</v>
      </c>
      <c r="GU155" s="4"/>
      <c r="GV155" s="4">
        <v>45329</v>
      </c>
      <c r="GW155" s="4">
        <f t="shared" si="522"/>
        <v>47156</v>
      </c>
      <c r="GX155" s="8">
        <f t="shared" ca="1" si="523"/>
        <v>1011</v>
      </c>
      <c r="GY155" s="5" t="str">
        <f t="shared" ca="1" si="426"/>
        <v>VIGENTE</v>
      </c>
      <c r="GZ155" s="6"/>
      <c r="HA155" s="4">
        <v>45343</v>
      </c>
      <c r="HB155" s="4">
        <f t="shared" si="524"/>
        <v>47170</v>
      </c>
      <c r="HC155" s="8">
        <f t="shared" ca="1" si="525"/>
        <v>1025</v>
      </c>
      <c r="HD155" s="5" t="str">
        <f t="shared" ca="1" si="421"/>
        <v>VIGENTE</v>
      </c>
      <c r="HE155" s="6"/>
      <c r="HF155" s="4">
        <v>45317</v>
      </c>
      <c r="HG155" s="4">
        <f t="shared" si="583"/>
        <v>47144</v>
      </c>
      <c r="HH155" s="8">
        <f t="shared" ca="1" si="584"/>
        <v>999</v>
      </c>
      <c r="HI155" s="5" t="str">
        <f t="shared" ca="1" si="427"/>
        <v>VIGENTE</v>
      </c>
      <c r="HJ155" s="6"/>
      <c r="HK155" s="6"/>
      <c r="HL155" s="4"/>
      <c r="HM155" s="8"/>
      <c r="HN155" s="5" t="str">
        <f t="shared" si="444"/>
        <v>NO APLICA</v>
      </c>
      <c r="HO155" s="2"/>
      <c r="HP155" s="2"/>
      <c r="HQ155" s="4"/>
      <c r="HR155" s="2"/>
      <c r="HS155" s="5" t="str">
        <f t="shared" si="526"/>
        <v>NO APLICA</v>
      </c>
      <c r="HT155" s="6"/>
      <c r="HU155" s="6"/>
      <c r="HV155" s="4"/>
      <c r="HW155" s="8"/>
      <c r="HX155" s="5" t="str">
        <f t="shared" si="527"/>
        <v>NO APLICA</v>
      </c>
      <c r="HY155" s="6"/>
      <c r="HZ155" s="6"/>
      <c r="IA155" s="4"/>
      <c r="IB155" s="8"/>
      <c r="IC155" s="5" t="str">
        <f t="shared" si="528"/>
        <v>NO APLICA</v>
      </c>
      <c r="ID155" s="6"/>
      <c r="IE155" s="6"/>
      <c r="IF155" s="4"/>
      <c r="IG155" s="8"/>
      <c r="IH155" s="5" t="str">
        <f t="shared" si="529"/>
        <v>NO APLICA</v>
      </c>
      <c r="II155" s="6"/>
      <c r="IJ155" s="6"/>
      <c r="IK155" s="4"/>
      <c r="IL155" s="6"/>
      <c r="IM155" s="5" t="str">
        <f t="shared" si="530"/>
        <v>NO APLICA</v>
      </c>
      <c r="IN155" s="6"/>
      <c r="IO155" s="6"/>
      <c r="IP155" s="4"/>
      <c r="IQ155" s="8"/>
      <c r="IR155" s="5" t="str">
        <f t="shared" si="531"/>
        <v>NO APLICA</v>
      </c>
      <c r="IS155" s="6"/>
      <c r="IT155" s="6"/>
      <c r="IU155" s="4"/>
      <c r="IV155" s="8"/>
      <c r="IW155" s="5" t="str">
        <f t="shared" si="532"/>
        <v>NO APLICA</v>
      </c>
      <c r="IX155" s="6"/>
      <c r="IY155" s="6"/>
      <c r="IZ155" s="4"/>
      <c r="JA155" s="8"/>
      <c r="JB155" s="5" t="str">
        <f t="shared" si="533"/>
        <v>NO APLICA</v>
      </c>
      <c r="JC155" s="3" t="s">
        <v>780</v>
      </c>
      <c r="JD155" s="3"/>
      <c r="JE155" s="4"/>
      <c r="JF155" s="8"/>
      <c r="JG155" s="5"/>
      <c r="JH155" s="3" t="s">
        <v>780</v>
      </c>
      <c r="JI155" s="6"/>
      <c r="JJ155" s="6"/>
      <c r="JK155" s="6"/>
      <c r="JL155" s="5"/>
      <c r="JM155" s="6" t="s">
        <v>780</v>
      </c>
      <c r="JN155" s="6"/>
      <c r="JO155" s="6"/>
      <c r="JP155" s="6"/>
      <c r="JQ155" s="5"/>
      <c r="JR155" s="6" t="s">
        <v>780</v>
      </c>
      <c r="JS155" s="6"/>
      <c r="JT155" s="6"/>
      <c r="JU155" s="6"/>
      <c r="JV155" s="5"/>
      <c r="JW155" s="6" t="s">
        <v>780</v>
      </c>
      <c r="JX155" s="5"/>
      <c r="JY155" s="5"/>
      <c r="JZ155" s="5"/>
      <c r="KA155" s="5"/>
      <c r="KB155" s="5"/>
      <c r="KC155" s="2"/>
      <c r="KD155" s="4"/>
      <c r="KE155" s="8"/>
      <c r="KF155" s="5" t="str">
        <f t="shared" si="534"/>
        <v>NO APLICA</v>
      </c>
      <c r="KG155" s="5"/>
      <c r="KH155" s="2"/>
      <c r="KI155" s="4"/>
      <c r="KJ155" s="8"/>
      <c r="KK155" s="5" t="str">
        <f t="shared" si="559"/>
        <v>NO APLICA</v>
      </c>
      <c r="KL155" s="5"/>
      <c r="KM155" s="2"/>
      <c r="KN155" s="4"/>
      <c r="KO155" s="8"/>
      <c r="KP155" s="5" t="str">
        <f t="shared" si="535"/>
        <v>NO APLICA</v>
      </c>
      <c r="KQ155" s="5"/>
      <c r="KR155" s="3">
        <v>45346</v>
      </c>
      <c r="KS155" s="4">
        <f>DATE(YEAR(KR155)+5,MONTH(KR155),DAY(KR155))</f>
        <v>47173</v>
      </c>
      <c r="KT155" s="8">
        <f ca="1">KS155-TODAY()</f>
        <v>1028</v>
      </c>
      <c r="KU155" s="5" t="str">
        <f t="shared" ca="1" si="560"/>
        <v>VIGENTE</v>
      </c>
      <c r="KV155" s="6"/>
      <c r="KW155" s="6"/>
      <c r="KX155" s="4"/>
      <c r="KY155" s="6"/>
      <c r="KZ155" s="5" t="str">
        <f t="shared" si="565"/>
        <v>NO APLICA</v>
      </c>
      <c r="LA155" s="5"/>
      <c r="LB155" s="6"/>
      <c r="LC155" s="4"/>
      <c r="LD155" s="6"/>
      <c r="LE155" s="5" t="str">
        <f t="shared" si="561"/>
        <v>NO APLICA</v>
      </c>
      <c r="LF155" s="6"/>
      <c r="LG155" s="6"/>
      <c r="LH155" s="6"/>
      <c r="LI155" s="6"/>
      <c r="LJ155" s="5" t="str">
        <f t="shared" si="567"/>
        <v>NO APLICA</v>
      </c>
      <c r="LK155" s="5"/>
      <c r="LL155" s="5"/>
      <c r="LM155" s="4"/>
      <c r="LN155" s="8"/>
      <c r="LO155" s="5" t="str">
        <f t="shared" si="566"/>
        <v>NO APLICA</v>
      </c>
      <c r="LP155" s="6"/>
      <c r="LQ155" s="6"/>
      <c r="LR155" s="4"/>
      <c r="LS155" s="8"/>
      <c r="LT155" s="5" t="str">
        <f t="shared" si="562"/>
        <v>NO APLICA</v>
      </c>
      <c r="LU155" s="6"/>
      <c r="LV155" s="6"/>
      <c r="LW155" s="4"/>
      <c r="LX155" s="6"/>
      <c r="LY155" s="5" t="str">
        <f t="shared" si="563"/>
        <v>NO APLICA</v>
      </c>
      <c r="LZ155" s="6"/>
      <c r="MA155" s="6"/>
      <c r="MB155" s="4"/>
      <c r="MC155" s="6"/>
      <c r="MD155" s="5" t="str">
        <f t="shared" si="564"/>
        <v>NO APLICA</v>
      </c>
      <c r="ME155" s="6"/>
      <c r="MF155" s="6"/>
      <c r="MG155" s="4"/>
      <c r="MH155" s="6"/>
      <c r="MI155" s="5" t="str">
        <f t="shared" si="537"/>
        <v>NO APLICA</v>
      </c>
      <c r="MJ155" s="6"/>
      <c r="MK155" s="6"/>
      <c r="ML155" s="4"/>
      <c r="MM155" s="6"/>
      <c r="MN155" s="5" t="str">
        <f t="shared" si="538"/>
        <v>NO APLICA</v>
      </c>
      <c r="MO155" s="5"/>
      <c r="MP155" s="6"/>
      <c r="MQ155" s="4"/>
      <c r="MR155" s="6"/>
      <c r="MS155" s="5" t="str">
        <f t="shared" si="539"/>
        <v>NO APLICA</v>
      </c>
      <c r="MT155" s="5"/>
      <c r="MU155" s="6"/>
      <c r="MV155" s="6"/>
      <c r="MW155" s="6"/>
      <c r="MX155" s="5" t="str">
        <f t="shared" si="540"/>
        <v>NO APLICA</v>
      </c>
      <c r="MY155" s="6"/>
      <c r="MZ155" s="6"/>
      <c r="NA155" s="4"/>
      <c r="NB155" s="6"/>
      <c r="NC155" s="5" t="str">
        <f t="shared" si="541"/>
        <v>NO APLICA</v>
      </c>
      <c r="ND155" s="6"/>
      <c r="NE155" s="6"/>
      <c r="NF155" s="4"/>
      <c r="NG155" s="6"/>
      <c r="NH155" s="5" t="str">
        <f t="shared" si="542"/>
        <v>NO APLICA</v>
      </c>
      <c r="NI155" s="6"/>
      <c r="NJ155" s="6"/>
      <c r="NK155" s="4"/>
      <c r="NL155" s="6"/>
      <c r="NM155" s="5" t="str">
        <f t="shared" si="543"/>
        <v>NO APLICA</v>
      </c>
      <c r="NN155" s="6"/>
      <c r="NO155" s="6"/>
      <c r="NP155" s="4"/>
      <c r="NQ155" s="6"/>
      <c r="NR155" s="5" t="str">
        <f t="shared" si="544"/>
        <v>NO APLICA</v>
      </c>
      <c r="NS155" s="6"/>
      <c r="NT155" s="6"/>
      <c r="NU155" s="4"/>
      <c r="NV155" s="6"/>
      <c r="NW155" s="5" t="str">
        <f t="shared" si="545"/>
        <v>NO APLICA</v>
      </c>
      <c r="NX155" s="6"/>
      <c r="NY155" s="4"/>
      <c r="NZ155" s="4"/>
      <c r="OA155" s="8"/>
      <c r="OB155" s="5" t="str">
        <f t="shared" si="546"/>
        <v>NO APLICA</v>
      </c>
      <c r="OC155" s="6"/>
      <c r="OD155" s="6"/>
      <c r="OE155" s="6"/>
      <c r="OF155" s="6"/>
      <c r="OG155" s="5" t="str">
        <f t="shared" si="547"/>
        <v>NO APLICA</v>
      </c>
      <c r="OH155" s="6"/>
      <c r="OI155" s="6"/>
      <c r="OJ155" s="6"/>
      <c r="OK155" s="6"/>
      <c r="OL155" s="5" t="str">
        <f t="shared" si="548"/>
        <v>NO APLICA</v>
      </c>
      <c r="OM155" s="6"/>
      <c r="ON155" s="6"/>
      <c r="OO155" s="6"/>
      <c r="OP155" s="6"/>
      <c r="OQ155" s="5" t="str">
        <f t="shared" si="549"/>
        <v>NO APLICA</v>
      </c>
      <c r="OR155" s="6"/>
      <c r="OS155" s="6"/>
      <c r="OT155" s="6"/>
      <c r="OU155" s="6"/>
      <c r="OV155" s="5" t="str">
        <f t="shared" si="550"/>
        <v>NO APLICA</v>
      </c>
      <c r="OW155" s="6"/>
      <c r="OX155" s="6"/>
      <c r="OY155" s="6"/>
      <c r="OZ155" s="6"/>
      <c r="PA155" s="5" t="str">
        <f t="shared" si="551"/>
        <v>NO APLICA</v>
      </c>
      <c r="PB155" s="6"/>
      <c r="PC155" s="6"/>
      <c r="PD155" s="6"/>
      <c r="PE155" s="6"/>
      <c r="PF155" s="5" t="str">
        <f t="shared" si="552"/>
        <v>NO APLICA</v>
      </c>
      <c r="PG155" s="6"/>
      <c r="PH155" s="6"/>
      <c r="PI155" s="6"/>
      <c r="PJ155" s="6"/>
      <c r="PK155" s="5" t="str">
        <f t="shared" si="553"/>
        <v>NO APLICA</v>
      </c>
      <c r="PL155" s="5"/>
      <c r="PM155" s="6"/>
      <c r="PN155" s="6"/>
      <c r="PO155" s="6"/>
      <c r="PP155" s="5" t="str">
        <f t="shared" si="554"/>
        <v>NO APLICA</v>
      </c>
      <c r="PQ155" s="6"/>
      <c r="PR155" s="6"/>
      <c r="PS155" s="6"/>
      <c r="PT155" s="6"/>
      <c r="PU155" s="5" t="str">
        <f t="shared" si="555"/>
        <v>NO APLICA</v>
      </c>
      <c r="PV155" s="5"/>
      <c r="PW155" s="6"/>
      <c r="PX155" s="6"/>
      <c r="PY155" s="6"/>
      <c r="PZ155" s="5" t="str">
        <f t="shared" si="556"/>
        <v>NO APLICA</v>
      </c>
    </row>
    <row r="156" spans="1:442" ht="15.6" hidden="1" thickTop="1" thickBot="1" x14ac:dyDescent="0.35">
      <c r="A156" s="26">
        <v>153</v>
      </c>
      <c r="B156" s="31">
        <v>1629</v>
      </c>
      <c r="C156" s="28" t="s">
        <v>499</v>
      </c>
      <c r="D156" s="29" t="s">
        <v>68</v>
      </c>
      <c r="E156" s="30" t="s">
        <v>73</v>
      </c>
      <c r="F156" s="5"/>
      <c r="G156" s="6"/>
      <c r="H156" s="4"/>
      <c r="I156" s="8"/>
      <c r="J156" s="5" t="str">
        <f t="shared" si="455"/>
        <v>NO APLICA</v>
      </c>
      <c r="K156" s="5"/>
      <c r="L156" s="6"/>
      <c r="M156" s="6"/>
      <c r="N156" s="8"/>
      <c r="O156" s="5" t="str">
        <f t="shared" si="456"/>
        <v>NO APLICA</v>
      </c>
      <c r="P156" s="6"/>
      <c r="Q156" s="6"/>
      <c r="R156" s="4"/>
      <c r="S156" s="8"/>
      <c r="T156" s="5" t="str">
        <f t="shared" si="557"/>
        <v>NO APLICA</v>
      </c>
      <c r="U156" s="5"/>
      <c r="V156" s="2" t="s">
        <v>500</v>
      </c>
      <c r="W156" s="4">
        <v>44764</v>
      </c>
      <c r="X156" s="4">
        <f t="shared" si="410"/>
        <v>46590</v>
      </c>
      <c r="Y156" s="8">
        <f t="shared" ca="1" si="411"/>
        <v>445</v>
      </c>
      <c r="Z156" s="5" t="str">
        <f t="shared" ca="1" si="412"/>
        <v>VIGENTE</v>
      </c>
      <c r="AA156" s="5"/>
      <c r="AB156" s="2" t="s">
        <v>501</v>
      </c>
      <c r="AC156" s="4">
        <v>44988</v>
      </c>
      <c r="AD156" s="4">
        <f>DATE(YEAR(AC156)+5,MONTH(AC156),DAY(AC156))</f>
        <v>46815</v>
      </c>
      <c r="AE156" s="8">
        <f ca="1">AD156-TODAY()</f>
        <v>670</v>
      </c>
      <c r="AF156" s="5" t="str">
        <f t="shared" ca="1" si="457"/>
        <v>VIGENTE</v>
      </c>
      <c r="AG156" s="3"/>
      <c r="AH156" s="4">
        <v>45589</v>
      </c>
      <c r="AI156" s="4">
        <f>DATE(YEAR(AH156)+2,MONTH(AH156),DAY(AH156)-1)</f>
        <v>46318</v>
      </c>
      <c r="AJ156" s="8">
        <f t="shared" ca="1" si="458"/>
        <v>173</v>
      </c>
      <c r="AK156" s="5" t="str">
        <f t="shared" ca="1" si="408"/>
        <v>VIGENTE</v>
      </c>
      <c r="AL156" s="3"/>
      <c r="AM156" s="4">
        <v>46062</v>
      </c>
      <c r="AN156" s="4">
        <f t="shared" si="572"/>
        <v>46792</v>
      </c>
      <c r="AO156" s="8">
        <f t="shared" ca="1" si="459"/>
        <v>647</v>
      </c>
      <c r="AP156" s="5" t="str">
        <f t="shared" ca="1" si="460"/>
        <v>VIGENTE</v>
      </c>
      <c r="AQ156" s="3"/>
      <c r="AR156" s="4">
        <v>46048</v>
      </c>
      <c r="AS156" s="4">
        <f>DATE(YEAR(AR156)+2,MONTH(AR156),DAY(AR156))</f>
        <v>46778</v>
      </c>
      <c r="AT156" s="8">
        <f t="shared" ca="1" si="461"/>
        <v>633</v>
      </c>
      <c r="AU156" s="5" t="str">
        <f t="shared" ca="1" si="462"/>
        <v>VIGENTE</v>
      </c>
      <c r="AV156" s="3"/>
      <c r="AW156" s="4">
        <v>46070</v>
      </c>
      <c r="AX156" s="4">
        <f>DATE(YEAR(AW156)+2,MONTH(AW156),DAY(AW156))</f>
        <v>46800</v>
      </c>
      <c r="AY156" s="8">
        <f t="shared" ca="1" si="463"/>
        <v>655</v>
      </c>
      <c r="AZ156" s="5" t="str">
        <f t="shared" ca="1" si="464"/>
        <v>VIGENTE</v>
      </c>
      <c r="BA156" s="3"/>
      <c r="BB156" s="4">
        <v>46041</v>
      </c>
      <c r="BC156" s="4">
        <f>DATE(YEAR(BB156)+2,MONTH(BB156),DAY(BB156))</f>
        <v>46771</v>
      </c>
      <c r="BD156" s="8">
        <f t="shared" ca="1" si="465"/>
        <v>626</v>
      </c>
      <c r="BE156" s="5" t="str">
        <f t="shared" ca="1" si="466"/>
        <v>VIGENTE</v>
      </c>
      <c r="BF156" s="3"/>
      <c r="BG156" s="4">
        <v>45987</v>
      </c>
      <c r="BH156" s="4">
        <f t="shared" si="582"/>
        <v>46717</v>
      </c>
      <c r="BI156" s="8">
        <f t="shared" ca="1" si="467"/>
        <v>572</v>
      </c>
      <c r="BJ156" s="5" t="str">
        <f t="shared" ca="1" si="468"/>
        <v>VIGENTE</v>
      </c>
      <c r="BK156" s="3"/>
      <c r="BL156" s="4">
        <v>46056</v>
      </c>
      <c r="BM156" s="4">
        <f>DATE(YEAR(BL156)+2,MONTH(BL156),DAY(BL156))</f>
        <v>46786</v>
      </c>
      <c r="BN156" s="8">
        <f t="shared" ca="1" si="469"/>
        <v>641</v>
      </c>
      <c r="BO156" s="5" t="str">
        <f t="shared" ca="1" si="470"/>
        <v>VIGENTE</v>
      </c>
      <c r="BP156" s="3"/>
      <c r="BQ156" s="39">
        <v>46069</v>
      </c>
      <c r="BR156" s="4">
        <f>DATE(YEAR(BQ156)+2,MONTH(BQ156),DAY(BQ156))</f>
        <v>46799</v>
      </c>
      <c r="BS156" s="8">
        <f t="shared" ca="1" si="471"/>
        <v>654</v>
      </c>
      <c r="BT156" s="5" t="str">
        <f t="shared" ca="1" si="472"/>
        <v>VIGENTE</v>
      </c>
      <c r="BU156" s="3"/>
      <c r="BV156" s="4">
        <v>46063</v>
      </c>
      <c r="BW156" s="4">
        <f>DATE(YEAR(BV156)+2,MONTH(BV156),DAY(BV156))</f>
        <v>46793</v>
      </c>
      <c r="BX156" s="8">
        <f t="shared" ca="1" si="473"/>
        <v>648</v>
      </c>
      <c r="BY156" s="5" t="str">
        <f t="shared" ca="1" si="474"/>
        <v>VIGENTE</v>
      </c>
      <c r="BZ156" s="3"/>
      <c r="CA156" s="4">
        <v>46065</v>
      </c>
      <c r="CB156" s="4">
        <f t="shared" si="574"/>
        <v>46795</v>
      </c>
      <c r="CC156" s="8">
        <f t="shared" ca="1" si="475"/>
        <v>650</v>
      </c>
      <c r="CD156" s="5" t="str">
        <f t="shared" ca="1" si="476"/>
        <v>VIGENTE</v>
      </c>
      <c r="CE156" s="6"/>
      <c r="CF156" s="4">
        <v>45241</v>
      </c>
      <c r="CG156" s="4">
        <f t="shared" si="416"/>
        <v>46702</v>
      </c>
      <c r="CH156" s="8">
        <f t="shared" ca="1" si="417"/>
        <v>557</v>
      </c>
      <c r="CI156" s="5" t="str">
        <f t="shared" ca="1" si="573"/>
        <v>VIGENTE</v>
      </c>
      <c r="CJ156" s="4"/>
      <c r="CK156" s="4">
        <v>46064</v>
      </c>
      <c r="CL156" s="4">
        <f>DATE(YEAR(CK156)+2,MONTH(CK156),DAY(CK156))</f>
        <v>46794</v>
      </c>
      <c r="CM156" s="8">
        <f t="shared" ca="1" si="477"/>
        <v>649</v>
      </c>
      <c r="CN156" s="5" t="str">
        <f t="shared" ca="1" si="478"/>
        <v>VIGENTE</v>
      </c>
      <c r="CO156" s="3"/>
      <c r="CP156" s="4">
        <v>46101</v>
      </c>
      <c r="CQ156" s="4">
        <f>DATE(YEAR(CP156)+2,MONTH(CP156),DAY(CP156))</f>
        <v>46832</v>
      </c>
      <c r="CR156" s="8">
        <f t="shared" ca="1" si="479"/>
        <v>687</v>
      </c>
      <c r="CS156" s="5" t="str">
        <f t="shared" ca="1" si="480"/>
        <v>VIGENTE</v>
      </c>
      <c r="CT156" s="3"/>
      <c r="CU156" s="4">
        <v>46043</v>
      </c>
      <c r="CV156" s="4">
        <f>DATE(YEAR(CU156)+2,MONTH(CU156),DAY(CU156))</f>
        <v>46773</v>
      </c>
      <c r="CW156" s="8">
        <f t="shared" ca="1" si="481"/>
        <v>628</v>
      </c>
      <c r="CX156" s="5" t="str">
        <f t="shared" ca="1" si="482"/>
        <v>VIGENTE</v>
      </c>
      <c r="CY156" s="3"/>
      <c r="CZ156" s="4">
        <v>45661</v>
      </c>
      <c r="DA156" s="4">
        <f>DATE(YEAR(CZ156)+2,MONTH(CZ156),DAY(CZ156)-1)</f>
        <v>46390</v>
      </c>
      <c r="DB156" s="8">
        <f t="shared" ca="1" si="483"/>
        <v>245</v>
      </c>
      <c r="DC156" s="5" t="str">
        <f t="shared" ca="1" si="484"/>
        <v>VIGENTE</v>
      </c>
      <c r="DD156" s="3"/>
      <c r="DE156" s="39">
        <v>45689</v>
      </c>
      <c r="DF156" s="4">
        <f>DATE(YEAR(DE156)+2,MONTH(DE156),DAY(DE156)-1)</f>
        <v>46418</v>
      </c>
      <c r="DG156" s="8">
        <f t="shared" ca="1" si="485"/>
        <v>273</v>
      </c>
      <c r="DH156" s="5" t="str">
        <f t="shared" ca="1" si="486"/>
        <v>VIGENTE</v>
      </c>
      <c r="DI156" s="3"/>
      <c r="DJ156" s="39">
        <v>46029</v>
      </c>
      <c r="DK156" s="4">
        <f>DATE(YEAR(DJ156)+2,MONTH(DJ156),DAY(DJ156))</f>
        <v>46759</v>
      </c>
      <c r="DL156" s="8">
        <f t="shared" ca="1" si="487"/>
        <v>614</v>
      </c>
      <c r="DM156" s="5" t="str">
        <f t="shared" ca="1" si="488"/>
        <v>VIGENTE</v>
      </c>
      <c r="DN156" s="3"/>
      <c r="DO156" s="4">
        <v>46088</v>
      </c>
      <c r="DP156" s="4">
        <f>DATE(YEAR(DO156)+2,MONTH(DO156),DAY(DO156))</f>
        <v>46819</v>
      </c>
      <c r="DQ156" s="8">
        <f t="shared" ca="1" si="489"/>
        <v>674</v>
      </c>
      <c r="DR156" s="5" t="str">
        <f t="shared" ca="1" si="490"/>
        <v>VIGENTE</v>
      </c>
      <c r="DS156" s="3"/>
      <c r="DT156" s="4">
        <v>46072</v>
      </c>
      <c r="DU156" s="4">
        <f>DATE(YEAR(DT156)+2,MONTH(DT156),DAY(DT156))</f>
        <v>46802</v>
      </c>
      <c r="DV156" s="8">
        <f t="shared" ca="1" si="491"/>
        <v>657</v>
      </c>
      <c r="DW156" s="5" t="str">
        <f t="shared" ca="1" si="492"/>
        <v>VIGENTE</v>
      </c>
      <c r="DX156" s="3"/>
      <c r="DY156" s="4">
        <v>46099</v>
      </c>
      <c r="DZ156" s="4">
        <f>DATE(YEAR(DY156)+2,MONTH(DY156),DAY(DY156))</f>
        <v>46830</v>
      </c>
      <c r="EA156" s="8">
        <f t="shared" ca="1" si="493"/>
        <v>685</v>
      </c>
      <c r="EB156" s="5" t="str">
        <f t="shared" ca="1" si="494"/>
        <v>VIGENTE</v>
      </c>
      <c r="EC156" s="3"/>
      <c r="ED156" s="39">
        <v>46104</v>
      </c>
      <c r="EE156" s="4">
        <f>DATE(YEAR(ED156)+2,MONTH(ED156),DAY(ED156))</f>
        <v>46835</v>
      </c>
      <c r="EF156" s="8">
        <f t="shared" ca="1" si="495"/>
        <v>690</v>
      </c>
      <c r="EG156" s="5" t="str">
        <f t="shared" ca="1" si="496"/>
        <v>VIGENTE</v>
      </c>
      <c r="EH156" s="3"/>
      <c r="EI156" s="4">
        <v>46115</v>
      </c>
      <c r="EJ156" s="4">
        <f t="shared" si="558"/>
        <v>46480</v>
      </c>
      <c r="EK156" s="8">
        <f t="shared" ca="1" si="497"/>
        <v>335</v>
      </c>
      <c r="EL156" s="5" t="str">
        <f t="shared" ca="1" si="498"/>
        <v>VIGENTE</v>
      </c>
      <c r="EM156" s="3"/>
      <c r="EN156" s="4">
        <v>46135</v>
      </c>
      <c r="EO156" s="4">
        <f>DATE(YEAR(EN156)+2,MONTH(EN156),DAY(EN156)-1)</f>
        <v>46865</v>
      </c>
      <c r="EP156" s="8">
        <f t="shared" ca="1" si="499"/>
        <v>720</v>
      </c>
      <c r="EQ156" s="5" t="str">
        <f t="shared" ca="1" si="500"/>
        <v>VIGENTE</v>
      </c>
      <c r="ER156" s="3"/>
      <c r="ES156" s="39">
        <v>46094</v>
      </c>
      <c r="ET156" s="4">
        <f>DATE(YEAR(ES156)+2,MONTH(ES156),DAY(ES156))</f>
        <v>46825</v>
      </c>
      <c r="EU156" s="8">
        <f t="shared" ca="1" si="501"/>
        <v>680</v>
      </c>
      <c r="EV156" s="5" t="str">
        <f t="shared" ca="1" si="502"/>
        <v>VIGENTE</v>
      </c>
      <c r="EW156" s="3"/>
      <c r="EX156" s="4">
        <v>46086</v>
      </c>
      <c r="EY156" s="4">
        <f t="shared" si="575"/>
        <v>46817</v>
      </c>
      <c r="EZ156" s="8">
        <f t="shared" ca="1" si="503"/>
        <v>672</v>
      </c>
      <c r="FA156" s="5" t="str">
        <f t="shared" ca="1" si="504"/>
        <v>VIGENTE</v>
      </c>
      <c r="FB156" s="3"/>
      <c r="FC156" s="4">
        <v>46091</v>
      </c>
      <c r="FD156" s="4">
        <f t="shared" si="576"/>
        <v>46822</v>
      </c>
      <c r="FE156" s="8">
        <f t="shared" ca="1" si="505"/>
        <v>677</v>
      </c>
      <c r="FF156" s="5" t="str">
        <f t="shared" ca="1" si="506"/>
        <v>VIGENTE</v>
      </c>
      <c r="FG156" s="3"/>
      <c r="FH156" s="4">
        <v>45969</v>
      </c>
      <c r="FI156" s="4">
        <f>DATE(YEAR(FH156)+2,MONTH(FH156),DAY(FH156))</f>
        <v>46699</v>
      </c>
      <c r="FJ156" s="8">
        <f t="shared" ca="1" si="507"/>
        <v>554</v>
      </c>
      <c r="FK156" s="5" t="str">
        <f t="shared" ca="1" si="508"/>
        <v>VIGENTE</v>
      </c>
      <c r="FL156" s="3"/>
      <c r="FM156" s="39">
        <v>46049</v>
      </c>
      <c r="FN156" s="4">
        <f>DATE(YEAR(FM156)+2,MONTH(FM156),DAY(FM156))</f>
        <v>46779</v>
      </c>
      <c r="FO156" s="8">
        <f t="shared" ca="1" si="509"/>
        <v>634</v>
      </c>
      <c r="FP156" s="5" t="str">
        <f t="shared" ca="1" si="510"/>
        <v>VIGENTE</v>
      </c>
      <c r="FQ156" s="3"/>
      <c r="FR156" s="39">
        <v>46132</v>
      </c>
      <c r="FS156" s="4">
        <f>DATE(YEAR(FR156)+2,MONTH(FR156),DAY(FR156)-1)</f>
        <v>46862</v>
      </c>
      <c r="FT156" s="8">
        <f t="shared" ca="1" si="511"/>
        <v>717</v>
      </c>
      <c r="FU156" s="5" t="str">
        <f t="shared" ca="1" si="512"/>
        <v>VIGENTE</v>
      </c>
      <c r="FV156" s="4"/>
      <c r="FW156" s="4">
        <v>45616</v>
      </c>
      <c r="FX156" s="4">
        <f>DATE(YEAR(FW156)+2,MONTH(FW156),DAY(FW156)-1)</f>
        <v>46345</v>
      </c>
      <c r="FY156" s="8">
        <f t="shared" ca="1" si="513"/>
        <v>200</v>
      </c>
      <c r="FZ156" s="5" t="str">
        <f t="shared" ca="1" si="514"/>
        <v>VIGENTE</v>
      </c>
      <c r="GA156" s="3"/>
      <c r="GB156" s="4">
        <v>46030</v>
      </c>
      <c r="GC156" s="4">
        <f>DATE(YEAR(GB156)+2,MONTH(GB156),DAY(GB156))</f>
        <v>46760</v>
      </c>
      <c r="GD156" s="8">
        <f t="shared" ca="1" si="515"/>
        <v>615</v>
      </c>
      <c r="GE156" s="5" t="str">
        <f t="shared" ca="1" si="516"/>
        <v>VIGENTE</v>
      </c>
      <c r="GF156" s="3"/>
      <c r="GG156" s="4">
        <v>45498</v>
      </c>
      <c r="GH156" s="4">
        <f>DATE(YEAR(GG156)+2,MONTH(GG156),DAY(GG156)-1)</f>
        <v>46227</v>
      </c>
      <c r="GI156" s="8">
        <f t="shared" ca="1" si="517"/>
        <v>82</v>
      </c>
      <c r="GJ156" s="5" t="str">
        <f t="shared" ca="1" si="518"/>
        <v>POR VENCER</v>
      </c>
      <c r="GK156" s="3"/>
      <c r="GL156" s="4">
        <v>45499</v>
      </c>
      <c r="GM156" s="4">
        <f>DATE(YEAR(GL156)+2,MONTH(GL156),DAY(GL156)-1)</f>
        <v>46228</v>
      </c>
      <c r="GN156" s="8">
        <f t="shared" ca="1" si="519"/>
        <v>83</v>
      </c>
      <c r="GO156" s="5" t="str">
        <f t="shared" ca="1" si="520"/>
        <v>VIGENTE</v>
      </c>
      <c r="GP156" s="4"/>
      <c r="GQ156" s="4">
        <v>45468</v>
      </c>
      <c r="GR156" s="4">
        <f t="shared" si="521"/>
        <v>47294</v>
      </c>
      <c r="GS156" s="8">
        <f t="shared" ca="1" si="405"/>
        <v>1149</v>
      </c>
      <c r="GT156" s="5" t="str">
        <f t="shared" ca="1" si="419"/>
        <v>VIGENTE</v>
      </c>
      <c r="GU156" s="3"/>
      <c r="GV156" s="4">
        <v>45478</v>
      </c>
      <c r="GW156" s="4">
        <f t="shared" si="522"/>
        <v>47304</v>
      </c>
      <c r="GX156" s="8">
        <f t="shared" ca="1" si="523"/>
        <v>1159</v>
      </c>
      <c r="GY156" s="5" t="str">
        <f t="shared" ca="1" si="426"/>
        <v>VIGENTE</v>
      </c>
      <c r="GZ156" s="3"/>
      <c r="HA156" s="4">
        <v>45479</v>
      </c>
      <c r="HB156" s="4">
        <f t="shared" si="524"/>
        <v>47305</v>
      </c>
      <c r="HC156" s="8">
        <f t="shared" ca="1" si="525"/>
        <v>1160</v>
      </c>
      <c r="HD156" s="5" t="str">
        <f t="shared" ca="1" si="421"/>
        <v>VIGENTE</v>
      </c>
      <c r="HE156" s="6"/>
      <c r="HF156" s="4">
        <v>44900</v>
      </c>
      <c r="HG156" s="4">
        <f t="shared" si="583"/>
        <v>46726</v>
      </c>
      <c r="HH156" s="8">
        <f t="shared" ca="1" si="584"/>
        <v>581</v>
      </c>
      <c r="HI156" s="5" t="str">
        <f t="shared" ca="1" si="427"/>
        <v>VIGENTE</v>
      </c>
      <c r="HJ156" s="2"/>
      <c r="HK156" s="4">
        <v>45370</v>
      </c>
      <c r="HL156" s="4">
        <f>DATE(YEAR(HK156)+5,MONTH(HK156),DAY(HK156))</f>
        <v>47196</v>
      </c>
      <c r="HM156" s="8">
        <f ca="1">HL156-TODAY()</f>
        <v>1051</v>
      </c>
      <c r="HN156" s="5" t="str">
        <f t="shared" ca="1" si="444"/>
        <v>VIGENTE</v>
      </c>
      <c r="HO156" s="2"/>
      <c r="HP156" s="3">
        <v>45374</v>
      </c>
      <c r="HQ156" s="4">
        <f>DATE(YEAR(HP156)+5,MONTH(HP156),DAY(HP156))</f>
        <v>47200</v>
      </c>
      <c r="HR156" s="8">
        <f ca="1">HQ156-TODAY()</f>
        <v>1055</v>
      </c>
      <c r="HS156" s="5" t="str">
        <f t="shared" ca="1" si="526"/>
        <v>VIGENTE</v>
      </c>
      <c r="HT156" s="3"/>
      <c r="HU156" s="4">
        <v>45469</v>
      </c>
      <c r="HV156" s="4">
        <f>DATE(YEAR(HU156)+5,MONTH(HU156),DAY(HU156))</f>
        <v>47295</v>
      </c>
      <c r="HW156" s="8">
        <f ca="1">HV156-TODAY()</f>
        <v>1150</v>
      </c>
      <c r="HX156" s="5" t="str">
        <f t="shared" ca="1" si="527"/>
        <v>VIGENTE</v>
      </c>
      <c r="HY156" s="3"/>
      <c r="HZ156" s="4">
        <v>45475</v>
      </c>
      <c r="IA156" s="4">
        <f>DATE(YEAR(HZ156)+5,MONTH(HZ156),DAY(HZ156))</f>
        <v>47301</v>
      </c>
      <c r="IB156" s="8">
        <f ca="1">IA156-TODAY()</f>
        <v>1156</v>
      </c>
      <c r="IC156" s="5" t="str">
        <f t="shared" ca="1" si="528"/>
        <v>VIGENTE</v>
      </c>
      <c r="ID156" s="3"/>
      <c r="IE156" s="4">
        <v>45505</v>
      </c>
      <c r="IF156" s="4">
        <f>DATE(YEAR(IE156)+5,MONTH(IE156),DAY(IE156))</f>
        <v>47331</v>
      </c>
      <c r="IG156" s="8">
        <f ca="1">IF156-TODAY()</f>
        <v>1186</v>
      </c>
      <c r="IH156" s="5" t="str">
        <f t="shared" ca="1" si="529"/>
        <v>VIGENTE</v>
      </c>
      <c r="II156" s="4"/>
      <c r="IJ156" s="4">
        <v>45485</v>
      </c>
      <c r="IK156" s="4">
        <f>DATE(YEAR(IJ156)+5,MONTH(IJ156),DAY(IJ156))</f>
        <v>47311</v>
      </c>
      <c r="IL156" s="8">
        <f ca="1">IK156-TODAY()</f>
        <v>1166</v>
      </c>
      <c r="IM156" s="5" t="str">
        <f t="shared" ca="1" si="530"/>
        <v>VIGENTE</v>
      </c>
      <c r="IN156" s="3"/>
      <c r="IO156" s="4">
        <v>45433</v>
      </c>
      <c r="IP156" s="4">
        <f>DATE(YEAR(IO156)+5,MONTH(IO156),DAY(IO156))</f>
        <v>47259</v>
      </c>
      <c r="IQ156" s="8">
        <f ca="1">IP156-TODAY()</f>
        <v>1114</v>
      </c>
      <c r="IR156" s="5" t="str">
        <f t="shared" ca="1" si="531"/>
        <v>VIGENTE</v>
      </c>
      <c r="IS156" s="3"/>
      <c r="IT156" s="4">
        <v>45484</v>
      </c>
      <c r="IU156" s="4">
        <f>DATE(YEAR(IT156)+5,MONTH(IT156),DAY(IT156))</f>
        <v>47310</v>
      </c>
      <c r="IV156" s="8">
        <f ca="1">IU156-TODAY()</f>
        <v>1165</v>
      </c>
      <c r="IW156" s="5" t="str">
        <f t="shared" ca="1" si="532"/>
        <v>VIGENTE</v>
      </c>
      <c r="IX156" s="3"/>
      <c r="IY156" s="4">
        <v>45446</v>
      </c>
      <c r="IZ156" s="4">
        <f>DATE(YEAR(IY156)+5,MONTH(IY156),DAY(IY156))</f>
        <v>47272</v>
      </c>
      <c r="JA156" s="8">
        <f ca="1">IZ156-TODAY()</f>
        <v>1127</v>
      </c>
      <c r="JB156" s="5" t="str">
        <f t="shared" ca="1" si="533"/>
        <v>VIGENTE</v>
      </c>
      <c r="JC156" s="3" t="s">
        <v>780</v>
      </c>
      <c r="JD156" s="3"/>
      <c r="JE156" s="4"/>
      <c r="JF156" s="8"/>
      <c r="JG156" s="5"/>
      <c r="JH156" s="3" t="s">
        <v>780</v>
      </c>
      <c r="JI156" s="6"/>
      <c r="JJ156" s="6"/>
      <c r="JK156" s="6"/>
      <c r="JL156" s="5"/>
      <c r="JM156" s="6" t="s">
        <v>780</v>
      </c>
      <c r="JN156" s="6"/>
      <c r="JO156" s="6"/>
      <c r="JP156" s="6"/>
      <c r="JQ156" s="5"/>
      <c r="JR156" s="6" t="s">
        <v>780</v>
      </c>
      <c r="JS156" s="6"/>
      <c r="JT156" s="6"/>
      <c r="JU156" s="6"/>
      <c r="JV156" s="5"/>
      <c r="JW156" s="6" t="s">
        <v>780</v>
      </c>
      <c r="JX156" s="5"/>
      <c r="JY156" s="5"/>
      <c r="JZ156" s="5"/>
      <c r="KA156" s="5"/>
      <c r="KB156" s="5"/>
      <c r="KC156" s="2"/>
      <c r="KD156" s="4"/>
      <c r="KE156" s="8"/>
      <c r="KF156" s="5" t="str">
        <f t="shared" si="534"/>
        <v>NO APLICA</v>
      </c>
      <c r="KG156" s="5"/>
      <c r="KH156" s="2"/>
      <c r="KI156" s="4"/>
      <c r="KJ156" s="8"/>
      <c r="KK156" s="5" t="str">
        <f t="shared" si="559"/>
        <v>NO APLICA</v>
      </c>
      <c r="KL156" s="5"/>
      <c r="KM156" s="2"/>
      <c r="KN156" s="4"/>
      <c r="KO156" s="8"/>
      <c r="KP156" s="5" t="str">
        <f t="shared" si="535"/>
        <v>NO APLICA</v>
      </c>
      <c r="KQ156" s="5"/>
      <c r="KR156" s="2"/>
      <c r="KS156" s="4"/>
      <c r="KT156" s="8"/>
      <c r="KU156" s="5" t="str">
        <f t="shared" si="560"/>
        <v>NO APLICA</v>
      </c>
      <c r="KV156" s="2"/>
      <c r="KW156" s="6"/>
      <c r="KX156" s="4"/>
      <c r="KY156" s="8"/>
      <c r="KZ156" s="5" t="str">
        <f t="shared" si="565"/>
        <v>NO APLICA</v>
      </c>
      <c r="LA156" s="5"/>
      <c r="LB156" s="6"/>
      <c r="LC156" s="4"/>
      <c r="LD156" s="8"/>
      <c r="LE156" s="5" t="str">
        <f t="shared" si="561"/>
        <v>NO APLICA</v>
      </c>
      <c r="LF156" s="6"/>
      <c r="LG156" s="6"/>
      <c r="LH156" s="4"/>
      <c r="LI156" s="8"/>
      <c r="LJ156" s="5" t="str">
        <f t="shared" si="567"/>
        <v>NO APLICA</v>
      </c>
      <c r="LK156" s="5"/>
      <c r="LL156" s="5"/>
      <c r="LM156" s="5"/>
      <c r="LN156" s="5"/>
      <c r="LO156" s="5" t="str">
        <f t="shared" si="566"/>
        <v>NO APLICA</v>
      </c>
      <c r="LP156" s="2"/>
      <c r="LQ156" s="6"/>
      <c r="LR156" s="4"/>
      <c r="LS156" s="8"/>
      <c r="LT156" s="5" t="str">
        <f t="shared" si="562"/>
        <v>NO APLICA</v>
      </c>
      <c r="LU156" s="6"/>
      <c r="LV156" s="6"/>
      <c r="LW156" s="4"/>
      <c r="LX156" s="8"/>
      <c r="LY156" s="5" t="str">
        <f t="shared" si="563"/>
        <v>NO APLICA</v>
      </c>
      <c r="LZ156" s="6"/>
      <c r="MA156" s="6"/>
      <c r="MB156" s="4"/>
      <c r="MC156" s="8"/>
      <c r="MD156" s="5" t="str">
        <f t="shared" si="564"/>
        <v>NO APLICA</v>
      </c>
      <c r="ME156" s="2"/>
      <c r="MF156" s="2"/>
      <c r="MG156" s="4"/>
      <c r="MH156" s="8"/>
      <c r="MI156" s="5" t="str">
        <f t="shared" si="537"/>
        <v>NO APLICA</v>
      </c>
      <c r="MJ156" s="2"/>
      <c r="MK156" s="2"/>
      <c r="ML156" s="4"/>
      <c r="MM156" s="8"/>
      <c r="MN156" s="5" t="str">
        <f t="shared" si="538"/>
        <v>NO APLICA</v>
      </c>
      <c r="MO156" s="5"/>
      <c r="MP156" s="2"/>
      <c r="MQ156" s="4"/>
      <c r="MR156" s="8"/>
      <c r="MS156" s="5" t="str">
        <f t="shared" si="539"/>
        <v>NO APLICA</v>
      </c>
      <c r="MT156" s="5"/>
      <c r="MU156" s="2"/>
      <c r="MV156" s="4"/>
      <c r="MW156" s="2"/>
      <c r="MX156" s="5" t="str">
        <f t="shared" si="540"/>
        <v>NO APLICA</v>
      </c>
      <c r="MY156" s="2"/>
      <c r="MZ156" s="6"/>
      <c r="NA156" s="4"/>
      <c r="NB156" s="8"/>
      <c r="NC156" s="5" t="str">
        <f t="shared" si="541"/>
        <v>NO APLICA</v>
      </c>
      <c r="ND156" s="2"/>
      <c r="NE156" s="6"/>
      <c r="NF156" s="4"/>
      <c r="NG156" s="8"/>
      <c r="NH156" s="5" t="str">
        <f t="shared" si="542"/>
        <v>NO APLICA</v>
      </c>
      <c r="NI156" s="2"/>
      <c r="NJ156" s="6"/>
      <c r="NK156" s="4"/>
      <c r="NL156" s="8"/>
      <c r="NM156" s="5" t="str">
        <f t="shared" si="543"/>
        <v>NO APLICA</v>
      </c>
      <c r="NN156" s="2"/>
      <c r="NO156" s="2"/>
      <c r="NP156" s="4"/>
      <c r="NQ156" s="2"/>
      <c r="NR156" s="5" t="str">
        <f t="shared" si="544"/>
        <v>NO APLICA</v>
      </c>
      <c r="NS156" s="2"/>
      <c r="NT156" s="2"/>
      <c r="NU156" s="4"/>
      <c r="NV156" s="2"/>
      <c r="NW156" s="5" t="str">
        <f t="shared" si="545"/>
        <v>NO APLICA</v>
      </c>
      <c r="NX156" s="6"/>
      <c r="NY156" s="6"/>
      <c r="NZ156" s="4"/>
      <c r="OA156" s="8"/>
      <c r="OB156" s="5" t="str">
        <f t="shared" si="546"/>
        <v>NO APLICA</v>
      </c>
      <c r="OC156" s="6"/>
      <c r="OD156" s="6"/>
      <c r="OE156" s="6"/>
      <c r="OF156" s="6"/>
      <c r="OG156" s="5" t="str">
        <f t="shared" si="547"/>
        <v>NO APLICA</v>
      </c>
      <c r="OH156" s="6"/>
      <c r="OI156" s="6"/>
      <c r="OJ156" s="4"/>
      <c r="OK156" s="8"/>
      <c r="OL156" s="5" t="str">
        <f t="shared" si="548"/>
        <v>NO APLICA</v>
      </c>
      <c r="OM156" s="6"/>
      <c r="ON156" s="6"/>
      <c r="OO156" s="6"/>
      <c r="OP156" s="6"/>
      <c r="OQ156" s="5" t="str">
        <f t="shared" si="549"/>
        <v>NO APLICA</v>
      </c>
      <c r="OR156" s="6"/>
      <c r="OS156" s="6"/>
      <c r="OT156" s="6"/>
      <c r="OU156" s="6"/>
      <c r="OV156" s="5" t="str">
        <f t="shared" si="550"/>
        <v>NO APLICA</v>
      </c>
      <c r="OW156" s="6"/>
      <c r="OX156" s="6"/>
      <c r="OY156" s="6"/>
      <c r="OZ156" s="6"/>
      <c r="PA156" s="5" t="str">
        <f t="shared" si="551"/>
        <v>NO APLICA</v>
      </c>
      <c r="PB156" s="6"/>
      <c r="PC156" s="6"/>
      <c r="PD156" s="6"/>
      <c r="PE156" s="6"/>
      <c r="PF156" s="5" t="str">
        <f t="shared" si="552"/>
        <v>NO APLICA</v>
      </c>
      <c r="PG156" s="6"/>
      <c r="PH156" s="6"/>
      <c r="PI156" s="6"/>
      <c r="PJ156" s="6"/>
      <c r="PK156" s="5" t="str">
        <f t="shared" si="553"/>
        <v>NO APLICA</v>
      </c>
      <c r="PL156" s="5"/>
      <c r="PM156" s="6"/>
      <c r="PN156" s="4"/>
      <c r="PO156" s="8"/>
      <c r="PP156" s="5" t="str">
        <f t="shared" si="554"/>
        <v>NO APLICA</v>
      </c>
      <c r="PQ156" s="6"/>
      <c r="PR156" s="6"/>
      <c r="PS156" s="6"/>
      <c r="PT156" s="6"/>
      <c r="PU156" s="5" t="str">
        <f t="shared" si="555"/>
        <v>NO APLICA</v>
      </c>
      <c r="PV156" s="5"/>
      <c r="PW156" s="6"/>
      <c r="PX156" s="6"/>
      <c r="PY156" s="6"/>
      <c r="PZ156" s="5" t="str">
        <f t="shared" si="556"/>
        <v>NO APLICA</v>
      </c>
    </row>
    <row r="157" spans="1:442" ht="15.6" hidden="1" thickTop="1" thickBot="1" x14ac:dyDescent="0.35">
      <c r="A157" s="26">
        <v>154</v>
      </c>
      <c r="B157" s="31">
        <v>1438</v>
      </c>
      <c r="C157" s="28" t="s">
        <v>502</v>
      </c>
      <c r="D157" s="29" t="s">
        <v>68</v>
      </c>
      <c r="E157" s="30" t="s">
        <v>73</v>
      </c>
      <c r="F157" s="6"/>
      <c r="G157" s="6"/>
      <c r="H157" s="6"/>
      <c r="I157" s="6"/>
      <c r="J157" s="5" t="str">
        <f t="shared" si="455"/>
        <v>NO APLICA</v>
      </c>
      <c r="K157" s="6"/>
      <c r="L157" s="6"/>
      <c r="M157" s="6"/>
      <c r="N157" s="6"/>
      <c r="O157" s="5" t="str">
        <f t="shared" si="456"/>
        <v>NO APLICA</v>
      </c>
      <c r="P157" s="6"/>
      <c r="Q157" s="6"/>
      <c r="R157" s="6"/>
      <c r="S157" s="6"/>
      <c r="T157" s="5" t="str">
        <f t="shared" si="557"/>
        <v>NO APLICA</v>
      </c>
      <c r="U157" s="5"/>
      <c r="V157" s="6" t="s">
        <v>503</v>
      </c>
      <c r="W157" s="4">
        <v>45309</v>
      </c>
      <c r="X157" s="4">
        <f t="shared" si="410"/>
        <v>47136</v>
      </c>
      <c r="Y157" s="8">
        <f t="shared" ca="1" si="411"/>
        <v>991</v>
      </c>
      <c r="Z157" s="5" t="str">
        <f t="shared" ca="1" si="412"/>
        <v>VIGENTE</v>
      </c>
      <c r="AA157" s="5"/>
      <c r="AB157" s="6" t="s">
        <v>504</v>
      </c>
      <c r="AC157" s="4">
        <v>45464</v>
      </c>
      <c r="AD157" s="4">
        <f>DATE(YEAR(AC157)+5,MONTH(AC157),DAY(AC157))</f>
        <v>47290</v>
      </c>
      <c r="AE157" s="8">
        <f ca="1">AD157-TODAY()</f>
        <v>1145</v>
      </c>
      <c r="AF157" s="5" t="str">
        <f t="shared" ca="1" si="457"/>
        <v>VIGENTE</v>
      </c>
      <c r="AG157" s="4"/>
      <c r="AH157" s="4">
        <v>46006</v>
      </c>
      <c r="AI157" s="4">
        <f>DATE(YEAR(AH157)+2,MONTH(AH157),DAY(AH157))</f>
        <v>46736</v>
      </c>
      <c r="AJ157" s="8">
        <f t="shared" ca="1" si="458"/>
        <v>591</v>
      </c>
      <c r="AK157" s="5" t="str">
        <f t="shared" ca="1" si="408"/>
        <v>VIGENTE</v>
      </c>
      <c r="AL157" s="4"/>
      <c r="AM157" s="4">
        <v>45959</v>
      </c>
      <c r="AN157" s="4">
        <f t="shared" si="572"/>
        <v>46689</v>
      </c>
      <c r="AO157" s="8">
        <f t="shared" ca="1" si="459"/>
        <v>544</v>
      </c>
      <c r="AP157" s="5" t="str">
        <f t="shared" ca="1" si="460"/>
        <v>VIGENTE</v>
      </c>
      <c r="AQ157" s="4"/>
      <c r="AR157" s="4">
        <v>45989</v>
      </c>
      <c r="AS157" s="4">
        <f>DATE(YEAR(AR157)+2,MONTH(AR157),DAY(AR157))</f>
        <v>46719</v>
      </c>
      <c r="AT157" s="8">
        <f t="shared" ca="1" si="461"/>
        <v>574</v>
      </c>
      <c r="AU157" s="5" t="str">
        <f t="shared" ca="1" si="462"/>
        <v>VIGENTE</v>
      </c>
      <c r="AV157" s="4"/>
      <c r="AW157" s="4">
        <v>45990</v>
      </c>
      <c r="AX157" s="4">
        <f>DATE(YEAR(AW157)+2,MONTH(AW157),DAY(AW157))</f>
        <v>46720</v>
      </c>
      <c r="AY157" s="8">
        <f t="shared" ca="1" si="463"/>
        <v>575</v>
      </c>
      <c r="AZ157" s="5" t="str">
        <f t="shared" ca="1" si="464"/>
        <v>VIGENTE</v>
      </c>
      <c r="BA157" s="4"/>
      <c r="BB157" s="4">
        <v>46041</v>
      </c>
      <c r="BC157" s="4">
        <f>DATE(YEAR(BB157)+2,MONTH(BB157),DAY(BB157))</f>
        <v>46771</v>
      </c>
      <c r="BD157" s="8">
        <f t="shared" ca="1" si="465"/>
        <v>626</v>
      </c>
      <c r="BE157" s="5" t="str">
        <f t="shared" ca="1" si="466"/>
        <v>VIGENTE</v>
      </c>
      <c r="BF157" s="6"/>
      <c r="BG157" s="4">
        <v>45987</v>
      </c>
      <c r="BH157" s="4">
        <f t="shared" si="582"/>
        <v>46717</v>
      </c>
      <c r="BI157" s="8">
        <f t="shared" ca="1" si="467"/>
        <v>572</v>
      </c>
      <c r="BJ157" s="5" t="str">
        <f t="shared" ca="1" si="468"/>
        <v>VIGENTE</v>
      </c>
      <c r="BK157" s="4"/>
      <c r="BL157" s="4">
        <v>46035</v>
      </c>
      <c r="BM157" s="4">
        <f>DATE(YEAR(BL157)+2,MONTH(BL157),DAY(BL157))</f>
        <v>46765</v>
      </c>
      <c r="BN157" s="8">
        <f t="shared" ca="1" si="469"/>
        <v>620</v>
      </c>
      <c r="BO157" s="5" t="str">
        <f t="shared" ca="1" si="470"/>
        <v>VIGENTE</v>
      </c>
      <c r="BP157" s="4"/>
      <c r="BQ157" s="39">
        <v>46120</v>
      </c>
      <c r="BR157" s="4">
        <f>DATE(YEAR(BQ157)+2,MONTH(BQ157),DAY(BQ157)-1)</f>
        <v>46850</v>
      </c>
      <c r="BS157" s="8">
        <f t="shared" ca="1" si="471"/>
        <v>705</v>
      </c>
      <c r="BT157" s="5" t="str">
        <f t="shared" ca="1" si="472"/>
        <v>VIGENTE</v>
      </c>
      <c r="BU157" s="4"/>
      <c r="BV157" s="4">
        <v>46074</v>
      </c>
      <c r="BW157" s="4">
        <f>DATE(YEAR(BV157)+2,MONTH(BV157),DAY(BV157))</f>
        <v>46804</v>
      </c>
      <c r="BX157" s="8">
        <f t="shared" ca="1" si="473"/>
        <v>659</v>
      </c>
      <c r="BY157" s="5" t="str">
        <f t="shared" ca="1" si="474"/>
        <v>VIGENTE</v>
      </c>
      <c r="BZ157" s="6"/>
      <c r="CA157" s="4">
        <v>45986</v>
      </c>
      <c r="CB157" s="4">
        <f t="shared" si="574"/>
        <v>46716</v>
      </c>
      <c r="CC157" s="8">
        <f t="shared" ca="1" si="475"/>
        <v>571</v>
      </c>
      <c r="CD157" s="5" t="str">
        <f t="shared" ca="1" si="476"/>
        <v>VIGENTE</v>
      </c>
      <c r="CE157" s="6"/>
      <c r="CF157" s="4">
        <v>45301</v>
      </c>
      <c r="CG157" s="4">
        <f t="shared" si="416"/>
        <v>46762</v>
      </c>
      <c r="CH157" s="8">
        <f t="shared" ca="1" si="417"/>
        <v>617</v>
      </c>
      <c r="CI157" s="5" t="str">
        <f t="shared" ca="1" si="573"/>
        <v>VIGENTE</v>
      </c>
      <c r="CJ157" s="4"/>
      <c r="CK157" s="4">
        <v>46018</v>
      </c>
      <c r="CL157" s="4">
        <f>DATE(YEAR(CK157)+2,MONTH(CK157),DAY(CK157))</f>
        <v>46748</v>
      </c>
      <c r="CM157" s="8">
        <f t="shared" ca="1" si="477"/>
        <v>603</v>
      </c>
      <c r="CN157" s="5" t="str">
        <f t="shared" ca="1" si="478"/>
        <v>VIGENTE</v>
      </c>
      <c r="CO157" s="4"/>
      <c r="CP157" s="39">
        <v>45979</v>
      </c>
      <c r="CQ157" s="4">
        <f>DATE(YEAR(CP157)+2,MONTH(CP157),DAY(CP157))</f>
        <v>46709</v>
      </c>
      <c r="CR157" s="8">
        <f t="shared" ca="1" si="479"/>
        <v>564</v>
      </c>
      <c r="CS157" s="5" t="str">
        <f t="shared" ca="1" si="480"/>
        <v>VIGENTE</v>
      </c>
      <c r="CT157" s="4"/>
      <c r="CU157" s="4">
        <v>46081</v>
      </c>
      <c r="CV157" s="4">
        <f>DATE(YEAR(CU157)+2,MONTH(CU157),DAY(CU157))</f>
        <v>46811</v>
      </c>
      <c r="CW157" s="8">
        <f t="shared" ca="1" si="481"/>
        <v>666</v>
      </c>
      <c r="CX157" s="5" t="str">
        <f t="shared" ca="1" si="482"/>
        <v>VIGENTE</v>
      </c>
      <c r="CY157" s="4"/>
      <c r="CZ157" s="4">
        <v>46098</v>
      </c>
      <c r="DA157" s="4">
        <f>DATE(YEAR(CZ157)+2,MONTH(CZ157),DAY(CZ157))</f>
        <v>46829</v>
      </c>
      <c r="DB157" s="8">
        <f t="shared" ca="1" si="483"/>
        <v>684</v>
      </c>
      <c r="DC157" s="5" t="str">
        <f t="shared" ca="1" si="484"/>
        <v>VIGENTE</v>
      </c>
      <c r="DD157" s="4"/>
      <c r="DE157" s="39">
        <v>46045</v>
      </c>
      <c r="DF157" s="4">
        <f>DATE(YEAR(DE157)+2,MONTH(DE157),DAY(DE157))</f>
        <v>46775</v>
      </c>
      <c r="DG157" s="8">
        <f t="shared" ca="1" si="485"/>
        <v>630</v>
      </c>
      <c r="DH157" s="5" t="str">
        <f t="shared" ca="1" si="486"/>
        <v>VIGENTE</v>
      </c>
      <c r="DI157" s="4"/>
      <c r="DJ157" s="39">
        <v>46029</v>
      </c>
      <c r="DK157" s="4">
        <f>DATE(YEAR(DJ157)+2,MONTH(DJ157),DAY(DJ157))</f>
        <v>46759</v>
      </c>
      <c r="DL157" s="8">
        <f t="shared" ca="1" si="487"/>
        <v>614</v>
      </c>
      <c r="DM157" s="5" t="str">
        <f t="shared" ca="1" si="488"/>
        <v>VIGENTE</v>
      </c>
      <c r="DN157" s="4"/>
      <c r="DO157" s="4">
        <v>46088</v>
      </c>
      <c r="DP157" s="4">
        <f>DATE(YEAR(DO157)+2,MONTH(DO157),DAY(DO157))</f>
        <v>46819</v>
      </c>
      <c r="DQ157" s="8">
        <f t="shared" ca="1" si="489"/>
        <v>674</v>
      </c>
      <c r="DR157" s="5" t="str">
        <f t="shared" ca="1" si="490"/>
        <v>VIGENTE</v>
      </c>
      <c r="DS157" s="6"/>
      <c r="DT157" s="4">
        <v>46072</v>
      </c>
      <c r="DU157" s="4">
        <f>DATE(YEAR(DT157)+2,MONTH(DT157),DAY(DT157))</f>
        <v>46802</v>
      </c>
      <c r="DV157" s="8">
        <f t="shared" ca="1" si="491"/>
        <v>657</v>
      </c>
      <c r="DW157" s="5" t="str">
        <f t="shared" ca="1" si="492"/>
        <v>VIGENTE</v>
      </c>
      <c r="DX157" s="4"/>
      <c r="DY157" s="4">
        <v>46099</v>
      </c>
      <c r="DZ157" s="4">
        <f>DATE(YEAR(DY157)+2,MONTH(DY157),DAY(DY157))</f>
        <v>46830</v>
      </c>
      <c r="EA157" s="8">
        <f t="shared" ca="1" si="493"/>
        <v>685</v>
      </c>
      <c r="EB157" s="5" t="str">
        <f t="shared" ca="1" si="494"/>
        <v>VIGENTE</v>
      </c>
      <c r="EC157" s="4"/>
      <c r="ED157" s="4">
        <v>46112</v>
      </c>
      <c r="EE157" s="4">
        <f>DATE(YEAR(ED157)+2,MONTH(ED157),DAY(ED157))</f>
        <v>46843</v>
      </c>
      <c r="EF157" s="8">
        <f t="shared" ca="1" si="495"/>
        <v>698</v>
      </c>
      <c r="EG157" s="5" t="str">
        <f t="shared" ca="1" si="496"/>
        <v>VIGENTE</v>
      </c>
      <c r="EH157" s="4"/>
      <c r="EI157" s="4">
        <v>46115</v>
      </c>
      <c r="EJ157" s="4">
        <f t="shared" si="558"/>
        <v>46480</v>
      </c>
      <c r="EK157" s="8">
        <f t="shared" ca="1" si="497"/>
        <v>335</v>
      </c>
      <c r="EL157" s="5" t="str">
        <f t="shared" ca="1" si="498"/>
        <v>VIGENTE</v>
      </c>
      <c r="EM157" s="4"/>
      <c r="EN157" s="4">
        <v>46100</v>
      </c>
      <c r="EO157" s="4">
        <f>DATE(YEAR(EN157)+2,MONTH(EN157),DAY(EN157))</f>
        <v>46831</v>
      </c>
      <c r="EP157" s="8">
        <f t="shared" ca="1" si="499"/>
        <v>686</v>
      </c>
      <c r="EQ157" s="5" t="str">
        <f t="shared" ca="1" si="500"/>
        <v>VIGENTE</v>
      </c>
      <c r="ER157" s="4"/>
      <c r="ES157" s="39">
        <v>45993</v>
      </c>
      <c r="ET157" s="4">
        <f>DATE(YEAR(ES157)+2,MONTH(ES157),DAY(ES157))</f>
        <v>46723</v>
      </c>
      <c r="EU157" s="8">
        <f t="shared" ca="1" si="501"/>
        <v>578</v>
      </c>
      <c r="EV157" s="5" t="str">
        <f t="shared" ca="1" si="502"/>
        <v>VIGENTE</v>
      </c>
      <c r="EW157" s="4"/>
      <c r="EX157" s="4">
        <v>46037</v>
      </c>
      <c r="EY157" s="4">
        <f t="shared" si="575"/>
        <v>46767</v>
      </c>
      <c r="EZ157" s="8">
        <f t="shared" ca="1" si="503"/>
        <v>622</v>
      </c>
      <c r="FA157" s="5" t="str">
        <f t="shared" ca="1" si="504"/>
        <v>VIGENTE</v>
      </c>
      <c r="FB157" s="6"/>
      <c r="FC157" s="4">
        <v>45988</v>
      </c>
      <c r="FD157" s="4">
        <f t="shared" si="576"/>
        <v>46718</v>
      </c>
      <c r="FE157" s="8">
        <f t="shared" ca="1" si="505"/>
        <v>573</v>
      </c>
      <c r="FF157" s="5" t="str">
        <f t="shared" ca="1" si="506"/>
        <v>VIGENTE</v>
      </c>
      <c r="FG157" s="6"/>
      <c r="FH157" s="4">
        <v>45992</v>
      </c>
      <c r="FI157" s="4">
        <f>DATE(YEAR(FH157)+2,MONTH(FH157),DAY(FH157))</f>
        <v>46722</v>
      </c>
      <c r="FJ157" s="8">
        <f t="shared" ca="1" si="507"/>
        <v>577</v>
      </c>
      <c r="FK157" s="5" t="str">
        <f t="shared" ca="1" si="508"/>
        <v>VIGENTE</v>
      </c>
      <c r="FL157" s="4"/>
      <c r="FM157" s="39">
        <v>46039</v>
      </c>
      <c r="FN157" s="4">
        <f>DATE(YEAR(FM157)+2,MONTH(FM157),DAY(FM157))</f>
        <v>46769</v>
      </c>
      <c r="FO157" s="8">
        <f t="shared" ca="1" si="509"/>
        <v>624</v>
      </c>
      <c r="FP157" s="5" t="str">
        <f t="shared" ca="1" si="510"/>
        <v>VIGENTE</v>
      </c>
      <c r="FQ157" s="4"/>
      <c r="FR157" s="39">
        <v>45957</v>
      </c>
      <c r="FS157" s="4">
        <f>DATE(YEAR(FR157)+2,MONTH(FR157),DAY(FR157))</f>
        <v>46687</v>
      </c>
      <c r="FT157" s="8">
        <f t="shared" ca="1" si="511"/>
        <v>542</v>
      </c>
      <c r="FU157" s="5" t="str">
        <f t="shared" ca="1" si="512"/>
        <v>VIGENTE</v>
      </c>
      <c r="FV157" s="4"/>
      <c r="FW157" s="4">
        <v>46014</v>
      </c>
      <c r="FX157" s="4">
        <f>DATE(YEAR(FW157)+2,MONTH(FW157),DAY(FW157))</f>
        <v>46744</v>
      </c>
      <c r="FY157" s="8">
        <f t="shared" ca="1" si="513"/>
        <v>599</v>
      </c>
      <c r="FZ157" s="5" t="str">
        <f t="shared" ca="1" si="514"/>
        <v>VIGENTE</v>
      </c>
      <c r="GA157" s="4"/>
      <c r="GB157" s="4">
        <v>46003</v>
      </c>
      <c r="GC157" s="4">
        <f>DATE(YEAR(GB157)+2,MONTH(GB157),DAY(GB157))</f>
        <v>46733</v>
      </c>
      <c r="GD157" s="8">
        <f t="shared" ca="1" si="515"/>
        <v>588</v>
      </c>
      <c r="GE157" s="5" t="str">
        <f t="shared" ca="1" si="516"/>
        <v>VIGENTE</v>
      </c>
      <c r="GF157" s="4"/>
      <c r="GG157" s="4">
        <v>46036</v>
      </c>
      <c r="GH157" s="4">
        <f>DATE(YEAR(GG157)+2,MONTH(GG157),DAY(GG157))</f>
        <v>46766</v>
      </c>
      <c r="GI157" s="8">
        <f t="shared" ca="1" si="517"/>
        <v>621</v>
      </c>
      <c r="GJ157" s="5" t="str">
        <f t="shared" ca="1" si="518"/>
        <v>VIGENTE</v>
      </c>
      <c r="GK157" s="3"/>
      <c r="GL157" s="4">
        <v>46044</v>
      </c>
      <c r="GM157" s="4">
        <f>DATE(YEAR(GL157)+2,MONTH(GL157),DAY(GL157))</f>
        <v>46774</v>
      </c>
      <c r="GN157" s="8">
        <f t="shared" ca="1" si="519"/>
        <v>629</v>
      </c>
      <c r="GO157" s="5" t="str">
        <f t="shared" ca="1" si="520"/>
        <v>VIGENTE</v>
      </c>
      <c r="GP157" s="4"/>
      <c r="GQ157" s="4">
        <v>45367</v>
      </c>
      <c r="GR157" s="4">
        <f t="shared" si="521"/>
        <v>47193</v>
      </c>
      <c r="GS157" s="8">
        <f t="shared" ca="1" si="405"/>
        <v>1048</v>
      </c>
      <c r="GT157" s="5" t="str">
        <f t="shared" ca="1" si="419"/>
        <v>VIGENTE</v>
      </c>
      <c r="GU157" s="4"/>
      <c r="GV157" s="4">
        <v>45329</v>
      </c>
      <c r="GW157" s="4">
        <f t="shared" si="522"/>
        <v>47156</v>
      </c>
      <c r="GX157" s="8">
        <f t="shared" ca="1" si="523"/>
        <v>1011</v>
      </c>
      <c r="GY157" s="5" t="str">
        <f t="shared" ca="1" si="426"/>
        <v>VIGENTE</v>
      </c>
      <c r="GZ157" s="6"/>
      <c r="HA157" s="4">
        <v>45348</v>
      </c>
      <c r="HB157" s="4">
        <f t="shared" si="524"/>
        <v>47175</v>
      </c>
      <c r="HC157" s="8">
        <f t="shared" ca="1" si="525"/>
        <v>1030</v>
      </c>
      <c r="HD157" s="5" t="str">
        <f t="shared" ca="1" si="421"/>
        <v>VIGENTE</v>
      </c>
      <c r="HE157" s="6"/>
      <c r="HF157" s="4">
        <v>45401</v>
      </c>
      <c r="HG157" s="4">
        <f t="shared" si="583"/>
        <v>47227</v>
      </c>
      <c r="HH157" s="8">
        <f t="shared" ca="1" si="584"/>
        <v>1082</v>
      </c>
      <c r="HI157" s="5" t="str">
        <f t="shared" ca="1" si="427"/>
        <v>VIGENTE</v>
      </c>
      <c r="HJ157" s="6"/>
      <c r="HK157" s="4"/>
      <c r="HL157" s="4"/>
      <c r="HM157" s="8"/>
      <c r="HN157" s="5" t="str">
        <f t="shared" si="444"/>
        <v>NO APLICA</v>
      </c>
      <c r="HO157" s="2"/>
      <c r="HP157" s="2"/>
      <c r="HQ157" s="4"/>
      <c r="HR157" s="2"/>
      <c r="HS157" s="5" t="str">
        <f t="shared" si="526"/>
        <v>NO APLICA</v>
      </c>
      <c r="HT157" s="6"/>
      <c r="HU157" s="6"/>
      <c r="HV157" s="4"/>
      <c r="HW157" s="8"/>
      <c r="HX157" s="5" t="str">
        <f t="shared" si="527"/>
        <v>NO APLICA</v>
      </c>
      <c r="HY157" s="6"/>
      <c r="HZ157" s="6"/>
      <c r="IA157" s="4"/>
      <c r="IB157" s="8"/>
      <c r="IC157" s="5" t="str">
        <f t="shared" si="528"/>
        <v>NO APLICA</v>
      </c>
      <c r="ID157" s="6"/>
      <c r="IE157" s="6"/>
      <c r="IF157" s="4"/>
      <c r="IG157" s="8"/>
      <c r="IH157" s="5" t="str">
        <f t="shared" si="529"/>
        <v>NO APLICA</v>
      </c>
      <c r="II157" s="6"/>
      <c r="IJ157" s="6"/>
      <c r="IK157" s="4"/>
      <c r="IL157" s="6"/>
      <c r="IM157" s="5" t="str">
        <f t="shared" si="530"/>
        <v>NO APLICA</v>
      </c>
      <c r="IN157" s="6"/>
      <c r="IO157" s="6"/>
      <c r="IP157" s="4"/>
      <c r="IQ157" s="8"/>
      <c r="IR157" s="5" t="str">
        <f t="shared" si="531"/>
        <v>NO APLICA</v>
      </c>
      <c r="IS157" s="6"/>
      <c r="IT157" s="4">
        <v>45402</v>
      </c>
      <c r="IU157" s="4">
        <f>DATE(YEAR(IT157)+5,MONTH(IT157),DAY(IT157))</f>
        <v>47228</v>
      </c>
      <c r="IV157" s="8">
        <f ca="1">IU157-TODAY()</f>
        <v>1083</v>
      </c>
      <c r="IW157" s="5" t="str">
        <f t="shared" ca="1" si="532"/>
        <v>VIGENTE</v>
      </c>
      <c r="IX157" s="6"/>
      <c r="IY157" s="6"/>
      <c r="IZ157" s="4"/>
      <c r="JA157" s="8"/>
      <c r="JB157" s="5" t="str">
        <f t="shared" si="533"/>
        <v>NO APLICA</v>
      </c>
      <c r="JC157" s="3" t="s">
        <v>780</v>
      </c>
      <c r="JD157" s="3"/>
      <c r="JE157" s="4"/>
      <c r="JF157" s="8"/>
      <c r="JG157" s="5"/>
      <c r="JH157" s="3" t="s">
        <v>780</v>
      </c>
      <c r="JI157" s="6"/>
      <c r="JJ157" s="6"/>
      <c r="JK157" s="6"/>
      <c r="JL157" s="5"/>
      <c r="JM157" s="6" t="s">
        <v>780</v>
      </c>
      <c r="JN157" s="6"/>
      <c r="JO157" s="6"/>
      <c r="JP157" s="6"/>
      <c r="JQ157" s="5"/>
      <c r="JR157" s="6" t="s">
        <v>780</v>
      </c>
      <c r="JS157" s="6"/>
      <c r="JT157" s="6"/>
      <c r="JU157" s="6"/>
      <c r="JV157" s="5"/>
      <c r="JW157" s="6" t="s">
        <v>780</v>
      </c>
      <c r="JX157" s="5"/>
      <c r="JY157" s="5"/>
      <c r="JZ157" s="5"/>
      <c r="KA157" s="5"/>
      <c r="KB157" s="5"/>
      <c r="KC157" s="2"/>
      <c r="KD157" s="4"/>
      <c r="KE157" s="8"/>
      <c r="KF157" s="5" t="str">
        <f t="shared" si="534"/>
        <v>NO APLICA</v>
      </c>
      <c r="KG157" s="5"/>
      <c r="KH157" s="3">
        <v>45328</v>
      </c>
      <c r="KI157" s="4">
        <f>DATE(YEAR(KH157)+5,MONTH(KH157),DAY(KH157)-1)</f>
        <v>47154</v>
      </c>
      <c r="KJ157" s="8">
        <f ca="1">KI157-TODAY()</f>
        <v>1009</v>
      </c>
      <c r="KK157" s="5" t="str">
        <f t="shared" ca="1" si="559"/>
        <v>VIGENTE</v>
      </c>
      <c r="KL157" s="5"/>
      <c r="KM157" s="2"/>
      <c r="KN157" s="4"/>
      <c r="KO157" s="8"/>
      <c r="KP157" s="5" t="str">
        <f t="shared" si="535"/>
        <v>NO APLICA</v>
      </c>
      <c r="KQ157" s="5"/>
      <c r="KR157" s="3">
        <v>45346</v>
      </c>
      <c r="KS157" s="4">
        <f>DATE(YEAR(KR157)+5,MONTH(KR157),DAY(KR157))</f>
        <v>47173</v>
      </c>
      <c r="KT157" s="8">
        <f ca="1">KS157-TODAY()</f>
        <v>1028</v>
      </c>
      <c r="KU157" s="5" t="str">
        <f t="shared" ca="1" si="560"/>
        <v>VIGENTE</v>
      </c>
      <c r="KV157" s="6"/>
      <c r="KW157" s="6"/>
      <c r="KX157" s="4"/>
      <c r="KY157" s="6"/>
      <c r="KZ157" s="5" t="str">
        <f t="shared" si="565"/>
        <v>NO APLICA</v>
      </c>
      <c r="LA157" s="5"/>
      <c r="LB157" s="6"/>
      <c r="LC157" s="4"/>
      <c r="LD157" s="6"/>
      <c r="LE157" s="5" t="str">
        <f t="shared" si="561"/>
        <v>NO APLICA</v>
      </c>
      <c r="LF157" s="6"/>
      <c r="LG157" s="6"/>
      <c r="LH157" s="6"/>
      <c r="LI157" s="6"/>
      <c r="LJ157" s="5" t="str">
        <f t="shared" si="567"/>
        <v>NO APLICA</v>
      </c>
      <c r="LK157" s="5"/>
      <c r="LL157" s="5"/>
      <c r="LM157" s="4"/>
      <c r="LN157" s="8"/>
      <c r="LO157" s="5" t="str">
        <f t="shared" si="566"/>
        <v>NO APLICA</v>
      </c>
      <c r="LP157" s="6"/>
      <c r="LQ157" s="6"/>
      <c r="LR157" s="4"/>
      <c r="LS157" s="8"/>
      <c r="LT157" s="5" t="str">
        <f t="shared" si="562"/>
        <v>NO APLICA</v>
      </c>
      <c r="LU157" s="6"/>
      <c r="LV157" s="6"/>
      <c r="LW157" s="4"/>
      <c r="LX157" s="6"/>
      <c r="LY157" s="5" t="str">
        <f t="shared" si="563"/>
        <v>NO APLICA</v>
      </c>
      <c r="LZ157" s="6"/>
      <c r="MA157" s="6"/>
      <c r="MB157" s="4"/>
      <c r="MC157" s="6"/>
      <c r="MD157" s="5" t="str">
        <f t="shared" si="564"/>
        <v>NO APLICA</v>
      </c>
      <c r="ME157" s="6"/>
      <c r="MF157" s="6"/>
      <c r="MG157" s="4"/>
      <c r="MH157" s="6"/>
      <c r="MI157" s="5" t="str">
        <f t="shared" si="537"/>
        <v>NO APLICA</v>
      </c>
      <c r="MJ157" s="6"/>
      <c r="MK157" s="6"/>
      <c r="ML157" s="4"/>
      <c r="MM157" s="6"/>
      <c r="MN157" s="5" t="str">
        <f t="shared" si="538"/>
        <v>NO APLICA</v>
      </c>
      <c r="MO157" s="5"/>
      <c r="MP157" s="6"/>
      <c r="MQ157" s="4"/>
      <c r="MR157" s="6"/>
      <c r="MS157" s="5" t="str">
        <f t="shared" si="539"/>
        <v>NO APLICA</v>
      </c>
      <c r="MT157" s="5"/>
      <c r="MU157" s="6"/>
      <c r="MV157" s="6"/>
      <c r="MW157" s="6"/>
      <c r="MX157" s="5" t="str">
        <f t="shared" si="540"/>
        <v>NO APLICA</v>
      </c>
      <c r="MY157" s="6"/>
      <c r="MZ157" s="6"/>
      <c r="NA157" s="4"/>
      <c r="NB157" s="6"/>
      <c r="NC157" s="5" t="str">
        <f t="shared" si="541"/>
        <v>NO APLICA</v>
      </c>
      <c r="ND157" s="6"/>
      <c r="NE157" s="6"/>
      <c r="NF157" s="4"/>
      <c r="NG157" s="6"/>
      <c r="NH157" s="5" t="str">
        <f t="shared" si="542"/>
        <v>NO APLICA</v>
      </c>
      <c r="NI157" s="6"/>
      <c r="NJ157" s="6"/>
      <c r="NK157" s="4"/>
      <c r="NL157" s="6"/>
      <c r="NM157" s="5" t="str">
        <f t="shared" si="543"/>
        <v>NO APLICA</v>
      </c>
      <c r="NN157" s="6"/>
      <c r="NO157" s="6"/>
      <c r="NP157" s="4"/>
      <c r="NQ157" s="6"/>
      <c r="NR157" s="5" t="str">
        <f t="shared" si="544"/>
        <v>NO APLICA</v>
      </c>
      <c r="NS157" s="6"/>
      <c r="NT157" s="6"/>
      <c r="NU157" s="4"/>
      <c r="NV157" s="6"/>
      <c r="NW157" s="5" t="str">
        <f t="shared" si="545"/>
        <v>NO APLICA</v>
      </c>
      <c r="NX157" s="6"/>
      <c r="NY157" s="6"/>
      <c r="NZ157" s="4"/>
      <c r="OA157" s="8"/>
      <c r="OB157" s="5" t="str">
        <f t="shared" si="546"/>
        <v>NO APLICA</v>
      </c>
      <c r="OC157" s="6"/>
      <c r="OD157" s="6"/>
      <c r="OE157" s="6"/>
      <c r="OF157" s="6"/>
      <c r="OG157" s="5" t="str">
        <f t="shared" si="547"/>
        <v>NO APLICA</v>
      </c>
      <c r="OH157" s="6"/>
      <c r="OI157" s="6"/>
      <c r="OJ157" s="6"/>
      <c r="OK157" s="6"/>
      <c r="OL157" s="5" t="str">
        <f t="shared" si="548"/>
        <v>NO APLICA</v>
      </c>
      <c r="OM157" s="6"/>
      <c r="ON157" s="6"/>
      <c r="OO157" s="6"/>
      <c r="OP157" s="6"/>
      <c r="OQ157" s="5" t="str">
        <f t="shared" si="549"/>
        <v>NO APLICA</v>
      </c>
      <c r="OR157" s="6"/>
      <c r="OS157" s="6"/>
      <c r="OT157" s="6"/>
      <c r="OU157" s="6"/>
      <c r="OV157" s="5" t="str">
        <f t="shared" si="550"/>
        <v>NO APLICA</v>
      </c>
      <c r="OW157" s="6"/>
      <c r="OX157" s="6"/>
      <c r="OY157" s="6"/>
      <c r="OZ157" s="6"/>
      <c r="PA157" s="5" t="str">
        <f t="shared" si="551"/>
        <v>NO APLICA</v>
      </c>
      <c r="PB157" s="6"/>
      <c r="PC157" s="6"/>
      <c r="PD157" s="6"/>
      <c r="PE157" s="6"/>
      <c r="PF157" s="5" t="str">
        <f t="shared" si="552"/>
        <v>NO APLICA</v>
      </c>
      <c r="PG157" s="6"/>
      <c r="PH157" s="6"/>
      <c r="PI157" s="6"/>
      <c r="PJ157" s="6"/>
      <c r="PK157" s="5" t="str">
        <f t="shared" si="553"/>
        <v>NO APLICA</v>
      </c>
      <c r="PL157" s="5"/>
      <c r="PM157" s="6"/>
      <c r="PN157" s="6"/>
      <c r="PO157" s="6"/>
      <c r="PP157" s="5" t="str">
        <f t="shared" si="554"/>
        <v>NO APLICA</v>
      </c>
      <c r="PQ157" s="6"/>
      <c r="PR157" s="6"/>
      <c r="PS157" s="6"/>
      <c r="PT157" s="6"/>
      <c r="PU157" s="5" t="str">
        <f t="shared" si="555"/>
        <v>NO APLICA</v>
      </c>
      <c r="PV157" s="5"/>
      <c r="PW157" s="6"/>
      <c r="PX157" s="6"/>
      <c r="PY157" s="6"/>
      <c r="PZ157" s="5" t="str">
        <f t="shared" si="556"/>
        <v>NO APLICA</v>
      </c>
    </row>
    <row r="158" spans="1:442" ht="15.6" hidden="1" thickTop="1" thickBot="1" x14ac:dyDescent="0.35">
      <c r="A158" s="26">
        <v>155</v>
      </c>
      <c r="B158" s="32" t="s">
        <v>505</v>
      </c>
      <c r="C158" s="28" t="s">
        <v>506</v>
      </c>
      <c r="D158" s="29" t="s">
        <v>507</v>
      </c>
      <c r="E158" s="30" t="s">
        <v>508</v>
      </c>
      <c r="F158" s="6"/>
      <c r="G158" s="6"/>
      <c r="H158" s="6"/>
      <c r="I158" s="8"/>
      <c r="J158" s="5" t="str">
        <f t="shared" si="455"/>
        <v>NO APLICA</v>
      </c>
      <c r="K158" s="6"/>
      <c r="L158" s="6"/>
      <c r="M158" s="6"/>
      <c r="N158" s="8"/>
      <c r="O158" s="5" t="str">
        <f t="shared" si="456"/>
        <v>NO APLICA</v>
      </c>
      <c r="P158" s="4"/>
      <c r="Q158" s="4">
        <v>45822</v>
      </c>
      <c r="R158" s="4">
        <f>DATE(YEAR(Q158)+2,MONTH(Q158),DAY(Q158)-1)</f>
        <v>46551</v>
      </c>
      <c r="S158" s="8">
        <f ca="1">R158-TODAY()</f>
        <v>406</v>
      </c>
      <c r="T158" s="5" t="str">
        <f t="shared" ca="1" si="557"/>
        <v>VIGENTE</v>
      </c>
      <c r="U158" s="5"/>
      <c r="V158" s="5"/>
      <c r="W158" s="4"/>
      <c r="X158" s="4"/>
      <c r="Y158" s="8"/>
      <c r="Z158" s="5" t="str">
        <f t="shared" si="412"/>
        <v>NO APLICA</v>
      </c>
      <c r="AA158" s="5"/>
      <c r="AB158" s="2"/>
      <c r="AC158" s="6"/>
      <c r="AD158" s="4"/>
      <c r="AE158" s="8"/>
      <c r="AF158" s="5" t="str">
        <f t="shared" si="457"/>
        <v>NO APLICA</v>
      </c>
      <c r="AG158" s="4"/>
      <c r="AH158" s="4">
        <v>45721</v>
      </c>
      <c r="AI158" s="4">
        <f>DATE(YEAR(AH158)+2,MONTH(AH158),DAY(AH158)-1)</f>
        <v>46450</v>
      </c>
      <c r="AJ158" s="8">
        <f t="shared" ca="1" si="458"/>
        <v>305</v>
      </c>
      <c r="AK158" s="5" t="str">
        <f t="shared" ca="1" si="408"/>
        <v>VIGENTE</v>
      </c>
      <c r="AL158" s="4"/>
      <c r="AM158" s="4">
        <v>45710</v>
      </c>
      <c r="AN158" s="4">
        <f>DATE(YEAR(AM158)+2,MONTH(AM158),DAY(AM158)-1)</f>
        <v>46439</v>
      </c>
      <c r="AO158" s="8">
        <f t="shared" ca="1" si="459"/>
        <v>294</v>
      </c>
      <c r="AP158" s="5" t="str">
        <f t="shared" ca="1" si="460"/>
        <v>VIGENTE</v>
      </c>
      <c r="AQ158" s="4"/>
      <c r="AR158" s="4">
        <v>45703</v>
      </c>
      <c r="AS158" s="4">
        <f>DATE(YEAR(AR158)+2,MONTH(AR158),DAY(AR158)-1)</f>
        <v>46432</v>
      </c>
      <c r="AT158" s="8">
        <f t="shared" ca="1" si="461"/>
        <v>287</v>
      </c>
      <c r="AU158" s="5" t="str">
        <f t="shared" ca="1" si="462"/>
        <v>VIGENTE</v>
      </c>
      <c r="AV158" s="4"/>
      <c r="AW158" s="4">
        <v>45702</v>
      </c>
      <c r="AX158" s="4">
        <f>DATE(YEAR(AW158)+2,MONTH(AW158),DAY(AW158)-1)</f>
        <v>46431</v>
      </c>
      <c r="AY158" s="8">
        <f t="shared" ca="1" si="463"/>
        <v>286</v>
      </c>
      <c r="AZ158" s="5" t="str">
        <f t="shared" ca="1" si="464"/>
        <v>VIGENTE</v>
      </c>
      <c r="BA158" s="4"/>
      <c r="BB158" s="4">
        <v>45603</v>
      </c>
      <c r="BC158" s="4">
        <f>DATE(YEAR(BB158)+2,MONTH(BB158),DAY(BB158)-1)</f>
        <v>46332</v>
      </c>
      <c r="BD158" s="8">
        <f t="shared" ca="1" si="465"/>
        <v>187</v>
      </c>
      <c r="BE158" s="5" t="str">
        <f t="shared" ca="1" si="466"/>
        <v>VIGENTE</v>
      </c>
      <c r="BF158" s="4"/>
      <c r="BG158" s="4">
        <v>45605</v>
      </c>
      <c r="BH158" s="4">
        <f>DATE(YEAR(BG158)+2,MONTH(BG158),DAY(BG158)-1)</f>
        <v>46334</v>
      </c>
      <c r="BI158" s="8">
        <f t="shared" ca="1" si="467"/>
        <v>189</v>
      </c>
      <c r="BJ158" s="5" t="str">
        <f t="shared" ca="1" si="468"/>
        <v>VIGENTE</v>
      </c>
      <c r="BK158" s="4"/>
      <c r="BL158" s="4">
        <v>45600</v>
      </c>
      <c r="BM158" s="4">
        <f>DATE(YEAR(BL158)+2,MONTH(BL158),DAY(BL158)-1)</f>
        <v>46329</v>
      </c>
      <c r="BN158" s="8">
        <f t="shared" ca="1" si="469"/>
        <v>184</v>
      </c>
      <c r="BO158" s="5" t="str">
        <f t="shared" ca="1" si="470"/>
        <v>VIGENTE</v>
      </c>
      <c r="BP158" s="4"/>
      <c r="BQ158" s="39">
        <v>45701</v>
      </c>
      <c r="BR158" s="4">
        <f>DATE(YEAR(BQ158)+2,MONTH(BQ158),DAY(BQ158)-1)</f>
        <v>46430</v>
      </c>
      <c r="BS158" s="8">
        <f t="shared" ca="1" si="471"/>
        <v>285</v>
      </c>
      <c r="BT158" s="5" t="str">
        <f t="shared" ca="1" si="472"/>
        <v>VIGENTE</v>
      </c>
      <c r="BU158" s="4"/>
      <c r="BV158" s="4">
        <v>45568</v>
      </c>
      <c r="BW158" s="4">
        <f t="shared" ref="BW158:BW163" si="585">DATE(YEAR(BV158)+2,MONTH(BV158),DAY(BV158)-1)</f>
        <v>46297</v>
      </c>
      <c r="BX158" s="8">
        <f t="shared" ca="1" si="473"/>
        <v>152</v>
      </c>
      <c r="BY158" s="5" t="str">
        <f t="shared" ca="1" si="474"/>
        <v>VIGENTE</v>
      </c>
      <c r="BZ158" s="4"/>
      <c r="CA158" s="4">
        <v>45629</v>
      </c>
      <c r="CB158" s="4">
        <f>DATE(YEAR(CA158)+2,MONTH(CA158),DAY(CA158)-1)</f>
        <v>46358</v>
      </c>
      <c r="CC158" s="8">
        <f t="shared" ca="1" si="475"/>
        <v>213</v>
      </c>
      <c r="CD158" s="5" t="str">
        <f t="shared" ca="1" si="476"/>
        <v>VIGENTE</v>
      </c>
      <c r="CE158" s="6"/>
      <c r="CF158" s="24"/>
      <c r="CG158" s="4"/>
      <c r="CH158" s="8"/>
      <c r="CI158" s="5" t="str">
        <f t="shared" si="573"/>
        <v>NO APLICA</v>
      </c>
      <c r="CJ158" s="4"/>
      <c r="CK158" s="4">
        <v>45601</v>
      </c>
      <c r="CL158" s="4">
        <f>DATE(YEAR(CK158)+2,MONTH(CK158),DAY(CK158)-1)</f>
        <v>46330</v>
      </c>
      <c r="CM158" s="8">
        <f t="shared" ca="1" si="477"/>
        <v>185</v>
      </c>
      <c r="CN158" s="5" t="str">
        <f t="shared" ca="1" si="478"/>
        <v>VIGENTE</v>
      </c>
      <c r="CO158" s="4"/>
      <c r="CP158" s="39">
        <v>45618</v>
      </c>
      <c r="CQ158" s="4">
        <f t="shared" ref="CQ158:CQ163" si="586">DATE(YEAR(CP158)+2,MONTH(CP158),DAY(CP158)-1)</f>
        <v>46347</v>
      </c>
      <c r="CR158" s="8">
        <f t="shared" ca="1" si="479"/>
        <v>202</v>
      </c>
      <c r="CS158" s="5" t="str">
        <f t="shared" ca="1" si="480"/>
        <v>VIGENTE</v>
      </c>
      <c r="CT158" s="4"/>
      <c r="CU158" s="4">
        <v>45727</v>
      </c>
      <c r="CV158" s="4">
        <f>DATE(YEAR(CU158)+2,MONTH(CU158),DAY(CU158)-1)</f>
        <v>46456</v>
      </c>
      <c r="CW158" s="8">
        <f t="shared" ca="1" si="481"/>
        <v>311</v>
      </c>
      <c r="CX158" s="5" t="str">
        <f t="shared" ca="1" si="482"/>
        <v>VIGENTE</v>
      </c>
      <c r="CY158" s="4"/>
      <c r="CZ158" s="4">
        <v>45681</v>
      </c>
      <c r="DA158" s="4">
        <f>DATE(YEAR(CZ158)+2,MONTH(CZ158),DAY(CZ158)-1)</f>
        <v>46410</v>
      </c>
      <c r="DB158" s="8">
        <f t="shared" ca="1" si="483"/>
        <v>265</v>
      </c>
      <c r="DC158" s="5" t="str">
        <f t="shared" ca="1" si="484"/>
        <v>VIGENTE</v>
      </c>
      <c r="DD158" s="4"/>
      <c r="DE158" s="39">
        <v>45596</v>
      </c>
      <c r="DF158" s="4">
        <f>DATE(YEAR(DE158)+2,MONTH(DE158),DAY(DE158)-1)</f>
        <v>46325</v>
      </c>
      <c r="DG158" s="8">
        <f t="shared" ca="1" si="485"/>
        <v>180</v>
      </c>
      <c r="DH158" s="5" t="str">
        <f t="shared" ca="1" si="486"/>
        <v>VIGENTE</v>
      </c>
      <c r="DI158" s="4"/>
      <c r="DJ158" s="39">
        <v>45696</v>
      </c>
      <c r="DK158" s="4">
        <f>DATE(YEAR(DJ158)+2,MONTH(DJ158),DAY(DJ158)-1)</f>
        <v>46425</v>
      </c>
      <c r="DL158" s="8">
        <f t="shared" ca="1" si="487"/>
        <v>280</v>
      </c>
      <c r="DM158" s="5" t="str">
        <f t="shared" ca="1" si="488"/>
        <v>VIGENTE</v>
      </c>
      <c r="DN158" s="4"/>
      <c r="DO158" s="4">
        <v>45577</v>
      </c>
      <c r="DP158" s="4">
        <f>DATE(YEAR(DO158)+2,MONTH(DO158),DAY(DO158)-1)</f>
        <v>46306</v>
      </c>
      <c r="DQ158" s="8">
        <f t="shared" ca="1" si="489"/>
        <v>161</v>
      </c>
      <c r="DR158" s="5" t="str">
        <f t="shared" ca="1" si="490"/>
        <v>VIGENTE</v>
      </c>
      <c r="DS158" s="4"/>
      <c r="DT158" s="4">
        <v>45685</v>
      </c>
      <c r="DU158" s="4">
        <f>DATE(YEAR(DT158)+2,MONTH(DT158),DAY(DT158)-1)</f>
        <v>46414</v>
      </c>
      <c r="DV158" s="8">
        <f t="shared" ca="1" si="491"/>
        <v>269</v>
      </c>
      <c r="DW158" s="5" t="str">
        <f t="shared" ca="1" si="492"/>
        <v>VIGENTE</v>
      </c>
      <c r="DX158" s="4"/>
      <c r="DY158" s="4">
        <v>45663</v>
      </c>
      <c r="DZ158" s="4">
        <f>DATE(YEAR(DY158)+2,MONTH(DY158),DAY(DY158)-1)</f>
        <v>46392</v>
      </c>
      <c r="EA158" s="8">
        <f t="shared" ca="1" si="493"/>
        <v>247</v>
      </c>
      <c r="EB158" s="5" t="str">
        <f t="shared" ca="1" si="494"/>
        <v>VIGENTE</v>
      </c>
      <c r="EC158" s="4"/>
      <c r="ED158" s="39">
        <v>45602</v>
      </c>
      <c r="EE158" s="4">
        <f>DATE(YEAR(ED158)+2,MONTH(ED158),DAY(ED158)-1)</f>
        <v>46331</v>
      </c>
      <c r="EF158" s="8">
        <f t="shared" ca="1" si="495"/>
        <v>186</v>
      </c>
      <c r="EG158" s="5" t="str">
        <f t="shared" ca="1" si="496"/>
        <v>VIGENTE</v>
      </c>
      <c r="EH158" s="3"/>
      <c r="EI158" s="3">
        <v>46107</v>
      </c>
      <c r="EJ158" s="4">
        <f t="shared" si="558"/>
        <v>46472</v>
      </c>
      <c r="EK158" s="8">
        <f t="shared" ca="1" si="497"/>
        <v>327</v>
      </c>
      <c r="EL158" s="5" t="str">
        <f t="shared" ca="1" si="498"/>
        <v>VIGENTE</v>
      </c>
      <c r="EM158" s="4"/>
      <c r="EN158" s="4">
        <v>45636</v>
      </c>
      <c r="EO158" s="4">
        <f>DATE(YEAR(EN158)+2,MONTH(EN158),DAY(EN158)-1)</f>
        <v>46365</v>
      </c>
      <c r="EP158" s="8">
        <f t="shared" ca="1" si="499"/>
        <v>220</v>
      </c>
      <c r="EQ158" s="5" t="str">
        <f t="shared" ca="1" si="500"/>
        <v>VIGENTE</v>
      </c>
      <c r="ER158" s="4"/>
      <c r="ES158" s="39">
        <v>45623</v>
      </c>
      <c r="ET158" s="4">
        <f>DATE(YEAR(ES158)+2,MONTH(ES158),DAY(ES158)-1)</f>
        <v>46352</v>
      </c>
      <c r="EU158" s="8">
        <f t="shared" ca="1" si="501"/>
        <v>207</v>
      </c>
      <c r="EV158" s="5" t="str">
        <f t="shared" ca="1" si="502"/>
        <v>VIGENTE</v>
      </c>
      <c r="EW158" s="4"/>
      <c r="EX158" s="4">
        <v>45610</v>
      </c>
      <c r="EY158" s="4">
        <f>DATE(YEAR(EX158)+2,MONTH(EX158),DAY(EX158)-1)</f>
        <v>46339</v>
      </c>
      <c r="EZ158" s="8">
        <f t="shared" ca="1" si="503"/>
        <v>194</v>
      </c>
      <c r="FA158" s="5" t="str">
        <f t="shared" ca="1" si="504"/>
        <v>VIGENTE</v>
      </c>
      <c r="FB158" s="4"/>
      <c r="FC158" s="4">
        <v>45666</v>
      </c>
      <c r="FD158" s="4">
        <f>DATE(YEAR(FC158)+2,MONTH(FC158),DAY(FC158)-1)</f>
        <v>46395</v>
      </c>
      <c r="FE158" s="8">
        <f t="shared" ca="1" si="505"/>
        <v>250</v>
      </c>
      <c r="FF158" s="5" t="str">
        <f t="shared" ca="1" si="506"/>
        <v>VIGENTE</v>
      </c>
      <c r="FG158" s="4"/>
      <c r="FH158" s="4">
        <v>45668</v>
      </c>
      <c r="FI158" s="4">
        <f>DATE(YEAR(FH158)+2,MONTH(FH158),DAY(FH158)-1)</f>
        <v>46397</v>
      </c>
      <c r="FJ158" s="8">
        <f t="shared" ca="1" si="507"/>
        <v>252</v>
      </c>
      <c r="FK158" s="5" t="str">
        <f t="shared" ca="1" si="508"/>
        <v>VIGENTE</v>
      </c>
      <c r="FL158" s="4"/>
      <c r="FM158" s="39">
        <v>45588</v>
      </c>
      <c r="FN158" s="4">
        <f>DATE(YEAR(FM158)+2,MONTH(FM158),DAY(FM158)-1)</f>
        <v>46317</v>
      </c>
      <c r="FO158" s="8">
        <f t="shared" ca="1" si="509"/>
        <v>172</v>
      </c>
      <c r="FP158" s="5" t="str">
        <f t="shared" ca="1" si="510"/>
        <v>VIGENTE</v>
      </c>
      <c r="FQ158" s="4"/>
      <c r="FR158" s="39">
        <v>45664</v>
      </c>
      <c r="FS158" s="4">
        <f>DATE(YEAR(FR158)+2,MONTH(FR158),DAY(FR158)-1)</f>
        <v>46393</v>
      </c>
      <c r="FT158" s="8">
        <f t="shared" ca="1" si="511"/>
        <v>248</v>
      </c>
      <c r="FU158" s="5" t="str">
        <f t="shared" ca="1" si="512"/>
        <v>VIGENTE</v>
      </c>
      <c r="FV158" s="4"/>
      <c r="FW158" s="4">
        <v>45700</v>
      </c>
      <c r="FX158" s="4">
        <f>DATE(YEAR(FW158)+2,MONTH(FW158),DAY(FW158)-1)</f>
        <v>46429</v>
      </c>
      <c r="FY158" s="8">
        <f t="shared" ca="1" si="513"/>
        <v>284</v>
      </c>
      <c r="FZ158" s="5" t="str">
        <f t="shared" ca="1" si="514"/>
        <v>VIGENTE</v>
      </c>
      <c r="GA158" s="4"/>
      <c r="GB158" s="4">
        <v>45667</v>
      </c>
      <c r="GC158" s="4">
        <f>DATE(YEAR(GB158)+2,MONTH(GB158),DAY(GB158)-1)</f>
        <v>46396</v>
      </c>
      <c r="GD158" s="8">
        <f t="shared" ca="1" si="515"/>
        <v>251</v>
      </c>
      <c r="GE158" s="5" t="str">
        <f t="shared" ca="1" si="516"/>
        <v>VIGENTE</v>
      </c>
      <c r="GF158" s="4"/>
      <c r="GG158" s="4">
        <v>45672</v>
      </c>
      <c r="GH158" s="4">
        <f>DATE(YEAR(GG158)+2,MONTH(GG158),DAY(GG158)-1)</f>
        <v>46401</v>
      </c>
      <c r="GI158" s="8">
        <f t="shared" ca="1" si="517"/>
        <v>256</v>
      </c>
      <c r="GJ158" s="5" t="str">
        <f t="shared" ca="1" si="518"/>
        <v>VIGENTE</v>
      </c>
      <c r="GK158" s="4"/>
      <c r="GL158" s="4">
        <v>45608</v>
      </c>
      <c r="GM158" s="4">
        <f>DATE(YEAR(GL158)+2,MONTH(GL158),DAY(GL158)-1)</f>
        <v>46337</v>
      </c>
      <c r="GN158" s="8">
        <f t="shared" ca="1" si="519"/>
        <v>192</v>
      </c>
      <c r="GO158" s="5" t="str">
        <f t="shared" ca="1" si="520"/>
        <v>VIGENTE</v>
      </c>
      <c r="GP158" s="4"/>
      <c r="GQ158" s="4">
        <v>44966</v>
      </c>
      <c r="GR158" s="4">
        <f t="shared" si="521"/>
        <v>46792</v>
      </c>
      <c r="GS158" s="8">
        <f t="shared" ca="1" si="405"/>
        <v>647</v>
      </c>
      <c r="GT158" s="5" t="str">
        <f t="shared" ca="1" si="419"/>
        <v>VIGENTE</v>
      </c>
      <c r="GU158" s="4"/>
      <c r="GV158" s="4">
        <v>44952</v>
      </c>
      <c r="GW158" s="4">
        <f t="shared" si="522"/>
        <v>46778</v>
      </c>
      <c r="GX158" s="8">
        <f t="shared" ca="1" si="523"/>
        <v>633</v>
      </c>
      <c r="GY158" s="5" t="str">
        <f t="shared" ca="1" si="426"/>
        <v>VIGENTE</v>
      </c>
      <c r="GZ158" s="6"/>
      <c r="HA158" s="4">
        <v>44980</v>
      </c>
      <c r="HB158" s="4">
        <f t="shared" si="524"/>
        <v>46806</v>
      </c>
      <c r="HC158" s="8">
        <f t="shared" ca="1" si="525"/>
        <v>661</v>
      </c>
      <c r="HD158" s="5" t="str">
        <f t="shared" ca="1" si="421"/>
        <v>VIGENTE</v>
      </c>
      <c r="HE158" s="6"/>
      <c r="HF158" s="4">
        <v>44956</v>
      </c>
      <c r="HG158" s="4">
        <f t="shared" si="583"/>
        <v>46782</v>
      </c>
      <c r="HH158" s="8">
        <f t="shared" ca="1" si="584"/>
        <v>637</v>
      </c>
      <c r="HI158" s="5" t="str">
        <f t="shared" ca="1" si="427"/>
        <v>VIGENTE</v>
      </c>
      <c r="HJ158" s="6"/>
      <c r="HK158" s="6"/>
      <c r="HL158" s="4"/>
      <c r="HM158" s="8"/>
      <c r="HN158" s="5" t="str">
        <f t="shared" si="444"/>
        <v>NO APLICA</v>
      </c>
      <c r="HO158" s="2"/>
      <c r="HP158" s="5"/>
      <c r="HQ158" s="4"/>
      <c r="HR158" s="5"/>
      <c r="HS158" s="5" t="str">
        <f t="shared" si="526"/>
        <v>NO APLICA</v>
      </c>
      <c r="HT158" s="2"/>
      <c r="HU158" s="6"/>
      <c r="HV158" s="4"/>
      <c r="HW158" s="8"/>
      <c r="HX158" s="5" t="str">
        <f t="shared" si="527"/>
        <v>NO APLICA</v>
      </c>
      <c r="HY158" s="2"/>
      <c r="HZ158" s="6"/>
      <c r="IA158" s="4"/>
      <c r="IB158" s="8"/>
      <c r="IC158" s="5" t="str">
        <f t="shared" si="528"/>
        <v>NO APLICA</v>
      </c>
      <c r="ID158" s="2"/>
      <c r="IE158" s="6"/>
      <c r="IF158" s="4"/>
      <c r="IG158" s="8"/>
      <c r="IH158" s="5" t="str">
        <f t="shared" si="529"/>
        <v>NO APLICA</v>
      </c>
      <c r="II158" s="6"/>
      <c r="IJ158" s="6"/>
      <c r="IK158" s="4"/>
      <c r="IL158" s="8"/>
      <c r="IM158" s="5" t="str">
        <f t="shared" si="530"/>
        <v>NO APLICA</v>
      </c>
      <c r="IN158" s="6"/>
      <c r="IO158" s="6"/>
      <c r="IP158" s="4"/>
      <c r="IQ158" s="8"/>
      <c r="IR158" s="5" t="str">
        <f t="shared" si="531"/>
        <v>NO APLICA</v>
      </c>
      <c r="IS158" s="2"/>
      <c r="IT158" s="6"/>
      <c r="IU158" s="4"/>
      <c r="IV158" s="8"/>
      <c r="IW158" s="5" t="str">
        <f t="shared" si="532"/>
        <v>NO APLICA</v>
      </c>
      <c r="IX158" s="2"/>
      <c r="IY158" s="6"/>
      <c r="IZ158" s="4"/>
      <c r="JA158" s="8"/>
      <c r="JB158" s="5" t="str">
        <f t="shared" si="533"/>
        <v>NO APLICA</v>
      </c>
      <c r="JC158" s="3" t="s">
        <v>780</v>
      </c>
      <c r="JD158" s="3"/>
      <c r="JE158" s="4"/>
      <c r="JF158" s="8"/>
      <c r="JG158" s="5"/>
      <c r="JH158" s="3" t="s">
        <v>780</v>
      </c>
      <c r="JI158" s="6"/>
      <c r="JJ158" s="6"/>
      <c r="JK158" s="6"/>
      <c r="JL158" s="5"/>
      <c r="JM158" s="6" t="s">
        <v>780</v>
      </c>
      <c r="JN158" s="6"/>
      <c r="JO158" s="6"/>
      <c r="JP158" s="6"/>
      <c r="JQ158" s="5"/>
      <c r="JR158" s="6" t="s">
        <v>780</v>
      </c>
      <c r="JS158" s="6"/>
      <c r="JT158" s="6"/>
      <c r="JU158" s="6"/>
      <c r="JV158" s="5"/>
      <c r="JW158" s="6" t="s">
        <v>780</v>
      </c>
      <c r="JX158" s="5"/>
      <c r="JY158" s="5"/>
      <c r="JZ158" s="5"/>
      <c r="KA158" s="5"/>
      <c r="KB158" s="5"/>
      <c r="KC158" s="5"/>
      <c r="KD158" s="4"/>
      <c r="KE158" s="8"/>
      <c r="KF158" s="5" t="str">
        <f t="shared" si="534"/>
        <v>NO APLICA</v>
      </c>
      <c r="KG158" s="5"/>
      <c r="KH158" s="5"/>
      <c r="KI158" s="4"/>
      <c r="KJ158" s="8"/>
      <c r="KK158" s="5" t="str">
        <f t="shared" si="559"/>
        <v>NO APLICA</v>
      </c>
      <c r="KL158" s="5"/>
      <c r="KM158" s="5"/>
      <c r="KN158" s="4"/>
      <c r="KO158" s="8"/>
      <c r="KP158" s="5" t="str">
        <f t="shared" si="535"/>
        <v>NO APLICA</v>
      </c>
      <c r="KQ158" s="5"/>
      <c r="KR158" s="2"/>
      <c r="KS158" s="4"/>
      <c r="KT158" s="8"/>
      <c r="KU158" s="5" t="str">
        <f t="shared" si="560"/>
        <v>NO APLICA</v>
      </c>
      <c r="KV158" s="6"/>
      <c r="KW158" s="6"/>
      <c r="KX158" s="4"/>
      <c r="KY158" s="8"/>
      <c r="KZ158" s="5" t="str">
        <f t="shared" si="565"/>
        <v>NO APLICA</v>
      </c>
      <c r="LA158" s="5"/>
      <c r="LB158" s="6"/>
      <c r="LC158" s="4"/>
      <c r="LD158" s="8"/>
      <c r="LE158" s="5" t="str">
        <f t="shared" si="561"/>
        <v>NO APLICA</v>
      </c>
      <c r="LF158" s="6"/>
      <c r="LG158" s="6"/>
      <c r="LH158" s="4"/>
      <c r="LI158" s="8"/>
      <c r="LJ158" s="5" t="str">
        <f t="shared" si="567"/>
        <v>NO APLICA</v>
      </c>
      <c r="LK158" s="5"/>
      <c r="LL158" s="5"/>
      <c r="LM158" s="4"/>
      <c r="LN158" s="8"/>
      <c r="LO158" s="5" t="str">
        <f t="shared" si="566"/>
        <v>NO APLICA</v>
      </c>
      <c r="LP158" s="5"/>
      <c r="LQ158" s="6"/>
      <c r="LR158" s="4"/>
      <c r="LS158" s="8"/>
      <c r="LT158" s="5" t="str">
        <f t="shared" si="562"/>
        <v>NO APLICA</v>
      </c>
      <c r="LU158" s="6"/>
      <c r="LV158" s="6"/>
      <c r="LW158" s="4"/>
      <c r="LX158" s="8"/>
      <c r="LY158" s="5" t="str">
        <f t="shared" si="563"/>
        <v>NO APLICA</v>
      </c>
      <c r="LZ158" s="6"/>
      <c r="MA158" s="6"/>
      <c r="MB158" s="4"/>
      <c r="MC158" s="8"/>
      <c r="MD158" s="5" t="str">
        <f t="shared" si="564"/>
        <v>NO APLICA</v>
      </c>
      <c r="ME158" s="5"/>
      <c r="MF158" s="5"/>
      <c r="MG158" s="4"/>
      <c r="MH158" s="8"/>
      <c r="MI158" s="5" t="str">
        <f t="shared" si="537"/>
        <v>NO APLICA</v>
      </c>
      <c r="MJ158" s="5"/>
      <c r="MK158" s="5"/>
      <c r="ML158" s="4"/>
      <c r="MM158" s="8"/>
      <c r="MN158" s="5" t="str">
        <f t="shared" si="538"/>
        <v>NO APLICA</v>
      </c>
      <c r="MO158" s="5"/>
      <c r="MP158" s="5"/>
      <c r="MQ158" s="4"/>
      <c r="MR158" s="8"/>
      <c r="MS158" s="5" t="str">
        <f t="shared" si="539"/>
        <v>NO APLICA</v>
      </c>
      <c r="MT158" s="5"/>
      <c r="MU158" s="5"/>
      <c r="MV158" s="5"/>
      <c r="MW158" s="5"/>
      <c r="MX158" s="5" t="str">
        <f t="shared" si="540"/>
        <v>NO APLICA</v>
      </c>
      <c r="MY158" s="5"/>
      <c r="MZ158" s="6"/>
      <c r="NA158" s="4"/>
      <c r="NB158" s="8"/>
      <c r="NC158" s="5" t="str">
        <f t="shared" si="541"/>
        <v>NO APLICA</v>
      </c>
      <c r="ND158" s="5"/>
      <c r="NE158" s="6"/>
      <c r="NF158" s="4"/>
      <c r="NG158" s="8"/>
      <c r="NH158" s="5" t="str">
        <f t="shared" si="542"/>
        <v>NO APLICA</v>
      </c>
      <c r="NI158" s="5"/>
      <c r="NJ158" s="6"/>
      <c r="NK158" s="4"/>
      <c r="NL158" s="8"/>
      <c r="NM158" s="5" t="str">
        <f t="shared" si="543"/>
        <v>NO APLICA</v>
      </c>
      <c r="NN158" s="5"/>
      <c r="NO158" s="5"/>
      <c r="NP158" s="4"/>
      <c r="NQ158" s="8"/>
      <c r="NR158" s="5" t="str">
        <f t="shared" si="544"/>
        <v>NO APLICA</v>
      </c>
      <c r="NS158" s="5"/>
      <c r="NT158" s="5"/>
      <c r="NU158" s="4"/>
      <c r="NV158" s="5"/>
      <c r="NW158" s="5" t="str">
        <f t="shared" si="545"/>
        <v>NO APLICA</v>
      </c>
      <c r="NX158" s="6"/>
      <c r="NY158" s="6"/>
      <c r="NZ158" s="4"/>
      <c r="OA158" s="8"/>
      <c r="OB158" s="5" t="str">
        <f t="shared" si="546"/>
        <v>NO APLICA</v>
      </c>
      <c r="OC158" s="6"/>
      <c r="OD158" s="6"/>
      <c r="OE158" s="6"/>
      <c r="OF158" s="6"/>
      <c r="OG158" s="5" t="str">
        <f t="shared" si="547"/>
        <v>NO APLICA</v>
      </c>
      <c r="OH158" s="6"/>
      <c r="OI158" s="6"/>
      <c r="OJ158" s="4"/>
      <c r="OK158" s="8"/>
      <c r="OL158" s="5" t="str">
        <f t="shared" si="548"/>
        <v>NO APLICA</v>
      </c>
      <c r="OM158" s="6"/>
      <c r="ON158" s="6"/>
      <c r="OO158" s="6"/>
      <c r="OP158" s="6"/>
      <c r="OQ158" s="5" t="str">
        <f t="shared" si="549"/>
        <v>NO APLICA</v>
      </c>
      <c r="OR158" s="6"/>
      <c r="OS158" s="6"/>
      <c r="OT158" s="6"/>
      <c r="OU158" s="6"/>
      <c r="OV158" s="5" t="str">
        <f t="shared" si="550"/>
        <v>NO APLICA</v>
      </c>
      <c r="OW158" s="6"/>
      <c r="OX158" s="6"/>
      <c r="OY158" s="6"/>
      <c r="OZ158" s="6"/>
      <c r="PA158" s="5" t="str">
        <f t="shared" si="551"/>
        <v>NO APLICA</v>
      </c>
      <c r="PB158" s="6"/>
      <c r="PC158" s="6"/>
      <c r="PD158" s="6"/>
      <c r="PE158" s="6"/>
      <c r="PF158" s="5" t="str">
        <f t="shared" si="552"/>
        <v>NO APLICA</v>
      </c>
      <c r="PG158" s="6"/>
      <c r="PH158" s="6"/>
      <c r="PI158" s="6"/>
      <c r="PJ158" s="6"/>
      <c r="PK158" s="5" t="str">
        <f t="shared" si="553"/>
        <v>NO APLICA</v>
      </c>
      <c r="PL158" s="5"/>
      <c r="PM158" s="6"/>
      <c r="PN158" s="4"/>
      <c r="PO158" s="8"/>
      <c r="PP158" s="5" t="str">
        <f t="shared" si="554"/>
        <v>NO APLICA</v>
      </c>
      <c r="PQ158" s="6"/>
      <c r="PR158" s="6"/>
      <c r="PS158" s="6"/>
      <c r="PT158" s="6"/>
      <c r="PU158" s="5" t="str">
        <f t="shared" si="555"/>
        <v>NO APLICA</v>
      </c>
      <c r="PV158" s="5"/>
      <c r="PW158" s="6"/>
      <c r="PX158" s="6"/>
      <c r="PY158" s="6"/>
      <c r="PZ158" s="5" t="str">
        <f t="shared" si="556"/>
        <v>NO APLICA</v>
      </c>
    </row>
    <row r="159" spans="1:442" ht="15.6" hidden="1" thickTop="1" thickBot="1" x14ac:dyDescent="0.35">
      <c r="A159" s="26">
        <v>156</v>
      </c>
      <c r="B159" s="27">
        <v>816</v>
      </c>
      <c r="C159" s="28" t="s">
        <v>509</v>
      </c>
      <c r="D159" s="29" t="s">
        <v>68</v>
      </c>
      <c r="E159" s="30" t="s">
        <v>69</v>
      </c>
      <c r="F159" s="2"/>
      <c r="G159" s="6"/>
      <c r="H159" s="4"/>
      <c r="I159" s="8"/>
      <c r="J159" s="5" t="str">
        <f t="shared" si="455"/>
        <v>NO APLICA</v>
      </c>
      <c r="K159" s="5"/>
      <c r="L159" s="6"/>
      <c r="M159" s="6"/>
      <c r="N159" s="8"/>
      <c r="O159" s="5" t="str">
        <f t="shared" si="456"/>
        <v>NO APLICA</v>
      </c>
      <c r="P159" s="6"/>
      <c r="Q159" s="6"/>
      <c r="R159" s="4"/>
      <c r="S159" s="8"/>
      <c r="T159" s="5" t="str">
        <f t="shared" si="557"/>
        <v>NO APLICA</v>
      </c>
      <c r="U159" s="5"/>
      <c r="V159" s="2" t="s">
        <v>510</v>
      </c>
      <c r="W159" s="4">
        <v>45426</v>
      </c>
      <c r="X159" s="4">
        <f t="shared" ref="X159:X191" si="587">DATE(YEAR(W159)+5,MONTH(W159),DAY(W159))</f>
        <v>47252</v>
      </c>
      <c r="Y159" s="8">
        <f t="shared" ref="Y159:Y191" ca="1" si="588">X159-TODAY()</f>
        <v>1107</v>
      </c>
      <c r="Z159" s="5" t="str">
        <f t="shared" ca="1" si="412"/>
        <v>VIGENTE</v>
      </c>
      <c r="AA159" s="5"/>
      <c r="AB159" s="2" t="s">
        <v>511</v>
      </c>
      <c r="AC159" s="4">
        <v>45499</v>
      </c>
      <c r="AD159" s="4">
        <f>DATE(YEAR(AC159)+5,MONTH(AC159),DAY(AC159))</f>
        <v>47325</v>
      </c>
      <c r="AE159" s="8">
        <f ca="1">AD159-TODAY()</f>
        <v>1180</v>
      </c>
      <c r="AF159" s="5" t="str">
        <f t="shared" ca="1" si="457"/>
        <v>VIGENTE</v>
      </c>
      <c r="AG159" s="3"/>
      <c r="AH159" s="3">
        <v>45617</v>
      </c>
      <c r="AI159" s="4">
        <f>DATE(YEAR(AH159)+2,MONTH(AH159),DAY(AH159)-1)</f>
        <v>46346</v>
      </c>
      <c r="AJ159" s="8">
        <f t="shared" ca="1" si="458"/>
        <v>201</v>
      </c>
      <c r="AK159" s="5" t="str">
        <f t="shared" ca="1" si="408"/>
        <v>VIGENTE</v>
      </c>
      <c r="AL159" s="3"/>
      <c r="AM159" s="4">
        <v>45926</v>
      </c>
      <c r="AN159" s="4">
        <f>DATE(YEAR(AM159)+2,MONTH(AM159),DAY(AM159))</f>
        <v>46656</v>
      </c>
      <c r="AO159" s="8">
        <f t="shared" ca="1" si="459"/>
        <v>511</v>
      </c>
      <c r="AP159" s="5" t="str">
        <f t="shared" ca="1" si="460"/>
        <v>VIGENTE</v>
      </c>
      <c r="AQ159" s="3"/>
      <c r="AR159" s="4">
        <v>45703</v>
      </c>
      <c r="AS159" s="4">
        <f>DATE(YEAR(AR159)+2,MONTH(AR159),DAY(AR159)-1)</f>
        <v>46432</v>
      </c>
      <c r="AT159" s="8">
        <f t="shared" ca="1" si="461"/>
        <v>287</v>
      </c>
      <c r="AU159" s="5" t="str">
        <f t="shared" ca="1" si="462"/>
        <v>VIGENTE</v>
      </c>
      <c r="AV159" s="3"/>
      <c r="AW159" s="4">
        <v>45702</v>
      </c>
      <c r="AX159" s="4">
        <f>DATE(YEAR(AW159)+2,MONTH(AW159),DAY(AW159)-1)</f>
        <v>46431</v>
      </c>
      <c r="AY159" s="8">
        <f t="shared" ca="1" si="463"/>
        <v>286</v>
      </c>
      <c r="AZ159" s="5" t="str">
        <f t="shared" ca="1" si="464"/>
        <v>VIGENTE</v>
      </c>
      <c r="BA159" s="3"/>
      <c r="BB159" s="4">
        <v>45717</v>
      </c>
      <c r="BC159" s="4">
        <f>DATE(YEAR(BB159)+2,MONTH(BB159),DAY(BB159)-1)</f>
        <v>46446</v>
      </c>
      <c r="BD159" s="8">
        <f t="shared" ca="1" si="465"/>
        <v>301</v>
      </c>
      <c r="BE159" s="5" t="str">
        <f t="shared" ca="1" si="466"/>
        <v>VIGENTE</v>
      </c>
      <c r="BF159" s="3"/>
      <c r="BG159" s="4">
        <v>45698</v>
      </c>
      <c r="BH159" s="4">
        <f>DATE(YEAR(BG159)+2,MONTH(BG159),DAY(BG159)-1)</f>
        <v>46427</v>
      </c>
      <c r="BI159" s="8">
        <f t="shared" ca="1" si="467"/>
        <v>282</v>
      </c>
      <c r="BJ159" s="5" t="str">
        <f t="shared" ca="1" si="468"/>
        <v>VIGENTE</v>
      </c>
      <c r="BK159" s="3"/>
      <c r="BL159" s="4">
        <v>46035</v>
      </c>
      <c r="BM159" s="4">
        <f>DATE(YEAR(BL159)+2,MONTH(BL159),DAY(BL159))</f>
        <v>46765</v>
      </c>
      <c r="BN159" s="8">
        <f t="shared" ca="1" si="469"/>
        <v>620</v>
      </c>
      <c r="BO159" s="5" t="str">
        <f t="shared" ca="1" si="470"/>
        <v>VIGENTE</v>
      </c>
      <c r="BP159" s="3"/>
      <c r="BQ159" s="39">
        <v>45701</v>
      </c>
      <c r="BR159" s="4">
        <f>DATE(YEAR(BQ159)+2,MONTH(BQ159),DAY(BQ159)-1)</f>
        <v>46430</v>
      </c>
      <c r="BS159" s="8">
        <f t="shared" ca="1" si="471"/>
        <v>285</v>
      </c>
      <c r="BT159" s="5" t="str">
        <f t="shared" ca="1" si="472"/>
        <v>VIGENTE</v>
      </c>
      <c r="BU159" s="3"/>
      <c r="BV159" s="4">
        <v>45695</v>
      </c>
      <c r="BW159" s="4">
        <f t="shared" si="585"/>
        <v>46424</v>
      </c>
      <c r="BX159" s="8">
        <f t="shared" ca="1" si="473"/>
        <v>279</v>
      </c>
      <c r="BY159" s="5" t="str">
        <f t="shared" ca="1" si="474"/>
        <v>VIGENTE</v>
      </c>
      <c r="BZ159" s="3"/>
      <c r="CA159" s="4">
        <v>45954</v>
      </c>
      <c r="CB159" s="4">
        <f t="shared" ref="CB159:CB166" si="589">DATE(YEAR(CA159)+2,MONTH(CA159),DAY(CA159))</f>
        <v>46684</v>
      </c>
      <c r="CC159" s="8">
        <f t="shared" ca="1" si="475"/>
        <v>539</v>
      </c>
      <c r="CD159" s="5" t="str">
        <f t="shared" ca="1" si="476"/>
        <v>VIGENTE</v>
      </c>
      <c r="CE159" s="6"/>
      <c r="CF159" s="4">
        <v>45227</v>
      </c>
      <c r="CG159" s="4">
        <f t="shared" ref="CG159:CG191" si="590">DATE(YEAR(CF159)+4,MONTH(CF159),DAY(CF159))</f>
        <v>46688</v>
      </c>
      <c r="CH159" s="8">
        <f t="shared" ref="CH159:CH191" ca="1" si="591">CG159-TODAY()</f>
        <v>543</v>
      </c>
      <c r="CI159" s="5" t="str">
        <f t="shared" ca="1" si="573"/>
        <v>VIGENTE</v>
      </c>
      <c r="CJ159" s="4"/>
      <c r="CK159" s="4">
        <v>45723</v>
      </c>
      <c r="CL159" s="4">
        <f>DATE(YEAR(CK159)+2,MONTH(CK159),DAY(CK159)-1)</f>
        <v>46452</v>
      </c>
      <c r="CM159" s="8">
        <f t="shared" ca="1" si="477"/>
        <v>307</v>
      </c>
      <c r="CN159" s="5" t="str">
        <f t="shared" ca="1" si="478"/>
        <v>VIGENTE</v>
      </c>
      <c r="CO159" s="4"/>
      <c r="CP159" s="39">
        <v>45726</v>
      </c>
      <c r="CQ159" s="4">
        <f t="shared" si="586"/>
        <v>46455</v>
      </c>
      <c r="CR159" s="8">
        <f t="shared" ca="1" si="479"/>
        <v>310</v>
      </c>
      <c r="CS159" s="5" t="str">
        <f t="shared" ca="1" si="480"/>
        <v>VIGENTE</v>
      </c>
      <c r="CT159" s="3"/>
      <c r="CU159" s="4">
        <v>45639</v>
      </c>
      <c r="CV159" s="4">
        <f>DATE(YEAR(CU159)+2,MONTH(CU159),DAY(CU159)-1)</f>
        <v>46368</v>
      </c>
      <c r="CW159" s="8">
        <f t="shared" ca="1" si="481"/>
        <v>223</v>
      </c>
      <c r="CX159" s="5" t="str">
        <f t="shared" ca="1" si="482"/>
        <v>VIGENTE</v>
      </c>
      <c r="CY159" s="3"/>
      <c r="CZ159" s="4">
        <v>45661</v>
      </c>
      <c r="DA159" s="4">
        <f>DATE(YEAR(CZ159)+2,MONTH(CZ159),DAY(CZ159)-1)</f>
        <v>46390</v>
      </c>
      <c r="DB159" s="8">
        <f t="shared" ca="1" si="483"/>
        <v>245</v>
      </c>
      <c r="DC159" s="5" t="str">
        <f t="shared" ca="1" si="484"/>
        <v>VIGENTE</v>
      </c>
      <c r="DD159" s="3"/>
      <c r="DE159" s="39">
        <v>45689</v>
      </c>
      <c r="DF159" s="4">
        <f>DATE(YEAR(DE159)+2,MONTH(DE159),DAY(DE159)-1)</f>
        <v>46418</v>
      </c>
      <c r="DG159" s="8">
        <f t="shared" ca="1" si="485"/>
        <v>273</v>
      </c>
      <c r="DH159" s="5" t="str">
        <f t="shared" ca="1" si="486"/>
        <v>VIGENTE</v>
      </c>
      <c r="DI159" s="3"/>
      <c r="DJ159" s="39">
        <v>45696</v>
      </c>
      <c r="DK159" s="4">
        <f>DATE(YEAR(DJ159)+2,MONTH(DJ159),DAY(DJ159)-1)</f>
        <v>46425</v>
      </c>
      <c r="DL159" s="8">
        <f t="shared" ca="1" si="487"/>
        <v>280</v>
      </c>
      <c r="DM159" s="5" t="str">
        <f t="shared" ca="1" si="488"/>
        <v>VIGENTE</v>
      </c>
      <c r="DN159" s="3"/>
      <c r="DO159" s="4">
        <v>46007</v>
      </c>
      <c r="DP159" s="4">
        <f>DATE(YEAR(DO159)+2,MONTH(DO159),DAY(DO159))</f>
        <v>46737</v>
      </c>
      <c r="DQ159" s="8">
        <f t="shared" ca="1" si="489"/>
        <v>592</v>
      </c>
      <c r="DR159" s="5" t="str">
        <f t="shared" ca="1" si="490"/>
        <v>VIGENTE</v>
      </c>
      <c r="DS159" s="3"/>
      <c r="DT159" s="4">
        <v>45685</v>
      </c>
      <c r="DU159" s="4">
        <f>DATE(YEAR(DT159)+2,MONTH(DT159),DAY(DT159)-1)</f>
        <v>46414</v>
      </c>
      <c r="DV159" s="8">
        <f t="shared" ca="1" si="491"/>
        <v>269</v>
      </c>
      <c r="DW159" s="5" t="str">
        <f t="shared" ca="1" si="492"/>
        <v>VIGENTE</v>
      </c>
      <c r="DX159" s="3"/>
      <c r="DY159" s="4">
        <v>45709</v>
      </c>
      <c r="DZ159" s="4">
        <f>DATE(YEAR(DY159)+2,MONTH(DY159),DAY(DY159)-1)</f>
        <v>46438</v>
      </c>
      <c r="EA159" s="8">
        <f t="shared" ca="1" si="493"/>
        <v>293</v>
      </c>
      <c r="EB159" s="5" t="str">
        <f t="shared" ca="1" si="494"/>
        <v>VIGENTE</v>
      </c>
      <c r="EC159" s="3"/>
      <c r="ED159" s="39">
        <v>45674</v>
      </c>
      <c r="EE159" s="4">
        <f>DATE(YEAR(ED159)+2,MONTH(ED159),DAY(ED159)-1)</f>
        <v>46403</v>
      </c>
      <c r="EF159" s="8">
        <f t="shared" ca="1" si="495"/>
        <v>258</v>
      </c>
      <c r="EG159" s="5" t="str">
        <f t="shared" ca="1" si="496"/>
        <v>VIGENTE</v>
      </c>
      <c r="EH159" s="3"/>
      <c r="EI159" s="4">
        <v>45948</v>
      </c>
      <c r="EJ159" s="4">
        <f t="shared" si="558"/>
        <v>46313</v>
      </c>
      <c r="EK159" s="8">
        <f t="shared" ca="1" si="497"/>
        <v>168</v>
      </c>
      <c r="EL159" s="5" t="str">
        <f t="shared" ca="1" si="498"/>
        <v>VIGENTE</v>
      </c>
      <c r="EM159" s="3"/>
      <c r="EN159" s="4">
        <v>45660</v>
      </c>
      <c r="EO159" s="4">
        <f>DATE(YEAR(EN159)+2,MONTH(EN159),DAY(EN159)-1)</f>
        <v>46389</v>
      </c>
      <c r="EP159" s="8">
        <f t="shared" ca="1" si="499"/>
        <v>244</v>
      </c>
      <c r="EQ159" s="5" t="str">
        <f t="shared" ca="1" si="500"/>
        <v>VIGENTE</v>
      </c>
      <c r="ER159" s="3"/>
      <c r="ES159" s="39">
        <v>45677</v>
      </c>
      <c r="ET159" s="4">
        <f>DATE(YEAR(ES159)+2,MONTH(ES159),DAY(ES159)-1)</f>
        <v>46406</v>
      </c>
      <c r="EU159" s="8">
        <f t="shared" ca="1" si="501"/>
        <v>261</v>
      </c>
      <c r="EV159" s="5" t="str">
        <f t="shared" ca="1" si="502"/>
        <v>VIGENTE</v>
      </c>
      <c r="EW159" s="3"/>
      <c r="EX159" s="4">
        <v>45953</v>
      </c>
      <c r="EY159" s="4">
        <f t="shared" ref="EY159:EY166" si="592">DATE(YEAR(EX159)+2,MONTH(EX159),DAY(EX159))</f>
        <v>46683</v>
      </c>
      <c r="EZ159" s="8">
        <f t="shared" ca="1" si="503"/>
        <v>538</v>
      </c>
      <c r="FA159" s="5" t="str">
        <f t="shared" ca="1" si="504"/>
        <v>VIGENTE</v>
      </c>
      <c r="FB159" s="3"/>
      <c r="FC159" s="4">
        <v>45951</v>
      </c>
      <c r="FD159" s="4">
        <f t="shared" ref="FD159:FD166" si="593">DATE(YEAR(FC159)+2,MONTH(FC159),DAY(FC159))</f>
        <v>46681</v>
      </c>
      <c r="FE159" s="8">
        <f t="shared" ca="1" si="505"/>
        <v>536</v>
      </c>
      <c r="FF159" s="5" t="str">
        <f t="shared" ca="1" si="506"/>
        <v>VIGENTE</v>
      </c>
      <c r="FG159" s="3"/>
      <c r="FH159" s="4">
        <v>45962</v>
      </c>
      <c r="FI159" s="4">
        <f t="shared" ref="FI159:FI166" si="594">DATE(YEAR(FH159)+2,MONTH(FH159),DAY(FH159))</f>
        <v>46692</v>
      </c>
      <c r="FJ159" s="8">
        <f t="shared" ca="1" si="507"/>
        <v>547</v>
      </c>
      <c r="FK159" s="5" t="str">
        <f t="shared" ca="1" si="508"/>
        <v>VIGENTE</v>
      </c>
      <c r="FL159" s="3"/>
      <c r="FM159" s="39">
        <v>45738</v>
      </c>
      <c r="FN159" s="4">
        <f>DATE(YEAR(FM159)+2,MONTH(FM159),DAY(FM159)-1)</f>
        <v>46467</v>
      </c>
      <c r="FO159" s="8">
        <f t="shared" ca="1" si="509"/>
        <v>322</v>
      </c>
      <c r="FP159" s="5" t="str">
        <f t="shared" ca="1" si="510"/>
        <v>VIGENTE</v>
      </c>
      <c r="FQ159" s="3"/>
      <c r="FR159" s="39">
        <v>45678</v>
      </c>
      <c r="FS159" s="4">
        <f>DATE(YEAR(FR159)+2,MONTH(FR159),DAY(FR159)-1)</f>
        <v>46407</v>
      </c>
      <c r="FT159" s="8">
        <f t="shared" ca="1" si="511"/>
        <v>262</v>
      </c>
      <c r="FU159" s="5" t="str">
        <f t="shared" ca="1" si="512"/>
        <v>VIGENTE</v>
      </c>
      <c r="FV159" s="3"/>
      <c r="FW159" s="4">
        <v>45581</v>
      </c>
      <c r="FX159" s="4">
        <f>DATE(YEAR(FW159)+2,MONTH(FW159),DAY(FW159)-1)</f>
        <v>46310</v>
      </c>
      <c r="FY159" s="8">
        <f t="shared" ca="1" si="513"/>
        <v>165</v>
      </c>
      <c r="FZ159" s="5" t="str">
        <f t="shared" ca="1" si="514"/>
        <v>VIGENTE</v>
      </c>
      <c r="GA159" s="3"/>
      <c r="GB159" s="4">
        <v>45667</v>
      </c>
      <c r="GC159" s="4">
        <f>DATE(YEAR(GB159)+2,MONTH(GB159),DAY(GB159)-1)</f>
        <v>46396</v>
      </c>
      <c r="GD159" s="8">
        <f t="shared" ca="1" si="515"/>
        <v>251</v>
      </c>
      <c r="GE159" s="5" t="str">
        <f t="shared" ca="1" si="516"/>
        <v>VIGENTE</v>
      </c>
      <c r="GF159" s="3"/>
      <c r="GG159" s="4">
        <v>45752</v>
      </c>
      <c r="GH159" s="4">
        <f>DATE(YEAR(GG159)+2,MONTH(GG159),DAY(GG159)-1)</f>
        <v>46481</v>
      </c>
      <c r="GI159" s="8">
        <f t="shared" ca="1" si="517"/>
        <v>336</v>
      </c>
      <c r="GJ159" s="5" t="str">
        <f t="shared" ca="1" si="518"/>
        <v>VIGENTE</v>
      </c>
      <c r="GK159" s="3"/>
      <c r="GL159" s="4">
        <v>45687</v>
      </c>
      <c r="GM159" s="4">
        <f>DATE(YEAR(GL159)+2,MONTH(GL159),DAY(GL159)-1)</f>
        <v>46416</v>
      </c>
      <c r="GN159" s="8">
        <f t="shared" ca="1" si="519"/>
        <v>271</v>
      </c>
      <c r="GO159" s="5" t="str">
        <f t="shared" ca="1" si="520"/>
        <v>VIGENTE</v>
      </c>
      <c r="GP159" s="4"/>
      <c r="GQ159" s="4">
        <v>45017</v>
      </c>
      <c r="GR159" s="4">
        <f t="shared" si="521"/>
        <v>46844</v>
      </c>
      <c r="GS159" s="8">
        <f t="shared" ca="1" si="405"/>
        <v>699</v>
      </c>
      <c r="GT159" s="5" t="str">
        <f t="shared" ca="1" si="419"/>
        <v>VIGENTE</v>
      </c>
      <c r="GU159" s="3"/>
      <c r="GV159" s="4">
        <v>45245</v>
      </c>
      <c r="GW159" s="4">
        <f t="shared" si="522"/>
        <v>47072</v>
      </c>
      <c r="GX159" s="8">
        <f t="shared" ca="1" si="523"/>
        <v>927</v>
      </c>
      <c r="GY159" s="5" t="str">
        <f t="shared" ca="1" si="426"/>
        <v>VIGENTE</v>
      </c>
      <c r="GZ159" s="3"/>
      <c r="HA159" s="4">
        <v>44980</v>
      </c>
      <c r="HB159" s="4">
        <f t="shared" si="524"/>
        <v>46806</v>
      </c>
      <c r="HC159" s="8">
        <f t="shared" ca="1" si="525"/>
        <v>661</v>
      </c>
      <c r="HD159" s="5" t="str">
        <f t="shared" ca="1" si="421"/>
        <v>VIGENTE</v>
      </c>
      <c r="HE159" s="6"/>
      <c r="HF159" s="4">
        <v>44879</v>
      </c>
      <c r="HG159" s="4">
        <f t="shared" si="583"/>
        <v>46705</v>
      </c>
      <c r="HH159" s="8">
        <f t="shared" ca="1" si="584"/>
        <v>560</v>
      </c>
      <c r="HI159" s="5" t="str">
        <f t="shared" ca="1" si="427"/>
        <v>VIGENTE</v>
      </c>
      <c r="HJ159" s="3"/>
      <c r="HK159" s="4">
        <v>45414</v>
      </c>
      <c r="HL159" s="4">
        <f>DATE(YEAR(HK159)+5,MONTH(HK159),DAY(HK159))</f>
        <v>47240</v>
      </c>
      <c r="HM159" s="8">
        <f ca="1">HL159-TODAY()</f>
        <v>1095</v>
      </c>
      <c r="HN159" s="5" t="str">
        <f t="shared" ca="1" si="444"/>
        <v>VIGENTE</v>
      </c>
      <c r="HO159" s="2"/>
      <c r="HP159" s="2"/>
      <c r="HQ159" s="4"/>
      <c r="HR159" s="2"/>
      <c r="HS159" s="5" t="str">
        <f t="shared" si="526"/>
        <v>NO APLICA</v>
      </c>
      <c r="HT159" s="3"/>
      <c r="HU159" s="4">
        <v>45243</v>
      </c>
      <c r="HV159" s="4">
        <f>DATE(YEAR(HU159)+5,MONTH(HU159),DAY(HU159))</f>
        <v>47070</v>
      </c>
      <c r="HW159" s="8">
        <f ca="1">HV159-TODAY()</f>
        <v>925</v>
      </c>
      <c r="HX159" s="5" t="str">
        <f t="shared" ca="1" si="527"/>
        <v>VIGENTE</v>
      </c>
      <c r="HY159" s="3"/>
      <c r="HZ159" s="4">
        <v>45241</v>
      </c>
      <c r="IA159" s="4">
        <f>DATE(YEAR(HZ159)+5,MONTH(HZ159),DAY(HZ159))</f>
        <v>47068</v>
      </c>
      <c r="IB159" s="8">
        <f ca="1">IA159-TODAY()</f>
        <v>923</v>
      </c>
      <c r="IC159" s="5" t="str">
        <f t="shared" ca="1" si="528"/>
        <v>VIGENTE</v>
      </c>
      <c r="ID159" s="3"/>
      <c r="IE159" s="4">
        <v>45264</v>
      </c>
      <c r="IF159" s="4">
        <f>DATE(YEAR(IE159)+5,MONTH(IE159),DAY(IE159))</f>
        <v>47091</v>
      </c>
      <c r="IG159" s="8">
        <f ca="1">IF159-TODAY()</f>
        <v>946</v>
      </c>
      <c r="IH159" s="5" t="str">
        <f t="shared" ca="1" si="529"/>
        <v>VIGENTE</v>
      </c>
      <c r="II159" s="4"/>
      <c r="IJ159" s="4">
        <v>45262</v>
      </c>
      <c r="IK159" s="4">
        <f>DATE(YEAR(IJ159)+5,MONTH(IJ159),DAY(IJ159))</f>
        <v>47089</v>
      </c>
      <c r="IL159" s="8">
        <f ca="1">IK159-TODAY()</f>
        <v>944</v>
      </c>
      <c r="IM159" s="5" t="str">
        <f t="shared" ca="1" si="530"/>
        <v>VIGENTE</v>
      </c>
      <c r="IN159" s="3"/>
      <c r="IO159" s="4">
        <v>45239</v>
      </c>
      <c r="IP159" s="4">
        <f>DATE(YEAR(IO159)+5,MONTH(IO159),DAY(IO159))</f>
        <v>47066</v>
      </c>
      <c r="IQ159" s="8">
        <f ca="1">IP159-TODAY()</f>
        <v>921</v>
      </c>
      <c r="IR159" s="5" t="str">
        <f t="shared" ca="1" si="531"/>
        <v>VIGENTE</v>
      </c>
      <c r="IS159" s="3"/>
      <c r="IT159" s="4">
        <v>45240</v>
      </c>
      <c r="IU159" s="4">
        <f>DATE(YEAR(IT159)+5,MONTH(IT159),DAY(IT159))</f>
        <v>47067</v>
      </c>
      <c r="IV159" s="8">
        <f ca="1">IU159-TODAY()</f>
        <v>922</v>
      </c>
      <c r="IW159" s="5" t="str">
        <f t="shared" ca="1" si="532"/>
        <v>VIGENTE</v>
      </c>
      <c r="IX159" s="3"/>
      <c r="IY159" s="4">
        <v>45261</v>
      </c>
      <c r="IZ159" s="4">
        <f>DATE(YEAR(IY159)+5,MONTH(IY159),DAY(IY159))</f>
        <v>47088</v>
      </c>
      <c r="JA159" s="8">
        <f ca="1">IZ159-TODAY()</f>
        <v>943</v>
      </c>
      <c r="JB159" s="5" t="str">
        <f t="shared" ca="1" si="533"/>
        <v>VIGENTE</v>
      </c>
      <c r="JC159" s="3" t="s">
        <v>780</v>
      </c>
      <c r="JD159" s="3"/>
      <c r="JE159" s="4"/>
      <c r="JF159" s="8"/>
      <c r="JG159" s="5"/>
      <c r="JH159" s="3" t="s">
        <v>780</v>
      </c>
      <c r="JI159" s="6"/>
      <c r="JJ159" s="6"/>
      <c r="JK159" s="6"/>
      <c r="JL159" s="5"/>
      <c r="JM159" s="6" t="s">
        <v>780</v>
      </c>
      <c r="JN159" s="6"/>
      <c r="JO159" s="6"/>
      <c r="JP159" s="6"/>
      <c r="JQ159" s="5"/>
      <c r="JR159" s="6" t="s">
        <v>780</v>
      </c>
      <c r="JS159" s="6"/>
      <c r="JT159" s="6"/>
      <c r="JU159" s="6"/>
      <c r="JV159" s="5"/>
      <c r="JW159" s="6" t="s">
        <v>780</v>
      </c>
      <c r="JX159" s="5"/>
      <c r="JY159" s="5"/>
      <c r="JZ159" s="5"/>
      <c r="KA159" s="5"/>
      <c r="KB159" s="5"/>
      <c r="KC159" s="2"/>
      <c r="KD159" s="4"/>
      <c r="KE159" s="8"/>
      <c r="KF159" s="5" t="str">
        <f t="shared" si="534"/>
        <v>NO APLICA</v>
      </c>
      <c r="KG159" s="5"/>
      <c r="KH159" s="2"/>
      <c r="KI159" s="4"/>
      <c r="KJ159" s="8"/>
      <c r="KK159" s="5" t="str">
        <f t="shared" si="559"/>
        <v>NO APLICA</v>
      </c>
      <c r="KL159" s="5"/>
      <c r="KM159" s="3">
        <v>45364</v>
      </c>
      <c r="KN159" s="4">
        <f>DATE(YEAR(KM159)+5,MONTH(KM159),DAY(KM159))</f>
        <v>47190</v>
      </c>
      <c r="KO159" s="8">
        <f ca="1">KN159-TODAY()</f>
        <v>1045</v>
      </c>
      <c r="KP159" s="5" t="str">
        <f t="shared" ca="1" si="535"/>
        <v>VIGENTE</v>
      </c>
      <c r="KQ159" s="5"/>
      <c r="KR159" s="2"/>
      <c r="KS159" s="4"/>
      <c r="KT159" s="8"/>
      <c r="KU159" s="5" t="str">
        <f t="shared" si="560"/>
        <v>NO APLICA</v>
      </c>
      <c r="KV159" s="2"/>
      <c r="KW159" s="6"/>
      <c r="KX159" s="4"/>
      <c r="KY159" s="8"/>
      <c r="KZ159" s="5" t="str">
        <f t="shared" si="565"/>
        <v>NO APLICA</v>
      </c>
      <c r="LA159" s="5"/>
      <c r="LB159" s="4">
        <v>44545</v>
      </c>
      <c r="LC159" s="4">
        <f>DATE(YEAR(LB159)+5,MONTH(LB159),DAY(LB159))</f>
        <v>46371</v>
      </c>
      <c r="LD159" s="8">
        <f ca="1">LC159-TODAY()</f>
        <v>226</v>
      </c>
      <c r="LE159" s="5" t="str">
        <f t="shared" ca="1" si="561"/>
        <v>VIGENTE</v>
      </c>
      <c r="LF159" s="4"/>
      <c r="LG159" s="4"/>
      <c r="LH159" s="4"/>
      <c r="LI159" s="8"/>
      <c r="LJ159" s="5" t="str">
        <f t="shared" si="567"/>
        <v>NO APLICA</v>
      </c>
      <c r="LK159" s="5"/>
      <c r="LL159" s="21"/>
      <c r="LM159" s="4"/>
      <c r="LN159" s="8"/>
      <c r="LO159" s="5" t="str">
        <f t="shared" si="566"/>
        <v>NO APLICA</v>
      </c>
      <c r="LP159" s="3"/>
      <c r="LQ159" s="4">
        <v>44377</v>
      </c>
      <c r="LR159" s="4">
        <f>DATE(YEAR(LQ159)+5,MONTH(LQ159),DAY(LQ159))</f>
        <v>46203</v>
      </c>
      <c r="LS159" s="8">
        <f ca="1">LR159-TODAY()</f>
        <v>58</v>
      </c>
      <c r="LT159" s="5" t="str">
        <f t="shared" ca="1" si="562"/>
        <v>POR VENCER</v>
      </c>
      <c r="LU159" s="4"/>
      <c r="LV159" s="4">
        <v>44986</v>
      </c>
      <c r="LW159" s="4">
        <f>DATE(YEAR(LV159)+5,MONTH(LV159),DAY(LV159))</f>
        <v>46813</v>
      </c>
      <c r="LX159" s="8">
        <f ca="1">LW159-TODAY()</f>
        <v>668</v>
      </c>
      <c r="LY159" s="5" t="str">
        <f t="shared" ca="1" si="563"/>
        <v>VIGENTE</v>
      </c>
      <c r="LZ159" s="4"/>
      <c r="MA159" s="4">
        <v>44988</v>
      </c>
      <c r="MB159" s="4">
        <f>DATE(YEAR(MA159)+5,MONTH(MA159),DAY(MA159))</f>
        <v>46815</v>
      </c>
      <c r="MC159" s="8">
        <f ca="1">MB159-TODAY()</f>
        <v>670</v>
      </c>
      <c r="MD159" s="5" t="str">
        <f t="shared" ca="1" si="564"/>
        <v>VIGENTE</v>
      </c>
      <c r="ME159" s="4"/>
      <c r="MF159" s="4">
        <v>45010</v>
      </c>
      <c r="MG159" s="4">
        <f>DATE(YEAR(MF159)+5,MONTH(MF159),DAY(MF159))</f>
        <v>46837</v>
      </c>
      <c r="MH159" s="8">
        <f ca="1">MG159-TODAY()</f>
        <v>692</v>
      </c>
      <c r="MI159" s="5" t="str">
        <f t="shared" ca="1" si="537"/>
        <v>VIGENTE</v>
      </c>
      <c r="MJ159" s="2"/>
      <c r="MK159" s="2"/>
      <c r="ML159" s="4"/>
      <c r="MM159" s="8"/>
      <c r="MN159" s="5" t="str">
        <f t="shared" si="538"/>
        <v>NO APLICA</v>
      </c>
      <c r="MO159" s="5"/>
      <c r="MP159" s="2"/>
      <c r="MQ159" s="4"/>
      <c r="MR159" s="8"/>
      <c r="MS159" s="5" t="str">
        <f t="shared" si="539"/>
        <v>NO APLICA</v>
      </c>
      <c r="MT159" s="5"/>
      <c r="MU159" s="2"/>
      <c r="MV159" s="4"/>
      <c r="MW159" s="2"/>
      <c r="MX159" s="5" t="str">
        <f t="shared" si="540"/>
        <v>NO APLICA</v>
      </c>
      <c r="MY159" s="2"/>
      <c r="MZ159" s="6"/>
      <c r="NA159" s="4"/>
      <c r="NB159" s="8"/>
      <c r="NC159" s="5" t="str">
        <f t="shared" si="541"/>
        <v>NO APLICA</v>
      </c>
      <c r="ND159" s="2"/>
      <c r="NE159" s="6"/>
      <c r="NF159" s="4"/>
      <c r="NG159" s="8"/>
      <c r="NH159" s="5" t="str">
        <f t="shared" si="542"/>
        <v>NO APLICA</v>
      </c>
      <c r="NI159" s="2"/>
      <c r="NJ159" s="6"/>
      <c r="NK159" s="4"/>
      <c r="NL159" s="8"/>
      <c r="NM159" s="5" t="str">
        <f t="shared" si="543"/>
        <v>NO APLICA</v>
      </c>
      <c r="NN159" s="2"/>
      <c r="NO159" s="2"/>
      <c r="NP159" s="4"/>
      <c r="NQ159" s="2"/>
      <c r="NR159" s="5" t="str">
        <f t="shared" si="544"/>
        <v>NO APLICA</v>
      </c>
      <c r="NS159" s="2"/>
      <c r="NT159" s="2"/>
      <c r="NU159" s="2"/>
      <c r="NV159" s="2"/>
      <c r="NW159" s="5" t="str">
        <f t="shared" si="545"/>
        <v>NO APLICA</v>
      </c>
      <c r="NX159" s="6"/>
      <c r="NY159" s="6"/>
      <c r="NZ159" s="4"/>
      <c r="OA159" s="8"/>
      <c r="OB159" s="5" t="str">
        <f t="shared" si="546"/>
        <v>NO APLICA</v>
      </c>
      <c r="OC159" s="6"/>
      <c r="OD159" s="6"/>
      <c r="OE159" s="6"/>
      <c r="OF159" s="6"/>
      <c r="OG159" s="5" t="str">
        <f t="shared" si="547"/>
        <v>NO APLICA</v>
      </c>
      <c r="OH159" s="6"/>
      <c r="OI159" s="6"/>
      <c r="OJ159" s="4"/>
      <c r="OK159" s="8"/>
      <c r="OL159" s="5" t="str">
        <f t="shared" si="548"/>
        <v>NO APLICA</v>
      </c>
      <c r="OM159" s="6"/>
      <c r="ON159" s="6"/>
      <c r="OO159" s="6"/>
      <c r="OP159" s="6"/>
      <c r="OQ159" s="5" t="str">
        <f t="shared" si="549"/>
        <v>NO APLICA</v>
      </c>
      <c r="OR159" s="6"/>
      <c r="OS159" s="6"/>
      <c r="OT159" s="6"/>
      <c r="OU159" s="6"/>
      <c r="OV159" s="5" t="str">
        <f t="shared" si="550"/>
        <v>NO APLICA</v>
      </c>
      <c r="OW159" s="6"/>
      <c r="OX159" s="6"/>
      <c r="OY159" s="6"/>
      <c r="OZ159" s="6"/>
      <c r="PA159" s="5" t="str">
        <f t="shared" si="551"/>
        <v>NO APLICA</v>
      </c>
      <c r="PB159" s="6"/>
      <c r="PC159" s="6"/>
      <c r="PD159" s="6"/>
      <c r="PE159" s="6"/>
      <c r="PF159" s="5" t="str">
        <f t="shared" si="552"/>
        <v>NO APLICA</v>
      </c>
      <c r="PG159" s="6"/>
      <c r="PH159" s="6"/>
      <c r="PI159" s="6"/>
      <c r="PJ159" s="6"/>
      <c r="PK159" s="5" t="str">
        <f t="shared" si="553"/>
        <v>NO APLICA</v>
      </c>
      <c r="PL159" s="5"/>
      <c r="PM159" s="6"/>
      <c r="PN159" s="4"/>
      <c r="PO159" s="8"/>
      <c r="PP159" s="5" t="str">
        <f t="shared" si="554"/>
        <v>NO APLICA</v>
      </c>
      <c r="PQ159" s="6"/>
      <c r="PR159" s="6"/>
      <c r="PS159" s="6"/>
      <c r="PT159" s="6"/>
      <c r="PU159" s="5" t="str">
        <f t="shared" si="555"/>
        <v>NO APLICA</v>
      </c>
      <c r="PV159" s="5"/>
      <c r="PW159" s="6"/>
      <c r="PX159" s="6"/>
      <c r="PY159" s="6"/>
      <c r="PZ159" s="5" t="str">
        <f t="shared" si="556"/>
        <v>NO APLICA</v>
      </c>
    </row>
    <row r="160" spans="1:442" ht="15.6" hidden="1" thickTop="1" thickBot="1" x14ac:dyDescent="0.35">
      <c r="A160" s="26">
        <v>157</v>
      </c>
      <c r="B160" s="27">
        <v>1412</v>
      </c>
      <c r="C160" s="28" t="s">
        <v>512</v>
      </c>
      <c r="D160" s="29" t="s">
        <v>157</v>
      </c>
      <c r="E160" s="30" t="s">
        <v>513</v>
      </c>
      <c r="F160" s="5"/>
      <c r="G160" s="6"/>
      <c r="H160" s="4"/>
      <c r="I160" s="8"/>
      <c r="J160" s="5" t="str">
        <f t="shared" si="455"/>
        <v>NO APLICA</v>
      </c>
      <c r="K160" s="5"/>
      <c r="L160" s="6"/>
      <c r="M160" s="6"/>
      <c r="N160" s="8"/>
      <c r="O160" s="5" t="str">
        <f t="shared" si="456"/>
        <v>NO APLICA</v>
      </c>
      <c r="P160" s="6"/>
      <c r="Q160" s="6"/>
      <c r="R160" s="4"/>
      <c r="S160" s="8"/>
      <c r="T160" s="5" t="str">
        <f t="shared" si="557"/>
        <v>NO APLICA</v>
      </c>
      <c r="U160" s="5"/>
      <c r="V160" s="2" t="s">
        <v>514</v>
      </c>
      <c r="W160" s="4">
        <v>45078</v>
      </c>
      <c r="X160" s="4">
        <f t="shared" si="587"/>
        <v>46905</v>
      </c>
      <c r="Y160" s="8">
        <f t="shared" ca="1" si="588"/>
        <v>760</v>
      </c>
      <c r="Z160" s="5" t="str">
        <f t="shared" ca="1" si="412"/>
        <v>VIGENTE</v>
      </c>
      <c r="AA160" s="5"/>
      <c r="AB160" s="2" t="s">
        <v>515</v>
      </c>
      <c r="AC160" s="4">
        <v>45126</v>
      </c>
      <c r="AD160" s="4">
        <f>DATE(YEAR(AC160)+5,MONTH(AC160),DAY(AC160))</f>
        <v>46953</v>
      </c>
      <c r="AE160" s="8">
        <f ca="1">AD160-TODAY()</f>
        <v>808</v>
      </c>
      <c r="AF160" s="5" t="str">
        <f t="shared" ca="1" si="457"/>
        <v>VIGENTE</v>
      </c>
      <c r="AG160" s="3"/>
      <c r="AH160" s="4">
        <v>45902</v>
      </c>
      <c r="AI160" s="4">
        <f>DATE(YEAR(AH160)+2,MONTH(AH160),DAY(AH160))</f>
        <v>46632</v>
      </c>
      <c r="AJ160" s="8">
        <f t="shared" ca="1" si="458"/>
        <v>487</v>
      </c>
      <c r="AK160" s="5" t="str">
        <f t="shared" ca="1" si="408"/>
        <v>VIGENTE</v>
      </c>
      <c r="AL160" s="3"/>
      <c r="AM160" s="4">
        <v>45937</v>
      </c>
      <c r="AN160" s="4">
        <f>DATE(YEAR(AM160)+2,MONTH(AM160),DAY(AM160))</f>
        <v>46667</v>
      </c>
      <c r="AO160" s="8">
        <f t="shared" ca="1" si="459"/>
        <v>522</v>
      </c>
      <c r="AP160" s="5" t="str">
        <f t="shared" ca="1" si="460"/>
        <v>VIGENTE</v>
      </c>
      <c r="AQ160" s="3"/>
      <c r="AR160" s="4">
        <v>45887</v>
      </c>
      <c r="AS160" s="4">
        <f>DATE(YEAR(AR160)+2,MONTH(AR160),DAY(AR160))</f>
        <v>46617</v>
      </c>
      <c r="AT160" s="8">
        <f t="shared" ca="1" si="461"/>
        <v>472</v>
      </c>
      <c r="AU160" s="5" t="str">
        <f t="shared" ca="1" si="462"/>
        <v>VIGENTE</v>
      </c>
      <c r="AV160" s="3"/>
      <c r="AW160" s="4">
        <v>45927</v>
      </c>
      <c r="AX160" s="4">
        <f>DATE(YEAR(AW160)+2,MONTH(AW160),DAY(AW160))</f>
        <v>46657</v>
      </c>
      <c r="AY160" s="8">
        <f t="shared" ca="1" si="463"/>
        <v>512</v>
      </c>
      <c r="AZ160" s="5" t="str">
        <f t="shared" ca="1" si="464"/>
        <v>VIGENTE</v>
      </c>
      <c r="BA160" s="3"/>
      <c r="BB160" s="4">
        <v>45901</v>
      </c>
      <c r="BC160" s="4">
        <f>DATE(YEAR(BB160)+2,MONTH(BB160),DAY(BB160))</f>
        <v>46631</v>
      </c>
      <c r="BD160" s="8">
        <f t="shared" ca="1" si="465"/>
        <v>486</v>
      </c>
      <c r="BE160" s="5" t="str">
        <f t="shared" ca="1" si="466"/>
        <v>VIGENTE</v>
      </c>
      <c r="BF160" s="3"/>
      <c r="BG160" s="4">
        <v>45997</v>
      </c>
      <c r="BH160" s="4">
        <f>DATE(YEAR(BG160)+2,MONTH(BG160),DAY(BG160))</f>
        <v>46727</v>
      </c>
      <c r="BI160" s="8">
        <f t="shared" ca="1" si="467"/>
        <v>582</v>
      </c>
      <c r="BJ160" s="5" t="str">
        <f t="shared" ca="1" si="468"/>
        <v>VIGENTE</v>
      </c>
      <c r="BK160" s="3"/>
      <c r="BL160" s="4">
        <v>45699</v>
      </c>
      <c r="BM160" s="4">
        <f>DATE(YEAR(BL160)+2,MONTH(BL160),DAY(BL160)-1)</f>
        <v>46428</v>
      </c>
      <c r="BN160" s="8">
        <f t="shared" ca="1" si="469"/>
        <v>283</v>
      </c>
      <c r="BO160" s="5" t="str">
        <f t="shared" ca="1" si="470"/>
        <v>VIGENTE</v>
      </c>
      <c r="BP160" s="3"/>
      <c r="BQ160" s="39">
        <v>45701</v>
      </c>
      <c r="BR160" s="4">
        <f>DATE(YEAR(BQ160)+2,MONTH(BQ160),DAY(BQ160)-1)</f>
        <v>46430</v>
      </c>
      <c r="BS160" s="8">
        <f t="shared" ca="1" si="471"/>
        <v>285</v>
      </c>
      <c r="BT160" s="5" t="str">
        <f t="shared" ca="1" si="472"/>
        <v>VIGENTE</v>
      </c>
      <c r="BU160" s="3"/>
      <c r="BV160" s="4">
        <v>45695</v>
      </c>
      <c r="BW160" s="4">
        <f t="shared" si="585"/>
        <v>46424</v>
      </c>
      <c r="BX160" s="8">
        <f t="shared" ca="1" si="473"/>
        <v>279</v>
      </c>
      <c r="BY160" s="5" t="str">
        <f t="shared" ca="1" si="474"/>
        <v>VIGENTE</v>
      </c>
      <c r="BZ160" s="3"/>
      <c r="CA160" s="4">
        <v>45944</v>
      </c>
      <c r="CB160" s="4">
        <f t="shared" si="589"/>
        <v>46674</v>
      </c>
      <c r="CC160" s="8">
        <f t="shared" ca="1" si="475"/>
        <v>529</v>
      </c>
      <c r="CD160" s="5" t="str">
        <f t="shared" ca="1" si="476"/>
        <v>VIGENTE</v>
      </c>
      <c r="CE160" s="6"/>
      <c r="CF160" s="4">
        <v>45616</v>
      </c>
      <c r="CG160" s="4">
        <f t="shared" si="590"/>
        <v>47077</v>
      </c>
      <c r="CH160" s="8">
        <f t="shared" ca="1" si="591"/>
        <v>932</v>
      </c>
      <c r="CI160" s="5" t="str">
        <f t="shared" ca="1" si="573"/>
        <v>VIGENTE</v>
      </c>
      <c r="CJ160" s="4"/>
      <c r="CK160" s="4">
        <v>45929</v>
      </c>
      <c r="CL160" s="4">
        <f>DATE(YEAR(CK160)+2,MONTH(CK160),DAY(CK160))</f>
        <v>46659</v>
      </c>
      <c r="CM160" s="8">
        <f t="shared" ca="1" si="477"/>
        <v>514</v>
      </c>
      <c r="CN160" s="5" t="str">
        <f t="shared" ca="1" si="478"/>
        <v>VIGENTE</v>
      </c>
      <c r="CO160" s="3"/>
      <c r="CP160" s="39">
        <v>45684</v>
      </c>
      <c r="CQ160" s="4">
        <f t="shared" si="586"/>
        <v>46413</v>
      </c>
      <c r="CR160" s="8">
        <f t="shared" ca="1" si="479"/>
        <v>268</v>
      </c>
      <c r="CS160" s="5" t="str">
        <f t="shared" ca="1" si="480"/>
        <v>VIGENTE</v>
      </c>
      <c r="CT160" s="3"/>
      <c r="CU160" s="4">
        <v>45905</v>
      </c>
      <c r="CV160" s="4">
        <f>DATE(YEAR(CU160)+2,MONTH(CU160),DAY(CU160))</f>
        <v>46635</v>
      </c>
      <c r="CW160" s="8">
        <f t="shared" ca="1" si="481"/>
        <v>490</v>
      </c>
      <c r="CX160" s="5" t="str">
        <f t="shared" ca="1" si="482"/>
        <v>VIGENTE</v>
      </c>
      <c r="CY160" s="3"/>
      <c r="CZ160" s="4">
        <v>45681</v>
      </c>
      <c r="DA160" s="4">
        <f>DATE(YEAR(CZ160)+2,MONTH(CZ160),DAY(CZ160)-1)</f>
        <v>46410</v>
      </c>
      <c r="DB160" s="8">
        <f t="shared" ca="1" si="483"/>
        <v>265</v>
      </c>
      <c r="DC160" s="5" t="str">
        <f t="shared" ca="1" si="484"/>
        <v>VIGENTE</v>
      </c>
      <c r="DD160" s="3"/>
      <c r="DE160" s="39">
        <v>45896</v>
      </c>
      <c r="DF160" s="4">
        <f>DATE(YEAR(DE160)+2,MONTH(DE160),DAY(DE160))</f>
        <v>46626</v>
      </c>
      <c r="DG160" s="8">
        <f t="shared" ca="1" si="485"/>
        <v>481</v>
      </c>
      <c r="DH160" s="5" t="str">
        <f t="shared" ca="1" si="486"/>
        <v>VIGENTE</v>
      </c>
      <c r="DI160" s="3"/>
      <c r="DJ160" s="39">
        <v>45899</v>
      </c>
      <c r="DK160" s="4">
        <f>DATE(YEAR(DJ160)+2,MONTH(DJ160),DAY(DJ160))</f>
        <v>46629</v>
      </c>
      <c r="DL160" s="8">
        <f t="shared" ca="1" si="487"/>
        <v>484</v>
      </c>
      <c r="DM160" s="5" t="str">
        <f t="shared" ca="1" si="488"/>
        <v>VIGENTE</v>
      </c>
      <c r="DN160" s="3"/>
      <c r="DO160" s="4">
        <v>45731</v>
      </c>
      <c r="DP160" s="4">
        <f>DATE(YEAR(DO160)+2,MONTH(DO160),DAY(DO160)-1)</f>
        <v>46460</v>
      </c>
      <c r="DQ160" s="8">
        <f t="shared" ca="1" si="489"/>
        <v>315</v>
      </c>
      <c r="DR160" s="5" t="str">
        <f t="shared" ca="1" si="490"/>
        <v>VIGENTE</v>
      </c>
      <c r="DS160" s="3"/>
      <c r="DT160" s="4">
        <v>45885</v>
      </c>
      <c r="DU160" s="4">
        <f>DATE(YEAR(DT160)+2,MONTH(DT160),DAY(DT160))</f>
        <v>46615</v>
      </c>
      <c r="DV160" s="8">
        <f t="shared" ca="1" si="491"/>
        <v>470</v>
      </c>
      <c r="DW160" s="5" t="str">
        <f t="shared" ca="1" si="492"/>
        <v>VIGENTE</v>
      </c>
      <c r="DX160" s="3"/>
      <c r="DY160" s="4">
        <v>45934</v>
      </c>
      <c r="DZ160" s="4">
        <f>DATE(YEAR(DY160)+2,MONTH(DY160),DAY(DY160))</f>
        <v>46664</v>
      </c>
      <c r="EA160" s="8">
        <f t="shared" ca="1" si="493"/>
        <v>519</v>
      </c>
      <c r="EB160" s="5" t="str">
        <f t="shared" ca="1" si="494"/>
        <v>VIGENTE</v>
      </c>
      <c r="EC160" s="3"/>
      <c r="ED160" s="39">
        <v>45913</v>
      </c>
      <c r="EE160" s="4">
        <f>DATE(YEAR(ED160)+2,MONTH(ED160),DAY(ED160))</f>
        <v>46643</v>
      </c>
      <c r="EF160" s="8">
        <f t="shared" ca="1" si="495"/>
        <v>498</v>
      </c>
      <c r="EG160" s="5" t="str">
        <f t="shared" ca="1" si="496"/>
        <v>VIGENTE</v>
      </c>
      <c r="EH160" s="3"/>
      <c r="EI160" s="3">
        <v>45911</v>
      </c>
      <c r="EJ160" s="4">
        <f t="shared" si="558"/>
        <v>46276</v>
      </c>
      <c r="EK160" s="8">
        <f t="shared" ca="1" si="497"/>
        <v>131</v>
      </c>
      <c r="EL160" s="5" t="str">
        <f t="shared" ca="1" si="498"/>
        <v>VIGENTE</v>
      </c>
      <c r="EM160" s="3"/>
      <c r="EN160" s="4">
        <v>45940</v>
      </c>
      <c r="EO160" s="4">
        <f>DATE(YEAR(EN160)+2,MONTH(EN160),DAY(EN160))</f>
        <v>46670</v>
      </c>
      <c r="EP160" s="8">
        <f t="shared" ca="1" si="499"/>
        <v>525</v>
      </c>
      <c r="EQ160" s="5" t="str">
        <f t="shared" ca="1" si="500"/>
        <v>VIGENTE</v>
      </c>
      <c r="ER160" s="3"/>
      <c r="ES160" s="39">
        <v>45922</v>
      </c>
      <c r="ET160" s="4">
        <f>DATE(YEAR(ES160)+2,MONTH(ES160),DAY(ES160))</f>
        <v>46652</v>
      </c>
      <c r="EU160" s="8">
        <f t="shared" ca="1" si="501"/>
        <v>507</v>
      </c>
      <c r="EV160" s="5" t="str">
        <f t="shared" ca="1" si="502"/>
        <v>VIGENTE</v>
      </c>
      <c r="EW160" s="3"/>
      <c r="EX160" s="4">
        <v>45917</v>
      </c>
      <c r="EY160" s="4">
        <f t="shared" si="592"/>
        <v>46647</v>
      </c>
      <c r="EZ160" s="8">
        <f t="shared" ca="1" si="503"/>
        <v>502</v>
      </c>
      <c r="FA160" s="5" t="str">
        <f t="shared" ca="1" si="504"/>
        <v>VIGENTE</v>
      </c>
      <c r="FB160" s="3"/>
      <c r="FC160" s="4">
        <v>45931</v>
      </c>
      <c r="FD160" s="4">
        <f t="shared" si="593"/>
        <v>46661</v>
      </c>
      <c r="FE160" s="8">
        <f t="shared" ca="1" si="505"/>
        <v>516</v>
      </c>
      <c r="FF160" s="5" t="str">
        <f t="shared" ca="1" si="506"/>
        <v>VIGENTE</v>
      </c>
      <c r="FG160" s="3"/>
      <c r="FH160" s="4">
        <v>45919</v>
      </c>
      <c r="FI160" s="4">
        <f t="shared" si="594"/>
        <v>46649</v>
      </c>
      <c r="FJ160" s="8">
        <f t="shared" ca="1" si="507"/>
        <v>504</v>
      </c>
      <c r="FK160" s="5" t="str">
        <f t="shared" ca="1" si="508"/>
        <v>VIGENTE</v>
      </c>
      <c r="FL160" s="3"/>
      <c r="FM160" s="39">
        <v>45933</v>
      </c>
      <c r="FN160" s="4">
        <f>DATE(YEAR(FM160)+2,MONTH(FM160),DAY(FM160))</f>
        <v>46663</v>
      </c>
      <c r="FO160" s="8">
        <f t="shared" ca="1" si="509"/>
        <v>518</v>
      </c>
      <c r="FP160" s="5" t="str">
        <f t="shared" ca="1" si="510"/>
        <v>VIGENTE</v>
      </c>
      <c r="FQ160" s="3"/>
      <c r="FR160" s="39">
        <v>45957</v>
      </c>
      <c r="FS160" s="4">
        <f>DATE(YEAR(FR160)+2,MONTH(FR160),DAY(FR160))</f>
        <v>46687</v>
      </c>
      <c r="FT160" s="8">
        <f t="shared" ca="1" si="511"/>
        <v>542</v>
      </c>
      <c r="FU160" s="5" t="str">
        <f t="shared" ca="1" si="512"/>
        <v>VIGENTE</v>
      </c>
      <c r="FV160" s="3"/>
      <c r="FW160" s="4">
        <v>45941</v>
      </c>
      <c r="FX160" s="4">
        <f>DATE(YEAR(FW160)+2,MONTH(FW160),DAY(FW160))</f>
        <v>46671</v>
      </c>
      <c r="FY160" s="8">
        <f t="shared" ca="1" si="513"/>
        <v>526</v>
      </c>
      <c r="FZ160" s="5" t="str">
        <f t="shared" ca="1" si="514"/>
        <v>VIGENTE</v>
      </c>
      <c r="GA160" s="3"/>
      <c r="GB160" s="4">
        <v>45925</v>
      </c>
      <c r="GC160" s="4">
        <f>DATE(YEAR(GB160)+2,MONTH(GB160),DAY(GB160))</f>
        <v>46655</v>
      </c>
      <c r="GD160" s="8">
        <f t="shared" ca="1" si="515"/>
        <v>510</v>
      </c>
      <c r="GE160" s="5" t="str">
        <f t="shared" ca="1" si="516"/>
        <v>VIGENTE</v>
      </c>
      <c r="GF160" s="3"/>
      <c r="GG160" s="4">
        <v>45912</v>
      </c>
      <c r="GH160" s="4">
        <f>DATE(YEAR(GG160)+2,MONTH(GG160),DAY(GG160))</f>
        <v>46642</v>
      </c>
      <c r="GI160" s="8">
        <f t="shared" ca="1" si="517"/>
        <v>497</v>
      </c>
      <c r="GJ160" s="5" t="str">
        <f t="shared" ca="1" si="518"/>
        <v>VIGENTE</v>
      </c>
      <c r="GK160" s="3"/>
      <c r="GL160" s="4">
        <v>45687</v>
      </c>
      <c r="GM160" s="4">
        <f>DATE(YEAR(GL160)+2,MONTH(GL160),DAY(GL160)-1)</f>
        <v>46416</v>
      </c>
      <c r="GN160" s="8">
        <f t="shared" ca="1" si="519"/>
        <v>271</v>
      </c>
      <c r="GO160" s="5" t="str">
        <f t="shared" ca="1" si="520"/>
        <v>VIGENTE</v>
      </c>
      <c r="GP160" s="4"/>
      <c r="GQ160" s="4">
        <v>45017</v>
      </c>
      <c r="GR160" s="4">
        <f t="shared" si="521"/>
        <v>46844</v>
      </c>
      <c r="GS160" s="8">
        <f t="shared" ca="1" si="405"/>
        <v>699</v>
      </c>
      <c r="GT160" s="5" t="str">
        <f t="shared" ca="1" si="419"/>
        <v>VIGENTE</v>
      </c>
      <c r="GU160" s="3"/>
      <c r="GV160" s="4">
        <v>45010</v>
      </c>
      <c r="GW160" s="4">
        <f t="shared" si="522"/>
        <v>46837</v>
      </c>
      <c r="GX160" s="8">
        <f t="shared" ca="1" si="523"/>
        <v>692</v>
      </c>
      <c r="GY160" s="5" t="str">
        <f t="shared" ca="1" si="426"/>
        <v>VIGENTE</v>
      </c>
      <c r="GZ160" s="3"/>
      <c r="HA160" s="4">
        <v>45268</v>
      </c>
      <c r="HB160" s="4">
        <f t="shared" si="524"/>
        <v>47095</v>
      </c>
      <c r="HC160" s="8">
        <f t="shared" ca="1" si="525"/>
        <v>950</v>
      </c>
      <c r="HD160" s="5" t="str">
        <f t="shared" ca="1" si="421"/>
        <v>VIGENTE</v>
      </c>
      <c r="HE160" s="6"/>
      <c r="HF160" s="4">
        <v>45094</v>
      </c>
      <c r="HG160" s="4">
        <f t="shared" si="583"/>
        <v>46921</v>
      </c>
      <c r="HH160" s="8">
        <f t="shared" ca="1" si="584"/>
        <v>776</v>
      </c>
      <c r="HI160" s="5" t="str">
        <f t="shared" ca="1" si="427"/>
        <v>VIGENTE</v>
      </c>
      <c r="HJ160" s="2"/>
      <c r="HK160" s="6"/>
      <c r="HL160" s="4"/>
      <c r="HM160" s="8"/>
      <c r="HN160" s="5" t="str">
        <f t="shared" si="444"/>
        <v>NO APLICA</v>
      </c>
      <c r="HO160" s="2"/>
      <c r="HP160" s="2"/>
      <c r="HQ160" s="4"/>
      <c r="HR160" s="2"/>
      <c r="HS160" s="5" t="str">
        <f t="shared" si="526"/>
        <v>NO APLICA</v>
      </c>
      <c r="HT160" s="2"/>
      <c r="HU160" s="6"/>
      <c r="HV160" s="4"/>
      <c r="HW160" s="8"/>
      <c r="HX160" s="5" t="str">
        <f t="shared" si="527"/>
        <v>NO APLICA</v>
      </c>
      <c r="HY160" s="2"/>
      <c r="HZ160" s="6"/>
      <c r="IA160" s="4"/>
      <c r="IB160" s="8"/>
      <c r="IC160" s="5" t="str">
        <f t="shared" si="528"/>
        <v>NO APLICA</v>
      </c>
      <c r="ID160" s="2"/>
      <c r="IE160" s="6"/>
      <c r="IF160" s="4"/>
      <c r="IG160" s="8"/>
      <c r="IH160" s="5" t="str">
        <f t="shared" si="529"/>
        <v>NO APLICA</v>
      </c>
      <c r="II160" s="6"/>
      <c r="IJ160" s="6"/>
      <c r="IK160" s="4"/>
      <c r="IL160" s="8"/>
      <c r="IM160" s="5" t="str">
        <f t="shared" si="530"/>
        <v>NO APLICA</v>
      </c>
      <c r="IN160" s="2"/>
      <c r="IO160" s="6"/>
      <c r="IP160" s="4"/>
      <c r="IQ160" s="8"/>
      <c r="IR160" s="5" t="str">
        <f t="shared" si="531"/>
        <v>NO APLICA</v>
      </c>
      <c r="IS160" s="2"/>
      <c r="IT160" s="6"/>
      <c r="IU160" s="4"/>
      <c r="IV160" s="8"/>
      <c r="IW160" s="5" t="str">
        <f t="shared" si="532"/>
        <v>NO APLICA</v>
      </c>
      <c r="IX160" s="2"/>
      <c r="IY160" s="6"/>
      <c r="IZ160" s="4"/>
      <c r="JA160" s="8"/>
      <c r="JB160" s="5" t="str">
        <f t="shared" si="533"/>
        <v>NO APLICA</v>
      </c>
      <c r="JC160" s="3" t="s">
        <v>780</v>
      </c>
      <c r="JD160" s="3"/>
      <c r="JE160" s="4"/>
      <c r="JF160" s="8"/>
      <c r="JG160" s="5"/>
      <c r="JH160" s="3" t="s">
        <v>780</v>
      </c>
      <c r="JI160" s="6"/>
      <c r="JJ160" s="6"/>
      <c r="JK160" s="6"/>
      <c r="JL160" s="5"/>
      <c r="JM160" s="6" t="s">
        <v>780</v>
      </c>
      <c r="JN160" s="6"/>
      <c r="JO160" s="6"/>
      <c r="JP160" s="6"/>
      <c r="JQ160" s="5"/>
      <c r="JR160" s="6" t="s">
        <v>780</v>
      </c>
      <c r="JS160" s="6"/>
      <c r="JT160" s="6"/>
      <c r="JU160" s="6"/>
      <c r="JV160" s="5"/>
      <c r="JW160" s="6" t="s">
        <v>780</v>
      </c>
      <c r="JX160" s="5"/>
      <c r="JY160" s="5"/>
      <c r="JZ160" s="5"/>
      <c r="KA160" s="5"/>
      <c r="KB160" s="5"/>
      <c r="KC160" s="3">
        <v>45362</v>
      </c>
      <c r="KD160" s="4">
        <f>DATE(YEAR(KC160)+5,MONTH(KC160),DAY(KC160))</f>
        <v>47188</v>
      </c>
      <c r="KE160" s="8">
        <f ca="1">KD160-TODAY()</f>
        <v>1043</v>
      </c>
      <c r="KF160" s="5" t="str">
        <f t="shared" ca="1" si="534"/>
        <v>VIGENTE</v>
      </c>
      <c r="KG160" s="5"/>
      <c r="KH160" s="2"/>
      <c r="KI160" s="4"/>
      <c r="KJ160" s="8"/>
      <c r="KK160" s="5" t="str">
        <f t="shared" si="559"/>
        <v>NO APLICA</v>
      </c>
      <c r="KL160" s="5"/>
      <c r="KM160" s="2"/>
      <c r="KN160" s="4"/>
      <c r="KO160" s="8"/>
      <c r="KP160" s="5" t="str">
        <f t="shared" si="535"/>
        <v>NO APLICA</v>
      </c>
      <c r="KQ160" s="5"/>
      <c r="KR160" s="3">
        <v>45346</v>
      </c>
      <c r="KS160" s="4">
        <f>DATE(YEAR(KR160)+5,MONTH(KR160),DAY(KR160))</f>
        <v>47173</v>
      </c>
      <c r="KT160" s="8">
        <f ca="1">KS160-TODAY()</f>
        <v>1028</v>
      </c>
      <c r="KU160" s="5" t="str">
        <f t="shared" ca="1" si="560"/>
        <v>VIGENTE</v>
      </c>
      <c r="KV160" s="2"/>
      <c r="KW160" s="6"/>
      <c r="KX160" s="4"/>
      <c r="KY160" s="8"/>
      <c r="KZ160" s="5" t="str">
        <f t="shared" si="565"/>
        <v>NO APLICA</v>
      </c>
      <c r="LA160" s="5"/>
      <c r="LB160" s="4">
        <v>44608</v>
      </c>
      <c r="LC160" s="4">
        <f>DATE(YEAR(LB160)+5,MONTH(LB160),DAY(LB160))</f>
        <v>46434</v>
      </c>
      <c r="LD160" s="8">
        <f ca="1">LC160-TODAY()</f>
        <v>289</v>
      </c>
      <c r="LE160" s="5" t="str">
        <f t="shared" ca="1" si="561"/>
        <v>VIGENTE</v>
      </c>
      <c r="LF160" s="6"/>
      <c r="LG160" s="6"/>
      <c r="LH160" s="4"/>
      <c r="LI160" s="8"/>
      <c r="LJ160" s="5" t="str">
        <f t="shared" si="567"/>
        <v>NO APLICA</v>
      </c>
      <c r="LK160" s="5"/>
      <c r="LL160" s="5"/>
      <c r="LM160" s="4"/>
      <c r="LN160" s="8"/>
      <c r="LO160" s="5" t="str">
        <f t="shared" si="566"/>
        <v>NO APLICA</v>
      </c>
      <c r="LP160" s="3"/>
      <c r="LQ160" s="4">
        <v>44377</v>
      </c>
      <c r="LR160" s="4">
        <f>DATE(YEAR(LQ160)+5,MONTH(LQ160),DAY(LQ160))</f>
        <v>46203</v>
      </c>
      <c r="LS160" s="8">
        <f ca="1">LR160-TODAY()</f>
        <v>58</v>
      </c>
      <c r="LT160" s="5" t="str">
        <f t="shared" ca="1" si="562"/>
        <v>POR VENCER</v>
      </c>
      <c r="LU160" s="6"/>
      <c r="LV160" s="6"/>
      <c r="LW160" s="4"/>
      <c r="LX160" s="8"/>
      <c r="LY160" s="5" t="str">
        <f t="shared" si="563"/>
        <v>NO APLICA</v>
      </c>
      <c r="LZ160" s="6"/>
      <c r="MA160" s="6"/>
      <c r="MB160" s="4"/>
      <c r="MC160" s="8"/>
      <c r="MD160" s="5" t="str">
        <f t="shared" si="564"/>
        <v>NO APLICA</v>
      </c>
      <c r="ME160" s="2"/>
      <c r="MF160" s="2"/>
      <c r="MG160" s="4"/>
      <c r="MH160" s="8"/>
      <c r="MI160" s="5" t="str">
        <f t="shared" si="537"/>
        <v>NO APLICA</v>
      </c>
      <c r="MJ160" s="2"/>
      <c r="MK160" s="2"/>
      <c r="ML160" s="4"/>
      <c r="MM160" s="8"/>
      <c r="MN160" s="5" t="str">
        <f t="shared" si="538"/>
        <v>NO APLICA</v>
      </c>
      <c r="MO160" s="5"/>
      <c r="MP160" s="2"/>
      <c r="MQ160" s="4"/>
      <c r="MR160" s="8"/>
      <c r="MS160" s="5" t="str">
        <f t="shared" si="539"/>
        <v>NO APLICA</v>
      </c>
      <c r="MT160" s="5"/>
      <c r="MU160" s="2"/>
      <c r="MV160" s="4"/>
      <c r="MW160" s="2"/>
      <c r="MX160" s="5" t="str">
        <f t="shared" si="540"/>
        <v>NO APLICA</v>
      </c>
      <c r="MY160" s="2"/>
      <c r="MZ160" s="4">
        <v>44834</v>
      </c>
      <c r="NA160" s="4">
        <f>DATE(YEAR(MZ160)+5,MONTH(MZ160),DAY(MZ160))</f>
        <v>46660</v>
      </c>
      <c r="NB160" s="8">
        <f ca="1">NA160-TODAY()</f>
        <v>515</v>
      </c>
      <c r="NC160" s="5" t="str">
        <f t="shared" ca="1" si="541"/>
        <v>VIGENTE</v>
      </c>
      <c r="ND160" s="2"/>
      <c r="NE160" s="4">
        <v>44835</v>
      </c>
      <c r="NF160" s="4">
        <f>DATE(YEAR(NE160)+5,MONTH(NE160),DAY(NE160))</f>
        <v>46661</v>
      </c>
      <c r="NG160" s="8">
        <f ca="1">NF160-TODAY()</f>
        <v>516</v>
      </c>
      <c r="NH160" s="5" t="str">
        <f t="shared" ca="1" si="542"/>
        <v>VIGENTE</v>
      </c>
      <c r="NI160" s="2"/>
      <c r="NJ160" s="4">
        <v>44751</v>
      </c>
      <c r="NK160" s="4">
        <f>DATE(YEAR(NJ160)+5,MONTH(NJ160),DAY(NJ160))</f>
        <v>46577</v>
      </c>
      <c r="NL160" s="8">
        <f ca="1">NK160-TODAY()</f>
        <v>432</v>
      </c>
      <c r="NM160" s="5" t="str">
        <f t="shared" ca="1" si="543"/>
        <v>VIGENTE</v>
      </c>
      <c r="NN160" s="4"/>
      <c r="NO160" s="4">
        <v>45002</v>
      </c>
      <c r="NP160" s="4">
        <f>DATE(YEAR(NO160)+5,MONTH(NO160),DAY(NO160))</f>
        <v>46829</v>
      </c>
      <c r="NQ160" s="8">
        <f ca="1">NP160-TODAY()</f>
        <v>684</v>
      </c>
      <c r="NR160" s="5" t="str">
        <f t="shared" ca="1" si="544"/>
        <v>VIGENTE</v>
      </c>
      <c r="NS160" s="4"/>
      <c r="NT160" s="4">
        <v>45103</v>
      </c>
      <c r="NU160" s="4">
        <f>DATE(YEAR(NT160)+5,MONTH(NT160),DAY(NT160))</f>
        <v>46930</v>
      </c>
      <c r="NV160" s="8">
        <f ca="1">NU160-TODAY()</f>
        <v>785</v>
      </c>
      <c r="NW160" s="5" t="str">
        <f t="shared" ca="1" si="545"/>
        <v>VIGENTE</v>
      </c>
      <c r="NX160" s="6"/>
      <c r="NY160" s="6"/>
      <c r="NZ160" s="4"/>
      <c r="OA160" s="8"/>
      <c r="OB160" s="5" t="str">
        <f t="shared" si="546"/>
        <v>NO APLICA</v>
      </c>
      <c r="OC160" s="6"/>
      <c r="OD160" s="6"/>
      <c r="OE160" s="6"/>
      <c r="OF160" s="6"/>
      <c r="OG160" s="5" t="str">
        <f t="shared" si="547"/>
        <v>NO APLICA</v>
      </c>
      <c r="OH160" s="2"/>
      <c r="OI160" s="2"/>
      <c r="OJ160" s="4"/>
      <c r="OK160" s="8"/>
      <c r="OL160" s="5" t="str">
        <f t="shared" si="548"/>
        <v>NO APLICA</v>
      </c>
      <c r="OM160" s="6"/>
      <c r="ON160" s="6"/>
      <c r="OO160" s="6"/>
      <c r="OP160" s="6"/>
      <c r="OQ160" s="5" t="str">
        <f t="shared" si="549"/>
        <v>NO APLICA</v>
      </c>
      <c r="OR160" s="6"/>
      <c r="OS160" s="6"/>
      <c r="OT160" s="6"/>
      <c r="OU160" s="6"/>
      <c r="OV160" s="5" t="str">
        <f t="shared" si="550"/>
        <v>NO APLICA</v>
      </c>
      <c r="OW160" s="4"/>
      <c r="OX160" s="4">
        <v>44770</v>
      </c>
      <c r="OY160" s="4">
        <f>DATE(YEAR(OX160)+5,MONTH(OX160),DAY(OX160))</f>
        <v>46596</v>
      </c>
      <c r="OZ160" s="8">
        <f ca="1">OY160-TODAY()</f>
        <v>451</v>
      </c>
      <c r="PA160" s="5" t="str">
        <f t="shared" ca="1" si="551"/>
        <v>VIGENTE</v>
      </c>
      <c r="PB160" s="6"/>
      <c r="PC160" s="6"/>
      <c r="PD160" s="6"/>
      <c r="PE160" s="6"/>
      <c r="PF160" s="5" t="str">
        <f t="shared" si="552"/>
        <v>NO APLICA</v>
      </c>
      <c r="PG160" s="6"/>
      <c r="PH160" s="6"/>
      <c r="PI160" s="6"/>
      <c r="PJ160" s="6"/>
      <c r="PK160" s="5" t="str">
        <f t="shared" si="553"/>
        <v>NO APLICA</v>
      </c>
      <c r="PL160" s="5"/>
      <c r="PM160" s="4">
        <v>44627</v>
      </c>
      <c r="PN160" s="4">
        <f>DATE(YEAR(PM160)+5,MONTH(PM160),DAY(PM160))</f>
        <v>46453</v>
      </c>
      <c r="PO160" s="8">
        <f ca="1">PN160-TODAY()</f>
        <v>308</v>
      </c>
      <c r="PP160" s="5" t="str">
        <f t="shared" ca="1" si="554"/>
        <v>VIGENTE</v>
      </c>
      <c r="PQ160" s="6"/>
      <c r="PR160" s="6"/>
      <c r="PS160" s="6"/>
      <c r="PT160" s="6"/>
      <c r="PU160" s="5" t="str">
        <f t="shared" si="555"/>
        <v>NO APLICA</v>
      </c>
      <c r="PV160" s="5"/>
      <c r="PW160" s="6"/>
      <c r="PX160" s="6"/>
      <c r="PY160" s="6"/>
      <c r="PZ160" s="5" t="str">
        <f t="shared" si="556"/>
        <v>NO APLICA</v>
      </c>
    </row>
    <row r="161" spans="1:442" ht="15.6" hidden="1" thickTop="1" thickBot="1" x14ac:dyDescent="0.35">
      <c r="A161" s="26">
        <v>158</v>
      </c>
      <c r="B161" s="27">
        <v>1077</v>
      </c>
      <c r="C161" s="28" t="s">
        <v>516</v>
      </c>
      <c r="D161" s="29" t="s">
        <v>68</v>
      </c>
      <c r="E161" s="30" t="s">
        <v>164</v>
      </c>
      <c r="F161" s="5"/>
      <c r="G161" s="6"/>
      <c r="H161" s="4"/>
      <c r="I161" s="8"/>
      <c r="J161" s="5" t="str">
        <f t="shared" si="455"/>
        <v>NO APLICA</v>
      </c>
      <c r="K161" s="2"/>
      <c r="L161" s="6"/>
      <c r="M161" s="6"/>
      <c r="N161" s="8"/>
      <c r="O161" s="5" t="str">
        <f t="shared" si="456"/>
        <v>NO APLICA</v>
      </c>
      <c r="P161" s="6"/>
      <c r="Q161" s="6"/>
      <c r="R161" s="4"/>
      <c r="S161" s="8"/>
      <c r="T161" s="5" t="str">
        <f t="shared" si="557"/>
        <v>NO APLICA</v>
      </c>
      <c r="U161" s="5"/>
      <c r="V161" s="2" t="s">
        <v>517</v>
      </c>
      <c r="W161" s="4">
        <v>44829</v>
      </c>
      <c r="X161" s="4">
        <f t="shared" si="587"/>
        <v>46655</v>
      </c>
      <c r="Y161" s="8">
        <f t="shared" ca="1" si="588"/>
        <v>510</v>
      </c>
      <c r="Z161" s="5" t="str">
        <f t="shared" ca="1" si="412"/>
        <v>VIGENTE</v>
      </c>
      <c r="AA161" s="5"/>
      <c r="AB161" s="2" t="s">
        <v>518</v>
      </c>
      <c r="AC161" s="4">
        <v>44831</v>
      </c>
      <c r="AD161" s="4">
        <f>DATE(YEAR(AC161)+5,MONTH(AC161),DAY(AC161))</f>
        <v>46657</v>
      </c>
      <c r="AE161" s="8">
        <f ca="1">AD161-TODAY()</f>
        <v>512</v>
      </c>
      <c r="AF161" s="5" t="str">
        <f t="shared" ca="1" si="457"/>
        <v>VIGENTE</v>
      </c>
      <c r="AG161" s="3"/>
      <c r="AH161" s="3">
        <v>45589</v>
      </c>
      <c r="AI161" s="4">
        <f>DATE(YEAR(AH161)+2,MONTH(AH161),DAY(AH161)-1)</f>
        <v>46318</v>
      </c>
      <c r="AJ161" s="8">
        <f t="shared" ca="1" si="458"/>
        <v>173</v>
      </c>
      <c r="AK161" s="5" t="str">
        <f t="shared" ca="1" si="408"/>
        <v>VIGENTE</v>
      </c>
      <c r="AL161" s="3"/>
      <c r="AM161" s="4">
        <v>45980</v>
      </c>
      <c r="AN161" s="4">
        <f>DATE(YEAR(AM161)+2,MONTH(AM161),DAY(AM161))</f>
        <v>46710</v>
      </c>
      <c r="AO161" s="8">
        <f t="shared" ca="1" si="459"/>
        <v>565</v>
      </c>
      <c r="AP161" s="5" t="str">
        <f t="shared" ca="1" si="460"/>
        <v>VIGENTE</v>
      </c>
      <c r="AQ161" s="3"/>
      <c r="AR161" s="4">
        <v>45904</v>
      </c>
      <c r="AS161" s="4">
        <f>DATE(YEAR(AR161)+2,MONTH(AR161),DAY(AR161))</f>
        <v>46634</v>
      </c>
      <c r="AT161" s="8">
        <f t="shared" ca="1" si="461"/>
        <v>489</v>
      </c>
      <c r="AU161" s="5" t="str">
        <f t="shared" ca="1" si="462"/>
        <v>VIGENTE</v>
      </c>
      <c r="AV161" s="3"/>
      <c r="AW161" s="4">
        <v>46070</v>
      </c>
      <c r="AX161" s="4">
        <f>DATE(YEAR(AW161)+2,MONTH(AW161),DAY(AW161))</f>
        <v>46800</v>
      </c>
      <c r="AY161" s="8">
        <f t="shared" ca="1" si="463"/>
        <v>655</v>
      </c>
      <c r="AZ161" s="5" t="str">
        <f t="shared" ca="1" si="464"/>
        <v>VIGENTE</v>
      </c>
      <c r="BA161" s="3"/>
      <c r="BB161" s="4">
        <v>45717</v>
      </c>
      <c r="BC161" s="4">
        <f>DATE(YEAR(BB161)+2,MONTH(BB161),DAY(BB161)-1)</f>
        <v>46446</v>
      </c>
      <c r="BD161" s="8">
        <f t="shared" ca="1" si="465"/>
        <v>301</v>
      </c>
      <c r="BE161" s="5" t="str">
        <f t="shared" ca="1" si="466"/>
        <v>VIGENTE</v>
      </c>
      <c r="BF161" s="3"/>
      <c r="BG161" s="4">
        <v>45968</v>
      </c>
      <c r="BH161" s="4">
        <f>DATE(YEAR(BG161)+2,MONTH(BG161),DAY(BG161))</f>
        <v>46698</v>
      </c>
      <c r="BI161" s="8">
        <f t="shared" ca="1" si="467"/>
        <v>553</v>
      </c>
      <c r="BJ161" s="5" t="str">
        <f t="shared" ca="1" si="468"/>
        <v>VIGENTE</v>
      </c>
      <c r="BK161" s="3"/>
      <c r="BL161" s="4">
        <v>46035</v>
      </c>
      <c r="BM161" s="4">
        <f>DATE(YEAR(BL161)+2,MONTH(BL161),DAY(BL161))</f>
        <v>46765</v>
      </c>
      <c r="BN161" s="8">
        <f t="shared" ca="1" si="469"/>
        <v>620</v>
      </c>
      <c r="BO161" s="5" t="str">
        <f t="shared" ca="1" si="470"/>
        <v>VIGENTE</v>
      </c>
      <c r="BP161" s="3"/>
      <c r="BQ161" s="39">
        <v>46069</v>
      </c>
      <c r="BR161" s="4">
        <f>DATE(YEAR(BQ161)+2,MONTH(BQ161),DAY(BQ161))</f>
        <v>46799</v>
      </c>
      <c r="BS161" s="8">
        <f t="shared" ca="1" si="471"/>
        <v>654</v>
      </c>
      <c r="BT161" s="5" t="str">
        <f t="shared" ca="1" si="472"/>
        <v>VIGENTE</v>
      </c>
      <c r="BU161" s="3"/>
      <c r="BV161" s="4">
        <v>46116</v>
      </c>
      <c r="BW161" s="4">
        <f t="shared" si="585"/>
        <v>46846</v>
      </c>
      <c r="BX161" s="8">
        <f t="shared" ca="1" si="473"/>
        <v>701</v>
      </c>
      <c r="BY161" s="5" t="str">
        <f t="shared" ca="1" si="474"/>
        <v>VIGENTE</v>
      </c>
      <c r="BZ161" s="3"/>
      <c r="CA161" s="4">
        <v>45954</v>
      </c>
      <c r="CB161" s="4">
        <f t="shared" si="589"/>
        <v>46684</v>
      </c>
      <c r="CC161" s="8">
        <f t="shared" ca="1" si="475"/>
        <v>539</v>
      </c>
      <c r="CD161" s="5" t="str">
        <f t="shared" ca="1" si="476"/>
        <v>VIGENTE</v>
      </c>
      <c r="CE161" s="6"/>
      <c r="CF161" s="4">
        <v>45262</v>
      </c>
      <c r="CG161" s="4">
        <f t="shared" si="590"/>
        <v>46723</v>
      </c>
      <c r="CH161" s="8">
        <f t="shared" ca="1" si="591"/>
        <v>578</v>
      </c>
      <c r="CI161" s="5" t="str">
        <f t="shared" ca="1" si="573"/>
        <v>VIGENTE</v>
      </c>
      <c r="CJ161" s="4"/>
      <c r="CK161" s="4">
        <v>46134</v>
      </c>
      <c r="CL161" s="4">
        <f>DATE(YEAR(CK161)+2,MONTH(CK161),DAY(CK161)-1)</f>
        <v>46864</v>
      </c>
      <c r="CM161" s="8">
        <f t="shared" ca="1" si="477"/>
        <v>719</v>
      </c>
      <c r="CN161" s="5" t="str">
        <f t="shared" ca="1" si="478"/>
        <v>VIGENTE</v>
      </c>
      <c r="CO161" s="3"/>
      <c r="CP161" s="39">
        <v>45517</v>
      </c>
      <c r="CQ161" s="4">
        <f t="shared" si="586"/>
        <v>46246</v>
      </c>
      <c r="CR161" s="8">
        <f t="shared" ca="1" si="479"/>
        <v>101</v>
      </c>
      <c r="CS161" s="5" t="str">
        <f t="shared" ca="1" si="480"/>
        <v>VIGENTE</v>
      </c>
      <c r="CT161" s="3"/>
      <c r="CU161" s="4">
        <v>45631</v>
      </c>
      <c r="CV161" s="4">
        <f>DATE(YEAR(CU161)+2,MONTH(CU161),DAY(CU161)-1)</f>
        <v>46360</v>
      </c>
      <c r="CW161" s="8">
        <f t="shared" ca="1" si="481"/>
        <v>215</v>
      </c>
      <c r="CX161" s="5" t="str">
        <f t="shared" ca="1" si="482"/>
        <v>VIGENTE</v>
      </c>
      <c r="CY161" s="3"/>
      <c r="CZ161" s="4">
        <v>45665</v>
      </c>
      <c r="DA161" s="4">
        <f>DATE(YEAR(CZ161)+2,MONTH(CZ161),DAY(CZ161)-1)</f>
        <v>46394</v>
      </c>
      <c r="DB161" s="8">
        <f t="shared" ca="1" si="483"/>
        <v>249</v>
      </c>
      <c r="DC161" s="5" t="str">
        <f t="shared" ca="1" si="484"/>
        <v>VIGENTE</v>
      </c>
      <c r="DD161" s="3"/>
      <c r="DE161" s="39">
        <v>45689</v>
      </c>
      <c r="DF161" s="4">
        <f>DATE(YEAR(DE161)+2,MONTH(DE161),DAY(DE161)-1)</f>
        <v>46418</v>
      </c>
      <c r="DG161" s="8">
        <f t="shared" ca="1" si="485"/>
        <v>273</v>
      </c>
      <c r="DH161" s="5" t="str">
        <f t="shared" ca="1" si="486"/>
        <v>VIGENTE</v>
      </c>
      <c r="DI161" s="3"/>
      <c r="DJ161" s="39">
        <v>45734</v>
      </c>
      <c r="DK161" s="4">
        <f>DATE(YEAR(DJ161)+2,MONTH(DJ161),DAY(DJ161)-1)</f>
        <v>46463</v>
      </c>
      <c r="DL161" s="8">
        <f t="shared" ca="1" si="487"/>
        <v>318</v>
      </c>
      <c r="DM161" s="5" t="str">
        <f t="shared" ca="1" si="488"/>
        <v>VIGENTE</v>
      </c>
      <c r="DN161" s="3"/>
      <c r="DO161" s="4">
        <v>45982</v>
      </c>
      <c r="DP161" s="4">
        <f>DATE(YEAR(DO161)+2,MONTH(DO161),DAY(DO161))</f>
        <v>46712</v>
      </c>
      <c r="DQ161" s="8">
        <f t="shared" ca="1" si="489"/>
        <v>567</v>
      </c>
      <c r="DR161" s="5" t="str">
        <f t="shared" ca="1" si="490"/>
        <v>VIGENTE</v>
      </c>
      <c r="DS161" s="3"/>
      <c r="DT161" s="4">
        <v>45728</v>
      </c>
      <c r="DU161" s="4">
        <f>DATE(YEAR(DT161)+2,MONTH(DT161),DAY(DT161)-1)</f>
        <v>46457</v>
      </c>
      <c r="DV161" s="8">
        <f t="shared" ca="1" si="491"/>
        <v>312</v>
      </c>
      <c r="DW161" s="5" t="str">
        <f t="shared" ca="1" si="492"/>
        <v>VIGENTE</v>
      </c>
      <c r="DX161" s="4"/>
      <c r="DY161" s="4">
        <v>45751</v>
      </c>
      <c r="DZ161" s="4">
        <f>DATE(YEAR(DY161)+2,MONTH(DY161),DAY(DY161)-1)</f>
        <v>46480</v>
      </c>
      <c r="EA161" s="8">
        <f t="shared" ca="1" si="493"/>
        <v>335</v>
      </c>
      <c r="EB161" s="5" t="str">
        <f t="shared" ca="1" si="494"/>
        <v>VIGENTE</v>
      </c>
      <c r="EC161" s="4"/>
      <c r="ED161" s="39">
        <v>45674</v>
      </c>
      <c r="EE161" s="4">
        <f>DATE(YEAR(ED161)+2,MONTH(ED161),DAY(ED161)-1)</f>
        <v>46403</v>
      </c>
      <c r="EF161" s="8">
        <f t="shared" ca="1" si="495"/>
        <v>258</v>
      </c>
      <c r="EG161" s="5" t="str">
        <f t="shared" ca="1" si="496"/>
        <v>VIGENTE</v>
      </c>
      <c r="EH161" s="4"/>
      <c r="EI161" s="4">
        <v>46115</v>
      </c>
      <c r="EJ161" s="4">
        <f t="shared" si="558"/>
        <v>46480</v>
      </c>
      <c r="EK161" s="8">
        <f t="shared" ca="1" si="497"/>
        <v>335</v>
      </c>
      <c r="EL161" s="5" t="str">
        <f t="shared" ca="1" si="498"/>
        <v>VIGENTE</v>
      </c>
      <c r="EM161" s="4"/>
      <c r="EN161" s="4">
        <v>45737</v>
      </c>
      <c r="EO161" s="4">
        <f>DATE(YEAR(EN161)+2,MONTH(EN161),DAY(EN161)-1)</f>
        <v>46466</v>
      </c>
      <c r="EP161" s="8">
        <f t="shared" ca="1" si="499"/>
        <v>321</v>
      </c>
      <c r="EQ161" s="5" t="str">
        <f t="shared" ca="1" si="500"/>
        <v>VIGENTE</v>
      </c>
      <c r="ER161" s="4"/>
      <c r="ES161" s="39">
        <v>45677</v>
      </c>
      <c r="ET161" s="4">
        <f>DATE(YEAR(ES161)+2,MONTH(ES161),DAY(ES161)-1)</f>
        <v>46406</v>
      </c>
      <c r="EU161" s="8">
        <f t="shared" ca="1" si="501"/>
        <v>261</v>
      </c>
      <c r="EV161" s="5" t="str">
        <f t="shared" ca="1" si="502"/>
        <v>VIGENTE</v>
      </c>
      <c r="EW161" s="3"/>
      <c r="EX161" s="4">
        <v>45964</v>
      </c>
      <c r="EY161" s="4">
        <f t="shared" si="592"/>
        <v>46694</v>
      </c>
      <c r="EZ161" s="8">
        <f t="shared" ca="1" si="503"/>
        <v>549</v>
      </c>
      <c r="FA161" s="5" t="str">
        <f t="shared" ca="1" si="504"/>
        <v>VIGENTE</v>
      </c>
      <c r="FB161" s="3"/>
      <c r="FC161" s="4">
        <v>45931</v>
      </c>
      <c r="FD161" s="4">
        <f t="shared" si="593"/>
        <v>46661</v>
      </c>
      <c r="FE161" s="8">
        <f t="shared" ca="1" si="505"/>
        <v>516</v>
      </c>
      <c r="FF161" s="5" t="str">
        <f t="shared" ca="1" si="506"/>
        <v>VIGENTE</v>
      </c>
      <c r="FG161" s="3"/>
      <c r="FH161" s="4">
        <v>45969</v>
      </c>
      <c r="FI161" s="4">
        <f t="shared" si="594"/>
        <v>46699</v>
      </c>
      <c r="FJ161" s="8">
        <f t="shared" ca="1" si="507"/>
        <v>554</v>
      </c>
      <c r="FK161" s="5" t="str">
        <f t="shared" ca="1" si="508"/>
        <v>VIGENTE</v>
      </c>
      <c r="FL161" s="3"/>
      <c r="FM161" s="39">
        <v>45670</v>
      </c>
      <c r="FN161" s="4">
        <f>DATE(YEAR(FM161)+2,MONTH(FM161),DAY(FM161)-1)</f>
        <v>46399</v>
      </c>
      <c r="FO161" s="8">
        <f t="shared" ca="1" si="509"/>
        <v>254</v>
      </c>
      <c r="FP161" s="5" t="str">
        <f t="shared" ca="1" si="510"/>
        <v>VIGENTE</v>
      </c>
      <c r="FQ161" s="4"/>
      <c r="FR161" s="39">
        <v>45724</v>
      </c>
      <c r="FS161" s="4">
        <f>DATE(YEAR(FR161)+2,MONTH(FR161),DAY(FR161)-1)</f>
        <v>46453</v>
      </c>
      <c r="FT161" s="8">
        <f t="shared" ca="1" si="511"/>
        <v>308</v>
      </c>
      <c r="FU161" s="5" t="str">
        <f t="shared" ca="1" si="512"/>
        <v>VIGENTE</v>
      </c>
      <c r="FV161" s="3"/>
      <c r="FW161" s="4">
        <v>46014</v>
      </c>
      <c r="FX161" s="4">
        <f>DATE(YEAR(FW161)+2,MONTH(FW161),DAY(FW161))</f>
        <v>46744</v>
      </c>
      <c r="FY161" s="8">
        <f t="shared" ca="1" si="513"/>
        <v>599</v>
      </c>
      <c r="FZ161" s="5" t="str">
        <f t="shared" ca="1" si="514"/>
        <v>VIGENTE</v>
      </c>
      <c r="GA161" s="4"/>
      <c r="GB161" s="4">
        <v>45560</v>
      </c>
      <c r="GC161" s="4">
        <f>DATE(YEAR(GB161)+2,MONTH(GB161),DAY(GB161)-1)</f>
        <v>46289</v>
      </c>
      <c r="GD161" s="8">
        <f t="shared" ca="1" si="515"/>
        <v>144</v>
      </c>
      <c r="GE161" s="5" t="str">
        <f t="shared" ca="1" si="516"/>
        <v>VIGENTE</v>
      </c>
      <c r="GF161" s="3"/>
      <c r="GG161" s="4">
        <v>45752</v>
      </c>
      <c r="GH161" s="4">
        <f>DATE(YEAR(GG161)+2,MONTH(GG161),DAY(GG161)-1)</f>
        <v>46481</v>
      </c>
      <c r="GI161" s="8">
        <f t="shared" ca="1" si="517"/>
        <v>336</v>
      </c>
      <c r="GJ161" s="5" t="str">
        <f t="shared" ca="1" si="518"/>
        <v>VIGENTE</v>
      </c>
      <c r="GK161" s="3"/>
      <c r="GL161" s="4">
        <v>45958</v>
      </c>
      <c r="GM161" s="4">
        <f>DATE(YEAR(GL161)+2,MONTH(GL161),DAY(GL161))</f>
        <v>46688</v>
      </c>
      <c r="GN161" s="8">
        <f t="shared" ca="1" si="519"/>
        <v>543</v>
      </c>
      <c r="GO161" s="5" t="str">
        <f t="shared" ca="1" si="520"/>
        <v>VIGENTE</v>
      </c>
      <c r="GP161" s="4"/>
      <c r="GQ161" s="4">
        <v>44912</v>
      </c>
      <c r="GR161" s="4">
        <f t="shared" si="521"/>
        <v>46738</v>
      </c>
      <c r="GS161" s="8">
        <f t="shared" ca="1" si="405"/>
        <v>593</v>
      </c>
      <c r="GT161" s="5" t="str">
        <f t="shared" ca="1" si="419"/>
        <v>VIGENTE</v>
      </c>
      <c r="GU161" s="3"/>
      <c r="GV161" s="4">
        <v>44910</v>
      </c>
      <c r="GW161" s="4">
        <f t="shared" si="522"/>
        <v>46736</v>
      </c>
      <c r="GX161" s="8">
        <f t="shared" ca="1" si="523"/>
        <v>591</v>
      </c>
      <c r="GY161" s="5" t="str">
        <f t="shared" ca="1" si="426"/>
        <v>VIGENTE</v>
      </c>
      <c r="GZ161" s="2"/>
      <c r="HA161" s="4">
        <v>44911</v>
      </c>
      <c r="HB161" s="4">
        <f t="shared" si="524"/>
        <v>46737</v>
      </c>
      <c r="HC161" s="8">
        <f t="shared" ca="1" si="525"/>
        <v>592</v>
      </c>
      <c r="HD161" s="5" t="str">
        <f t="shared" ca="1" si="421"/>
        <v>VIGENTE</v>
      </c>
      <c r="HE161" s="6"/>
      <c r="HF161" s="4">
        <v>45020</v>
      </c>
      <c r="HG161" s="4">
        <f t="shared" si="583"/>
        <v>46847</v>
      </c>
      <c r="HH161" s="8">
        <f t="shared" ca="1" si="584"/>
        <v>702</v>
      </c>
      <c r="HI161" s="5" t="str">
        <f t="shared" ca="1" si="427"/>
        <v>VIGENTE</v>
      </c>
      <c r="HJ161" s="2"/>
      <c r="HK161" s="4">
        <v>45341</v>
      </c>
      <c r="HL161" s="4">
        <f>DATE(YEAR(HK161)+5,MONTH(HK161),DAY(HK161))</f>
        <v>47168</v>
      </c>
      <c r="HM161" s="8">
        <f ca="1">HL161-TODAY()</f>
        <v>1023</v>
      </c>
      <c r="HN161" s="5" t="str">
        <f t="shared" ca="1" si="444"/>
        <v>VIGENTE</v>
      </c>
      <c r="HO161" s="2"/>
      <c r="HP161" s="3">
        <v>45374</v>
      </c>
      <c r="HQ161" s="4">
        <f>DATE(YEAR(HP161)+5,MONTH(HP161),DAY(HP161))</f>
        <v>47200</v>
      </c>
      <c r="HR161" s="8">
        <f ca="1">HQ161-TODAY()</f>
        <v>1055</v>
      </c>
      <c r="HS161" s="5" t="str">
        <f t="shared" ca="1" si="526"/>
        <v>VIGENTE</v>
      </c>
      <c r="HT161" s="3"/>
      <c r="HU161" s="4">
        <v>45469</v>
      </c>
      <c r="HV161" s="4">
        <f>DATE(YEAR(HU161)+5,MONTH(HU161),DAY(HU161))</f>
        <v>47295</v>
      </c>
      <c r="HW161" s="8">
        <f ca="1">HV161-TODAY()</f>
        <v>1150</v>
      </c>
      <c r="HX161" s="5" t="str">
        <f t="shared" ca="1" si="527"/>
        <v>VIGENTE</v>
      </c>
      <c r="HY161" s="3"/>
      <c r="HZ161" s="4">
        <v>45447</v>
      </c>
      <c r="IA161" s="4">
        <f>DATE(YEAR(HZ161)+5,MONTH(HZ161),DAY(HZ161))</f>
        <v>47273</v>
      </c>
      <c r="IB161" s="8">
        <f ca="1">IA161-TODAY()</f>
        <v>1128</v>
      </c>
      <c r="IC161" s="5" t="str">
        <f t="shared" ca="1" si="528"/>
        <v>VIGENTE</v>
      </c>
      <c r="ID161" s="3"/>
      <c r="IE161" s="4">
        <v>45470</v>
      </c>
      <c r="IF161" s="4">
        <f>DATE(YEAR(IE161)+5,MONTH(IE161),DAY(IE161))</f>
        <v>47296</v>
      </c>
      <c r="IG161" s="8">
        <f ca="1">IF161-TODAY()</f>
        <v>1151</v>
      </c>
      <c r="IH161" s="5" t="str">
        <f t="shared" ca="1" si="529"/>
        <v>VIGENTE</v>
      </c>
      <c r="II161" s="4"/>
      <c r="IJ161" s="4">
        <v>45452</v>
      </c>
      <c r="IK161" s="4">
        <f>DATE(YEAR(IJ161)+5,MONTH(IJ161),DAY(IJ161))</f>
        <v>47278</v>
      </c>
      <c r="IL161" s="8">
        <f ca="1">IK161-TODAY()</f>
        <v>1133</v>
      </c>
      <c r="IM161" s="5" t="str">
        <f t="shared" ca="1" si="530"/>
        <v>VIGENTE</v>
      </c>
      <c r="IN161" s="3"/>
      <c r="IO161" s="4">
        <v>45453</v>
      </c>
      <c r="IP161" s="4">
        <f>DATE(YEAR(IO161)+5,MONTH(IO161),DAY(IO161))</f>
        <v>47279</v>
      </c>
      <c r="IQ161" s="8">
        <f ca="1">IP161-TODAY()</f>
        <v>1134</v>
      </c>
      <c r="IR161" s="5" t="str">
        <f t="shared" ca="1" si="531"/>
        <v>VIGENTE</v>
      </c>
      <c r="IS161" s="3"/>
      <c r="IT161" s="4">
        <v>45288</v>
      </c>
      <c r="IU161" s="4">
        <f>DATE(YEAR(IT161)+5,MONTH(IT161),DAY(IT161))</f>
        <v>47115</v>
      </c>
      <c r="IV161" s="8">
        <f ca="1">IU161-TODAY()</f>
        <v>970</v>
      </c>
      <c r="IW161" s="5" t="str">
        <f t="shared" ca="1" si="532"/>
        <v>VIGENTE</v>
      </c>
      <c r="IX161" s="3"/>
      <c r="IY161" s="4">
        <v>45289</v>
      </c>
      <c r="IZ161" s="4">
        <f>DATE(YEAR(IY161)+5,MONTH(IY161),DAY(IY161))</f>
        <v>47116</v>
      </c>
      <c r="JA161" s="8">
        <f ca="1">IZ161-TODAY()</f>
        <v>971</v>
      </c>
      <c r="JB161" s="5" t="str">
        <f t="shared" ca="1" si="533"/>
        <v>VIGENTE</v>
      </c>
      <c r="JC161" s="3" t="s">
        <v>780</v>
      </c>
      <c r="JD161" s="3"/>
      <c r="JE161" s="4"/>
      <c r="JF161" s="8"/>
      <c r="JG161" s="5"/>
      <c r="JH161" s="3" t="s">
        <v>780</v>
      </c>
      <c r="JI161" s="6"/>
      <c r="JJ161" s="6"/>
      <c r="JK161" s="6"/>
      <c r="JL161" s="5"/>
      <c r="JM161" s="6" t="s">
        <v>780</v>
      </c>
      <c r="JN161" s="6"/>
      <c r="JO161" s="6"/>
      <c r="JP161" s="6"/>
      <c r="JQ161" s="5"/>
      <c r="JR161" s="6" t="s">
        <v>780</v>
      </c>
      <c r="JS161" s="6"/>
      <c r="JT161" s="6"/>
      <c r="JU161" s="6"/>
      <c r="JV161" s="5"/>
      <c r="JW161" s="6" t="s">
        <v>780</v>
      </c>
      <c r="JX161" s="3"/>
      <c r="JY161" s="4"/>
      <c r="JZ161" s="8"/>
      <c r="KA161" s="5"/>
      <c r="KB161" s="5"/>
      <c r="KC161" s="2"/>
      <c r="KD161" s="4"/>
      <c r="KE161" s="8"/>
      <c r="KF161" s="5" t="str">
        <f t="shared" si="534"/>
        <v>NO APLICA</v>
      </c>
      <c r="KG161" s="5"/>
      <c r="KH161" s="2"/>
      <c r="KI161" s="4"/>
      <c r="KJ161" s="8"/>
      <c r="KK161" s="5" t="str">
        <f t="shared" si="559"/>
        <v>NO APLICA</v>
      </c>
      <c r="KL161" s="5"/>
      <c r="KM161" s="2"/>
      <c r="KN161" s="4"/>
      <c r="KO161" s="8"/>
      <c r="KP161" s="5" t="str">
        <f t="shared" si="535"/>
        <v>NO APLICA</v>
      </c>
      <c r="KQ161" s="5"/>
      <c r="KR161" s="2"/>
      <c r="KS161" s="4"/>
      <c r="KT161" s="8"/>
      <c r="KU161" s="5" t="str">
        <f t="shared" si="560"/>
        <v>NO APLICA</v>
      </c>
      <c r="KV161" s="3"/>
      <c r="KW161" s="4">
        <v>44656</v>
      </c>
      <c r="KX161" s="4">
        <f>DATE(YEAR(KW161)+5,MONTH(KW161),DAY(KW161))</f>
        <v>46482</v>
      </c>
      <c r="KY161" s="8">
        <f ca="1">KX161-TODAY()</f>
        <v>337</v>
      </c>
      <c r="KZ161" s="5" t="str">
        <f t="shared" ca="1" si="565"/>
        <v>VIGENTE</v>
      </c>
      <c r="LA161" s="5"/>
      <c r="LB161" s="4">
        <v>44603</v>
      </c>
      <c r="LC161" s="4">
        <f>DATE(YEAR(LB161)+5,MONTH(LB161),DAY(LB161))</f>
        <v>46429</v>
      </c>
      <c r="LD161" s="8">
        <f ca="1">LC161-TODAY()</f>
        <v>284</v>
      </c>
      <c r="LE161" s="5" t="str">
        <f t="shared" ca="1" si="561"/>
        <v>VIGENTE</v>
      </c>
      <c r="LF161" s="4"/>
      <c r="LG161" s="4"/>
      <c r="LH161" s="4"/>
      <c r="LI161" s="8"/>
      <c r="LJ161" s="5" t="str">
        <f t="shared" si="567"/>
        <v>NO APLICA</v>
      </c>
      <c r="LK161" s="5"/>
      <c r="LL161" s="5"/>
      <c r="LM161" s="4"/>
      <c r="LN161" s="8"/>
      <c r="LO161" s="5" t="str">
        <f t="shared" si="566"/>
        <v>NO APLICA</v>
      </c>
      <c r="LP161" s="2"/>
      <c r="LQ161" s="6"/>
      <c r="LR161" s="4"/>
      <c r="LS161" s="8"/>
      <c r="LT161" s="5" t="str">
        <f t="shared" si="562"/>
        <v>NO APLICA</v>
      </c>
      <c r="LU161" s="6"/>
      <c r="LV161" s="6"/>
      <c r="LW161" s="4"/>
      <c r="LX161" s="8"/>
      <c r="LY161" s="5" t="str">
        <f t="shared" si="563"/>
        <v>NO APLICA</v>
      </c>
      <c r="LZ161" s="6"/>
      <c r="MA161" s="6"/>
      <c r="MB161" s="4"/>
      <c r="MC161" s="8"/>
      <c r="MD161" s="5" t="str">
        <f t="shared" si="564"/>
        <v>NO APLICA</v>
      </c>
      <c r="ME161" s="2"/>
      <c r="MF161" s="2"/>
      <c r="MG161" s="4"/>
      <c r="MH161" s="8"/>
      <c r="MI161" s="5" t="str">
        <f t="shared" si="537"/>
        <v>NO APLICA</v>
      </c>
      <c r="MJ161" s="2"/>
      <c r="MK161" s="2"/>
      <c r="ML161" s="4"/>
      <c r="MM161" s="8"/>
      <c r="MN161" s="5" t="str">
        <f t="shared" si="538"/>
        <v>NO APLICA</v>
      </c>
      <c r="MO161" s="5"/>
      <c r="MP161" s="2"/>
      <c r="MQ161" s="4"/>
      <c r="MR161" s="8"/>
      <c r="MS161" s="5" t="str">
        <f t="shared" si="539"/>
        <v>NO APLICA</v>
      </c>
      <c r="MT161" s="5"/>
      <c r="MU161" s="2"/>
      <c r="MV161" s="4"/>
      <c r="MW161" s="2"/>
      <c r="MX161" s="5" t="str">
        <f t="shared" si="540"/>
        <v>NO APLICA</v>
      </c>
      <c r="MY161" s="2"/>
      <c r="MZ161" s="6"/>
      <c r="NA161" s="4"/>
      <c r="NB161" s="8"/>
      <c r="NC161" s="5" t="str">
        <f t="shared" si="541"/>
        <v>NO APLICA</v>
      </c>
      <c r="ND161" s="2"/>
      <c r="NE161" s="6"/>
      <c r="NF161" s="4"/>
      <c r="NG161" s="8"/>
      <c r="NH161" s="5" t="str">
        <f t="shared" si="542"/>
        <v>NO APLICA</v>
      </c>
      <c r="NI161" s="2"/>
      <c r="NJ161" s="6"/>
      <c r="NK161" s="4"/>
      <c r="NL161" s="8"/>
      <c r="NM161" s="5" t="str">
        <f t="shared" si="543"/>
        <v>NO APLICA</v>
      </c>
      <c r="NN161" s="2"/>
      <c r="NO161" s="2"/>
      <c r="NP161" s="4"/>
      <c r="NQ161" s="8"/>
      <c r="NR161" s="5" t="str">
        <f t="shared" si="544"/>
        <v>NO APLICA</v>
      </c>
      <c r="NS161" s="2"/>
      <c r="NT161" s="2"/>
      <c r="NU161" s="4"/>
      <c r="NV161" s="2"/>
      <c r="NW161" s="5" t="str">
        <f t="shared" si="545"/>
        <v>NO APLICA</v>
      </c>
      <c r="NX161" s="6"/>
      <c r="NY161" s="6"/>
      <c r="NZ161" s="4"/>
      <c r="OA161" s="8"/>
      <c r="OB161" s="5" t="str">
        <f t="shared" si="546"/>
        <v>NO APLICA</v>
      </c>
      <c r="OC161" s="6"/>
      <c r="OD161" s="6"/>
      <c r="OE161" s="6"/>
      <c r="OF161" s="6"/>
      <c r="OG161" s="5" t="str">
        <f t="shared" si="547"/>
        <v>NO APLICA</v>
      </c>
      <c r="OH161" s="2"/>
      <c r="OI161" s="2"/>
      <c r="OJ161" s="4"/>
      <c r="OK161" s="8"/>
      <c r="OL161" s="5" t="str">
        <f t="shared" si="548"/>
        <v>NO APLICA</v>
      </c>
      <c r="OM161" s="6"/>
      <c r="ON161" s="6"/>
      <c r="OO161" s="6"/>
      <c r="OP161" s="6"/>
      <c r="OQ161" s="5" t="str">
        <f t="shared" si="549"/>
        <v>NO APLICA</v>
      </c>
      <c r="OR161" s="6"/>
      <c r="OS161" s="6"/>
      <c r="OT161" s="6"/>
      <c r="OU161" s="6"/>
      <c r="OV161" s="5" t="str">
        <f t="shared" si="550"/>
        <v>NO APLICA</v>
      </c>
      <c r="OW161" s="6"/>
      <c r="OX161" s="6"/>
      <c r="OY161" s="6"/>
      <c r="OZ161" s="6"/>
      <c r="PA161" s="5" t="str">
        <f t="shared" si="551"/>
        <v>NO APLICA</v>
      </c>
      <c r="PB161" s="6"/>
      <c r="PC161" s="6"/>
      <c r="PD161" s="6"/>
      <c r="PE161" s="6"/>
      <c r="PF161" s="5" t="str">
        <f t="shared" si="552"/>
        <v>NO APLICA</v>
      </c>
      <c r="PG161" s="6"/>
      <c r="PH161" s="6"/>
      <c r="PI161" s="6"/>
      <c r="PJ161" s="6"/>
      <c r="PK161" s="5" t="str">
        <f t="shared" si="553"/>
        <v>NO APLICA</v>
      </c>
      <c r="PL161" s="5"/>
      <c r="PM161" s="6"/>
      <c r="PN161" s="4"/>
      <c r="PO161" s="8"/>
      <c r="PP161" s="5" t="str">
        <f t="shared" si="554"/>
        <v>NO APLICA</v>
      </c>
      <c r="PQ161" s="6"/>
      <c r="PR161" s="6"/>
      <c r="PS161" s="6"/>
      <c r="PT161" s="6"/>
      <c r="PU161" s="5" t="str">
        <f t="shared" si="555"/>
        <v>NO APLICA</v>
      </c>
      <c r="PV161" s="5"/>
      <c r="PW161" s="6"/>
      <c r="PX161" s="6"/>
      <c r="PY161" s="6"/>
      <c r="PZ161" s="5" t="str">
        <f t="shared" si="556"/>
        <v>NO APLICA</v>
      </c>
    </row>
    <row r="162" spans="1:442" ht="15.6" hidden="1" thickTop="1" thickBot="1" x14ac:dyDescent="0.35">
      <c r="A162" s="26">
        <v>159</v>
      </c>
      <c r="B162" s="27">
        <v>562</v>
      </c>
      <c r="C162" s="28" t="s">
        <v>766</v>
      </c>
      <c r="D162" s="29" t="s">
        <v>64</v>
      </c>
      <c r="E162" s="30" t="s">
        <v>519</v>
      </c>
      <c r="F162" s="5"/>
      <c r="G162" s="6"/>
      <c r="H162" s="4"/>
      <c r="I162" s="8"/>
      <c r="J162" s="5" t="str">
        <f t="shared" si="455"/>
        <v>NO APLICA</v>
      </c>
      <c r="K162" s="5"/>
      <c r="L162" s="6"/>
      <c r="M162" s="6"/>
      <c r="N162" s="8"/>
      <c r="O162" s="5" t="str">
        <f t="shared" si="456"/>
        <v>NO APLICA</v>
      </c>
      <c r="P162" s="4"/>
      <c r="Q162" s="4">
        <v>45590</v>
      </c>
      <c r="R162" s="4">
        <f>DATE(YEAR(Q162)+2,MONTH(Q162),DAY(Q162)-1)</f>
        <v>46319</v>
      </c>
      <c r="S162" s="8">
        <f ca="1">R162-TODAY()</f>
        <v>174</v>
      </c>
      <c r="T162" s="5" t="str">
        <f t="shared" ca="1" si="557"/>
        <v>VIGENTE</v>
      </c>
      <c r="U162" s="5"/>
      <c r="V162" s="2" t="s">
        <v>520</v>
      </c>
      <c r="W162" s="4">
        <v>45309</v>
      </c>
      <c r="X162" s="4">
        <f t="shared" si="587"/>
        <v>47136</v>
      </c>
      <c r="Y162" s="8">
        <f t="shared" ca="1" si="588"/>
        <v>991</v>
      </c>
      <c r="Z162" s="5" t="str">
        <f t="shared" ca="1" si="412"/>
        <v>VIGENTE</v>
      </c>
      <c r="AA162" s="5"/>
      <c r="AB162" s="22" t="s">
        <v>521</v>
      </c>
      <c r="AC162" s="4">
        <v>45190</v>
      </c>
      <c r="AD162" s="4">
        <f>DATE(YEAR(AC162)+5,MONTH(AC162),DAY(AC162))</f>
        <v>47017</v>
      </c>
      <c r="AE162" s="8">
        <f ca="1">AD162-TODAY()</f>
        <v>872</v>
      </c>
      <c r="AF162" s="5" t="str">
        <f t="shared" ca="1" si="457"/>
        <v>VIGENTE</v>
      </c>
      <c r="AG162" s="3"/>
      <c r="AH162" s="4">
        <v>45902</v>
      </c>
      <c r="AI162" s="4">
        <f>DATE(YEAR(AH162)+2,MONTH(AH162),DAY(AH162))</f>
        <v>46632</v>
      </c>
      <c r="AJ162" s="8">
        <f t="shared" ca="1" si="458"/>
        <v>487</v>
      </c>
      <c r="AK162" s="5" t="str">
        <f t="shared" ca="1" si="408"/>
        <v>VIGENTE</v>
      </c>
      <c r="AL162" s="3"/>
      <c r="AM162" s="4">
        <v>45710</v>
      </c>
      <c r="AN162" s="4">
        <f>DATE(YEAR(AM162)+2,MONTH(AM162),DAY(AM162)-1)</f>
        <v>46439</v>
      </c>
      <c r="AO162" s="8">
        <f t="shared" ca="1" si="459"/>
        <v>294</v>
      </c>
      <c r="AP162" s="5" t="str">
        <f t="shared" ca="1" si="460"/>
        <v>VIGENTE</v>
      </c>
      <c r="AQ162" s="3"/>
      <c r="AR162" s="4">
        <v>45591</v>
      </c>
      <c r="AS162" s="4">
        <f>DATE(YEAR(AR162)+2,MONTH(AR162),DAY(AR162)-1)</f>
        <v>46320</v>
      </c>
      <c r="AT162" s="8">
        <f t="shared" ca="1" si="461"/>
        <v>175</v>
      </c>
      <c r="AU162" s="5" t="str">
        <f t="shared" ca="1" si="462"/>
        <v>VIGENTE</v>
      </c>
      <c r="AV162" s="3"/>
      <c r="AW162" s="4">
        <v>45702</v>
      </c>
      <c r="AX162" s="4">
        <f>DATE(YEAR(AW162)+2,MONTH(AW162),DAY(AW162)-1)</f>
        <v>46431</v>
      </c>
      <c r="AY162" s="8">
        <f t="shared" ca="1" si="463"/>
        <v>286</v>
      </c>
      <c r="AZ162" s="5" t="str">
        <f t="shared" ca="1" si="464"/>
        <v>VIGENTE</v>
      </c>
      <c r="BA162" s="3"/>
      <c r="BB162" s="4">
        <v>45603</v>
      </c>
      <c r="BC162" s="4">
        <f>DATE(YEAR(BB162)+2,MONTH(BB162),DAY(BB162)-1)</f>
        <v>46332</v>
      </c>
      <c r="BD162" s="8">
        <f t="shared" ca="1" si="465"/>
        <v>187</v>
      </c>
      <c r="BE162" s="5" t="str">
        <f t="shared" ca="1" si="466"/>
        <v>VIGENTE</v>
      </c>
      <c r="BF162" s="3"/>
      <c r="BG162" s="4">
        <v>45698</v>
      </c>
      <c r="BH162" s="4">
        <f>DATE(YEAR(BG162)+2,MONTH(BG162),DAY(BG162)-1)</f>
        <v>46427</v>
      </c>
      <c r="BI162" s="8">
        <f t="shared" ca="1" si="467"/>
        <v>282</v>
      </c>
      <c r="BJ162" s="5" t="str">
        <f t="shared" ca="1" si="468"/>
        <v>VIGENTE</v>
      </c>
      <c r="BK162" s="3"/>
      <c r="BL162" s="4">
        <v>45600</v>
      </c>
      <c r="BM162" s="4">
        <f>DATE(YEAR(BL162)+2,MONTH(BL162),DAY(BL162)-1)</f>
        <v>46329</v>
      </c>
      <c r="BN162" s="8">
        <f t="shared" ca="1" si="469"/>
        <v>184</v>
      </c>
      <c r="BO162" s="5" t="str">
        <f t="shared" ca="1" si="470"/>
        <v>VIGENTE</v>
      </c>
      <c r="BP162" s="3"/>
      <c r="BQ162" s="39">
        <v>45701</v>
      </c>
      <c r="BR162" s="4">
        <f>DATE(YEAR(BQ162)+2,MONTH(BQ162),DAY(BQ162)-1)</f>
        <v>46430</v>
      </c>
      <c r="BS162" s="8">
        <f t="shared" ca="1" si="471"/>
        <v>285</v>
      </c>
      <c r="BT162" s="5" t="str">
        <f t="shared" ca="1" si="472"/>
        <v>VIGENTE</v>
      </c>
      <c r="BU162" s="3"/>
      <c r="BV162" s="4">
        <v>45695</v>
      </c>
      <c r="BW162" s="4">
        <f t="shared" si="585"/>
        <v>46424</v>
      </c>
      <c r="BX162" s="8">
        <f t="shared" ca="1" si="473"/>
        <v>279</v>
      </c>
      <c r="BY162" s="5" t="str">
        <f t="shared" ca="1" si="474"/>
        <v>VIGENTE</v>
      </c>
      <c r="BZ162" s="3"/>
      <c r="CA162" s="4">
        <v>45944</v>
      </c>
      <c r="CB162" s="4">
        <f t="shared" si="589"/>
        <v>46674</v>
      </c>
      <c r="CC162" s="8">
        <f t="shared" ca="1" si="475"/>
        <v>529</v>
      </c>
      <c r="CD162" s="5" t="str">
        <f t="shared" ca="1" si="476"/>
        <v>VIGENTE</v>
      </c>
      <c r="CE162" s="6"/>
      <c r="CF162" s="4">
        <v>45533</v>
      </c>
      <c r="CG162" s="4">
        <f t="shared" si="590"/>
        <v>46994</v>
      </c>
      <c r="CH162" s="8">
        <f t="shared" ca="1" si="591"/>
        <v>849</v>
      </c>
      <c r="CI162" s="5" t="str">
        <f t="shared" ca="1" si="573"/>
        <v>VIGENTE</v>
      </c>
      <c r="CJ162" s="4"/>
      <c r="CK162" s="4">
        <v>45601</v>
      </c>
      <c r="CL162" s="4">
        <f>DATE(YEAR(CK162)+2,MONTH(CK162),DAY(CK162)-1)</f>
        <v>46330</v>
      </c>
      <c r="CM162" s="8">
        <f t="shared" ca="1" si="477"/>
        <v>185</v>
      </c>
      <c r="CN162" s="5" t="str">
        <f t="shared" ca="1" si="478"/>
        <v>VIGENTE</v>
      </c>
      <c r="CO162" s="3"/>
      <c r="CP162" s="39">
        <v>45684</v>
      </c>
      <c r="CQ162" s="4">
        <f t="shared" si="586"/>
        <v>46413</v>
      </c>
      <c r="CR162" s="8">
        <f t="shared" ca="1" si="479"/>
        <v>268</v>
      </c>
      <c r="CS162" s="5" t="str">
        <f t="shared" ca="1" si="480"/>
        <v>VIGENTE</v>
      </c>
      <c r="CT162" s="2"/>
      <c r="CU162" s="4">
        <v>45727</v>
      </c>
      <c r="CV162" s="4">
        <f>DATE(YEAR(CU162)+2,MONTH(CU162),DAY(CU162)-1)</f>
        <v>46456</v>
      </c>
      <c r="CW162" s="8">
        <f t="shared" ca="1" si="481"/>
        <v>311</v>
      </c>
      <c r="CX162" s="5" t="str">
        <f t="shared" ca="1" si="482"/>
        <v>VIGENTE</v>
      </c>
      <c r="CY162" s="3"/>
      <c r="CZ162" s="4">
        <v>45665</v>
      </c>
      <c r="DA162" s="4">
        <f>DATE(YEAR(CZ162)+2,MONTH(CZ162),DAY(CZ162)-1)</f>
        <v>46394</v>
      </c>
      <c r="DB162" s="8">
        <f t="shared" ca="1" si="483"/>
        <v>249</v>
      </c>
      <c r="DC162" s="5" t="str">
        <f t="shared" ca="1" si="484"/>
        <v>VIGENTE</v>
      </c>
      <c r="DD162" s="3"/>
      <c r="DE162" s="39">
        <v>45596</v>
      </c>
      <c r="DF162" s="4">
        <f>DATE(YEAR(DE162)+2,MONTH(DE162),DAY(DE162)-1)</f>
        <v>46325</v>
      </c>
      <c r="DG162" s="8">
        <f t="shared" ca="1" si="485"/>
        <v>180</v>
      </c>
      <c r="DH162" s="5" t="str">
        <f t="shared" ca="1" si="486"/>
        <v>VIGENTE</v>
      </c>
      <c r="DI162" s="3"/>
      <c r="DJ162" s="39">
        <v>45696</v>
      </c>
      <c r="DK162" s="4">
        <f>DATE(YEAR(DJ162)+2,MONTH(DJ162),DAY(DJ162)-1)</f>
        <v>46425</v>
      </c>
      <c r="DL162" s="8">
        <f t="shared" ca="1" si="487"/>
        <v>280</v>
      </c>
      <c r="DM162" s="5" t="str">
        <f t="shared" ca="1" si="488"/>
        <v>VIGENTE</v>
      </c>
      <c r="DN162" s="3"/>
      <c r="DO162" s="4">
        <v>45577</v>
      </c>
      <c r="DP162" s="4">
        <f>DATE(YEAR(DO162)+2,MONTH(DO162),DAY(DO162)-1)</f>
        <v>46306</v>
      </c>
      <c r="DQ162" s="8">
        <f t="shared" ca="1" si="489"/>
        <v>161</v>
      </c>
      <c r="DR162" s="5" t="str">
        <f t="shared" ca="1" si="490"/>
        <v>VIGENTE</v>
      </c>
      <c r="DS162" s="3"/>
      <c r="DT162" s="4">
        <v>45685</v>
      </c>
      <c r="DU162" s="4">
        <f>DATE(YEAR(DT162)+2,MONTH(DT162),DAY(DT162)-1)</f>
        <v>46414</v>
      </c>
      <c r="DV162" s="8">
        <f t="shared" ca="1" si="491"/>
        <v>269</v>
      </c>
      <c r="DW162" s="5" t="str">
        <f t="shared" ca="1" si="492"/>
        <v>VIGENTE</v>
      </c>
      <c r="DX162" s="3"/>
      <c r="DY162" s="4">
        <v>45663</v>
      </c>
      <c r="DZ162" s="4">
        <f>DATE(YEAR(DY162)+2,MONTH(DY162),DAY(DY162)-1)</f>
        <v>46392</v>
      </c>
      <c r="EA162" s="8">
        <f t="shared" ca="1" si="493"/>
        <v>247</v>
      </c>
      <c r="EB162" s="5" t="str">
        <f t="shared" ca="1" si="494"/>
        <v>VIGENTE</v>
      </c>
      <c r="EC162" s="3"/>
      <c r="ED162" s="39">
        <v>45583</v>
      </c>
      <c r="EE162" s="4">
        <f>DATE(YEAR(ED162)+2,MONTH(ED162),DAY(ED162)-1)</f>
        <v>46312</v>
      </c>
      <c r="EF162" s="8">
        <f t="shared" ca="1" si="495"/>
        <v>167</v>
      </c>
      <c r="EG162" s="5" t="str">
        <f t="shared" ca="1" si="496"/>
        <v>VIGENTE</v>
      </c>
      <c r="EH162" s="3"/>
      <c r="EI162" s="3">
        <v>46107</v>
      </c>
      <c r="EJ162" s="4">
        <f t="shared" si="558"/>
        <v>46472</v>
      </c>
      <c r="EK162" s="8">
        <f t="shared" ca="1" si="497"/>
        <v>327</v>
      </c>
      <c r="EL162" s="5" t="str">
        <f t="shared" ca="1" si="498"/>
        <v>VIGENTE</v>
      </c>
      <c r="EM162" s="3"/>
      <c r="EN162" s="4">
        <v>45636</v>
      </c>
      <c r="EO162" s="4">
        <f>DATE(YEAR(EN162)+2,MONTH(EN162),DAY(EN162)-1)</f>
        <v>46365</v>
      </c>
      <c r="EP162" s="8">
        <f t="shared" ca="1" si="499"/>
        <v>220</v>
      </c>
      <c r="EQ162" s="5" t="str">
        <f t="shared" ca="1" si="500"/>
        <v>VIGENTE</v>
      </c>
      <c r="ER162" s="3"/>
      <c r="ES162" s="39">
        <v>45623</v>
      </c>
      <c r="ET162" s="4">
        <f>DATE(YEAR(ES162)+2,MONTH(ES162),DAY(ES162)-1)</f>
        <v>46352</v>
      </c>
      <c r="EU162" s="8">
        <f t="shared" ca="1" si="501"/>
        <v>207</v>
      </c>
      <c r="EV162" s="5" t="str">
        <f t="shared" ca="1" si="502"/>
        <v>VIGENTE</v>
      </c>
      <c r="EW162" s="3"/>
      <c r="EX162" s="4">
        <v>45917</v>
      </c>
      <c r="EY162" s="4">
        <f t="shared" si="592"/>
        <v>46647</v>
      </c>
      <c r="EZ162" s="8">
        <f t="shared" ca="1" si="503"/>
        <v>502</v>
      </c>
      <c r="FA162" s="5" t="str">
        <f t="shared" ca="1" si="504"/>
        <v>VIGENTE</v>
      </c>
      <c r="FB162" s="3"/>
      <c r="FC162" s="4">
        <v>45931</v>
      </c>
      <c r="FD162" s="4">
        <f t="shared" si="593"/>
        <v>46661</v>
      </c>
      <c r="FE162" s="8">
        <f t="shared" ca="1" si="505"/>
        <v>516</v>
      </c>
      <c r="FF162" s="5" t="str">
        <f t="shared" ca="1" si="506"/>
        <v>VIGENTE</v>
      </c>
      <c r="FG162" s="3"/>
      <c r="FH162" s="4">
        <v>45919</v>
      </c>
      <c r="FI162" s="4">
        <f t="shared" si="594"/>
        <v>46649</v>
      </c>
      <c r="FJ162" s="8">
        <f t="shared" ca="1" si="507"/>
        <v>504</v>
      </c>
      <c r="FK162" s="5" t="str">
        <f t="shared" ca="1" si="508"/>
        <v>VIGENTE</v>
      </c>
      <c r="FL162" s="3"/>
      <c r="FM162" s="39">
        <v>45588</v>
      </c>
      <c r="FN162" s="4">
        <f>DATE(YEAR(FM162)+2,MONTH(FM162),DAY(FM162)-1)</f>
        <v>46317</v>
      </c>
      <c r="FO162" s="8">
        <f t="shared" ca="1" si="509"/>
        <v>172</v>
      </c>
      <c r="FP162" s="5" t="str">
        <f t="shared" ca="1" si="510"/>
        <v>VIGENTE</v>
      </c>
      <c r="FQ162" s="3"/>
      <c r="FR162" s="39">
        <v>45586</v>
      </c>
      <c r="FS162" s="4">
        <f>DATE(YEAR(FR162)+2,MONTH(FR162),DAY(FR162)-1)</f>
        <v>46315</v>
      </c>
      <c r="FT162" s="8">
        <f t="shared" ca="1" si="511"/>
        <v>170</v>
      </c>
      <c r="FU162" s="5" t="str">
        <f t="shared" ca="1" si="512"/>
        <v>VIGENTE</v>
      </c>
      <c r="FV162" s="3"/>
      <c r="FW162" s="4">
        <v>45941</v>
      </c>
      <c r="FX162" s="4">
        <f>DATE(YEAR(FW162)+2,MONTH(FW162),DAY(FW162))</f>
        <v>46671</v>
      </c>
      <c r="FY162" s="8">
        <f t="shared" ca="1" si="513"/>
        <v>526</v>
      </c>
      <c r="FZ162" s="5" t="str">
        <f t="shared" ca="1" si="514"/>
        <v>VIGENTE</v>
      </c>
      <c r="GA162" s="3"/>
      <c r="GB162" s="4">
        <v>45667</v>
      </c>
      <c r="GC162" s="4">
        <f>DATE(YEAR(GB162)+2,MONTH(GB162),DAY(GB162)-1)</f>
        <v>46396</v>
      </c>
      <c r="GD162" s="8">
        <f t="shared" ca="1" si="515"/>
        <v>251</v>
      </c>
      <c r="GE162" s="5" t="str">
        <f t="shared" ca="1" si="516"/>
        <v>VIGENTE</v>
      </c>
      <c r="GF162" s="3"/>
      <c r="GG162" s="4">
        <v>45579</v>
      </c>
      <c r="GH162" s="4">
        <f>DATE(YEAR(GG162)+2,MONTH(GG162),DAY(GG162)-1)</f>
        <v>46308</v>
      </c>
      <c r="GI162" s="8">
        <f t="shared" ca="1" si="517"/>
        <v>163</v>
      </c>
      <c r="GJ162" s="5" t="str">
        <f t="shared" ca="1" si="518"/>
        <v>VIGENTE</v>
      </c>
      <c r="GK162" s="3"/>
      <c r="GL162" s="4">
        <v>45608</v>
      </c>
      <c r="GM162" s="4">
        <f>DATE(YEAR(GL162)+2,MONTH(GL162),DAY(GL162)-1)</f>
        <v>46337</v>
      </c>
      <c r="GN162" s="8">
        <f t="shared" ca="1" si="519"/>
        <v>192</v>
      </c>
      <c r="GO162" s="5" t="str">
        <f t="shared" ca="1" si="520"/>
        <v>VIGENTE</v>
      </c>
      <c r="GP162" s="4"/>
      <c r="GQ162" s="4">
        <v>45017</v>
      </c>
      <c r="GR162" s="4">
        <f t="shared" si="521"/>
        <v>46844</v>
      </c>
      <c r="GS162" s="8">
        <f t="shared" ca="1" si="405"/>
        <v>699</v>
      </c>
      <c r="GT162" s="5" t="str">
        <f t="shared" ca="1" si="419"/>
        <v>VIGENTE</v>
      </c>
      <c r="GU162" s="3"/>
      <c r="GV162" s="4">
        <v>44952</v>
      </c>
      <c r="GW162" s="4">
        <f t="shared" si="522"/>
        <v>46778</v>
      </c>
      <c r="GX162" s="8">
        <f t="shared" ca="1" si="523"/>
        <v>633</v>
      </c>
      <c r="GY162" s="5" t="str">
        <f t="shared" ca="1" si="426"/>
        <v>VIGENTE</v>
      </c>
      <c r="GZ162" s="3"/>
      <c r="HA162" s="4">
        <v>45294</v>
      </c>
      <c r="HB162" s="4">
        <f t="shared" si="524"/>
        <v>47121</v>
      </c>
      <c r="HC162" s="8">
        <f t="shared" ca="1" si="525"/>
        <v>976</v>
      </c>
      <c r="HD162" s="5" t="str">
        <f t="shared" ca="1" si="421"/>
        <v>VIGENTE</v>
      </c>
      <c r="HE162" s="6"/>
      <c r="HF162" s="4">
        <v>45020</v>
      </c>
      <c r="HG162" s="4">
        <f t="shared" si="583"/>
        <v>46847</v>
      </c>
      <c r="HH162" s="8">
        <f t="shared" ca="1" si="584"/>
        <v>702</v>
      </c>
      <c r="HI162" s="5" t="str">
        <f t="shared" ca="1" si="427"/>
        <v>VIGENTE</v>
      </c>
      <c r="HJ162" s="2"/>
      <c r="HK162" s="6"/>
      <c r="HL162" s="4"/>
      <c r="HM162" s="8"/>
      <c r="HN162" s="5" t="str">
        <f t="shared" si="444"/>
        <v>NO APLICA</v>
      </c>
      <c r="HO162" s="2"/>
      <c r="HP162" s="5"/>
      <c r="HQ162" s="4"/>
      <c r="HR162" s="5"/>
      <c r="HS162" s="5" t="str">
        <f t="shared" si="526"/>
        <v>NO APLICA</v>
      </c>
      <c r="HT162" s="2"/>
      <c r="HU162" s="6"/>
      <c r="HV162" s="4"/>
      <c r="HW162" s="8"/>
      <c r="HX162" s="5" t="str">
        <f t="shared" si="527"/>
        <v>NO APLICA</v>
      </c>
      <c r="HY162" s="2"/>
      <c r="HZ162" s="6"/>
      <c r="IA162" s="4"/>
      <c r="IB162" s="8"/>
      <c r="IC162" s="5" t="str">
        <f t="shared" si="528"/>
        <v>NO APLICA</v>
      </c>
      <c r="ID162" s="2"/>
      <c r="IE162" s="6"/>
      <c r="IF162" s="4"/>
      <c r="IG162" s="8"/>
      <c r="IH162" s="5" t="str">
        <f t="shared" si="529"/>
        <v>NO APLICA</v>
      </c>
      <c r="II162" s="6"/>
      <c r="IJ162" s="6"/>
      <c r="IK162" s="4"/>
      <c r="IL162" s="8"/>
      <c r="IM162" s="5" t="str">
        <f t="shared" si="530"/>
        <v>NO APLICA</v>
      </c>
      <c r="IN162" s="2"/>
      <c r="IO162" s="6"/>
      <c r="IP162" s="4"/>
      <c r="IQ162" s="8"/>
      <c r="IR162" s="5" t="str">
        <f t="shared" si="531"/>
        <v>NO APLICA</v>
      </c>
      <c r="IS162" s="2"/>
      <c r="IT162" s="6"/>
      <c r="IU162" s="4"/>
      <c r="IV162" s="8"/>
      <c r="IW162" s="5" t="str">
        <f t="shared" si="532"/>
        <v>NO APLICA</v>
      </c>
      <c r="IX162" s="2"/>
      <c r="IY162" s="6"/>
      <c r="IZ162" s="4"/>
      <c r="JA162" s="8"/>
      <c r="JB162" s="5" t="str">
        <f t="shared" si="533"/>
        <v>NO APLICA</v>
      </c>
      <c r="JC162" s="3" t="s">
        <v>780</v>
      </c>
      <c r="JD162" s="3"/>
      <c r="JE162" s="4"/>
      <c r="JF162" s="8"/>
      <c r="JG162" s="5"/>
      <c r="JH162" s="3" t="s">
        <v>780</v>
      </c>
      <c r="JI162" s="6"/>
      <c r="JJ162" s="6"/>
      <c r="JK162" s="6"/>
      <c r="JL162" s="5"/>
      <c r="JM162" s="6" t="s">
        <v>780</v>
      </c>
      <c r="JN162" s="6"/>
      <c r="JO162" s="6"/>
      <c r="JP162" s="6"/>
      <c r="JQ162" s="5"/>
      <c r="JR162" s="6" t="s">
        <v>780</v>
      </c>
      <c r="JS162" s="6"/>
      <c r="JT162" s="6"/>
      <c r="JU162" s="6"/>
      <c r="JV162" s="5"/>
      <c r="JW162" s="6" t="s">
        <v>780</v>
      </c>
      <c r="JX162" s="5"/>
      <c r="JY162" s="5"/>
      <c r="JZ162" s="5"/>
      <c r="KA162" s="5"/>
      <c r="KB162" s="5"/>
      <c r="KC162" s="5"/>
      <c r="KD162" s="4"/>
      <c r="KE162" s="8"/>
      <c r="KF162" s="5" t="str">
        <f t="shared" si="534"/>
        <v>NO APLICA</v>
      </c>
      <c r="KG162" s="5"/>
      <c r="KH162" s="5"/>
      <c r="KI162" s="4"/>
      <c r="KJ162" s="8"/>
      <c r="KK162" s="5" t="str">
        <f t="shared" si="559"/>
        <v>NO APLICA</v>
      </c>
      <c r="KL162" s="5"/>
      <c r="KM162" s="5"/>
      <c r="KN162" s="4"/>
      <c r="KO162" s="8"/>
      <c r="KP162" s="5" t="str">
        <f t="shared" si="535"/>
        <v>NO APLICA</v>
      </c>
      <c r="KQ162" s="5"/>
      <c r="KR162" s="3">
        <v>45346</v>
      </c>
      <c r="KS162" s="4">
        <f>DATE(YEAR(KR162)+5,MONTH(KR162),DAY(KR162))</f>
        <v>47173</v>
      </c>
      <c r="KT162" s="8">
        <f ca="1">KS162-TODAY()</f>
        <v>1028</v>
      </c>
      <c r="KU162" s="5" t="str">
        <f t="shared" ca="1" si="560"/>
        <v>VIGENTE</v>
      </c>
      <c r="KV162" s="3"/>
      <c r="KW162" s="4">
        <v>44658</v>
      </c>
      <c r="KX162" s="4">
        <f>DATE(YEAR(KW162)+5,MONTH(KW162),DAY(KW162))</f>
        <v>46484</v>
      </c>
      <c r="KY162" s="8">
        <f ca="1">KX162-TODAY()</f>
        <v>339</v>
      </c>
      <c r="KZ162" s="5" t="str">
        <f t="shared" ca="1" si="565"/>
        <v>VIGENTE</v>
      </c>
      <c r="LA162" s="5"/>
      <c r="LB162" s="4">
        <v>44603</v>
      </c>
      <c r="LC162" s="4">
        <f>DATE(YEAR(LB162)+5,MONTH(LB162),DAY(LB162))</f>
        <v>46429</v>
      </c>
      <c r="LD162" s="8">
        <f ca="1">LC162-TODAY()</f>
        <v>284</v>
      </c>
      <c r="LE162" s="5" t="str">
        <f t="shared" ca="1" si="561"/>
        <v>VIGENTE</v>
      </c>
      <c r="LF162" s="6"/>
      <c r="LG162" s="6"/>
      <c r="LH162" s="4"/>
      <c r="LI162" s="8"/>
      <c r="LJ162" s="5" t="str">
        <f t="shared" si="567"/>
        <v>NO APLICA</v>
      </c>
      <c r="LK162" s="5"/>
      <c r="LL162" s="5"/>
      <c r="LM162" s="5"/>
      <c r="LN162" s="5"/>
      <c r="LO162" s="5" t="str">
        <f t="shared" si="566"/>
        <v>NO APLICA</v>
      </c>
      <c r="LP162" s="5"/>
      <c r="LQ162" s="6"/>
      <c r="LR162" s="4"/>
      <c r="LS162" s="8"/>
      <c r="LT162" s="5" t="str">
        <f t="shared" si="562"/>
        <v>NO APLICA</v>
      </c>
      <c r="LU162" s="6"/>
      <c r="LV162" s="6"/>
      <c r="LW162" s="4"/>
      <c r="LX162" s="8"/>
      <c r="LY162" s="5" t="str">
        <f t="shared" si="563"/>
        <v>NO APLICA</v>
      </c>
      <c r="LZ162" s="6"/>
      <c r="MA162" s="6"/>
      <c r="MB162" s="4"/>
      <c r="MC162" s="8"/>
      <c r="MD162" s="5" t="str">
        <f t="shared" si="564"/>
        <v>NO APLICA</v>
      </c>
      <c r="ME162" s="5"/>
      <c r="MF162" s="5"/>
      <c r="MG162" s="4"/>
      <c r="MH162" s="8"/>
      <c r="MI162" s="5" t="str">
        <f t="shared" si="537"/>
        <v>NO APLICA</v>
      </c>
      <c r="MJ162" s="5"/>
      <c r="MK162" s="5"/>
      <c r="ML162" s="4"/>
      <c r="MM162" s="8"/>
      <c r="MN162" s="5" t="str">
        <f t="shared" si="538"/>
        <v>NO APLICA</v>
      </c>
      <c r="MO162" s="5"/>
      <c r="MP162" s="5"/>
      <c r="MQ162" s="4"/>
      <c r="MR162" s="8"/>
      <c r="MS162" s="5" t="str">
        <f t="shared" si="539"/>
        <v>NO APLICA</v>
      </c>
      <c r="MT162" s="5"/>
      <c r="MU162" s="5"/>
      <c r="MV162" s="4"/>
      <c r="MW162" s="5"/>
      <c r="MX162" s="5" t="str">
        <f t="shared" si="540"/>
        <v>NO APLICA</v>
      </c>
      <c r="MY162" s="5"/>
      <c r="MZ162" s="6"/>
      <c r="NA162" s="4"/>
      <c r="NB162" s="8"/>
      <c r="NC162" s="5" t="str">
        <f t="shared" si="541"/>
        <v>NO APLICA</v>
      </c>
      <c r="ND162" s="5"/>
      <c r="NE162" s="6"/>
      <c r="NF162" s="4"/>
      <c r="NG162" s="8"/>
      <c r="NH162" s="5" t="str">
        <f t="shared" si="542"/>
        <v>NO APLICA</v>
      </c>
      <c r="NI162" s="5"/>
      <c r="NJ162" s="6"/>
      <c r="NK162" s="4"/>
      <c r="NL162" s="8"/>
      <c r="NM162" s="5" t="str">
        <f t="shared" si="543"/>
        <v>NO APLICA</v>
      </c>
      <c r="NN162" s="5"/>
      <c r="NO162" s="5"/>
      <c r="NP162" s="5"/>
      <c r="NQ162" s="5"/>
      <c r="NR162" s="5" t="str">
        <f t="shared" si="544"/>
        <v>NO APLICA</v>
      </c>
      <c r="NS162" s="5"/>
      <c r="NT162" s="5"/>
      <c r="NU162" s="5"/>
      <c r="NV162" s="5"/>
      <c r="NW162" s="5" t="str">
        <f t="shared" si="545"/>
        <v>NO APLICA</v>
      </c>
      <c r="NX162" s="6"/>
      <c r="NY162" s="6"/>
      <c r="NZ162" s="4"/>
      <c r="OA162" s="8"/>
      <c r="OB162" s="5" t="str">
        <f t="shared" si="546"/>
        <v>NO APLICA</v>
      </c>
      <c r="OC162" s="6"/>
      <c r="OD162" s="6"/>
      <c r="OE162" s="6"/>
      <c r="OF162" s="6"/>
      <c r="OG162" s="5" t="str">
        <f t="shared" si="547"/>
        <v>NO APLICA</v>
      </c>
      <c r="OH162" s="6"/>
      <c r="OI162" s="6"/>
      <c r="OJ162" s="4"/>
      <c r="OK162" s="8"/>
      <c r="OL162" s="5" t="str">
        <f t="shared" si="548"/>
        <v>NO APLICA</v>
      </c>
      <c r="OM162" s="6"/>
      <c r="ON162" s="6"/>
      <c r="OO162" s="6"/>
      <c r="OP162" s="6"/>
      <c r="OQ162" s="5" t="str">
        <f t="shared" si="549"/>
        <v>NO APLICA</v>
      </c>
      <c r="OR162" s="6"/>
      <c r="OS162" s="6"/>
      <c r="OT162" s="6"/>
      <c r="OU162" s="6"/>
      <c r="OV162" s="5" t="str">
        <f t="shared" si="550"/>
        <v>NO APLICA</v>
      </c>
      <c r="OW162" s="6"/>
      <c r="OX162" s="6"/>
      <c r="OY162" s="6"/>
      <c r="OZ162" s="6"/>
      <c r="PA162" s="5" t="str">
        <f t="shared" si="551"/>
        <v>NO APLICA</v>
      </c>
      <c r="PB162" s="6"/>
      <c r="PC162" s="6"/>
      <c r="PD162" s="6"/>
      <c r="PE162" s="6"/>
      <c r="PF162" s="5" t="str">
        <f t="shared" si="552"/>
        <v>NO APLICA</v>
      </c>
      <c r="PG162" s="6"/>
      <c r="PH162" s="6"/>
      <c r="PI162" s="6"/>
      <c r="PJ162" s="6"/>
      <c r="PK162" s="5" t="str">
        <f t="shared" si="553"/>
        <v>NO APLICA</v>
      </c>
      <c r="PL162" s="5"/>
      <c r="PM162" s="6"/>
      <c r="PN162" s="4"/>
      <c r="PO162" s="8"/>
      <c r="PP162" s="5" t="str">
        <f t="shared" si="554"/>
        <v>NO APLICA</v>
      </c>
      <c r="PQ162" s="6"/>
      <c r="PR162" s="6"/>
      <c r="PS162" s="6"/>
      <c r="PT162" s="6"/>
      <c r="PU162" s="5" t="str">
        <f t="shared" si="555"/>
        <v>NO APLICA</v>
      </c>
      <c r="PV162" s="5"/>
      <c r="PW162" s="6"/>
      <c r="PX162" s="6"/>
      <c r="PY162" s="6"/>
      <c r="PZ162" s="5" t="str">
        <f t="shared" si="556"/>
        <v>NO APLICA</v>
      </c>
    </row>
    <row r="163" spans="1:442" ht="15.6" hidden="1" thickTop="1" thickBot="1" x14ac:dyDescent="0.35">
      <c r="A163" s="26">
        <v>160</v>
      </c>
      <c r="B163" s="27">
        <v>1108</v>
      </c>
      <c r="C163" s="28" t="s">
        <v>522</v>
      </c>
      <c r="D163" s="29" t="s">
        <v>113</v>
      </c>
      <c r="E163" s="30" t="s">
        <v>126</v>
      </c>
      <c r="F163" s="3"/>
      <c r="G163" s="4">
        <v>46058</v>
      </c>
      <c r="H163" s="4">
        <f>DATE(YEAR(G163)+2,MONTH(G163),DAY(G163))</f>
        <v>46788</v>
      </c>
      <c r="I163" s="8">
        <f ca="1">H163-TODAY()</f>
        <v>643</v>
      </c>
      <c r="J163" s="5" t="str">
        <f t="shared" ca="1" si="455"/>
        <v>VIGENTE</v>
      </c>
      <c r="K163" s="5"/>
      <c r="L163" s="6"/>
      <c r="M163" s="6"/>
      <c r="N163" s="8"/>
      <c r="O163" s="5" t="str">
        <f t="shared" si="456"/>
        <v>NO APLICA</v>
      </c>
      <c r="P163" s="6"/>
      <c r="Q163" s="6"/>
      <c r="R163" s="4"/>
      <c r="S163" s="8"/>
      <c r="T163" s="5" t="str">
        <f t="shared" si="557"/>
        <v>NO APLICA</v>
      </c>
      <c r="U163" s="5"/>
      <c r="V163" s="2" t="s">
        <v>523</v>
      </c>
      <c r="W163" s="4">
        <v>44786</v>
      </c>
      <c r="X163" s="4">
        <f t="shared" si="587"/>
        <v>46612</v>
      </c>
      <c r="Y163" s="8">
        <f t="shared" ca="1" si="588"/>
        <v>467</v>
      </c>
      <c r="Z163" s="5" t="str">
        <f t="shared" ca="1" si="412"/>
        <v>VIGENTE</v>
      </c>
      <c r="AA163" s="5"/>
      <c r="AB163" s="2"/>
      <c r="AC163" s="6"/>
      <c r="AD163" s="4"/>
      <c r="AE163" s="8"/>
      <c r="AF163" s="5" t="str">
        <f t="shared" si="457"/>
        <v>NO APLICA</v>
      </c>
      <c r="AG163" s="3"/>
      <c r="AH163" s="4">
        <v>45902</v>
      </c>
      <c r="AI163" s="4">
        <f>DATE(YEAR(AH163)+2,MONTH(AH163),DAY(AH163))</f>
        <v>46632</v>
      </c>
      <c r="AJ163" s="8">
        <f t="shared" ca="1" si="458"/>
        <v>487</v>
      </c>
      <c r="AK163" s="5" t="str">
        <f t="shared" ca="1" si="408"/>
        <v>VIGENTE</v>
      </c>
      <c r="AL163" s="3"/>
      <c r="AM163" s="4">
        <v>45903</v>
      </c>
      <c r="AN163" s="4">
        <f>DATE(YEAR(AM163)+2,MONTH(AM163),DAY(AM163))</f>
        <v>46633</v>
      </c>
      <c r="AO163" s="8">
        <f t="shared" ca="1" si="459"/>
        <v>488</v>
      </c>
      <c r="AP163" s="5" t="str">
        <f t="shared" ca="1" si="460"/>
        <v>VIGENTE</v>
      </c>
      <c r="AQ163" s="3"/>
      <c r="AR163" s="4">
        <v>45967</v>
      </c>
      <c r="AS163" s="4">
        <f>DATE(YEAR(AR163)+2,MONTH(AR163),DAY(AR163))</f>
        <v>46697</v>
      </c>
      <c r="AT163" s="8">
        <f t="shared" ca="1" si="461"/>
        <v>552</v>
      </c>
      <c r="AU163" s="5" t="str">
        <f t="shared" ca="1" si="462"/>
        <v>VIGENTE</v>
      </c>
      <c r="AV163" s="3"/>
      <c r="AW163" s="4">
        <v>45927</v>
      </c>
      <c r="AX163" s="4">
        <f>DATE(YEAR(AW163)+2,MONTH(AW163),DAY(AW163))</f>
        <v>46657</v>
      </c>
      <c r="AY163" s="8">
        <f t="shared" ca="1" si="463"/>
        <v>512</v>
      </c>
      <c r="AZ163" s="5" t="str">
        <f t="shared" ca="1" si="464"/>
        <v>VIGENTE</v>
      </c>
      <c r="BA163" s="3"/>
      <c r="BB163" s="4">
        <v>45717</v>
      </c>
      <c r="BC163" s="4">
        <f>DATE(YEAR(BB163)+2,MONTH(BB163),DAY(BB163)-1)</f>
        <v>46446</v>
      </c>
      <c r="BD163" s="8">
        <f t="shared" ca="1" si="465"/>
        <v>301</v>
      </c>
      <c r="BE163" s="5" t="str">
        <f t="shared" ca="1" si="466"/>
        <v>VIGENTE</v>
      </c>
      <c r="BF163" s="3"/>
      <c r="BG163" s="4">
        <v>45698</v>
      </c>
      <c r="BH163" s="4">
        <f>DATE(YEAR(BG163)+2,MONTH(BG163),DAY(BG163)-1)</f>
        <v>46427</v>
      </c>
      <c r="BI163" s="8">
        <f t="shared" ca="1" si="467"/>
        <v>282</v>
      </c>
      <c r="BJ163" s="5" t="str">
        <f t="shared" ca="1" si="468"/>
        <v>VIGENTE</v>
      </c>
      <c r="BK163" s="3"/>
      <c r="BL163" s="4">
        <v>45699</v>
      </c>
      <c r="BM163" s="4">
        <f>DATE(YEAR(BL163)+2,MONTH(BL163),DAY(BL163)-1)</f>
        <v>46428</v>
      </c>
      <c r="BN163" s="8">
        <f t="shared" ca="1" si="469"/>
        <v>283</v>
      </c>
      <c r="BO163" s="5" t="str">
        <f t="shared" ca="1" si="470"/>
        <v>VIGENTE</v>
      </c>
      <c r="BP163" s="3"/>
      <c r="BQ163" s="39">
        <v>45701</v>
      </c>
      <c r="BR163" s="4">
        <f>DATE(YEAR(BQ163)+2,MONTH(BQ163),DAY(BQ163)-1)</f>
        <v>46430</v>
      </c>
      <c r="BS163" s="8">
        <f t="shared" ca="1" si="471"/>
        <v>285</v>
      </c>
      <c r="BT163" s="5" t="str">
        <f t="shared" ca="1" si="472"/>
        <v>VIGENTE</v>
      </c>
      <c r="BU163" s="3"/>
      <c r="BV163" s="4">
        <v>46126</v>
      </c>
      <c r="BW163" s="4">
        <f t="shared" si="585"/>
        <v>46856</v>
      </c>
      <c r="BX163" s="8">
        <f t="shared" ca="1" si="473"/>
        <v>711</v>
      </c>
      <c r="BY163" s="5" t="str">
        <f t="shared" ca="1" si="474"/>
        <v>VIGENTE</v>
      </c>
      <c r="BZ163" s="3"/>
      <c r="CA163" s="4">
        <v>45911</v>
      </c>
      <c r="CB163" s="4">
        <f t="shared" si="589"/>
        <v>46641</v>
      </c>
      <c r="CC163" s="8">
        <f t="shared" ca="1" si="475"/>
        <v>496</v>
      </c>
      <c r="CD163" s="5" t="str">
        <f t="shared" ca="1" si="476"/>
        <v>VIGENTE</v>
      </c>
      <c r="CE163" s="6"/>
      <c r="CF163" s="4">
        <v>45616</v>
      </c>
      <c r="CG163" s="4">
        <f t="shared" si="590"/>
        <v>47077</v>
      </c>
      <c r="CH163" s="8">
        <f t="shared" ca="1" si="591"/>
        <v>932</v>
      </c>
      <c r="CI163" s="5" t="str">
        <f t="shared" ca="1" si="573"/>
        <v>VIGENTE</v>
      </c>
      <c r="CJ163" s="4"/>
      <c r="CK163" s="4">
        <v>45504</v>
      </c>
      <c r="CL163" s="4">
        <f>DATE(YEAR(CK163)+2,MONTH(CK163),DAY(CK163)-1)</f>
        <v>46233</v>
      </c>
      <c r="CM163" s="8">
        <f t="shared" ca="1" si="477"/>
        <v>88</v>
      </c>
      <c r="CN163" s="5" t="str">
        <f t="shared" ca="1" si="478"/>
        <v>POR VENCER</v>
      </c>
      <c r="CO163" s="3"/>
      <c r="CP163" s="39">
        <v>45513</v>
      </c>
      <c r="CQ163" s="4">
        <f t="shared" si="586"/>
        <v>46242</v>
      </c>
      <c r="CR163" s="8">
        <f t="shared" ca="1" si="479"/>
        <v>97</v>
      </c>
      <c r="CS163" s="5" t="str">
        <f t="shared" ca="1" si="480"/>
        <v>VIGENTE</v>
      </c>
      <c r="CT163" s="3"/>
      <c r="CU163" s="4">
        <v>46043</v>
      </c>
      <c r="CV163" s="4">
        <f>DATE(YEAR(CU163)+2,MONTH(CU163),DAY(CU163))</f>
        <v>46773</v>
      </c>
      <c r="CW163" s="8">
        <f t="shared" ca="1" si="481"/>
        <v>628</v>
      </c>
      <c r="CX163" s="5" t="str">
        <f t="shared" ca="1" si="482"/>
        <v>VIGENTE</v>
      </c>
      <c r="CY163" s="3"/>
      <c r="CZ163" s="4">
        <v>46000</v>
      </c>
      <c r="DA163" s="4">
        <f>DATE(YEAR(CZ163)+2,MONTH(CZ163),DAY(CZ163))</f>
        <v>46730</v>
      </c>
      <c r="DB163" s="8">
        <f t="shared" ca="1" si="483"/>
        <v>585</v>
      </c>
      <c r="DC163" s="5" t="str">
        <f t="shared" ca="1" si="484"/>
        <v>VIGENTE</v>
      </c>
      <c r="DD163" s="3"/>
      <c r="DE163" s="39">
        <v>45689</v>
      </c>
      <c r="DF163" s="4">
        <f>DATE(YEAR(DE163)+2,MONTH(DE163),DAY(DE163)-1)</f>
        <v>46418</v>
      </c>
      <c r="DG163" s="8">
        <f t="shared" ca="1" si="485"/>
        <v>273</v>
      </c>
      <c r="DH163" s="5" t="str">
        <f t="shared" ca="1" si="486"/>
        <v>VIGENTE</v>
      </c>
      <c r="DI163" s="3"/>
      <c r="DJ163" s="39">
        <v>45834</v>
      </c>
      <c r="DK163" s="4">
        <f>DATE(YEAR(DJ163)+2,MONTH(DJ163),DAY(DJ163))</f>
        <v>46564</v>
      </c>
      <c r="DL163" s="8">
        <f t="shared" ca="1" si="487"/>
        <v>419</v>
      </c>
      <c r="DM163" s="5" t="str">
        <f t="shared" ca="1" si="488"/>
        <v>VIGENTE</v>
      </c>
      <c r="DN163" s="3"/>
      <c r="DO163" s="4">
        <v>45982</v>
      </c>
      <c r="DP163" s="4">
        <f>DATE(YEAR(DO163)+2,MONTH(DO163),DAY(DO163))</f>
        <v>46712</v>
      </c>
      <c r="DQ163" s="8">
        <f t="shared" ca="1" si="489"/>
        <v>567</v>
      </c>
      <c r="DR163" s="5" t="str">
        <f t="shared" ca="1" si="490"/>
        <v>VIGENTE</v>
      </c>
      <c r="DS163" s="3"/>
      <c r="DT163" s="4">
        <v>45685</v>
      </c>
      <c r="DU163" s="4">
        <f>DATE(YEAR(DT163)+2,MONTH(DT163),DAY(DT163)-1)</f>
        <v>46414</v>
      </c>
      <c r="DV163" s="8">
        <f t="shared" ca="1" si="491"/>
        <v>269</v>
      </c>
      <c r="DW163" s="5" t="str">
        <f t="shared" ca="1" si="492"/>
        <v>VIGENTE</v>
      </c>
      <c r="DX163" s="3"/>
      <c r="DY163" s="4">
        <v>45751</v>
      </c>
      <c r="DZ163" s="4">
        <f>DATE(YEAR(DY163)+2,MONTH(DY163),DAY(DY163)-1)</f>
        <v>46480</v>
      </c>
      <c r="EA163" s="8">
        <f t="shared" ca="1" si="493"/>
        <v>335</v>
      </c>
      <c r="EB163" s="5" t="str">
        <f t="shared" ca="1" si="494"/>
        <v>VIGENTE</v>
      </c>
      <c r="EC163" s="3"/>
      <c r="ED163" s="39">
        <v>45715</v>
      </c>
      <c r="EE163" s="4">
        <f>DATE(YEAR(ED163)+2,MONTH(ED163),DAY(ED163)-1)</f>
        <v>46444</v>
      </c>
      <c r="EF163" s="8">
        <f t="shared" ca="1" si="495"/>
        <v>299</v>
      </c>
      <c r="EG163" s="5" t="str">
        <f t="shared" ca="1" si="496"/>
        <v>VIGENTE</v>
      </c>
      <c r="EH163" s="3"/>
      <c r="EI163" s="3">
        <v>46085</v>
      </c>
      <c r="EJ163" s="4">
        <f t="shared" si="558"/>
        <v>46450</v>
      </c>
      <c r="EK163" s="8">
        <f t="shared" ca="1" si="497"/>
        <v>305</v>
      </c>
      <c r="EL163" s="5" t="str">
        <f t="shared" ca="1" si="498"/>
        <v>VIGENTE</v>
      </c>
      <c r="EM163" s="3"/>
      <c r="EN163" s="4">
        <v>45754</v>
      </c>
      <c r="EO163" s="4">
        <f>DATE(YEAR(EN163)+2,MONTH(EN163),DAY(EN163)-1)</f>
        <v>46483</v>
      </c>
      <c r="EP163" s="8">
        <f t="shared" ca="1" si="499"/>
        <v>338</v>
      </c>
      <c r="EQ163" s="5" t="str">
        <f t="shared" ca="1" si="500"/>
        <v>VIGENTE</v>
      </c>
      <c r="ER163" s="2"/>
      <c r="ES163" s="39">
        <v>45755</v>
      </c>
      <c r="ET163" s="4">
        <f>DATE(YEAR(ES163)+2,MONTH(ES163),DAY(ES163)-1)</f>
        <v>46484</v>
      </c>
      <c r="EU163" s="8">
        <f t="shared" ca="1" si="501"/>
        <v>339</v>
      </c>
      <c r="EV163" s="5" t="str">
        <f t="shared" ca="1" si="502"/>
        <v>VIGENTE</v>
      </c>
      <c r="EW163" s="3"/>
      <c r="EX163" s="4">
        <v>45917</v>
      </c>
      <c r="EY163" s="4">
        <f t="shared" si="592"/>
        <v>46647</v>
      </c>
      <c r="EZ163" s="8">
        <f t="shared" ca="1" si="503"/>
        <v>502</v>
      </c>
      <c r="FA163" s="5" t="str">
        <f t="shared" ca="1" si="504"/>
        <v>VIGENTE</v>
      </c>
      <c r="FB163" s="3"/>
      <c r="FC163" s="4">
        <v>45951</v>
      </c>
      <c r="FD163" s="4">
        <f t="shared" si="593"/>
        <v>46681</v>
      </c>
      <c r="FE163" s="8">
        <f t="shared" ca="1" si="505"/>
        <v>536</v>
      </c>
      <c r="FF163" s="5" t="str">
        <f t="shared" ca="1" si="506"/>
        <v>VIGENTE</v>
      </c>
      <c r="FG163" s="3"/>
      <c r="FH163" s="4">
        <v>45832</v>
      </c>
      <c r="FI163" s="4">
        <f t="shared" si="594"/>
        <v>46562</v>
      </c>
      <c r="FJ163" s="8">
        <f t="shared" ca="1" si="507"/>
        <v>417</v>
      </c>
      <c r="FK163" s="5" t="str">
        <f t="shared" ca="1" si="508"/>
        <v>VIGENTE</v>
      </c>
      <c r="FL163" s="3"/>
      <c r="FM163" s="39">
        <v>45670</v>
      </c>
      <c r="FN163" s="4">
        <f>DATE(YEAR(FM163)+2,MONTH(FM163),DAY(FM163)-1)</f>
        <v>46399</v>
      </c>
      <c r="FO163" s="8">
        <f t="shared" ca="1" si="509"/>
        <v>254</v>
      </c>
      <c r="FP163" s="5" t="str">
        <f t="shared" ca="1" si="510"/>
        <v>VIGENTE</v>
      </c>
      <c r="FQ163" s="3"/>
      <c r="FR163" s="39">
        <v>45747</v>
      </c>
      <c r="FS163" s="4">
        <f>DATE(YEAR(FR163)+2,MONTH(FR163),DAY(FR163)-1)</f>
        <v>46476</v>
      </c>
      <c r="FT163" s="8">
        <f t="shared" ca="1" si="511"/>
        <v>331</v>
      </c>
      <c r="FU163" s="5" t="str">
        <f t="shared" ca="1" si="512"/>
        <v>VIGENTE</v>
      </c>
      <c r="FV163" s="4"/>
      <c r="FW163" s="4">
        <v>45574</v>
      </c>
      <c r="FX163" s="4">
        <f>DATE(YEAR(FW163)+2,MONTH(FW163),DAY(FW163)-1)</f>
        <v>46303</v>
      </c>
      <c r="FY163" s="8">
        <f t="shared" ca="1" si="513"/>
        <v>158</v>
      </c>
      <c r="FZ163" s="5" t="str">
        <f t="shared" ca="1" si="514"/>
        <v>VIGENTE</v>
      </c>
      <c r="GA163" s="3"/>
      <c r="GB163" s="4">
        <v>45722</v>
      </c>
      <c r="GC163" s="4">
        <f>DATE(YEAR(GB163)+2,MONTH(GB163),DAY(GB163)-1)</f>
        <v>46451</v>
      </c>
      <c r="GD163" s="8">
        <f t="shared" ca="1" si="515"/>
        <v>306</v>
      </c>
      <c r="GE163" s="5" t="str">
        <f t="shared" ca="1" si="516"/>
        <v>VIGENTE</v>
      </c>
      <c r="GF163" s="3"/>
      <c r="GG163" s="4">
        <v>45729</v>
      </c>
      <c r="GH163" s="4">
        <f>DATE(YEAR(GG163)+2,MONTH(GG163),DAY(GG163)-1)</f>
        <v>46458</v>
      </c>
      <c r="GI163" s="8">
        <f t="shared" ca="1" si="517"/>
        <v>313</v>
      </c>
      <c r="GJ163" s="5" t="str">
        <f t="shared" ca="1" si="518"/>
        <v>VIGENTE</v>
      </c>
      <c r="GK163" s="3"/>
      <c r="GL163" s="4">
        <v>45848</v>
      </c>
      <c r="GM163" s="4">
        <f>DATE(YEAR(GL163)+2,MONTH(GL163),DAY(GL163))</f>
        <v>46578</v>
      </c>
      <c r="GN163" s="8">
        <f t="shared" ca="1" si="519"/>
        <v>433</v>
      </c>
      <c r="GO163" s="5" t="str">
        <f t="shared" ca="1" si="520"/>
        <v>VIGENTE</v>
      </c>
      <c r="GP163" s="4"/>
      <c r="GQ163" s="4">
        <v>45468</v>
      </c>
      <c r="GR163" s="4">
        <f t="shared" si="521"/>
        <v>47294</v>
      </c>
      <c r="GS163" s="8">
        <f t="shared" ca="1" si="405"/>
        <v>1149</v>
      </c>
      <c r="GT163" s="5" t="str">
        <f t="shared" ca="1" si="419"/>
        <v>VIGENTE</v>
      </c>
      <c r="GU163" s="3"/>
      <c r="GV163" s="4">
        <v>45010</v>
      </c>
      <c r="GW163" s="4">
        <f t="shared" si="522"/>
        <v>46837</v>
      </c>
      <c r="GX163" s="8">
        <f t="shared" ca="1" si="523"/>
        <v>692</v>
      </c>
      <c r="GY163" s="5" t="str">
        <f t="shared" ca="1" si="426"/>
        <v>VIGENTE</v>
      </c>
      <c r="GZ163" s="3"/>
      <c r="HA163" s="4">
        <v>45251</v>
      </c>
      <c r="HB163" s="4">
        <f t="shared" si="524"/>
        <v>47078</v>
      </c>
      <c r="HC163" s="8">
        <f t="shared" ca="1" si="525"/>
        <v>933</v>
      </c>
      <c r="HD163" s="5" t="str">
        <f t="shared" ca="1" si="421"/>
        <v>VIGENTE</v>
      </c>
      <c r="HE163" s="6"/>
      <c r="HF163" s="6"/>
      <c r="HG163" s="4"/>
      <c r="HH163" s="8"/>
      <c r="HI163" s="5" t="str">
        <f t="shared" si="427"/>
        <v>NO APLICA</v>
      </c>
      <c r="HJ163" s="2"/>
      <c r="HK163" s="6"/>
      <c r="HL163" s="4"/>
      <c r="HM163" s="8"/>
      <c r="HN163" s="5" t="str">
        <f t="shared" si="444"/>
        <v>NO APLICA</v>
      </c>
      <c r="HO163" s="2"/>
      <c r="HP163" s="2"/>
      <c r="HQ163" s="4"/>
      <c r="HR163" s="2"/>
      <c r="HS163" s="5" t="str">
        <f t="shared" si="526"/>
        <v>NO APLICA</v>
      </c>
      <c r="HT163" s="2"/>
      <c r="HU163" s="6"/>
      <c r="HV163" s="4"/>
      <c r="HW163" s="8"/>
      <c r="HX163" s="5" t="str">
        <f t="shared" si="527"/>
        <v>NO APLICA</v>
      </c>
      <c r="HY163" s="2"/>
      <c r="HZ163" s="6"/>
      <c r="IA163" s="4"/>
      <c r="IB163" s="8"/>
      <c r="IC163" s="5" t="str">
        <f t="shared" si="528"/>
        <v>NO APLICA</v>
      </c>
      <c r="ID163" s="2"/>
      <c r="IE163" s="6"/>
      <c r="IF163" s="4"/>
      <c r="IG163" s="8"/>
      <c r="IH163" s="5" t="str">
        <f t="shared" si="529"/>
        <v>NO APLICA</v>
      </c>
      <c r="II163" s="6"/>
      <c r="IJ163" s="6"/>
      <c r="IK163" s="4"/>
      <c r="IL163" s="8"/>
      <c r="IM163" s="5" t="str">
        <f t="shared" si="530"/>
        <v>NO APLICA</v>
      </c>
      <c r="IN163" s="2"/>
      <c r="IO163" s="6"/>
      <c r="IP163" s="4"/>
      <c r="IQ163" s="8"/>
      <c r="IR163" s="5" t="str">
        <f t="shared" si="531"/>
        <v>NO APLICA</v>
      </c>
      <c r="IS163" s="2"/>
      <c r="IT163" s="6"/>
      <c r="IU163" s="4"/>
      <c r="IV163" s="8"/>
      <c r="IW163" s="5" t="str">
        <f t="shared" si="532"/>
        <v>NO APLICA</v>
      </c>
      <c r="IX163" s="2"/>
      <c r="IY163" s="6"/>
      <c r="IZ163" s="4"/>
      <c r="JA163" s="8"/>
      <c r="JB163" s="5" t="str">
        <f t="shared" si="533"/>
        <v>NO APLICA</v>
      </c>
      <c r="JC163" s="3" t="s">
        <v>780</v>
      </c>
      <c r="JD163" s="3"/>
      <c r="JE163" s="4"/>
      <c r="JF163" s="8"/>
      <c r="JG163" s="5"/>
      <c r="JH163" s="3" t="s">
        <v>780</v>
      </c>
      <c r="JI163" s="6"/>
      <c r="JJ163" s="6"/>
      <c r="JK163" s="6"/>
      <c r="JL163" s="5"/>
      <c r="JM163" s="6" t="s">
        <v>780</v>
      </c>
      <c r="JN163" s="6"/>
      <c r="JO163" s="6"/>
      <c r="JP163" s="6"/>
      <c r="JQ163" s="5"/>
      <c r="JR163" s="6" t="s">
        <v>780</v>
      </c>
      <c r="JS163" s="6"/>
      <c r="JT163" s="6"/>
      <c r="JU163" s="6"/>
      <c r="JV163" s="5"/>
      <c r="JW163" s="6" t="s">
        <v>780</v>
      </c>
      <c r="JX163" s="5"/>
      <c r="JY163" s="5"/>
      <c r="JZ163" s="5"/>
      <c r="KA163" s="5"/>
      <c r="KB163" s="5"/>
      <c r="KC163" s="2"/>
      <c r="KD163" s="4"/>
      <c r="KE163" s="8"/>
      <c r="KF163" s="5" t="str">
        <f t="shared" si="534"/>
        <v>NO APLICA</v>
      </c>
      <c r="KG163" s="5"/>
      <c r="KH163" s="2"/>
      <c r="KI163" s="4"/>
      <c r="KJ163" s="8"/>
      <c r="KK163" s="5" t="str">
        <f t="shared" si="559"/>
        <v>NO APLICA</v>
      </c>
      <c r="KL163" s="5"/>
      <c r="KM163" s="2"/>
      <c r="KN163" s="4"/>
      <c r="KO163" s="8"/>
      <c r="KP163" s="5" t="str">
        <f t="shared" si="535"/>
        <v>NO APLICA</v>
      </c>
      <c r="KQ163" s="5"/>
      <c r="KR163" s="3">
        <v>45346</v>
      </c>
      <c r="KS163" s="4">
        <f>DATE(YEAR(KR163)+5,MONTH(KR163),DAY(KR163))</f>
        <v>47173</v>
      </c>
      <c r="KT163" s="8">
        <f ca="1">KS163-TODAY()</f>
        <v>1028</v>
      </c>
      <c r="KU163" s="5" t="str">
        <f t="shared" ca="1" si="560"/>
        <v>VIGENTE</v>
      </c>
      <c r="KV163" s="2"/>
      <c r="KW163" s="6"/>
      <c r="KX163" s="4"/>
      <c r="KY163" s="8"/>
      <c r="KZ163" s="5" t="str">
        <f t="shared" si="565"/>
        <v>NO APLICA</v>
      </c>
      <c r="LA163" s="5"/>
      <c r="LB163" s="6"/>
      <c r="LC163" s="4"/>
      <c r="LD163" s="8"/>
      <c r="LE163" s="5" t="str">
        <f t="shared" si="561"/>
        <v>NO APLICA</v>
      </c>
      <c r="LF163" s="6"/>
      <c r="LG163" s="6"/>
      <c r="LH163" s="4"/>
      <c r="LI163" s="8"/>
      <c r="LJ163" s="5" t="str">
        <f t="shared" si="567"/>
        <v>NO APLICA</v>
      </c>
      <c r="LK163" s="5"/>
      <c r="LL163" s="5"/>
      <c r="LM163" s="4"/>
      <c r="LN163" s="8"/>
      <c r="LO163" s="5" t="str">
        <f t="shared" si="566"/>
        <v>NO APLICA</v>
      </c>
      <c r="LP163" s="2"/>
      <c r="LQ163" s="6"/>
      <c r="LR163" s="4"/>
      <c r="LS163" s="8"/>
      <c r="LT163" s="5" t="str">
        <f t="shared" si="562"/>
        <v>NO APLICA</v>
      </c>
      <c r="LU163" s="6"/>
      <c r="LV163" s="6"/>
      <c r="LW163" s="4"/>
      <c r="LX163" s="8"/>
      <c r="LY163" s="5" t="str">
        <f t="shared" si="563"/>
        <v>NO APLICA</v>
      </c>
      <c r="LZ163" s="6"/>
      <c r="MA163" s="6"/>
      <c r="MB163" s="4"/>
      <c r="MC163" s="8"/>
      <c r="MD163" s="5" t="str">
        <f t="shared" si="564"/>
        <v>NO APLICA</v>
      </c>
      <c r="ME163" s="2"/>
      <c r="MF163" s="2"/>
      <c r="MG163" s="4"/>
      <c r="MH163" s="8"/>
      <c r="MI163" s="5" t="str">
        <f t="shared" si="537"/>
        <v>NO APLICA</v>
      </c>
      <c r="MJ163" s="2"/>
      <c r="MK163" s="2"/>
      <c r="ML163" s="4"/>
      <c r="MM163" s="8"/>
      <c r="MN163" s="5" t="str">
        <f t="shared" si="538"/>
        <v>NO APLICA</v>
      </c>
      <c r="MO163" s="5"/>
      <c r="MP163" s="2"/>
      <c r="MQ163" s="4"/>
      <c r="MR163" s="8"/>
      <c r="MS163" s="5" t="str">
        <f t="shared" si="539"/>
        <v>NO APLICA</v>
      </c>
      <c r="MT163" s="5"/>
      <c r="MU163" s="2"/>
      <c r="MV163" s="4"/>
      <c r="MW163" s="2"/>
      <c r="MX163" s="5" t="str">
        <f t="shared" si="540"/>
        <v>NO APLICA</v>
      </c>
      <c r="MY163" s="2"/>
      <c r="MZ163" s="6"/>
      <c r="NA163" s="4"/>
      <c r="NB163" s="8"/>
      <c r="NC163" s="5" t="str">
        <f t="shared" si="541"/>
        <v>NO APLICA</v>
      </c>
      <c r="ND163" s="2"/>
      <c r="NE163" s="6"/>
      <c r="NF163" s="4"/>
      <c r="NG163" s="8"/>
      <c r="NH163" s="5" t="str">
        <f t="shared" si="542"/>
        <v>NO APLICA</v>
      </c>
      <c r="NI163" s="2"/>
      <c r="NJ163" s="6"/>
      <c r="NK163" s="4"/>
      <c r="NL163" s="8"/>
      <c r="NM163" s="5" t="str">
        <f t="shared" si="543"/>
        <v>NO APLICA</v>
      </c>
      <c r="NN163" s="2"/>
      <c r="NO163" s="2"/>
      <c r="NP163" s="4"/>
      <c r="NQ163" s="8"/>
      <c r="NR163" s="5" t="str">
        <f t="shared" si="544"/>
        <v>NO APLICA</v>
      </c>
      <c r="NS163" s="2"/>
      <c r="NT163" s="2"/>
      <c r="NU163" s="4"/>
      <c r="NV163" s="2"/>
      <c r="NW163" s="5" t="str">
        <f t="shared" si="545"/>
        <v>NO APLICA</v>
      </c>
      <c r="NX163" s="6"/>
      <c r="NY163" s="6"/>
      <c r="NZ163" s="4"/>
      <c r="OA163" s="8"/>
      <c r="OB163" s="5" t="str">
        <f t="shared" si="546"/>
        <v>NO APLICA</v>
      </c>
      <c r="OC163" s="6"/>
      <c r="OD163" s="6"/>
      <c r="OE163" s="6"/>
      <c r="OF163" s="6"/>
      <c r="OG163" s="5" t="str">
        <f t="shared" si="547"/>
        <v>NO APLICA</v>
      </c>
      <c r="OH163" s="2"/>
      <c r="OI163" s="2"/>
      <c r="OJ163" s="4"/>
      <c r="OK163" s="8"/>
      <c r="OL163" s="5" t="str">
        <f t="shared" si="548"/>
        <v>NO APLICA</v>
      </c>
      <c r="OM163" s="6"/>
      <c r="ON163" s="6"/>
      <c r="OO163" s="6"/>
      <c r="OP163" s="6"/>
      <c r="OQ163" s="5" t="str">
        <f t="shared" si="549"/>
        <v>NO APLICA</v>
      </c>
      <c r="OR163" s="6"/>
      <c r="OS163" s="6"/>
      <c r="OT163" s="6"/>
      <c r="OU163" s="6"/>
      <c r="OV163" s="5" t="str">
        <f t="shared" si="550"/>
        <v>NO APLICA</v>
      </c>
      <c r="OW163" s="6"/>
      <c r="OX163" s="6"/>
      <c r="OY163" s="6"/>
      <c r="OZ163" s="6"/>
      <c r="PA163" s="5" t="str">
        <f t="shared" si="551"/>
        <v>NO APLICA</v>
      </c>
      <c r="PB163" s="6"/>
      <c r="PC163" s="6"/>
      <c r="PD163" s="6"/>
      <c r="PE163" s="6"/>
      <c r="PF163" s="5" t="str">
        <f t="shared" si="552"/>
        <v>NO APLICA</v>
      </c>
      <c r="PG163" s="6"/>
      <c r="PH163" s="6"/>
      <c r="PI163" s="6"/>
      <c r="PJ163" s="6"/>
      <c r="PK163" s="5" t="str">
        <f t="shared" si="553"/>
        <v>NO APLICA</v>
      </c>
      <c r="PL163" s="5"/>
      <c r="PM163" s="6"/>
      <c r="PN163" s="4"/>
      <c r="PO163" s="8"/>
      <c r="PP163" s="5" t="str">
        <f t="shared" si="554"/>
        <v>NO APLICA</v>
      </c>
      <c r="PQ163" s="6"/>
      <c r="PR163" s="6"/>
      <c r="PS163" s="6"/>
      <c r="PT163" s="6"/>
      <c r="PU163" s="5" t="str">
        <f t="shared" si="555"/>
        <v>NO APLICA</v>
      </c>
      <c r="PV163" s="5"/>
      <c r="PW163" s="6"/>
      <c r="PX163" s="6"/>
      <c r="PY163" s="6"/>
      <c r="PZ163" s="5" t="str">
        <f t="shared" si="556"/>
        <v>NO APLICA</v>
      </c>
    </row>
    <row r="164" spans="1:442" ht="15.6" hidden="1" thickTop="1" thickBot="1" x14ac:dyDescent="0.35">
      <c r="A164" s="26">
        <v>161</v>
      </c>
      <c r="B164" s="31">
        <v>1698</v>
      </c>
      <c r="C164" s="28" t="s">
        <v>767</v>
      </c>
      <c r="D164" s="29" t="s">
        <v>68</v>
      </c>
      <c r="E164" s="30" t="s">
        <v>73</v>
      </c>
      <c r="F164" s="5"/>
      <c r="G164" s="6"/>
      <c r="H164" s="4"/>
      <c r="I164" s="8"/>
      <c r="J164" s="5" t="str">
        <f t="shared" si="455"/>
        <v>NO APLICA</v>
      </c>
      <c r="K164" s="5"/>
      <c r="L164" s="6"/>
      <c r="M164" s="6"/>
      <c r="N164" s="8"/>
      <c r="O164" s="5" t="str">
        <f t="shared" si="456"/>
        <v>NO APLICA</v>
      </c>
      <c r="P164" s="4"/>
      <c r="Q164" s="4"/>
      <c r="R164" s="4"/>
      <c r="S164" s="8"/>
      <c r="T164" s="5" t="str">
        <f t="shared" si="557"/>
        <v>NO APLICA</v>
      </c>
      <c r="U164" s="5"/>
      <c r="V164" s="2" t="s">
        <v>524</v>
      </c>
      <c r="W164" s="4">
        <v>45156</v>
      </c>
      <c r="X164" s="4">
        <f t="shared" si="587"/>
        <v>46983</v>
      </c>
      <c r="Y164" s="8">
        <f t="shared" ca="1" si="588"/>
        <v>838</v>
      </c>
      <c r="Z164" s="5" t="str">
        <f t="shared" ca="1" si="412"/>
        <v>VIGENTE</v>
      </c>
      <c r="AA164" s="5"/>
      <c r="AB164" s="2" t="s">
        <v>525</v>
      </c>
      <c r="AC164" s="4">
        <v>45162</v>
      </c>
      <c r="AD164" s="4">
        <f>DATE(YEAR(AC164)+5,MONTH(AC164),DAY(AC164))</f>
        <v>46989</v>
      </c>
      <c r="AE164" s="8">
        <f ca="1">AD164-TODAY()</f>
        <v>844</v>
      </c>
      <c r="AF164" s="5" t="str">
        <f t="shared" ca="1" si="457"/>
        <v>VIGENTE</v>
      </c>
      <c r="AG164" s="3"/>
      <c r="AH164" s="4">
        <v>46006</v>
      </c>
      <c r="AI164" s="4">
        <f>DATE(YEAR(AH164)+2,MONTH(AH164),DAY(AH164))</f>
        <v>46736</v>
      </c>
      <c r="AJ164" s="8">
        <f t="shared" ca="1" si="458"/>
        <v>591</v>
      </c>
      <c r="AK164" s="5" t="str">
        <f t="shared" ca="1" si="408"/>
        <v>VIGENTE</v>
      </c>
      <c r="AL164" s="3"/>
      <c r="AM164" s="4">
        <v>45926</v>
      </c>
      <c r="AN164" s="4">
        <f>DATE(YEAR(AM164)+2,MONTH(AM164),DAY(AM164))</f>
        <v>46656</v>
      </c>
      <c r="AO164" s="8">
        <f t="shared" ca="1" si="459"/>
        <v>511</v>
      </c>
      <c r="AP164" s="5" t="str">
        <f t="shared" ca="1" si="460"/>
        <v>VIGENTE</v>
      </c>
      <c r="AQ164" s="3"/>
      <c r="AR164" s="4">
        <v>45904</v>
      </c>
      <c r="AS164" s="4">
        <f>DATE(YEAR(AR164)+2,MONTH(AR164),DAY(AR164))</f>
        <v>46634</v>
      </c>
      <c r="AT164" s="8">
        <f t="shared" ca="1" si="461"/>
        <v>489</v>
      </c>
      <c r="AU164" s="5" t="str">
        <f t="shared" ca="1" si="462"/>
        <v>VIGENTE</v>
      </c>
      <c r="AV164" s="3"/>
      <c r="AW164" s="4">
        <v>45972</v>
      </c>
      <c r="AX164" s="4">
        <f>DATE(YEAR(AW164)+2,MONTH(AW164),DAY(AW164))</f>
        <v>46702</v>
      </c>
      <c r="AY164" s="8">
        <f t="shared" ca="1" si="463"/>
        <v>557</v>
      </c>
      <c r="AZ164" s="5" t="str">
        <f t="shared" ca="1" si="464"/>
        <v>VIGENTE</v>
      </c>
      <c r="BA164" s="3"/>
      <c r="BB164" s="4">
        <v>45943</v>
      </c>
      <c r="BC164" s="4">
        <f>DATE(YEAR(BB164)+2,MONTH(BB164),DAY(BB164))</f>
        <v>46673</v>
      </c>
      <c r="BD164" s="8">
        <f t="shared" ca="1" si="465"/>
        <v>528</v>
      </c>
      <c r="BE164" s="5" t="str">
        <f t="shared" ca="1" si="466"/>
        <v>VIGENTE</v>
      </c>
      <c r="BF164" s="3"/>
      <c r="BG164" s="4">
        <v>45842</v>
      </c>
      <c r="BH164" s="4">
        <f>DATE(YEAR(BG164)+2,MONTH(BG164),DAY(BG164))</f>
        <v>46572</v>
      </c>
      <c r="BI164" s="8">
        <f t="shared" ca="1" si="467"/>
        <v>427</v>
      </c>
      <c r="BJ164" s="5" t="str">
        <f t="shared" ca="1" si="468"/>
        <v>VIGENTE</v>
      </c>
      <c r="BK164" s="3"/>
      <c r="BL164" s="4">
        <v>45976</v>
      </c>
      <c r="BM164" s="4">
        <f>DATE(YEAR(BL164)+2,MONTH(BL164),DAY(BL164))</f>
        <v>46706</v>
      </c>
      <c r="BN164" s="8">
        <f t="shared" ca="1" si="469"/>
        <v>561</v>
      </c>
      <c r="BO164" s="5" t="str">
        <f t="shared" ca="1" si="470"/>
        <v>VIGENTE</v>
      </c>
      <c r="BP164" s="3"/>
      <c r="BQ164" s="39">
        <v>45841</v>
      </c>
      <c r="BR164" s="4">
        <f>DATE(YEAR(BQ164)+2,MONTH(BQ164),DAY(BQ164))</f>
        <v>46571</v>
      </c>
      <c r="BS164" s="8">
        <f t="shared" ca="1" si="471"/>
        <v>426</v>
      </c>
      <c r="BT164" s="5" t="str">
        <f t="shared" ca="1" si="472"/>
        <v>VIGENTE</v>
      </c>
      <c r="BU164" s="2"/>
      <c r="BV164" s="4">
        <v>45950</v>
      </c>
      <c r="BW164" s="4">
        <f>DATE(YEAR(BV164)+2,MONTH(BV164),DAY(BV164))</f>
        <v>46680</v>
      </c>
      <c r="BX164" s="8">
        <f t="shared" ca="1" si="473"/>
        <v>535</v>
      </c>
      <c r="BY164" s="5" t="str">
        <f t="shared" ca="1" si="474"/>
        <v>VIGENTE</v>
      </c>
      <c r="BZ164" s="3"/>
      <c r="CA164" s="4">
        <v>45894</v>
      </c>
      <c r="CB164" s="4">
        <f t="shared" si="589"/>
        <v>46624</v>
      </c>
      <c r="CC164" s="8">
        <f t="shared" ca="1" si="475"/>
        <v>479</v>
      </c>
      <c r="CD164" s="5" t="str">
        <f t="shared" ca="1" si="476"/>
        <v>VIGENTE</v>
      </c>
      <c r="CE164" s="6"/>
      <c r="CF164" s="4">
        <v>45164</v>
      </c>
      <c r="CG164" s="4">
        <f t="shared" si="590"/>
        <v>46625</v>
      </c>
      <c r="CH164" s="8">
        <f t="shared" ca="1" si="591"/>
        <v>480</v>
      </c>
      <c r="CI164" s="5" t="str">
        <f t="shared" ca="1" si="573"/>
        <v>VIGENTE</v>
      </c>
      <c r="CJ164" s="6"/>
      <c r="CK164" s="4">
        <v>45929</v>
      </c>
      <c r="CL164" s="4">
        <f>DATE(YEAR(CK164)+2,MONTH(CK164),DAY(CK164))</f>
        <v>46659</v>
      </c>
      <c r="CM164" s="8">
        <f t="shared" ca="1" si="477"/>
        <v>514</v>
      </c>
      <c r="CN164" s="5" t="str">
        <f t="shared" ca="1" si="478"/>
        <v>VIGENTE</v>
      </c>
      <c r="CO164" s="3"/>
      <c r="CP164" s="39">
        <v>45898</v>
      </c>
      <c r="CQ164" s="4">
        <f>DATE(YEAR(CP164)+2,MONTH(CP164),DAY(CP164))</f>
        <v>46628</v>
      </c>
      <c r="CR164" s="8">
        <f t="shared" ca="1" si="479"/>
        <v>483</v>
      </c>
      <c r="CS164" s="5" t="str">
        <f t="shared" ca="1" si="480"/>
        <v>VIGENTE</v>
      </c>
      <c r="CT164" s="3"/>
      <c r="CU164" s="4">
        <v>45965</v>
      </c>
      <c r="CV164" s="4">
        <f>DATE(YEAR(CU164)+2,MONTH(CU164),DAY(CU164))</f>
        <v>46695</v>
      </c>
      <c r="CW164" s="8">
        <f t="shared" ca="1" si="481"/>
        <v>550</v>
      </c>
      <c r="CX164" s="5" t="str">
        <f t="shared" ca="1" si="482"/>
        <v>VIGENTE</v>
      </c>
      <c r="CY164" s="3"/>
      <c r="CZ164" s="4">
        <v>46000</v>
      </c>
      <c r="DA164" s="4">
        <f>DATE(YEAR(CZ164)+2,MONTH(CZ164),DAY(CZ164))</f>
        <v>46730</v>
      </c>
      <c r="DB164" s="8">
        <f t="shared" ca="1" si="483"/>
        <v>585</v>
      </c>
      <c r="DC164" s="5" t="str">
        <f t="shared" ca="1" si="484"/>
        <v>VIGENTE</v>
      </c>
      <c r="DD164" s="3"/>
      <c r="DE164" s="39">
        <v>45836</v>
      </c>
      <c r="DF164" s="4">
        <f>DATE(YEAR(DE164)+2,MONTH(DE164),DAY(DE164))</f>
        <v>46566</v>
      </c>
      <c r="DG164" s="8">
        <f t="shared" ca="1" si="485"/>
        <v>421</v>
      </c>
      <c r="DH164" s="5" t="str">
        <f t="shared" ca="1" si="486"/>
        <v>VIGENTE</v>
      </c>
      <c r="DI164" s="3"/>
      <c r="DJ164" s="39">
        <v>45779</v>
      </c>
      <c r="DK164" s="4">
        <f>DATE(YEAR(DJ164)+2,MONTH(DJ164),DAY(DJ164))</f>
        <v>46509</v>
      </c>
      <c r="DL164" s="8">
        <f t="shared" ca="1" si="487"/>
        <v>364</v>
      </c>
      <c r="DM164" s="5" t="str">
        <f t="shared" ca="1" si="488"/>
        <v>VIGENTE</v>
      </c>
      <c r="DN164" s="3"/>
      <c r="DO164" s="4">
        <v>45982</v>
      </c>
      <c r="DP164" s="4">
        <f>DATE(YEAR(DO164)+2,MONTH(DO164),DAY(DO164))</f>
        <v>46712</v>
      </c>
      <c r="DQ164" s="8">
        <f t="shared" ca="1" si="489"/>
        <v>567</v>
      </c>
      <c r="DR164" s="5" t="str">
        <f t="shared" ca="1" si="490"/>
        <v>VIGENTE</v>
      </c>
      <c r="DS164" s="4"/>
      <c r="DT164" s="4">
        <v>46018</v>
      </c>
      <c r="DU164" s="4">
        <f>DATE(YEAR(DT164)+2,MONTH(DT164),DAY(DT164))</f>
        <v>46748</v>
      </c>
      <c r="DV164" s="8">
        <f t="shared" ca="1" si="491"/>
        <v>603</v>
      </c>
      <c r="DW164" s="5" t="str">
        <f t="shared" ca="1" si="492"/>
        <v>VIGENTE</v>
      </c>
      <c r="DX164" s="3"/>
      <c r="DY164" s="4">
        <v>45915</v>
      </c>
      <c r="DZ164" s="4">
        <f>DATE(YEAR(DY164)+2,MONTH(DY164),DAY(DY164))</f>
        <v>46645</v>
      </c>
      <c r="EA164" s="8">
        <f t="shared" ca="1" si="493"/>
        <v>500</v>
      </c>
      <c r="EB164" s="5" t="str">
        <f t="shared" ca="1" si="494"/>
        <v>VIGENTE</v>
      </c>
      <c r="EC164" s="3"/>
      <c r="ED164" s="39">
        <v>45913</v>
      </c>
      <c r="EE164" s="4">
        <f>DATE(YEAR(ED164)+2,MONTH(ED164),DAY(ED164))</f>
        <v>46643</v>
      </c>
      <c r="EF164" s="8">
        <f t="shared" ca="1" si="495"/>
        <v>498</v>
      </c>
      <c r="EG164" s="5" t="str">
        <f t="shared" ca="1" si="496"/>
        <v>VIGENTE</v>
      </c>
      <c r="EH164" s="3"/>
      <c r="EI164" s="4">
        <v>46123</v>
      </c>
      <c r="EJ164" s="4">
        <f t="shared" si="558"/>
        <v>46488</v>
      </c>
      <c r="EK164" s="8">
        <f t="shared" ca="1" si="497"/>
        <v>343</v>
      </c>
      <c r="EL164" s="5" t="str">
        <f t="shared" ca="1" si="498"/>
        <v>VIGENTE</v>
      </c>
      <c r="EM164" s="3"/>
      <c r="EN164" s="4">
        <v>45940</v>
      </c>
      <c r="EO164" s="4">
        <f>DATE(YEAR(EN164)+2,MONTH(EN164),DAY(EN164))</f>
        <v>46670</v>
      </c>
      <c r="EP164" s="8">
        <f t="shared" ca="1" si="499"/>
        <v>525</v>
      </c>
      <c r="EQ164" s="5" t="str">
        <f t="shared" ca="1" si="500"/>
        <v>VIGENTE</v>
      </c>
      <c r="ER164" s="3"/>
      <c r="ES164" s="39">
        <v>45824</v>
      </c>
      <c r="ET164" s="4">
        <f>DATE(YEAR(ES164)+2,MONTH(ES164),DAY(ES164))</f>
        <v>46554</v>
      </c>
      <c r="EU164" s="8">
        <f t="shared" ca="1" si="501"/>
        <v>409</v>
      </c>
      <c r="EV164" s="5" t="str">
        <f t="shared" ca="1" si="502"/>
        <v>VIGENTE</v>
      </c>
      <c r="EW164" s="2"/>
      <c r="EX164" s="4">
        <v>45953</v>
      </c>
      <c r="EY164" s="4">
        <f t="shared" si="592"/>
        <v>46683</v>
      </c>
      <c r="EZ164" s="8">
        <f t="shared" ca="1" si="503"/>
        <v>538</v>
      </c>
      <c r="FA164" s="5" t="str">
        <f t="shared" ca="1" si="504"/>
        <v>VIGENTE</v>
      </c>
      <c r="FB164" s="3"/>
      <c r="FC164" s="4">
        <v>45931</v>
      </c>
      <c r="FD164" s="4">
        <f t="shared" si="593"/>
        <v>46661</v>
      </c>
      <c r="FE164" s="8">
        <f t="shared" ca="1" si="505"/>
        <v>516</v>
      </c>
      <c r="FF164" s="5" t="str">
        <f t="shared" ca="1" si="506"/>
        <v>VIGENTE</v>
      </c>
      <c r="FG164" s="3"/>
      <c r="FH164" s="4">
        <v>45969</v>
      </c>
      <c r="FI164" s="4">
        <f t="shared" si="594"/>
        <v>46699</v>
      </c>
      <c r="FJ164" s="8">
        <f t="shared" ca="1" si="507"/>
        <v>554</v>
      </c>
      <c r="FK164" s="5" t="str">
        <f t="shared" ca="1" si="508"/>
        <v>VIGENTE</v>
      </c>
      <c r="FL164" s="3"/>
      <c r="FM164" s="39">
        <v>45933</v>
      </c>
      <c r="FN164" s="4">
        <f>DATE(YEAR(FM164)+2,MONTH(FM164),DAY(FM164))</f>
        <v>46663</v>
      </c>
      <c r="FO164" s="8">
        <f t="shared" ca="1" si="509"/>
        <v>518</v>
      </c>
      <c r="FP164" s="5" t="str">
        <f t="shared" ca="1" si="510"/>
        <v>VIGENTE</v>
      </c>
      <c r="FQ164" s="3"/>
      <c r="FR164" s="39">
        <v>45957</v>
      </c>
      <c r="FS164" s="4">
        <f>DATE(YEAR(FR164)+2,MONTH(FR164),DAY(FR164))</f>
        <v>46687</v>
      </c>
      <c r="FT164" s="8">
        <f t="shared" ca="1" si="511"/>
        <v>542</v>
      </c>
      <c r="FU164" s="5" t="str">
        <f t="shared" ca="1" si="512"/>
        <v>VIGENTE</v>
      </c>
      <c r="FV164" s="3"/>
      <c r="FW164" s="4">
        <v>45993</v>
      </c>
      <c r="FX164" s="4">
        <f>DATE(YEAR(FW164)+2,MONTH(FW164),DAY(FW164))</f>
        <v>46723</v>
      </c>
      <c r="FY164" s="8">
        <f t="shared" ca="1" si="513"/>
        <v>578</v>
      </c>
      <c r="FZ164" s="5" t="str">
        <f t="shared" ca="1" si="514"/>
        <v>VIGENTE</v>
      </c>
      <c r="GA164" s="3"/>
      <c r="GB164" s="4">
        <v>45925</v>
      </c>
      <c r="GC164" s="4">
        <f>DATE(YEAR(GB164)+2,MONTH(GB164),DAY(GB164))</f>
        <v>46655</v>
      </c>
      <c r="GD164" s="8">
        <f t="shared" ca="1" si="515"/>
        <v>510</v>
      </c>
      <c r="GE164" s="5" t="str">
        <f t="shared" ca="1" si="516"/>
        <v>VIGENTE</v>
      </c>
      <c r="GF164" s="3"/>
      <c r="GG164" s="4">
        <v>45960</v>
      </c>
      <c r="GH164" s="4">
        <f>DATE(YEAR(GG164)+2,MONTH(GG164),DAY(GG164))</f>
        <v>46690</v>
      </c>
      <c r="GI164" s="8">
        <f t="shared" ca="1" si="517"/>
        <v>545</v>
      </c>
      <c r="GJ164" s="5" t="str">
        <f t="shared" ca="1" si="518"/>
        <v>VIGENTE</v>
      </c>
      <c r="GK164" s="3"/>
      <c r="GL164" s="4">
        <v>45923</v>
      </c>
      <c r="GM164" s="4">
        <f>DATE(YEAR(GL164)+2,MONTH(GL164),DAY(GL164))</f>
        <v>46653</v>
      </c>
      <c r="GN164" s="8">
        <f t="shared" ca="1" si="519"/>
        <v>508</v>
      </c>
      <c r="GO164" s="5" t="str">
        <f t="shared" ca="1" si="520"/>
        <v>VIGENTE</v>
      </c>
      <c r="GP164" s="4"/>
      <c r="GQ164" s="4">
        <v>45265</v>
      </c>
      <c r="GR164" s="4">
        <f t="shared" si="521"/>
        <v>47092</v>
      </c>
      <c r="GS164" s="8">
        <f t="shared" ca="1" si="405"/>
        <v>947</v>
      </c>
      <c r="GT164" s="5" t="str">
        <f t="shared" ca="1" si="419"/>
        <v>VIGENTE</v>
      </c>
      <c r="GU164" s="3"/>
      <c r="GV164" s="4">
        <v>45245</v>
      </c>
      <c r="GW164" s="4">
        <f t="shared" si="522"/>
        <v>47072</v>
      </c>
      <c r="GX164" s="8">
        <f t="shared" ca="1" si="523"/>
        <v>927</v>
      </c>
      <c r="GY164" s="5" t="str">
        <f t="shared" ca="1" si="426"/>
        <v>VIGENTE</v>
      </c>
      <c r="GZ164" s="2"/>
      <c r="HA164" s="4">
        <v>45249</v>
      </c>
      <c r="HB164" s="4">
        <f t="shared" si="524"/>
        <v>47076</v>
      </c>
      <c r="HC164" s="8">
        <f t="shared" ca="1" si="525"/>
        <v>931</v>
      </c>
      <c r="HD164" s="5" t="str">
        <f t="shared" ca="1" si="421"/>
        <v>VIGENTE</v>
      </c>
      <c r="HE164" s="6"/>
      <c r="HF164" s="4">
        <v>45222</v>
      </c>
      <c r="HG164" s="4">
        <f>DATE(YEAR(HF164)+5,MONTH(HF164),DAY(HF164))</f>
        <v>47049</v>
      </c>
      <c r="HH164" s="8">
        <f ca="1">HG164-TODAY()</f>
        <v>904</v>
      </c>
      <c r="HI164" s="5" t="str">
        <f t="shared" ca="1" si="427"/>
        <v>VIGENTE</v>
      </c>
      <c r="HJ164" s="2"/>
      <c r="HK164" s="6"/>
      <c r="HL164" s="4"/>
      <c r="HM164" s="8"/>
      <c r="HN164" s="5" t="str">
        <f t="shared" si="444"/>
        <v>NO APLICA</v>
      </c>
      <c r="HO164" s="2"/>
      <c r="HP164" s="2"/>
      <c r="HQ164" s="4"/>
      <c r="HR164" s="2"/>
      <c r="HS164" s="5" t="str">
        <f t="shared" si="526"/>
        <v>NO APLICA</v>
      </c>
      <c r="HT164" s="2"/>
      <c r="HU164" s="6"/>
      <c r="HV164" s="4"/>
      <c r="HW164" s="8"/>
      <c r="HX164" s="5" t="str">
        <f t="shared" si="527"/>
        <v>NO APLICA</v>
      </c>
      <c r="HY164" s="2"/>
      <c r="HZ164" s="6"/>
      <c r="IA164" s="4"/>
      <c r="IB164" s="8"/>
      <c r="IC164" s="5" t="str">
        <f t="shared" si="528"/>
        <v>NO APLICA</v>
      </c>
      <c r="ID164" s="2"/>
      <c r="IE164" s="6"/>
      <c r="IF164" s="4"/>
      <c r="IG164" s="8"/>
      <c r="IH164" s="5" t="str">
        <f t="shared" si="529"/>
        <v>NO APLICA</v>
      </c>
      <c r="II164" s="6"/>
      <c r="IJ164" s="6"/>
      <c r="IK164" s="4"/>
      <c r="IL164" s="8"/>
      <c r="IM164" s="5" t="str">
        <f t="shared" si="530"/>
        <v>NO APLICA</v>
      </c>
      <c r="IN164" s="2"/>
      <c r="IO164" s="6"/>
      <c r="IP164" s="4"/>
      <c r="IQ164" s="8"/>
      <c r="IR164" s="5" t="str">
        <f t="shared" si="531"/>
        <v>NO APLICA</v>
      </c>
      <c r="IS164" s="2"/>
      <c r="IT164" s="6"/>
      <c r="IU164" s="4"/>
      <c r="IV164" s="8"/>
      <c r="IW164" s="5" t="str">
        <f t="shared" si="532"/>
        <v>NO APLICA</v>
      </c>
      <c r="IX164" s="2"/>
      <c r="IY164" s="6"/>
      <c r="IZ164" s="4"/>
      <c r="JA164" s="8"/>
      <c r="JB164" s="5" t="str">
        <f t="shared" si="533"/>
        <v>NO APLICA</v>
      </c>
      <c r="JC164" s="3" t="s">
        <v>780</v>
      </c>
      <c r="JD164" s="3"/>
      <c r="JE164" s="4"/>
      <c r="JF164" s="8"/>
      <c r="JG164" s="5"/>
      <c r="JH164" s="3" t="s">
        <v>780</v>
      </c>
      <c r="JI164" s="6"/>
      <c r="JJ164" s="6"/>
      <c r="JK164" s="6"/>
      <c r="JL164" s="5"/>
      <c r="JM164" s="6" t="s">
        <v>780</v>
      </c>
      <c r="JN164" s="6"/>
      <c r="JO164" s="6"/>
      <c r="JP164" s="6"/>
      <c r="JQ164" s="5"/>
      <c r="JR164" s="6" t="s">
        <v>780</v>
      </c>
      <c r="JS164" s="6"/>
      <c r="JT164" s="6"/>
      <c r="JU164" s="6"/>
      <c r="JV164" s="5"/>
      <c r="JW164" s="6" t="s">
        <v>780</v>
      </c>
      <c r="JX164" s="5"/>
      <c r="JY164" s="5"/>
      <c r="JZ164" s="5"/>
      <c r="KA164" s="5"/>
      <c r="KB164" s="5"/>
      <c r="KC164" s="2"/>
      <c r="KD164" s="4"/>
      <c r="KE164" s="8"/>
      <c r="KF164" s="5" t="str">
        <f t="shared" si="534"/>
        <v>NO APLICA</v>
      </c>
      <c r="KG164" s="5"/>
      <c r="KH164" s="2"/>
      <c r="KI164" s="4"/>
      <c r="KJ164" s="8"/>
      <c r="KK164" s="5" t="str">
        <f t="shared" si="559"/>
        <v>NO APLICA</v>
      </c>
      <c r="KL164" s="5"/>
      <c r="KM164" s="2"/>
      <c r="KN164" s="4"/>
      <c r="KO164" s="8"/>
      <c r="KP164" s="5" t="str">
        <f t="shared" si="535"/>
        <v>NO APLICA</v>
      </c>
      <c r="KQ164" s="5"/>
      <c r="KR164" s="2"/>
      <c r="KS164" s="4"/>
      <c r="KT164" s="8"/>
      <c r="KU164" s="5" t="str">
        <f t="shared" si="560"/>
        <v>NO APLICA</v>
      </c>
      <c r="KV164" s="2"/>
      <c r="KW164" s="6"/>
      <c r="KX164" s="4"/>
      <c r="KY164" s="8"/>
      <c r="KZ164" s="5" t="str">
        <f t="shared" si="565"/>
        <v>NO APLICA</v>
      </c>
      <c r="LA164" s="5"/>
      <c r="LB164" s="6"/>
      <c r="LC164" s="4"/>
      <c r="LD164" s="8"/>
      <c r="LE164" s="5" t="str">
        <f t="shared" si="561"/>
        <v>NO APLICA</v>
      </c>
      <c r="LF164" s="6"/>
      <c r="LG164" s="4"/>
      <c r="LH164" s="4"/>
      <c r="LI164" s="8"/>
      <c r="LJ164" s="5" t="str">
        <f t="shared" si="567"/>
        <v>NO APLICA</v>
      </c>
      <c r="LK164" s="5"/>
      <c r="LL164" s="5"/>
      <c r="LM164" s="5"/>
      <c r="LN164" s="5"/>
      <c r="LO164" s="5" t="str">
        <f t="shared" si="566"/>
        <v>NO APLICA</v>
      </c>
      <c r="LP164" s="2"/>
      <c r="LQ164" s="6"/>
      <c r="LR164" s="4"/>
      <c r="LS164" s="8"/>
      <c r="LT164" s="5" t="str">
        <f t="shared" si="562"/>
        <v>NO APLICA</v>
      </c>
      <c r="LU164" s="6"/>
      <c r="LV164" s="6"/>
      <c r="LW164" s="4"/>
      <c r="LX164" s="8"/>
      <c r="LY164" s="5" t="str">
        <f t="shared" si="563"/>
        <v>NO APLICA</v>
      </c>
      <c r="LZ164" s="6"/>
      <c r="MA164" s="6"/>
      <c r="MB164" s="4"/>
      <c r="MC164" s="8"/>
      <c r="MD164" s="5" t="str">
        <f t="shared" si="564"/>
        <v>NO APLICA</v>
      </c>
      <c r="ME164" s="2"/>
      <c r="MF164" s="2"/>
      <c r="MG164" s="4"/>
      <c r="MH164" s="8"/>
      <c r="MI164" s="5" t="str">
        <f t="shared" si="537"/>
        <v>NO APLICA</v>
      </c>
      <c r="MJ164" s="2"/>
      <c r="MK164" s="2"/>
      <c r="ML164" s="4"/>
      <c r="MM164" s="8"/>
      <c r="MN164" s="5" t="str">
        <f t="shared" si="538"/>
        <v>NO APLICA</v>
      </c>
      <c r="MO164" s="5"/>
      <c r="MP164" s="2"/>
      <c r="MQ164" s="4"/>
      <c r="MR164" s="8"/>
      <c r="MS164" s="5" t="str">
        <f t="shared" si="539"/>
        <v>NO APLICA</v>
      </c>
      <c r="MT164" s="5"/>
      <c r="MU164" s="2"/>
      <c r="MV164" s="4"/>
      <c r="MW164" s="2"/>
      <c r="MX164" s="5" t="str">
        <f t="shared" si="540"/>
        <v>NO APLICA</v>
      </c>
      <c r="MY164" s="2"/>
      <c r="MZ164" s="6"/>
      <c r="NA164" s="4"/>
      <c r="NB164" s="8"/>
      <c r="NC164" s="5" t="str">
        <f t="shared" si="541"/>
        <v>NO APLICA</v>
      </c>
      <c r="ND164" s="2"/>
      <c r="NE164" s="6"/>
      <c r="NF164" s="4"/>
      <c r="NG164" s="8"/>
      <c r="NH164" s="5" t="str">
        <f t="shared" si="542"/>
        <v>NO APLICA</v>
      </c>
      <c r="NI164" s="2"/>
      <c r="NJ164" s="6"/>
      <c r="NK164" s="4"/>
      <c r="NL164" s="8"/>
      <c r="NM164" s="5" t="str">
        <f t="shared" si="543"/>
        <v>NO APLICA</v>
      </c>
      <c r="NN164" s="2"/>
      <c r="NO164" s="2"/>
      <c r="NP164" s="4"/>
      <c r="NQ164" s="8"/>
      <c r="NR164" s="5" t="str">
        <f t="shared" si="544"/>
        <v>NO APLICA</v>
      </c>
      <c r="NS164" s="2"/>
      <c r="NT164" s="2"/>
      <c r="NU164" s="4"/>
      <c r="NV164" s="2"/>
      <c r="NW164" s="5" t="str">
        <f t="shared" si="545"/>
        <v>NO APLICA</v>
      </c>
      <c r="NX164" s="6"/>
      <c r="NY164" s="6"/>
      <c r="NZ164" s="4"/>
      <c r="OA164" s="8"/>
      <c r="OB164" s="5" t="str">
        <f t="shared" si="546"/>
        <v>NO APLICA</v>
      </c>
      <c r="OC164" s="6"/>
      <c r="OD164" s="6"/>
      <c r="OE164" s="6"/>
      <c r="OF164" s="6"/>
      <c r="OG164" s="5" t="str">
        <f t="shared" si="547"/>
        <v>NO APLICA</v>
      </c>
      <c r="OH164" s="6"/>
      <c r="OI164" s="6"/>
      <c r="OJ164" s="4"/>
      <c r="OK164" s="8"/>
      <c r="OL164" s="5" t="str">
        <f t="shared" si="548"/>
        <v>NO APLICA</v>
      </c>
      <c r="OM164" s="6"/>
      <c r="ON164" s="6"/>
      <c r="OO164" s="6"/>
      <c r="OP164" s="6"/>
      <c r="OQ164" s="5" t="str">
        <f t="shared" si="549"/>
        <v>NO APLICA</v>
      </c>
      <c r="OR164" s="6"/>
      <c r="OS164" s="6"/>
      <c r="OT164" s="6"/>
      <c r="OU164" s="6"/>
      <c r="OV164" s="5" t="str">
        <f t="shared" si="550"/>
        <v>NO APLICA</v>
      </c>
      <c r="OW164" s="6"/>
      <c r="OX164" s="6"/>
      <c r="OY164" s="6"/>
      <c r="OZ164" s="6"/>
      <c r="PA164" s="5" t="str">
        <f t="shared" si="551"/>
        <v>NO APLICA</v>
      </c>
      <c r="PB164" s="6"/>
      <c r="PC164" s="6"/>
      <c r="PD164" s="6"/>
      <c r="PE164" s="6"/>
      <c r="PF164" s="5" t="str">
        <f t="shared" si="552"/>
        <v>NO APLICA</v>
      </c>
      <c r="PG164" s="6"/>
      <c r="PH164" s="6"/>
      <c r="PI164" s="6"/>
      <c r="PJ164" s="6"/>
      <c r="PK164" s="5" t="str">
        <f t="shared" si="553"/>
        <v>NO APLICA</v>
      </c>
      <c r="PL164" s="5"/>
      <c r="PM164" s="6"/>
      <c r="PN164" s="4"/>
      <c r="PO164" s="8"/>
      <c r="PP164" s="5" t="str">
        <f t="shared" si="554"/>
        <v>NO APLICA</v>
      </c>
      <c r="PQ164" s="6"/>
      <c r="PR164" s="6"/>
      <c r="PS164" s="6"/>
      <c r="PT164" s="6"/>
      <c r="PU164" s="5" t="str">
        <f t="shared" si="555"/>
        <v>NO APLICA</v>
      </c>
      <c r="PV164" s="5"/>
      <c r="PW164" s="6"/>
      <c r="PX164" s="6"/>
      <c r="PY164" s="6"/>
      <c r="PZ164" s="5" t="str">
        <f t="shared" si="556"/>
        <v>NO APLICA</v>
      </c>
    </row>
    <row r="165" spans="1:442" ht="15.6" hidden="1" thickTop="1" thickBot="1" x14ac:dyDescent="0.35">
      <c r="A165" s="26">
        <v>162</v>
      </c>
      <c r="B165" s="27">
        <v>1300</v>
      </c>
      <c r="C165" s="28" t="s">
        <v>526</v>
      </c>
      <c r="D165" s="29" t="s">
        <v>113</v>
      </c>
      <c r="E165" s="30" t="s">
        <v>148</v>
      </c>
      <c r="F165" s="3"/>
      <c r="G165" s="4">
        <v>46060</v>
      </c>
      <c r="H165" s="4">
        <f>DATE(YEAR(G165)+2,MONTH(G165),DAY(G165))</f>
        <v>46790</v>
      </c>
      <c r="I165" s="8">
        <f ca="1">H165-TODAY()</f>
        <v>645</v>
      </c>
      <c r="J165" s="5" t="str">
        <f t="shared" ca="1" si="455"/>
        <v>VIGENTE</v>
      </c>
      <c r="K165" s="3"/>
      <c r="L165" s="4"/>
      <c r="M165" s="6"/>
      <c r="N165" s="8"/>
      <c r="O165" s="5" t="str">
        <f t="shared" si="456"/>
        <v>NO APLICA</v>
      </c>
      <c r="P165" s="4"/>
      <c r="Q165" s="4"/>
      <c r="R165" s="4"/>
      <c r="S165" s="8"/>
      <c r="T165" s="5" t="str">
        <f t="shared" si="557"/>
        <v>NO APLICA</v>
      </c>
      <c r="U165" s="5"/>
      <c r="V165" s="2" t="s">
        <v>527</v>
      </c>
      <c r="W165" s="4">
        <v>46069</v>
      </c>
      <c r="X165" s="4">
        <f t="shared" si="587"/>
        <v>47895</v>
      </c>
      <c r="Y165" s="8">
        <f t="shared" ca="1" si="588"/>
        <v>1750</v>
      </c>
      <c r="Z165" s="5" t="str">
        <f t="shared" ca="1" si="412"/>
        <v>VIGENTE</v>
      </c>
      <c r="AA165" s="5"/>
      <c r="AB165" s="2"/>
      <c r="AC165" s="6"/>
      <c r="AD165" s="4"/>
      <c r="AE165" s="8"/>
      <c r="AF165" s="5" t="str">
        <f t="shared" si="457"/>
        <v>NO APLICA</v>
      </c>
      <c r="AG165" s="3"/>
      <c r="AH165" s="4">
        <v>46002</v>
      </c>
      <c r="AI165" s="4">
        <f>DATE(YEAR(AH165)+2,MONTH(AH165),DAY(AH165))</f>
        <v>46732</v>
      </c>
      <c r="AJ165" s="8">
        <f t="shared" ca="1" si="458"/>
        <v>587</v>
      </c>
      <c r="AK165" s="5" t="str">
        <f t="shared" ca="1" si="408"/>
        <v>VIGENTE</v>
      </c>
      <c r="AL165" s="3"/>
      <c r="AM165" s="4">
        <v>45903</v>
      </c>
      <c r="AN165" s="4">
        <f>DATE(YEAR(AM165)+2,MONTH(AM165),DAY(AM165))</f>
        <v>46633</v>
      </c>
      <c r="AO165" s="8">
        <f t="shared" ca="1" si="459"/>
        <v>488</v>
      </c>
      <c r="AP165" s="5" t="str">
        <f t="shared" ca="1" si="460"/>
        <v>VIGENTE</v>
      </c>
      <c r="AQ165" s="3"/>
      <c r="AR165" s="4">
        <v>45887</v>
      </c>
      <c r="AS165" s="4">
        <f>DATE(YEAR(AR165)+2,MONTH(AR165),DAY(AR165))</f>
        <v>46617</v>
      </c>
      <c r="AT165" s="8">
        <f t="shared" ca="1" si="461"/>
        <v>472</v>
      </c>
      <c r="AU165" s="5" t="str">
        <f t="shared" ca="1" si="462"/>
        <v>VIGENTE</v>
      </c>
      <c r="AV165" s="3"/>
      <c r="AW165" s="4">
        <v>45927</v>
      </c>
      <c r="AX165" s="4">
        <f>DATE(YEAR(AW165)+2,MONTH(AW165),DAY(AW165))</f>
        <v>46657</v>
      </c>
      <c r="AY165" s="8">
        <f t="shared" ca="1" si="463"/>
        <v>512</v>
      </c>
      <c r="AZ165" s="5" t="str">
        <f t="shared" ca="1" si="464"/>
        <v>VIGENTE</v>
      </c>
      <c r="BA165" s="3"/>
      <c r="BB165" s="4">
        <v>45773</v>
      </c>
      <c r="BC165" s="4">
        <f>DATE(YEAR(BB165)+2,MONTH(BB165),DAY(BB165))</f>
        <v>46503</v>
      </c>
      <c r="BD165" s="8">
        <f t="shared" ca="1" si="465"/>
        <v>358</v>
      </c>
      <c r="BE165" s="5" t="str">
        <f t="shared" ca="1" si="466"/>
        <v>VIGENTE</v>
      </c>
      <c r="BF165" s="3"/>
      <c r="BG165" s="4">
        <v>45698</v>
      </c>
      <c r="BH165" s="4">
        <f>DATE(YEAR(BG165)+2,MONTH(BG165),DAY(BG165)-1)</f>
        <v>46427</v>
      </c>
      <c r="BI165" s="8">
        <f t="shared" ca="1" si="467"/>
        <v>282</v>
      </c>
      <c r="BJ165" s="5" t="str">
        <f t="shared" ca="1" si="468"/>
        <v>VIGENTE</v>
      </c>
      <c r="BK165" s="3"/>
      <c r="BL165" s="4">
        <v>45600</v>
      </c>
      <c r="BM165" s="4">
        <f>DATE(YEAR(BL165)+2,MONTH(BL165),DAY(BL165)-1)</f>
        <v>46329</v>
      </c>
      <c r="BN165" s="8">
        <f t="shared" ca="1" si="469"/>
        <v>184</v>
      </c>
      <c r="BO165" s="5" t="str">
        <f t="shared" ca="1" si="470"/>
        <v>VIGENTE</v>
      </c>
      <c r="BP165" s="3"/>
      <c r="BQ165" s="39">
        <v>45701</v>
      </c>
      <c r="BR165" s="4">
        <f>DATE(YEAR(BQ165)+2,MONTH(BQ165),DAY(BQ165)-1)</f>
        <v>46430</v>
      </c>
      <c r="BS165" s="8">
        <f t="shared" ca="1" si="471"/>
        <v>285</v>
      </c>
      <c r="BT165" s="5" t="str">
        <f t="shared" ca="1" si="472"/>
        <v>VIGENTE</v>
      </c>
      <c r="BU165" s="3"/>
      <c r="BV165" s="4">
        <v>45568</v>
      </c>
      <c r="BW165" s="4">
        <f>DATE(YEAR(BV165)+2,MONTH(BV165),DAY(BV165)-1)</f>
        <v>46297</v>
      </c>
      <c r="BX165" s="8">
        <f t="shared" ca="1" si="473"/>
        <v>152</v>
      </c>
      <c r="BY165" s="5" t="str">
        <f t="shared" ca="1" si="474"/>
        <v>VIGENTE</v>
      </c>
      <c r="BZ165" s="3"/>
      <c r="CA165" s="4">
        <v>45979</v>
      </c>
      <c r="CB165" s="4">
        <f t="shared" si="589"/>
        <v>46709</v>
      </c>
      <c r="CC165" s="8">
        <f t="shared" ca="1" si="475"/>
        <v>564</v>
      </c>
      <c r="CD165" s="5" t="str">
        <f t="shared" ca="1" si="476"/>
        <v>VIGENTE</v>
      </c>
      <c r="CE165" s="6"/>
      <c r="CF165" s="4">
        <v>45723</v>
      </c>
      <c r="CG165" s="4">
        <f t="shared" si="590"/>
        <v>47184</v>
      </c>
      <c r="CH165" s="8">
        <f t="shared" ca="1" si="591"/>
        <v>1039</v>
      </c>
      <c r="CI165" s="5" t="str">
        <f t="shared" ca="1" si="573"/>
        <v>VIGENTE</v>
      </c>
      <c r="CJ165" s="4"/>
      <c r="CK165" s="4">
        <v>45688</v>
      </c>
      <c r="CL165" s="4">
        <f>DATE(YEAR(CK165)+2,MONTH(CK165),DAY(CK165)-1)</f>
        <v>46417</v>
      </c>
      <c r="CM165" s="8">
        <f t="shared" ca="1" si="477"/>
        <v>272</v>
      </c>
      <c r="CN165" s="5" t="str">
        <f t="shared" ca="1" si="478"/>
        <v>VIGENTE</v>
      </c>
      <c r="CO165" s="3"/>
      <c r="CP165" s="39">
        <v>45684</v>
      </c>
      <c r="CQ165" s="4">
        <f>DATE(YEAR(CP165)+2,MONTH(CP165),DAY(CP165)-1)</f>
        <v>46413</v>
      </c>
      <c r="CR165" s="8">
        <f t="shared" ca="1" si="479"/>
        <v>268</v>
      </c>
      <c r="CS165" s="5" t="str">
        <f t="shared" ca="1" si="480"/>
        <v>VIGENTE</v>
      </c>
      <c r="CT165" s="3"/>
      <c r="CU165" s="4">
        <v>45905</v>
      </c>
      <c r="CV165" s="4">
        <f>DATE(YEAR(CU165)+2,MONTH(CU165),DAY(CU165))</f>
        <v>46635</v>
      </c>
      <c r="CW165" s="8">
        <f t="shared" ca="1" si="481"/>
        <v>490</v>
      </c>
      <c r="CX165" s="5" t="str">
        <f t="shared" ca="1" si="482"/>
        <v>VIGENTE</v>
      </c>
      <c r="CY165" s="3"/>
      <c r="CZ165" s="4">
        <v>45835</v>
      </c>
      <c r="DA165" s="4">
        <f>DATE(YEAR(CZ165)+2,MONTH(CZ165),DAY(CZ165))</f>
        <v>46565</v>
      </c>
      <c r="DB165" s="8">
        <f t="shared" ca="1" si="483"/>
        <v>420</v>
      </c>
      <c r="DC165" s="5" t="str">
        <f t="shared" ca="1" si="484"/>
        <v>VIGENTE</v>
      </c>
      <c r="DD165" s="3"/>
      <c r="DE165" s="39">
        <v>45761</v>
      </c>
      <c r="DF165" s="4">
        <f>DATE(YEAR(DE165)+2,MONTH(DE165),DAY(DE165))</f>
        <v>46491</v>
      </c>
      <c r="DG165" s="8">
        <f t="shared" ca="1" si="485"/>
        <v>346</v>
      </c>
      <c r="DH165" s="5" t="str">
        <f t="shared" ca="1" si="486"/>
        <v>VIGENTE</v>
      </c>
      <c r="DI165" s="3"/>
      <c r="DJ165" s="39">
        <v>45955</v>
      </c>
      <c r="DK165" s="4">
        <f>DATE(YEAR(DJ165)+2,MONTH(DJ165),DAY(DJ165))</f>
        <v>46685</v>
      </c>
      <c r="DL165" s="8">
        <f t="shared" ca="1" si="487"/>
        <v>540</v>
      </c>
      <c r="DM165" s="5" t="str">
        <f t="shared" ca="1" si="488"/>
        <v>VIGENTE</v>
      </c>
      <c r="DN165" s="3"/>
      <c r="DO165" s="4">
        <v>45982</v>
      </c>
      <c r="DP165" s="4">
        <f>DATE(YEAR(DO165)+2,MONTH(DO165),DAY(DO165))</f>
        <v>46712</v>
      </c>
      <c r="DQ165" s="8">
        <f t="shared" ca="1" si="489"/>
        <v>567</v>
      </c>
      <c r="DR165" s="5" t="str">
        <f t="shared" ca="1" si="490"/>
        <v>VIGENTE</v>
      </c>
      <c r="DS165" s="3"/>
      <c r="DT165" s="4">
        <v>45770</v>
      </c>
      <c r="DU165" s="4">
        <f>DATE(YEAR(DT165)+2,MONTH(DT165),DAY(DT165))</f>
        <v>46500</v>
      </c>
      <c r="DV165" s="8">
        <f t="shared" ca="1" si="491"/>
        <v>355</v>
      </c>
      <c r="DW165" s="5" t="str">
        <f t="shared" ca="1" si="492"/>
        <v>VIGENTE</v>
      </c>
      <c r="DX165" s="3"/>
      <c r="DY165" s="4">
        <v>45751</v>
      </c>
      <c r="DZ165" s="4">
        <f t="shared" ref="DZ165:DZ171" si="595">DATE(YEAR(DY165)+2,MONTH(DY165),DAY(DY165)-1)</f>
        <v>46480</v>
      </c>
      <c r="EA165" s="8">
        <f t="shared" ca="1" si="493"/>
        <v>335</v>
      </c>
      <c r="EB165" s="5" t="str">
        <f t="shared" ca="1" si="494"/>
        <v>VIGENTE</v>
      </c>
      <c r="EC165" s="3"/>
      <c r="ED165" s="39">
        <v>45674</v>
      </c>
      <c r="EE165" s="4">
        <f>DATE(YEAR(ED165)+2,MONTH(ED165),DAY(ED165)-1)</f>
        <v>46403</v>
      </c>
      <c r="EF165" s="8">
        <f t="shared" ca="1" si="495"/>
        <v>258</v>
      </c>
      <c r="EG165" s="5" t="str">
        <f t="shared" ca="1" si="496"/>
        <v>VIGENTE</v>
      </c>
      <c r="EH165" s="3"/>
      <c r="EI165" s="3">
        <v>46085</v>
      </c>
      <c r="EJ165" s="4">
        <f t="shared" si="558"/>
        <v>46450</v>
      </c>
      <c r="EK165" s="8">
        <f t="shared" ca="1" si="497"/>
        <v>305</v>
      </c>
      <c r="EL165" s="5" t="str">
        <f t="shared" ca="1" si="498"/>
        <v>VIGENTE</v>
      </c>
      <c r="EM165" s="3"/>
      <c r="EN165" s="4">
        <v>45671</v>
      </c>
      <c r="EO165" s="4">
        <f>DATE(YEAR(EN165)+2,MONTH(EN165),DAY(EN165)-1)</f>
        <v>46400</v>
      </c>
      <c r="EP165" s="8">
        <f t="shared" ca="1" si="499"/>
        <v>255</v>
      </c>
      <c r="EQ165" s="5" t="str">
        <f t="shared" ca="1" si="500"/>
        <v>VIGENTE</v>
      </c>
      <c r="ER165" s="3"/>
      <c r="ES165" s="39">
        <v>45677</v>
      </c>
      <c r="ET165" s="4">
        <f>DATE(YEAR(ES165)+2,MONTH(ES165),DAY(ES165)-1)</f>
        <v>46406</v>
      </c>
      <c r="EU165" s="8">
        <f t="shared" ca="1" si="501"/>
        <v>261</v>
      </c>
      <c r="EV165" s="5" t="str">
        <f t="shared" ca="1" si="502"/>
        <v>VIGENTE</v>
      </c>
      <c r="EW165" s="3"/>
      <c r="EX165" s="4">
        <v>45917</v>
      </c>
      <c r="EY165" s="4">
        <f t="shared" si="592"/>
        <v>46647</v>
      </c>
      <c r="EZ165" s="8">
        <f t="shared" ca="1" si="503"/>
        <v>502</v>
      </c>
      <c r="FA165" s="5" t="str">
        <f t="shared" ca="1" si="504"/>
        <v>VIGENTE</v>
      </c>
      <c r="FB165" s="3"/>
      <c r="FC165" s="4">
        <v>45931</v>
      </c>
      <c r="FD165" s="4">
        <f t="shared" si="593"/>
        <v>46661</v>
      </c>
      <c r="FE165" s="8">
        <f t="shared" ca="1" si="505"/>
        <v>516</v>
      </c>
      <c r="FF165" s="5" t="str">
        <f t="shared" ca="1" si="506"/>
        <v>VIGENTE</v>
      </c>
      <c r="FG165" s="3"/>
      <c r="FH165" s="4">
        <v>45962</v>
      </c>
      <c r="FI165" s="4">
        <f t="shared" si="594"/>
        <v>46692</v>
      </c>
      <c r="FJ165" s="8">
        <f t="shared" ca="1" si="507"/>
        <v>547</v>
      </c>
      <c r="FK165" s="5" t="str">
        <f t="shared" ca="1" si="508"/>
        <v>VIGENTE</v>
      </c>
      <c r="FL165" s="3"/>
      <c r="FM165" s="39">
        <v>45738</v>
      </c>
      <c r="FN165" s="4">
        <f>DATE(YEAR(FM165)+2,MONTH(FM165),DAY(FM165)-1)</f>
        <v>46467</v>
      </c>
      <c r="FO165" s="8">
        <f t="shared" ca="1" si="509"/>
        <v>322</v>
      </c>
      <c r="FP165" s="5" t="str">
        <f t="shared" ca="1" si="510"/>
        <v>VIGENTE</v>
      </c>
      <c r="FQ165" s="3"/>
      <c r="FR165" s="39">
        <v>45747</v>
      </c>
      <c r="FS165" s="4">
        <f>DATE(YEAR(FR165)+2,MONTH(FR165),DAY(FR165)-1)</f>
        <v>46476</v>
      </c>
      <c r="FT165" s="8">
        <f t="shared" ca="1" si="511"/>
        <v>331</v>
      </c>
      <c r="FU165" s="5" t="str">
        <f t="shared" ca="1" si="512"/>
        <v>VIGENTE</v>
      </c>
      <c r="FV165" s="3"/>
      <c r="FW165" s="4">
        <v>45993</v>
      </c>
      <c r="FX165" s="4">
        <f>DATE(YEAR(FW165)+2,MONTH(FW165),DAY(FW165))</f>
        <v>46723</v>
      </c>
      <c r="FY165" s="8">
        <f t="shared" ca="1" si="513"/>
        <v>578</v>
      </c>
      <c r="FZ165" s="5" t="str">
        <f t="shared" ca="1" si="514"/>
        <v>VIGENTE</v>
      </c>
      <c r="GA165" s="3"/>
      <c r="GB165" s="4">
        <v>45715</v>
      </c>
      <c r="GC165" s="4">
        <f>DATE(YEAR(GB165)+2,MONTH(GB165),DAY(GB165)-1)</f>
        <v>46444</v>
      </c>
      <c r="GD165" s="8">
        <f t="shared" ca="1" si="515"/>
        <v>299</v>
      </c>
      <c r="GE165" s="5" t="str">
        <f t="shared" ca="1" si="516"/>
        <v>VIGENTE</v>
      </c>
      <c r="GF165" s="3"/>
      <c r="GG165" s="4">
        <v>45731</v>
      </c>
      <c r="GH165" s="4">
        <f>DATE(YEAR(GG165)+2,MONTH(GG165),DAY(GG165)-1)</f>
        <v>46460</v>
      </c>
      <c r="GI165" s="8">
        <f t="shared" ca="1" si="517"/>
        <v>315</v>
      </c>
      <c r="GJ165" s="5" t="str">
        <f t="shared" ca="1" si="518"/>
        <v>VIGENTE</v>
      </c>
      <c r="GK165" s="3"/>
      <c r="GL165" s="4">
        <v>45687</v>
      </c>
      <c r="GM165" s="4">
        <f>DATE(YEAR(GL165)+2,MONTH(GL165),DAY(GL165)-1)</f>
        <v>46416</v>
      </c>
      <c r="GN165" s="8">
        <f t="shared" ca="1" si="519"/>
        <v>271</v>
      </c>
      <c r="GO165" s="5" t="str">
        <f t="shared" ca="1" si="520"/>
        <v>VIGENTE</v>
      </c>
      <c r="GP165" s="4"/>
      <c r="GQ165" s="4">
        <v>45072</v>
      </c>
      <c r="GR165" s="4">
        <f t="shared" si="521"/>
        <v>46899</v>
      </c>
      <c r="GS165" s="8">
        <f t="shared" ca="1" si="405"/>
        <v>754</v>
      </c>
      <c r="GT165" s="5" t="str">
        <f t="shared" ca="1" si="419"/>
        <v>VIGENTE</v>
      </c>
      <c r="GU165" s="3"/>
      <c r="GV165" s="4">
        <v>45010</v>
      </c>
      <c r="GW165" s="4">
        <f t="shared" si="522"/>
        <v>46837</v>
      </c>
      <c r="GX165" s="8">
        <f t="shared" ca="1" si="523"/>
        <v>692</v>
      </c>
      <c r="GY165" s="5" t="str">
        <f t="shared" ca="1" si="426"/>
        <v>VIGENTE</v>
      </c>
      <c r="GZ165" s="2"/>
      <c r="HA165" s="4">
        <v>45073</v>
      </c>
      <c r="HB165" s="4">
        <f t="shared" si="524"/>
        <v>46900</v>
      </c>
      <c r="HC165" s="8">
        <f t="shared" ca="1" si="525"/>
        <v>755</v>
      </c>
      <c r="HD165" s="5" t="str">
        <f t="shared" ca="1" si="421"/>
        <v>VIGENTE</v>
      </c>
      <c r="HE165" s="6"/>
      <c r="HF165" s="6"/>
      <c r="HG165" s="4"/>
      <c r="HH165" s="8"/>
      <c r="HI165" s="5" t="str">
        <f t="shared" si="427"/>
        <v>NO APLICA</v>
      </c>
      <c r="HJ165" s="2"/>
      <c r="HK165" s="6"/>
      <c r="HL165" s="4"/>
      <c r="HM165" s="8"/>
      <c r="HN165" s="5" t="str">
        <f t="shared" si="444"/>
        <v>NO APLICA</v>
      </c>
      <c r="HO165" s="2"/>
      <c r="HP165" s="2"/>
      <c r="HQ165" s="4"/>
      <c r="HR165" s="2"/>
      <c r="HS165" s="5" t="str">
        <f t="shared" si="526"/>
        <v>NO APLICA</v>
      </c>
      <c r="HT165" s="2"/>
      <c r="HU165" s="6"/>
      <c r="HV165" s="4"/>
      <c r="HW165" s="8"/>
      <c r="HX165" s="5" t="str">
        <f t="shared" si="527"/>
        <v>NO APLICA</v>
      </c>
      <c r="HY165" s="2"/>
      <c r="HZ165" s="6"/>
      <c r="IA165" s="4"/>
      <c r="IB165" s="8"/>
      <c r="IC165" s="5" t="str">
        <f t="shared" si="528"/>
        <v>NO APLICA</v>
      </c>
      <c r="ID165" s="2"/>
      <c r="IE165" s="6"/>
      <c r="IF165" s="4"/>
      <c r="IG165" s="8"/>
      <c r="IH165" s="5" t="str">
        <f t="shared" si="529"/>
        <v>NO APLICA</v>
      </c>
      <c r="II165" s="6"/>
      <c r="IJ165" s="6"/>
      <c r="IK165" s="4"/>
      <c r="IL165" s="8"/>
      <c r="IM165" s="5" t="str">
        <f t="shared" si="530"/>
        <v>NO APLICA</v>
      </c>
      <c r="IN165" s="2"/>
      <c r="IO165" s="6"/>
      <c r="IP165" s="4"/>
      <c r="IQ165" s="8"/>
      <c r="IR165" s="5" t="str">
        <f t="shared" si="531"/>
        <v>NO APLICA</v>
      </c>
      <c r="IS165" s="2"/>
      <c r="IT165" s="6"/>
      <c r="IU165" s="4"/>
      <c r="IV165" s="8"/>
      <c r="IW165" s="5" t="str">
        <f t="shared" si="532"/>
        <v>NO APLICA</v>
      </c>
      <c r="IX165" s="2"/>
      <c r="IY165" s="6"/>
      <c r="IZ165" s="4"/>
      <c r="JA165" s="8"/>
      <c r="JB165" s="5" t="str">
        <f t="shared" si="533"/>
        <v>NO APLICA</v>
      </c>
      <c r="JC165" s="3" t="s">
        <v>780</v>
      </c>
      <c r="JD165" s="3"/>
      <c r="JE165" s="4"/>
      <c r="JF165" s="8"/>
      <c r="JG165" s="5"/>
      <c r="JH165" s="3" t="s">
        <v>780</v>
      </c>
      <c r="JI165" s="6"/>
      <c r="JJ165" s="6"/>
      <c r="JK165" s="6"/>
      <c r="JL165" s="5"/>
      <c r="JM165" s="6" t="s">
        <v>780</v>
      </c>
      <c r="JN165" s="6"/>
      <c r="JO165" s="6"/>
      <c r="JP165" s="6"/>
      <c r="JQ165" s="5"/>
      <c r="JR165" s="6" t="s">
        <v>780</v>
      </c>
      <c r="JS165" s="6"/>
      <c r="JT165" s="6"/>
      <c r="JU165" s="6"/>
      <c r="JV165" s="5"/>
      <c r="JW165" s="6" t="s">
        <v>780</v>
      </c>
      <c r="JX165" s="5"/>
      <c r="JY165" s="5"/>
      <c r="JZ165" s="5"/>
      <c r="KA165" s="5"/>
      <c r="KB165" s="5"/>
      <c r="KC165" s="2"/>
      <c r="KD165" s="4"/>
      <c r="KE165" s="8"/>
      <c r="KF165" s="5" t="str">
        <f t="shared" si="534"/>
        <v>NO APLICA</v>
      </c>
      <c r="KG165" s="5"/>
      <c r="KH165" s="2"/>
      <c r="KI165" s="4"/>
      <c r="KJ165" s="8"/>
      <c r="KK165" s="5" t="str">
        <f t="shared" si="559"/>
        <v>NO APLICA</v>
      </c>
      <c r="KL165" s="5"/>
      <c r="KM165" s="2"/>
      <c r="KN165" s="4"/>
      <c r="KO165" s="8"/>
      <c r="KP165" s="5" t="str">
        <f t="shared" si="535"/>
        <v>NO APLICA</v>
      </c>
      <c r="KQ165" s="5"/>
      <c r="KR165" s="2"/>
      <c r="KS165" s="4"/>
      <c r="KT165" s="8"/>
      <c r="KU165" s="5" t="str">
        <f t="shared" si="560"/>
        <v>NO APLICA</v>
      </c>
      <c r="KV165" s="2"/>
      <c r="KW165" s="6"/>
      <c r="KX165" s="4"/>
      <c r="KY165" s="8"/>
      <c r="KZ165" s="5" t="str">
        <f t="shared" si="565"/>
        <v>NO APLICA</v>
      </c>
      <c r="LA165" s="5"/>
      <c r="LB165" s="6"/>
      <c r="LC165" s="4"/>
      <c r="LD165" s="8"/>
      <c r="LE165" s="5" t="str">
        <f t="shared" si="561"/>
        <v>NO APLICA</v>
      </c>
      <c r="LF165" s="6"/>
      <c r="LG165" s="6"/>
      <c r="LH165" s="4"/>
      <c r="LI165" s="8"/>
      <c r="LJ165" s="5" t="str">
        <f t="shared" si="567"/>
        <v>NO APLICA</v>
      </c>
      <c r="LK165" s="5"/>
      <c r="LL165" s="5"/>
      <c r="LM165" s="5"/>
      <c r="LN165" s="5"/>
      <c r="LO165" s="5" t="str">
        <f t="shared" si="566"/>
        <v>NO APLICA</v>
      </c>
      <c r="LP165" s="2"/>
      <c r="LQ165" s="6"/>
      <c r="LR165" s="4"/>
      <c r="LS165" s="8"/>
      <c r="LT165" s="5" t="str">
        <f t="shared" si="562"/>
        <v>NO APLICA</v>
      </c>
      <c r="LU165" s="6"/>
      <c r="LV165" s="6"/>
      <c r="LW165" s="4"/>
      <c r="LX165" s="8"/>
      <c r="LY165" s="5" t="str">
        <f t="shared" si="563"/>
        <v>NO APLICA</v>
      </c>
      <c r="LZ165" s="6"/>
      <c r="MA165" s="6"/>
      <c r="MB165" s="4"/>
      <c r="MC165" s="8"/>
      <c r="MD165" s="5" t="str">
        <f t="shared" si="564"/>
        <v>NO APLICA</v>
      </c>
      <c r="ME165" s="2"/>
      <c r="MF165" s="2"/>
      <c r="MG165" s="4"/>
      <c r="MH165" s="2"/>
      <c r="MI165" s="5" t="str">
        <f t="shared" si="537"/>
        <v>NO APLICA</v>
      </c>
      <c r="MJ165" s="2"/>
      <c r="MK165" s="2"/>
      <c r="ML165" s="4"/>
      <c r="MM165" s="8"/>
      <c r="MN165" s="5" t="str">
        <f t="shared" si="538"/>
        <v>NO APLICA</v>
      </c>
      <c r="MO165" s="5"/>
      <c r="MP165" s="2"/>
      <c r="MQ165" s="4"/>
      <c r="MR165" s="8"/>
      <c r="MS165" s="5" t="str">
        <f t="shared" si="539"/>
        <v>NO APLICA</v>
      </c>
      <c r="MT165" s="5"/>
      <c r="MU165" s="2"/>
      <c r="MV165" s="4"/>
      <c r="MW165" s="2"/>
      <c r="MX165" s="5" t="str">
        <f t="shared" si="540"/>
        <v>NO APLICA</v>
      </c>
      <c r="MY165" s="2"/>
      <c r="MZ165" s="6"/>
      <c r="NA165" s="4"/>
      <c r="NB165" s="8"/>
      <c r="NC165" s="5" t="str">
        <f t="shared" si="541"/>
        <v>NO APLICA</v>
      </c>
      <c r="ND165" s="2"/>
      <c r="NE165" s="6"/>
      <c r="NF165" s="4"/>
      <c r="NG165" s="8"/>
      <c r="NH165" s="5" t="str">
        <f t="shared" si="542"/>
        <v>NO APLICA</v>
      </c>
      <c r="NI165" s="2"/>
      <c r="NJ165" s="6"/>
      <c r="NK165" s="4"/>
      <c r="NL165" s="8"/>
      <c r="NM165" s="5" t="str">
        <f t="shared" si="543"/>
        <v>NO APLICA</v>
      </c>
      <c r="NN165" s="2"/>
      <c r="NO165" s="2"/>
      <c r="NP165" s="4"/>
      <c r="NQ165" s="2"/>
      <c r="NR165" s="5" t="str">
        <f t="shared" si="544"/>
        <v>NO APLICA</v>
      </c>
      <c r="NS165" s="2"/>
      <c r="NT165" s="2"/>
      <c r="NU165" s="4"/>
      <c r="NV165" s="2"/>
      <c r="NW165" s="5" t="str">
        <f t="shared" si="545"/>
        <v>NO APLICA</v>
      </c>
      <c r="NX165" s="6"/>
      <c r="NY165" s="6"/>
      <c r="NZ165" s="4"/>
      <c r="OA165" s="8"/>
      <c r="OB165" s="5" t="str">
        <f t="shared" si="546"/>
        <v>NO APLICA</v>
      </c>
      <c r="OC165" s="6"/>
      <c r="OD165" s="6"/>
      <c r="OE165" s="6"/>
      <c r="OF165" s="6"/>
      <c r="OG165" s="5" t="str">
        <f t="shared" si="547"/>
        <v>NO APLICA</v>
      </c>
      <c r="OH165" s="6"/>
      <c r="OI165" s="6"/>
      <c r="OJ165" s="4"/>
      <c r="OK165" s="8"/>
      <c r="OL165" s="5" t="str">
        <f t="shared" si="548"/>
        <v>NO APLICA</v>
      </c>
      <c r="OM165" s="6"/>
      <c r="ON165" s="6"/>
      <c r="OO165" s="6"/>
      <c r="OP165" s="6"/>
      <c r="OQ165" s="5" t="str">
        <f t="shared" si="549"/>
        <v>NO APLICA</v>
      </c>
      <c r="OR165" s="6"/>
      <c r="OS165" s="6"/>
      <c r="OT165" s="6"/>
      <c r="OU165" s="6"/>
      <c r="OV165" s="5" t="str">
        <f t="shared" si="550"/>
        <v>NO APLICA</v>
      </c>
      <c r="OW165" s="6"/>
      <c r="OX165" s="6"/>
      <c r="OY165" s="6"/>
      <c r="OZ165" s="6"/>
      <c r="PA165" s="5" t="str">
        <f t="shared" si="551"/>
        <v>NO APLICA</v>
      </c>
      <c r="PB165" s="6"/>
      <c r="PC165" s="6"/>
      <c r="PD165" s="6"/>
      <c r="PE165" s="6"/>
      <c r="PF165" s="5" t="str">
        <f t="shared" si="552"/>
        <v>NO APLICA</v>
      </c>
      <c r="PG165" s="6"/>
      <c r="PH165" s="6"/>
      <c r="PI165" s="6"/>
      <c r="PJ165" s="6"/>
      <c r="PK165" s="5" t="str">
        <f t="shared" si="553"/>
        <v>NO APLICA</v>
      </c>
      <c r="PL165" s="5"/>
      <c r="PM165" s="6"/>
      <c r="PN165" s="4"/>
      <c r="PO165" s="8"/>
      <c r="PP165" s="5" t="str">
        <f t="shared" si="554"/>
        <v>NO APLICA</v>
      </c>
      <c r="PQ165" s="6"/>
      <c r="PR165" s="6"/>
      <c r="PS165" s="6"/>
      <c r="PT165" s="6"/>
      <c r="PU165" s="5" t="str">
        <f t="shared" si="555"/>
        <v>NO APLICA</v>
      </c>
      <c r="PV165" s="5"/>
      <c r="PW165" s="6"/>
      <c r="PX165" s="6"/>
      <c r="PY165" s="6"/>
      <c r="PZ165" s="5" t="str">
        <f t="shared" si="556"/>
        <v>NO APLICA</v>
      </c>
    </row>
    <row r="166" spans="1:442" ht="15.6" hidden="1" thickTop="1" thickBot="1" x14ac:dyDescent="0.35">
      <c r="A166" s="26">
        <v>163</v>
      </c>
      <c r="B166" s="27">
        <v>321</v>
      </c>
      <c r="C166" s="28" t="s">
        <v>528</v>
      </c>
      <c r="D166" s="29" t="s">
        <v>68</v>
      </c>
      <c r="E166" s="30" t="s">
        <v>73</v>
      </c>
      <c r="F166" s="5"/>
      <c r="G166" s="6"/>
      <c r="H166" s="4"/>
      <c r="I166" s="8"/>
      <c r="J166" s="5" t="str">
        <f t="shared" si="455"/>
        <v>NO APLICA</v>
      </c>
      <c r="K166" s="5"/>
      <c r="L166" s="6"/>
      <c r="M166" s="6"/>
      <c r="N166" s="8"/>
      <c r="O166" s="5" t="str">
        <f t="shared" si="456"/>
        <v>NO APLICA</v>
      </c>
      <c r="P166" s="6"/>
      <c r="Q166" s="6"/>
      <c r="R166" s="4"/>
      <c r="S166" s="8"/>
      <c r="T166" s="5" t="str">
        <f t="shared" si="557"/>
        <v>NO APLICA</v>
      </c>
      <c r="U166" s="5"/>
      <c r="V166" s="2" t="s">
        <v>529</v>
      </c>
      <c r="W166" s="4">
        <v>45500</v>
      </c>
      <c r="X166" s="4">
        <f t="shared" si="587"/>
        <v>47326</v>
      </c>
      <c r="Y166" s="8">
        <f t="shared" ca="1" si="588"/>
        <v>1181</v>
      </c>
      <c r="Z166" s="5" t="str">
        <f t="shared" ca="1" si="412"/>
        <v>VIGENTE</v>
      </c>
      <c r="AA166" s="5"/>
      <c r="AB166" s="2" t="s">
        <v>530</v>
      </c>
      <c r="AC166" s="4">
        <v>44579</v>
      </c>
      <c r="AD166" s="4">
        <f t="shared" ref="AD166:AD171" si="596">DATE(YEAR(AC166)+5,MONTH(AC166),DAY(AC166))</f>
        <v>46405</v>
      </c>
      <c r="AE166" s="8">
        <f t="shared" ref="AE166:AE171" ca="1" si="597">AD166-TODAY()</f>
        <v>260</v>
      </c>
      <c r="AF166" s="5" t="str">
        <f t="shared" ca="1" si="457"/>
        <v>VIGENTE</v>
      </c>
      <c r="AG166" s="3"/>
      <c r="AH166" s="3">
        <v>45594</v>
      </c>
      <c r="AI166" s="4">
        <f>DATE(YEAR(AH166)+2,MONTH(AH166),DAY(AH166)-1)</f>
        <v>46323</v>
      </c>
      <c r="AJ166" s="8">
        <f t="shared" ca="1" si="458"/>
        <v>178</v>
      </c>
      <c r="AK166" s="5" t="str">
        <f t="shared" ca="1" si="408"/>
        <v>VIGENTE</v>
      </c>
      <c r="AL166" s="3"/>
      <c r="AM166" s="4">
        <v>45926</v>
      </c>
      <c r="AN166" s="4">
        <f>DATE(YEAR(AM166)+2,MONTH(AM166),DAY(AM166))</f>
        <v>46656</v>
      </c>
      <c r="AO166" s="8">
        <f t="shared" ca="1" si="459"/>
        <v>511</v>
      </c>
      <c r="AP166" s="5" t="str">
        <f t="shared" ca="1" si="460"/>
        <v>VIGENTE</v>
      </c>
      <c r="AQ166" s="3"/>
      <c r="AR166" s="4">
        <v>45904</v>
      </c>
      <c r="AS166" s="4">
        <f>DATE(YEAR(AR166)+2,MONTH(AR166),DAY(AR166))</f>
        <v>46634</v>
      </c>
      <c r="AT166" s="8">
        <f t="shared" ca="1" si="461"/>
        <v>489</v>
      </c>
      <c r="AU166" s="5" t="str">
        <f t="shared" ca="1" si="462"/>
        <v>VIGENTE</v>
      </c>
      <c r="AV166" s="3"/>
      <c r="AW166" s="4">
        <v>45952</v>
      </c>
      <c r="AX166" s="4">
        <f>DATE(YEAR(AW166)+2,MONTH(AW166),DAY(AW166))</f>
        <v>46682</v>
      </c>
      <c r="AY166" s="8">
        <f t="shared" ca="1" si="463"/>
        <v>537</v>
      </c>
      <c r="AZ166" s="5" t="str">
        <f t="shared" ca="1" si="464"/>
        <v>VIGENTE</v>
      </c>
      <c r="BA166" s="3"/>
      <c r="BB166" s="4">
        <v>46041</v>
      </c>
      <c r="BC166" s="4">
        <f>DATE(YEAR(BB166)+2,MONTH(BB166),DAY(BB166))</f>
        <v>46771</v>
      </c>
      <c r="BD166" s="8">
        <f t="shared" ca="1" si="465"/>
        <v>626</v>
      </c>
      <c r="BE166" s="5" t="str">
        <f t="shared" ca="1" si="466"/>
        <v>VIGENTE</v>
      </c>
      <c r="BF166" s="3"/>
      <c r="BG166" s="4">
        <v>45987</v>
      </c>
      <c r="BH166" s="4">
        <f>DATE(YEAR(BG166)+2,MONTH(BG166),DAY(BG166))</f>
        <v>46717</v>
      </c>
      <c r="BI166" s="8">
        <f t="shared" ca="1" si="467"/>
        <v>572</v>
      </c>
      <c r="BJ166" s="5" t="str">
        <f t="shared" ca="1" si="468"/>
        <v>VIGENTE</v>
      </c>
      <c r="BK166" s="3"/>
      <c r="BL166" s="4">
        <v>46017</v>
      </c>
      <c r="BM166" s="4">
        <f>DATE(YEAR(BL166)+2,MONTH(BL166),DAY(BL166))</f>
        <v>46747</v>
      </c>
      <c r="BN166" s="8">
        <f t="shared" ca="1" si="469"/>
        <v>602</v>
      </c>
      <c r="BO166" s="5" t="str">
        <f t="shared" ca="1" si="470"/>
        <v>VIGENTE</v>
      </c>
      <c r="BP166" s="3"/>
      <c r="BQ166" s="39">
        <v>46069</v>
      </c>
      <c r="BR166" s="4">
        <f>DATE(YEAR(BQ166)+2,MONTH(BQ166),DAY(BQ166))</f>
        <v>46799</v>
      </c>
      <c r="BS166" s="8">
        <f t="shared" ca="1" si="471"/>
        <v>654</v>
      </c>
      <c r="BT166" s="5" t="str">
        <f t="shared" ca="1" si="472"/>
        <v>VIGENTE</v>
      </c>
      <c r="BU166" s="3"/>
      <c r="BV166" s="4">
        <v>46116</v>
      </c>
      <c r="BW166" s="4">
        <f>DATE(YEAR(BV166)+2,MONTH(BV166),DAY(BV166)-1)</f>
        <v>46846</v>
      </c>
      <c r="BX166" s="8">
        <f t="shared" ca="1" si="473"/>
        <v>701</v>
      </c>
      <c r="BY166" s="5" t="str">
        <f t="shared" ca="1" si="474"/>
        <v>VIGENTE</v>
      </c>
      <c r="BZ166" s="3"/>
      <c r="CA166" s="4">
        <v>45944</v>
      </c>
      <c r="CB166" s="4">
        <f t="shared" si="589"/>
        <v>46674</v>
      </c>
      <c r="CC166" s="8">
        <f t="shared" ca="1" si="475"/>
        <v>529</v>
      </c>
      <c r="CD166" s="5" t="str">
        <f t="shared" ca="1" si="476"/>
        <v>VIGENTE</v>
      </c>
      <c r="CE166" s="6"/>
      <c r="CF166" s="4">
        <v>45301</v>
      </c>
      <c r="CG166" s="4">
        <f t="shared" si="590"/>
        <v>46762</v>
      </c>
      <c r="CH166" s="8">
        <f t="shared" ca="1" si="591"/>
        <v>617</v>
      </c>
      <c r="CI166" s="5" t="str">
        <f t="shared" ca="1" si="573"/>
        <v>VIGENTE</v>
      </c>
      <c r="CJ166" s="4"/>
      <c r="CK166" s="4">
        <v>45895</v>
      </c>
      <c r="CL166" s="4">
        <f>DATE(YEAR(CK166)+2,MONTH(CK166),DAY(CK166))</f>
        <v>46625</v>
      </c>
      <c r="CM166" s="8">
        <f t="shared" ca="1" si="477"/>
        <v>480</v>
      </c>
      <c r="CN166" s="5" t="str">
        <f t="shared" ca="1" si="478"/>
        <v>VIGENTE</v>
      </c>
      <c r="CO166" s="3"/>
      <c r="CP166" s="39">
        <v>46038</v>
      </c>
      <c r="CQ166" s="4">
        <f>DATE(YEAR(CP166)+2,MONTH(CP166),DAY(CP166))</f>
        <v>46768</v>
      </c>
      <c r="CR166" s="8">
        <f t="shared" ca="1" si="479"/>
        <v>623</v>
      </c>
      <c r="CS166" s="5" t="str">
        <f t="shared" ca="1" si="480"/>
        <v>VIGENTE</v>
      </c>
      <c r="CT166" s="3"/>
      <c r="CU166" s="4">
        <v>45639</v>
      </c>
      <c r="CV166" s="4">
        <f>DATE(YEAR(CU166)+2,MONTH(CU166),DAY(CU166)-1)</f>
        <v>46368</v>
      </c>
      <c r="CW166" s="8">
        <f t="shared" ca="1" si="481"/>
        <v>223</v>
      </c>
      <c r="CX166" s="5" t="str">
        <f t="shared" ca="1" si="482"/>
        <v>VIGENTE</v>
      </c>
      <c r="CY166" s="3"/>
      <c r="CZ166" s="4">
        <v>45661</v>
      </c>
      <c r="DA166" s="4">
        <f>DATE(YEAR(CZ166)+2,MONTH(CZ166),DAY(CZ166)-1)</f>
        <v>46390</v>
      </c>
      <c r="DB166" s="8">
        <f t="shared" ca="1" si="483"/>
        <v>245</v>
      </c>
      <c r="DC166" s="5" t="str">
        <f t="shared" ca="1" si="484"/>
        <v>VIGENTE</v>
      </c>
      <c r="DD166" s="3"/>
      <c r="DE166" s="39">
        <v>45689</v>
      </c>
      <c r="DF166" s="4">
        <f>DATE(YEAR(DE166)+2,MONTH(DE166),DAY(DE166)-1)</f>
        <v>46418</v>
      </c>
      <c r="DG166" s="8">
        <f t="shared" ca="1" si="485"/>
        <v>273</v>
      </c>
      <c r="DH166" s="5" t="str">
        <f t="shared" ca="1" si="486"/>
        <v>VIGENTE</v>
      </c>
      <c r="DI166" s="3"/>
      <c r="DJ166" s="39">
        <v>46029</v>
      </c>
      <c r="DK166" s="4">
        <f>DATE(YEAR(DJ166)+2,MONTH(DJ166),DAY(DJ166))</f>
        <v>46759</v>
      </c>
      <c r="DL166" s="8">
        <f t="shared" ca="1" si="487"/>
        <v>614</v>
      </c>
      <c r="DM166" s="5" t="str">
        <f t="shared" ca="1" si="488"/>
        <v>VIGENTE</v>
      </c>
      <c r="DN166" s="3"/>
      <c r="DO166" s="4">
        <v>46008</v>
      </c>
      <c r="DP166" s="4">
        <f>DATE(YEAR(DO166)+2,MONTH(DO166),DAY(DO166))</f>
        <v>46738</v>
      </c>
      <c r="DQ166" s="8">
        <f t="shared" ca="1" si="489"/>
        <v>593</v>
      </c>
      <c r="DR166" s="5" t="str">
        <f t="shared" ca="1" si="490"/>
        <v>VIGENTE</v>
      </c>
      <c r="DS166" s="3"/>
      <c r="DT166" s="4">
        <v>46053</v>
      </c>
      <c r="DU166" s="4">
        <f>DATE(YEAR(DT166)+2,MONTH(DT166),DAY(DT166))</f>
        <v>46783</v>
      </c>
      <c r="DV166" s="8">
        <f t="shared" ca="1" si="491"/>
        <v>638</v>
      </c>
      <c r="DW166" s="5" t="str">
        <f t="shared" ca="1" si="492"/>
        <v>VIGENTE</v>
      </c>
      <c r="DX166" s="3"/>
      <c r="DY166" s="4">
        <v>45663</v>
      </c>
      <c r="DZ166" s="4">
        <f t="shared" si="595"/>
        <v>46392</v>
      </c>
      <c r="EA166" s="8">
        <f t="shared" ca="1" si="493"/>
        <v>247</v>
      </c>
      <c r="EB166" s="5" t="str">
        <f t="shared" ca="1" si="494"/>
        <v>VIGENTE</v>
      </c>
      <c r="EC166" s="3"/>
      <c r="ED166" s="39">
        <v>45674</v>
      </c>
      <c r="EE166" s="4">
        <f>DATE(YEAR(ED166)+2,MONTH(ED166),DAY(ED166)-1)</f>
        <v>46403</v>
      </c>
      <c r="EF166" s="8">
        <f t="shared" ca="1" si="495"/>
        <v>258</v>
      </c>
      <c r="EG166" s="5" t="str">
        <f t="shared" ca="1" si="496"/>
        <v>VIGENTE</v>
      </c>
      <c r="EH166" s="3"/>
      <c r="EI166" s="4">
        <v>46115</v>
      </c>
      <c r="EJ166" s="4">
        <f t="shared" si="558"/>
        <v>46480</v>
      </c>
      <c r="EK166" s="8">
        <f t="shared" ca="1" si="497"/>
        <v>335</v>
      </c>
      <c r="EL166" s="5" t="str">
        <f t="shared" ca="1" si="498"/>
        <v>VIGENTE</v>
      </c>
      <c r="EM166" s="3"/>
      <c r="EN166" s="4">
        <v>45660</v>
      </c>
      <c r="EO166" s="4">
        <f>DATE(YEAR(EN166)+2,MONTH(EN166),DAY(EN166)-1)</f>
        <v>46389</v>
      </c>
      <c r="EP166" s="8">
        <f t="shared" ca="1" si="499"/>
        <v>244</v>
      </c>
      <c r="EQ166" s="5" t="str">
        <f t="shared" ca="1" si="500"/>
        <v>VIGENTE</v>
      </c>
      <c r="ER166" s="3"/>
      <c r="ES166" s="39">
        <v>46042</v>
      </c>
      <c r="ET166" s="4">
        <f>DATE(YEAR(ES166)+2,MONTH(ES166),DAY(ES166))</f>
        <v>46772</v>
      </c>
      <c r="EU166" s="8">
        <f t="shared" ca="1" si="501"/>
        <v>627</v>
      </c>
      <c r="EV166" s="5" t="str">
        <f t="shared" ca="1" si="502"/>
        <v>VIGENTE</v>
      </c>
      <c r="EW166" s="3"/>
      <c r="EX166" s="4">
        <v>45953</v>
      </c>
      <c r="EY166" s="4">
        <f t="shared" si="592"/>
        <v>46683</v>
      </c>
      <c r="EZ166" s="8">
        <f t="shared" ca="1" si="503"/>
        <v>538</v>
      </c>
      <c r="FA166" s="5" t="str">
        <f t="shared" ca="1" si="504"/>
        <v>VIGENTE</v>
      </c>
      <c r="FB166" s="3"/>
      <c r="FC166" s="4">
        <v>45988</v>
      </c>
      <c r="FD166" s="4">
        <f t="shared" si="593"/>
        <v>46718</v>
      </c>
      <c r="FE166" s="8">
        <f t="shared" ca="1" si="505"/>
        <v>573</v>
      </c>
      <c r="FF166" s="5" t="str">
        <f t="shared" ca="1" si="506"/>
        <v>VIGENTE</v>
      </c>
      <c r="FG166" s="3"/>
      <c r="FH166" s="4">
        <v>45992</v>
      </c>
      <c r="FI166" s="4">
        <f t="shared" si="594"/>
        <v>46722</v>
      </c>
      <c r="FJ166" s="8">
        <f t="shared" ca="1" si="507"/>
        <v>577</v>
      </c>
      <c r="FK166" s="5" t="str">
        <f t="shared" ca="1" si="508"/>
        <v>VIGENTE</v>
      </c>
      <c r="FL166" s="3"/>
      <c r="FM166" s="39">
        <v>45670</v>
      </c>
      <c r="FN166" s="4">
        <f>DATE(YEAR(FM166)+2,MONTH(FM166),DAY(FM166)-1)</f>
        <v>46399</v>
      </c>
      <c r="FO166" s="8">
        <f t="shared" ca="1" si="509"/>
        <v>254</v>
      </c>
      <c r="FP166" s="5" t="str">
        <f t="shared" ca="1" si="510"/>
        <v>VIGENTE</v>
      </c>
      <c r="FQ166" s="3"/>
      <c r="FR166" s="39">
        <v>45664</v>
      </c>
      <c r="FS166" s="4">
        <f>DATE(YEAR(FR166)+2,MONTH(FR166),DAY(FR166)-1)</f>
        <v>46393</v>
      </c>
      <c r="FT166" s="8">
        <f t="shared" ca="1" si="511"/>
        <v>248</v>
      </c>
      <c r="FU166" s="5" t="str">
        <f t="shared" ca="1" si="512"/>
        <v>VIGENTE</v>
      </c>
      <c r="FV166" s="3"/>
      <c r="FW166" s="4">
        <v>46014</v>
      </c>
      <c r="FX166" s="4">
        <f>DATE(YEAR(FW166)+2,MONTH(FW166),DAY(FW166))</f>
        <v>46744</v>
      </c>
      <c r="FY166" s="8">
        <f t="shared" ca="1" si="513"/>
        <v>599</v>
      </c>
      <c r="FZ166" s="5" t="str">
        <f t="shared" ca="1" si="514"/>
        <v>VIGENTE</v>
      </c>
      <c r="GA166" s="3"/>
      <c r="GB166" s="4">
        <v>46073</v>
      </c>
      <c r="GC166" s="4">
        <f>DATE(YEAR(GB166)+2,MONTH(GB166),DAY(GB166))</f>
        <v>46803</v>
      </c>
      <c r="GD166" s="8">
        <f t="shared" ca="1" si="515"/>
        <v>658</v>
      </c>
      <c r="GE166" s="5" t="str">
        <f t="shared" ca="1" si="516"/>
        <v>VIGENTE</v>
      </c>
      <c r="GF166" s="3"/>
      <c r="GG166" s="4">
        <v>45579</v>
      </c>
      <c r="GH166" s="4">
        <f>DATE(YEAR(GG166)+2,MONTH(GG166),DAY(GG166)-1)</f>
        <v>46308</v>
      </c>
      <c r="GI166" s="8">
        <f t="shared" ca="1" si="517"/>
        <v>163</v>
      </c>
      <c r="GJ166" s="5" t="str">
        <f t="shared" ca="1" si="518"/>
        <v>VIGENTE</v>
      </c>
      <c r="GK166" s="3"/>
      <c r="GL166" s="4">
        <v>45945</v>
      </c>
      <c r="GM166" s="4">
        <f>DATE(YEAR(GL166)+2,MONTH(GL166),DAY(GL166))</f>
        <v>46675</v>
      </c>
      <c r="GN166" s="8">
        <f t="shared" ca="1" si="519"/>
        <v>530</v>
      </c>
      <c r="GO166" s="5" t="str">
        <f t="shared" ca="1" si="520"/>
        <v>VIGENTE</v>
      </c>
      <c r="GP166" s="4"/>
      <c r="GQ166" s="4">
        <v>45283</v>
      </c>
      <c r="GR166" s="4">
        <f t="shared" si="521"/>
        <v>47110</v>
      </c>
      <c r="GS166" s="8">
        <f t="shared" ca="1" si="405"/>
        <v>965</v>
      </c>
      <c r="GT166" s="5" t="str">
        <f t="shared" ca="1" si="419"/>
        <v>VIGENTE</v>
      </c>
      <c r="GU166" s="3"/>
      <c r="GV166" s="4">
        <v>45252</v>
      </c>
      <c r="GW166" s="4">
        <f t="shared" si="522"/>
        <v>47079</v>
      </c>
      <c r="GX166" s="8">
        <f t="shared" ca="1" si="523"/>
        <v>934</v>
      </c>
      <c r="GY166" s="5" t="str">
        <f t="shared" ca="1" si="426"/>
        <v>VIGENTE</v>
      </c>
      <c r="GZ166" s="3"/>
      <c r="HA166" s="4">
        <v>45185</v>
      </c>
      <c r="HB166" s="4">
        <f t="shared" si="524"/>
        <v>47012</v>
      </c>
      <c r="HC166" s="8">
        <f t="shared" ca="1" si="525"/>
        <v>867</v>
      </c>
      <c r="HD166" s="5" t="str">
        <f t="shared" ca="1" si="421"/>
        <v>VIGENTE</v>
      </c>
      <c r="HE166" s="6"/>
      <c r="HF166" s="4">
        <v>44879</v>
      </c>
      <c r="HG166" s="4">
        <f t="shared" ref="HG166:HG171" si="598">DATE(YEAR(HF166)+5,MONTH(HF166),DAY(HF166))</f>
        <v>46705</v>
      </c>
      <c r="HH166" s="8">
        <f t="shared" ref="HH166:HH171" ca="1" si="599">HG166-TODAY()</f>
        <v>560</v>
      </c>
      <c r="HI166" s="5" t="str">
        <f t="shared" ca="1" si="427"/>
        <v>VIGENTE</v>
      </c>
      <c r="HJ166" s="3"/>
      <c r="HK166" s="4">
        <v>45370</v>
      </c>
      <c r="HL166" s="4">
        <f>DATE(YEAR(HK166)+5,MONTH(HK166),DAY(HK166))</f>
        <v>47196</v>
      </c>
      <c r="HM166" s="8">
        <f ca="1">HL166-TODAY()</f>
        <v>1051</v>
      </c>
      <c r="HN166" s="5" t="str">
        <f t="shared" ca="1" si="444"/>
        <v>VIGENTE</v>
      </c>
      <c r="HO166" s="2"/>
      <c r="HP166" s="3">
        <v>45374</v>
      </c>
      <c r="HQ166" s="4">
        <f>DATE(YEAR(HP166)+5,MONTH(HP166),DAY(HP166))</f>
        <v>47200</v>
      </c>
      <c r="HR166" s="8">
        <f ca="1">HQ166-TODAY()</f>
        <v>1055</v>
      </c>
      <c r="HS166" s="5" t="str">
        <f t="shared" ca="1" si="526"/>
        <v>VIGENTE</v>
      </c>
      <c r="HT166" s="3"/>
      <c r="HU166" s="4">
        <v>45420</v>
      </c>
      <c r="HV166" s="4">
        <f>DATE(YEAR(HU166)+5,MONTH(HU166),DAY(HU166))</f>
        <v>47246</v>
      </c>
      <c r="HW166" s="8">
        <f ca="1">HV166-TODAY()</f>
        <v>1101</v>
      </c>
      <c r="HX166" s="5" t="str">
        <f t="shared" ca="1" si="527"/>
        <v>VIGENTE</v>
      </c>
      <c r="HY166" s="3"/>
      <c r="HZ166" s="4">
        <v>45428</v>
      </c>
      <c r="IA166" s="4">
        <f>DATE(YEAR(HZ166)+5,MONTH(HZ166),DAY(HZ166))</f>
        <v>47254</v>
      </c>
      <c r="IB166" s="8">
        <f ca="1">IA166-TODAY()</f>
        <v>1109</v>
      </c>
      <c r="IC166" s="5" t="str">
        <f t="shared" ca="1" si="528"/>
        <v>VIGENTE</v>
      </c>
      <c r="ID166" s="3"/>
      <c r="IE166" s="4">
        <v>45444</v>
      </c>
      <c r="IF166" s="4">
        <f>DATE(YEAR(IE166)+5,MONTH(IE166),DAY(IE166))</f>
        <v>47270</v>
      </c>
      <c r="IG166" s="8">
        <f ca="1">IF166-TODAY()</f>
        <v>1125</v>
      </c>
      <c r="IH166" s="5" t="str">
        <f t="shared" ca="1" si="529"/>
        <v>VIGENTE</v>
      </c>
      <c r="II166" s="4"/>
      <c r="IJ166" s="4">
        <v>45276</v>
      </c>
      <c r="IK166" s="4">
        <f>DATE(YEAR(IJ166)+5,MONTH(IJ166),DAY(IJ166))</f>
        <v>47103</v>
      </c>
      <c r="IL166" s="8">
        <f ca="1">IK166-TODAY()</f>
        <v>958</v>
      </c>
      <c r="IM166" s="5" t="str">
        <f t="shared" ca="1" si="530"/>
        <v>VIGENTE</v>
      </c>
      <c r="IN166" s="3"/>
      <c r="IO166" s="4">
        <v>45259</v>
      </c>
      <c r="IP166" s="4">
        <f>DATE(YEAR(IO166)+5,MONTH(IO166),DAY(IO166))</f>
        <v>47086</v>
      </c>
      <c r="IQ166" s="8">
        <f ca="1">IP166-TODAY()</f>
        <v>941</v>
      </c>
      <c r="IR166" s="5" t="str">
        <f t="shared" ca="1" si="531"/>
        <v>VIGENTE</v>
      </c>
      <c r="IS166" s="3"/>
      <c r="IT166" s="4">
        <v>45385</v>
      </c>
      <c r="IU166" s="4">
        <f>DATE(YEAR(IT166)+5,MONTH(IT166),DAY(IT166))</f>
        <v>47211</v>
      </c>
      <c r="IV166" s="8">
        <f ca="1">IU166-TODAY()</f>
        <v>1066</v>
      </c>
      <c r="IW166" s="5" t="str">
        <f t="shared" ca="1" si="532"/>
        <v>VIGENTE</v>
      </c>
      <c r="IX166" s="3"/>
      <c r="IY166" s="4">
        <v>45374</v>
      </c>
      <c r="IZ166" s="4">
        <f>DATE(YEAR(IY166)+5,MONTH(IY166),DAY(IY166))</f>
        <v>47200</v>
      </c>
      <c r="JA166" s="8">
        <f ca="1">IZ166-TODAY()</f>
        <v>1055</v>
      </c>
      <c r="JB166" s="5" t="str">
        <f t="shared" ca="1" si="533"/>
        <v>VIGENTE</v>
      </c>
      <c r="JC166" s="3" t="s">
        <v>780</v>
      </c>
      <c r="JD166" s="3"/>
      <c r="JE166" s="4"/>
      <c r="JF166" s="8"/>
      <c r="JG166" s="5"/>
      <c r="JH166" s="3" t="s">
        <v>780</v>
      </c>
      <c r="JI166" s="6"/>
      <c r="JJ166" s="6"/>
      <c r="JK166" s="6"/>
      <c r="JL166" s="5"/>
      <c r="JM166" s="6" t="s">
        <v>780</v>
      </c>
      <c r="JN166" s="6"/>
      <c r="JO166" s="6"/>
      <c r="JP166" s="6"/>
      <c r="JQ166" s="5"/>
      <c r="JR166" s="6" t="s">
        <v>780</v>
      </c>
      <c r="JS166" s="6"/>
      <c r="JT166" s="6"/>
      <c r="JU166" s="6"/>
      <c r="JV166" s="5"/>
      <c r="JW166" s="6" t="s">
        <v>780</v>
      </c>
      <c r="JX166" s="5"/>
      <c r="JY166" s="5"/>
      <c r="JZ166" s="5"/>
      <c r="KA166" s="5"/>
      <c r="KB166" s="5"/>
      <c r="KC166" s="5"/>
      <c r="KD166" s="4"/>
      <c r="KE166" s="8"/>
      <c r="KF166" s="5" t="str">
        <f t="shared" si="534"/>
        <v>NO APLICA</v>
      </c>
      <c r="KG166" s="5"/>
      <c r="KH166" s="5"/>
      <c r="KI166" s="4"/>
      <c r="KJ166" s="8"/>
      <c r="KK166" s="5" t="str">
        <f t="shared" si="559"/>
        <v>NO APLICA</v>
      </c>
      <c r="KL166" s="5"/>
      <c r="KM166" s="5"/>
      <c r="KN166" s="4"/>
      <c r="KO166" s="8"/>
      <c r="KP166" s="5" t="str">
        <f t="shared" si="535"/>
        <v>NO APLICA</v>
      </c>
      <c r="KQ166" s="5"/>
      <c r="KR166" s="3">
        <v>45346</v>
      </c>
      <c r="KS166" s="4">
        <f>DATE(YEAR(KR166)+5,MONTH(KR166),DAY(KR166))</f>
        <v>47173</v>
      </c>
      <c r="KT166" s="8">
        <f ca="1">KS166-TODAY()</f>
        <v>1028</v>
      </c>
      <c r="KU166" s="5" t="str">
        <f t="shared" ca="1" si="560"/>
        <v>VIGENTE</v>
      </c>
      <c r="KV166" s="2"/>
      <c r="KW166" s="6"/>
      <c r="KX166" s="4"/>
      <c r="KY166" s="8"/>
      <c r="KZ166" s="5" t="str">
        <f t="shared" si="565"/>
        <v>NO APLICA</v>
      </c>
      <c r="LA166" s="5"/>
      <c r="LB166" s="4">
        <v>44608</v>
      </c>
      <c r="LC166" s="4">
        <f>DATE(YEAR(LB166)+5,MONTH(LB166),DAY(LB166))</f>
        <v>46434</v>
      </c>
      <c r="LD166" s="8">
        <f ca="1">LC166-TODAY()</f>
        <v>289</v>
      </c>
      <c r="LE166" s="5" t="str">
        <f t="shared" ca="1" si="561"/>
        <v>VIGENTE</v>
      </c>
      <c r="LF166" s="6"/>
      <c r="LG166" s="6"/>
      <c r="LH166" s="4"/>
      <c r="LI166" s="8"/>
      <c r="LJ166" s="5" t="str">
        <f t="shared" si="567"/>
        <v>NO APLICA</v>
      </c>
      <c r="LK166" s="5"/>
      <c r="LL166" s="5"/>
      <c r="LM166" s="4"/>
      <c r="LN166" s="8"/>
      <c r="LO166" s="5" t="str">
        <f t="shared" si="566"/>
        <v>NO APLICA</v>
      </c>
      <c r="LP166" s="5"/>
      <c r="LQ166" s="6"/>
      <c r="LR166" s="4"/>
      <c r="LS166" s="8"/>
      <c r="LT166" s="5" t="str">
        <f t="shared" si="562"/>
        <v>NO APLICA</v>
      </c>
      <c r="LU166" s="4"/>
      <c r="LV166" s="4">
        <v>44986</v>
      </c>
      <c r="LW166" s="4">
        <f>DATE(YEAR(LV166)+5,MONTH(LV166),DAY(LV166))</f>
        <v>46813</v>
      </c>
      <c r="LX166" s="8">
        <f ca="1">LW166-TODAY()</f>
        <v>668</v>
      </c>
      <c r="LY166" s="5" t="str">
        <f t="shared" ca="1" si="563"/>
        <v>VIGENTE</v>
      </c>
      <c r="LZ166" s="4"/>
      <c r="MA166" s="4">
        <v>44988</v>
      </c>
      <c r="MB166" s="4">
        <f>DATE(YEAR(MA166)+5,MONTH(MA166),DAY(MA166))</f>
        <v>46815</v>
      </c>
      <c r="MC166" s="8">
        <f ca="1">MB166-TODAY()</f>
        <v>670</v>
      </c>
      <c r="MD166" s="5" t="str">
        <f t="shared" ca="1" si="564"/>
        <v>VIGENTE</v>
      </c>
      <c r="ME166" s="5"/>
      <c r="MF166" s="5"/>
      <c r="MG166" s="4"/>
      <c r="MH166" s="8"/>
      <c r="MI166" s="5" t="str">
        <f t="shared" si="537"/>
        <v>NO APLICA</v>
      </c>
      <c r="MJ166" s="5"/>
      <c r="MK166" s="5"/>
      <c r="ML166" s="4"/>
      <c r="MM166" s="8"/>
      <c r="MN166" s="5" t="str">
        <f t="shared" si="538"/>
        <v>NO APLICA</v>
      </c>
      <c r="MO166" s="5"/>
      <c r="MP166" s="5"/>
      <c r="MQ166" s="4"/>
      <c r="MR166" s="8"/>
      <c r="MS166" s="5" t="str">
        <f t="shared" si="539"/>
        <v>NO APLICA</v>
      </c>
      <c r="MT166" s="5"/>
      <c r="MU166" s="5"/>
      <c r="MV166" s="4"/>
      <c r="MW166" s="5"/>
      <c r="MX166" s="5" t="str">
        <f t="shared" si="540"/>
        <v>NO APLICA</v>
      </c>
      <c r="MY166" s="5"/>
      <c r="MZ166" s="6"/>
      <c r="NA166" s="4"/>
      <c r="NB166" s="8"/>
      <c r="NC166" s="5" t="str">
        <f t="shared" si="541"/>
        <v>NO APLICA</v>
      </c>
      <c r="ND166" s="5"/>
      <c r="NE166" s="6"/>
      <c r="NF166" s="4"/>
      <c r="NG166" s="8"/>
      <c r="NH166" s="5" t="str">
        <f t="shared" si="542"/>
        <v>NO APLICA</v>
      </c>
      <c r="NI166" s="5"/>
      <c r="NJ166" s="6"/>
      <c r="NK166" s="4"/>
      <c r="NL166" s="8"/>
      <c r="NM166" s="5" t="str">
        <f t="shared" si="543"/>
        <v>NO APLICA</v>
      </c>
      <c r="NN166" s="5"/>
      <c r="NO166" s="5"/>
      <c r="NP166" s="5"/>
      <c r="NQ166" s="5"/>
      <c r="NR166" s="5" t="str">
        <f t="shared" si="544"/>
        <v>NO APLICA</v>
      </c>
      <c r="NS166" s="5"/>
      <c r="NT166" s="5"/>
      <c r="NU166" s="5"/>
      <c r="NV166" s="5"/>
      <c r="NW166" s="5" t="str">
        <f t="shared" si="545"/>
        <v>NO APLICA</v>
      </c>
      <c r="NX166" s="6"/>
      <c r="NY166" s="6"/>
      <c r="NZ166" s="6"/>
      <c r="OA166" s="6"/>
      <c r="OB166" s="5" t="str">
        <f t="shared" si="546"/>
        <v>NO APLICA</v>
      </c>
      <c r="OC166" s="6"/>
      <c r="OD166" s="6"/>
      <c r="OE166" s="6"/>
      <c r="OF166" s="6"/>
      <c r="OG166" s="5" t="str">
        <f t="shared" si="547"/>
        <v>NO APLICA</v>
      </c>
      <c r="OH166" s="5"/>
      <c r="OI166" s="4"/>
      <c r="OJ166" s="4"/>
      <c r="OK166" s="8"/>
      <c r="OL166" s="5" t="str">
        <f t="shared" si="548"/>
        <v>NO APLICA</v>
      </c>
      <c r="OM166" s="6"/>
      <c r="ON166" s="6"/>
      <c r="OO166" s="6"/>
      <c r="OP166" s="6"/>
      <c r="OQ166" s="5" t="str">
        <f t="shared" si="549"/>
        <v>NO APLICA</v>
      </c>
      <c r="OR166" s="6"/>
      <c r="OS166" s="6"/>
      <c r="OT166" s="6"/>
      <c r="OU166" s="6"/>
      <c r="OV166" s="5" t="str">
        <f t="shared" si="550"/>
        <v>NO APLICA</v>
      </c>
      <c r="OW166" s="6"/>
      <c r="OX166" s="6"/>
      <c r="OY166" s="6"/>
      <c r="OZ166" s="6"/>
      <c r="PA166" s="5" t="str">
        <f t="shared" si="551"/>
        <v>NO APLICA</v>
      </c>
      <c r="PB166" s="6"/>
      <c r="PC166" s="6"/>
      <c r="PD166" s="6"/>
      <c r="PE166" s="6"/>
      <c r="PF166" s="5" t="str">
        <f t="shared" si="552"/>
        <v>NO APLICA</v>
      </c>
      <c r="PG166" s="6"/>
      <c r="PH166" s="6"/>
      <c r="PI166" s="6"/>
      <c r="PJ166" s="6"/>
      <c r="PK166" s="5" t="str">
        <f t="shared" si="553"/>
        <v>NO APLICA</v>
      </c>
      <c r="PL166" s="5"/>
      <c r="PM166" s="6"/>
      <c r="PN166" s="4"/>
      <c r="PO166" s="8"/>
      <c r="PP166" s="5" t="str">
        <f t="shared" si="554"/>
        <v>NO APLICA</v>
      </c>
      <c r="PQ166" s="6"/>
      <c r="PR166" s="6"/>
      <c r="PS166" s="6"/>
      <c r="PT166" s="6"/>
      <c r="PU166" s="5" t="str">
        <f t="shared" si="555"/>
        <v>NO APLICA</v>
      </c>
      <c r="PV166" s="5"/>
      <c r="PW166" s="6"/>
      <c r="PX166" s="6"/>
      <c r="PY166" s="6"/>
      <c r="PZ166" s="5" t="str">
        <f t="shared" si="556"/>
        <v>NO APLICA</v>
      </c>
    </row>
    <row r="167" spans="1:442" ht="15.6" hidden="1" thickTop="1" thickBot="1" x14ac:dyDescent="0.35">
      <c r="A167" s="26">
        <v>164</v>
      </c>
      <c r="B167" s="31">
        <v>1631</v>
      </c>
      <c r="C167" s="28" t="s">
        <v>531</v>
      </c>
      <c r="D167" s="29" t="s">
        <v>64</v>
      </c>
      <c r="E167" s="30" t="s">
        <v>532</v>
      </c>
      <c r="F167" s="5"/>
      <c r="G167" s="6"/>
      <c r="H167" s="4"/>
      <c r="I167" s="8"/>
      <c r="J167" s="5" t="str">
        <f t="shared" si="455"/>
        <v>NO APLICA</v>
      </c>
      <c r="K167" s="5"/>
      <c r="L167" s="6"/>
      <c r="M167" s="6"/>
      <c r="N167" s="8"/>
      <c r="O167" s="5" t="str">
        <f t="shared" si="456"/>
        <v>NO APLICA</v>
      </c>
      <c r="P167" s="4"/>
      <c r="Q167" s="4">
        <v>45758</v>
      </c>
      <c r="R167" s="4">
        <f>DATE(YEAR(Q167)+2,MONTH(Q167),DAY(Q167)-1)</f>
        <v>46487</v>
      </c>
      <c r="S167" s="8">
        <f ca="1">R167-TODAY()</f>
        <v>342</v>
      </c>
      <c r="T167" s="5" t="str">
        <f t="shared" ca="1" si="557"/>
        <v>VIGENTE</v>
      </c>
      <c r="U167" s="5"/>
      <c r="V167" s="2" t="s">
        <v>533</v>
      </c>
      <c r="W167" s="4">
        <v>44688</v>
      </c>
      <c r="X167" s="4">
        <f t="shared" si="587"/>
        <v>46514</v>
      </c>
      <c r="Y167" s="8">
        <f t="shared" ca="1" si="588"/>
        <v>369</v>
      </c>
      <c r="Z167" s="5" t="str">
        <f t="shared" ca="1" si="412"/>
        <v>VIGENTE</v>
      </c>
      <c r="AA167" s="5"/>
      <c r="AB167" s="2" t="s">
        <v>534</v>
      </c>
      <c r="AC167" s="4">
        <v>45190</v>
      </c>
      <c r="AD167" s="4">
        <f t="shared" si="596"/>
        <v>47017</v>
      </c>
      <c r="AE167" s="8">
        <f t="shared" ca="1" si="597"/>
        <v>872</v>
      </c>
      <c r="AF167" s="5" t="str">
        <f t="shared" ca="1" si="457"/>
        <v>VIGENTE</v>
      </c>
      <c r="AG167" s="3"/>
      <c r="AH167" s="4">
        <v>45512</v>
      </c>
      <c r="AI167" s="4">
        <f>DATE(YEAR(AH167)+2,MONTH(AH167),DAY(AH167)-1)</f>
        <v>46241</v>
      </c>
      <c r="AJ167" s="8">
        <f t="shared" ca="1" si="458"/>
        <v>96</v>
      </c>
      <c r="AK167" s="5" t="str">
        <f t="shared" ca="1" si="408"/>
        <v>VIGENTE</v>
      </c>
      <c r="AL167" s="3"/>
      <c r="AM167" s="4">
        <v>45490</v>
      </c>
      <c r="AN167" s="4">
        <f>DATE(YEAR(AM167)+2,MONTH(AM167),DAY(AM167)-1)</f>
        <v>46219</v>
      </c>
      <c r="AO167" s="8">
        <f t="shared" ca="1" si="459"/>
        <v>74</v>
      </c>
      <c r="AP167" s="5" t="str">
        <f t="shared" ca="1" si="460"/>
        <v>POR VENCER</v>
      </c>
      <c r="AQ167" s="3"/>
      <c r="AR167" s="4">
        <v>45505</v>
      </c>
      <c r="AS167" s="4">
        <f>DATE(YEAR(AR167)+2,MONTH(AR167),DAY(AR167)-1)</f>
        <v>46234</v>
      </c>
      <c r="AT167" s="8">
        <f t="shared" ca="1" si="461"/>
        <v>89</v>
      </c>
      <c r="AU167" s="5" t="str">
        <f t="shared" ca="1" si="462"/>
        <v>POR VENCER</v>
      </c>
      <c r="AV167" s="3"/>
      <c r="AW167" s="4">
        <v>45514</v>
      </c>
      <c r="AX167" s="4">
        <f>DATE(YEAR(AW167)+2,MONTH(AW167),DAY(AW167)-1)</f>
        <v>46243</v>
      </c>
      <c r="AY167" s="8">
        <f t="shared" ca="1" si="463"/>
        <v>98</v>
      </c>
      <c r="AZ167" s="5" t="str">
        <f t="shared" ca="1" si="464"/>
        <v>VIGENTE</v>
      </c>
      <c r="BA167" s="3"/>
      <c r="BB167" s="4">
        <v>45603</v>
      </c>
      <c r="BC167" s="4">
        <f>DATE(YEAR(BB167)+2,MONTH(BB167),DAY(BB167)-1)</f>
        <v>46332</v>
      </c>
      <c r="BD167" s="8">
        <f t="shared" ca="1" si="465"/>
        <v>187</v>
      </c>
      <c r="BE167" s="5" t="str">
        <f t="shared" ca="1" si="466"/>
        <v>VIGENTE</v>
      </c>
      <c r="BF167" s="3"/>
      <c r="BG167" s="4">
        <v>45488</v>
      </c>
      <c r="BH167" s="4">
        <f>DATE(YEAR(BG167)+2,MONTH(BG167),DAY(BG167)-1)</f>
        <v>46217</v>
      </c>
      <c r="BI167" s="8">
        <f t="shared" ca="1" si="467"/>
        <v>72</v>
      </c>
      <c r="BJ167" s="5" t="str">
        <f t="shared" ca="1" si="468"/>
        <v>POR VENCER</v>
      </c>
      <c r="BK167" s="3"/>
      <c r="BL167" s="4">
        <v>46051</v>
      </c>
      <c r="BM167" s="4">
        <f>DATE(YEAR(BL167)+2,MONTH(BL167),DAY(BL167))</f>
        <v>46781</v>
      </c>
      <c r="BN167" s="8">
        <f t="shared" ca="1" si="469"/>
        <v>636</v>
      </c>
      <c r="BO167" s="5" t="str">
        <f t="shared" ca="1" si="470"/>
        <v>VIGENTE</v>
      </c>
      <c r="BP167" s="3"/>
      <c r="BQ167" s="39">
        <v>46050</v>
      </c>
      <c r="BR167" s="4">
        <f>DATE(YEAR(BQ167)+2,MONTH(BQ167),DAY(BQ167))</f>
        <v>46780</v>
      </c>
      <c r="BS167" s="8">
        <f t="shared" ca="1" si="471"/>
        <v>635</v>
      </c>
      <c r="BT167" s="5" t="str">
        <f t="shared" ca="1" si="472"/>
        <v>VIGENTE</v>
      </c>
      <c r="BU167" s="3"/>
      <c r="BV167" s="4">
        <v>46135</v>
      </c>
      <c r="BW167" s="4">
        <f>DATE(YEAR(BV167)+2,MONTH(BV167),DAY(BV167)-1)</f>
        <v>46865</v>
      </c>
      <c r="BX167" s="8">
        <f t="shared" ca="1" si="473"/>
        <v>720</v>
      </c>
      <c r="BY167" s="5" t="str">
        <f t="shared" ca="1" si="474"/>
        <v>VIGENTE</v>
      </c>
      <c r="BZ167" s="3"/>
      <c r="CA167" s="4">
        <v>45546</v>
      </c>
      <c r="CB167" s="4">
        <f>DATE(YEAR(CA167)+2,MONTH(CA167),DAY(CA167)-1)</f>
        <v>46275</v>
      </c>
      <c r="CC167" s="8">
        <f t="shared" ca="1" si="475"/>
        <v>130</v>
      </c>
      <c r="CD167" s="5" t="str">
        <f t="shared" ca="1" si="476"/>
        <v>VIGENTE</v>
      </c>
      <c r="CE167" s="6"/>
      <c r="CF167" s="4">
        <v>45828</v>
      </c>
      <c r="CG167" s="4">
        <f t="shared" si="590"/>
        <v>47289</v>
      </c>
      <c r="CH167" s="8">
        <f t="shared" ca="1" si="591"/>
        <v>1144</v>
      </c>
      <c r="CI167" s="5" t="str">
        <f t="shared" ca="1" si="573"/>
        <v>VIGENTE</v>
      </c>
      <c r="CJ167" s="4"/>
      <c r="CK167" s="4">
        <v>45511</v>
      </c>
      <c r="CL167" s="4">
        <f>DATE(YEAR(CK167)+2,MONTH(CK167),DAY(CK167)-1)</f>
        <v>46240</v>
      </c>
      <c r="CM167" s="8">
        <f t="shared" ca="1" si="477"/>
        <v>95</v>
      </c>
      <c r="CN167" s="5" t="str">
        <f t="shared" ca="1" si="478"/>
        <v>VIGENTE</v>
      </c>
      <c r="CO167" s="3"/>
      <c r="CP167" s="39">
        <v>45688</v>
      </c>
      <c r="CQ167" s="4">
        <f>DATE(YEAR(CP167)+2,MONTH(CP167),DAY(CP167)-1)</f>
        <v>46417</v>
      </c>
      <c r="CR167" s="8">
        <f t="shared" ca="1" si="479"/>
        <v>272</v>
      </c>
      <c r="CS167" s="5" t="str">
        <f t="shared" ca="1" si="480"/>
        <v>VIGENTE</v>
      </c>
      <c r="CT167" s="3"/>
      <c r="CU167" s="4">
        <v>45727</v>
      </c>
      <c r="CV167" s="4">
        <f>DATE(YEAR(CU167)+2,MONTH(CU167),DAY(CU167)-1)</f>
        <v>46456</v>
      </c>
      <c r="CW167" s="8">
        <f t="shared" ca="1" si="481"/>
        <v>311</v>
      </c>
      <c r="CX167" s="5" t="str">
        <f t="shared" ca="1" si="482"/>
        <v>VIGENTE</v>
      </c>
      <c r="CY167" s="3"/>
      <c r="CZ167" s="4">
        <v>45665</v>
      </c>
      <c r="DA167" s="4">
        <f>DATE(YEAR(CZ167)+2,MONTH(CZ167),DAY(CZ167)-1)</f>
        <v>46394</v>
      </c>
      <c r="DB167" s="8">
        <f t="shared" ca="1" si="483"/>
        <v>249</v>
      </c>
      <c r="DC167" s="5" t="str">
        <f t="shared" ca="1" si="484"/>
        <v>VIGENTE</v>
      </c>
      <c r="DD167" s="3"/>
      <c r="DE167" s="4">
        <v>46066</v>
      </c>
      <c r="DF167" s="4">
        <f>DATE(YEAR(DE167)+2,MONTH(DE167),DAY(DE167))</f>
        <v>46796</v>
      </c>
      <c r="DG167" s="8">
        <f t="shared" ca="1" si="485"/>
        <v>651</v>
      </c>
      <c r="DH167" s="5" t="str">
        <f t="shared" ca="1" si="486"/>
        <v>VIGENTE</v>
      </c>
      <c r="DI167" s="3"/>
      <c r="DJ167" s="39">
        <v>45509</v>
      </c>
      <c r="DK167" s="4">
        <f>DATE(YEAR(DJ167)+2,MONTH(DJ167),DAY(DJ167)-1)</f>
        <v>46238</v>
      </c>
      <c r="DL167" s="8">
        <f t="shared" ca="1" si="487"/>
        <v>93</v>
      </c>
      <c r="DM167" s="5" t="str">
        <f t="shared" ca="1" si="488"/>
        <v>VIGENTE</v>
      </c>
      <c r="DN167" s="3"/>
      <c r="DO167" s="4">
        <v>45731</v>
      </c>
      <c r="DP167" s="4">
        <f>DATE(YEAR(DO167)+2,MONTH(DO167),DAY(DO167)-1)</f>
        <v>46460</v>
      </c>
      <c r="DQ167" s="8">
        <f t="shared" ca="1" si="489"/>
        <v>315</v>
      </c>
      <c r="DR167" s="5" t="str">
        <f t="shared" ca="1" si="490"/>
        <v>VIGENTE</v>
      </c>
      <c r="DS167" s="3"/>
      <c r="DT167" s="4">
        <v>45608</v>
      </c>
      <c r="DU167" s="4">
        <f>DATE(YEAR(DT167)+2,MONTH(DT167),DAY(DT167)-1)</f>
        <v>46337</v>
      </c>
      <c r="DV167" s="8">
        <f t="shared" ca="1" si="491"/>
        <v>192</v>
      </c>
      <c r="DW167" s="5" t="str">
        <f t="shared" ca="1" si="492"/>
        <v>VIGENTE</v>
      </c>
      <c r="DX167" s="3"/>
      <c r="DY167" s="4">
        <v>45582</v>
      </c>
      <c r="DZ167" s="4">
        <f t="shared" si="595"/>
        <v>46311</v>
      </c>
      <c r="EA167" s="8">
        <f t="shared" ca="1" si="493"/>
        <v>166</v>
      </c>
      <c r="EB167" s="5" t="str">
        <f t="shared" ca="1" si="494"/>
        <v>VIGENTE</v>
      </c>
      <c r="EC167" s="3"/>
      <c r="ED167" s="39">
        <v>45602</v>
      </c>
      <c r="EE167" s="4">
        <f>DATE(YEAR(ED167)+2,MONTH(ED167),DAY(ED167)-1)</f>
        <v>46331</v>
      </c>
      <c r="EF167" s="8">
        <f t="shared" ca="1" si="495"/>
        <v>186</v>
      </c>
      <c r="EG167" s="5" t="str">
        <f t="shared" ca="1" si="496"/>
        <v>VIGENTE</v>
      </c>
      <c r="EH167" s="3"/>
      <c r="EI167" s="3">
        <v>46107</v>
      </c>
      <c r="EJ167" s="4">
        <f t="shared" si="558"/>
        <v>46472</v>
      </c>
      <c r="EK167" s="8">
        <f t="shared" ca="1" si="497"/>
        <v>327</v>
      </c>
      <c r="EL167" s="5" t="str">
        <f t="shared" ca="1" si="498"/>
        <v>VIGENTE</v>
      </c>
      <c r="EM167" s="3"/>
      <c r="EN167" s="4">
        <v>46100</v>
      </c>
      <c r="EO167" s="4">
        <f>DATE(YEAR(EN167)+2,MONTH(EN167),DAY(EN167))</f>
        <v>46831</v>
      </c>
      <c r="EP167" s="8">
        <f t="shared" ca="1" si="499"/>
        <v>686</v>
      </c>
      <c r="EQ167" s="5" t="str">
        <f t="shared" ca="1" si="500"/>
        <v>VIGENTE</v>
      </c>
      <c r="ER167" s="3"/>
      <c r="ES167" s="39">
        <v>45575</v>
      </c>
      <c r="ET167" s="4">
        <f>DATE(YEAR(ES167)+2,MONTH(ES167),DAY(ES167)-1)</f>
        <v>46304</v>
      </c>
      <c r="EU167" s="8">
        <f t="shared" ca="1" si="501"/>
        <v>159</v>
      </c>
      <c r="EV167" s="5" t="str">
        <f t="shared" ca="1" si="502"/>
        <v>VIGENTE</v>
      </c>
      <c r="EW167" s="3"/>
      <c r="EX167" s="4">
        <v>45610</v>
      </c>
      <c r="EY167" s="4">
        <f>DATE(YEAR(EX167)+2,MONTH(EX167),DAY(EX167)-1)</f>
        <v>46339</v>
      </c>
      <c r="EZ167" s="8">
        <f t="shared" ca="1" si="503"/>
        <v>194</v>
      </c>
      <c r="FA167" s="5" t="str">
        <f t="shared" ca="1" si="504"/>
        <v>VIGENTE</v>
      </c>
      <c r="FB167" s="3"/>
      <c r="FC167" s="4">
        <v>45611</v>
      </c>
      <c r="FD167" s="4">
        <f>DATE(YEAR(FC167)+2,MONTH(FC167),DAY(FC167)-1)</f>
        <v>46340</v>
      </c>
      <c r="FE167" s="8">
        <f t="shared" ca="1" si="505"/>
        <v>195</v>
      </c>
      <c r="FF167" s="5" t="str">
        <f t="shared" ca="1" si="506"/>
        <v>VIGENTE</v>
      </c>
      <c r="FG167" s="3"/>
      <c r="FH167" s="4">
        <v>45506</v>
      </c>
      <c r="FI167" s="4">
        <f>DATE(YEAR(FH167)+2,MONTH(FH167),DAY(FH167)-1)</f>
        <v>46235</v>
      </c>
      <c r="FJ167" s="8">
        <f t="shared" ca="1" si="507"/>
        <v>90</v>
      </c>
      <c r="FK167" s="5" t="str">
        <f t="shared" ca="1" si="508"/>
        <v>POR VENCER</v>
      </c>
      <c r="FL167" s="3"/>
      <c r="FM167" s="39">
        <v>45933</v>
      </c>
      <c r="FN167" s="4">
        <f>DATE(YEAR(FM167)+2,MONTH(FM167),DAY(FM167))</f>
        <v>46663</v>
      </c>
      <c r="FO167" s="8">
        <f t="shared" ca="1" si="509"/>
        <v>518</v>
      </c>
      <c r="FP167" s="5" t="str">
        <f t="shared" ca="1" si="510"/>
        <v>VIGENTE</v>
      </c>
      <c r="FQ167" s="3"/>
      <c r="FR167" s="39">
        <v>46077</v>
      </c>
      <c r="FS167" s="4">
        <f>DATE(YEAR(FR167)+2,MONTH(FR167),DAY(FR167))</f>
        <v>46807</v>
      </c>
      <c r="FT167" s="8">
        <f t="shared" ca="1" si="511"/>
        <v>662</v>
      </c>
      <c r="FU167" s="5" t="str">
        <f t="shared" ca="1" si="512"/>
        <v>VIGENTE</v>
      </c>
      <c r="FV167" s="3"/>
      <c r="FW167" s="4">
        <v>45700</v>
      </c>
      <c r="FX167" s="4">
        <f>DATE(YEAR(FW167)+2,MONTH(FW167),DAY(FW167)-1)</f>
        <v>46429</v>
      </c>
      <c r="FY167" s="8">
        <f t="shared" ca="1" si="513"/>
        <v>284</v>
      </c>
      <c r="FZ167" s="5" t="str">
        <f t="shared" ca="1" si="514"/>
        <v>VIGENTE</v>
      </c>
      <c r="GA167" s="3"/>
      <c r="GB167" s="4">
        <v>45595</v>
      </c>
      <c r="GC167" s="4">
        <f>DATE(YEAR(GB167)+2,MONTH(GB167),DAY(GB167)-1)</f>
        <v>46324</v>
      </c>
      <c r="GD167" s="8">
        <f t="shared" ca="1" si="515"/>
        <v>179</v>
      </c>
      <c r="GE167" s="5" t="str">
        <f t="shared" ca="1" si="516"/>
        <v>VIGENTE</v>
      </c>
      <c r="GF167" s="3"/>
      <c r="GG167" s="4">
        <v>46092</v>
      </c>
      <c r="GH167" s="4">
        <f>DATE(YEAR(GG167)+2,MONTH(GG167),DAY(GG167))</f>
        <v>46823</v>
      </c>
      <c r="GI167" s="8">
        <f t="shared" ca="1" si="517"/>
        <v>678</v>
      </c>
      <c r="GJ167" s="5" t="str">
        <f t="shared" ca="1" si="518"/>
        <v>VIGENTE</v>
      </c>
      <c r="GK167" s="3"/>
      <c r="GL167" s="4">
        <v>45567</v>
      </c>
      <c r="GM167" s="4">
        <f>DATE(YEAR(GL167)+2,MONTH(GL167),DAY(GL167)-1)</f>
        <v>46296</v>
      </c>
      <c r="GN167" s="8">
        <f t="shared" ca="1" si="519"/>
        <v>151</v>
      </c>
      <c r="GO167" s="5" t="str">
        <f t="shared" ca="1" si="520"/>
        <v>VIGENTE</v>
      </c>
      <c r="GP167" s="4"/>
      <c r="GQ167" s="4">
        <v>45495</v>
      </c>
      <c r="GR167" s="4">
        <f t="shared" si="521"/>
        <v>47321</v>
      </c>
      <c r="GS167" s="8">
        <f t="shared" ca="1" si="405"/>
        <v>1176</v>
      </c>
      <c r="GT167" s="5" t="str">
        <f t="shared" ca="1" si="419"/>
        <v>VIGENTE</v>
      </c>
      <c r="GU167" s="3"/>
      <c r="GV167" s="4">
        <v>44910</v>
      </c>
      <c r="GW167" s="4">
        <f t="shared" si="522"/>
        <v>46736</v>
      </c>
      <c r="GX167" s="8">
        <f t="shared" ca="1" si="523"/>
        <v>591</v>
      </c>
      <c r="GY167" s="5" t="str">
        <f t="shared" ca="1" si="426"/>
        <v>VIGENTE</v>
      </c>
      <c r="GZ167" s="2"/>
      <c r="HA167" s="4">
        <v>44883</v>
      </c>
      <c r="HB167" s="4">
        <f t="shared" si="524"/>
        <v>46709</v>
      </c>
      <c r="HC167" s="8">
        <f t="shared" ca="1" si="525"/>
        <v>564</v>
      </c>
      <c r="HD167" s="5" t="str">
        <f t="shared" ca="1" si="421"/>
        <v>VIGENTE</v>
      </c>
      <c r="HE167" s="6"/>
      <c r="HF167" s="4">
        <v>44876</v>
      </c>
      <c r="HG167" s="4">
        <f t="shared" si="598"/>
        <v>46702</v>
      </c>
      <c r="HH167" s="8">
        <f t="shared" ca="1" si="599"/>
        <v>557</v>
      </c>
      <c r="HI167" s="5" t="str">
        <f t="shared" ca="1" si="427"/>
        <v>VIGENTE</v>
      </c>
      <c r="HJ167" s="2"/>
      <c r="HK167" s="6"/>
      <c r="HL167" s="4"/>
      <c r="HM167" s="8"/>
      <c r="HN167" s="5" t="str">
        <f t="shared" si="444"/>
        <v>NO APLICA</v>
      </c>
      <c r="HO167" s="2"/>
      <c r="HP167" s="2"/>
      <c r="HQ167" s="4"/>
      <c r="HR167" s="2"/>
      <c r="HS167" s="5" t="str">
        <f t="shared" si="526"/>
        <v>NO APLICA</v>
      </c>
      <c r="HT167" s="2"/>
      <c r="HU167" s="6"/>
      <c r="HV167" s="4"/>
      <c r="HW167" s="8"/>
      <c r="HX167" s="5" t="str">
        <f t="shared" si="527"/>
        <v>NO APLICA</v>
      </c>
      <c r="HY167" s="2"/>
      <c r="HZ167" s="6"/>
      <c r="IA167" s="4"/>
      <c r="IB167" s="8"/>
      <c r="IC167" s="5" t="str">
        <f t="shared" si="528"/>
        <v>NO APLICA</v>
      </c>
      <c r="ID167" s="2"/>
      <c r="IE167" s="6"/>
      <c r="IF167" s="4"/>
      <c r="IG167" s="8"/>
      <c r="IH167" s="5" t="str">
        <f t="shared" si="529"/>
        <v>NO APLICA</v>
      </c>
      <c r="II167" s="6"/>
      <c r="IJ167" s="6"/>
      <c r="IK167" s="4"/>
      <c r="IL167" s="8"/>
      <c r="IM167" s="5" t="str">
        <f t="shared" si="530"/>
        <v>NO APLICA</v>
      </c>
      <c r="IN167" s="2"/>
      <c r="IO167" s="6"/>
      <c r="IP167" s="4"/>
      <c r="IQ167" s="8"/>
      <c r="IR167" s="5" t="str">
        <f t="shared" si="531"/>
        <v>NO APLICA</v>
      </c>
      <c r="IS167" s="2"/>
      <c r="IT167" s="6"/>
      <c r="IU167" s="4"/>
      <c r="IV167" s="8"/>
      <c r="IW167" s="5" t="str">
        <f t="shared" si="532"/>
        <v>NO APLICA</v>
      </c>
      <c r="IX167" s="2"/>
      <c r="IY167" s="6"/>
      <c r="IZ167" s="4"/>
      <c r="JA167" s="8"/>
      <c r="JB167" s="5" t="str">
        <f t="shared" si="533"/>
        <v>NO APLICA</v>
      </c>
      <c r="JC167" s="3" t="s">
        <v>780</v>
      </c>
      <c r="JD167" s="3"/>
      <c r="JE167" s="4"/>
      <c r="JF167" s="8"/>
      <c r="JG167" s="5"/>
      <c r="JH167" s="3" t="s">
        <v>780</v>
      </c>
      <c r="JI167" s="6"/>
      <c r="JJ167" s="6"/>
      <c r="JK167" s="6"/>
      <c r="JL167" s="5"/>
      <c r="JM167" s="6" t="s">
        <v>780</v>
      </c>
      <c r="JN167" s="6"/>
      <c r="JO167" s="6"/>
      <c r="JP167" s="6"/>
      <c r="JQ167" s="5"/>
      <c r="JR167" s="6" t="s">
        <v>780</v>
      </c>
      <c r="JS167" s="6"/>
      <c r="JT167" s="6"/>
      <c r="JU167" s="6"/>
      <c r="JV167" s="5"/>
      <c r="JW167" s="6" t="s">
        <v>780</v>
      </c>
      <c r="JX167" s="5"/>
      <c r="JY167" s="5"/>
      <c r="JZ167" s="5"/>
      <c r="KA167" s="5"/>
      <c r="KB167" s="5"/>
      <c r="KC167" s="2"/>
      <c r="KD167" s="4"/>
      <c r="KE167" s="8"/>
      <c r="KF167" s="5" t="str">
        <f t="shared" si="534"/>
        <v>NO APLICA</v>
      </c>
      <c r="KG167" s="5"/>
      <c r="KH167" s="2"/>
      <c r="KI167" s="4"/>
      <c r="KJ167" s="8"/>
      <c r="KK167" s="5" t="str">
        <f t="shared" si="559"/>
        <v>NO APLICA</v>
      </c>
      <c r="KL167" s="5"/>
      <c r="KM167" s="3">
        <v>45364</v>
      </c>
      <c r="KN167" s="4">
        <f>DATE(YEAR(KM167)+5,MONTH(KM167),DAY(KM167))</f>
        <v>47190</v>
      </c>
      <c r="KO167" s="8">
        <f ca="1">KN167-TODAY()</f>
        <v>1045</v>
      </c>
      <c r="KP167" s="5" t="str">
        <f t="shared" ca="1" si="535"/>
        <v>VIGENTE</v>
      </c>
      <c r="KQ167" s="5"/>
      <c r="KR167" s="3">
        <v>45346</v>
      </c>
      <c r="KS167" s="4">
        <f>DATE(YEAR(KR167)+5,MONTH(KR167),DAY(KR167))</f>
        <v>47173</v>
      </c>
      <c r="KT167" s="8">
        <f ca="1">KS167-TODAY()</f>
        <v>1028</v>
      </c>
      <c r="KU167" s="5" t="str">
        <f t="shared" ca="1" si="560"/>
        <v>VIGENTE</v>
      </c>
      <c r="KV167" s="2"/>
      <c r="KW167" s="6"/>
      <c r="KX167" s="4"/>
      <c r="KY167" s="8"/>
      <c r="KZ167" s="5" t="str">
        <f t="shared" si="565"/>
        <v>NO APLICA</v>
      </c>
      <c r="LA167" s="5"/>
      <c r="LB167" s="6"/>
      <c r="LC167" s="4"/>
      <c r="LD167" s="8"/>
      <c r="LE167" s="5" t="str">
        <f t="shared" si="561"/>
        <v>NO APLICA</v>
      </c>
      <c r="LF167" s="4"/>
      <c r="LG167" s="4"/>
      <c r="LH167" s="4"/>
      <c r="LI167" s="8"/>
      <c r="LJ167" s="5" t="str">
        <f>IF(LI167&gt;=61,"VIGENTE",IF(LI167&gt;=1,"POR VENCER",IF(LI167&lt;=-1,"VENCIDA",IF(LI167=0,"NO APLICA"))))</f>
        <v>NO APLICA</v>
      </c>
      <c r="LK167" s="5"/>
      <c r="LL167" s="5"/>
      <c r="LM167" s="5"/>
      <c r="LN167" s="5"/>
      <c r="LO167" s="5" t="str">
        <f t="shared" si="566"/>
        <v>NO APLICA</v>
      </c>
      <c r="LP167" s="2"/>
      <c r="LQ167" s="6"/>
      <c r="LR167" s="4"/>
      <c r="LS167" s="8"/>
      <c r="LT167" s="5" t="str">
        <f t="shared" si="562"/>
        <v>NO APLICA</v>
      </c>
      <c r="LU167" s="4"/>
      <c r="LV167" s="4">
        <v>44986</v>
      </c>
      <c r="LW167" s="4">
        <f>DATE(YEAR(LV167)+5,MONTH(LV167),DAY(LV167))</f>
        <v>46813</v>
      </c>
      <c r="LX167" s="8">
        <f ca="1">LW167-TODAY()</f>
        <v>668</v>
      </c>
      <c r="LY167" s="5" t="str">
        <f t="shared" ca="1" si="563"/>
        <v>VIGENTE</v>
      </c>
      <c r="LZ167" s="4"/>
      <c r="MA167" s="4">
        <v>44988</v>
      </c>
      <c r="MB167" s="4">
        <f>DATE(YEAR(MA167)+5,MONTH(MA167),DAY(MA167))</f>
        <v>46815</v>
      </c>
      <c r="MC167" s="8">
        <f ca="1">MB167-TODAY()</f>
        <v>670</v>
      </c>
      <c r="MD167" s="5" t="str">
        <f t="shared" ca="1" si="564"/>
        <v>VIGENTE</v>
      </c>
      <c r="ME167" s="3"/>
      <c r="MF167" s="3">
        <v>44998</v>
      </c>
      <c r="MG167" s="4">
        <f>DATE(YEAR(MF167)+5,MONTH(MF167),DAY(MF167))</f>
        <v>46825</v>
      </c>
      <c r="MH167" s="8">
        <f ca="1">MG167-TODAY()</f>
        <v>680</v>
      </c>
      <c r="MI167" s="5" t="str">
        <f t="shared" ca="1" si="537"/>
        <v>VIGENTE</v>
      </c>
      <c r="MJ167" s="3"/>
      <c r="MK167" s="3">
        <v>45231</v>
      </c>
      <c r="ML167" s="4">
        <f>DATE(YEAR(MK167)+5,MONTH(MK167),DAY(MK167))</f>
        <v>47058</v>
      </c>
      <c r="MM167" s="8">
        <f ca="1">ML167-TODAY()</f>
        <v>913</v>
      </c>
      <c r="MN167" s="5" t="str">
        <f t="shared" ca="1" si="538"/>
        <v>VIGENTE</v>
      </c>
      <c r="MO167" s="5"/>
      <c r="MP167" s="2"/>
      <c r="MQ167" s="4"/>
      <c r="MR167" s="8"/>
      <c r="MS167" s="5" t="str">
        <f t="shared" si="539"/>
        <v>NO APLICA</v>
      </c>
      <c r="MT167" s="5"/>
      <c r="MU167" s="2"/>
      <c r="MV167" s="4"/>
      <c r="MW167" s="2"/>
      <c r="MX167" s="5" t="str">
        <f t="shared" si="540"/>
        <v>NO APLICA</v>
      </c>
      <c r="MY167" s="2"/>
      <c r="MZ167" s="6"/>
      <c r="NA167" s="4"/>
      <c r="NB167" s="8"/>
      <c r="NC167" s="5" t="str">
        <f t="shared" si="541"/>
        <v>NO APLICA</v>
      </c>
      <c r="ND167" s="2"/>
      <c r="NE167" s="6"/>
      <c r="NF167" s="4"/>
      <c r="NG167" s="8"/>
      <c r="NH167" s="5" t="str">
        <f t="shared" si="542"/>
        <v>NO APLICA</v>
      </c>
      <c r="NI167" s="2"/>
      <c r="NJ167" s="6"/>
      <c r="NK167" s="4"/>
      <c r="NL167" s="8"/>
      <c r="NM167" s="5" t="str">
        <f t="shared" si="543"/>
        <v>NO APLICA</v>
      </c>
      <c r="NN167" s="3"/>
      <c r="NO167" s="3">
        <v>45002</v>
      </c>
      <c r="NP167" s="4">
        <f>DATE(YEAR(NO167)+5,MONTH(NO167),DAY(NO167))</f>
        <v>46829</v>
      </c>
      <c r="NQ167" s="8">
        <f ca="1">NP167-TODAY()</f>
        <v>684</v>
      </c>
      <c r="NR167" s="5" t="str">
        <f t="shared" ca="1" si="544"/>
        <v>VIGENTE</v>
      </c>
      <c r="NS167" s="2"/>
      <c r="NT167" s="2"/>
      <c r="NU167" s="4"/>
      <c r="NV167" s="2"/>
      <c r="NW167" s="5" t="str">
        <f t="shared" si="545"/>
        <v>NO APLICA</v>
      </c>
      <c r="NX167" s="6"/>
      <c r="NY167" s="6"/>
      <c r="NZ167" s="4"/>
      <c r="OA167" s="8"/>
      <c r="OB167" s="5" t="str">
        <f t="shared" si="546"/>
        <v>NO APLICA</v>
      </c>
      <c r="OC167" s="6"/>
      <c r="OD167" s="6"/>
      <c r="OE167" s="6"/>
      <c r="OF167" s="6"/>
      <c r="OG167" s="5" t="str">
        <f t="shared" si="547"/>
        <v>NO APLICA</v>
      </c>
      <c r="OH167" s="6"/>
      <c r="OI167" s="6"/>
      <c r="OJ167" s="4"/>
      <c r="OK167" s="8"/>
      <c r="OL167" s="5" t="str">
        <f t="shared" si="548"/>
        <v>NO APLICA</v>
      </c>
      <c r="OM167" s="6"/>
      <c r="ON167" s="6"/>
      <c r="OO167" s="6"/>
      <c r="OP167" s="6"/>
      <c r="OQ167" s="5" t="str">
        <f t="shared" si="549"/>
        <v>NO APLICA</v>
      </c>
      <c r="OR167" s="6"/>
      <c r="OS167" s="6"/>
      <c r="OT167" s="6"/>
      <c r="OU167" s="6"/>
      <c r="OV167" s="5" t="str">
        <f t="shared" si="550"/>
        <v>NO APLICA</v>
      </c>
      <c r="OW167" s="6"/>
      <c r="OX167" s="6"/>
      <c r="OY167" s="6"/>
      <c r="OZ167" s="6"/>
      <c r="PA167" s="5" t="str">
        <f t="shared" si="551"/>
        <v>NO APLICA</v>
      </c>
      <c r="PB167" s="6"/>
      <c r="PC167" s="6"/>
      <c r="PD167" s="6"/>
      <c r="PE167" s="6"/>
      <c r="PF167" s="5" t="str">
        <f t="shared" si="552"/>
        <v>NO APLICA</v>
      </c>
      <c r="PG167" s="6"/>
      <c r="PH167" s="6"/>
      <c r="PI167" s="6"/>
      <c r="PJ167" s="6"/>
      <c r="PK167" s="5" t="str">
        <f t="shared" si="553"/>
        <v>NO APLICA</v>
      </c>
      <c r="PL167" s="5"/>
      <c r="PM167" s="6"/>
      <c r="PN167" s="4"/>
      <c r="PO167" s="8"/>
      <c r="PP167" s="5" t="str">
        <f t="shared" si="554"/>
        <v>NO APLICA</v>
      </c>
      <c r="PQ167" s="6"/>
      <c r="PR167" s="6"/>
      <c r="PS167" s="6"/>
      <c r="PT167" s="6"/>
      <c r="PU167" s="5" t="str">
        <f t="shared" si="555"/>
        <v>NO APLICA</v>
      </c>
      <c r="PV167" s="5"/>
      <c r="PW167" s="6"/>
      <c r="PX167" s="6"/>
      <c r="PY167" s="6"/>
      <c r="PZ167" s="5" t="str">
        <f t="shared" si="556"/>
        <v>NO APLICA</v>
      </c>
    </row>
    <row r="168" spans="1:442" ht="15.6" hidden="1" thickTop="1" thickBot="1" x14ac:dyDescent="0.35">
      <c r="A168" s="26">
        <v>165</v>
      </c>
      <c r="B168" s="27">
        <v>1199</v>
      </c>
      <c r="C168" s="28" t="s">
        <v>535</v>
      </c>
      <c r="D168" s="29" t="s">
        <v>64</v>
      </c>
      <c r="E168" s="30" t="s">
        <v>536</v>
      </c>
      <c r="F168" s="5"/>
      <c r="G168" s="6"/>
      <c r="H168" s="4"/>
      <c r="I168" s="8"/>
      <c r="J168" s="5" t="str">
        <f t="shared" si="455"/>
        <v>NO APLICA</v>
      </c>
      <c r="K168" s="5"/>
      <c r="L168" s="6"/>
      <c r="M168" s="6"/>
      <c r="N168" s="8"/>
      <c r="O168" s="5" t="str">
        <f t="shared" si="456"/>
        <v>NO APLICA</v>
      </c>
      <c r="P168" s="4"/>
      <c r="Q168" s="4">
        <v>45590</v>
      </c>
      <c r="R168" s="4">
        <f>DATE(YEAR(Q168)+2,MONTH(Q168),DAY(Q168)-1)</f>
        <v>46319</v>
      </c>
      <c r="S168" s="8">
        <f ca="1">R168-TODAY()</f>
        <v>174</v>
      </c>
      <c r="T168" s="5" t="str">
        <f t="shared" ca="1" si="557"/>
        <v>VIGENTE</v>
      </c>
      <c r="U168" s="5"/>
      <c r="V168" s="2" t="s">
        <v>537</v>
      </c>
      <c r="W168" s="4">
        <v>45498</v>
      </c>
      <c r="X168" s="4">
        <f t="shared" si="587"/>
        <v>47324</v>
      </c>
      <c r="Y168" s="8">
        <f t="shared" ca="1" si="588"/>
        <v>1179</v>
      </c>
      <c r="Z168" s="5" t="str">
        <f t="shared" ca="1" si="412"/>
        <v>VIGENTE</v>
      </c>
      <c r="AA168" s="5"/>
      <c r="AB168" s="2" t="s">
        <v>538</v>
      </c>
      <c r="AC168" s="4">
        <v>45113</v>
      </c>
      <c r="AD168" s="4">
        <f t="shared" si="596"/>
        <v>46940</v>
      </c>
      <c r="AE168" s="8">
        <f t="shared" ca="1" si="597"/>
        <v>795</v>
      </c>
      <c r="AF168" s="5" t="str">
        <f t="shared" ca="1" si="457"/>
        <v>VIGENTE</v>
      </c>
      <c r="AG168" s="3"/>
      <c r="AH168" s="4">
        <v>45902</v>
      </c>
      <c r="AI168" s="4">
        <f>DATE(YEAR(AH168)+2,MONTH(AH168),DAY(AH168))</f>
        <v>46632</v>
      </c>
      <c r="AJ168" s="8">
        <f t="shared" ca="1" si="458"/>
        <v>487</v>
      </c>
      <c r="AK168" s="5" t="str">
        <f t="shared" ca="1" si="408"/>
        <v>VIGENTE</v>
      </c>
      <c r="AL168" s="3"/>
      <c r="AM168" s="4">
        <v>45937</v>
      </c>
      <c r="AN168" s="4">
        <f>DATE(YEAR(AM168)+2,MONTH(AM168),DAY(AM168))</f>
        <v>46667</v>
      </c>
      <c r="AO168" s="8">
        <f t="shared" ca="1" si="459"/>
        <v>522</v>
      </c>
      <c r="AP168" s="5" t="str">
        <f t="shared" ca="1" si="460"/>
        <v>VIGENTE</v>
      </c>
      <c r="AQ168" s="2"/>
      <c r="AR168" s="4">
        <v>45740</v>
      </c>
      <c r="AS168" s="4">
        <f>DATE(YEAR(AR168)+2,MONTH(AR168),DAY(AR168)-1)</f>
        <v>46469</v>
      </c>
      <c r="AT168" s="8">
        <f t="shared" ca="1" si="461"/>
        <v>324</v>
      </c>
      <c r="AU168" s="5" t="str">
        <f t="shared" ca="1" si="462"/>
        <v>VIGENTE</v>
      </c>
      <c r="AV168" s="3"/>
      <c r="AW168" s="4">
        <v>45765</v>
      </c>
      <c r="AX168" s="4">
        <f>DATE(YEAR(AW168)+2,MONTH(AW168),DAY(AW168))</f>
        <v>46495</v>
      </c>
      <c r="AY168" s="8">
        <f t="shared" ca="1" si="463"/>
        <v>350</v>
      </c>
      <c r="AZ168" s="5" t="str">
        <f t="shared" ca="1" si="464"/>
        <v>VIGENTE</v>
      </c>
      <c r="BA168" s="3"/>
      <c r="BB168" s="4">
        <v>45717</v>
      </c>
      <c r="BC168" s="4">
        <f>DATE(YEAR(BB168)+2,MONTH(BB168),DAY(BB168)-1)</f>
        <v>46446</v>
      </c>
      <c r="BD168" s="8">
        <f t="shared" ca="1" si="465"/>
        <v>301</v>
      </c>
      <c r="BE168" s="5" t="str">
        <f t="shared" ca="1" si="466"/>
        <v>VIGENTE</v>
      </c>
      <c r="BF168" s="2"/>
      <c r="BG168" s="4">
        <v>45762</v>
      </c>
      <c r="BH168" s="4">
        <f>DATE(YEAR(BG168)+2,MONTH(BG168),DAY(BG168))</f>
        <v>46492</v>
      </c>
      <c r="BI168" s="8">
        <f t="shared" ca="1" si="467"/>
        <v>347</v>
      </c>
      <c r="BJ168" s="5" t="str">
        <f t="shared" ca="1" si="468"/>
        <v>VIGENTE</v>
      </c>
      <c r="BK168" s="3"/>
      <c r="BL168" s="4">
        <v>45759</v>
      </c>
      <c r="BM168" s="4">
        <f>DATE(YEAR(BL168)+2,MONTH(BL168),DAY(BL168)-1)</f>
        <v>46488</v>
      </c>
      <c r="BN168" s="8">
        <f t="shared" ca="1" si="469"/>
        <v>343</v>
      </c>
      <c r="BO168" s="5" t="str">
        <f t="shared" ca="1" si="470"/>
        <v>VIGENTE</v>
      </c>
      <c r="BP168" s="3"/>
      <c r="BQ168" s="39">
        <v>45772</v>
      </c>
      <c r="BR168" s="4">
        <f>DATE(YEAR(BQ168)+2,MONTH(BQ168),DAY(BQ168))</f>
        <v>46502</v>
      </c>
      <c r="BS168" s="8">
        <f t="shared" ca="1" si="471"/>
        <v>357</v>
      </c>
      <c r="BT168" s="5" t="str">
        <f t="shared" ca="1" si="472"/>
        <v>VIGENTE</v>
      </c>
      <c r="BU168" s="3"/>
      <c r="BV168" s="4">
        <v>45736</v>
      </c>
      <c r="BW168" s="4">
        <f>DATE(YEAR(BV168)+2,MONTH(BV168),DAY(BV168)-1)</f>
        <v>46465</v>
      </c>
      <c r="BX168" s="8">
        <f t="shared" ca="1" si="473"/>
        <v>320</v>
      </c>
      <c r="BY168" s="5" t="str">
        <f t="shared" ca="1" si="474"/>
        <v>VIGENTE</v>
      </c>
      <c r="BZ168" s="3"/>
      <c r="CA168" s="4">
        <v>45944</v>
      </c>
      <c r="CB168" s="4">
        <f>DATE(YEAR(CA168)+2,MONTH(CA168),DAY(CA168))</f>
        <v>46674</v>
      </c>
      <c r="CC168" s="8">
        <f t="shared" ca="1" si="475"/>
        <v>529</v>
      </c>
      <c r="CD168" s="5" t="str">
        <f t="shared" ca="1" si="476"/>
        <v>VIGENTE</v>
      </c>
      <c r="CE168" s="6"/>
      <c r="CF168" s="4">
        <v>45104</v>
      </c>
      <c r="CG168" s="4">
        <f t="shared" si="590"/>
        <v>46565</v>
      </c>
      <c r="CH168" s="8">
        <f t="shared" ca="1" si="591"/>
        <v>420</v>
      </c>
      <c r="CI168" s="5" t="str">
        <f t="shared" ca="1" si="573"/>
        <v>VIGENTE</v>
      </c>
      <c r="CJ168" s="4"/>
      <c r="CK168" s="4">
        <v>45723</v>
      </c>
      <c r="CL168" s="4">
        <f>DATE(YEAR(CK168)+2,MONTH(CK168),DAY(CK168)-1)</f>
        <v>46452</v>
      </c>
      <c r="CM168" s="8">
        <f t="shared" ca="1" si="477"/>
        <v>307</v>
      </c>
      <c r="CN168" s="5" t="str">
        <f t="shared" ca="1" si="478"/>
        <v>VIGENTE</v>
      </c>
      <c r="CO168" s="3"/>
      <c r="CP168" s="39">
        <v>45726</v>
      </c>
      <c r="CQ168" s="4">
        <f>DATE(YEAR(CP168)+2,MONTH(CP168),DAY(CP168)-1)</f>
        <v>46455</v>
      </c>
      <c r="CR168" s="8">
        <f t="shared" ca="1" si="479"/>
        <v>310</v>
      </c>
      <c r="CS168" s="5" t="str">
        <f t="shared" ca="1" si="480"/>
        <v>VIGENTE</v>
      </c>
      <c r="CT168" s="3"/>
      <c r="CU168" s="4">
        <v>45639</v>
      </c>
      <c r="CV168" s="4">
        <f>DATE(YEAR(CU168)+2,MONTH(CU168),DAY(CU168)-1)</f>
        <v>46368</v>
      </c>
      <c r="CW168" s="8">
        <f t="shared" ca="1" si="481"/>
        <v>223</v>
      </c>
      <c r="CX168" s="5" t="str">
        <f t="shared" ca="1" si="482"/>
        <v>VIGENTE</v>
      </c>
      <c r="CY168" s="3"/>
      <c r="CZ168" s="4">
        <v>45665</v>
      </c>
      <c r="DA168" s="4">
        <f>DATE(YEAR(CZ168)+2,MONTH(CZ168),DAY(CZ168)-1)</f>
        <v>46394</v>
      </c>
      <c r="DB168" s="8">
        <f t="shared" ca="1" si="483"/>
        <v>249</v>
      </c>
      <c r="DC168" s="5" t="str">
        <f t="shared" ca="1" si="484"/>
        <v>VIGENTE</v>
      </c>
      <c r="DD168" s="3"/>
      <c r="DE168" s="39">
        <v>45761</v>
      </c>
      <c r="DF168" s="4">
        <f>DATE(YEAR(DE168)+2,MONTH(DE168),DAY(DE168))</f>
        <v>46491</v>
      </c>
      <c r="DG168" s="8">
        <f t="shared" ca="1" si="485"/>
        <v>346</v>
      </c>
      <c r="DH168" s="5" t="str">
        <f t="shared" ca="1" si="486"/>
        <v>VIGENTE</v>
      </c>
      <c r="DI168" s="2"/>
      <c r="DJ168" s="39">
        <v>45734</v>
      </c>
      <c r="DK168" s="4">
        <f>DATE(YEAR(DJ168)+2,MONTH(DJ168),DAY(DJ168)-1)</f>
        <v>46463</v>
      </c>
      <c r="DL168" s="8">
        <f t="shared" ca="1" si="487"/>
        <v>318</v>
      </c>
      <c r="DM168" s="5" t="str">
        <f t="shared" ca="1" si="488"/>
        <v>VIGENTE</v>
      </c>
      <c r="DN168" s="3"/>
      <c r="DO168" s="4">
        <v>45577</v>
      </c>
      <c r="DP168" s="4">
        <f>DATE(YEAR(DO168)+2,MONTH(DO168),DAY(DO168)-1)</f>
        <v>46306</v>
      </c>
      <c r="DQ168" s="8">
        <f t="shared" ca="1" si="489"/>
        <v>161</v>
      </c>
      <c r="DR168" s="5" t="str">
        <f t="shared" ca="1" si="490"/>
        <v>VIGENTE</v>
      </c>
      <c r="DS168" s="3"/>
      <c r="DT168" s="4">
        <v>45608</v>
      </c>
      <c r="DU168" s="4">
        <f>DATE(YEAR(DT168)+2,MONTH(DT168),DAY(DT168)-1)</f>
        <v>46337</v>
      </c>
      <c r="DV168" s="8">
        <f t="shared" ca="1" si="491"/>
        <v>192</v>
      </c>
      <c r="DW168" s="5" t="str">
        <f t="shared" ca="1" si="492"/>
        <v>VIGENTE</v>
      </c>
      <c r="DX168" s="3"/>
      <c r="DY168" s="4">
        <v>45663</v>
      </c>
      <c r="DZ168" s="4">
        <f t="shared" si="595"/>
        <v>46392</v>
      </c>
      <c r="EA168" s="8">
        <f t="shared" ca="1" si="493"/>
        <v>247</v>
      </c>
      <c r="EB168" s="5" t="str">
        <f t="shared" ca="1" si="494"/>
        <v>VIGENTE</v>
      </c>
      <c r="EC168" s="3"/>
      <c r="ED168" s="39">
        <v>45768</v>
      </c>
      <c r="EE168" s="4">
        <f>DATE(YEAR(ED168)+2,MONTH(ED168),DAY(ED168))</f>
        <v>46498</v>
      </c>
      <c r="EF168" s="8">
        <f t="shared" ca="1" si="495"/>
        <v>353</v>
      </c>
      <c r="EG168" s="5" t="str">
        <f t="shared" ca="1" si="496"/>
        <v>VIGENTE</v>
      </c>
      <c r="EH168" s="3"/>
      <c r="EI168" s="3">
        <v>46060</v>
      </c>
      <c r="EJ168" s="4">
        <f t="shared" si="558"/>
        <v>46425</v>
      </c>
      <c r="EK168" s="8">
        <f t="shared" ca="1" si="497"/>
        <v>280</v>
      </c>
      <c r="EL168" s="5" t="str">
        <f t="shared" ca="1" si="498"/>
        <v>VIGENTE</v>
      </c>
      <c r="EM168" s="3"/>
      <c r="EN168" s="4">
        <v>45737</v>
      </c>
      <c r="EO168" s="4">
        <f>DATE(YEAR(EN168)+2,MONTH(EN168),DAY(EN168)-1)</f>
        <v>46466</v>
      </c>
      <c r="EP168" s="8">
        <f t="shared" ca="1" si="499"/>
        <v>321</v>
      </c>
      <c r="EQ168" s="5" t="str">
        <f t="shared" ca="1" si="500"/>
        <v>VIGENTE</v>
      </c>
      <c r="ER168" s="2"/>
      <c r="ES168" s="39">
        <v>45749</v>
      </c>
      <c r="ET168" s="4">
        <f>DATE(YEAR(ES168)+2,MONTH(ES168),DAY(ES168)-1)</f>
        <v>46478</v>
      </c>
      <c r="EU168" s="8">
        <f t="shared" ca="1" si="501"/>
        <v>333</v>
      </c>
      <c r="EV168" s="5" t="str">
        <f t="shared" ca="1" si="502"/>
        <v>VIGENTE</v>
      </c>
      <c r="EW168" s="3"/>
      <c r="EX168" s="4">
        <v>45953</v>
      </c>
      <c r="EY168" s="4">
        <f>DATE(YEAR(EX168)+2,MONTH(EX168),DAY(EX168))</f>
        <v>46683</v>
      </c>
      <c r="EZ168" s="8">
        <f t="shared" ca="1" si="503"/>
        <v>538</v>
      </c>
      <c r="FA168" s="5" t="str">
        <f t="shared" ca="1" si="504"/>
        <v>VIGENTE</v>
      </c>
      <c r="FB168" s="3"/>
      <c r="FC168" s="4">
        <v>45931</v>
      </c>
      <c r="FD168" s="4">
        <f>DATE(YEAR(FC168)+2,MONTH(FC168),DAY(FC168))</f>
        <v>46661</v>
      </c>
      <c r="FE168" s="8">
        <f t="shared" ca="1" si="505"/>
        <v>516</v>
      </c>
      <c r="FF168" s="5" t="str">
        <f t="shared" ca="1" si="506"/>
        <v>VIGENTE</v>
      </c>
      <c r="FG168" s="3"/>
      <c r="FH168" s="4">
        <v>45932</v>
      </c>
      <c r="FI168" s="4">
        <f>DATE(YEAR(FH168)+2,MONTH(FH168),DAY(FH168))</f>
        <v>46662</v>
      </c>
      <c r="FJ168" s="8">
        <f t="shared" ca="1" si="507"/>
        <v>517</v>
      </c>
      <c r="FK168" s="5" t="str">
        <f t="shared" ca="1" si="508"/>
        <v>VIGENTE</v>
      </c>
      <c r="FL168" s="3"/>
      <c r="FM168" s="39">
        <v>45670</v>
      </c>
      <c r="FN168" s="4">
        <f>DATE(YEAR(FM168)+2,MONTH(FM168),DAY(FM168)-1)</f>
        <v>46399</v>
      </c>
      <c r="FO168" s="8">
        <f t="shared" ca="1" si="509"/>
        <v>254</v>
      </c>
      <c r="FP168" s="5" t="str">
        <f t="shared" ca="1" si="510"/>
        <v>VIGENTE</v>
      </c>
      <c r="FQ168" s="3"/>
      <c r="FR168" s="39">
        <v>45724</v>
      </c>
      <c r="FS168" s="4">
        <f>DATE(YEAR(FR168)+2,MONTH(FR168),DAY(FR168)-1)</f>
        <v>46453</v>
      </c>
      <c r="FT168" s="8">
        <f t="shared" ca="1" si="511"/>
        <v>308</v>
      </c>
      <c r="FU168" s="5" t="str">
        <f t="shared" ca="1" si="512"/>
        <v>VIGENTE</v>
      </c>
      <c r="FV168" s="3"/>
      <c r="FW168" s="4">
        <v>45941</v>
      </c>
      <c r="FX168" s="4">
        <f>DATE(YEAR(FW168)+2,MONTH(FW168),DAY(FW168))</f>
        <v>46671</v>
      </c>
      <c r="FY168" s="8">
        <f t="shared" ca="1" si="513"/>
        <v>526</v>
      </c>
      <c r="FZ168" s="5" t="str">
        <f t="shared" ca="1" si="514"/>
        <v>VIGENTE</v>
      </c>
      <c r="GA168" s="3"/>
      <c r="GB168" s="4">
        <v>45667</v>
      </c>
      <c r="GC168" s="4">
        <f>DATE(YEAR(GB168)+2,MONTH(GB168),DAY(GB168)-1)</f>
        <v>46396</v>
      </c>
      <c r="GD168" s="8">
        <f t="shared" ca="1" si="515"/>
        <v>251</v>
      </c>
      <c r="GE168" s="5" t="str">
        <f t="shared" ca="1" si="516"/>
        <v>VIGENTE</v>
      </c>
      <c r="GF168" s="3"/>
      <c r="GG168" s="4">
        <v>45731</v>
      </c>
      <c r="GH168" s="4">
        <f>DATE(YEAR(GG168)+2,MONTH(GG168),DAY(GG168)-1)</f>
        <v>46460</v>
      </c>
      <c r="GI168" s="8">
        <f t="shared" ca="1" si="517"/>
        <v>315</v>
      </c>
      <c r="GJ168" s="5" t="str">
        <f t="shared" ca="1" si="518"/>
        <v>VIGENTE</v>
      </c>
      <c r="GK168" s="3"/>
      <c r="GL168" s="4">
        <v>45567</v>
      </c>
      <c r="GM168" s="4">
        <f>DATE(YEAR(GL168)+2,MONTH(GL168),DAY(GL168)-1)</f>
        <v>46296</v>
      </c>
      <c r="GN168" s="8">
        <f t="shared" ca="1" si="519"/>
        <v>151</v>
      </c>
      <c r="GO168" s="5" t="str">
        <f t="shared" ca="1" si="520"/>
        <v>VIGENTE</v>
      </c>
      <c r="GP168" s="4"/>
      <c r="GQ168" s="4">
        <v>44912</v>
      </c>
      <c r="GR168" s="4">
        <f t="shared" si="521"/>
        <v>46738</v>
      </c>
      <c r="GS168" s="8">
        <f t="shared" ca="1" si="405"/>
        <v>593</v>
      </c>
      <c r="GT168" s="5" t="str">
        <f t="shared" ca="1" si="419"/>
        <v>VIGENTE</v>
      </c>
      <c r="GU168" s="3"/>
      <c r="GV168" s="4">
        <v>44936</v>
      </c>
      <c r="GW168" s="4">
        <f t="shared" si="522"/>
        <v>46762</v>
      </c>
      <c r="GX168" s="8">
        <f t="shared" ca="1" si="523"/>
        <v>617</v>
      </c>
      <c r="GY168" s="5" t="str">
        <f t="shared" ca="1" si="426"/>
        <v>VIGENTE</v>
      </c>
      <c r="GZ168" s="2"/>
      <c r="HA168" s="4">
        <v>44911</v>
      </c>
      <c r="HB168" s="4">
        <f t="shared" si="524"/>
        <v>46737</v>
      </c>
      <c r="HC168" s="8">
        <f t="shared" ca="1" si="525"/>
        <v>592</v>
      </c>
      <c r="HD168" s="5" t="str">
        <f t="shared" ca="1" si="421"/>
        <v>VIGENTE</v>
      </c>
      <c r="HE168" s="6"/>
      <c r="HF168" s="4">
        <v>44921</v>
      </c>
      <c r="HG168" s="4">
        <f t="shared" si="598"/>
        <v>46747</v>
      </c>
      <c r="HH168" s="8">
        <f t="shared" ca="1" si="599"/>
        <v>602</v>
      </c>
      <c r="HI168" s="5" t="str">
        <f t="shared" ca="1" si="427"/>
        <v>VIGENTE</v>
      </c>
      <c r="HJ168" s="2"/>
      <c r="HK168" s="6"/>
      <c r="HL168" s="4"/>
      <c r="HM168" s="8"/>
      <c r="HN168" s="5" t="str">
        <f t="shared" si="444"/>
        <v>NO APLICA</v>
      </c>
      <c r="HO168" s="2"/>
      <c r="HP168" s="2"/>
      <c r="HQ168" s="4"/>
      <c r="HR168" s="2"/>
      <c r="HS168" s="5" t="str">
        <f t="shared" si="526"/>
        <v>NO APLICA</v>
      </c>
      <c r="HT168" s="2"/>
      <c r="HU168" s="4">
        <v>44931</v>
      </c>
      <c r="HV168" s="4">
        <f>DATE(YEAR(HU168)+5,MONTH(HU168),DAY(HU168))</f>
        <v>46757</v>
      </c>
      <c r="HW168" s="8">
        <f ca="1">HV168-TODAY()</f>
        <v>612</v>
      </c>
      <c r="HX168" s="5" t="str">
        <f t="shared" ca="1" si="527"/>
        <v>VIGENTE</v>
      </c>
      <c r="HY168" s="2"/>
      <c r="HZ168" s="4">
        <v>44953</v>
      </c>
      <c r="IA168" s="4">
        <f>DATE(YEAR(HZ168)+5,MONTH(HZ168),DAY(HZ168))</f>
        <v>46779</v>
      </c>
      <c r="IB168" s="8">
        <f ca="1">IA168-TODAY()</f>
        <v>634</v>
      </c>
      <c r="IC168" s="5" t="str">
        <f t="shared" ca="1" si="528"/>
        <v>VIGENTE</v>
      </c>
      <c r="ID168" s="2"/>
      <c r="IE168" s="4">
        <v>44949</v>
      </c>
      <c r="IF168" s="4">
        <f>DATE(YEAR(IE168)+5,MONTH(IE168),DAY(IE168))</f>
        <v>46775</v>
      </c>
      <c r="IG168" s="8">
        <f ca="1">IF168-TODAY()</f>
        <v>630</v>
      </c>
      <c r="IH168" s="5" t="str">
        <f t="shared" ca="1" si="529"/>
        <v>VIGENTE</v>
      </c>
      <c r="II168" s="6"/>
      <c r="IJ168" s="4">
        <v>44942</v>
      </c>
      <c r="IK168" s="4">
        <f>DATE(YEAR(IJ168)+5,MONTH(IJ168),DAY(IJ168))</f>
        <v>46768</v>
      </c>
      <c r="IL168" s="8">
        <f ca="1">IK168-TODAY()</f>
        <v>623</v>
      </c>
      <c r="IM168" s="5" t="str">
        <f t="shared" ca="1" si="530"/>
        <v>VIGENTE</v>
      </c>
      <c r="IN168" s="2"/>
      <c r="IO168" s="4">
        <v>44945</v>
      </c>
      <c r="IP168" s="4">
        <f>DATE(YEAR(IO168)+5,MONTH(IO168),DAY(IO168))</f>
        <v>46771</v>
      </c>
      <c r="IQ168" s="8">
        <f ca="1">IP168-TODAY()</f>
        <v>626</v>
      </c>
      <c r="IR168" s="5" t="str">
        <f t="shared" ca="1" si="531"/>
        <v>VIGENTE</v>
      </c>
      <c r="IS168" s="2"/>
      <c r="IT168" s="4">
        <v>44956</v>
      </c>
      <c r="IU168" s="4">
        <f>DATE(YEAR(IT168)+5,MONTH(IT168),DAY(IT168))</f>
        <v>46782</v>
      </c>
      <c r="IV168" s="8">
        <f ca="1">IU168-TODAY()</f>
        <v>637</v>
      </c>
      <c r="IW168" s="5" t="str">
        <f t="shared" ca="1" si="532"/>
        <v>VIGENTE</v>
      </c>
      <c r="IX168" s="2"/>
      <c r="IY168" s="4">
        <v>44944</v>
      </c>
      <c r="IZ168" s="4">
        <f>DATE(YEAR(IY168)+5,MONTH(IY168),DAY(IY168))</f>
        <v>46770</v>
      </c>
      <c r="JA168" s="8">
        <f ca="1">IZ168-TODAY()</f>
        <v>625</v>
      </c>
      <c r="JB168" s="5" t="str">
        <f t="shared" ca="1" si="533"/>
        <v>VIGENTE</v>
      </c>
      <c r="JC168" s="3" t="s">
        <v>780</v>
      </c>
      <c r="JD168" s="3"/>
      <c r="JE168" s="4"/>
      <c r="JF168" s="8"/>
      <c r="JG168" s="5"/>
      <c r="JH168" s="3" t="s">
        <v>780</v>
      </c>
      <c r="JI168" s="6"/>
      <c r="JJ168" s="6"/>
      <c r="JK168" s="6"/>
      <c r="JL168" s="5"/>
      <c r="JM168" s="6" t="s">
        <v>780</v>
      </c>
      <c r="JN168" s="6"/>
      <c r="JO168" s="6"/>
      <c r="JP168" s="6"/>
      <c r="JQ168" s="5"/>
      <c r="JR168" s="6" t="s">
        <v>780</v>
      </c>
      <c r="JS168" s="6"/>
      <c r="JT168" s="6"/>
      <c r="JU168" s="6"/>
      <c r="JV168" s="5"/>
      <c r="JW168" s="6" t="s">
        <v>780</v>
      </c>
      <c r="JX168" s="5"/>
      <c r="JY168" s="5"/>
      <c r="JZ168" s="5"/>
      <c r="KA168" s="5"/>
      <c r="KB168" s="5"/>
      <c r="KC168" s="2"/>
      <c r="KD168" s="4"/>
      <c r="KE168" s="8"/>
      <c r="KF168" s="5" t="str">
        <f t="shared" si="534"/>
        <v>NO APLICA</v>
      </c>
      <c r="KG168" s="5"/>
      <c r="KH168" s="3">
        <v>45328</v>
      </c>
      <c r="KI168" s="4">
        <f>DATE(YEAR(KH168)+5,MONTH(KH168),DAY(KH168)-1)</f>
        <v>47154</v>
      </c>
      <c r="KJ168" s="8">
        <f ca="1">KI168-TODAY()</f>
        <v>1009</v>
      </c>
      <c r="KK168" s="5" t="str">
        <f t="shared" ca="1" si="559"/>
        <v>VIGENTE</v>
      </c>
      <c r="KL168" s="5"/>
      <c r="KM168" s="2"/>
      <c r="KN168" s="4"/>
      <c r="KO168" s="8"/>
      <c r="KP168" s="5" t="str">
        <f t="shared" si="535"/>
        <v>NO APLICA</v>
      </c>
      <c r="KQ168" s="5"/>
      <c r="KR168" s="2"/>
      <c r="KS168" s="4"/>
      <c r="KT168" s="8"/>
      <c r="KU168" s="5" t="str">
        <f t="shared" si="560"/>
        <v>NO APLICA</v>
      </c>
      <c r="KV168" s="2"/>
      <c r="KW168" s="6"/>
      <c r="KX168" s="4"/>
      <c r="KY168" s="8"/>
      <c r="KZ168" s="5" t="str">
        <f t="shared" si="565"/>
        <v>NO APLICA</v>
      </c>
      <c r="LA168" s="5"/>
      <c r="LB168" s="4">
        <v>44603</v>
      </c>
      <c r="LC168" s="4">
        <f>DATE(YEAR(LB168)+5,MONTH(LB168),DAY(LB168))</f>
        <v>46429</v>
      </c>
      <c r="LD168" s="8">
        <f ca="1">LC168-TODAY()</f>
        <v>284</v>
      </c>
      <c r="LE168" s="5" t="str">
        <f t="shared" ca="1" si="561"/>
        <v>VIGENTE</v>
      </c>
      <c r="LF168" s="4"/>
      <c r="LG168" s="4"/>
      <c r="LH168" s="4"/>
      <c r="LI168" s="8"/>
      <c r="LJ168" s="5" t="str">
        <f t="shared" ref="LJ168:LJ231" si="600">IF(LI168&gt;=61,"VIGENTE",IF(LI168&gt;=1,"POR VENCER",IF(LI168&lt;=-1,"VENCIDA",IF(LG168=0,"NO APLICA"))))</f>
        <v>NO APLICA</v>
      </c>
      <c r="LK168" s="5"/>
      <c r="LL168" s="5"/>
      <c r="LM168" s="5"/>
      <c r="LN168" s="5"/>
      <c r="LO168" s="5" t="str">
        <f t="shared" si="566"/>
        <v>NO APLICA</v>
      </c>
      <c r="LP168" s="2"/>
      <c r="LQ168" s="6"/>
      <c r="LR168" s="4"/>
      <c r="LS168" s="8"/>
      <c r="LT168" s="5" t="str">
        <f t="shared" si="562"/>
        <v>NO APLICA</v>
      </c>
      <c r="LU168" s="6"/>
      <c r="LV168" s="6"/>
      <c r="LW168" s="4"/>
      <c r="LX168" s="8"/>
      <c r="LY168" s="5" t="str">
        <f t="shared" si="563"/>
        <v>NO APLICA</v>
      </c>
      <c r="LZ168" s="6"/>
      <c r="MA168" s="6"/>
      <c r="MB168" s="4"/>
      <c r="MC168" s="8"/>
      <c r="MD168" s="5" t="str">
        <f t="shared" si="564"/>
        <v>NO APLICA</v>
      </c>
      <c r="ME168" s="2"/>
      <c r="MF168" s="2"/>
      <c r="MG168" s="4"/>
      <c r="MH168" s="8"/>
      <c r="MI168" s="5" t="str">
        <f t="shared" si="537"/>
        <v>NO APLICA</v>
      </c>
      <c r="MJ168" s="2"/>
      <c r="MK168" s="2"/>
      <c r="ML168" s="4"/>
      <c r="MM168" s="8"/>
      <c r="MN168" s="5" t="str">
        <f t="shared" si="538"/>
        <v>NO APLICA</v>
      </c>
      <c r="MO168" s="5"/>
      <c r="MP168" s="2"/>
      <c r="MQ168" s="4"/>
      <c r="MR168" s="8"/>
      <c r="MS168" s="5" t="str">
        <f t="shared" si="539"/>
        <v>NO APLICA</v>
      </c>
      <c r="MT168" s="5"/>
      <c r="MU168" s="2"/>
      <c r="MV168" s="4"/>
      <c r="MW168" s="2"/>
      <c r="MX168" s="5" t="str">
        <f t="shared" si="540"/>
        <v>NO APLICA</v>
      </c>
      <c r="MY168" s="2"/>
      <c r="MZ168" s="6"/>
      <c r="NA168" s="4"/>
      <c r="NB168" s="8"/>
      <c r="NC168" s="5" t="str">
        <f t="shared" si="541"/>
        <v>NO APLICA</v>
      </c>
      <c r="ND168" s="2"/>
      <c r="NE168" s="6"/>
      <c r="NF168" s="4"/>
      <c r="NG168" s="8"/>
      <c r="NH168" s="5" t="str">
        <f t="shared" si="542"/>
        <v>NO APLICA</v>
      </c>
      <c r="NI168" s="2"/>
      <c r="NJ168" s="6"/>
      <c r="NK168" s="4"/>
      <c r="NL168" s="8"/>
      <c r="NM168" s="5" t="str">
        <f t="shared" si="543"/>
        <v>NO APLICA</v>
      </c>
      <c r="NN168" s="2"/>
      <c r="NO168" s="2"/>
      <c r="NP168" s="4"/>
      <c r="NQ168" s="2"/>
      <c r="NR168" s="5" t="str">
        <f t="shared" si="544"/>
        <v>NO APLICA</v>
      </c>
      <c r="NS168" s="2"/>
      <c r="NT168" s="2"/>
      <c r="NU168" s="4"/>
      <c r="NV168" s="2"/>
      <c r="NW168" s="5" t="str">
        <f t="shared" si="545"/>
        <v>NO APLICA</v>
      </c>
      <c r="NX168" s="6"/>
      <c r="NY168" s="6"/>
      <c r="NZ168" s="4"/>
      <c r="OA168" s="8"/>
      <c r="OB168" s="5" t="str">
        <f t="shared" si="546"/>
        <v>NO APLICA</v>
      </c>
      <c r="OC168" s="6"/>
      <c r="OD168" s="6"/>
      <c r="OE168" s="6"/>
      <c r="OF168" s="6"/>
      <c r="OG168" s="5" t="str">
        <f t="shared" si="547"/>
        <v>NO APLICA</v>
      </c>
      <c r="OH168" s="6"/>
      <c r="OI168" s="6"/>
      <c r="OJ168" s="4"/>
      <c r="OK168" s="8"/>
      <c r="OL168" s="5" t="str">
        <f t="shared" si="548"/>
        <v>NO APLICA</v>
      </c>
      <c r="OM168" s="6"/>
      <c r="ON168" s="6"/>
      <c r="OO168" s="6"/>
      <c r="OP168" s="6"/>
      <c r="OQ168" s="5" t="str">
        <f t="shared" si="549"/>
        <v>NO APLICA</v>
      </c>
      <c r="OR168" s="6"/>
      <c r="OS168" s="6"/>
      <c r="OT168" s="6"/>
      <c r="OU168" s="6"/>
      <c r="OV168" s="5" t="str">
        <f t="shared" si="550"/>
        <v>NO APLICA</v>
      </c>
      <c r="OW168" s="6"/>
      <c r="OX168" s="6"/>
      <c r="OY168" s="6"/>
      <c r="OZ168" s="6"/>
      <c r="PA168" s="5" t="str">
        <f t="shared" si="551"/>
        <v>NO APLICA</v>
      </c>
      <c r="PB168" s="6"/>
      <c r="PC168" s="6"/>
      <c r="PD168" s="6"/>
      <c r="PE168" s="6"/>
      <c r="PF168" s="5" t="str">
        <f t="shared" si="552"/>
        <v>NO APLICA</v>
      </c>
      <c r="PG168" s="6"/>
      <c r="PH168" s="6"/>
      <c r="PI168" s="6"/>
      <c r="PJ168" s="6"/>
      <c r="PK168" s="5" t="str">
        <f t="shared" si="553"/>
        <v>NO APLICA</v>
      </c>
      <c r="PL168" s="5"/>
      <c r="PM168" s="6"/>
      <c r="PN168" s="4"/>
      <c r="PO168" s="8"/>
      <c r="PP168" s="5" t="str">
        <f t="shared" si="554"/>
        <v>NO APLICA</v>
      </c>
      <c r="PQ168" s="6"/>
      <c r="PR168" s="6"/>
      <c r="PS168" s="6"/>
      <c r="PT168" s="6"/>
      <c r="PU168" s="5" t="str">
        <f t="shared" si="555"/>
        <v>NO APLICA</v>
      </c>
      <c r="PV168" s="5"/>
      <c r="PW168" s="6"/>
      <c r="PX168" s="6"/>
      <c r="PY168" s="6"/>
      <c r="PZ168" s="5" t="str">
        <f t="shared" si="556"/>
        <v>NO APLICA</v>
      </c>
    </row>
    <row r="169" spans="1:442" ht="15.6" hidden="1" thickTop="1" thickBot="1" x14ac:dyDescent="0.35">
      <c r="A169" s="26">
        <v>166</v>
      </c>
      <c r="B169" s="31">
        <v>1346</v>
      </c>
      <c r="C169" s="28" t="s">
        <v>539</v>
      </c>
      <c r="D169" s="29" t="s">
        <v>68</v>
      </c>
      <c r="E169" s="30" t="s">
        <v>73</v>
      </c>
      <c r="F169" s="5"/>
      <c r="G169" s="6"/>
      <c r="H169" s="4"/>
      <c r="I169" s="8"/>
      <c r="J169" s="5" t="str">
        <f t="shared" si="455"/>
        <v>NO APLICA</v>
      </c>
      <c r="K169" s="5"/>
      <c r="L169" s="6"/>
      <c r="M169" s="6"/>
      <c r="N169" s="8"/>
      <c r="O169" s="5" t="str">
        <f t="shared" si="456"/>
        <v>NO APLICA</v>
      </c>
      <c r="P169" s="6"/>
      <c r="Q169" s="6"/>
      <c r="R169" s="4"/>
      <c r="S169" s="8"/>
      <c r="T169" s="5" t="str">
        <f t="shared" si="557"/>
        <v>NO APLICA</v>
      </c>
      <c r="U169" s="5"/>
      <c r="V169" s="2" t="s">
        <v>540</v>
      </c>
      <c r="W169" s="4">
        <v>45041</v>
      </c>
      <c r="X169" s="4">
        <f t="shared" si="587"/>
        <v>46868</v>
      </c>
      <c r="Y169" s="8">
        <f t="shared" ca="1" si="588"/>
        <v>723</v>
      </c>
      <c r="Z169" s="5" t="str">
        <f t="shared" ca="1" si="412"/>
        <v>VIGENTE</v>
      </c>
      <c r="AA169" s="5"/>
      <c r="AB169" s="2" t="s">
        <v>541</v>
      </c>
      <c r="AC169" s="3">
        <v>45152</v>
      </c>
      <c r="AD169" s="4">
        <f t="shared" si="596"/>
        <v>46979</v>
      </c>
      <c r="AE169" s="8">
        <f t="shared" ca="1" si="597"/>
        <v>834</v>
      </c>
      <c r="AF169" s="5" t="str">
        <f t="shared" ca="1" si="457"/>
        <v>VIGENTE</v>
      </c>
      <c r="AG169" s="3"/>
      <c r="AH169" s="4">
        <v>45680</v>
      </c>
      <c r="AI169" s="4">
        <f>DATE(YEAR(AH169)+2,MONTH(AH169),DAY(AH169)-1)</f>
        <v>46409</v>
      </c>
      <c r="AJ169" s="8">
        <f t="shared" ca="1" si="458"/>
        <v>264</v>
      </c>
      <c r="AK169" s="5" t="str">
        <f t="shared" ca="1" si="408"/>
        <v>VIGENTE</v>
      </c>
      <c r="AL169" s="3"/>
      <c r="AM169" s="4">
        <v>45710</v>
      </c>
      <c r="AN169" s="4">
        <f>DATE(YEAR(AM169)+2,MONTH(AM169),DAY(AM169)-1)</f>
        <v>46439</v>
      </c>
      <c r="AO169" s="8">
        <f t="shared" ca="1" si="459"/>
        <v>294</v>
      </c>
      <c r="AP169" s="5" t="str">
        <f t="shared" ca="1" si="460"/>
        <v>VIGENTE</v>
      </c>
      <c r="AQ169" s="3"/>
      <c r="AR169" s="4">
        <v>45703</v>
      </c>
      <c r="AS169" s="4">
        <f>DATE(YEAR(AR169)+2,MONTH(AR169),DAY(AR169)-1)</f>
        <v>46432</v>
      </c>
      <c r="AT169" s="8">
        <f t="shared" ca="1" si="461"/>
        <v>287</v>
      </c>
      <c r="AU169" s="5" t="str">
        <f t="shared" ca="1" si="462"/>
        <v>VIGENTE</v>
      </c>
      <c r="AV169" s="3"/>
      <c r="AW169" s="4">
        <v>45702</v>
      </c>
      <c r="AX169" s="4">
        <f>DATE(YEAR(AW169)+2,MONTH(AW169),DAY(AW169)-1)</f>
        <v>46431</v>
      </c>
      <c r="AY169" s="8">
        <f t="shared" ca="1" si="463"/>
        <v>286</v>
      </c>
      <c r="AZ169" s="5" t="str">
        <f t="shared" ca="1" si="464"/>
        <v>VIGENTE</v>
      </c>
      <c r="BA169" s="3"/>
      <c r="BB169" s="4">
        <v>45742</v>
      </c>
      <c r="BC169" s="4">
        <f>DATE(YEAR(BB169)+2,MONTH(BB169),DAY(BB169)-1)</f>
        <v>46471</v>
      </c>
      <c r="BD169" s="8">
        <f t="shared" ca="1" si="465"/>
        <v>326</v>
      </c>
      <c r="BE169" s="5" t="str">
        <f t="shared" ca="1" si="466"/>
        <v>VIGENTE</v>
      </c>
      <c r="BF169" s="3"/>
      <c r="BG169" s="4">
        <v>45698</v>
      </c>
      <c r="BH169" s="4">
        <f>DATE(YEAR(BG169)+2,MONTH(BG169),DAY(BG169)-1)</f>
        <v>46427</v>
      </c>
      <c r="BI169" s="8">
        <f t="shared" ca="1" si="467"/>
        <v>282</v>
      </c>
      <c r="BJ169" s="5" t="str">
        <f t="shared" ca="1" si="468"/>
        <v>VIGENTE</v>
      </c>
      <c r="BK169" s="3"/>
      <c r="BL169" s="4">
        <v>45699</v>
      </c>
      <c r="BM169" s="4">
        <f>DATE(YEAR(BL169)+2,MONTH(BL169),DAY(BL169)-1)</f>
        <v>46428</v>
      </c>
      <c r="BN169" s="8">
        <f t="shared" ca="1" si="469"/>
        <v>283</v>
      </c>
      <c r="BO169" s="5" t="str">
        <f t="shared" ca="1" si="470"/>
        <v>VIGENTE</v>
      </c>
      <c r="BP169" s="3"/>
      <c r="BQ169" s="39">
        <v>45701</v>
      </c>
      <c r="BR169" s="4">
        <f>DATE(YEAR(BQ169)+2,MONTH(BQ169),DAY(BQ169)-1)</f>
        <v>46430</v>
      </c>
      <c r="BS169" s="8">
        <f t="shared" ca="1" si="471"/>
        <v>285</v>
      </c>
      <c r="BT169" s="5" t="str">
        <f t="shared" ca="1" si="472"/>
        <v>VIGENTE</v>
      </c>
      <c r="BU169" s="3"/>
      <c r="BV169" s="4">
        <v>45695</v>
      </c>
      <c r="BW169" s="4">
        <f>DATE(YEAR(BV169)+2,MONTH(BV169),DAY(BV169)-1)</f>
        <v>46424</v>
      </c>
      <c r="BX169" s="8">
        <f t="shared" ca="1" si="473"/>
        <v>279</v>
      </c>
      <c r="BY169" s="5" t="str">
        <f t="shared" ca="1" si="474"/>
        <v>VIGENTE</v>
      </c>
      <c r="BZ169" s="3"/>
      <c r="CA169" s="4">
        <v>45730</v>
      </c>
      <c r="CB169" s="4">
        <f>DATE(YEAR(CA169)+2,MONTH(CA169),DAY(CA169)-1)</f>
        <v>46459</v>
      </c>
      <c r="CC169" s="8">
        <f t="shared" ca="1" si="475"/>
        <v>314</v>
      </c>
      <c r="CD169" s="5" t="str">
        <f t="shared" ca="1" si="476"/>
        <v>VIGENTE</v>
      </c>
      <c r="CE169" s="6"/>
      <c r="CF169" s="4">
        <v>45241</v>
      </c>
      <c r="CG169" s="4">
        <f t="shared" si="590"/>
        <v>46702</v>
      </c>
      <c r="CH169" s="8">
        <f t="shared" ca="1" si="591"/>
        <v>557</v>
      </c>
      <c r="CI169" s="5" t="str">
        <f t="shared" ca="1" si="573"/>
        <v>VIGENTE</v>
      </c>
      <c r="CJ169" s="4"/>
      <c r="CK169" s="4">
        <v>45688</v>
      </c>
      <c r="CL169" s="4">
        <f>DATE(YEAR(CK169)+2,MONTH(CK169),DAY(CK169)-1)</f>
        <v>46417</v>
      </c>
      <c r="CM169" s="8">
        <f t="shared" ca="1" si="477"/>
        <v>272</v>
      </c>
      <c r="CN169" s="5" t="str">
        <f t="shared" ca="1" si="478"/>
        <v>VIGENTE</v>
      </c>
      <c r="CO169" s="3"/>
      <c r="CP169" s="39">
        <v>45684</v>
      </c>
      <c r="CQ169" s="4">
        <f>DATE(YEAR(CP169)+2,MONTH(CP169),DAY(CP169)-1)</f>
        <v>46413</v>
      </c>
      <c r="CR169" s="8">
        <f t="shared" ca="1" si="479"/>
        <v>268</v>
      </c>
      <c r="CS169" s="5" t="str">
        <f t="shared" ca="1" si="480"/>
        <v>VIGENTE</v>
      </c>
      <c r="CT169" s="3"/>
      <c r="CU169" s="4">
        <v>45727</v>
      </c>
      <c r="CV169" s="4">
        <f>DATE(YEAR(CU169)+2,MONTH(CU169),DAY(CU169)-1)</f>
        <v>46456</v>
      </c>
      <c r="CW169" s="8">
        <f t="shared" ca="1" si="481"/>
        <v>311</v>
      </c>
      <c r="CX169" s="5" t="str">
        <f t="shared" ca="1" si="482"/>
        <v>VIGENTE</v>
      </c>
      <c r="CY169" s="3"/>
      <c r="CZ169" s="4">
        <v>45681</v>
      </c>
      <c r="DA169" s="4">
        <f>DATE(YEAR(CZ169)+2,MONTH(CZ169),DAY(CZ169)-1)</f>
        <v>46410</v>
      </c>
      <c r="DB169" s="8">
        <f t="shared" ca="1" si="483"/>
        <v>265</v>
      </c>
      <c r="DC169" s="5" t="str">
        <f t="shared" ca="1" si="484"/>
        <v>VIGENTE</v>
      </c>
      <c r="DD169" s="3"/>
      <c r="DE169" s="39">
        <v>45689</v>
      </c>
      <c r="DF169" s="4">
        <f>DATE(YEAR(DE169)+2,MONTH(DE169),DAY(DE169)-1)</f>
        <v>46418</v>
      </c>
      <c r="DG169" s="8">
        <f t="shared" ca="1" si="485"/>
        <v>273</v>
      </c>
      <c r="DH169" s="5" t="str">
        <f t="shared" ca="1" si="486"/>
        <v>VIGENTE</v>
      </c>
      <c r="DI169" s="3"/>
      <c r="DJ169" s="39">
        <v>45696</v>
      </c>
      <c r="DK169" s="4">
        <f>DATE(YEAR(DJ169)+2,MONTH(DJ169),DAY(DJ169)-1)</f>
        <v>46425</v>
      </c>
      <c r="DL169" s="8">
        <f t="shared" ca="1" si="487"/>
        <v>280</v>
      </c>
      <c r="DM169" s="5" t="str">
        <f t="shared" ca="1" si="488"/>
        <v>VIGENTE</v>
      </c>
      <c r="DN169" s="3"/>
      <c r="DO169" s="4">
        <v>45731</v>
      </c>
      <c r="DP169" s="4">
        <f>DATE(YEAR(DO169)+2,MONTH(DO169),DAY(DO169)-1)</f>
        <v>46460</v>
      </c>
      <c r="DQ169" s="8">
        <f t="shared" ca="1" si="489"/>
        <v>315</v>
      </c>
      <c r="DR169" s="5" t="str">
        <f t="shared" ca="1" si="490"/>
        <v>VIGENTE</v>
      </c>
      <c r="DS169" s="3"/>
      <c r="DT169" s="4">
        <v>45685</v>
      </c>
      <c r="DU169" s="4">
        <f>DATE(YEAR(DT169)+2,MONTH(DT169),DAY(DT169)-1)</f>
        <v>46414</v>
      </c>
      <c r="DV169" s="8">
        <f t="shared" ca="1" si="491"/>
        <v>269</v>
      </c>
      <c r="DW169" s="5" t="str">
        <f t="shared" ca="1" si="492"/>
        <v>VIGENTE</v>
      </c>
      <c r="DX169" s="3"/>
      <c r="DY169" s="4">
        <v>45663</v>
      </c>
      <c r="DZ169" s="4">
        <f t="shared" si="595"/>
        <v>46392</v>
      </c>
      <c r="EA169" s="8">
        <f t="shared" ca="1" si="493"/>
        <v>247</v>
      </c>
      <c r="EB169" s="5" t="str">
        <f t="shared" ca="1" si="494"/>
        <v>VIGENTE</v>
      </c>
      <c r="EC169" s="3"/>
      <c r="ED169" s="39">
        <v>45768</v>
      </c>
      <c r="EE169" s="4">
        <f>DATE(YEAR(ED169)+2,MONTH(ED169),DAY(ED169))</f>
        <v>46498</v>
      </c>
      <c r="EF169" s="8">
        <f t="shared" ca="1" si="495"/>
        <v>353</v>
      </c>
      <c r="EG169" s="5" t="str">
        <f t="shared" ca="1" si="496"/>
        <v>VIGENTE</v>
      </c>
      <c r="EH169" s="3"/>
      <c r="EI169" s="3">
        <v>46085</v>
      </c>
      <c r="EJ169" s="4">
        <f t="shared" si="558"/>
        <v>46450</v>
      </c>
      <c r="EK169" s="8">
        <f t="shared" ca="1" si="497"/>
        <v>305</v>
      </c>
      <c r="EL169" s="5" t="str">
        <f t="shared" ca="1" si="498"/>
        <v>VIGENTE</v>
      </c>
      <c r="EM169" s="3"/>
      <c r="EN169" s="4">
        <v>45671</v>
      </c>
      <c r="EO169" s="4">
        <f>DATE(YEAR(EN169)+2,MONTH(EN169),DAY(EN169)-1)</f>
        <v>46400</v>
      </c>
      <c r="EP169" s="8">
        <f t="shared" ca="1" si="499"/>
        <v>255</v>
      </c>
      <c r="EQ169" s="5" t="str">
        <f t="shared" ca="1" si="500"/>
        <v>VIGENTE</v>
      </c>
      <c r="ER169" s="3"/>
      <c r="ES169" s="39">
        <v>45677</v>
      </c>
      <c r="ET169" s="4">
        <f>DATE(YEAR(ES169)+2,MONTH(ES169),DAY(ES169)-1)</f>
        <v>46406</v>
      </c>
      <c r="EU169" s="8">
        <f t="shared" ca="1" si="501"/>
        <v>261</v>
      </c>
      <c r="EV169" s="5" t="str">
        <f t="shared" ca="1" si="502"/>
        <v>VIGENTE</v>
      </c>
      <c r="EW169" s="3"/>
      <c r="EX169" s="4">
        <v>45694</v>
      </c>
      <c r="EY169" s="4">
        <f>DATE(YEAR(EX169)+2,MONTH(EX169),DAY(EX169)-1)</f>
        <v>46423</v>
      </c>
      <c r="EZ169" s="8">
        <f t="shared" ca="1" si="503"/>
        <v>278</v>
      </c>
      <c r="FA169" s="5" t="str">
        <f t="shared" ca="1" si="504"/>
        <v>VIGENTE</v>
      </c>
      <c r="FB169" s="3"/>
      <c r="FC169" s="4">
        <v>45666</v>
      </c>
      <c r="FD169" s="4">
        <f>DATE(YEAR(FC169)+2,MONTH(FC169),DAY(FC169)-1)</f>
        <v>46395</v>
      </c>
      <c r="FE169" s="8">
        <f t="shared" ca="1" si="505"/>
        <v>250</v>
      </c>
      <c r="FF169" s="5" t="str">
        <f t="shared" ca="1" si="506"/>
        <v>VIGENTE</v>
      </c>
      <c r="FG169" s="3"/>
      <c r="FH169" s="4">
        <v>45668</v>
      </c>
      <c r="FI169" s="4">
        <f>DATE(YEAR(FH169)+2,MONTH(FH169),DAY(FH169)-1)</f>
        <v>46397</v>
      </c>
      <c r="FJ169" s="8">
        <f t="shared" ca="1" si="507"/>
        <v>252</v>
      </c>
      <c r="FK169" s="5" t="str">
        <f t="shared" ca="1" si="508"/>
        <v>VIGENTE</v>
      </c>
      <c r="FL169" s="3"/>
      <c r="FM169" s="39">
        <v>45686</v>
      </c>
      <c r="FN169" s="4">
        <f>DATE(YEAR(FM169)+2,MONTH(FM169),DAY(FM169)-1)</f>
        <v>46415</v>
      </c>
      <c r="FO169" s="8">
        <f t="shared" ca="1" si="509"/>
        <v>270</v>
      </c>
      <c r="FP169" s="5" t="str">
        <f t="shared" ca="1" si="510"/>
        <v>VIGENTE</v>
      </c>
      <c r="FQ169" s="3"/>
      <c r="FR169" s="39">
        <v>45664</v>
      </c>
      <c r="FS169" s="4">
        <f>DATE(YEAR(FR169)+2,MONTH(FR169),DAY(FR169)-1)</f>
        <v>46393</v>
      </c>
      <c r="FT169" s="8">
        <f t="shared" ca="1" si="511"/>
        <v>248</v>
      </c>
      <c r="FU169" s="5" t="str">
        <f t="shared" ca="1" si="512"/>
        <v>VIGENTE</v>
      </c>
      <c r="FV169" s="3"/>
      <c r="FW169" s="4">
        <v>45700</v>
      </c>
      <c r="FX169" s="4">
        <f>DATE(YEAR(FW169)+2,MONTH(FW169),DAY(FW169)-1)</f>
        <v>46429</v>
      </c>
      <c r="FY169" s="8">
        <f t="shared" ca="1" si="513"/>
        <v>284</v>
      </c>
      <c r="FZ169" s="5" t="str">
        <f t="shared" ca="1" si="514"/>
        <v>VIGENTE</v>
      </c>
      <c r="GA169" s="3"/>
      <c r="GB169" s="4">
        <v>45667</v>
      </c>
      <c r="GC169" s="4">
        <f>DATE(YEAR(GB169)+2,MONTH(GB169),DAY(GB169)-1)</f>
        <v>46396</v>
      </c>
      <c r="GD169" s="8">
        <f t="shared" ca="1" si="515"/>
        <v>251</v>
      </c>
      <c r="GE169" s="5" t="str">
        <f t="shared" ca="1" si="516"/>
        <v>VIGENTE</v>
      </c>
      <c r="GF169" s="3"/>
      <c r="GG169" s="4">
        <v>45672</v>
      </c>
      <c r="GH169" s="4">
        <f>DATE(YEAR(GG169)+2,MONTH(GG169),DAY(GG169)-1)</f>
        <v>46401</v>
      </c>
      <c r="GI169" s="8">
        <f t="shared" ca="1" si="517"/>
        <v>256</v>
      </c>
      <c r="GJ169" s="5" t="str">
        <f t="shared" ca="1" si="518"/>
        <v>VIGENTE</v>
      </c>
      <c r="GK169" s="3"/>
      <c r="GL169" s="4">
        <v>45687</v>
      </c>
      <c r="GM169" s="4">
        <f>DATE(YEAR(GL169)+2,MONTH(GL169),DAY(GL169)-1)</f>
        <v>46416</v>
      </c>
      <c r="GN169" s="8">
        <f t="shared" ca="1" si="519"/>
        <v>271</v>
      </c>
      <c r="GO169" s="5" t="str">
        <f t="shared" ca="1" si="520"/>
        <v>VIGENTE</v>
      </c>
      <c r="GP169" s="4"/>
      <c r="GQ169" s="4">
        <v>45048</v>
      </c>
      <c r="GR169" s="4">
        <f t="shared" si="521"/>
        <v>46875</v>
      </c>
      <c r="GS169" s="8">
        <f t="shared" ca="1" si="405"/>
        <v>730</v>
      </c>
      <c r="GT169" s="5" t="str">
        <f t="shared" ca="1" si="419"/>
        <v>VIGENTE</v>
      </c>
      <c r="GU169" s="3"/>
      <c r="GV169" s="4">
        <v>45010</v>
      </c>
      <c r="GW169" s="4">
        <f t="shared" si="522"/>
        <v>46837</v>
      </c>
      <c r="GX169" s="8">
        <f t="shared" ca="1" si="523"/>
        <v>692</v>
      </c>
      <c r="GY169" s="5" t="str">
        <f t="shared" ca="1" si="426"/>
        <v>VIGENTE</v>
      </c>
      <c r="GZ169" s="2"/>
      <c r="HA169" s="4">
        <v>45073</v>
      </c>
      <c r="HB169" s="4">
        <f t="shared" si="524"/>
        <v>46900</v>
      </c>
      <c r="HC169" s="8">
        <f t="shared" ca="1" si="525"/>
        <v>755</v>
      </c>
      <c r="HD169" s="5" t="str">
        <f t="shared" ca="1" si="421"/>
        <v>VIGENTE</v>
      </c>
      <c r="HE169" s="6"/>
      <c r="HF169" s="4">
        <v>45020</v>
      </c>
      <c r="HG169" s="4">
        <f t="shared" si="598"/>
        <v>46847</v>
      </c>
      <c r="HH169" s="8">
        <f t="shared" ca="1" si="599"/>
        <v>702</v>
      </c>
      <c r="HI169" s="5" t="str">
        <f t="shared" ca="1" si="427"/>
        <v>VIGENTE</v>
      </c>
      <c r="HJ169" s="2"/>
      <c r="HK169" s="6"/>
      <c r="HL169" s="4"/>
      <c r="HM169" s="8"/>
      <c r="HN169" s="5" t="str">
        <f t="shared" si="444"/>
        <v>NO APLICA</v>
      </c>
      <c r="HO169" s="2"/>
      <c r="HP169" s="2"/>
      <c r="HQ169" s="4"/>
      <c r="HR169" s="2"/>
      <c r="HS169" s="5" t="str">
        <f t="shared" si="526"/>
        <v>NO APLICA</v>
      </c>
      <c r="HT169" s="2"/>
      <c r="HU169" s="4">
        <v>45193</v>
      </c>
      <c r="HV169" s="4">
        <f>DATE(YEAR(HU169)+5,MONTH(HU169),DAY(HU169))</f>
        <v>47020</v>
      </c>
      <c r="HW169" s="8">
        <f ca="1">HV169-TODAY()</f>
        <v>875</v>
      </c>
      <c r="HX169" s="5" t="str">
        <f t="shared" ca="1" si="527"/>
        <v>VIGENTE</v>
      </c>
      <c r="HY169" s="2"/>
      <c r="HZ169" s="4">
        <v>45194</v>
      </c>
      <c r="IA169" s="4">
        <f>DATE(YEAR(HZ169)+5,MONTH(HZ169),DAY(HZ169))</f>
        <v>47021</v>
      </c>
      <c r="IB169" s="8">
        <f ca="1">IA169-TODAY()</f>
        <v>876</v>
      </c>
      <c r="IC169" s="5" t="str">
        <f t="shared" ca="1" si="528"/>
        <v>VIGENTE</v>
      </c>
      <c r="ID169" s="2"/>
      <c r="IE169" s="4">
        <v>45173</v>
      </c>
      <c r="IF169" s="4">
        <f>DATE(YEAR(IE169)+5,MONTH(IE169),DAY(IE169))</f>
        <v>47000</v>
      </c>
      <c r="IG169" s="8">
        <f ca="1">IF169-TODAY()</f>
        <v>855</v>
      </c>
      <c r="IH169" s="5" t="str">
        <f t="shared" ca="1" si="529"/>
        <v>VIGENTE</v>
      </c>
      <c r="II169" s="6"/>
      <c r="IJ169" s="4">
        <v>45201</v>
      </c>
      <c r="IK169" s="4">
        <f>DATE(YEAR(IJ169)+5,MONTH(IJ169),DAY(IJ169))</f>
        <v>47028</v>
      </c>
      <c r="IL169" s="8">
        <f ca="1">IK169-TODAY()</f>
        <v>883</v>
      </c>
      <c r="IM169" s="5" t="str">
        <f t="shared" ca="1" si="530"/>
        <v>VIGENTE</v>
      </c>
      <c r="IN169" s="2"/>
      <c r="IO169" s="4">
        <v>45164</v>
      </c>
      <c r="IP169" s="4">
        <f>DATE(YEAR(IO169)+5,MONTH(IO169),DAY(IO169))</f>
        <v>46991</v>
      </c>
      <c r="IQ169" s="8">
        <f ca="1">IP169-TODAY()</f>
        <v>846</v>
      </c>
      <c r="IR169" s="5" t="str">
        <f t="shared" ca="1" si="531"/>
        <v>VIGENTE</v>
      </c>
      <c r="IS169" s="2"/>
      <c r="IT169" s="4">
        <v>45191</v>
      </c>
      <c r="IU169" s="4">
        <f>DATE(YEAR(IT169)+5,MONTH(IT169),DAY(IT169))</f>
        <v>47018</v>
      </c>
      <c r="IV169" s="8">
        <f ca="1">IU169-TODAY()</f>
        <v>873</v>
      </c>
      <c r="IW169" s="5" t="str">
        <f t="shared" ca="1" si="532"/>
        <v>VIGENTE</v>
      </c>
      <c r="IX169" s="2"/>
      <c r="IY169" s="4">
        <v>45206</v>
      </c>
      <c r="IZ169" s="4">
        <f>DATE(YEAR(IY169)+5,MONTH(IY169),DAY(IY169))</f>
        <v>47033</v>
      </c>
      <c r="JA169" s="8">
        <f ca="1">IZ169-TODAY()</f>
        <v>888</v>
      </c>
      <c r="JB169" s="5" t="str">
        <f t="shared" ca="1" si="533"/>
        <v>VIGENTE</v>
      </c>
      <c r="JC169" s="3" t="s">
        <v>780</v>
      </c>
      <c r="JD169" s="3"/>
      <c r="JE169" s="4"/>
      <c r="JF169" s="8"/>
      <c r="JG169" s="5"/>
      <c r="JH169" s="3" t="s">
        <v>780</v>
      </c>
      <c r="JI169" s="6"/>
      <c r="JJ169" s="6"/>
      <c r="JK169" s="6"/>
      <c r="JL169" s="5"/>
      <c r="JM169" s="6" t="s">
        <v>780</v>
      </c>
      <c r="JN169" s="6"/>
      <c r="JO169" s="6"/>
      <c r="JP169" s="6"/>
      <c r="JQ169" s="5"/>
      <c r="JR169" s="6" t="s">
        <v>780</v>
      </c>
      <c r="JS169" s="6"/>
      <c r="JT169" s="6"/>
      <c r="JU169" s="6"/>
      <c r="JV169" s="5"/>
      <c r="JW169" s="6" t="s">
        <v>780</v>
      </c>
      <c r="JX169" s="5"/>
      <c r="JY169" s="5"/>
      <c r="JZ169" s="5"/>
      <c r="KA169" s="5"/>
      <c r="KB169" s="5"/>
      <c r="KC169" s="2"/>
      <c r="KD169" s="4"/>
      <c r="KE169" s="8"/>
      <c r="KF169" s="5" t="str">
        <f t="shared" si="534"/>
        <v>NO APLICA</v>
      </c>
      <c r="KG169" s="5"/>
      <c r="KH169" s="2"/>
      <c r="KI169" s="4"/>
      <c r="KJ169" s="8"/>
      <c r="KK169" s="5" t="str">
        <f t="shared" si="559"/>
        <v>NO APLICA</v>
      </c>
      <c r="KL169" s="5"/>
      <c r="KM169" s="2"/>
      <c r="KN169" s="4"/>
      <c r="KO169" s="8"/>
      <c r="KP169" s="5" t="str">
        <f t="shared" si="535"/>
        <v>NO APLICA</v>
      </c>
      <c r="KQ169" s="5"/>
      <c r="KR169" s="3">
        <v>45346</v>
      </c>
      <c r="KS169" s="4">
        <f>DATE(YEAR(KR169)+5,MONTH(KR169),DAY(KR169))</f>
        <v>47173</v>
      </c>
      <c r="KT169" s="8">
        <f ca="1">KS169-TODAY()</f>
        <v>1028</v>
      </c>
      <c r="KU169" s="5" t="str">
        <f t="shared" ca="1" si="560"/>
        <v>VIGENTE</v>
      </c>
      <c r="KV169" s="2"/>
      <c r="KW169" s="6"/>
      <c r="KX169" s="4"/>
      <c r="KY169" s="8"/>
      <c r="KZ169" s="5" t="str">
        <f t="shared" si="565"/>
        <v>NO APLICA</v>
      </c>
      <c r="LA169" s="5"/>
      <c r="LB169" s="6"/>
      <c r="LC169" s="4"/>
      <c r="LD169" s="8"/>
      <c r="LE169" s="5" t="str">
        <f t="shared" si="561"/>
        <v>NO APLICA</v>
      </c>
      <c r="LF169" s="6"/>
      <c r="LG169" s="4">
        <v>45611</v>
      </c>
      <c r="LH169" s="4">
        <f>DATE(YEAR(LG169)+2,MONTH(LG169),DAY(LG169))</f>
        <v>46341</v>
      </c>
      <c r="LI169" s="8">
        <f ca="1">LH169-TODAY()</f>
        <v>196</v>
      </c>
      <c r="LJ169" s="5" t="str">
        <f t="shared" ca="1" si="600"/>
        <v>VIGENTE</v>
      </c>
      <c r="LK169" s="5"/>
      <c r="LL169" s="5"/>
      <c r="LM169" s="5"/>
      <c r="LN169" s="5"/>
      <c r="LO169" s="5" t="str">
        <f t="shared" si="566"/>
        <v>NO APLICA</v>
      </c>
      <c r="LP169" s="2"/>
      <c r="LQ169" s="6"/>
      <c r="LR169" s="4"/>
      <c r="LS169" s="8"/>
      <c r="LT169" s="5" t="str">
        <f t="shared" si="562"/>
        <v>NO APLICA</v>
      </c>
      <c r="LU169" s="6"/>
      <c r="LV169" s="6"/>
      <c r="LW169" s="4"/>
      <c r="LX169" s="8"/>
      <c r="LY169" s="5" t="str">
        <f t="shared" si="563"/>
        <v>NO APLICA</v>
      </c>
      <c r="LZ169" s="6"/>
      <c r="MA169" s="6"/>
      <c r="MB169" s="4"/>
      <c r="MC169" s="8"/>
      <c r="MD169" s="5" t="str">
        <f t="shared" si="564"/>
        <v>NO APLICA</v>
      </c>
      <c r="ME169" s="3"/>
      <c r="MF169" s="4">
        <v>44998</v>
      </c>
      <c r="MG169" s="4">
        <f>DATE(YEAR(MF169)+5,MONTH(MF169),DAY(MF169))</f>
        <v>46825</v>
      </c>
      <c r="MH169" s="8">
        <f ca="1">MG169-TODAY()</f>
        <v>680</v>
      </c>
      <c r="MI169" s="5" t="str">
        <f t="shared" ca="1" si="537"/>
        <v>VIGENTE</v>
      </c>
      <c r="MJ169" s="2"/>
      <c r="MK169" s="2"/>
      <c r="ML169" s="4"/>
      <c r="MM169" s="8"/>
      <c r="MN169" s="5" t="str">
        <f t="shared" si="538"/>
        <v>NO APLICA</v>
      </c>
      <c r="MO169" s="5"/>
      <c r="MP169" s="2"/>
      <c r="MQ169" s="4"/>
      <c r="MR169" s="8"/>
      <c r="MS169" s="5" t="str">
        <f t="shared" si="539"/>
        <v>NO APLICA</v>
      </c>
      <c r="MT169" s="5"/>
      <c r="MU169" s="2"/>
      <c r="MV169" s="4"/>
      <c r="MW169" s="2"/>
      <c r="MX169" s="5" t="str">
        <f t="shared" si="540"/>
        <v>NO APLICA</v>
      </c>
      <c r="MY169" s="2"/>
      <c r="MZ169" s="6"/>
      <c r="NA169" s="4"/>
      <c r="NB169" s="8"/>
      <c r="NC169" s="5" t="str">
        <f t="shared" si="541"/>
        <v>NO APLICA</v>
      </c>
      <c r="ND169" s="2"/>
      <c r="NE169" s="6"/>
      <c r="NF169" s="4"/>
      <c r="NG169" s="8"/>
      <c r="NH169" s="5" t="str">
        <f t="shared" si="542"/>
        <v>NO APLICA</v>
      </c>
      <c r="NI169" s="2"/>
      <c r="NJ169" s="6"/>
      <c r="NK169" s="4"/>
      <c r="NL169" s="8"/>
      <c r="NM169" s="5" t="str">
        <f t="shared" si="543"/>
        <v>NO APLICA</v>
      </c>
      <c r="NN169" s="2"/>
      <c r="NO169" s="2"/>
      <c r="NP169" s="4"/>
      <c r="NQ169" s="2"/>
      <c r="NR169" s="5" t="str">
        <f t="shared" si="544"/>
        <v>NO APLICA</v>
      </c>
      <c r="NS169" s="2"/>
      <c r="NT169" s="2"/>
      <c r="NU169" s="4"/>
      <c r="NV169" s="2"/>
      <c r="NW169" s="5" t="str">
        <f t="shared" si="545"/>
        <v>NO APLICA</v>
      </c>
      <c r="NX169" s="6"/>
      <c r="NY169" s="6"/>
      <c r="NZ169" s="4"/>
      <c r="OA169" s="8"/>
      <c r="OB169" s="5" t="str">
        <f t="shared" si="546"/>
        <v>NO APLICA</v>
      </c>
      <c r="OC169" s="6"/>
      <c r="OD169" s="6"/>
      <c r="OE169" s="6"/>
      <c r="OF169" s="6"/>
      <c r="OG169" s="5" t="str">
        <f t="shared" si="547"/>
        <v>NO APLICA</v>
      </c>
      <c r="OH169" s="6"/>
      <c r="OI169" s="6"/>
      <c r="OJ169" s="4"/>
      <c r="OK169" s="8"/>
      <c r="OL169" s="5" t="str">
        <f t="shared" si="548"/>
        <v>NO APLICA</v>
      </c>
      <c r="OM169" s="6"/>
      <c r="ON169" s="6"/>
      <c r="OO169" s="6"/>
      <c r="OP169" s="6"/>
      <c r="OQ169" s="5" t="str">
        <f t="shared" si="549"/>
        <v>NO APLICA</v>
      </c>
      <c r="OR169" s="6"/>
      <c r="OS169" s="6"/>
      <c r="OT169" s="6"/>
      <c r="OU169" s="6"/>
      <c r="OV169" s="5" t="str">
        <f t="shared" si="550"/>
        <v>NO APLICA</v>
      </c>
      <c r="OW169" s="6"/>
      <c r="OX169" s="6"/>
      <c r="OY169" s="6"/>
      <c r="OZ169" s="6"/>
      <c r="PA169" s="5" t="str">
        <f t="shared" si="551"/>
        <v>NO APLICA</v>
      </c>
      <c r="PB169" s="6"/>
      <c r="PC169" s="6"/>
      <c r="PD169" s="6"/>
      <c r="PE169" s="6"/>
      <c r="PF169" s="5" t="str">
        <f t="shared" si="552"/>
        <v>NO APLICA</v>
      </c>
      <c r="PG169" s="6"/>
      <c r="PH169" s="6"/>
      <c r="PI169" s="6"/>
      <c r="PJ169" s="6"/>
      <c r="PK169" s="5" t="str">
        <f t="shared" si="553"/>
        <v>NO APLICA</v>
      </c>
      <c r="PL169" s="5"/>
      <c r="PM169" s="6"/>
      <c r="PN169" s="4"/>
      <c r="PO169" s="8"/>
      <c r="PP169" s="5" t="str">
        <f t="shared" si="554"/>
        <v>NO APLICA</v>
      </c>
      <c r="PQ169" s="6"/>
      <c r="PR169" s="6"/>
      <c r="PS169" s="6"/>
      <c r="PT169" s="6"/>
      <c r="PU169" s="5" t="str">
        <f t="shared" si="555"/>
        <v>NO APLICA</v>
      </c>
      <c r="PV169" s="5"/>
      <c r="PW169" s="6"/>
      <c r="PX169" s="6"/>
      <c r="PY169" s="6"/>
      <c r="PZ169" s="5" t="str">
        <f t="shared" si="556"/>
        <v>NO APLICA</v>
      </c>
    </row>
    <row r="170" spans="1:442" ht="15.6" hidden="1" thickTop="1" thickBot="1" x14ac:dyDescent="0.35">
      <c r="A170" s="26">
        <v>167</v>
      </c>
      <c r="B170" s="27">
        <v>1608</v>
      </c>
      <c r="C170" s="28" t="s">
        <v>542</v>
      </c>
      <c r="D170" s="29" t="s">
        <v>64</v>
      </c>
      <c r="E170" s="30" t="s">
        <v>65</v>
      </c>
      <c r="F170" s="5"/>
      <c r="G170" s="6"/>
      <c r="H170" s="4"/>
      <c r="I170" s="8"/>
      <c r="J170" s="5" t="str">
        <f t="shared" si="455"/>
        <v>NO APLICA</v>
      </c>
      <c r="K170" s="2"/>
      <c r="L170" s="6"/>
      <c r="M170" s="6"/>
      <c r="N170" s="8"/>
      <c r="O170" s="5" t="str">
        <f t="shared" si="456"/>
        <v>NO APLICA</v>
      </c>
      <c r="P170" s="4"/>
      <c r="Q170" s="4">
        <v>45597</v>
      </c>
      <c r="R170" s="4">
        <f>DATE(YEAR(Q170)+2,MONTH(Q170),DAY(Q170)-1)</f>
        <v>46326</v>
      </c>
      <c r="S170" s="8">
        <f ca="1">R170-TODAY()</f>
        <v>181</v>
      </c>
      <c r="T170" s="5" t="str">
        <f t="shared" ca="1" si="557"/>
        <v>VIGENTE</v>
      </c>
      <c r="U170" s="5"/>
      <c r="V170" s="6" t="s">
        <v>543</v>
      </c>
      <c r="W170" s="4">
        <v>44701</v>
      </c>
      <c r="X170" s="4">
        <f t="shared" si="587"/>
        <v>46527</v>
      </c>
      <c r="Y170" s="8">
        <f t="shared" ca="1" si="588"/>
        <v>382</v>
      </c>
      <c r="Z170" s="5" t="str">
        <f t="shared" ca="1" si="412"/>
        <v>VIGENTE</v>
      </c>
      <c r="AA170" s="5"/>
      <c r="AB170" s="2" t="s">
        <v>544</v>
      </c>
      <c r="AC170" s="4">
        <v>45190</v>
      </c>
      <c r="AD170" s="4">
        <f t="shared" si="596"/>
        <v>47017</v>
      </c>
      <c r="AE170" s="8">
        <f t="shared" ca="1" si="597"/>
        <v>872</v>
      </c>
      <c r="AF170" s="5" t="str">
        <f t="shared" ca="1" si="457"/>
        <v>VIGENTE</v>
      </c>
      <c r="AG170" s="3"/>
      <c r="AH170" s="4">
        <v>45609</v>
      </c>
      <c r="AI170" s="4">
        <f>DATE(YEAR(AH170)+2,MONTH(AH170),DAY(AH170)-1)</f>
        <v>46338</v>
      </c>
      <c r="AJ170" s="8">
        <f t="shared" ca="1" si="458"/>
        <v>193</v>
      </c>
      <c r="AK170" s="5" t="str">
        <f t="shared" ca="1" si="408"/>
        <v>VIGENTE</v>
      </c>
      <c r="AL170" s="3"/>
      <c r="AM170" s="4">
        <v>45710</v>
      </c>
      <c r="AN170" s="4">
        <f>DATE(YEAR(AM170)+2,MONTH(AM170),DAY(AM170)-1)</f>
        <v>46439</v>
      </c>
      <c r="AO170" s="8">
        <f t="shared" ca="1" si="459"/>
        <v>294</v>
      </c>
      <c r="AP170" s="5" t="str">
        <f t="shared" ca="1" si="460"/>
        <v>VIGENTE</v>
      </c>
      <c r="AQ170" s="3"/>
      <c r="AR170" s="4">
        <v>45989</v>
      </c>
      <c r="AS170" s="4">
        <f>DATE(YEAR(AR170)+2,MONTH(AR170),DAY(AR170))</f>
        <v>46719</v>
      </c>
      <c r="AT170" s="8">
        <f t="shared" ca="1" si="461"/>
        <v>574</v>
      </c>
      <c r="AU170" s="5" t="str">
        <f t="shared" ca="1" si="462"/>
        <v>VIGENTE</v>
      </c>
      <c r="AV170" s="3"/>
      <c r="AW170" s="4">
        <v>45972</v>
      </c>
      <c r="AX170" s="4">
        <f>DATE(YEAR(AW170)+2,MONTH(AW170),DAY(AW170))</f>
        <v>46702</v>
      </c>
      <c r="AY170" s="8">
        <f t="shared" ca="1" si="463"/>
        <v>557</v>
      </c>
      <c r="AZ170" s="5" t="str">
        <f t="shared" ca="1" si="464"/>
        <v>VIGENTE</v>
      </c>
      <c r="BA170" s="3"/>
      <c r="BB170" s="4">
        <v>46041</v>
      </c>
      <c r="BC170" s="4">
        <f>DATE(YEAR(BB170)+2,MONTH(BB170),DAY(BB170))</f>
        <v>46771</v>
      </c>
      <c r="BD170" s="8">
        <f t="shared" ca="1" si="465"/>
        <v>626</v>
      </c>
      <c r="BE170" s="5" t="str">
        <f t="shared" ca="1" si="466"/>
        <v>VIGENTE</v>
      </c>
      <c r="BF170" s="3"/>
      <c r="BG170" s="4">
        <v>46027</v>
      </c>
      <c r="BH170" s="4">
        <f>DATE(YEAR(BG170)+2,MONTH(BG170),DAY(BG170))</f>
        <v>46757</v>
      </c>
      <c r="BI170" s="8">
        <f t="shared" ca="1" si="467"/>
        <v>612</v>
      </c>
      <c r="BJ170" s="5" t="str">
        <f t="shared" ca="1" si="468"/>
        <v>VIGENTE</v>
      </c>
      <c r="BK170" s="3"/>
      <c r="BL170" s="4">
        <v>45600</v>
      </c>
      <c r="BM170" s="4">
        <f>DATE(YEAR(BL170)+2,MONTH(BL170),DAY(BL170)-1)</f>
        <v>46329</v>
      </c>
      <c r="BN170" s="8">
        <f t="shared" ca="1" si="469"/>
        <v>184</v>
      </c>
      <c r="BO170" s="5" t="str">
        <f t="shared" ca="1" si="470"/>
        <v>VIGENTE</v>
      </c>
      <c r="BP170" s="3"/>
      <c r="BQ170" s="39">
        <v>45701</v>
      </c>
      <c r="BR170" s="4">
        <f>DATE(YEAR(BQ170)+2,MONTH(BQ170),DAY(BQ170)-1)</f>
        <v>46430</v>
      </c>
      <c r="BS170" s="8">
        <f t="shared" ca="1" si="471"/>
        <v>285</v>
      </c>
      <c r="BT170" s="5" t="str">
        <f t="shared" ca="1" si="472"/>
        <v>VIGENTE</v>
      </c>
      <c r="BU170" s="3"/>
      <c r="BV170" s="4">
        <v>45950</v>
      </c>
      <c r="BW170" s="4">
        <f>DATE(YEAR(BV170)+2,MONTH(BV170),DAY(BV170))</f>
        <v>46680</v>
      </c>
      <c r="BX170" s="8">
        <f t="shared" ca="1" si="473"/>
        <v>535</v>
      </c>
      <c r="BY170" s="5" t="str">
        <f t="shared" ca="1" si="474"/>
        <v>VIGENTE</v>
      </c>
      <c r="BZ170" s="3"/>
      <c r="CA170" s="4">
        <v>45730</v>
      </c>
      <c r="CB170" s="4">
        <f>DATE(YEAR(CA170)+2,MONTH(CA170),DAY(CA170)-1)</f>
        <v>46459</v>
      </c>
      <c r="CC170" s="8">
        <f t="shared" ca="1" si="475"/>
        <v>314</v>
      </c>
      <c r="CD170" s="5" t="str">
        <f t="shared" ca="1" si="476"/>
        <v>VIGENTE</v>
      </c>
      <c r="CE170" s="6"/>
      <c r="CF170" s="4">
        <v>45832</v>
      </c>
      <c r="CG170" s="4">
        <f t="shared" si="590"/>
        <v>47293</v>
      </c>
      <c r="CH170" s="8">
        <f t="shared" ca="1" si="591"/>
        <v>1148</v>
      </c>
      <c r="CI170" s="5" t="str">
        <f t="shared" ca="1" si="573"/>
        <v>VIGENTE</v>
      </c>
      <c r="CJ170" s="4"/>
      <c r="CK170" s="4">
        <v>45723</v>
      </c>
      <c r="CL170" s="4">
        <f>DATE(YEAR(CK170)+2,MONTH(CK170),DAY(CK170)-1)</f>
        <v>46452</v>
      </c>
      <c r="CM170" s="8">
        <f t="shared" ca="1" si="477"/>
        <v>307</v>
      </c>
      <c r="CN170" s="5" t="str">
        <f t="shared" ca="1" si="478"/>
        <v>VIGENTE</v>
      </c>
      <c r="CO170" s="3"/>
      <c r="CP170" s="39">
        <v>45684</v>
      </c>
      <c r="CQ170" s="4">
        <f>DATE(YEAR(CP170)+2,MONTH(CP170),DAY(CP170)-1)</f>
        <v>46413</v>
      </c>
      <c r="CR170" s="8">
        <f t="shared" ca="1" si="479"/>
        <v>268</v>
      </c>
      <c r="CS170" s="5" t="str">
        <f t="shared" ca="1" si="480"/>
        <v>VIGENTE</v>
      </c>
      <c r="CT170" s="3"/>
      <c r="CU170" s="4">
        <v>45905</v>
      </c>
      <c r="CV170" s="4">
        <f>DATE(YEAR(CU170)+2,MONTH(CU170),DAY(CU170))</f>
        <v>46635</v>
      </c>
      <c r="CW170" s="8">
        <f t="shared" ca="1" si="481"/>
        <v>490</v>
      </c>
      <c r="CX170" s="5" t="str">
        <f t="shared" ca="1" si="482"/>
        <v>VIGENTE</v>
      </c>
      <c r="CY170" s="3"/>
      <c r="CZ170" s="4">
        <v>46000</v>
      </c>
      <c r="DA170" s="4">
        <f>DATE(YEAR(CZ170)+2,MONTH(CZ170),DAY(CZ170))</f>
        <v>46730</v>
      </c>
      <c r="DB170" s="8">
        <f t="shared" ca="1" si="483"/>
        <v>585</v>
      </c>
      <c r="DC170" s="5" t="str">
        <f t="shared" ca="1" si="484"/>
        <v>VIGENTE</v>
      </c>
      <c r="DD170" s="3"/>
      <c r="DE170" s="39">
        <v>45689</v>
      </c>
      <c r="DF170" s="4">
        <f>DATE(YEAR(DE170)+2,MONTH(DE170),DAY(DE170)-1)</f>
        <v>46418</v>
      </c>
      <c r="DG170" s="8">
        <f t="shared" ca="1" si="485"/>
        <v>273</v>
      </c>
      <c r="DH170" s="5" t="str">
        <f t="shared" ca="1" si="486"/>
        <v>VIGENTE</v>
      </c>
      <c r="DI170" s="3"/>
      <c r="DJ170" s="39">
        <v>45975</v>
      </c>
      <c r="DK170" s="4">
        <f>DATE(YEAR(DJ170)+2,MONTH(DJ170),DAY(DJ170))</f>
        <v>46705</v>
      </c>
      <c r="DL170" s="8">
        <f t="shared" ca="1" si="487"/>
        <v>560</v>
      </c>
      <c r="DM170" s="5" t="str">
        <f t="shared" ca="1" si="488"/>
        <v>VIGENTE</v>
      </c>
      <c r="DN170" s="3"/>
      <c r="DO170" s="4">
        <v>46007</v>
      </c>
      <c r="DP170" s="4">
        <f>DATE(YEAR(DO170)+2,MONTH(DO170),DAY(DO170))</f>
        <v>46737</v>
      </c>
      <c r="DQ170" s="8">
        <f t="shared" ca="1" si="489"/>
        <v>592</v>
      </c>
      <c r="DR170" s="5" t="str">
        <f t="shared" ca="1" si="490"/>
        <v>VIGENTE</v>
      </c>
      <c r="DS170" s="3"/>
      <c r="DT170" s="4">
        <v>46053</v>
      </c>
      <c r="DU170" s="4">
        <f>DATE(YEAR(DT170)+2,MONTH(DT170),DAY(DT170))</f>
        <v>46783</v>
      </c>
      <c r="DV170" s="8">
        <f t="shared" ca="1" si="491"/>
        <v>638</v>
      </c>
      <c r="DW170" s="5" t="str">
        <f t="shared" ca="1" si="492"/>
        <v>VIGENTE</v>
      </c>
      <c r="DX170" s="3"/>
      <c r="DY170" s="4">
        <v>45682</v>
      </c>
      <c r="DZ170" s="4">
        <f t="shared" si="595"/>
        <v>46411</v>
      </c>
      <c r="EA170" s="8">
        <f t="shared" ca="1" si="493"/>
        <v>266</v>
      </c>
      <c r="EB170" s="5" t="str">
        <f t="shared" ca="1" si="494"/>
        <v>VIGENTE</v>
      </c>
      <c r="EC170" s="3"/>
      <c r="ED170" s="39">
        <v>45674</v>
      </c>
      <c r="EE170" s="4">
        <f>DATE(YEAR(ED170)+2,MONTH(ED170),DAY(ED170)-1)</f>
        <v>46403</v>
      </c>
      <c r="EF170" s="8">
        <f t="shared" ca="1" si="495"/>
        <v>258</v>
      </c>
      <c r="EG170" s="5" t="str">
        <f t="shared" ca="1" si="496"/>
        <v>VIGENTE</v>
      </c>
      <c r="EH170" s="3"/>
      <c r="EI170" s="3">
        <v>46060</v>
      </c>
      <c r="EJ170" s="4">
        <f t="shared" si="558"/>
        <v>46425</v>
      </c>
      <c r="EK170" s="8">
        <f t="shared" ca="1" si="497"/>
        <v>280</v>
      </c>
      <c r="EL170" s="5" t="str">
        <f t="shared" ca="1" si="498"/>
        <v>VIGENTE</v>
      </c>
      <c r="EM170" s="3"/>
      <c r="EN170" s="4">
        <v>45636</v>
      </c>
      <c r="EO170" s="4">
        <f>DATE(YEAR(EN170)+2,MONTH(EN170),DAY(EN170)-1)</f>
        <v>46365</v>
      </c>
      <c r="EP170" s="8">
        <f t="shared" ca="1" si="499"/>
        <v>220</v>
      </c>
      <c r="EQ170" s="5" t="str">
        <f t="shared" ca="1" si="500"/>
        <v>VIGENTE</v>
      </c>
      <c r="ER170" s="3"/>
      <c r="ES170" s="39">
        <v>45999</v>
      </c>
      <c r="ET170" s="4">
        <f>DATE(YEAR(ES170)+2,MONTH(ES170),DAY(ES170))</f>
        <v>46729</v>
      </c>
      <c r="EU170" s="8">
        <f t="shared" ca="1" si="501"/>
        <v>584</v>
      </c>
      <c r="EV170" s="5" t="str">
        <f t="shared" ca="1" si="502"/>
        <v>VIGENTE</v>
      </c>
      <c r="EW170" s="3"/>
      <c r="EX170" s="4">
        <v>45694</v>
      </c>
      <c r="EY170" s="4">
        <f>DATE(YEAR(EX170)+2,MONTH(EX170),DAY(EX170)-1)</f>
        <v>46423</v>
      </c>
      <c r="EZ170" s="8">
        <f t="shared" ca="1" si="503"/>
        <v>278</v>
      </c>
      <c r="FA170" s="5" t="str">
        <f t="shared" ca="1" si="504"/>
        <v>VIGENTE</v>
      </c>
      <c r="FB170" s="3"/>
      <c r="FC170" s="4">
        <v>45666</v>
      </c>
      <c r="FD170" s="4">
        <f>DATE(YEAR(FC170)+2,MONTH(FC170),DAY(FC170)-1)</f>
        <v>46395</v>
      </c>
      <c r="FE170" s="8">
        <f t="shared" ca="1" si="505"/>
        <v>250</v>
      </c>
      <c r="FF170" s="5" t="str">
        <f t="shared" ca="1" si="506"/>
        <v>VIGENTE</v>
      </c>
      <c r="FG170" s="3"/>
      <c r="FH170" s="4">
        <v>45668</v>
      </c>
      <c r="FI170" s="4">
        <f>DATE(YEAR(FH170)+2,MONTH(FH170),DAY(FH170)-1)</f>
        <v>46397</v>
      </c>
      <c r="FJ170" s="8">
        <f t="shared" ca="1" si="507"/>
        <v>252</v>
      </c>
      <c r="FK170" s="5" t="str">
        <f t="shared" ca="1" si="508"/>
        <v>VIGENTE</v>
      </c>
      <c r="FL170" s="3"/>
      <c r="FM170" s="39">
        <v>45771</v>
      </c>
      <c r="FN170" s="4">
        <f>DATE(YEAR(FM170)+2,MONTH(FM170),DAY(FM170))</f>
        <v>46501</v>
      </c>
      <c r="FO170" s="8">
        <f t="shared" ca="1" si="509"/>
        <v>356</v>
      </c>
      <c r="FP170" s="5" t="str">
        <f t="shared" ca="1" si="510"/>
        <v>VIGENTE</v>
      </c>
      <c r="FQ170" s="3"/>
      <c r="FR170" s="39">
        <v>45664</v>
      </c>
      <c r="FS170" s="4">
        <f>DATE(YEAR(FR170)+2,MONTH(FR170),DAY(FR170)-1)</f>
        <v>46393</v>
      </c>
      <c r="FT170" s="8">
        <f t="shared" ca="1" si="511"/>
        <v>248</v>
      </c>
      <c r="FU170" s="5" t="str">
        <f t="shared" ca="1" si="512"/>
        <v>VIGENTE</v>
      </c>
      <c r="FV170" s="3"/>
      <c r="FW170" s="4">
        <v>45587</v>
      </c>
      <c r="FX170" s="4">
        <f>DATE(YEAR(FW170)+2,MONTH(FW170),DAY(FW170)-1)</f>
        <v>46316</v>
      </c>
      <c r="FY170" s="8">
        <f t="shared" ca="1" si="513"/>
        <v>171</v>
      </c>
      <c r="FZ170" s="5" t="str">
        <f t="shared" ca="1" si="514"/>
        <v>VIGENTE</v>
      </c>
      <c r="GA170" s="3"/>
      <c r="GB170" s="4">
        <v>45925</v>
      </c>
      <c r="GC170" s="4">
        <f>DATE(YEAR(GB170)+2,MONTH(GB170),DAY(GB170))</f>
        <v>46655</v>
      </c>
      <c r="GD170" s="8">
        <f t="shared" ca="1" si="515"/>
        <v>510</v>
      </c>
      <c r="GE170" s="5" t="str">
        <f t="shared" ca="1" si="516"/>
        <v>VIGENTE</v>
      </c>
      <c r="GF170" s="3"/>
      <c r="GG170" s="4">
        <v>45579</v>
      </c>
      <c r="GH170" s="4">
        <f>DATE(YEAR(GG170)+2,MONTH(GG170),DAY(GG170)-1)</f>
        <v>46308</v>
      </c>
      <c r="GI170" s="8">
        <f t="shared" ca="1" si="517"/>
        <v>163</v>
      </c>
      <c r="GJ170" s="5" t="str">
        <f t="shared" ca="1" si="518"/>
        <v>VIGENTE</v>
      </c>
      <c r="GK170" s="3"/>
      <c r="GL170" s="4">
        <v>45608</v>
      </c>
      <c r="GM170" s="4">
        <f>DATE(YEAR(GL170)+2,MONTH(GL170),DAY(GL170)-1)</f>
        <v>46337</v>
      </c>
      <c r="GN170" s="8">
        <f t="shared" ca="1" si="519"/>
        <v>192</v>
      </c>
      <c r="GO170" s="5" t="str">
        <f t="shared" ca="1" si="520"/>
        <v>VIGENTE</v>
      </c>
      <c r="GP170" s="4"/>
      <c r="GQ170" s="4">
        <v>45017</v>
      </c>
      <c r="GR170" s="4">
        <f t="shared" si="521"/>
        <v>46844</v>
      </c>
      <c r="GS170" s="8">
        <f t="shared" ca="1" si="405"/>
        <v>699</v>
      </c>
      <c r="GT170" s="5" t="str">
        <f t="shared" ca="1" si="419"/>
        <v>VIGENTE</v>
      </c>
      <c r="GU170" s="3"/>
      <c r="GV170" s="4">
        <v>44952</v>
      </c>
      <c r="GW170" s="4">
        <f t="shared" si="522"/>
        <v>46778</v>
      </c>
      <c r="GX170" s="8">
        <f t="shared" ca="1" si="523"/>
        <v>633</v>
      </c>
      <c r="GY170" s="5" t="str">
        <f t="shared" ca="1" si="426"/>
        <v>VIGENTE</v>
      </c>
      <c r="GZ170" s="2"/>
      <c r="HA170" s="4">
        <v>45016</v>
      </c>
      <c r="HB170" s="4">
        <f t="shared" si="524"/>
        <v>46843</v>
      </c>
      <c r="HC170" s="8">
        <f t="shared" ca="1" si="525"/>
        <v>698</v>
      </c>
      <c r="HD170" s="5" t="str">
        <f t="shared" ca="1" si="421"/>
        <v>VIGENTE</v>
      </c>
      <c r="HE170" s="6"/>
      <c r="HF170" s="4">
        <v>45115</v>
      </c>
      <c r="HG170" s="4">
        <f t="shared" si="598"/>
        <v>46942</v>
      </c>
      <c r="HH170" s="8">
        <f t="shared" ca="1" si="599"/>
        <v>797</v>
      </c>
      <c r="HI170" s="5" t="str">
        <f t="shared" ca="1" si="427"/>
        <v>VIGENTE</v>
      </c>
      <c r="HJ170" s="2"/>
      <c r="HK170" s="6"/>
      <c r="HL170" s="4"/>
      <c r="HM170" s="8"/>
      <c r="HN170" s="5" t="str">
        <f t="shared" si="444"/>
        <v>NO APLICA</v>
      </c>
      <c r="HO170" s="2"/>
      <c r="HP170" s="2"/>
      <c r="HQ170" s="4"/>
      <c r="HR170" s="2"/>
      <c r="HS170" s="5" t="str">
        <f t="shared" si="526"/>
        <v>NO APLICA</v>
      </c>
      <c r="HT170" s="2"/>
      <c r="HU170" s="6"/>
      <c r="HV170" s="4"/>
      <c r="HW170" s="8"/>
      <c r="HX170" s="5" t="str">
        <f t="shared" si="527"/>
        <v>NO APLICA</v>
      </c>
      <c r="HY170" s="2"/>
      <c r="HZ170" s="6"/>
      <c r="IA170" s="4"/>
      <c r="IB170" s="8"/>
      <c r="IC170" s="5" t="str">
        <f t="shared" si="528"/>
        <v>NO APLICA</v>
      </c>
      <c r="ID170" s="2"/>
      <c r="IE170" s="6"/>
      <c r="IF170" s="4"/>
      <c r="IG170" s="8"/>
      <c r="IH170" s="5" t="str">
        <f t="shared" si="529"/>
        <v>NO APLICA</v>
      </c>
      <c r="II170" s="6"/>
      <c r="IJ170" s="6"/>
      <c r="IK170" s="4"/>
      <c r="IL170" s="8"/>
      <c r="IM170" s="5" t="str">
        <f t="shared" si="530"/>
        <v>NO APLICA</v>
      </c>
      <c r="IN170" s="2"/>
      <c r="IO170" s="6"/>
      <c r="IP170" s="4"/>
      <c r="IQ170" s="8"/>
      <c r="IR170" s="5" t="str">
        <f t="shared" si="531"/>
        <v>NO APLICA</v>
      </c>
      <c r="IS170" s="2"/>
      <c r="IT170" s="6"/>
      <c r="IU170" s="4"/>
      <c r="IV170" s="8"/>
      <c r="IW170" s="5" t="str">
        <f t="shared" si="532"/>
        <v>NO APLICA</v>
      </c>
      <c r="IX170" s="2"/>
      <c r="IY170" s="6"/>
      <c r="IZ170" s="4"/>
      <c r="JA170" s="8"/>
      <c r="JB170" s="5" t="str">
        <f t="shared" si="533"/>
        <v>NO APLICA</v>
      </c>
      <c r="JC170" s="3" t="s">
        <v>780</v>
      </c>
      <c r="JD170" s="3"/>
      <c r="JE170" s="4"/>
      <c r="JF170" s="8"/>
      <c r="JG170" s="5"/>
      <c r="JH170" s="3" t="s">
        <v>780</v>
      </c>
      <c r="JI170" s="6"/>
      <c r="JJ170" s="6"/>
      <c r="JK170" s="6"/>
      <c r="JL170" s="5"/>
      <c r="JM170" s="6" t="s">
        <v>780</v>
      </c>
      <c r="JN170" s="6"/>
      <c r="JO170" s="6"/>
      <c r="JP170" s="6"/>
      <c r="JQ170" s="5"/>
      <c r="JR170" s="6" t="s">
        <v>780</v>
      </c>
      <c r="JS170" s="6"/>
      <c r="JT170" s="6"/>
      <c r="JU170" s="6"/>
      <c r="JV170" s="5"/>
      <c r="JW170" s="6" t="s">
        <v>780</v>
      </c>
      <c r="JX170" s="5"/>
      <c r="JY170" s="5"/>
      <c r="JZ170" s="5"/>
      <c r="KA170" s="5"/>
      <c r="KB170" s="5"/>
      <c r="KC170" s="2"/>
      <c r="KD170" s="4"/>
      <c r="KE170" s="8"/>
      <c r="KF170" s="5" t="str">
        <f t="shared" si="534"/>
        <v>NO APLICA</v>
      </c>
      <c r="KG170" s="5"/>
      <c r="KH170" s="2"/>
      <c r="KI170" s="4"/>
      <c r="KJ170" s="8"/>
      <c r="KK170" s="5" t="str">
        <f t="shared" si="559"/>
        <v>NO APLICA</v>
      </c>
      <c r="KL170" s="5"/>
      <c r="KM170" s="2"/>
      <c r="KN170" s="4"/>
      <c r="KO170" s="8"/>
      <c r="KP170" s="5" t="str">
        <f t="shared" si="535"/>
        <v>NO APLICA</v>
      </c>
      <c r="KQ170" s="5"/>
      <c r="KR170" s="3">
        <v>45346</v>
      </c>
      <c r="KS170" s="4">
        <f>DATE(YEAR(KR170)+5,MONTH(KR170),DAY(KR170))</f>
        <v>47173</v>
      </c>
      <c r="KT170" s="8">
        <f ca="1">KS170-TODAY()</f>
        <v>1028</v>
      </c>
      <c r="KU170" s="5" t="str">
        <f t="shared" ca="1" si="560"/>
        <v>VIGENTE</v>
      </c>
      <c r="KV170" s="2"/>
      <c r="KW170" s="6"/>
      <c r="KX170" s="4"/>
      <c r="KY170" s="8"/>
      <c r="KZ170" s="5" t="str">
        <f t="shared" si="565"/>
        <v>NO APLICA</v>
      </c>
      <c r="LA170" s="5"/>
      <c r="LB170" s="6"/>
      <c r="LC170" s="4"/>
      <c r="LD170" s="8"/>
      <c r="LE170" s="5" t="str">
        <f t="shared" si="561"/>
        <v>NO APLICA</v>
      </c>
      <c r="LF170" s="6"/>
      <c r="LG170" s="6"/>
      <c r="LH170" s="4"/>
      <c r="LI170" s="8"/>
      <c r="LJ170" s="5" t="str">
        <f t="shared" si="600"/>
        <v>NO APLICA</v>
      </c>
      <c r="LK170" s="5"/>
      <c r="LL170" s="5"/>
      <c r="LM170" s="4"/>
      <c r="LN170" s="8"/>
      <c r="LO170" s="5" t="str">
        <f t="shared" si="566"/>
        <v>NO APLICA</v>
      </c>
      <c r="LP170" s="2"/>
      <c r="LQ170" s="6"/>
      <c r="LR170" s="4"/>
      <c r="LS170" s="8"/>
      <c r="LT170" s="5" t="str">
        <f t="shared" si="562"/>
        <v>NO APLICA</v>
      </c>
      <c r="LU170" s="6"/>
      <c r="LV170" s="6"/>
      <c r="LW170" s="4"/>
      <c r="LX170" s="8"/>
      <c r="LY170" s="5" t="str">
        <f t="shared" si="563"/>
        <v>NO APLICA</v>
      </c>
      <c r="LZ170" s="6"/>
      <c r="MA170" s="6"/>
      <c r="MB170" s="4"/>
      <c r="MC170" s="8"/>
      <c r="MD170" s="5" t="str">
        <f t="shared" si="564"/>
        <v>NO APLICA</v>
      </c>
      <c r="ME170" s="2"/>
      <c r="MF170" s="2"/>
      <c r="MG170" s="4"/>
      <c r="MH170" s="8"/>
      <c r="MI170" s="5" t="str">
        <f t="shared" si="537"/>
        <v>NO APLICA</v>
      </c>
      <c r="MJ170" s="2"/>
      <c r="MK170" s="2"/>
      <c r="ML170" s="4"/>
      <c r="MM170" s="8"/>
      <c r="MN170" s="5" t="str">
        <f t="shared" si="538"/>
        <v>NO APLICA</v>
      </c>
      <c r="MO170" s="5"/>
      <c r="MP170" s="2"/>
      <c r="MQ170" s="4"/>
      <c r="MR170" s="8"/>
      <c r="MS170" s="5" t="str">
        <f t="shared" si="539"/>
        <v>NO APLICA</v>
      </c>
      <c r="MT170" s="5"/>
      <c r="MU170" s="2"/>
      <c r="MV170" s="4"/>
      <c r="MW170" s="2"/>
      <c r="MX170" s="5" t="str">
        <f t="shared" si="540"/>
        <v>NO APLICA</v>
      </c>
      <c r="MY170" s="2"/>
      <c r="MZ170" s="6"/>
      <c r="NA170" s="4"/>
      <c r="NB170" s="8"/>
      <c r="NC170" s="5" t="str">
        <f t="shared" si="541"/>
        <v>NO APLICA</v>
      </c>
      <c r="ND170" s="2"/>
      <c r="NE170" s="6"/>
      <c r="NF170" s="4"/>
      <c r="NG170" s="8"/>
      <c r="NH170" s="5" t="str">
        <f t="shared" si="542"/>
        <v>NO APLICA</v>
      </c>
      <c r="NI170" s="2"/>
      <c r="NJ170" s="6"/>
      <c r="NK170" s="4"/>
      <c r="NL170" s="8"/>
      <c r="NM170" s="5" t="str">
        <f t="shared" si="543"/>
        <v>NO APLICA</v>
      </c>
      <c r="NN170" s="2"/>
      <c r="NO170" s="2"/>
      <c r="NP170" s="4"/>
      <c r="NQ170" s="8"/>
      <c r="NR170" s="5" t="str">
        <f t="shared" si="544"/>
        <v>NO APLICA</v>
      </c>
      <c r="NS170" s="2"/>
      <c r="NT170" s="2"/>
      <c r="NU170" s="4"/>
      <c r="NV170" s="2"/>
      <c r="NW170" s="5" t="str">
        <f t="shared" si="545"/>
        <v>NO APLICA</v>
      </c>
      <c r="NX170" s="6"/>
      <c r="NY170" s="6"/>
      <c r="NZ170" s="4"/>
      <c r="OA170" s="8"/>
      <c r="OB170" s="5" t="str">
        <f t="shared" si="546"/>
        <v>NO APLICA</v>
      </c>
      <c r="OC170" s="6"/>
      <c r="OD170" s="6"/>
      <c r="OE170" s="6"/>
      <c r="OF170" s="6"/>
      <c r="OG170" s="5" t="str">
        <f t="shared" si="547"/>
        <v>NO APLICA</v>
      </c>
      <c r="OH170" s="2"/>
      <c r="OI170" s="2"/>
      <c r="OJ170" s="4"/>
      <c r="OK170" s="8"/>
      <c r="OL170" s="5" t="str">
        <f t="shared" si="548"/>
        <v>NO APLICA</v>
      </c>
      <c r="OM170" s="6"/>
      <c r="ON170" s="6"/>
      <c r="OO170" s="6"/>
      <c r="OP170" s="6"/>
      <c r="OQ170" s="5" t="str">
        <f t="shared" si="549"/>
        <v>NO APLICA</v>
      </c>
      <c r="OR170" s="6"/>
      <c r="OS170" s="6"/>
      <c r="OT170" s="6"/>
      <c r="OU170" s="6"/>
      <c r="OV170" s="5" t="str">
        <f t="shared" si="550"/>
        <v>NO APLICA</v>
      </c>
      <c r="OW170" s="6"/>
      <c r="OX170" s="6"/>
      <c r="OY170" s="6"/>
      <c r="OZ170" s="6"/>
      <c r="PA170" s="5" t="str">
        <f t="shared" si="551"/>
        <v>NO APLICA</v>
      </c>
      <c r="PB170" s="6"/>
      <c r="PC170" s="6"/>
      <c r="PD170" s="6"/>
      <c r="PE170" s="6"/>
      <c r="PF170" s="5" t="str">
        <f t="shared" si="552"/>
        <v>NO APLICA</v>
      </c>
      <c r="PG170" s="6"/>
      <c r="PH170" s="6"/>
      <c r="PI170" s="6"/>
      <c r="PJ170" s="6"/>
      <c r="PK170" s="5" t="str">
        <f t="shared" si="553"/>
        <v>NO APLICA</v>
      </c>
      <c r="PL170" s="5"/>
      <c r="PM170" s="6"/>
      <c r="PN170" s="4"/>
      <c r="PO170" s="8"/>
      <c r="PP170" s="5" t="str">
        <f t="shared" si="554"/>
        <v>NO APLICA</v>
      </c>
      <c r="PQ170" s="6"/>
      <c r="PR170" s="6"/>
      <c r="PS170" s="6"/>
      <c r="PT170" s="6"/>
      <c r="PU170" s="5" t="str">
        <f t="shared" si="555"/>
        <v>NO APLICA</v>
      </c>
      <c r="PV170" s="5"/>
      <c r="PW170" s="6"/>
      <c r="PX170" s="6"/>
      <c r="PY170" s="6"/>
      <c r="PZ170" s="5" t="str">
        <f t="shared" si="556"/>
        <v>NO APLICA</v>
      </c>
    </row>
    <row r="171" spans="1:442" ht="15.6" hidden="1" thickTop="1" thickBot="1" x14ac:dyDescent="0.35">
      <c r="A171" s="26">
        <v>168</v>
      </c>
      <c r="B171" s="31">
        <v>1637</v>
      </c>
      <c r="C171" s="28" t="s">
        <v>768</v>
      </c>
      <c r="D171" s="29" t="s">
        <v>64</v>
      </c>
      <c r="E171" s="30" t="s">
        <v>81</v>
      </c>
      <c r="F171" s="5"/>
      <c r="G171" s="6"/>
      <c r="H171" s="4"/>
      <c r="I171" s="8"/>
      <c r="J171" s="5" t="str">
        <f t="shared" si="455"/>
        <v>NO APLICA</v>
      </c>
      <c r="K171" s="2"/>
      <c r="L171" s="6"/>
      <c r="M171" s="6"/>
      <c r="N171" s="8"/>
      <c r="O171" s="5" t="str">
        <f t="shared" si="456"/>
        <v>NO APLICA</v>
      </c>
      <c r="P171" s="4"/>
      <c r="Q171" s="4">
        <v>45583</v>
      </c>
      <c r="R171" s="4">
        <f>DATE(YEAR(Q171)+2,MONTH(Q171),DAY(Q171)-1)</f>
        <v>46312</v>
      </c>
      <c r="S171" s="8">
        <f ca="1">R171-TODAY()</f>
        <v>167</v>
      </c>
      <c r="T171" s="5" t="str">
        <f t="shared" ca="1" si="557"/>
        <v>VIGENTE</v>
      </c>
      <c r="U171" s="5"/>
      <c r="V171" s="2" t="s">
        <v>545</v>
      </c>
      <c r="W171" s="4">
        <v>44918</v>
      </c>
      <c r="X171" s="4">
        <f t="shared" si="587"/>
        <v>46744</v>
      </c>
      <c r="Y171" s="8">
        <f t="shared" ca="1" si="588"/>
        <v>599</v>
      </c>
      <c r="Z171" s="5" t="str">
        <f t="shared" ca="1" si="412"/>
        <v>VIGENTE</v>
      </c>
      <c r="AA171" s="5"/>
      <c r="AB171" s="2" t="s">
        <v>546</v>
      </c>
      <c r="AC171" s="4">
        <v>45192</v>
      </c>
      <c r="AD171" s="4">
        <f t="shared" si="596"/>
        <v>47019</v>
      </c>
      <c r="AE171" s="8">
        <f t="shared" ca="1" si="597"/>
        <v>874</v>
      </c>
      <c r="AF171" s="5" t="str">
        <f t="shared" ca="1" si="457"/>
        <v>VIGENTE</v>
      </c>
      <c r="AG171" s="3"/>
      <c r="AH171" s="4">
        <v>45680</v>
      </c>
      <c r="AI171" s="4">
        <f>DATE(YEAR(AH171)+2,MONTH(AH171),DAY(AH171)-1)</f>
        <v>46409</v>
      </c>
      <c r="AJ171" s="8">
        <f t="shared" ca="1" si="458"/>
        <v>264</v>
      </c>
      <c r="AK171" s="5" t="str">
        <f t="shared" ca="1" si="408"/>
        <v>VIGENTE</v>
      </c>
      <c r="AL171" s="3"/>
      <c r="AM171" s="4">
        <v>45490</v>
      </c>
      <c r="AN171" s="4">
        <f>DATE(YEAR(AM171)+2,MONTH(AM171),DAY(AM171)-1)</f>
        <v>46219</v>
      </c>
      <c r="AO171" s="8">
        <f t="shared" ca="1" si="459"/>
        <v>74</v>
      </c>
      <c r="AP171" s="5" t="str">
        <f t="shared" ca="1" si="460"/>
        <v>POR VENCER</v>
      </c>
      <c r="AQ171" s="3"/>
      <c r="AR171" s="4">
        <v>45505</v>
      </c>
      <c r="AS171" s="4">
        <f>DATE(YEAR(AR171)+2,MONTH(AR171),DAY(AR171)-1)</f>
        <v>46234</v>
      </c>
      <c r="AT171" s="8">
        <f t="shared" ca="1" si="461"/>
        <v>89</v>
      </c>
      <c r="AU171" s="5" t="str">
        <f t="shared" ca="1" si="462"/>
        <v>POR VENCER</v>
      </c>
      <c r="AV171" s="3"/>
      <c r="AW171" s="4">
        <v>45514</v>
      </c>
      <c r="AX171" s="4">
        <f>DATE(YEAR(AW171)+2,MONTH(AW171),DAY(AW171)-1)</f>
        <v>46243</v>
      </c>
      <c r="AY171" s="8">
        <f t="shared" ca="1" si="463"/>
        <v>98</v>
      </c>
      <c r="AZ171" s="5" t="str">
        <f t="shared" ca="1" si="464"/>
        <v>VIGENTE</v>
      </c>
      <c r="BA171" s="3"/>
      <c r="BB171" s="4">
        <v>45515</v>
      </c>
      <c r="BC171" s="4">
        <f>DATE(YEAR(BB171)+2,MONTH(BB171),DAY(BB171)-1)</f>
        <v>46244</v>
      </c>
      <c r="BD171" s="8">
        <f t="shared" ca="1" si="465"/>
        <v>99</v>
      </c>
      <c r="BE171" s="5" t="str">
        <f t="shared" ca="1" si="466"/>
        <v>VIGENTE</v>
      </c>
      <c r="BF171" s="3"/>
      <c r="BG171" s="4">
        <v>45698</v>
      </c>
      <c r="BH171" s="4">
        <f>DATE(YEAR(BG171)+2,MONTH(BG171),DAY(BG171)-1)</f>
        <v>46427</v>
      </c>
      <c r="BI171" s="8">
        <f t="shared" ca="1" si="467"/>
        <v>282</v>
      </c>
      <c r="BJ171" s="5" t="str">
        <f t="shared" ca="1" si="468"/>
        <v>VIGENTE</v>
      </c>
      <c r="BK171" s="3"/>
      <c r="BL171" s="4">
        <v>45570</v>
      </c>
      <c r="BM171" s="4">
        <f>DATE(YEAR(BL171)+2,MONTH(BL171),DAY(BL171)-1)</f>
        <v>46299</v>
      </c>
      <c r="BN171" s="8">
        <f t="shared" ca="1" si="469"/>
        <v>154</v>
      </c>
      <c r="BO171" s="5" t="str">
        <f t="shared" ca="1" si="470"/>
        <v>VIGENTE</v>
      </c>
      <c r="BP171" s="3"/>
      <c r="BQ171" s="39">
        <v>45604</v>
      </c>
      <c r="BR171" s="4">
        <f>DATE(YEAR(BQ171)+2,MONTH(BQ171),DAY(BQ171)-1)</f>
        <v>46333</v>
      </c>
      <c r="BS171" s="8">
        <f t="shared" ca="1" si="471"/>
        <v>188</v>
      </c>
      <c r="BT171" s="5" t="str">
        <f t="shared" ca="1" si="472"/>
        <v>VIGENTE</v>
      </c>
      <c r="BU171" s="3"/>
      <c r="BV171" s="4">
        <v>45695</v>
      </c>
      <c r="BW171" s="4">
        <f>DATE(YEAR(BV171)+2,MONTH(BV171),DAY(BV171)-1)</f>
        <v>46424</v>
      </c>
      <c r="BX171" s="8">
        <f t="shared" ca="1" si="473"/>
        <v>279</v>
      </c>
      <c r="BY171" s="5" t="str">
        <f t="shared" ca="1" si="474"/>
        <v>VIGENTE</v>
      </c>
      <c r="BZ171" s="3"/>
      <c r="CA171" s="4">
        <v>45600</v>
      </c>
      <c r="CB171" s="4">
        <f>DATE(YEAR(CA171)+2,MONTH(CA171),DAY(CA171)-1)</f>
        <v>46329</v>
      </c>
      <c r="CC171" s="8">
        <f t="shared" ca="1" si="475"/>
        <v>184</v>
      </c>
      <c r="CD171" s="5" t="str">
        <f t="shared" ca="1" si="476"/>
        <v>VIGENTE</v>
      </c>
      <c r="CE171" s="6"/>
      <c r="CF171" s="4">
        <v>45828</v>
      </c>
      <c r="CG171" s="4">
        <f t="shared" si="590"/>
        <v>47289</v>
      </c>
      <c r="CH171" s="8">
        <f t="shared" ca="1" si="591"/>
        <v>1144</v>
      </c>
      <c r="CI171" s="5" t="str">
        <f t="shared" ca="1" si="573"/>
        <v>VIGENTE</v>
      </c>
      <c r="CJ171" s="4"/>
      <c r="CK171" s="4">
        <v>45511</v>
      </c>
      <c r="CL171" s="4">
        <f>DATE(YEAR(CK171)+2,MONTH(CK171),DAY(CK171)-1)</f>
        <v>46240</v>
      </c>
      <c r="CM171" s="8">
        <f t="shared" ca="1" si="477"/>
        <v>95</v>
      </c>
      <c r="CN171" s="5" t="str">
        <f t="shared" ca="1" si="478"/>
        <v>VIGENTE</v>
      </c>
      <c r="CO171" s="3"/>
      <c r="CP171" s="39">
        <v>45517</v>
      </c>
      <c r="CQ171" s="4">
        <f>DATE(YEAR(CP171)+2,MONTH(CP171),DAY(CP171)-1)</f>
        <v>46246</v>
      </c>
      <c r="CR171" s="8">
        <f t="shared" ca="1" si="479"/>
        <v>101</v>
      </c>
      <c r="CS171" s="5" t="str">
        <f t="shared" ca="1" si="480"/>
        <v>VIGENTE</v>
      </c>
      <c r="CT171" s="3"/>
      <c r="CU171" s="4">
        <v>45624</v>
      </c>
      <c r="CV171" s="4">
        <f>DATE(YEAR(CU171)+2,MONTH(CU171),DAY(CU171)-1)</f>
        <v>46353</v>
      </c>
      <c r="CW171" s="8">
        <f t="shared" ca="1" si="481"/>
        <v>208</v>
      </c>
      <c r="CX171" s="5" t="str">
        <f t="shared" ca="1" si="482"/>
        <v>VIGENTE</v>
      </c>
      <c r="CY171" s="3"/>
      <c r="CZ171" s="4">
        <v>45665</v>
      </c>
      <c r="DA171" s="4">
        <f>DATE(YEAR(CZ171)+2,MONTH(CZ171),DAY(CZ171)-1)</f>
        <v>46394</v>
      </c>
      <c r="DB171" s="8">
        <f t="shared" ca="1" si="483"/>
        <v>249</v>
      </c>
      <c r="DC171" s="5" t="str">
        <f t="shared" ca="1" si="484"/>
        <v>VIGENTE</v>
      </c>
      <c r="DD171" s="3"/>
      <c r="DE171" s="39">
        <v>45761</v>
      </c>
      <c r="DF171" s="4">
        <f>DATE(YEAR(DE171)+2,MONTH(DE171),DAY(DE171))</f>
        <v>46491</v>
      </c>
      <c r="DG171" s="8">
        <f t="shared" ca="1" si="485"/>
        <v>346</v>
      </c>
      <c r="DH171" s="5" t="str">
        <f t="shared" ca="1" si="486"/>
        <v>VIGENTE</v>
      </c>
      <c r="DI171" s="3"/>
      <c r="DJ171" s="39">
        <v>45580</v>
      </c>
      <c r="DK171" s="4">
        <f>DATE(YEAR(DJ171)+2,MONTH(DJ171),DAY(DJ171)-1)</f>
        <v>46309</v>
      </c>
      <c r="DL171" s="8">
        <f t="shared" ca="1" si="487"/>
        <v>164</v>
      </c>
      <c r="DM171" s="5" t="str">
        <f t="shared" ca="1" si="488"/>
        <v>VIGENTE</v>
      </c>
      <c r="DN171" s="3"/>
      <c r="DO171" s="4">
        <v>45520</v>
      </c>
      <c r="DP171" s="4">
        <f>DATE(YEAR(DO171)+2,MONTH(DO171),DAY(DO171)-1)</f>
        <v>46249</v>
      </c>
      <c r="DQ171" s="8">
        <f t="shared" ca="1" si="489"/>
        <v>104</v>
      </c>
      <c r="DR171" s="5" t="str">
        <f t="shared" ca="1" si="490"/>
        <v>VIGENTE</v>
      </c>
      <c r="DS171" s="3"/>
      <c r="DT171" s="4">
        <v>45608</v>
      </c>
      <c r="DU171" s="4">
        <f>DATE(YEAR(DT171)+2,MONTH(DT171),DAY(DT171)-1)</f>
        <v>46337</v>
      </c>
      <c r="DV171" s="8">
        <f t="shared" ca="1" si="491"/>
        <v>192</v>
      </c>
      <c r="DW171" s="5" t="str">
        <f t="shared" ca="1" si="492"/>
        <v>VIGENTE</v>
      </c>
      <c r="DX171" s="3"/>
      <c r="DY171" s="4">
        <v>45663</v>
      </c>
      <c r="DZ171" s="4">
        <f t="shared" si="595"/>
        <v>46392</v>
      </c>
      <c r="EA171" s="8">
        <f t="shared" ca="1" si="493"/>
        <v>247</v>
      </c>
      <c r="EB171" s="5" t="str">
        <f t="shared" ca="1" si="494"/>
        <v>VIGENTE</v>
      </c>
      <c r="EC171" s="3"/>
      <c r="ED171" s="39">
        <v>45602</v>
      </c>
      <c r="EE171" s="4">
        <f>DATE(YEAR(ED171)+2,MONTH(ED171),DAY(ED171)-1)</f>
        <v>46331</v>
      </c>
      <c r="EF171" s="8">
        <f t="shared" ca="1" si="495"/>
        <v>186</v>
      </c>
      <c r="EG171" s="5" t="str">
        <f t="shared" ca="1" si="496"/>
        <v>VIGENTE</v>
      </c>
      <c r="EH171" s="3"/>
      <c r="EI171" s="3">
        <v>46107</v>
      </c>
      <c r="EJ171" s="4">
        <f t="shared" si="558"/>
        <v>46472</v>
      </c>
      <c r="EK171" s="8">
        <f t="shared" ca="1" si="497"/>
        <v>327</v>
      </c>
      <c r="EL171" s="5" t="str">
        <f t="shared" ca="1" si="498"/>
        <v>VIGENTE</v>
      </c>
      <c r="EM171" s="3"/>
      <c r="EN171" s="4">
        <v>45636</v>
      </c>
      <c r="EO171" s="4">
        <f>DATE(YEAR(EN171)+2,MONTH(EN171),DAY(EN171)-1)</f>
        <v>46365</v>
      </c>
      <c r="EP171" s="8">
        <f t="shared" ca="1" si="499"/>
        <v>220</v>
      </c>
      <c r="EQ171" s="5" t="str">
        <f t="shared" ca="1" si="500"/>
        <v>VIGENTE</v>
      </c>
      <c r="ER171" s="3"/>
      <c r="ES171" s="39">
        <v>45623</v>
      </c>
      <c r="ET171" s="4">
        <f>DATE(YEAR(ES171)+2,MONTH(ES171),DAY(ES171)-1)</f>
        <v>46352</v>
      </c>
      <c r="EU171" s="8">
        <f t="shared" ca="1" si="501"/>
        <v>207</v>
      </c>
      <c r="EV171" s="5" t="str">
        <f t="shared" ca="1" si="502"/>
        <v>VIGENTE</v>
      </c>
      <c r="EW171" s="3"/>
      <c r="EX171" s="4">
        <v>45694</v>
      </c>
      <c r="EY171" s="4">
        <f>DATE(YEAR(EX171)+2,MONTH(EX171),DAY(EX171)-1)</f>
        <v>46423</v>
      </c>
      <c r="EZ171" s="8">
        <f t="shared" ca="1" si="503"/>
        <v>278</v>
      </c>
      <c r="FA171" s="5" t="str">
        <f t="shared" ca="1" si="504"/>
        <v>VIGENTE</v>
      </c>
      <c r="FB171" s="3"/>
      <c r="FC171" s="4">
        <v>45666</v>
      </c>
      <c r="FD171" s="4">
        <f>DATE(YEAR(FC171)+2,MONTH(FC171),DAY(FC171)-1)</f>
        <v>46395</v>
      </c>
      <c r="FE171" s="8">
        <f t="shared" ca="1" si="505"/>
        <v>250</v>
      </c>
      <c r="FF171" s="5" t="str">
        <f t="shared" ca="1" si="506"/>
        <v>VIGENTE</v>
      </c>
      <c r="FG171" s="3"/>
      <c r="FH171" s="4">
        <v>45668</v>
      </c>
      <c r="FI171" s="4">
        <f>DATE(YEAR(FH171)+2,MONTH(FH171),DAY(FH171)-1)</f>
        <v>46397</v>
      </c>
      <c r="FJ171" s="8">
        <f t="shared" ca="1" si="507"/>
        <v>252</v>
      </c>
      <c r="FK171" s="5" t="str">
        <f t="shared" ca="1" si="508"/>
        <v>VIGENTE</v>
      </c>
      <c r="FL171" s="3"/>
      <c r="FM171" s="39">
        <v>45670</v>
      </c>
      <c r="FN171" s="4">
        <f>DATE(YEAR(FM171)+2,MONTH(FM171),DAY(FM171)-1)</f>
        <v>46399</v>
      </c>
      <c r="FO171" s="8">
        <f t="shared" ca="1" si="509"/>
        <v>254</v>
      </c>
      <c r="FP171" s="5" t="str">
        <f t="shared" ca="1" si="510"/>
        <v>VIGENTE</v>
      </c>
      <c r="FQ171" s="3"/>
      <c r="FR171" s="39">
        <v>45605</v>
      </c>
      <c r="FS171" s="4">
        <f>DATE(YEAR(FR171)+2,MONTH(FR171),DAY(FR171)-1)</f>
        <v>46334</v>
      </c>
      <c r="FT171" s="8">
        <f t="shared" ca="1" si="511"/>
        <v>189</v>
      </c>
      <c r="FU171" s="5" t="str">
        <f t="shared" ca="1" si="512"/>
        <v>VIGENTE</v>
      </c>
      <c r="FV171" s="3"/>
      <c r="FW171" s="4">
        <v>45587</v>
      </c>
      <c r="FX171" s="4">
        <f>DATE(YEAR(FW171)+2,MONTH(FW171),DAY(FW171)-1)</f>
        <v>46316</v>
      </c>
      <c r="FY171" s="8">
        <f t="shared" ca="1" si="513"/>
        <v>171</v>
      </c>
      <c r="FZ171" s="5" t="str">
        <f t="shared" ca="1" si="514"/>
        <v>VIGENTE</v>
      </c>
      <c r="GA171" s="3"/>
      <c r="GB171" s="4">
        <v>45595</v>
      </c>
      <c r="GC171" s="4">
        <f>DATE(YEAR(GB171)+2,MONTH(GB171),DAY(GB171)-1)</f>
        <v>46324</v>
      </c>
      <c r="GD171" s="8">
        <f t="shared" ca="1" si="515"/>
        <v>179</v>
      </c>
      <c r="GE171" s="5" t="str">
        <f t="shared" ca="1" si="516"/>
        <v>VIGENTE</v>
      </c>
      <c r="GF171" s="3"/>
      <c r="GG171" s="4">
        <v>45672</v>
      </c>
      <c r="GH171" s="4">
        <f>DATE(YEAR(GG171)+2,MONTH(GG171),DAY(GG171)-1)</f>
        <v>46401</v>
      </c>
      <c r="GI171" s="8">
        <f t="shared" ca="1" si="517"/>
        <v>256</v>
      </c>
      <c r="GJ171" s="5" t="str">
        <f t="shared" ca="1" si="518"/>
        <v>VIGENTE</v>
      </c>
      <c r="GK171" s="3"/>
      <c r="GL171" s="4">
        <v>45687</v>
      </c>
      <c r="GM171" s="4">
        <f>DATE(YEAR(GL171)+2,MONTH(GL171),DAY(GL171)-1)</f>
        <v>46416</v>
      </c>
      <c r="GN171" s="8">
        <f t="shared" ca="1" si="519"/>
        <v>271</v>
      </c>
      <c r="GO171" s="5" t="str">
        <f t="shared" ca="1" si="520"/>
        <v>VIGENTE</v>
      </c>
      <c r="GP171" s="4"/>
      <c r="GQ171" s="4">
        <v>44952</v>
      </c>
      <c r="GR171" s="4">
        <f t="shared" si="521"/>
        <v>46778</v>
      </c>
      <c r="GS171" s="8">
        <f t="shared" ref="GS171:GS191" ca="1" si="601">GR171-TODAY()</f>
        <v>633</v>
      </c>
      <c r="GT171" s="5" t="str">
        <f t="shared" ca="1" si="419"/>
        <v>VIGENTE</v>
      </c>
      <c r="GU171" s="3"/>
      <c r="GV171" s="4">
        <v>45006</v>
      </c>
      <c r="GW171" s="4">
        <f t="shared" si="522"/>
        <v>46833</v>
      </c>
      <c r="GX171" s="8">
        <f t="shared" ca="1" si="523"/>
        <v>688</v>
      </c>
      <c r="GY171" s="5" t="str">
        <f t="shared" ca="1" si="426"/>
        <v>VIGENTE</v>
      </c>
      <c r="GZ171" s="2"/>
      <c r="HA171" s="4">
        <v>45016</v>
      </c>
      <c r="HB171" s="4">
        <f t="shared" si="524"/>
        <v>46843</v>
      </c>
      <c r="HC171" s="8">
        <f t="shared" ca="1" si="525"/>
        <v>698</v>
      </c>
      <c r="HD171" s="5" t="str">
        <f t="shared" ca="1" si="421"/>
        <v>VIGENTE</v>
      </c>
      <c r="HE171" s="6"/>
      <c r="HF171" s="4">
        <v>45020</v>
      </c>
      <c r="HG171" s="4">
        <f t="shared" si="598"/>
        <v>46847</v>
      </c>
      <c r="HH171" s="8">
        <f t="shared" ca="1" si="599"/>
        <v>702</v>
      </c>
      <c r="HI171" s="5" t="str">
        <f t="shared" ca="1" si="427"/>
        <v>VIGENTE</v>
      </c>
      <c r="HJ171" s="2"/>
      <c r="HK171" s="6"/>
      <c r="HL171" s="4"/>
      <c r="HM171" s="8"/>
      <c r="HN171" s="5" t="str">
        <f t="shared" si="444"/>
        <v>NO APLICA</v>
      </c>
      <c r="HO171" s="2"/>
      <c r="HP171" s="2"/>
      <c r="HQ171" s="4"/>
      <c r="HR171" s="2"/>
      <c r="HS171" s="5" t="str">
        <f t="shared" si="526"/>
        <v>NO APLICA</v>
      </c>
      <c r="HT171" s="2"/>
      <c r="HU171" s="6"/>
      <c r="HV171" s="4"/>
      <c r="HW171" s="8"/>
      <c r="HX171" s="5" t="str">
        <f t="shared" si="527"/>
        <v>NO APLICA</v>
      </c>
      <c r="HY171" s="2"/>
      <c r="HZ171" s="6"/>
      <c r="IA171" s="4"/>
      <c r="IB171" s="8"/>
      <c r="IC171" s="5" t="str">
        <f t="shared" si="528"/>
        <v>NO APLICA</v>
      </c>
      <c r="ID171" s="2"/>
      <c r="IE171" s="6"/>
      <c r="IF171" s="4"/>
      <c r="IG171" s="8"/>
      <c r="IH171" s="5" t="str">
        <f t="shared" si="529"/>
        <v>NO APLICA</v>
      </c>
      <c r="II171" s="6"/>
      <c r="IJ171" s="6"/>
      <c r="IK171" s="4"/>
      <c r="IL171" s="8"/>
      <c r="IM171" s="5" t="str">
        <f t="shared" si="530"/>
        <v>NO APLICA</v>
      </c>
      <c r="IN171" s="2"/>
      <c r="IO171" s="6"/>
      <c r="IP171" s="4"/>
      <c r="IQ171" s="8"/>
      <c r="IR171" s="5" t="str">
        <f t="shared" si="531"/>
        <v>NO APLICA</v>
      </c>
      <c r="IS171" s="2"/>
      <c r="IT171" s="6"/>
      <c r="IU171" s="4"/>
      <c r="IV171" s="8"/>
      <c r="IW171" s="5" t="str">
        <f t="shared" si="532"/>
        <v>NO APLICA</v>
      </c>
      <c r="IX171" s="2"/>
      <c r="IY171" s="6"/>
      <c r="IZ171" s="4"/>
      <c r="JA171" s="8"/>
      <c r="JB171" s="5" t="str">
        <f t="shared" si="533"/>
        <v>NO APLICA</v>
      </c>
      <c r="JC171" s="3" t="s">
        <v>780</v>
      </c>
      <c r="JD171" s="3"/>
      <c r="JE171" s="4"/>
      <c r="JF171" s="8"/>
      <c r="JG171" s="5"/>
      <c r="JH171" s="3" t="s">
        <v>780</v>
      </c>
      <c r="JI171" s="6"/>
      <c r="JJ171" s="6"/>
      <c r="JK171" s="6"/>
      <c r="JL171" s="5"/>
      <c r="JM171" s="6" t="s">
        <v>780</v>
      </c>
      <c r="JN171" s="6"/>
      <c r="JO171" s="6"/>
      <c r="JP171" s="6"/>
      <c r="JQ171" s="5"/>
      <c r="JR171" s="6" t="s">
        <v>780</v>
      </c>
      <c r="JS171" s="6"/>
      <c r="JT171" s="6"/>
      <c r="JU171" s="6"/>
      <c r="JV171" s="5"/>
      <c r="JW171" s="6" t="s">
        <v>780</v>
      </c>
      <c r="JX171" s="5"/>
      <c r="JY171" s="5"/>
      <c r="JZ171" s="5"/>
      <c r="KA171" s="5"/>
      <c r="KB171" s="5"/>
      <c r="KC171" s="2"/>
      <c r="KD171" s="4"/>
      <c r="KE171" s="8"/>
      <c r="KF171" s="5" t="str">
        <f t="shared" si="534"/>
        <v>NO APLICA</v>
      </c>
      <c r="KG171" s="5"/>
      <c r="KH171" s="2"/>
      <c r="KI171" s="4"/>
      <c r="KJ171" s="8"/>
      <c r="KK171" s="5" t="str">
        <f t="shared" si="559"/>
        <v>NO APLICA</v>
      </c>
      <c r="KL171" s="5"/>
      <c r="KM171" s="2"/>
      <c r="KN171" s="4"/>
      <c r="KO171" s="8"/>
      <c r="KP171" s="5" t="str">
        <f t="shared" si="535"/>
        <v>NO APLICA</v>
      </c>
      <c r="KQ171" s="5"/>
      <c r="KR171" s="2"/>
      <c r="KS171" s="4"/>
      <c r="KT171" s="8"/>
      <c r="KU171" s="5" t="str">
        <f t="shared" si="560"/>
        <v>NO APLICA</v>
      </c>
      <c r="KV171" s="2"/>
      <c r="KW171" s="6"/>
      <c r="KX171" s="4"/>
      <c r="KY171" s="8"/>
      <c r="KZ171" s="5" t="str">
        <f t="shared" si="565"/>
        <v>NO APLICA</v>
      </c>
      <c r="LA171" s="5"/>
      <c r="LB171" s="6"/>
      <c r="LC171" s="4"/>
      <c r="LD171" s="8"/>
      <c r="LE171" s="5" t="str">
        <f t="shared" si="561"/>
        <v>NO APLICA</v>
      </c>
      <c r="LF171" s="6"/>
      <c r="LG171" s="6"/>
      <c r="LH171" s="4"/>
      <c r="LI171" s="8"/>
      <c r="LJ171" s="5" t="str">
        <f t="shared" si="600"/>
        <v>NO APLICA</v>
      </c>
      <c r="LK171" s="5"/>
      <c r="LL171" s="5"/>
      <c r="LM171" s="4"/>
      <c r="LN171" s="8"/>
      <c r="LO171" s="5" t="str">
        <f t="shared" si="566"/>
        <v>NO APLICA</v>
      </c>
      <c r="LP171" s="2"/>
      <c r="LQ171" s="6"/>
      <c r="LR171" s="4"/>
      <c r="LS171" s="8"/>
      <c r="LT171" s="5" t="str">
        <f t="shared" si="562"/>
        <v>NO APLICA</v>
      </c>
      <c r="LU171" s="6"/>
      <c r="LV171" s="6"/>
      <c r="LW171" s="4"/>
      <c r="LX171" s="8"/>
      <c r="LY171" s="5" t="str">
        <f t="shared" si="563"/>
        <v>NO APLICA</v>
      </c>
      <c r="LZ171" s="6"/>
      <c r="MA171" s="6"/>
      <c r="MB171" s="4"/>
      <c r="MC171" s="8"/>
      <c r="MD171" s="5" t="str">
        <f t="shared" si="564"/>
        <v>NO APLICA</v>
      </c>
      <c r="ME171" s="2"/>
      <c r="MF171" s="2"/>
      <c r="MG171" s="4"/>
      <c r="MH171" s="8"/>
      <c r="MI171" s="5" t="str">
        <f t="shared" si="537"/>
        <v>NO APLICA</v>
      </c>
      <c r="MJ171" s="2"/>
      <c r="MK171" s="2"/>
      <c r="ML171" s="4"/>
      <c r="MM171" s="8"/>
      <c r="MN171" s="5" t="str">
        <f t="shared" si="538"/>
        <v>NO APLICA</v>
      </c>
      <c r="MO171" s="5"/>
      <c r="MP171" s="2"/>
      <c r="MQ171" s="4"/>
      <c r="MR171" s="8"/>
      <c r="MS171" s="5" t="str">
        <f t="shared" si="539"/>
        <v>NO APLICA</v>
      </c>
      <c r="MT171" s="5"/>
      <c r="MU171" s="2"/>
      <c r="MV171" s="4"/>
      <c r="MW171" s="2"/>
      <c r="MX171" s="5" t="str">
        <f t="shared" si="540"/>
        <v>NO APLICA</v>
      </c>
      <c r="MY171" s="2"/>
      <c r="MZ171" s="6"/>
      <c r="NA171" s="4"/>
      <c r="NB171" s="8"/>
      <c r="NC171" s="5" t="str">
        <f t="shared" si="541"/>
        <v>NO APLICA</v>
      </c>
      <c r="ND171" s="2"/>
      <c r="NE171" s="6"/>
      <c r="NF171" s="4"/>
      <c r="NG171" s="8"/>
      <c r="NH171" s="5" t="str">
        <f t="shared" si="542"/>
        <v>NO APLICA</v>
      </c>
      <c r="NI171" s="2"/>
      <c r="NJ171" s="6"/>
      <c r="NK171" s="4"/>
      <c r="NL171" s="8"/>
      <c r="NM171" s="5" t="str">
        <f t="shared" si="543"/>
        <v>NO APLICA</v>
      </c>
      <c r="NN171" s="2"/>
      <c r="NO171" s="2"/>
      <c r="NP171" s="4"/>
      <c r="NQ171" s="8"/>
      <c r="NR171" s="5" t="str">
        <f t="shared" si="544"/>
        <v>NO APLICA</v>
      </c>
      <c r="NS171" s="2"/>
      <c r="NT171" s="2"/>
      <c r="NU171" s="4"/>
      <c r="NV171" s="2"/>
      <c r="NW171" s="5" t="str">
        <f t="shared" si="545"/>
        <v>NO APLICA</v>
      </c>
      <c r="NX171" s="6"/>
      <c r="NY171" s="4"/>
      <c r="NZ171" s="4"/>
      <c r="OA171" s="8"/>
      <c r="OB171" s="5" t="str">
        <f t="shared" si="546"/>
        <v>NO APLICA</v>
      </c>
      <c r="OC171" s="6"/>
      <c r="OD171" s="6"/>
      <c r="OE171" s="6"/>
      <c r="OF171" s="6"/>
      <c r="OG171" s="5" t="str">
        <f t="shared" si="547"/>
        <v>NO APLICA</v>
      </c>
      <c r="OH171" s="2"/>
      <c r="OI171" s="2"/>
      <c r="OJ171" s="4"/>
      <c r="OK171" s="8"/>
      <c r="OL171" s="5" t="str">
        <f t="shared" si="548"/>
        <v>NO APLICA</v>
      </c>
      <c r="OM171" s="6"/>
      <c r="ON171" s="6"/>
      <c r="OO171" s="6"/>
      <c r="OP171" s="6"/>
      <c r="OQ171" s="5" t="str">
        <f t="shared" si="549"/>
        <v>NO APLICA</v>
      </c>
      <c r="OR171" s="6"/>
      <c r="OS171" s="6"/>
      <c r="OT171" s="6"/>
      <c r="OU171" s="6"/>
      <c r="OV171" s="5" t="str">
        <f t="shared" si="550"/>
        <v>NO APLICA</v>
      </c>
      <c r="OW171" s="6"/>
      <c r="OX171" s="6"/>
      <c r="OY171" s="6"/>
      <c r="OZ171" s="6"/>
      <c r="PA171" s="5" t="str">
        <f t="shared" si="551"/>
        <v>NO APLICA</v>
      </c>
      <c r="PB171" s="6"/>
      <c r="PC171" s="6"/>
      <c r="PD171" s="6"/>
      <c r="PE171" s="6"/>
      <c r="PF171" s="5" t="str">
        <f t="shared" si="552"/>
        <v>NO APLICA</v>
      </c>
      <c r="PG171" s="6"/>
      <c r="PH171" s="6"/>
      <c r="PI171" s="6"/>
      <c r="PJ171" s="6"/>
      <c r="PK171" s="5" t="str">
        <f t="shared" si="553"/>
        <v>NO APLICA</v>
      </c>
      <c r="PL171" s="5"/>
      <c r="PM171" s="6"/>
      <c r="PN171" s="4"/>
      <c r="PO171" s="8"/>
      <c r="PP171" s="5" t="str">
        <f t="shared" si="554"/>
        <v>NO APLICA</v>
      </c>
      <c r="PQ171" s="6"/>
      <c r="PR171" s="6"/>
      <c r="PS171" s="6"/>
      <c r="PT171" s="6"/>
      <c r="PU171" s="5" t="str">
        <f t="shared" si="555"/>
        <v>NO APLICA</v>
      </c>
      <c r="PV171" s="5"/>
      <c r="PW171" s="4">
        <v>46126</v>
      </c>
      <c r="PX171" s="4">
        <f>DATE(YEAR(PW171)+1,MONTH(PW171),DAY(PW171))</f>
        <v>46491</v>
      </c>
      <c r="PY171" s="8">
        <f ca="1">PX171-TODAY()</f>
        <v>346</v>
      </c>
      <c r="PZ171" s="5" t="str">
        <f t="shared" ca="1" si="556"/>
        <v>VIGENTE</v>
      </c>
    </row>
    <row r="172" spans="1:442" ht="15.6" hidden="1" thickTop="1" thickBot="1" x14ac:dyDescent="0.35">
      <c r="A172" s="26">
        <v>169</v>
      </c>
      <c r="B172" s="31">
        <v>1663</v>
      </c>
      <c r="C172" s="28" t="s">
        <v>547</v>
      </c>
      <c r="D172" s="29" t="s">
        <v>113</v>
      </c>
      <c r="E172" s="30" t="s">
        <v>174</v>
      </c>
      <c r="F172" s="5"/>
      <c r="G172" s="6"/>
      <c r="H172" s="4"/>
      <c r="I172" s="8"/>
      <c r="J172" s="5" t="str">
        <f t="shared" si="455"/>
        <v>NO APLICA</v>
      </c>
      <c r="K172" s="5"/>
      <c r="L172" s="6"/>
      <c r="M172" s="6"/>
      <c r="N172" s="8"/>
      <c r="O172" s="5" t="str">
        <f t="shared" si="456"/>
        <v>NO APLICA</v>
      </c>
      <c r="P172" s="6"/>
      <c r="Q172" s="6"/>
      <c r="R172" s="4"/>
      <c r="S172" s="8"/>
      <c r="T172" s="5" t="str">
        <f t="shared" si="557"/>
        <v>NO APLICA</v>
      </c>
      <c r="U172" s="5"/>
      <c r="V172" s="2" t="s">
        <v>548</v>
      </c>
      <c r="W172" s="4">
        <v>44944</v>
      </c>
      <c r="X172" s="4">
        <f t="shared" si="587"/>
        <v>46770</v>
      </c>
      <c r="Y172" s="8">
        <f t="shared" ca="1" si="588"/>
        <v>625</v>
      </c>
      <c r="Z172" s="5" t="str">
        <f t="shared" ca="1" si="412"/>
        <v>VIGENTE</v>
      </c>
      <c r="AA172" s="5"/>
      <c r="AB172" s="2"/>
      <c r="AC172" s="6"/>
      <c r="AD172" s="4"/>
      <c r="AE172" s="8"/>
      <c r="AF172" s="5" t="str">
        <f t="shared" si="457"/>
        <v>NO APLICA</v>
      </c>
      <c r="AG172" s="2"/>
      <c r="AH172" s="4">
        <v>45892</v>
      </c>
      <c r="AI172" s="4">
        <f>DATE(YEAR(AH172)+2,MONTH(AH172),DAY(AH172))</f>
        <v>46622</v>
      </c>
      <c r="AJ172" s="8">
        <f t="shared" ca="1" si="458"/>
        <v>477</v>
      </c>
      <c r="AK172" s="5" t="str">
        <f t="shared" ref="AK172:AK230" ca="1" si="602">IF(AJ172&gt;=91,"VIGENTE",IF(AJ172&gt;=1,"POR VENCER",IF(AJ172&lt;=-1,"VENCIDA",IF(AH172=0,"NO APLICA"))))</f>
        <v>VIGENTE</v>
      </c>
      <c r="AL172" s="3"/>
      <c r="AM172" s="4">
        <v>45980</v>
      </c>
      <c r="AN172" s="4">
        <f>DATE(YEAR(AM172)+2,MONTH(AM172),DAY(AM172))</f>
        <v>46710</v>
      </c>
      <c r="AO172" s="8">
        <f t="shared" ca="1" si="459"/>
        <v>565</v>
      </c>
      <c r="AP172" s="5" t="str">
        <f t="shared" ca="1" si="460"/>
        <v>VIGENTE</v>
      </c>
      <c r="AQ172" s="3"/>
      <c r="AR172" s="4">
        <v>45989</v>
      </c>
      <c r="AS172" s="4">
        <f>DATE(YEAR(AR172)+2,MONTH(AR172),DAY(AR172))</f>
        <v>46719</v>
      </c>
      <c r="AT172" s="8">
        <f t="shared" ca="1" si="461"/>
        <v>574</v>
      </c>
      <c r="AU172" s="5" t="str">
        <f t="shared" ca="1" si="462"/>
        <v>VIGENTE</v>
      </c>
      <c r="AV172" s="3"/>
      <c r="AW172" s="4">
        <v>45975</v>
      </c>
      <c r="AX172" s="4">
        <f>DATE(YEAR(AW172)+2,MONTH(AW172),DAY(AW172))</f>
        <v>46705</v>
      </c>
      <c r="AY172" s="8">
        <f t="shared" ca="1" si="463"/>
        <v>560</v>
      </c>
      <c r="AZ172" s="5" t="str">
        <f t="shared" ca="1" si="464"/>
        <v>VIGENTE</v>
      </c>
      <c r="BA172" s="3"/>
      <c r="BB172" s="4">
        <v>45943</v>
      </c>
      <c r="BC172" s="4">
        <f>DATE(YEAR(BB172)+2,MONTH(BB172),DAY(BB172))</f>
        <v>46673</v>
      </c>
      <c r="BD172" s="8">
        <f t="shared" ca="1" si="465"/>
        <v>528</v>
      </c>
      <c r="BE172" s="5" t="str">
        <f t="shared" ca="1" si="466"/>
        <v>VIGENTE</v>
      </c>
      <c r="BF172" s="2"/>
      <c r="BG172" s="4">
        <v>45997</v>
      </c>
      <c r="BH172" s="4">
        <f>DATE(YEAR(BG172)+2,MONTH(BG172),DAY(BG172))</f>
        <v>46727</v>
      </c>
      <c r="BI172" s="8">
        <f t="shared" ca="1" si="467"/>
        <v>582</v>
      </c>
      <c r="BJ172" s="5" t="str">
        <f t="shared" ca="1" si="468"/>
        <v>VIGENTE</v>
      </c>
      <c r="BK172" s="3"/>
      <c r="BL172" s="4">
        <v>45976</v>
      </c>
      <c r="BM172" s="4">
        <f>DATE(YEAR(BL172)+2,MONTH(BL172),DAY(BL172))</f>
        <v>46706</v>
      </c>
      <c r="BN172" s="8">
        <f t="shared" ca="1" si="469"/>
        <v>561</v>
      </c>
      <c r="BO172" s="5" t="str">
        <f t="shared" ca="1" si="470"/>
        <v>VIGENTE</v>
      </c>
      <c r="BP172" s="3"/>
      <c r="BQ172" s="39">
        <v>45988</v>
      </c>
      <c r="BR172" s="4">
        <f>DATE(YEAR(BQ172)+2,MONTH(BQ172),DAY(BQ172))</f>
        <v>46718</v>
      </c>
      <c r="BS172" s="8">
        <f t="shared" ca="1" si="471"/>
        <v>573</v>
      </c>
      <c r="BT172" s="5" t="str">
        <f t="shared" ca="1" si="472"/>
        <v>VIGENTE</v>
      </c>
      <c r="BU172" s="3"/>
      <c r="BV172" s="4">
        <v>45961</v>
      </c>
      <c r="BW172" s="4">
        <f>DATE(YEAR(BV172)+2,MONTH(BV172),DAY(BV172)-1)</f>
        <v>46690</v>
      </c>
      <c r="BX172" s="8">
        <f t="shared" ca="1" si="473"/>
        <v>545</v>
      </c>
      <c r="BY172" s="5" t="str">
        <f t="shared" ca="1" si="474"/>
        <v>VIGENTE</v>
      </c>
      <c r="BZ172" s="2"/>
      <c r="CA172" s="4">
        <v>45944</v>
      </c>
      <c r="CB172" s="4">
        <f>DATE(YEAR(CA172)+2,MONTH(CA172),DAY(CA172))</f>
        <v>46674</v>
      </c>
      <c r="CC172" s="8">
        <f t="shared" ca="1" si="475"/>
        <v>529</v>
      </c>
      <c r="CD172" s="5" t="str">
        <f t="shared" ca="1" si="476"/>
        <v>VIGENTE</v>
      </c>
      <c r="CE172" s="6"/>
      <c r="CF172" s="4">
        <v>45828</v>
      </c>
      <c r="CG172" s="4">
        <f t="shared" si="590"/>
        <v>47289</v>
      </c>
      <c r="CH172" s="8">
        <f t="shared" ca="1" si="591"/>
        <v>1144</v>
      </c>
      <c r="CI172" s="5" t="str">
        <f t="shared" ca="1" si="573"/>
        <v>VIGENTE</v>
      </c>
      <c r="CJ172" s="6"/>
      <c r="CK172" s="4">
        <v>45929</v>
      </c>
      <c r="CL172" s="4">
        <f>DATE(YEAR(CK172)+2,MONTH(CK172),DAY(CK172))</f>
        <v>46659</v>
      </c>
      <c r="CM172" s="8">
        <f t="shared" ca="1" si="477"/>
        <v>514</v>
      </c>
      <c r="CN172" s="5" t="str">
        <f t="shared" ca="1" si="478"/>
        <v>VIGENTE</v>
      </c>
      <c r="CO172" s="3"/>
      <c r="CP172" s="39">
        <v>45994</v>
      </c>
      <c r="CQ172" s="4">
        <f>DATE(YEAR(CP172)+2,MONTH(CP172),DAY(CP172))</f>
        <v>46724</v>
      </c>
      <c r="CR172" s="8">
        <f t="shared" ca="1" si="479"/>
        <v>579</v>
      </c>
      <c r="CS172" s="5" t="str">
        <f t="shared" ca="1" si="480"/>
        <v>VIGENTE</v>
      </c>
      <c r="CT172" s="3"/>
      <c r="CU172" s="4">
        <v>45965</v>
      </c>
      <c r="CV172" s="4">
        <f>DATE(YEAR(CU172)+2,MONTH(CU172),DAY(CU172))</f>
        <v>46695</v>
      </c>
      <c r="CW172" s="8">
        <f t="shared" ca="1" si="481"/>
        <v>550</v>
      </c>
      <c r="CX172" s="5" t="str">
        <f t="shared" ca="1" si="482"/>
        <v>VIGENTE</v>
      </c>
      <c r="CY172" s="3"/>
      <c r="CZ172" s="4">
        <v>45924</v>
      </c>
      <c r="DA172" s="4">
        <f>DATE(YEAR(CZ172)+2,MONTH(CZ172),DAY(CZ172))</f>
        <v>46654</v>
      </c>
      <c r="DB172" s="8">
        <f t="shared" ca="1" si="483"/>
        <v>509</v>
      </c>
      <c r="DC172" s="5" t="str">
        <f t="shared" ca="1" si="484"/>
        <v>VIGENTE</v>
      </c>
      <c r="DD172" s="3"/>
      <c r="DE172" s="39">
        <v>45996</v>
      </c>
      <c r="DF172" s="4">
        <f>DATE(YEAR(DE172)+2,MONTH(DE172),DAY(DE172))</f>
        <v>46726</v>
      </c>
      <c r="DG172" s="8">
        <f t="shared" ca="1" si="485"/>
        <v>581</v>
      </c>
      <c r="DH172" s="5" t="str">
        <f t="shared" ca="1" si="486"/>
        <v>VIGENTE</v>
      </c>
      <c r="DI172" s="3"/>
      <c r="DJ172" s="39">
        <v>45899</v>
      </c>
      <c r="DK172" s="4">
        <f>DATE(YEAR(DJ172)+2,MONTH(DJ172),DAY(DJ172))</f>
        <v>46629</v>
      </c>
      <c r="DL172" s="8">
        <f t="shared" ca="1" si="487"/>
        <v>484</v>
      </c>
      <c r="DM172" s="5" t="str">
        <f t="shared" ca="1" si="488"/>
        <v>VIGENTE</v>
      </c>
      <c r="DN172" s="3"/>
      <c r="DO172" s="4">
        <v>45982</v>
      </c>
      <c r="DP172" s="4">
        <f>DATE(YEAR(DO172)+2,MONTH(DO172),DAY(DO172))</f>
        <v>46712</v>
      </c>
      <c r="DQ172" s="8">
        <f t="shared" ca="1" si="489"/>
        <v>567</v>
      </c>
      <c r="DR172" s="5" t="str">
        <f t="shared" ca="1" si="490"/>
        <v>VIGENTE</v>
      </c>
      <c r="DS172" s="3"/>
      <c r="DT172" s="4">
        <v>45885</v>
      </c>
      <c r="DU172" s="4">
        <f>DATE(YEAR(DT172)+2,MONTH(DT172),DAY(DT172))</f>
        <v>46615</v>
      </c>
      <c r="DV172" s="8">
        <f t="shared" ca="1" si="491"/>
        <v>470</v>
      </c>
      <c r="DW172" s="5" t="str">
        <f t="shared" ca="1" si="492"/>
        <v>VIGENTE</v>
      </c>
      <c r="DX172" s="3"/>
      <c r="DY172" s="4">
        <v>45915</v>
      </c>
      <c r="DZ172" s="4">
        <f>DATE(YEAR(DY172)+2,MONTH(DY172),DAY(DY172))</f>
        <v>46645</v>
      </c>
      <c r="EA172" s="8">
        <f t="shared" ca="1" si="493"/>
        <v>500</v>
      </c>
      <c r="EB172" s="5" t="str">
        <f t="shared" ca="1" si="494"/>
        <v>VIGENTE</v>
      </c>
      <c r="EC172" s="3"/>
      <c r="ED172" s="39">
        <v>45913</v>
      </c>
      <c r="EE172" s="4">
        <f>DATE(YEAR(ED172)+2,MONTH(ED172),DAY(ED172))</f>
        <v>46643</v>
      </c>
      <c r="EF172" s="8">
        <f t="shared" ca="1" si="495"/>
        <v>498</v>
      </c>
      <c r="EG172" s="5" t="str">
        <f t="shared" ca="1" si="496"/>
        <v>VIGENTE</v>
      </c>
      <c r="EH172" s="3"/>
      <c r="EI172" s="3">
        <v>45911</v>
      </c>
      <c r="EJ172" s="4">
        <f t="shared" si="558"/>
        <v>46276</v>
      </c>
      <c r="EK172" s="8">
        <f t="shared" ca="1" si="497"/>
        <v>131</v>
      </c>
      <c r="EL172" s="5" t="str">
        <f t="shared" ca="1" si="498"/>
        <v>VIGENTE</v>
      </c>
      <c r="EM172" s="3"/>
      <c r="EN172" s="4">
        <v>45840</v>
      </c>
      <c r="EO172" s="4">
        <f>DATE(YEAR(EN172)+2,MONTH(EN172),DAY(EN172))</f>
        <v>46570</v>
      </c>
      <c r="EP172" s="8">
        <f t="shared" ca="1" si="499"/>
        <v>425</v>
      </c>
      <c r="EQ172" s="5" t="str">
        <f t="shared" ca="1" si="500"/>
        <v>VIGENTE</v>
      </c>
      <c r="ER172" s="2"/>
      <c r="ES172" s="39">
        <v>45922</v>
      </c>
      <c r="ET172" s="4">
        <f>DATE(YEAR(ES172)+2,MONTH(ES172),DAY(ES172))</f>
        <v>46652</v>
      </c>
      <c r="EU172" s="8">
        <f t="shared" ca="1" si="501"/>
        <v>507</v>
      </c>
      <c r="EV172" s="5" t="str">
        <f t="shared" ca="1" si="502"/>
        <v>VIGENTE</v>
      </c>
      <c r="EW172" s="2"/>
      <c r="EX172" s="4">
        <v>45917</v>
      </c>
      <c r="EY172" s="4">
        <f>DATE(YEAR(EX172)+2,MONTH(EX172),DAY(EX172))</f>
        <v>46647</v>
      </c>
      <c r="EZ172" s="8">
        <f t="shared" ca="1" si="503"/>
        <v>502</v>
      </c>
      <c r="FA172" s="5" t="str">
        <f t="shared" ca="1" si="504"/>
        <v>VIGENTE</v>
      </c>
      <c r="FB172" s="2"/>
      <c r="FC172" s="4">
        <v>45931</v>
      </c>
      <c r="FD172" s="4">
        <f>DATE(YEAR(FC172)+2,MONTH(FC172),DAY(FC172))</f>
        <v>46661</v>
      </c>
      <c r="FE172" s="8">
        <f t="shared" ca="1" si="505"/>
        <v>516</v>
      </c>
      <c r="FF172" s="5" t="str">
        <f t="shared" ca="1" si="506"/>
        <v>VIGENTE</v>
      </c>
      <c r="FG172" s="2"/>
      <c r="FH172" s="4">
        <v>45932</v>
      </c>
      <c r="FI172" s="4">
        <f>DATE(YEAR(FH172)+2,MONTH(FH172),DAY(FH172))</f>
        <v>46662</v>
      </c>
      <c r="FJ172" s="8">
        <f t="shared" ca="1" si="507"/>
        <v>517</v>
      </c>
      <c r="FK172" s="5" t="str">
        <f t="shared" ca="1" si="508"/>
        <v>VIGENTE</v>
      </c>
      <c r="FL172" s="3"/>
      <c r="FM172" s="39">
        <v>45933</v>
      </c>
      <c r="FN172" s="4">
        <f>DATE(YEAR(FM172)+2,MONTH(FM172),DAY(FM172))</f>
        <v>46663</v>
      </c>
      <c r="FO172" s="8">
        <f t="shared" ca="1" si="509"/>
        <v>518</v>
      </c>
      <c r="FP172" s="5" t="str">
        <f t="shared" ca="1" si="510"/>
        <v>VIGENTE</v>
      </c>
      <c r="FQ172" s="3"/>
      <c r="FR172" s="39">
        <v>45957</v>
      </c>
      <c r="FS172" s="4">
        <f>DATE(YEAR(FR172)+2,MONTH(FR172),DAY(FR172))</f>
        <v>46687</v>
      </c>
      <c r="FT172" s="8">
        <f t="shared" ca="1" si="511"/>
        <v>542</v>
      </c>
      <c r="FU172" s="5" t="str">
        <f t="shared" ca="1" si="512"/>
        <v>VIGENTE</v>
      </c>
      <c r="FV172" s="3"/>
      <c r="FW172" s="4">
        <v>45941</v>
      </c>
      <c r="FX172" s="4">
        <f>DATE(YEAR(FW172)+2,MONTH(FW172),DAY(FW172))</f>
        <v>46671</v>
      </c>
      <c r="FY172" s="8">
        <f t="shared" ca="1" si="513"/>
        <v>526</v>
      </c>
      <c r="FZ172" s="5" t="str">
        <f t="shared" ca="1" si="514"/>
        <v>VIGENTE</v>
      </c>
      <c r="GA172" s="3"/>
      <c r="GB172" s="4">
        <v>45874</v>
      </c>
      <c r="GC172" s="4">
        <f>DATE(YEAR(GB172)+2,MONTH(GB172),DAY(GB172))</f>
        <v>46604</v>
      </c>
      <c r="GD172" s="8">
        <f t="shared" ca="1" si="515"/>
        <v>459</v>
      </c>
      <c r="GE172" s="5" t="str">
        <f t="shared" ca="1" si="516"/>
        <v>VIGENTE</v>
      </c>
      <c r="GF172" s="3"/>
      <c r="GG172" s="4">
        <v>45912</v>
      </c>
      <c r="GH172" s="4">
        <f>DATE(YEAR(GG172)+2,MONTH(GG172),DAY(GG172))</f>
        <v>46642</v>
      </c>
      <c r="GI172" s="8">
        <f t="shared" ca="1" si="517"/>
        <v>497</v>
      </c>
      <c r="GJ172" s="5" t="str">
        <f t="shared" ca="1" si="518"/>
        <v>VIGENTE</v>
      </c>
      <c r="GK172" s="3"/>
      <c r="GL172" s="4">
        <v>45945</v>
      </c>
      <c r="GM172" s="4">
        <f>DATE(YEAR(GL172)+2,MONTH(GL172),DAY(GL172))</f>
        <v>46675</v>
      </c>
      <c r="GN172" s="8">
        <f t="shared" ca="1" si="519"/>
        <v>530</v>
      </c>
      <c r="GO172" s="5" t="str">
        <f t="shared" ca="1" si="520"/>
        <v>VIGENTE</v>
      </c>
      <c r="GP172" s="4"/>
      <c r="GQ172" s="4">
        <v>45299</v>
      </c>
      <c r="GR172" s="4">
        <f t="shared" si="521"/>
        <v>47126</v>
      </c>
      <c r="GS172" s="8">
        <f t="shared" ca="1" si="601"/>
        <v>981</v>
      </c>
      <c r="GT172" s="5" t="str">
        <f t="shared" ca="1" si="419"/>
        <v>VIGENTE</v>
      </c>
      <c r="GU172" s="3"/>
      <c r="GV172" s="4">
        <v>45329</v>
      </c>
      <c r="GW172" s="4">
        <f t="shared" si="522"/>
        <v>47156</v>
      </c>
      <c r="GX172" s="8">
        <f t="shared" ca="1" si="523"/>
        <v>1011</v>
      </c>
      <c r="GY172" s="5" t="str">
        <f t="shared" ca="1" si="426"/>
        <v>VIGENTE</v>
      </c>
      <c r="GZ172" s="2"/>
      <c r="HA172" s="4">
        <v>45268</v>
      </c>
      <c r="HB172" s="4">
        <f t="shared" si="524"/>
        <v>47095</v>
      </c>
      <c r="HC172" s="8">
        <f t="shared" ca="1" si="525"/>
        <v>950</v>
      </c>
      <c r="HD172" s="5" t="str">
        <f t="shared" ca="1" si="421"/>
        <v>VIGENTE</v>
      </c>
      <c r="HE172" s="6"/>
      <c r="HF172" s="6"/>
      <c r="HG172" s="4"/>
      <c r="HH172" s="8"/>
      <c r="HI172" s="5" t="str">
        <f t="shared" si="427"/>
        <v>NO APLICA</v>
      </c>
      <c r="HJ172" s="2"/>
      <c r="HK172" s="6"/>
      <c r="HL172" s="4"/>
      <c r="HM172" s="8"/>
      <c r="HN172" s="5" t="str">
        <f t="shared" si="444"/>
        <v>NO APLICA</v>
      </c>
      <c r="HO172" s="2"/>
      <c r="HP172" s="2"/>
      <c r="HQ172" s="4"/>
      <c r="HR172" s="2"/>
      <c r="HS172" s="5" t="str">
        <f t="shared" si="526"/>
        <v>NO APLICA</v>
      </c>
      <c r="HT172" s="2"/>
      <c r="HU172" s="6"/>
      <c r="HV172" s="4"/>
      <c r="HW172" s="8"/>
      <c r="HX172" s="5" t="str">
        <f t="shared" si="527"/>
        <v>NO APLICA</v>
      </c>
      <c r="HY172" s="2"/>
      <c r="HZ172" s="6"/>
      <c r="IA172" s="4"/>
      <c r="IB172" s="8"/>
      <c r="IC172" s="5" t="str">
        <f t="shared" si="528"/>
        <v>NO APLICA</v>
      </c>
      <c r="ID172" s="2"/>
      <c r="IE172" s="6"/>
      <c r="IF172" s="4"/>
      <c r="IG172" s="8"/>
      <c r="IH172" s="5" t="str">
        <f t="shared" si="529"/>
        <v>NO APLICA</v>
      </c>
      <c r="II172" s="6"/>
      <c r="IJ172" s="6"/>
      <c r="IK172" s="4"/>
      <c r="IL172" s="8"/>
      <c r="IM172" s="5" t="str">
        <f t="shared" si="530"/>
        <v>NO APLICA</v>
      </c>
      <c r="IN172" s="2"/>
      <c r="IO172" s="6"/>
      <c r="IP172" s="4"/>
      <c r="IQ172" s="8"/>
      <c r="IR172" s="5" t="str">
        <f t="shared" si="531"/>
        <v>NO APLICA</v>
      </c>
      <c r="IS172" s="2"/>
      <c r="IT172" s="6"/>
      <c r="IU172" s="4"/>
      <c r="IV172" s="8"/>
      <c r="IW172" s="5" t="str">
        <f t="shared" si="532"/>
        <v>NO APLICA</v>
      </c>
      <c r="IX172" s="2"/>
      <c r="IY172" s="6"/>
      <c r="IZ172" s="4"/>
      <c r="JA172" s="8"/>
      <c r="JB172" s="5" t="str">
        <f t="shared" si="533"/>
        <v>NO APLICA</v>
      </c>
      <c r="JC172" s="3" t="s">
        <v>780</v>
      </c>
      <c r="JD172" s="3"/>
      <c r="JE172" s="4"/>
      <c r="JF172" s="8"/>
      <c r="JG172" s="5"/>
      <c r="JH172" s="3" t="s">
        <v>780</v>
      </c>
      <c r="JI172" s="6"/>
      <c r="JJ172" s="6"/>
      <c r="JK172" s="6"/>
      <c r="JL172" s="5"/>
      <c r="JM172" s="6" t="s">
        <v>780</v>
      </c>
      <c r="JN172" s="6"/>
      <c r="JO172" s="6"/>
      <c r="JP172" s="6"/>
      <c r="JQ172" s="5"/>
      <c r="JR172" s="6" t="s">
        <v>780</v>
      </c>
      <c r="JS172" s="6"/>
      <c r="JT172" s="6"/>
      <c r="JU172" s="6"/>
      <c r="JV172" s="5"/>
      <c r="JW172" s="6" t="s">
        <v>780</v>
      </c>
      <c r="JX172" s="3"/>
      <c r="JY172" s="4"/>
      <c r="JZ172" s="8"/>
      <c r="KA172" s="5"/>
      <c r="KB172" s="5"/>
      <c r="KC172" s="2"/>
      <c r="KD172" s="4"/>
      <c r="KE172" s="8"/>
      <c r="KF172" s="5" t="str">
        <f t="shared" si="534"/>
        <v>NO APLICA</v>
      </c>
      <c r="KG172" s="5"/>
      <c r="KH172" s="2"/>
      <c r="KI172" s="4"/>
      <c r="KJ172" s="8"/>
      <c r="KK172" s="5" t="str">
        <f t="shared" si="559"/>
        <v>NO APLICA</v>
      </c>
      <c r="KL172" s="5"/>
      <c r="KM172" s="2"/>
      <c r="KN172" s="4"/>
      <c r="KO172" s="8"/>
      <c r="KP172" s="5" t="str">
        <f t="shared" si="535"/>
        <v>NO APLICA</v>
      </c>
      <c r="KQ172" s="5"/>
      <c r="KR172" s="2"/>
      <c r="KS172" s="4"/>
      <c r="KT172" s="8"/>
      <c r="KU172" s="5" t="str">
        <f t="shared" si="560"/>
        <v>NO APLICA</v>
      </c>
      <c r="KV172" s="2"/>
      <c r="KW172" s="6"/>
      <c r="KX172" s="4"/>
      <c r="KY172" s="8"/>
      <c r="KZ172" s="5" t="str">
        <f t="shared" si="565"/>
        <v>NO APLICA</v>
      </c>
      <c r="LA172" s="5"/>
      <c r="LB172" s="6"/>
      <c r="LC172" s="4"/>
      <c r="LD172" s="8"/>
      <c r="LE172" s="5" t="str">
        <f t="shared" si="561"/>
        <v>NO APLICA</v>
      </c>
      <c r="LF172" s="6"/>
      <c r="LG172" s="6"/>
      <c r="LH172" s="4"/>
      <c r="LI172" s="8"/>
      <c r="LJ172" s="5" t="str">
        <f t="shared" si="600"/>
        <v>NO APLICA</v>
      </c>
      <c r="LK172" s="5"/>
      <c r="LL172" s="5"/>
      <c r="LM172" s="4"/>
      <c r="LN172" s="8"/>
      <c r="LO172" s="5" t="str">
        <f t="shared" si="566"/>
        <v>NO APLICA</v>
      </c>
      <c r="LP172" s="2"/>
      <c r="LQ172" s="6"/>
      <c r="LR172" s="4"/>
      <c r="LS172" s="8"/>
      <c r="LT172" s="5" t="str">
        <f t="shared" si="562"/>
        <v>NO APLICA</v>
      </c>
      <c r="LU172" s="6"/>
      <c r="LV172" s="6"/>
      <c r="LW172" s="4"/>
      <c r="LX172" s="8"/>
      <c r="LY172" s="5" t="str">
        <f t="shared" si="563"/>
        <v>NO APLICA</v>
      </c>
      <c r="LZ172" s="6"/>
      <c r="MA172" s="6"/>
      <c r="MB172" s="4"/>
      <c r="MC172" s="8"/>
      <c r="MD172" s="5" t="str">
        <f t="shared" si="564"/>
        <v>NO APLICA</v>
      </c>
      <c r="ME172" s="2"/>
      <c r="MF172" s="2"/>
      <c r="MG172" s="4"/>
      <c r="MH172" s="8"/>
      <c r="MI172" s="5" t="str">
        <f t="shared" si="537"/>
        <v>NO APLICA</v>
      </c>
      <c r="MJ172" s="2"/>
      <c r="MK172" s="2"/>
      <c r="ML172" s="4"/>
      <c r="MM172" s="8"/>
      <c r="MN172" s="5" t="str">
        <f t="shared" si="538"/>
        <v>NO APLICA</v>
      </c>
      <c r="MO172" s="5"/>
      <c r="MP172" s="2"/>
      <c r="MQ172" s="4"/>
      <c r="MR172" s="8"/>
      <c r="MS172" s="5" t="str">
        <f t="shared" si="539"/>
        <v>NO APLICA</v>
      </c>
      <c r="MT172" s="5"/>
      <c r="MU172" s="2"/>
      <c r="MV172" s="4"/>
      <c r="MW172" s="2"/>
      <c r="MX172" s="5" t="str">
        <f t="shared" si="540"/>
        <v>NO APLICA</v>
      </c>
      <c r="MY172" s="2"/>
      <c r="MZ172" s="6"/>
      <c r="NA172" s="4"/>
      <c r="NB172" s="8"/>
      <c r="NC172" s="5" t="str">
        <f t="shared" si="541"/>
        <v>NO APLICA</v>
      </c>
      <c r="ND172" s="2"/>
      <c r="NE172" s="6"/>
      <c r="NF172" s="4"/>
      <c r="NG172" s="8"/>
      <c r="NH172" s="5" t="str">
        <f t="shared" si="542"/>
        <v>NO APLICA</v>
      </c>
      <c r="NI172" s="2"/>
      <c r="NJ172" s="6"/>
      <c r="NK172" s="4"/>
      <c r="NL172" s="8"/>
      <c r="NM172" s="5" t="str">
        <f t="shared" si="543"/>
        <v>NO APLICA</v>
      </c>
      <c r="NN172" s="2"/>
      <c r="NO172" s="2"/>
      <c r="NP172" s="4"/>
      <c r="NQ172" s="8"/>
      <c r="NR172" s="5" t="str">
        <f t="shared" si="544"/>
        <v>NO APLICA</v>
      </c>
      <c r="NS172" s="2"/>
      <c r="NT172" s="2"/>
      <c r="NU172" s="4"/>
      <c r="NV172" s="2"/>
      <c r="NW172" s="5" t="str">
        <f t="shared" si="545"/>
        <v>NO APLICA</v>
      </c>
      <c r="NX172" s="6"/>
      <c r="NY172" s="6"/>
      <c r="NZ172" s="4"/>
      <c r="OA172" s="8"/>
      <c r="OB172" s="5" t="str">
        <f t="shared" si="546"/>
        <v>NO APLICA</v>
      </c>
      <c r="OC172" s="6"/>
      <c r="OD172" s="6"/>
      <c r="OE172" s="6"/>
      <c r="OF172" s="6"/>
      <c r="OG172" s="5" t="str">
        <f t="shared" si="547"/>
        <v>NO APLICA</v>
      </c>
      <c r="OH172" s="2"/>
      <c r="OI172" s="2"/>
      <c r="OJ172" s="4"/>
      <c r="OK172" s="8"/>
      <c r="OL172" s="5" t="str">
        <f t="shared" si="548"/>
        <v>NO APLICA</v>
      </c>
      <c r="OM172" s="6"/>
      <c r="ON172" s="6"/>
      <c r="OO172" s="6"/>
      <c r="OP172" s="6"/>
      <c r="OQ172" s="5" t="str">
        <f t="shared" si="549"/>
        <v>NO APLICA</v>
      </c>
      <c r="OR172" s="6"/>
      <c r="OS172" s="6"/>
      <c r="OT172" s="6"/>
      <c r="OU172" s="6"/>
      <c r="OV172" s="5" t="str">
        <f t="shared" si="550"/>
        <v>NO APLICA</v>
      </c>
      <c r="OW172" s="6"/>
      <c r="OX172" s="6"/>
      <c r="OY172" s="6"/>
      <c r="OZ172" s="6"/>
      <c r="PA172" s="5" t="str">
        <f t="shared" si="551"/>
        <v>NO APLICA</v>
      </c>
      <c r="PB172" s="6"/>
      <c r="PC172" s="6"/>
      <c r="PD172" s="6"/>
      <c r="PE172" s="6"/>
      <c r="PF172" s="5" t="str">
        <f t="shared" si="552"/>
        <v>NO APLICA</v>
      </c>
      <c r="PG172" s="6"/>
      <c r="PH172" s="6"/>
      <c r="PI172" s="6"/>
      <c r="PJ172" s="6"/>
      <c r="PK172" s="5" t="str">
        <f t="shared" si="553"/>
        <v>NO APLICA</v>
      </c>
      <c r="PL172" s="5"/>
      <c r="PM172" s="6"/>
      <c r="PN172" s="4"/>
      <c r="PO172" s="8"/>
      <c r="PP172" s="5" t="str">
        <f t="shared" si="554"/>
        <v>NO APLICA</v>
      </c>
      <c r="PQ172" s="6"/>
      <c r="PR172" s="6"/>
      <c r="PS172" s="6"/>
      <c r="PT172" s="6"/>
      <c r="PU172" s="5" t="str">
        <f t="shared" si="555"/>
        <v>NO APLICA</v>
      </c>
      <c r="PV172" s="5"/>
      <c r="PW172" s="6"/>
      <c r="PX172" s="6"/>
      <c r="PY172" s="6"/>
      <c r="PZ172" s="5" t="str">
        <f t="shared" si="556"/>
        <v>NO APLICA</v>
      </c>
    </row>
    <row r="173" spans="1:442" ht="15.6" hidden="1" thickTop="1" thickBot="1" x14ac:dyDescent="0.35">
      <c r="A173" s="26">
        <v>170</v>
      </c>
      <c r="B173" s="27">
        <v>1050</v>
      </c>
      <c r="C173" s="28" t="s">
        <v>549</v>
      </c>
      <c r="D173" s="29" t="s">
        <v>64</v>
      </c>
      <c r="E173" s="30" t="s">
        <v>161</v>
      </c>
      <c r="F173" s="5"/>
      <c r="G173" s="6"/>
      <c r="H173" s="4"/>
      <c r="I173" s="8"/>
      <c r="J173" s="5" t="str">
        <f t="shared" si="455"/>
        <v>NO APLICA</v>
      </c>
      <c r="K173" s="3"/>
      <c r="L173" s="4">
        <v>46081</v>
      </c>
      <c r="M173" s="4">
        <f>DATE(YEAR(L173),MONTH(L173)+6,DAY(L173)-3)</f>
        <v>46259</v>
      </c>
      <c r="N173" s="8">
        <f ca="1">M173-TODAY()</f>
        <v>114</v>
      </c>
      <c r="O173" s="5" t="str">
        <f t="shared" ca="1" si="456"/>
        <v>VIGENTE</v>
      </c>
      <c r="P173" s="4"/>
      <c r="Q173" s="4">
        <v>45604</v>
      </c>
      <c r="R173" s="4">
        <f>DATE(YEAR(Q173)+2,MONTH(Q173),DAY(Q173)-1)</f>
        <v>46333</v>
      </c>
      <c r="S173" s="8">
        <f ca="1">R173-TODAY()</f>
        <v>188</v>
      </c>
      <c r="T173" s="5" t="str">
        <f t="shared" ca="1" si="557"/>
        <v>VIGENTE</v>
      </c>
      <c r="U173" s="5"/>
      <c r="V173" s="2" t="s">
        <v>550</v>
      </c>
      <c r="W173" s="4">
        <v>45078</v>
      </c>
      <c r="X173" s="4">
        <f t="shared" si="587"/>
        <v>46905</v>
      </c>
      <c r="Y173" s="8">
        <f t="shared" ca="1" si="588"/>
        <v>760</v>
      </c>
      <c r="Z173" s="5" t="str">
        <f t="shared" ca="1" si="412"/>
        <v>VIGENTE</v>
      </c>
      <c r="AA173" s="5"/>
      <c r="AB173" s="2" t="s">
        <v>551</v>
      </c>
      <c r="AC173" s="4">
        <v>45190</v>
      </c>
      <c r="AD173" s="4">
        <f>DATE(YEAR(AC173)+5,MONTH(AC173),DAY(AC173))</f>
        <v>47017</v>
      </c>
      <c r="AE173" s="8">
        <f ca="1">AD173-TODAY()</f>
        <v>872</v>
      </c>
      <c r="AF173" s="5" t="str">
        <f t="shared" ca="1" si="457"/>
        <v>VIGENTE</v>
      </c>
      <c r="AG173" s="3"/>
      <c r="AH173" s="4">
        <v>45936</v>
      </c>
      <c r="AI173" s="4">
        <f>DATE(YEAR(AH173)+2,MONTH(AH173),DAY(AH173))</f>
        <v>46666</v>
      </c>
      <c r="AJ173" s="8">
        <f t="shared" ca="1" si="458"/>
        <v>521</v>
      </c>
      <c r="AK173" s="5" t="str">
        <f t="shared" ca="1" si="602"/>
        <v>VIGENTE</v>
      </c>
      <c r="AL173" s="3"/>
      <c r="AM173" s="4">
        <v>45937</v>
      </c>
      <c r="AN173" s="4">
        <f>DATE(YEAR(AM173)+2,MONTH(AM173),DAY(AM173))</f>
        <v>46667</v>
      </c>
      <c r="AO173" s="8">
        <f t="shared" ca="1" si="459"/>
        <v>522</v>
      </c>
      <c r="AP173" s="5" t="str">
        <f t="shared" ca="1" si="460"/>
        <v>VIGENTE</v>
      </c>
      <c r="AQ173" s="3"/>
      <c r="AR173" s="4">
        <v>45989</v>
      </c>
      <c r="AS173" s="4">
        <f>DATE(YEAR(AR173)+2,MONTH(AR173),DAY(AR173))</f>
        <v>46719</v>
      </c>
      <c r="AT173" s="8">
        <f t="shared" ca="1" si="461"/>
        <v>574</v>
      </c>
      <c r="AU173" s="5" t="str">
        <f t="shared" ca="1" si="462"/>
        <v>VIGENTE</v>
      </c>
      <c r="AV173" s="3"/>
      <c r="AW173" s="4">
        <v>45972</v>
      </c>
      <c r="AX173" s="4">
        <f>DATE(YEAR(AW173)+2,MONTH(AW173),DAY(AW173))</f>
        <v>46702</v>
      </c>
      <c r="AY173" s="8">
        <f t="shared" ca="1" si="463"/>
        <v>557</v>
      </c>
      <c r="AZ173" s="5" t="str">
        <f t="shared" ca="1" si="464"/>
        <v>VIGENTE</v>
      </c>
      <c r="BA173" s="3"/>
      <c r="BB173" s="4">
        <v>46041</v>
      </c>
      <c r="BC173" s="4">
        <f>DATE(YEAR(BB173)+2,MONTH(BB173),DAY(BB173))</f>
        <v>46771</v>
      </c>
      <c r="BD173" s="8">
        <f t="shared" ca="1" si="465"/>
        <v>626</v>
      </c>
      <c r="BE173" s="5" t="str">
        <f t="shared" ca="1" si="466"/>
        <v>VIGENTE</v>
      </c>
      <c r="BF173" s="3"/>
      <c r="BG173" s="4">
        <v>46027</v>
      </c>
      <c r="BH173" s="4">
        <f>DATE(YEAR(BG173)+2,MONTH(BG173),DAY(BG173))</f>
        <v>46757</v>
      </c>
      <c r="BI173" s="8">
        <f t="shared" ca="1" si="467"/>
        <v>612</v>
      </c>
      <c r="BJ173" s="5" t="str">
        <f t="shared" ca="1" si="468"/>
        <v>VIGENTE</v>
      </c>
      <c r="BK173" s="3"/>
      <c r="BL173" s="4">
        <v>46035</v>
      </c>
      <c r="BM173" s="4">
        <f>DATE(YEAR(BL173)+2,MONTH(BL173),DAY(BL173))</f>
        <v>46765</v>
      </c>
      <c r="BN173" s="8">
        <f t="shared" ca="1" si="469"/>
        <v>620</v>
      </c>
      <c r="BO173" s="5" t="str">
        <f t="shared" ca="1" si="470"/>
        <v>VIGENTE</v>
      </c>
      <c r="BP173" s="3"/>
      <c r="BQ173" s="39">
        <v>46050</v>
      </c>
      <c r="BR173" s="4">
        <f>DATE(YEAR(BQ173)+2,MONTH(BQ173),DAY(BQ173))</f>
        <v>46780</v>
      </c>
      <c r="BS173" s="8">
        <f t="shared" ca="1" si="471"/>
        <v>635</v>
      </c>
      <c r="BT173" s="5" t="str">
        <f t="shared" ca="1" si="472"/>
        <v>VIGENTE</v>
      </c>
      <c r="BU173" s="3"/>
      <c r="BV173" s="4">
        <v>46063</v>
      </c>
      <c r="BW173" s="4">
        <f>DATE(YEAR(BV173)+2,MONTH(BV173),DAY(BV173))</f>
        <v>46793</v>
      </c>
      <c r="BX173" s="8">
        <f t="shared" ca="1" si="473"/>
        <v>648</v>
      </c>
      <c r="BY173" s="5" t="str">
        <f t="shared" ca="1" si="474"/>
        <v>VIGENTE</v>
      </c>
      <c r="BZ173" s="3"/>
      <c r="CA173" s="4">
        <v>45944</v>
      </c>
      <c r="CB173" s="4">
        <f>DATE(YEAR(CA173)+2,MONTH(CA173),DAY(CA173))</f>
        <v>46674</v>
      </c>
      <c r="CC173" s="8">
        <f t="shared" ca="1" si="475"/>
        <v>529</v>
      </c>
      <c r="CD173" s="5" t="str">
        <f t="shared" ca="1" si="476"/>
        <v>VIGENTE</v>
      </c>
      <c r="CE173" s="6"/>
      <c r="CF173" s="4">
        <v>45393</v>
      </c>
      <c r="CG173" s="4">
        <f t="shared" si="590"/>
        <v>46854</v>
      </c>
      <c r="CH173" s="8">
        <f t="shared" ca="1" si="591"/>
        <v>709</v>
      </c>
      <c r="CI173" s="5" t="str">
        <f t="shared" ca="1" si="573"/>
        <v>VIGENTE</v>
      </c>
      <c r="CJ173" s="6"/>
      <c r="CK173" s="4">
        <v>45724</v>
      </c>
      <c r="CL173" s="4">
        <f>DATE(YEAR(CK173)+2,MONTH(CK173),DAY(CK173)-1)</f>
        <v>46453</v>
      </c>
      <c r="CM173" s="8">
        <f t="shared" ca="1" si="477"/>
        <v>308</v>
      </c>
      <c r="CN173" s="5" t="str">
        <f t="shared" ca="1" si="478"/>
        <v>VIGENTE</v>
      </c>
      <c r="CO173" s="3"/>
      <c r="CP173" s="39">
        <v>45726</v>
      </c>
      <c r="CQ173" s="4">
        <f>DATE(YEAR(CP173)+2,MONTH(CP173),DAY(CP173)-1)</f>
        <v>46455</v>
      </c>
      <c r="CR173" s="8">
        <f t="shared" ca="1" si="479"/>
        <v>310</v>
      </c>
      <c r="CS173" s="5" t="str">
        <f t="shared" ca="1" si="480"/>
        <v>VIGENTE</v>
      </c>
      <c r="CT173" s="3"/>
      <c r="CU173" s="4">
        <v>45905</v>
      </c>
      <c r="CV173" s="4">
        <f>DATE(YEAR(CU173)+2,MONTH(CU173),DAY(CU173))</f>
        <v>46635</v>
      </c>
      <c r="CW173" s="8">
        <f t="shared" ca="1" si="481"/>
        <v>490</v>
      </c>
      <c r="CX173" s="5" t="str">
        <f t="shared" ca="1" si="482"/>
        <v>VIGENTE</v>
      </c>
      <c r="CY173" s="3"/>
      <c r="CZ173" s="4">
        <v>46000</v>
      </c>
      <c r="DA173" s="4">
        <f>DATE(YEAR(CZ173)+2,MONTH(CZ173),DAY(CZ173))</f>
        <v>46730</v>
      </c>
      <c r="DB173" s="8">
        <f t="shared" ca="1" si="483"/>
        <v>585</v>
      </c>
      <c r="DC173" s="5" t="str">
        <f t="shared" ca="1" si="484"/>
        <v>VIGENTE</v>
      </c>
      <c r="DD173" s="3"/>
      <c r="DE173" s="39">
        <v>45689</v>
      </c>
      <c r="DF173" s="4">
        <f>DATE(YEAR(DE173)+2,MONTH(DE173),DAY(DE173)-1)</f>
        <v>46418</v>
      </c>
      <c r="DG173" s="8">
        <f t="shared" ca="1" si="485"/>
        <v>273</v>
      </c>
      <c r="DH173" s="5" t="str">
        <f t="shared" ca="1" si="486"/>
        <v>VIGENTE</v>
      </c>
      <c r="DI173" s="3"/>
      <c r="DJ173" s="39">
        <v>45975</v>
      </c>
      <c r="DK173" s="4">
        <f>DATE(YEAR(DJ173)+2,MONTH(DJ173),DAY(DJ173))</f>
        <v>46705</v>
      </c>
      <c r="DL173" s="8">
        <f t="shared" ca="1" si="487"/>
        <v>560</v>
      </c>
      <c r="DM173" s="5" t="str">
        <f t="shared" ca="1" si="488"/>
        <v>VIGENTE</v>
      </c>
      <c r="DN173" s="3"/>
      <c r="DO173" s="4">
        <v>45982</v>
      </c>
      <c r="DP173" s="4">
        <f>DATE(YEAR(DO173)+2,MONTH(DO173),DAY(DO173))</f>
        <v>46712</v>
      </c>
      <c r="DQ173" s="8">
        <f t="shared" ca="1" si="489"/>
        <v>567</v>
      </c>
      <c r="DR173" s="5" t="str">
        <f t="shared" ca="1" si="490"/>
        <v>VIGENTE</v>
      </c>
      <c r="DS173" s="3"/>
      <c r="DT173" s="4">
        <v>46053</v>
      </c>
      <c r="DU173" s="4">
        <f>DATE(YEAR(DT173)+2,MONTH(DT173),DAY(DT173))</f>
        <v>46783</v>
      </c>
      <c r="DV173" s="8">
        <f t="shared" ca="1" si="491"/>
        <v>638</v>
      </c>
      <c r="DW173" s="5" t="str">
        <f t="shared" ca="1" si="492"/>
        <v>VIGENTE</v>
      </c>
      <c r="DX173" s="3"/>
      <c r="DY173" s="4">
        <v>45682</v>
      </c>
      <c r="DZ173" s="4">
        <f>DATE(YEAR(DY173)+2,MONTH(DY173),DAY(DY173)-1)</f>
        <v>46411</v>
      </c>
      <c r="EA173" s="8">
        <f t="shared" ca="1" si="493"/>
        <v>266</v>
      </c>
      <c r="EB173" s="5" t="str">
        <f t="shared" ca="1" si="494"/>
        <v>VIGENTE</v>
      </c>
      <c r="EC173" s="3"/>
      <c r="ED173" s="39">
        <v>45730</v>
      </c>
      <c r="EE173" s="4">
        <f>DATE(YEAR(ED173)+2,MONTH(ED173),DAY(ED173)-1)</f>
        <v>46459</v>
      </c>
      <c r="EF173" s="8">
        <f t="shared" ca="1" si="495"/>
        <v>314</v>
      </c>
      <c r="EG173" s="5" t="str">
        <f t="shared" ca="1" si="496"/>
        <v>VIGENTE</v>
      </c>
      <c r="EH173" s="3"/>
      <c r="EI173" s="3">
        <v>46015</v>
      </c>
      <c r="EJ173" s="4">
        <f t="shared" si="558"/>
        <v>46380</v>
      </c>
      <c r="EK173" s="8">
        <f t="shared" ca="1" si="497"/>
        <v>235</v>
      </c>
      <c r="EL173" s="5" t="str">
        <f t="shared" ca="1" si="498"/>
        <v>VIGENTE</v>
      </c>
      <c r="EM173" s="3"/>
      <c r="EN173" s="4">
        <v>45671</v>
      </c>
      <c r="EO173" s="4">
        <f>DATE(YEAR(EN173)+2,MONTH(EN173),DAY(EN173)-1)</f>
        <v>46400</v>
      </c>
      <c r="EP173" s="8">
        <f t="shared" ca="1" si="499"/>
        <v>255</v>
      </c>
      <c r="EQ173" s="5" t="str">
        <f t="shared" ca="1" si="500"/>
        <v>VIGENTE</v>
      </c>
      <c r="ER173" s="3"/>
      <c r="ES173" s="39">
        <v>46094</v>
      </c>
      <c r="ET173" s="4">
        <f>DATE(YEAR(ES173)+2,MONTH(ES173),DAY(ES173))</f>
        <v>46825</v>
      </c>
      <c r="EU173" s="8">
        <f t="shared" ca="1" si="501"/>
        <v>680</v>
      </c>
      <c r="EV173" s="5" t="str">
        <f t="shared" ca="1" si="502"/>
        <v>VIGENTE</v>
      </c>
      <c r="EW173" s="3"/>
      <c r="EX173" s="4">
        <v>45917</v>
      </c>
      <c r="EY173" s="4">
        <f>DATE(YEAR(EX173)+2,MONTH(EX173),DAY(EX173))</f>
        <v>46647</v>
      </c>
      <c r="EZ173" s="8">
        <f t="shared" ca="1" si="503"/>
        <v>502</v>
      </c>
      <c r="FA173" s="5" t="str">
        <f t="shared" ca="1" si="504"/>
        <v>VIGENTE</v>
      </c>
      <c r="FB173" s="3"/>
      <c r="FC173" s="4">
        <v>45931</v>
      </c>
      <c r="FD173" s="4">
        <f>DATE(YEAR(FC173)+2,MONTH(FC173),DAY(FC173))</f>
        <v>46661</v>
      </c>
      <c r="FE173" s="8">
        <f t="shared" ca="1" si="505"/>
        <v>516</v>
      </c>
      <c r="FF173" s="5" t="str">
        <f t="shared" ca="1" si="506"/>
        <v>VIGENTE</v>
      </c>
      <c r="FG173" s="3"/>
      <c r="FH173" s="4">
        <v>45919</v>
      </c>
      <c r="FI173" s="4">
        <f>DATE(YEAR(FH173)+2,MONTH(FH173),DAY(FH173))</f>
        <v>46649</v>
      </c>
      <c r="FJ173" s="8">
        <f t="shared" ca="1" si="507"/>
        <v>504</v>
      </c>
      <c r="FK173" s="5" t="str">
        <f t="shared" ca="1" si="508"/>
        <v>VIGENTE</v>
      </c>
      <c r="FL173" s="3"/>
      <c r="FM173" s="39">
        <v>45719</v>
      </c>
      <c r="FN173" s="4">
        <f>DATE(YEAR(FM173)+2,MONTH(FM173),DAY(FM173)-1)</f>
        <v>46448</v>
      </c>
      <c r="FO173" s="8">
        <f t="shared" ca="1" si="509"/>
        <v>303</v>
      </c>
      <c r="FP173" s="5" t="str">
        <f t="shared" ca="1" si="510"/>
        <v>VIGENTE</v>
      </c>
      <c r="FQ173" s="3"/>
      <c r="FR173" s="39">
        <v>45678</v>
      </c>
      <c r="FS173" s="4">
        <f>DATE(YEAR(FR173)+2,MONTH(FR173),DAY(FR173)-1)</f>
        <v>46407</v>
      </c>
      <c r="FT173" s="8">
        <f t="shared" ca="1" si="511"/>
        <v>262</v>
      </c>
      <c r="FU173" s="5" t="str">
        <f t="shared" ca="1" si="512"/>
        <v>VIGENTE</v>
      </c>
      <c r="FV173" s="3"/>
      <c r="FW173" s="4">
        <v>45961</v>
      </c>
      <c r="FX173" s="4">
        <f>DATE(YEAR(FW173)+2,MONTH(FW173),DAY(FW173))</f>
        <v>46691</v>
      </c>
      <c r="FY173" s="8">
        <f t="shared" ca="1" si="513"/>
        <v>546</v>
      </c>
      <c r="FZ173" s="5" t="str">
        <f t="shared" ca="1" si="514"/>
        <v>VIGENTE</v>
      </c>
      <c r="GA173" s="3"/>
      <c r="GB173" s="4">
        <v>46030</v>
      </c>
      <c r="GC173" s="4">
        <f>DATE(YEAR(GB173)+2,MONTH(GB173),DAY(GB173))</f>
        <v>46760</v>
      </c>
      <c r="GD173" s="8">
        <f t="shared" ca="1" si="515"/>
        <v>615</v>
      </c>
      <c r="GE173" s="5" t="str">
        <f t="shared" ca="1" si="516"/>
        <v>VIGENTE</v>
      </c>
      <c r="GF173" s="3"/>
      <c r="GG173" s="4">
        <v>45731</v>
      </c>
      <c r="GH173" s="4">
        <f>DATE(YEAR(GG173)+2,MONTH(GG173),DAY(GG173)-1)</f>
        <v>46460</v>
      </c>
      <c r="GI173" s="8">
        <f t="shared" ca="1" si="517"/>
        <v>315</v>
      </c>
      <c r="GJ173" s="5" t="str">
        <f t="shared" ca="1" si="518"/>
        <v>VIGENTE</v>
      </c>
      <c r="GK173" s="3"/>
      <c r="GL173" s="4">
        <v>45945</v>
      </c>
      <c r="GM173" s="4">
        <f>DATE(YEAR(GL173)+2,MONTH(GL173),DAY(GL173))</f>
        <v>46675</v>
      </c>
      <c r="GN173" s="8">
        <f t="shared" ca="1" si="519"/>
        <v>530</v>
      </c>
      <c r="GO173" s="5" t="str">
        <f t="shared" ca="1" si="520"/>
        <v>VIGENTE</v>
      </c>
      <c r="GP173" s="4"/>
      <c r="GQ173" s="4">
        <v>45459</v>
      </c>
      <c r="GR173" s="4">
        <f t="shared" si="521"/>
        <v>47285</v>
      </c>
      <c r="GS173" s="8">
        <f t="shared" ca="1" si="601"/>
        <v>1140</v>
      </c>
      <c r="GT173" s="5" t="str">
        <f t="shared" ca="1" si="419"/>
        <v>VIGENTE</v>
      </c>
      <c r="GU173" s="3"/>
      <c r="GV173" s="4">
        <v>45478</v>
      </c>
      <c r="GW173" s="4">
        <f t="shared" si="522"/>
        <v>47304</v>
      </c>
      <c r="GX173" s="8">
        <f t="shared" ca="1" si="523"/>
        <v>1159</v>
      </c>
      <c r="GY173" s="5" t="str">
        <f t="shared" ca="1" si="426"/>
        <v>VIGENTE</v>
      </c>
      <c r="GZ173" s="3"/>
      <c r="HA173" s="4">
        <v>45454</v>
      </c>
      <c r="HB173" s="4">
        <f t="shared" si="524"/>
        <v>47280</v>
      </c>
      <c r="HC173" s="8">
        <f t="shared" ca="1" si="525"/>
        <v>1135</v>
      </c>
      <c r="HD173" s="5" t="str">
        <f t="shared" ca="1" si="421"/>
        <v>VIGENTE</v>
      </c>
      <c r="HE173" s="6"/>
      <c r="HF173" s="4">
        <v>45496</v>
      </c>
      <c r="HG173" s="4">
        <f t="shared" ref="HG173:HG178" si="603">DATE(YEAR(HF173)+5,MONTH(HF173),DAY(HF173))</f>
        <v>47322</v>
      </c>
      <c r="HH173" s="8">
        <f t="shared" ref="HH173:HH178" ca="1" si="604">HG173-TODAY()</f>
        <v>1177</v>
      </c>
      <c r="HI173" s="5" t="str">
        <f t="shared" ca="1" si="427"/>
        <v>VIGENTE</v>
      </c>
      <c r="HJ173" s="2"/>
      <c r="HK173" s="6"/>
      <c r="HL173" s="4"/>
      <c r="HM173" s="8"/>
      <c r="HN173" s="5" t="str">
        <f t="shared" si="444"/>
        <v>NO APLICA</v>
      </c>
      <c r="HO173" s="2"/>
      <c r="HP173" s="2"/>
      <c r="HQ173" s="4"/>
      <c r="HR173" s="2"/>
      <c r="HS173" s="5" t="str">
        <f t="shared" si="526"/>
        <v>NO APLICA</v>
      </c>
      <c r="HT173" s="2"/>
      <c r="HU173" s="6"/>
      <c r="HV173" s="4"/>
      <c r="HW173" s="8"/>
      <c r="HX173" s="5" t="str">
        <f t="shared" si="527"/>
        <v>NO APLICA</v>
      </c>
      <c r="HY173" s="2"/>
      <c r="HZ173" s="6"/>
      <c r="IA173" s="4"/>
      <c r="IB173" s="8"/>
      <c r="IC173" s="5" t="str">
        <f t="shared" si="528"/>
        <v>NO APLICA</v>
      </c>
      <c r="ID173" s="2"/>
      <c r="IE173" s="6"/>
      <c r="IF173" s="4"/>
      <c r="IG173" s="8"/>
      <c r="IH173" s="5" t="str">
        <f t="shared" si="529"/>
        <v>NO APLICA</v>
      </c>
      <c r="II173" s="6"/>
      <c r="IJ173" s="6"/>
      <c r="IK173" s="4"/>
      <c r="IL173" s="8"/>
      <c r="IM173" s="5" t="str">
        <f t="shared" si="530"/>
        <v>NO APLICA</v>
      </c>
      <c r="IN173" s="2"/>
      <c r="IO173" s="6"/>
      <c r="IP173" s="4"/>
      <c r="IQ173" s="8"/>
      <c r="IR173" s="5" t="str">
        <f t="shared" si="531"/>
        <v>NO APLICA</v>
      </c>
      <c r="IS173" s="2"/>
      <c r="IT173" s="6"/>
      <c r="IU173" s="4"/>
      <c r="IV173" s="8"/>
      <c r="IW173" s="5" t="str">
        <f t="shared" si="532"/>
        <v>NO APLICA</v>
      </c>
      <c r="IX173" s="2"/>
      <c r="IY173" s="6"/>
      <c r="IZ173" s="4"/>
      <c r="JA173" s="8"/>
      <c r="JB173" s="5" t="str">
        <f t="shared" si="533"/>
        <v>NO APLICA</v>
      </c>
      <c r="JC173" s="3" t="s">
        <v>780</v>
      </c>
      <c r="JD173" s="3"/>
      <c r="JE173" s="4"/>
      <c r="JF173" s="8"/>
      <c r="JG173" s="5"/>
      <c r="JH173" s="3" t="s">
        <v>780</v>
      </c>
      <c r="JI173" s="6"/>
      <c r="JJ173" s="6"/>
      <c r="JK173" s="6"/>
      <c r="JL173" s="5"/>
      <c r="JM173" s="6" t="s">
        <v>780</v>
      </c>
      <c r="JN173" s="6"/>
      <c r="JO173" s="6"/>
      <c r="JP173" s="6"/>
      <c r="JQ173" s="5"/>
      <c r="JR173" s="6" t="s">
        <v>780</v>
      </c>
      <c r="JS173" s="6"/>
      <c r="JT173" s="6"/>
      <c r="JU173" s="6"/>
      <c r="JV173" s="5"/>
      <c r="JW173" s="6" t="s">
        <v>780</v>
      </c>
      <c r="JX173" s="5"/>
      <c r="JY173" s="5"/>
      <c r="JZ173" s="5"/>
      <c r="KA173" s="5"/>
      <c r="KB173" s="5"/>
      <c r="KC173" s="2"/>
      <c r="KD173" s="4"/>
      <c r="KE173" s="8"/>
      <c r="KF173" s="5" t="str">
        <f t="shared" si="534"/>
        <v>NO APLICA</v>
      </c>
      <c r="KG173" s="5"/>
      <c r="KH173" s="2"/>
      <c r="KI173" s="4"/>
      <c r="KJ173" s="8"/>
      <c r="KK173" s="5" t="str">
        <f t="shared" si="559"/>
        <v>NO APLICA</v>
      </c>
      <c r="KL173" s="5"/>
      <c r="KM173" s="2"/>
      <c r="KN173" s="4"/>
      <c r="KO173" s="8"/>
      <c r="KP173" s="5" t="str">
        <f t="shared" si="535"/>
        <v>NO APLICA</v>
      </c>
      <c r="KQ173" s="5"/>
      <c r="KR173" s="2"/>
      <c r="KS173" s="4"/>
      <c r="KT173" s="8"/>
      <c r="KU173" s="5" t="str">
        <f t="shared" si="560"/>
        <v>NO APLICA</v>
      </c>
      <c r="KV173" s="2"/>
      <c r="KW173" s="6"/>
      <c r="KX173" s="4"/>
      <c r="KY173" s="8"/>
      <c r="KZ173" s="5" t="str">
        <f t="shared" si="565"/>
        <v>NO APLICA</v>
      </c>
      <c r="LA173" s="5"/>
      <c r="LB173" s="4">
        <v>44607</v>
      </c>
      <c r="LC173" s="4">
        <f>DATE(YEAR(LB173)+5,MONTH(LB173),DAY(LB173))</f>
        <v>46433</v>
      </c>
      <c r="LD173" s="8">
        <f ca="1">LC173-TODAY()</f>
        <v>288</v>
      </c>
      <c r="LE173" s="5" t="str">
        <f t="shared" ca="1" si="561"/>
        <v>VIGENTE</v>
      </c>
      <c r="LF173" s="4"/>
      <c r="LG173" s="4"/>
      <c r="LH173" s="4"/>
      <c r="LI173" s="8"/>
      <c r="LJ173" s="5" t="str">
        <f t="shared" si="600"/>
        <v>NO APLICA</v>
      </c>
      <c r="LK173" s="5"/>
      <c r="LL173" s="5"/>
      <c r="LM173" s="4"/>
      <c r="LN173" s="8"/>
      <c r="LO173" s="5" t="str">
        <f t="shared" si="566"/>
        <v>NO APLICA</v>
      </c>
      <c r="LP173" s="2"/>
      <c r="LQ173" s="6"/>
      <c r="LR173" s="4"/>
      <c r="LS173" s="8"/>
      <c r="LT173" s="5" t="str">
        <f t="shared" si="562"/>
        <v>NO APLICA</v>
      </c>
      <c r="LU173" s="6"/>
      <c r="LV173" s="6"/>
      <c r="LW173" s="4"/>
      <c r="LX173" s="8"/>
      <c r="LY173" s="5" t="str">
        <f t="shared" si="563"/>
        <v>NO APLICA</v>
      </c>
      <c r="LZ173" s="6"/>
      <c r="MA173" s="6"/>
      <c r="MB173" s="4"/>
      <c r="MC173" s="8"/>
      <c r="MD173" s="5" t="str">
        <f t="shared" si="564"/>
        <v>NO APLICA</v>
      </c>
      <c r="ME173" s="2"/>
      <c r="MF173" s="2"/>
      <c r="MG173" s="4"/>
      <c r="MH173" s="8"/>
      <c r="MI173" s="5" t="str">
        <f t="shared" si="537"/>
        <v>NO APLICA</v>
      </c>
      <c r="MJ173" s="2"/>
      <c r="MK173" s="2"/>
      <c r="ML173" s="4"/>
      <c r="MM173" s="8"/>
      <c r="MN173" s="5" t="str">
        <f t="shared" si="538"/>
        <v>NO APLICA</v>
      </c>
      <c r="MO173" s="5"/>
      <c r="MP173" s="2"/>
      <c r="MQ173" s="4"/>
      <c r="MR173" s="8"/>
      <c r="MS173" s="5" t="str">
        <f t="shared" si="539"/>
        <v>NO APLICA</v>
      </c>
      <c r="MT173" s="5"/>
      <c r="MU173" s="2"/>
      <c r="MV173" s="4"/>
      <c r="MW173" s="2"/>
      <c r="MX173" s="5" t="str">
        <f t="shared" si="540"/>
        <v>NO APLICA</v>
      </c>
      <c r="MY173" s="2"/>
      <c r="MZ173" s="6"/>
      <c r="NA173" s="4"/>
      <c r="NB173" s="8"/>
      <c r="NC173" s="5" t="str">
        <f t="shared" si="541"/>
        <v>NO APLICA</v>
      </c>
      <c r="ND173" s="2"/>
      <c r="NE173" s="6"/>
      <c r="NF173" s="4"/>
      <c r="NG173" s="8"/>
      <c r="NH173" s="5" t="str">
        <f t="shared" si="542"/>
        <v>NO APLICA</v>
      </c>
      <c r="NI173" s="2"/>
      <c r="NJ173" s="6"/>
      <c r="NK173" s="4"/>
      <c r="NL173" s="8"/>
      <c r="NM173" s="5" t="str">
        <f t="shared" si="543"/>
        <v>NO APLICA</v>
      </c>
      <c r="NN173" s="2"/>
      <c r="NO173" s="2"/>
      <c r="NP173" s="4"/>
      <c r="NQ173" s="8"/>
      <c r="NR173" s="5" t="str">
        <f t="shared" si="544"/>
        <v>NO APLICA</v>
      </c>
      <c r="NS173" s="2"/>
      <c r="NT173" s="2"/>
      <c r="NU173" s="2"/>
      <c r="NV173" s="2"/>
      <c r="NW173" s="5" t="str">
        <f t="shared" si="545"/>
        <v>NO APLICA</v>
      </c>
      <c r="NX173" s="6"/>
      <c r="NY173" s="6"/>
      <c r="NZ173" s="4"/>
      <c r="OA173" s="8"/>
      <c r="OB173" s="5" t="str">
        <f t="shared" si="546"/>
        <v>NO APLICA</v>
      </c>
      <c r="OC173" s="6"/>
      <c r="OD173" s="6"/>
      <c r="OE173" s="6"/>
      <c r="OF173" s="6"/>
      <c r="OG173" s="5" t="str">
        <f t="shared" si="547"/>
        <v>NO APLICA</v>
      </c>
      <c r="OH173" s="2"/>
      <c r="OI173" s="2"/>
      <c r="OJ173" s="4"/>
      <c r="OK173" s="8"/>
      <c r="OL173" s="5" t="str">
        <f t="shared" si="548"/>
        <v>NO APLICA</v>
      </c>
      <c r="OM173" s="6"/>
      <c r="ON173" s="6"/>
      <c r="OO173" s="6"/>
      <c r="OP173" s="6"/>
      <c r="OQ173" s="5" t="str">
        <f t="shared" si="549"/>
        <v>NO APLICA</v>
      </c>
      <c r="OR173" s="6"/>
      <c r="OS173" s="6"/>
      <c r="OT173" s="6"/>
      <c r="OU173" s="6"/>
      <c r="OV173" s="5" t="str">
        <f t="shared" si="550"/>
        <v>NO APLICA</v>
      </c>
      <c r="OW173" s="6"/>
      <c r="OX173" s="6"/>
      <c r="OY173" s="6"/>
      <c r="OZ173" s="6"/>
      <c r="PA173" s="5" t="str">
        <f t="shared" si="551"/>
        <v>NO APLICA</v>
      </c>
      <c r="PB173" s="6"/>
      <c r="PC173" s="6"/>
      <c r="PD173" s="6"/>
      <c r="PE173" s="6"/>
      <c r="PF173" s="5" t="str">
        <f t="shared" si="552"/>
        <v>NO APLICA</v>
      </c>
      <c r="PG173" s="6"/>
      <c r="PH173" s="6"/>
      <c r="PI173" s="6"/>
      <c r="PJ173" s="6"/>
      <c r="PK173" s="5" t="str">
        <f t="shared" si="553"/>
        <v>NO APLICA</v>
      </c>
      <c r="PL173" s="5"/>
      <c r="PM173" s="6"/>
      <c r="PN173" s="4"/>
      <c r="PO173" s="8"/>
      <c r="PP173" s="5" t="str">
        <f t="shared" si="554"/>
        <v>NO APLICA</v>
      </c>
      <c r="PQ173" s="6"/>
      <c r="PR173" s="6"/>
      <c r="PS173" s="6"/>
      <c r="PT173" s="6"/>
      <c r="PU173" s="5" t="str">
        <f t="shared" si="555"/>
        <v>NO APLICA</v>
      </c>
      <c r="PV173" s="5"/>
      <c r="PW173" s="6"/>
      <c r="PX173" s="6"/>
      <c r="PY173" s="6"/>
      <c r="PZ173" s="5" t="str">
        <f t="shared" si="556"/>
        <v>NO APLICA</v>
      </c>
    </row>
    <row r="174" spans="1:442" ht="15.6" hidden="1" thickTop="1" thickBot="1" x14ac:dyDescent="0.35">
      <c r="A174" s="26">
        <v>171</v>
      </c>
      <c r="B174" s="27">
        <v>1510</v>
      </c>
      <c r="C174" s="28" t="s">
        <v>552</v>
      </c>
      <c r="D174" s="29" t="s">
        <v>68</v>
      </c>
      <c r="E174" s="30" t="s">
        <v>77</v>
      </c>
      <c r="F174" s="5"/>
      <c r="G174" s="6"/>
      <c r="H174" s="4"/>
      <c r="I174" s="8"/>
      <c r="J174" s="5" t="str">
        <f t="shared" si="455"/>
        <v>NO APLICA</v>
      </c>
      <c r="K174" s="5"/>
      <c r="L174" s="6"/>
      <c r="M174" s="6"/>
      <c r="N174" s="8"/>
      <c r="O174" s="5" t="str">
        <f t="shared" si="456"/>
        <v>NO APLICA</v>
      </c>
      <c r="P174" s="6"/>
      <c r="Q174" s="6"/>
      <c r="R174" s="4"/>
      <c r="S174" s="8"/>
      <c r="T174" s="5" t="str">
        <f t="shared" si="557"/>
        <v>NO APLICA</v>
      </c>
      <c r="U174" s="5"/>
      <c r="V174" s="2" t="s">
        <v>553</v>
      </c>
      <c r="W174" s="4">
        <v>44838</v>
      </c>
      <c r="X174" s="4">
        <f t="shared" si="587"/>
        <v>46664</v>
      </c>
      <c r="Y174" s="8">
        <f t="shared" ca="1" si="588"/>
        <v>519</v>
      </c>
      <c r="Z174" s="5" t="str">
        <f t="shared" ref="Z174:Z232" ca="1" si="605">IF(Y174&gt;=90,"VIGENTE",IF(Y174&gt;=1,"POR VENCER",IF(Y174&lt;=-1,"VENCIDA",IF(W174=0,"NO APLICA"))))</f>
        <v>VIGENTE</v>
      </c>
      <c r="AA174" s="5"/>
      <c r="AB174" s="2" t="s">
        <v>554</v>
      </c>
      <c r="AC174" s="4">
        <v>44824</v>
      </c>
      <c r="AD174" s="4">
        <f>DATE(YEAR(AC174)+5,MONTH(AC174),DAY(AC174))</f>
        <v>46650</v>
      </c>
      <c r="AE174" s="8">
        <f ca="1">AD174-TODAY()</f>
        <v>505</v>
      </c>
      <c r="AF174" s="5" t="str">
        <f t="shared" ca="1" si="457"/>
        <v>VIGENTE</v>
      </c>
      <c r="AG174" s="4"/>
      <c r="AH174" s="4">
        <v>45594</v>
      </c>
      <c r="AI174" s="4">
        <f>DATE(YEAR(AH174)+2,MONTH(AH174),DAY(AH174)-1)</f>
        <v>46323</v>
      </c>
      <c r="AJ174" s="8">
        <f t="shared" ca="1" si="458"/>
        <v>178</v>
      </c>
      <c r="AK174" s="5" t="str">
        <f t="shared" ca="1" si="602"/>
        <v>VIGENTE</v>
      </c>
      <c r="AL174" s="3"/>
      <c r="AM174" s="4">
        <v>45926</v>
      </c>
      <c r="AN174" s="4">
        <f>DATE(YEAR(AM174)+2,MONTH(AM174),DAY(AM174))</f>
        <v>46656</v>
      </c>
      <c r="AO174" s="8">
        <f t="shared" ca="1" si="459"/>
        <v>511</v>
      </c>
      <c r="AP174" s="5" t="str">
        <f t="shared" ca="1" si="460"/>
        <v>VIGENTE</v>
      </c>
      <c r="AQ174" s="3"/>
      <c r="AR174" s="4">
        <v>45845</v>
      </c>
      <c r="AS174" s="4">
        <f>DATE(YEAR(AR174)+2,MONTH(AR174),DAY(AR174))</f>
        <v>46575</v>
      </c>
      <c r="AT174" s="8">
        <f t="shared" ca="1" si="461"/>
        <v>430</v>
      </c>
      <c r="AU174" s="5" t="str">
        <f t="shared" ca="1" si="462"/>
        <v>VIGENTE</v>
      </c>
      <c r="AV174" s="3"/>
      <c r="AW174" s="4">
        <v>45975</v>
      </c>
      <c r="AX174" s="4">
        <f>DATE(YEAR(AW174)+2,MONTH(AW174),DAY(AW174))</f>
        <v>46705</v>
      </c>
      <c r="AY174" s="8">
        <f t="shared" ca="1" si="463"/>
        <v>560</v>
      </c>
      <c r="AZ174" s="5" t="str">
        <f t="shared" ca="1" si="464"/>
        <v>VIGENTE</v>
      </c>
      <c r="BA174" s="3"/>
      <c r="BB174" s="4">
        <v>46071</v>
      </c>
      <c r="BC174" s="4">
        <f>DATE(YEAR(BB174)+2,MONTH(BB174),DAY(BB174))</f>
        <v>46801</v>
      </c>
      <c r="BD174" s="8">
        <f t="shared" ca="1" si="465"/>
        <v>656</v>
      </c>
      <c r="BE174" s="5" t="str">
        <f t="shared" ca="1" si="466"/>
        <v>VIGENTE</v>
      </c>
      <c r="BF174" s="3"/>
      <c r="BG174" s="4">
        <v>46067</v>
      </c>
      <c r="BH174" s="4">
        <f>DATE(YEAR(BG174)+2,MONTH(BG174),DAY(BG174))</f>
        <v>46797</v>
      </c>
      <c r="BI174" s="8">
        <f t="shared" ca="1" si="467"/>
        <v>652</v>
      </c>
      <c r="BJ174" s="5" t="str">
        <f t="shared" ca="1" si="468"/>
        <v>VIGENTE</v>
      </c>
      <c r="BK174" s="3"/>
      <c r="BL174" s="4">
        <v>46048</v>
      </c>
      <c r="BM174" s="4">
        <f>DATE(YEAR(BL174)+2,MONTH(BL174),DAY(BL174))</f>
        <v>46778</v>
      </c>
      <c r="BN174" s="8">
        <f t="shared" ca="1" si="469"/>
        <v>633</v>
      </c>
      <c r="BO174" s="5" t="str">
        <f t="shared" ca="1" si="470"/>
        <v>VIGENTE</v>
      </c>
      <c r="BP174" s="3"/>
      <c r="BQ174" s="39">
        <v>46069</v>
      </c>
      <c r="BR174" s="4">
        <f>DATE(YEAR(BQ174)+2,MONTH(BQ174),DAY(BQ174))</f>
        <v>46799</v>
      </c>
      <c r="BS174" s="8">
        <f t="shared" ca="1" si="471"/>
        <v>654</v>
      </c>
      <c r="BT174" s="5" t="str">
        <f t="shared" ca="1" si="472"/>
        <v>VIGENTE</v>
      </c>
      <c r="BU174" s="3"/>
      <c r="BV174" s="4">
        <v>46063</v>
      </c>
      <c r="BW174" s="4">
        <f>DATE(YEAR(BV174)+2,MONTH(BV174),DAY(BV174))</f>
        <v>46793</v>
      </c>
      <c r="BX174" s="8">
        <f t="shared" ca="1" si="473"/>
        <v>648</v>
      </c>
      <c r="BY174" s="5" t="str">
        <f t="shared" ca="1" si="474"/>
        <v>VIGENTE</v>
      </c>
      <c r="BZ174" s="3"/>
      <c r="CA174" s="4">
        <v>45974</v>
      </c>
      <c r="CB174" s="4">
        <f>DATE(YEAR(CA174)+2,MONTH(CA174),DAY(CA174))</f>
        <v>46704</v>
      </c>
      <c r="CC174" s="8">
        <f t="shared" ca="1" si="475"/>
        <v>559</v>
      </c>
      <c r="CD174" s="5" t="str">
        <f t="shared" ca="1" si="476"/>
        <v>VIGENTE</v>
      </c>
      <c r="CE174" s="6"/>
      <c r="CF174" s="4">
        <v>45227</v>
      </c>
      <c r="CG174" s="4">
        <f t="shared" si="590"/>
        <v>46688</v>
      </c>
      <c r="CH174" s="8">
        <f t="shared" ca="1" si="591"/>
        <v>543</v>
      </c>
      <c r="CI174" s="5" t="str">
        <f t="shared" ca="1" si="573"/>
        <v>VIGENTE</v>
      </c>
      <c r="CJ174" s="4"/>
      <c r="CK174" s="4">
        <v>45511</v>
      </c>
      <c r="CL174" s="4">
        <f>DATE(YEAR(CK174)+2,MONTH(CK174),DAY(CK174)-1)</f>
        <v>46240</v>
      </c>
      <c r="CM174" s="8">
        <f t="shared" ca="1" si="477"/>
        <v>95</v>
      </c>
      <c r="CN174" s="5" t="str">
        <f t="shared" ca="1" si="478"/>
        <v>VIGENTE</v>
      </c>
      <c r="CO174" s="3"/>
      <c r="CP174" s="39">
        <v>45517</v>
      </c>
      <c r="CQ174" s="4">
        <f>DATE(YEAR(CP174)+2,MONTH(CP174),DAY(CP174)-1)</f>
        <v>46246</v>
      </c>
      <c r="CR174" s="8">
        <f t="shared" ca="1" si="479"/>
        <v>101</v>
      </c>
      <c r="CS174" s="5" t="str">
        <f t="shared" ca="1" si="480"/>
        <v>VIGENTE</v>
      </c>
      <c r="CT174" s="3"/>
      <c r="CU174" s="4">
        <v>45645</v>
      </c>
      <c r="CV174" s="4">
        <f>DATE(YEAR(CU174)+2,MONTH(CU174),DAY(CU174)-1)</f>
        <v>46374</v>
      </c>
      <c r="CW174" s="8">
        <f t="shared" ca="1" si="481"/>
        <v>229</v>
      </c>
      <c r="CX174" s="5" t="str">
        <f t="shared" ca="1" si="482"/>
        <v>VIGENTE</v>
      </c>
      <c r="CY174" s="4"/>
      <c r="CZ174" s="4">
        <v>45665</v>
      </c>
      <c r="DA174" s="4">
        <f>DATE(YEAR(CZ174)+2,MONTH(CZ174),DAY(CZ174)-1)</f>
        <v>46394</v>
      </c>
      <c r="DB174" s="8">
        <f t="shared" ca="1" si="483"/>
        <v>249</v>
      </c>
      <c r="DC174" s="5" t="str">
        <f t="shared" ca="1" si="484"/>
        <v>VIGENTE</v>
      </c>
      <c r="DD174" s="3"/>
      <c r="DE174" s="39">
        <v>45689</v>
      </c>
      <c r="DF174" s="4">
        <f>DATE(YEAR(DE174)+2,MONTH(DE174),DAY(DE174)-1)</f>
        <v>46418</v>
      </c>
      <c r="DG174" s="8">
        <f t="shared" ca="1" si="485"/>
        <v>273</v>
      </c>
      <c r="DH174" s="5" t="str">
        <f t="shared" ca="1" si="486"/>
        <v>VIGENTE</v>
      </c>
      <c r="DI174" s="3"/>
      <c r="DJ174" s="39">
        <v>45696</v>
      </c>
      <c r="DK174" s="4">
        <f>DATE(YEAR(DJ174)+2,MONTH(DJ174),DAY(DJ174)-1)</f>
        <v>46425</v>
      </c>
      <c r="DL174" s="8">
        <f t="shared" ca="1" si="487"/>
        <v>280</v>
      </c>
      <c r="DM174" s="5" t="str">
        <f t="shared" ca="1" si="488"/>
        <v>VIGENTE</v>
      </c>
      <c r="DN174" s="4"/>
      <c r="DO174" s="4">
        <v>45982</v>
      </c>
      <c r="DP174" s="4">
        <f>DATE(YEAR(DO174)+2,MONTH(DO174),DAY(DO174))</f>
        <v>46712</v>
      </c>
      <c r="DQ174" s="8">
        <f t="shared" ca="1" si="489"/>
        <v>567</v>
      </c>
      <c r="DR174" s="5" t="str">
        <f t="shared" ca="1" si="490"/>
        <v>VIGENTE</v>
      </c>
      <c r="DS174" s="3"/>
      <c r="DT174" s="4">
        <v>46053</v>
      </c>
      <c r="DU174" s="4">
        <f>DATE(YEAR(DT174)+2,MONTH(DT174),DAY(DT174))</f>
        <v>46783</v>
      </c>
      <c r="DV174" s="8">
        <f t="shared" ca="1" si="491"/>
        <v>638</v>
      </c>
      <c r="DW174" s="5" t="str">
        <f t="shared" ca="1" si="492"/>
        <v>VIGENTE</v>
      </c>
      <c r="DX174" s="3"/>
      <c r="DY174" s="4">
        <v>45682</v>
      </c>
      <c r="DZ174" s="4">
        <f>DATE(YEAR(DY174)+2,MONTH(DY174),DAY(DY174)-1)</f>
        <v>46411</v>
      </c>
      <c r="EA174" s="8">
        <f t="shared" ca="1" si="493"/>
        <v>266</v>
      </c>
      <c r="EB174" s="5" t="str">
        <f t="shared" ca="1" si="494"/>
        <v>VIGENTE</v>
      </c>
      <c r="EC174" s="3"/>
      <c r="ED174" s="39">
        <v>45674</v>
      </c>
      <c r="EE174" s="4">
        <f>DATE(YEAR(ED174)+2,MONTH(ED174),DAY(ED174)-1)</f>
        <v>46403</v>
      </c>
      <c r="EF174" s="8">
        <f t="shared" ca="1" si="495"/>
        <v>258</v>
      </c>
      <c r="EG174" s="5" t="str">
        <f t="shared" ca="1" si="496"/>
        <v>VIGENTE</v>
      </c>
      <c r="EH174" s="3"/>
      <c r="EI174" s="4">
        <v>46115</v>
      </c>
      <c r="EJ174" s="4">
        <f t="shared" si="558"/>
        <v>46480</v>
      </c>
      <c r="EK174" s="8">
        <f t="shared" ca="1" si="497"/>
        <v>335</v>
      </c>
      <c r="EL174" s="5" t="str">
        <f t="shared" ca="1" si="498"/>
        <v>VIGENTE</v>
      </c>
      <c r="EM174" s="3"/>
      <c r="EN174" s="4">
        <v>45671</v>
      </c>
      <c r="EO174" s="4">
        <f>DATE(YEAR(EN174)+2,MONTH(EN174),DAY(EN174)-1)</f>
        <v>46400</v>
      </c>
      <c r="EP174" s="8">
        <f t="shared" ca="1" si="499"/>
        <v>255</v>
      </c>
      <c r="EQ174" s="5" t="str">
        <f t="shared" ca="1" si="500"/>
        <v>VIGENTE</v>
      </c>
      <c r="ER174" s="3"/>
      <c r="ES174" s="39">
        <v>46062</v>
      </c>
      <c r="ET174" s="4">
        <f>DATE(YEAR(ES174)+2,MONTH(ES174),DAY(ES174))</f>
        <v>46792</v>
      </c>
      <c r="EU174" s="8">
        <f t="shared" ca="1" si="501"/>
        <v>647</v>
      </c>
      <c r="EV174" s="5" t="str">
        <f t="shared" ca="1" si="502"/>
        <v>VIGENTE</v>
      </c>
      <c r="EW174" s="3"/>
      <c r="EX174" s="4">
        <v>45964</v>
      </c>
      <c r="EY174" s="4">
        <f>DATE(YEAR(EX174)+2,MONTH(EX174),DAY(EX174))</f>
        <v>46694</v>
      </c>
      <c r="EZ174" s="8">
        <f t="shared" ca="1" si="503"/>
        <v>549</v>
      </c>
      <c r="FA174" s="5" t="str">
        <f t="shared" ca="1" si="504"/>
        <v>VIGENTE</v>
      </c>
      <c r="FB174" s="3"/>
      <c r="FC174" s="4">
        <v>45931</v>
      </c>
      <c r="FD174" s="4">
        <f>DATE(YEAR(FC174)+2,MONTH(FC174),DAY(FC174))</f>
        <v>46661</v>
      </c>
      <c r="FE174" s="8">
        <f t="shared" ca="1" si="505"/>
        <v>516</v>
      </c>
      <c r="FF174" s="5" t="str">
        <f t="shared" ca="1" si="506"/>
        <v>VIGENTE</v>
      </c>
      <c r="FG174" s="3"/>
      <c r="FH174" s="4">
        <v>45969</v>
      </c>
      <c r="FI174" s="4">
        <f>DATE(YEAR(FH174)+2,MONTH(FH174),DAY(FH174))</f>
        <v>46699</v>
      </c>
      <c r="FJ174" s="8">
        <f t="shared" ca="1" si="507"/>
        <v>554</v>
      </c>
      <c r="FK174" s="5" t="str">
        <f t="shared" ca="1" si="508"/>
        <v>VIGENTE</v>
      </c>
      <c r="FL174" s="3"/>
      <c r="FM174" s="39">
        <v>45686</v>
      </c>
      <c r="FN174" s="4">
        <f>DATE(YEAR(FM174)+2,MONTH(FM174),DAY(FM174)-1)</f>
        <v>46415</v>
      </c>
      <c r="FO174" s="8">
        <f t="shared" ca="1" si="509"/>
        <v>270</v>
      </c>
      <c r="FP174" s="5" t="str">
        <f t="shared" ca="1" si="510"/>
        <v>VIGENTE</v>
      </c>
      <c r="FQ174" s="3"/>
      <c r="FR174" s="39">
        <v>45664</v>
      </c>
      <c r="FS174" s="4">
        <f>DATE(YEAR(FR174)+2,MONTH(FR174),DAY(FR174)-1)</f>
        <v>46393</v>
      </c>
      <c r="FT174" s="8">
        <f t="shared" ca="1" si="511"/>
        <v>248</v>
      </c>
      <c r="FU174" s="5" t="str">
        <f t="shared" ca="1" si="512"/>
        <v>VIGENTE</v>
      </c>
      <c r="FV174" s="3"/>
      <c r="FW174" s="4">
        <v>45941</v>
      </c>
      <c r="FX174" s="4">
        <f>DATE(YEAR(FW174)+2,MONTH(FW174),DAY(FW174))</f>
        <v>46671</v>
      </c>
      <c r="FY174" s="8">
        <f t="shared" ca="1" si="513"/>
        <v>526</v>
      </c>
      <c r="FZ174" s="5" t="str">
        <f t="shared" ca="1" si="514"/>
        <v>VIGENTE</v>
      </c>
      <c r="GA174" s="3"/>
      <c r="GB174" s="4">
        <v>46073</v>
      </c>
      <c r="GC174" s="4">
        <f>DATE(YEAR(GB174)+2,MONTH(GB174),DAY(GB174))</f>
        <v>46803</v>
      </c>
      <c r="GD174" s="8">
        <f t="shared" ca="1" si="515"/>
        <v>658</v>
      </c>
      <c r="GE174" s="5" t="str">
        <f t="shared" ca="1" si="516"/>
        <v>VIGENTE</v>
      </c>
      <c r="GF174" s="3"/>
      <c r="GG174" s="4">
        <v>45672</v>
      </c>
      <c r="GH174" s="4">
        <f>DATE(YEAR(GG174)+2,MONTH(GG174),DAY(GG174)-1)</f>
        <v>46401</v>
      </c>
      <c r="GI174" s="8">
        <f t="shared" ca="1" si="517"/>
        <v>256</v>
      </c>
      <c r="GJ174" s="5" t="str">
        <f t="shared" ca="1" si="518"/>
        <v>VIGENTE</v>
      </c>
      <c r="GK174" s="4"/>
      <c r="GL174" s="4">
        <v>45945</v>
      </c>
      <c r="GM174" s="4">
        <f>DATE(YEAR(GL174)+2,MONTH(GL174),DAY(GL174))</f>
        <v>46675</v>
      </c>
      <c r="GN174" s="8">
        <f t="shared" ca="1" si="519"/>
        <v>530</v>
      </c>
      <c r="GO174" s="5" t="str">
        <f t="shared" ca="1" si="520"/>
        <v>VIGENTE</v>
      </c>
      <c r="GP174" s="4"/>
      <c r="GQ174" s="4">
        <v>45048</v>
      </c>
      <c r="GR174" s="4">
        <f t="shared" si="521"/>
        <v>46875</v>
      </c>
      <c r="GS174" s="8">
        <f t="shared" ca="1" si="601"/>
        <v>730</v>
      </c>
      <c r="GT174" s="5" t="str">
        <f t="shared" ref="GT174:GT175" ca="1" si="606">IF(GS174&gt;=91,"VIGENTE",IF(GS174&gt;=1,"POR VENCER",IF(GS174&lt;=-1,"VENCIDA",IF(GQ174=0,"NO APLICA"))))</f>
        <v>VIGENTE</v>
      </c>
      <c r="GU174" s="3"/>
      <c r="GV174" s="4">
        <v>45010</v>
      </c>
      <c r="GW174" s="4">
        <f t="shared" si="522"/>
        <v>46837</v>
      </c>
      <c r="GX174" s="8">
        <f t="shared" ca="1" si="523"/>
        <v>692</v>
      </c>
      <c r="GY174" s="5" t="str">
        <f t="shared" ca="1" si="426"/>
        <v>VIGENTE</v>
      </c>
      <c r="GZ174" s="2"/>
      <c r="HA174" s="4">
        <v>45073</v>
      </c>
      <c r="HB174" s="4">
        <f t="shared" si="524"/>
        <v>46900</v>
      </c>
      <c r="HC174" s="8">
        <f t="shared" ca="1" si="525"/>
        <v>755</v>
      </c>
      <c r="HD174" s="5" t="str">
        <f t="shared" ref="HD174:HD175" ca="1" si="607">IF(HC174&gt;=91,"VIGENTE",IF(HC174&gt;=1,"POR VENCER",IF(HC174&lt;=-1,"VENCIDA",IF(HA174=0,"NO APLICA"))))</f>
        <v>VIGENTE</v>
      </c>
      <c r="HE174" s="6"/>
      <c r="HF174" s="4">
        <v>45115</v>
      </c>
      <c r="HG174" s="4">
        <f t="shared" si="603"/>
        <v>46942</v>
      </c>
      <c r="HH174" s="8">
        <f t="shared" ca="1" si="604"/>
        <v>797</v>
      </c>
      <c r="HI174" s="5" t="str">
        <f t="shared" ca="1" si="427"/>
        <v>VIGENTE</v>
      </c>
      <c r="HJ174" s="3"/>
      <c r="HK174" s="4">
        <v>45341</v>
      </c>
      <c r="HL174" s="4">
        <f>DATE(YEAR(HK174)+5,MONTH(HK174),DAY(HK174))</f>
        <v>47168</v>
      </c>
      <c r="HM174" s="8">
        <f ca="1">HL174-TODAY()</f>
        <v>1023</v>
      </c>
      <c r="HN174" s="5" t="str">
        <f t="shared" ca="1" si="444"/>
        <v>VIGENTE</v>
      </c>
      <c r="HO174" s="2"/>
      <c r="HP174" s="3">
        <v>45374</v>
      </c>
      <c r="HQ174" s="4">
        <f>DATE(YEAR(HP174)+5,MONTH(HP174),DAY(HP174))</f>
        <v>47200</v>
      </c>
      <c r="HR174" s="8">
        <f ca="1">HQ174-TODAY()</f>
        <v>1055</v>
      </c>
      <c r="HS174" s="5" t="str">
        <f t="shared" ca="1" si="526"/>
        <v>VIGENTE</v>
      </c>
      <c r="HT174" s="3"/>
      <c r="HU174" s="4">
        <v>45274</v>
      </c>
      <c r="HV174" s="4">
        <f>DATE(YEAR(HU174)+5,MONTH(HU174),DAY(HU174))</f>
        <v>47101</v>
      </c>
      <c r="HW174" s="8">
        <f ca="1">HV174-TODAY()</f>
        <v>956</v>
      </c>
      <c r="HX174" s="5" t="str">
        <f t="shared" ca="1" si="527"/>
        <v>VIGENTE</v>
      </c>
      <c r="HY174" s="3"/>
      <c r="HZ174" s="4">
        <v>45270</v>
      </c>
      <c r="IA174" s="4">
        <f>DATE(YEAR(HZ174)+5,MONTH(HZ174),DAY(HZ174))</f>
        <v>47097</v>
      </c>
      <c r="IB174" s="8">
        <f ca="1">IA174-TODAY()</f>
        <v>952</v>
      </c>
      <c r="IC174" s="5" t="str">
        <f t="shared" ca="1" si="528"/>
        <v>VIGENTE</v>
      </c>
      <c r="ID174" s="3"/>
      <c r="IE174" s="4">
        <v>45192</v>
      </c>
      <c r="IF174" s="4">
        <f>DATE(YEAR(IE174)+5,MONTH(IE174),DAY(IE174))</f>
        <v>47019</v>
      </c>
      <c r="IG174" s="8">
        <f ca="1">IF174-TODAY()</f>
        <v>874</v>
      </c>
      <c r="IH174" s="5" t="str">
        <f t="shared" ca="1" si="529"/>
        <v>VIGENTE</v>
      </c>
      <c r="II174" s="4"/>
      <c r="IJ174" s="4">
        <v>45266</v>
      </c>
      <c r="IK174" s="4">
        <f>DATE(YEAR(IJ174)+5,MONTH(IJ174),DAY(IJ174))</f>
        <v>47093</v>
      </c>
      <c r="IL174" s="8">
        <f ca="1">IK174-TODAY()</f>
        <v>948</v>
      </c>
      <c r="IM174" s="5" t="str">
        <f t="shared" ca="1" si="530"/>
        <v>VIGENTE</v>
      </c>
      <c r="IN174" s="3"/>
      <c r="IO174" s="4">
        <v>45273</v>
      </c>
      <c r="IP174" s="4">
        <f>DATE(YEAR(IO174)+5,MONTH(IO174),DAY(IO174))</f>
        <v>47100</v>
      </c>
      <c r="IQ174" s="8">
        <f ca="1">IP174-TODAY()</f>
        <v>955</v>
      </c>
      <c r="IR174" s="5" t="str">
        <f t="shared" ca="1" si="531"/>
        <v>VIGENTE</v>
      </c>
      <c r="IS174" s="3"/>
      <c r="IT174" s="4">
        <v>45191</v>
      </c>
      <c r="IU174" s="4">
        <f>DATE(YEAR(IT174)+5,MONTH(IT174),DAY(IT174))</f>
        <v>47018</v>
      </c>
      <c r="IV174" s="8">
        <f ca="1">IU174-TODAY()</f>
        <v>873</v>
      </c>
      <c r="IW174" s="5" t="str">
        <f t="shared" ca="1" si="532"/>
        <v>VIGENTE</v>
      </c>
      <c r="IX174" s="3"/>
      <c r="IY174" s="4">
        <v>45189</v>
      </c>
      <c r="IZ174" s="4">
        <f>DATE(YEAR(IY174)+5,MONTH(IY174),DAY(IY174))</f>
        <v>47016</v>
      </c>
      <c r="JA174" s="8">
        <f ca="1">IZ174-TODAY()</f>
        <v>871</v>
      </c>
      <c r="JB174" s="5" t="str">
        <f t="shared" ca="1" si="533"/>
        <v>VIGENTE</v>
      </c>
      <c r="JC174" s="3" t="s">
        <v>780</v>
      </c>
      <c r="JD174" s="3"/>
      <c r="JE174" s="4"/>
      <c r="JF174" s="8"/>
      <c r="JG174" s="5"/>
      <c r="JH174" s="3" t="s">
        <v>780</v>
      </c>
      <c r="JI174" s="4"/>
      <c r="JJ174" s="4"/>
      <c r="JK174" s="8"/>
      <c r="JL174" s="5"/>
      <c r="JM174" s="6" t="s">
        <v>780</v>
      </c>
      <c r="JN174" s="4"/>
      <c r="JO174" s="4"/>
      <c r="JP174" s="8"/>
      <c r="JQ174" s="5"/>
      <c r="JR174" s="6" t="s">
        <v>780</v>
      </c>
      <c r="JS174" s="4"/>
      <c r="JT174" s="4"/>
      <c r="JU174" s="8"/>
      <c r="JV174" s="5"/>
      <c r="JW174" s="6" t="s">
        <v>780</v>
      </c>
      <c r="JX174" s="5"/>
      <c r="JY174" s="5"/>
      <c r="JZ174" s="5"/>
      <c r="KA174" s="5"/>
      <c r="KB174" s="5"/>
      <c r="KC174" s="2"/>
      <c r="KD174" s="4"/>
      <c r="KE174" s="8"/>
      <c r="KF174" s="5" t="str">
        <f t="shared" si="534"/>
        <v>NO APLICA</v>
      </c>
      <c r="KG174" s="5"/>
      <c r="KH174" s="2"/>
      <c r="KI174" s="4"/>
      <c r="KJ174" s="8"/>
      <c r="KK174" s="5" t="str">
        <f t="shared" si="559"/>
        <v>NO APLICA</v>
      </c>
      <c r="KL174" s="5"/>
      <c r="KM174" s="2"/>
      <c r="KN174" s="4"/>
      <c r="KO174" s="8"/>
      <c r="KP174" s="5" t="str">
        <f t="shared" si="535"/>
        <v>NO APLICA</v>
      </c>
      <c r="KQ174" s="5"/>
      <c r="KR174" s="2"/>
      <c r="KS174" s="4"/>
      <c r="KT174" s="8"/>
      <c r="KU174" s="5" t="str">
        <f t="shared" si="560"/>
        <v>NO APLICA</v>
      </c>
      <c r="KV174" s="3"/>
      <c r="KW174" s="4">
        <v>44649</v>
      </c>
      <c r="KX174" s="4">
        <f>DATE(YEAR(KW174)+5,MONTH(KW174),DAY(KW174))</f>
        <v>46475</v>
      </c>
      <c r="KY174" s="8">
        <f ca="1">KX174-TODAY()</f>
        <v>330</v>
      </c>
      <c r="KZ174" s="5" t="str">
        <f t="shared" ca="1" si="565"/>
        <v>VIGENTE</v>
      </c>
      <c r="LA174" s="5"/>
      <c r="LB174" s="6"/>
      <c r="LC174" s="4"/>
      <c r="LD174" s="8"/>
      <c r="LE174" s="5" t="str">
        <f t="shared" si="561"/>
        <v>NO APLICA</v>
      </c>
      <c r="LF174" s="6"/>
      <c r="LG174" s="4"/>
      <c r="LH174" s="4"/>
      <c r="LI174" s="8"/>
      <c r="LJ174" s="5" t="str">
        <f t="shared" si="600"/>
        <v>NO APLICA</v>
      </c>
      <c r="LK174" s="5"/>
      <c r="LL174" s="5"/>
      <c r="LM174" s="5"/>
      <c r="LN174" s="5"/>
      <c r="LO174" s="5" t="str">
        <f t="shared" si="566"/>
        <v>NO APLICA</v>
      </c>
      <c r="LP174" s="2"/>
      <c r="LQ174" s="6"/>
      <c r="LR174" s="4"/>
      <c r="LS174" s="8"/>
      <c r="LT174" s="5" t="str">
        <f t="shared" si="562"/>
        <v>NO APLICA</v>
      </c>
      <c r="LU174" s="4"/>
      <c r="LV174" s="4">
        <v>44986</v>
      </c>
      <c r="LW174" s="4">
        <f>DATE(YEAR(LV174)+5,MONTH(LV174),DAY(LV174))</f>
        <v>46813</v>
      </c>
      <c r="LX174" s="8">
        <f ca="1">LW174-TODAY()</f>
        <v>668</v>
      </c>
      <c r="LY174" s="5" t="str">
        <f t="shared" ca="1" si="563"/>
        <v>VIGENTE</v>
      </c>
      <c r="LZ174" s="4"/>
      <c r="MA174" s="4">
        <v>44988</v>
      </c>
      <c r="MB174" s="4">
        <f>DATE(YEAR(MA174)+5,MONTH(MA174),DAY(MA174))</f>
        <v>46815</v>
      </c>
      <c r="MC174" s="8">
        <f ca="1">MB174-TODAY()</f>
        <v>670</v>
      </c>
      <c r="MD174" s="5" t="str">
        <f t="shared" ca="1" si="564"/>
        <v>VIGENTE</v>
      </c>
      <c r="ME174" s="2"/>
      <c r="MF174" s="2"/>
      <c r="MG174" s="4"/>
      <c r="MH174" s="8"/>
      <c r="MI174" s="5" t="str">
        <f t="shared" si="537"/>
        <v>NO APLICA</v>
      </c>
      <c r="MJ174" s="2"/>
      <c r="MK174" s="2"/>
      <c r="ML174" s="4"/>
      <c r="MM174" s="8"/>
      <c r="MN174" s="5" t="str">
        <f t="shared" si="538"/>
        <v>NO APLICA</v>
      </c>
      <c r="MO174" s="5"/>
      <c r="MP174" s="2"/>
      <c r="MQ174" s="4"/>
      <c r="MR174" s="8"/>
      <c r="MS174" s="5" t="str">
        <f t="shared" si="539"/>
        <v>NO APLICA</v>
      </c>
      <c r="MT174" s="5"/>
      <c r="MU174" s="2"/>
      <c r="MV174" s="4"/>
      <c r="MW174" s="2"/>
      <c r="MX174" s="5" t="str">
        <f t="shared" si="540"/>
        <v>NO APLICA</v>
      </c>
      <c r="MY174" s="2"/>
      <c r="MZ174" s="6"/>
      <c r="NA174" s="4"/>
      <c r="NB174" s="8"/>
      <c r="NC174" s="5" t="str">
        <f t="shared" si="541"/>
        <v>NO APLICA</v>
      </c>
      <c r="ND174" s="2"/>
      <c r="NE174" s="6"/>
      <c r="NF174" s="4"/>
      <c r="NG174" s="8"/>
      <c r="NH174" s="5" t="str">
        <f t="shared" si="542"/>
        <v>NO APLICA</v>
      </c>
      <c r="NI174" s="2"/>
      <c r="NJ174" s="6"/>
      <c r="NK174" s="4"/>
      <c r="NL174" s="8"/>
      <c r="NM174" s="5" t="str">
        <f t="shared" si="543"/>
        <v>NO APLICA</v>
      </c>
      <c r="NN174" s="2"/>
      <c r="NO174" s="2"/>
      <c r="NP174" s="4"/>
      <c r="NQ174" s="2"/>
      <c r="NR174" s="5" t="str">
        <f t="shared" si="544"/>
        <v>NO APLICA</v>
      </c>
      <c r="NS174" s="2"/>
      <c r="NT174" s="2"/>
      <c r="NU174" s="4"/>
      <c r="NV174" s="2"/>
      <c r="NW174" s="5" t="str">
        <f t="shared" si="545"/>
        <v>NO APLICA</v>
      </c>
      <c r="NX174" s="6"/>
      <c r="NY174" s="6"/>
      <c r="NZ174" s="4"/>
      <c r="OA174" s="8"/>
      <c r="OB174" s="5" t="str">
        <f t="shared" si="546"/>
        <v>NO APLICA</v>
      </c>
      <c r="OC174" s="6"/>
      <c r="OD174" s="6"/>
      <c r="OE174" s="6"/>
      <c r="OF174" s="6"/>
      <c r="OG174" s="5" t="str">
        <f t="shared" si="547"/>
        <v>NO APLICA</v>
      </c>
      <c r="OH174" s="6"/>
      <c r="OI174" s="6"/>
      <c r="OJ174" s="4"/>
      <c r="OK174" s="8"/>
      <c r="OL174" s="5" t="str">
        <f t="shared" si="548"/>
        <v>NO APLICA</v>
      </c>
      <c r="OM174" s="6"/>
      <c r="ON174" s="6"/>
      <c r="OO174" s="6"/>
      <c r="OP174" s="6"/>
      <c r="OQ174" s="5" t="str">
        <f t="shared" si="549"/>
        <v>NO APLICA</v>
      </c>
      <c r="OR174" s="6"/>
      <c r="OS174" s="6"/>
      <c r="OT174" s="6"/>
      <c r="OU174" s="6"/>
      <c r="OV174" s="5" t="str">
        <f t="shared" si="550"/>
        <v>NO APLICA</v>
      </c>
      <c r="OW174" s="6"/>
      <c r="OX174" s="6"/>
      <c r="OY174" s="6"/>
      <c r="OZ174" s="6"/>
      <c r="PA174" s="5" t="str">
        <f t="shared" si="551"/>
        <v>NO APLICA</v>
      </c>
      <c r="PB174" s="6"/>
      <c r="PC174" s="6"/>
      <c r="PD174" s="6"/>
      <c r="PE174" s="6"/>
      <c r="PF174" s="5" t="str">
        <f t="shared" si="552"/>
        <v>NO APLICA</v>
      </c>
      <c r="PG174" s="6"/>
      <c r="PH174" s="6"/>
      <c r="PI174" s="6"/>
      <c r="PJ174" s="6"/>
      <c r="PK174" s="5" t="str">
        <f t="shared" si="553"/>
        <v>NO APLICA</v>
      </c>
      <c r="PL174" s="5"/>
      <c r="PM174" s="6"/>
      <c r="PN174" s="4"/>
      <c r="PO174" s="8"/>
      <c r="PP174" s="5" t="str">
        <f t="shared" si="554"/>
        <v>NO APLICA</v>
      </c>
      <c r="PQ174" s="6"/>
      <c r="PR174" s="6"/>
      <c r="PS174" s="6"/>
      <c r="PT174" s="6"/>
      <c r="PU174" s="5" t="str">
        <f t="shared" si="555"/>
        <v>NO APLICA</v>
      </c>
      <c r="PV174" s="5"/>
      <c r="PW174" s="6"/>
      <c r="PX174" s="6"/>
      <c r="PY174" s="6"/>
      <c r="PZ174" s="5" t="str">
        <f t="shared" si="556"/>
        <v>NO APLICA</v>
      </c>
    </row>
    <row r="175" spans="1:442" ht="15.6" hidden="1" thickTop="1" thickBot="1" x14ac:dyDescent="0.35">
      <c r="A175" s="26">
        <v>172</v>
      </c>
      <c r="B175" s="31">
        <v>1731</v>
      </c>
      <c r="C175" s="28" t="s">
        <v>555</v>
      </c>
      <c r="D175" s="29" t="s">
        <v>68</v>
      </c>
      <c r="E175" s="30" t="s">
        <v>73</v>
      </c>
      <c r="F175" s="6"/>
      <c r="G175" s="6"/>
      <c r="H175" s="6"/>
      <c r="I175" s="6"/>
      <c r="J175" s="5" t="str">
        <f t="shared" si="455"/>
        <v>NO APLICA</v>
      </c>
      <c r="K175" s="6"/>
      <c r="L175" s="6"/>
      <c r="M175" s="6"/>
      <c r="N175" s="6"/>
      <c r="O175" s="5" t="str">
        <f t="shared" si="456"/>
        <v>NO APLICA</v>
      </c>
      <c r="P175" s="6"/>
      <c r="Q175" s="6"/>
      <c r="R175" s="6"/>
      <c r="S175" s="6"/>
      <c r="T175" s="5" t="str">
        <f t="shared" si="557"/>
        <v>NO APLICA</v>
      </c>
      <c r="U175" s="5"/>
      <c r="V175" s="6" t="s">
        <v>556</v>
      </c>
      <c r="W175" s="4">
        <v>45189</v>
      </c>
      <c r="X175" s="4">
        <f t="shared" si="587"/>
        <v>47016</v>
      </c>
      <c r="Y175" s="8">
        <f t="shared" ca="1" si="588"/>
        <v>871</v>
      </c>
      <c r="Z175" s="5" t="str">
        <f t="shared" ca="1" si="605"/>
        <v>VIGENTE</v>
      </c>
      <c r="AA175" s="5"/>
      <c r="AB175" s="6" t="s">
        <v>557</v>
      </c>
      <c r="AC175" s="4">
        <v>45187</v>
      </c>
      <c r="AD175" s="4">
        <f>DATE(YEAR(AC175)+5,MONTH(AC175),DAY(AC175))</f>
        <v>47014</v>
      </c>
      <c r="AE175" s="8">
        <f ca="1">AD175-TODAY()</f>
        <v>869</v>
      </c>
      <c r="AF175" s="5" t="str">
        <f t="shared" ca="1" si="457"/>
        <v>VIGENTE</v>
      </c>
      <c r="AG175" s="4"/>
      <c r="AH175" s="4">
        <v>46006</v>
      </c>
      <c r="AI175" s="4">
        <f>DATE(YEAR(AH175)+2,MONTH(AH175),DAY(AH175))</f>
        <v>46736</v>
      </c>
      <c r="AJ175" s="8">
        <f t="shared" ca="1" si="458"/>
        <v>591</v>
      </c>
      <c r="AK175" s="5" t="str">
        <f t="shared" ca="1" si="602"/>
        <v>VIGENTE</v>
      </c>
      <c r="AL175" s="6"/>
      <c r="AM175" s="4">
        <v>46062</v>
      </c>
      <c r="AN175" s="4">
        <f>DATE(YEAR(AM175)+2,MONTH(AM175),DAY(AM175))</f>
        <v>46792</v>
      </c>
      <c r="AO175" s="8">
        <f t="shared" ca="1" si="459"/>
        <v>647</v>
      </c>
      <c r="AP175" s="5" t="str">
        <f t="shared" ca="1" si="460"/>
        <v>VIGENTE</v>
      </c>
      <c r="AQ175" s="4"/>
      <c r="AR175" s="4">
        <v>45989</v>
      </c>
      <c r="AS175" s="4">
        <f>DATE(YEAR(AR175)+2,MONTH(AR175),DAY(AR175))</f>
        <v>46719</v>
      </c>
      <c r="AT175" s="8">
        <f t="shared" ca="1" si="461"/>
        <v>574</v>
      </c>
      <c r="AU175" s="5" t="str">
        <f t="shared" ca="1" si="462"/>
        <v>VIGENTE</v>
      </c>
      <c r="AV175" s="6"/>
      <c r="AW175" s="4">
        <v>46070</v>
      </c>
      <c r="AX175" s="4">
        <f>DATE(YEAR(AW175)+2,MONTH(AW175),DAY(AW175))</f>
        <v>46800</v>
      </c>
      <c r="AY175" s="8">
        <f t="shared" ca="1" si="463"/>
        <v>655</v>
      </c>
      <c r="AZ175" s="5" t="str">
        <f t="shared" ca="1" si="464"/>
        <v>VIGENTE</v>
      </c>
      <c r="BA175" s="4"/>
      <c r="BB175" s="4">
        <v>46071</v>
      </c>
      <c r="BC175" s="4">
        <f>DATE(YEAR(BB175)+2,MONTH(BB175),DAY(BB175))</f>
        <v>46801</v>
      </c>
      <c r="BD175" s="8">
        <f t="shared" ca="1" si="465"/>
        <v>656</v>
      </c>
      <c r="BE175" s="5" t="str">
        <f t="shared" ca="1" si="466"/>
        <v>VIGENTE</v>
      </c>
      <c r="BF175" s="6"/>
      <c r="BG175" s="4">
        <v>45987</v>
      </c>
      <c r="BH175" s="4">
        <f>DATE(YEAR(BG175)+2,MONTH(BG175),DAY(BG175))</f>
        <v>46717</v>
      </c>
      <c r="BI175" s="8">
        <f t="shared" ca="1" si="467"/>
        <v>572</v>
      </c>
      <c r="BJ175" s="5" t="str">
        <f t="shared" ca="1" si="468"/>
        <v>VIGENTE</v>
      </c>
      <c r="BK175" s="4"/>
      <c r="BL175" s="4">
        <v>46035</v>
      </c>
      <c r="BM175" s="4">
        <f>DATE(YEAR(BL175)+2,MONTH(BL175),DAY(BL175))</f>
        <v>46765</v>
      </c>
      <c r="BN175" s="8">
        <f t="shared" ca="1" si="469"/>
        <v>620</v>
      </c>
      <c r="BO175" s="5" t="str">
        <f t="shared" ca="1" si="470"/>
        <v>VIGENTE</v>
      </c>
      <c r="BP175" s="4"/>
      <c r="BQ175" s="39">
        <v>45988</v>
      </c>
      <c r="BR175" s="4">
        <f>DATE(YEAR(BQ175)+2,MONTH(BQ175),DAY(BQ175))</f>
        <v>46718</v>
      </c>
      <c r="BS175" s="8">
        <f t="shared" ca="1" si="471"/>
        <v>573</v>
      </c>
      <c r="BT175" s="5" t="str">
        <f t="shared" ca="1" si="472"/>
        <v>VIGENTE</v>
      </c>
      <c r="BU175" s="3"/>
      <c r="BV175" s="4">
        <v>46031</v>
      </c>
      <c r="BW175" s="4">
        <f>DATE(YEAR(BV175)+2,MONTH(BV175),DAY(BV175))</f>
        <v>46761</v>
      </c>
      <c r="BX175" s="8">
        <f t="shared" ca="1" si="473"/>
        <v>616</v>
      </c>
      <c r="BY175" s="5" t="str">
        <f t="shared" ca="1" si="474"/>
        <v>VIGENTE</v>
      </c>
      <c r="BZ175" s="4"/>
      <c r="CA175" s="4">
        <v>45954</v>
      </c>
      <c r="CB175" s="4">
        <f>DATE(YEAR(CA175)+2,MONTH(CA175),DAY(CA175))</f>
        <v>46684</v>
      </c>
      <c r="CC175" s="8">
        <f t="shared" ca="1" si="475"/>
        <v>539</v>
      </c>
      <c r="CD175" s="5" t="str">
        <f t="shared" ca="1" si="476"/>
        <v>VIGENTE</v>
      </c>
      <c r="CE175" s="6"/>
      <c r="CF175" s="4">
        <v>45346</v>
      </c>
      <c r="CG175" s="4">
        <f t="shared" si="590"/>
        <v>46807</v>
      </c>
      <c r="CH175" s="8">
        <f t="shared" ca="1" si="591"/>
        <v>662</v>
      </c>
      <c r="CI175" s="5" t="str">
        <f t="shared" ca="1" si="573"/>
        <v>VIGENTE</v>
      </c>
      <c r="CJ175" s="4"/>
      <c r="CK175" s="4">
        <v>46020</v>
      </c>
      <c r="CL175" s="4">
        <f>DATE(YEAR(CK175)+2,MONTH(CK175),DAY(CK175))</f>
        <v>46750</v>
      </c>
      <c r="CM175" s="8">
        <f t="shared" ca="1" si="477"/>
        <v>605</v>
      </c>
      <c r="CN175" s="5" t="str">
        <f t="shared" ca="1" si="478"/>
        <v>VIGENTE</v>
      </c>
      <c r="CO175" s="4"/>
      <c r="CP175" s="4">
        <v>46101</v>
      </c>
      <c r="CQ175" s="4">
        <f>DATE(YEAR(CP175)+2,MONTH(CP175),DAY(CP175))</f>
        <v>46832</v>
      </c>
      <c r="CR175" s="8">
        <f t="shared" ca="1" si="479"/>
        <v>687</v>
      </c>
      <c r="CS175" s="5" t="str">
        <f t="shared" ca="1" si="480"/>
        <v>VIGENTE</v>
      </c>
      <c r="CT175" s="4"/>
      <c r="CU175" s="4">
        <v>46069</v>
      </c>
      <c r="CV175" s="4">
        <f>DATE(YEAR(CU175)+2,MONTH(CU175),DAY(CU175))</f>
        <v>46799</v>
      </c>
      <c r="CW175" s="8">
        <f t="shared" ca="1" si="481"/>
        <v>654</v>
      </c>
      <c r="CX175" s="5" t="str">
        <f t="shared" ca="1" si="482"/>
        <v>VIGENTE</v>
      </c>
      <c r="CY175" s="4"/>
      <c r="CZ175" s="4">
        <v>46046</v>
      </c>
      <c r="DA175" s="4">
        <f>DATE(YEAR(CZ175)+2,MONTH(CZ175),DAY(CZ175))</f>
        <v>46776</v>
      </c>
      <c r="DB175" s="8">
        <f t="shared" ca="1" si="483"/>
        <v>631</v>
      </c>
      <c r="DC175" s="5" t="str">
        <f t="shared" ca="1" si="484"/>
        <v>VIGENTE</v>
      </c>
      <c r="DD175" s="4"/>
      <c r="DE175" s="39">
        <v>46045</v>
      </c>
      <c r="DF175" s="4">
        <f>DATE(YEAR(DE175)+2,MONTH(DE175),DAY(DE175))</f>
        <v>46775</v>
      </c>
      <c r="DG175" s="8">
        <f t="shared" ca="1" si="485"/>
        <v>630</v>
      </c>
      <c r="DH175" s="5" t="str">
        <f t="shared" ca="1" si="486"/>
        <v>VIGENTE</v>
      </c>
      <c r="DI175" s="6"/>
      <c r="DJ175" s="39">
        <v>46073</v>
      </c>
      <c r="DK175" s="4">
        <f>DATE(YEAR(DJ175)+2,MONTH(DJ175),DAY(DJ175))</f>
        <v>46803</v>
      </c>
      <c r="DL175" s="8">
        <f t="shared" ca="1" si="487"/>
        <v>658</v>
      </c>
      <c r="DM175" s="5" t="str">
        <f t="shared" ca="1" si="488"/>
        <v>VIGENTE</v>
      </c>
      <c r="DN175" s="4"/>
      <c r="DO175" s="4">
        <v>46007</v>
      </c>
      <c r="DP175" s="4">
        <f>DATE(YEAR(DO175)+2,MONTH(DO175),DAY(DO175))</f>
        <v>46737</v>
      </c>
      <c r="DQ175" s="8">
        <f t="shared" ca="1" si="489"/>
        <v>592</v>
      </c>
      <c r="DR175" s="5" t="str">
        <f t="shared" ca="1" si="490"/>
        <v>VIGENTE</v>
      </c>
      <c r="DS175" s="4"/>
      <c r="DT175" s="4">
        <v>46018</v>
      </c>
      <c r="DU175" s="4">
        <f>DATE(YEAR(DT175)+2,MONTH(DT175),DAY(DT175))</f>
        <v>46748</v>
      </c>
      <c r="DV175" s="8">
        <f t="shared" ca="1" si="491"/>
        <v>603</v>
      </c>
      <c r="DW175" s="5" t="str">
        <f t="shared" ca="1" si="492"/>
        <v>VIGENTE</v>
      </c>
      <c r="DX175" s="4"/>
      <c r="DY175" s="4">
        <v>46099</v>
      </c>
      <c r="DZ175" s="4">
        <f>DATE(YEAR(DY175)+2,MONTH(DY175),DAY(DY175))</f>
        <v>46830</v>
      </c>
      <c r="EA175" s="8">
        <f t="shared" ca="1" si="493"/>
        <v>685</v>
      </c>
      <c r="EB175" s="5" t="str">
        <f t="shared" ca="1" si="494"/>
        <v>VIGENTE</v>
      </c>
      <c r="EC175" s="4"/>
      <c r="ED175" s="39">
        <v>45994</v>
      </c>
      <c r="EE175" s="4">
        <f>DATE(YEAR(ED175)+2,MONTH(ED175),DAY(ED175))</f>
        <v>46724</v>
      </c>
      <c r="EF175" s="8">
        <f t="shared" ca="1" si="495"/>
        <v>579</v>
      </c>
      <c r="EG175" s="5" t="str">
        <f t="shared" ca="1" si="496"/>
        <v>VIGENTE</v>
      </c>
      <c r="EH175" s="3"/>
      <c r="EI175" s="3">
        <v>46085</v>
      </c>
      <c r="EJ175" s="4">
        <f t="shared" si="558"/>
        <v>46450</v>
      </c>
      <c r="EK175" s="8">
        <f t="shared" ca="1" si="497"/>
        <v>305</v>
      </c>
      <c r="EL175" s="5" t="str">
        <f t="shared" ca="1" si="498"/>
        <v>VIGENTE</v>
      </c>
      <c r="EM175" s="4"/>
      <c r="EN175" s="4">
        <v>45995</v>
      </c>
      <c r="EO175" s="4">
        <f>DATE(YEAR(EN175)+2,MONTH(EN175),DAY(EN175))</f>
        <v>46725</v>
      </c>
      <c r="EP175" s="8">
        <f t="shared" ca="1" si="499"/>
        <v>580</v>
      </c>
      <c r="EQ175" s="5" t="str">
        <f t="shared" ca="1" si="500"/>
        <v>VIGENTE</v>
      </c>
      <c r="ER175" s="6"/>
      <c r="ES175" s="39">
        <v>45999</v>
      </c>
      <c r="ET175" s="4">
        <f>DATE(YEAR(ES175)+2,MONTH(ES175),DAY(ES175))</f>
        <v>46729</v>
      </c>
      <c r="EU175" s="8">
        <f t="shared" ca="1" si="501"/>
        <v>584</v>
      </c>
      <c r="EV175" s="5" t="str">
        <f t="shared" ca="1" si="502"/>
        <v>VIGENTE</v>
      </c>
      <c r="EW175" s="4"/>
      <c r="EX175" s="4">
        <v>46037</v>
      </c>
      <c r="EY175" s="4">
        <f>DATE(YEAR(EX175)+2,MONTH(EX175),DAY(EX175))</f>
        <v>46767</v>
      </c>
      <c r="EZ175" s="8">
        <f t="shared" ca="1" si="503"/>
        <v>622</v>
      </c>
      <c r="FA175" s="5" t="str">
        <f t="shared" ca="1" si="504"/>
        <v>VIGENTE</v>
      </c>
      <c r="FB175" s="6"/>
      <c r="FC175" s="4">
        <v>46091</v>
      </c>
      <c r="FD175" s="4">
        <f>DATE(YEAR(FC175)+2,MONTH(FC175),DAY(FC175))</f>
        <v>46822</v>
      </c>
      <c r="FE175" s="8">
        <f t="shared" ca="1" si="505"/>
        <v>677</v>
      </c>
      <c r="FF175" s="5" t="str">
        <f t="shared" ca="1" si="506"/>
        <v>VIGENTE</v>
      </c>
      <c r="FG175" s="6"/>
      <c r="FH175" s="4">
        <v>45992</v>
      </c>
      <c r="FI175" s="4">
        <f>DATE(YEAR(FH175)+2,MONTH(FH175),DAY(FH175))</f>
        <v>46722</v>
      </c>
      <c r="FJ175" s="8">
        <f t="shared" ca="1" si="507"/>
        <v>577</v>
      </c>
      <c r="FK175" s="5" t="str">
        <f t="shared" ca="1" si="508"/>
        <v>VIGENTE</v>
      </c>
      <c r="FL175" s="4"/>
      <c r="FM175" s="39">
        <v>46102</v>
      </c>
      <c r="FN175" s="4">
        <f>DATE(YEAR(FM175)+2,MONTH(FM175),DAY(FM175))</f>
        <v>46833</v>
      </c>
      <c r="FO175" s="8">
        <f t="shared" ca="1" si="509"/>
        <v>688</v>
      </c>
      <c r="FP175" s="5" t="str">
        <f t="shared" ca="1" si="510"/>
        <v>VIGENTE</v>
      </c>
      <c r="FQ175" s="4"/>
      <c r="FR175" s="39">
        <v>46034</v>
      </c>
      <c r="FS175" s="4">
        <f>DATE(YEAR(FR175)+2,MONTH(FR175),DAY(FR175))</f>
        <v>46764</v>
      </c>
      <c r="FT175" s="8">
        <f t="shared" ca="1" si="511"/>
        <v>619</v>
      </c>
      <c r="FU175" s="5" t="str">
        <f t="shared" ca="1" si="512"/>
        <v>VIGENTE</v>
      </c>
      <c r="FV175" s="4"/>
      <c r="FW175" s="4">
        <v>46014</v>
      </c>
      <c r="FX175" s="4">
        <f>DATE(YEAR(FW175)+2,MONTH(FW175),DAY(FW175))</f>
        <v>46744</v>
      </c>
      <c r="FY175" s="8">
        <f t="shared" ca="1" si="513"/>
        <v>599</v>
      </c>
      <c r="FZ175" s="5" t="str">
        <f t="shared" ca="1" si="514"/>
        <v>VIGENTE</v>
      </c>
      <c r="GA175" s="4"/>
      <c r="GB175" s="4">
        <v>46030</v>
      </c>
      <c r="GC175" s="4">
        <f>DATE(YEAR(GB175)+2,MONTH(GB175),DAY(GB175))</f>
        <v>46760</v>
      </c>
      <c r="GD175" s="8">
        <f t="shared" ca="1" si="515"/>
        <v>615</v>
      </c>
      <c r="GE175" s="5" t="str">
        <f t="shared" ca="1" si="516"/>
        <v>VIGENTE</v>
      </c>
      <c r="GF175" s="4"/>
      <c r="GG175" s="4">
        <v>46079</v>
      </c>
      <c r="GH175" s="4">
        <f>DATE(YEAR(GG175)+2,MONTH(GG175),DAY(GG175))</f>
        <v>46809</v>
      </c>
      <c r="GI175" s="8">
        <f t="shared" ca="1" si="517"/>
        <v>664</v>
      </c>
      <c r="GJ175" s="5" t="str">
        <f t="shared" ca="1" si="518"/>
        <v>VIGENTE</v>
      </c>
      <c r="GK175" s="3"/>
      <c r="GL175" s="4">
        <v>46044</v>
      </c>
      <c r="GM175" s="4">
        <f>DATE(YEAR(GL175)+2,MONTH(GL175),DAY(GL175))</f>
        <v>46774</v>
      </c>
      <c r="GN175" s="8">
        <f t="shared" ca="1" si="519"/>
        <v>629</v>
      </c>
      <c r="GO175" s="5" t="str">
        <f t="shared" ca="1" si="520"/>
        <v>VIGENTE</v>
      </c>
      <c r="GP175" s="4"/>
      <c r="GQ175" s="4">
        <v>45367</v>
      </c>
      <c r="GR175" s="4">
        <f t="shared" si="521"/>
        <v>47193</v>
      </c>
      <c r="GS175" s="8">
        <f t="shared" ca="1" si="601"/>
        <v>1048</v>
      </c>
      <c r="GT175" s="5" t="str">
        <f t="shared" ca="1" si="606"/>
        <v>VIGENTE</v>
      </c>
      <c r="GU175" s="4"/>
      <c r="GV175" s="4">
        <v>45342</v>
      </c>
      <c r="GW175" s="4">
        <f t="shared" si="522"/>
        <v>47169</v>
      </c>
      <c r="GX175" s="8">
        <f t="shared" ca="1" si="523"/>
        <v>1024</v>
      </c>
      <c r="GY175" s="5" t="str">
        <f t="shared" ca="1" si="426"/>
        <v>VIGENTE</v>
      </c>
      <c r="GZ175" s="6"/>
      <c r="HA175" s="4">
        <v>45348</v>
      </c>
      <c r="HB175" s="4">
        <f t="shared" si="524"/>
        <v>47175</v>
      </c>
      <c r="HC175" s="8">
        <f t="shared" ca="1" si="525"/>
        <v>1030</v>
      </c>
      <c r="HD175" s="5" t="str">
        <f t="shared" ca="1" si="607"/>
        <v>VIGENTE</v>
      </c>
      <c r="HE175" s="6"/>
      <c r="HF175" s="4">
        <v>45404</v>
      </c>
      <c r="HG175" s="4">
        <f t="shared" si="603"/>
        <v>47230</v>
      </c>
      <c r="HH175" s="8">
        <f t="shared" ca="1" si="604"/>
        <v>1085</v>
      </c>
      <c r="HI175" s="5" t="str">
        <f t="shared" ca="1" si="427"/>
        <v>VIGENTE</v>
      </c>
      <c r="HJ175" s="6"/>
      <c r="HK175" s="6"/>
      <c r="HL175" s="4"/>
      <c r="HM175" s="8"/>
      <c r="HN175" s="5" t="str">
        <f t="shared" si="444"/>
        <v>NO APLICA</v>
      </c>
      <c r="HO175" s="2"/>
      <c r="HP175" s="2"/>
      <c r="HQ175" s="4"/>
      <c r="HR175" s="2"/>
      <c r="HS175" s="5" t="str">
        <f t="shared" si="526"/>
        <v>NO APLICA</v>
      </c>
      <c r="HT175" s="6"/>
      <c r="HU175" s="4">
        <v>45359</v>
      </c>
      <c r="HV175" s="4">
        <f>DATE(YEAR(HU175)+5,MONTH(HU175),DAY(HU175))</f>
        <v>47185</v>
      </c>
      <c r="HW175" s="8">
        <f ca="1">HV175-TODAY()</f>
        <v>1040</v>
      </c>
      <c r="HX175" s="5" t="str">
        <f t="shared" ca="1" si="527"/>
        <v>VIGENTE</v>
      </c>
      <c r="HY175" s="6"/>
      <c r="HZ175" s="4">
        <v>45360</v>
      </c>
      <c r="IA175" s="4">
        <f>DATE(YEAR(HZ175)+5,MONTH(HZ175),DAY(HZ175))</f>
        <v>47186</v>
      </c>
      <c r="IB175" s="8">
        <f ca="1">IA175-TODAY()</f>
        <v>1041</v>
      </c>
      <c r="IC175" s="5" t="str">
        <f t="shared" ca="1" si="528"/>
        <v>VIGENTE</v>
      </c>
      <c r="ID175" s="6"/>
      <c r="IE175" s="6"/>
      <c r="IF175" s="4"/>
      <c r="IG175" s="8"/>
      <c r="IH175" s="5" t="str">
        <f t="shared" si="529"/>
        <v>NO APLICA</v>
      </c>
      <c r="II175" s="6"/>
      <c r="IJ175" s="4">
        <v>45399</v>
      </c>
      <c r="IK175" s="4">
        <f>DATE(YEAR(IJ175)+5,MONTH(IJ175),DAY(IJ175))</f>
        <v>47225</v>
      </c>
      <c r="IL175" s="8">
        <f ca="1">IK175-TODAY()</f>
        <v>1080</v>
      </c>
      <c r="IM175" s="5" t="str">
        <f t="shared" ca="1" si="530"/>
        <v>VIGENTE</v>
      </c>
      <c r="IN175" s="6"/>
      <c r="IO175" s="4">
        <v>45349</v>
      </c>
      <c r="IP175" s="4">
        <f>DATE(YEAR(IO175)+5,MONTH(IO175),DAY(IO175))</f>
        <v>47176</v>
      </c>
      <c r="IQ175" s="8">
        <f ca="1">IP175-TODAY()</f>
        <v>1031</v>
      </c>
      <c r="IR175" s="5" t="str">
        <f t="shared" ca="1" si="531"/>
        <v>VIGENTE</v>
      </c>
      <c r="IS175" s="6"/>
      <c r="IT175" s="4">
        <v>45338</v>
      </c>
      <c r="IU175" s="4">
        <f>DATE(YEAR(IT175)+5,MONTH(IT175),DAY(IT175))</f>
        <v>47165</v>
      </c>
      <c r="IV175" s="8">
        <f ca="1">IU175-TODAY()</f>
        <v>1020</v>
      </c>
      <c r="IW175" s="5" t="str">
        <f t="shared" ca="1" si="532"/>
        <v>VIGENTE</v>
      </c>
      <c r="IX175" s="6"/>
      <c r="IY175" s="4">
        <v>45339</v>
      </c>
      <c r="IZ175" s="4">
        <f>DATE(YEAR(IY175)+5,MONTH(IY175),DAY(IY175))</f>
        <v>47166</v>
      </c>
      <c r="JA175" s="8">
        <f ca="1">IZ175-TODAY()</f>
        <v>1021</v>
      </c>
      <c r="JB175" s="5" t="str">
        <f t="shared" ca="1" si="533"/>
        <v>VIGENTE</v>
      </c>
      <c r="JC175" s="3" t="s">
        <v>780</v>
      </c>
      <c r="JD175" s="3"/>
      <c r="JE175" s="4"/>
      <c r="JF175" s="8"/>
      <c r="JG175" s="5"/>
      <c r="JH175" s="3" t="s">
        <v>780</v>
      </c>
      <c r="JI175" s="6"/>
      <c r="JJ175" s="6"/>
      <c r="JK175" s="6"/>
      <c r="JL175" s="5"/>
      <c r="JM175" s="6" t="s">
        <v>780</v>
      </c>
      <c r="JN175" s="6"/>
      <c r="JO175" s="6"/>
      <c r="JP175" s="6"/>
      <c r="JQ175" s="5"/>
      <c r="JR175" s="6" t="s">
        <v>780</v>
      </c>
      <c r="JS175" s="6"/>
      <c r="JT175" s="6"/>
      <c r="JU175" s="6"/>
      <c r="JV175" s="5"/>
      <c r="JW175" s="6" t="s">
        <v>780</v>
      </c>
      <c r="JX175" s="5"/>
      <c r="JY175" s="5"/>
      <c r="JZ175" s="5"/>
      <c r="KA175" s="5"/>
      <c r="KB175" s="5"/>
      <c r="KC175" s="2"/>
      <c r="KD175" s="4"/>
      <c r="KE175" s="8"/>
      <c r="KF175" s="5" t="str">
        <f t="shared" si="534"/>
        <v>NO APLICA</v>
      </c>
      <c r="KG175" s="5"/>
      <c r="KH175" s="6"/>
      <c r="KI175" s="4"/>
      <c r="KJ175" s="8"/>
      <c r="KK175" s="5" t="str">
        <f t="shared" si="559"/>
        <v>NO APLICA</v>
      </c>
      <c r="KL175" s="5"/>
      <c r="KM175" s="2"/>
      <c r="KN175" s="4"/>
      <c r="KO175" s="8"/>
      <c r="KP175" s="5" t="str">
        <f t="shared" si="535"/>
        <v>NO APLICA</v>
      </c>
      <c r="KQ175" s="5"/>
      <c r="KR175" s="3">
        <v>45346</v>
      </c>
      <c r="KS175" s="4">
        <f>DATE(YEAR(KR175)+5,MONTH(KR175),DAY(KR175))</f>
        <v>47173</v>
      </c>
      <c r="KT175" s="8">
        <f ca="1">KS175-TODAY()</f>
        <v>1028</v>
      </c>
      <c r="KU175" s="5" t="str">
        <f t="shared" ca="1" si="560"/>
        <v>VIGENTE</v>
      </c>
      <c r="KV175" s="6"/>
      <c r="KW175" s="6"/>
      <c r="KX175" s="4"/>
      <c r="KY175" s="6"/>
      <c r="KZ175" s="5" t="str">
        <f t="shared" si="565"/>
        <v>NO APLICA</v>
      </c>
      <c r="LA175" s="5"/>
      <c r="LB175" s="6"/>
      <c r="LC175" s="4"/>
      <c r="LD175" s="6"/>
      <c r="LE175" s="5" t="str">
        <f t="shared" si="561"/>
        <v>NO APLICA</v>
      </c>
      <c r="LF175" s="6"/>
      <c r="LG175" s="6"/>
      <c r="LH175" s="6"/>
      <c r="LI175" s="6"/>
      <c r="LJ175" s="5" t="str">
        <f t="shared" si="600"/>
        <v>NO APLICA</v>
      </c>
      <c r="LK175" s="5"/>
      <c r="LL175" s="5"/>
      <c r="LM175" s="4"/>
      <c r="LN175" s="8"/>
      <c r="LO175" s="5" t="str">
        <f t="shared" si="566"/>
        <v>NO APLICA</v>
      </c>
      <c r="LP175" s="6"/>
      <c r="LQ175" s="6"/>
      <c r="LR175" s="4"/>
      <c r="LS175" s="8"/>
      <c r="LT175" s="5" t="str">
        <f t="shared" si="562"/>
        <v>NO APLICA</v>
      </c>
      <c r="LU175" s="6"/>
      <c r="LV175" s="6"/>
      <c r="LW175" s="4"/>
      <c r="LX175" s="6"/>
      <c r="LY175" s="5" t="str">
        <f t="shared" si="563"/>
        <v>NO APLICA</v>
      </c>
      <c r="LZ175" s="6"/>
      <c r="MA175" s="6"/>
      <c r="MB175" s="4"/>
      <c r="MC175" s="6"/>
      <c r="MD175" s="5" t="str">
        <f t="shared" si="564"/>
        <v>NO APLICA</v>
      </c>
      <c r="ME175" s="6"/>
      <c r="MF175" s="6"/>
      <c r="MG175" s="4"/>
      <c r="MH175" s="6"/>
      <c r="MI175" s="5" t="str">
        <f t="shared" si="537"/>
        <v>NO APLICA</v>
      </c>
      <c r="MJ175" s="6"/>
      <c r="MK175" s="6"/>
      <c r="ML175" s="4"/>
      <c r="MM175" s="6"/>
      <c r="MN175" s="5" t="str">
        <f t="shared" si="538"/>
        <v>NO APLICA</v>
      </c>
      <c r="MO175" s="5"/>
      <c r="MP175" s="6"/>
      <c r="MQ175" s="4"/>
      <c r="MR175" s="6"/>
      <c r="MS175" s="5" t="str">
        <f t="shared" si="539"/>
        <v>NO APLICA</v>
      </c>
      <c r="MT175" s="5"/>
      <c r="MU175" s="6"/>
      <c r="MV175" s="6"/>
      <c r="MW175" s="6"/>
      <c r="MX175" s="5" t="str">
        <f t="shared" si="540"/>
        <v>NO APLICA</v>
      </c>
      <c r="MY175" s="6"/>
      <c r="MZ175" s="6"/>
      <c r="NA175" s="4"/>
      <c r="NB175" s="6"/>
      <c r="NC175" s="5" t="str">
        <f t="shared" si="541"/>
        <v>NO APLICA</v>
      </c>
      <c r="ND175" s="6"/>
      <c r="NE175" s="6"/>
      <c r="NF175" s="4"/>
      <c r="NG175" s="6"/>
      <c r="NH175" s="5" t="str">
        <f t="shared" si="542"/>
        <v>NO APLICA</v>
      </c>
      <c r="NI175" s="6"/>
      <c r="NJ175" s="6"/>
      <c r="NK175" s="4"/>
      <c r="NL175" s="6"/>
      <c r="NM175" s="5" t="str">
        <f t="shared" si="543"/>
        <v>NO APLICA</v>
      </c>
      <c r="NN175" s="6"/>
      <c r="NO175" s="6"/>
      <c r="NP175" s="4"/>
      <c r="NQ175" s="6"/>
      <c r="NR175" s="5" t="str">
        <f t="shared" si="544"/>
        <v>NO APLICA</v>
      </c>
      <c r="NS175" s="6"/>
      <c r="NT175" s="6"/>
      <c r="NU175" s="4"/>
      <c r="NV175" s="6"/>
      <c r="NW175" s="5" t="str">
        <f t="shared" si="545"/>
        <v>NO APLICA</v>
      </c>
      <c r="NX175" s="6"/>
      <c r="NY175" s="6"/>
      <c r="NZ175" s="4"/>
      <c r="OA175" s="8"/>
      <c r="OB175" s="5" t="str">
        <f t="shared" si="546"/>
        <v>NO APLICA</v>
      </c>
      <c r="OC175" s="6"/>
      <c r="OD175" s="6"/>
      <c r="OE175" s="6"/>
      <c r="OF175" s="6"/>
      <c r="OG175" s="5" t="str">
        <f t="shared" si="547"/>
        <v>NO APLICA</v>
      </c>
      <c r="OH175" s="6"/>
      <c r="OI175" s="6"/>
      <c r="OJ175" s="6"/>
      <c r="OK175" s="6"/>
      <c r="OL175" s="5" t="str">
        <f t="shared" si="548"/>
        <v>NO APLICA</v>
      </c>
      <c r="OM175" s="6"/>
      <c r="ON175" s="6"/>
      <c r="OO175" s="6"/>
      <c r="OP175" s="6"/>
      <c r="OQ175" s="5" t="str">
        <f t="shared" si="549"/>
        <v>NO APLICA</v>
      </c>
      <c r="OR175" s="6"/>
      <c r="OS175" s="6"/>
      <c r="OT175" s="6"/>
      <c r="OU175" s="6"/>
      <c r="OV175" s="5" t="str">
        <f t="shared" si="550"/>
        <v>NO APLICA</v>
      </c>
      <c r="OW175" s="6"/>
      <c r="OX175" s="6"/>
      <c r="OY175" s="6"/>
      <c r="OZ175" s="6"/>
      <c r="PA175" s="5" t="str">
        <f t="shared" si="551"/>
        <v>NO APLICA</v>
      </c>
      <c r="PB175" s="6"/>
      <c r="PC175" s="6"/>
      <c r="PD175" s="6"/>
      <c r="PE175" s="6"/>
      <c r="PF175" s="5" t="str">
        <f t="shared" si="552"/>
        <v>NO APLICA</v>
      </c>
      <c r="PG175" s="6"/>
      <c r="PH175" s="6"/>
      <c r="PI175" s="6"/>
      <c r="PJ175" s="6"/>
      <c r="PK175" s="5" t="str">
        <f t="shared" si="553"/>
        <v>NO APLICA</v>
      </c>
      <c r="PL175" s="5"/>
      <c r="PM175" s="6"/>
      <c r="PN175" s="6"/>
      <c r="PO175" s="6"/>
      <c r="PP175" s="5" t="str">
        <f t="shared" si="554"/>
        <v>NO APLICA</v>
      </c>
      <c r="PQ175" s="6"/>
      <c r="PR175" s="6"/>
      <c r="PS175" s="6"/>
      <c r="PT175" s="6"/>
      <c r="PU175" s="5" t="str">
        <f t="shared" si="555"/>
        <v>NO APLICA</v>
      </c>
      <c r="PV175" s="5"/>
      <c r="PW175" s="6"/>
      <c r="PX175" s="6"/>
      <c r="PY175" s="6"/>
      <c r="PZ175" s="5" t="str">
        <f t="shared" si="556"/>
        <v>NO APLICA</v>
      </c>
    </row>
    <row r="176" spans="1:442" ht="15.6" hidden="1" thickTop="1" thickBot="1" x14ac:dyDescent="0.35">
      <c r="A176" s="26">
        <v>173</v>
      </c>
      <c r="B176" s="27">
        <v>1118</v>
      </c>
      <c r="C176" s="28" t="s">
        <v>769</v>
      </c>
      <c r="D176" s="29" t="s">
        <v>68</v>
      </c>
      <c r="E176" s="30" t="s">
        <v>73</v>
      </c>
      <c r="F176" s="6"/>
      <c r="G176" s="6"/>
      <c r="H176" s="6"/>
      <c r="I176" s="6"/>
      <c r="J176" s="5" t="str">
        <f t="shared" si="455"/>
        <v>NO APLICA</v>
      </c>
      <c r="K176" s="6"/>
      <c r="L176" s="6"/>
      <c r="M176" s="6"/>
      <c r="N176" s="6"/>
      <c r="O176" s="5" t="str">
        <f t="shared" si="456"/>
        <v>NO APLICA</v>
      </c>
      <c r="P176" s="4"/>
      <c r="Q176" s="4">
        <v>45822</v>
      </c>
      <c r="R176" s="4">
        <f>DATE(YEAR(Q176)+2,MONTH(Q176),DAY(Q176)-1)</f>
        <v>46551</v>
      </c>
      <c r="S176" s="8">
        <f ca="1">R176-TODAY()</f>
        <v>406</v>
      </c>
      <c r="T176" s="5" t="str">
        <f t="shared" ca="1" si="557"/>
        <v>VIGENTE</v>
      </c>
      <c r="U176" s="5"/>
      <c r="V176" s="6" t="s">
        <v>558</v>
      </c>
      <c r="W176" s="4">
        <v>45693</v>
      </c>
      <c r="X176" s="4">
        <f t="shared" si="587"/>
        <v>47519</v>
      </c>
      <c r="Y176" s="8">
        <f t="shared" ca="1" si="588"/>
        <v>1374</v>
      </c>
      <c r="Z176" s="5" t="str">
        <f t="shared" ca="1" si="605"/>
        <v>VIGENTE</v>
      </c>
      <c r="AA176" s="5"/>
      <c r="AB176" s="6"/>
      <c r="AC176" s="6"/>
      <c r="AD176" s="4"/>
      <c r="AE176" s="8"/>
      <c r="AF176" s="5" t="str">
        <f t="shared" si="457"/>
        <v>NO APLICA</v>
      </c>
      <c r="AG176" s="6"/>
      <c r="AH176" s="4">
        <v>45609</v>
      </c>
      <c r="AI176" s="4">
        <f>DATE(YEAR(AH176)+2,MONTH(AH176),DAY(AH176)-1)</f>
        <v>46338</v>
      </c>
      <c r="AJ176" s="8">
        <f t="shared" ca="1" si="458"/>
        <v>193</v>
      </c>
      <c r="AK176" s="5" t="str">
        <f t="shared" ca="1" si="602"/>
        <v>VIGENTE</v>
      </c>
      <c r="AL176" s="6"/>
      <c r="AM176" s="4">
        <v>45602</v>
      </c>
      <c r="AN176" s="4">
        <f>DATE(YEAR(AM176)+2,MONTH(AM176),DAY(AM176)-1)</f>
        <v>46331</v>
      </c>
      <c r="AO176" s="8">
        <f t="shared" ca="1" si="459"/>
        <v>186</v>
      </c>
      <c r="AP176" s="5" t="str">
        <f t="shared" ca="1" si="460"/>
        <v>VIGENTE</v>
      </c>
      <c r="AQ176" s="6"/>
      <c r="AR176" s="4">
        <v>45640</v>
      </c>
      <c r="AS176" s="4">
        <f>DATE(YEAR(AR176)+2,MONTH(AR176),DAY(AR176)-1)</f>
        <v>46369</v>
      </c>
      <c r="AT176" s="8">
        <f t="shared" ca="1" si="461"/>
        <v>224</v>
      </c>
      <c r="AU176" s="5" t="str">
        <f t="shared" ca="1" si="462"/>
        <v>VIGENTE</v>
      </c>
      <c r="AV176" s="6"/>
      <c r="AW176" s="4">
        <v>45644</v>
      </c>
      <c r="AX176" s="4">
        <f>DATE(YEAR(AW176)+2,MONTH(AW176),DAY(AW176)-1)</f>
        <v>46373</v>
      </c>
      <c r="AY176" s="8">
        <f t="shared" ca="1" si="463"/>
        <v>228</v>
      </c>
      <c r="AZ176" s="5" t="str">
        <f t="shared" ca="1" si="464"/>
        <v>VIGENTE</v>
      </c>
      <c r="BA176" s="4"/>
      <c r="BB176" s="4">
        <v>45603</v>
      </c>
      <c r="BC176" s="4">
        <f>DATE(YEAR(BB176)+2,MONTH(BB176),DAY(BB176)-1)</f>
        <v>46332</v>
      </c>
      <c r="BD176" s="8">
        <f t="shared" ca="1" si="465"/>
        <v>187</v>
      </c>
      <c r="BE176" s="5" t="str">
        <f t="shared" ca="1" si="466"/>
        <v>VIGENTE</v>
      </c>
      <c r="BF176" s="6"/>
      <c r="BG176" s="4">
        <v>45643</v>
      </c>
      <c r="BH176" s="4">
        <f>DATE(YEAR(BG176)+2,MONTH(BG176),DAY(BG176)-1)</f>
        <v>46372</v>
      </c>
      <c r="BI176" s="8">
        <f t="shared" ca="1" si="467"/>
        <v>227</v>
      </c>
      <c r="BJ176" s="5" t="str">
        <f t="shared" ca="1" si="468"/>
        <v>VIGENTE</v>
      </c>
      <c r="BK176" s="4"/>
      <c r="BL176" s="4">
        <v>45699</v>
      </c>
      <c r="BM176" s="4">
        <f>DATE(YEAR(BL176)+2,MONTH(BL176),DAY(BL176)-1)</f>
        <v>46428</v>
      </c>
      <c r="BN176" s="8">
        <f t="shared" ca="1" si="469"/>
        <v>283</v>
      </c>
      <c r="BO176" s="5" t="str">
        <f t="shared" ca="1" si="470"/>
        <v>VIGENTE</v>
      </c>
      <c r="BP176" s="4"/>
      <c r="BQ176" s="4">
        <v>45701</v>
      </c>
      <c r="BR176" s="4">
        <f>DATE(YEAR(BQ176)+2,MONTH(BQ176),DAY(BQ176)-1)</f>
        <v>46430</v>
      </c>
      <c r="BS176" s="8">
        <f t="shared" ca="1" si="471"/>
        <v>285</v>
      </c>
      <c r="BT176" s="5" t="str">
        <f t="shared" ca="1" si="472"/>
        <v>VIGENTE</v>
      </c>
      <c r="BU176" s="6"/>
      <c r="BV176" s="4">
        <v>45695</v>
      </c>
      <c r="BW176" s="4">
        <f>DATE(YEAR(BV176)+2,MONTH(BV176),DAY(BV176)-1)</f>
        <v>46424</v>
      </c>
      <c r="BX176" s="8">
        <f t="shared" ca="1" si="473"/>
        <v>279</v>
      </c>
      <c r="BY176" s="5" t="str">
        <f t="shared" ca="1" si="474"/>
        <v>VIGENTE</v>
      </c>
      <c r="BZ176" s="6"/>
      <c r="CA176" s="4">
        <v>45730</v>
      </c>
      <c r="CB176" s="4">
        <f>DATE(YEAR(CA176)+2,MONTH(CA176),DAY(CA176)-1)</f>
        <v>46459</v>
      </c>
      <c r="CC176" s="8">
        <f t="shared" ca="1" si="475"/>
        <v>314</v>
      </c>
      <c r="CD176" s="5" t="str">
        <f t="shared" ca="1" si="476"/>
        <v>VIGENTE</v>
      </c>
      <c r="CE176" s="6"/>
      <c r="CF176" s="4">
        <v>45723</v>
      </c>
      <c r="CG176" s="4">
        <f t="shared" si="590"/>
        <v>47184</v>
      </c>
      <c r="CH176" s="8">
        <f t="shared" ca="1" si="591"/>
        <v>1039</v>
      </c>
      <c r="CI176" s="5" t="str">
        <f t="shared" ca="1" si="573"/>
        <v>VIGENTE</v>
      </c>
      <c r="CJ176" s="6"/>
      <c r="CK176" s="4">
        <v>45688</v>
      </c>
      <c r="CL176" s="4">
        <f>DATE(YEAR(CK176)+2,MONTH(CK176),DAY(CK176)-1)</f>
        <v>46417</v>
      </c>
      <c r="CM176" s="8">
        <f t="shared" ca="1" si="477"/>
        <v>272</v>
      </c>
      <c r="CN176" s="5" t="str">
        <f t="shared" ca="1" si="478"/>
        <v>VIGENTE</v>
      </c>
      <c r="CO176" s="6"/>
      <c r="CP176" s="4">
        <v>45684</v>
      </c>
      <c r="CQ176" s="4">
        <f>DATE(YEAR(CP176)+2,MONTH(CP176),DAY(CP176)-1)</f>
        <v>46413</v>
      </c>
      <c r="CR176" s="8">
        <f t="shared" ca="1" si="479"/>
        <v>268</v>
      </c>
      <c r="CS176" s="5" t="str">
        <f t="shared" ca="1" si="480"/>
        <v>VIGENTE</v>
      </c>
      <c r="CT176" s="6"/>
      <c r="CU176" s="4">
        <v>45639</v>
      </c>
      <c r="CV176" s="4">
        <f>DATE(YEAR(CU176)+2,MONTH(CU176),DAY(CU176)-1)</f>
        <v>46368</v>
      </c>
      <c r="CW176" s="8">
        <f t="shared" ca="1" si="481"/>
        <v>223</v>
      </c>
      <c r="CX176" s="5" t="str">
        <f t="shared" ca="1" si="482"/>
        <v>VIGENTE</v>
      </c>
      <c r="CY176" s="4"/>
      <c r="CZ176" s="4">
        <v>45646</v>
      </c>
      <c r="DA176" s="4">
        <f>DATE(YEAR(CZ176)+2,MONTH(CZ176),DAY(CZ176)-1)</f>
        <v>46375</v>
      </c>
      <c r="DB176" s="8">
        <f t="shared" ca="1" si="483"/>
        <v>230</v>
      </c>
      <c r="DC176" s="5" t="str">
        <f t="shared" ca="1" si="484"/>
        <v>VIGENTE</v>
      </c>
      <c r="DD176" s="4"/>
      <c r="DE176" s="4">
        <v>45689</v>
      </c>
      <c r="DF176" s="4">
        <f>DATE(YEAR(DE176)+2,MONTH(DE176),DAY(DE176)-1)</f>
        <v>46418</v>
      </c>
      <c r="DG176" s="8">
        <f t="shared" ca="1" si="485"/>
        <v>273</v>
      </c>
      <c r="DH176" s="5" t="str">
        <f t="shared" ca="1" si="486"/>
        <v>VIGENTE</v>
      </c>
      <c r="DI176" s="6"/>
      <c r="DJ176" s="4">
        <v>45696</v>
      </c>
      <c r="DK176" s="4">
        <f>DATE(YEAR(DJ176)+2,MONTH(DJ176),DAY(DJ176)-1)</f>
        <v>46425</v>
      </c>
      <c r="DL176" s="8">
        <f t="shared" ca="1" si="487"/>
        <v>280</v>
      </c>
      <c r="DM176" s="5" t="str">
        <f t="shared" ca="1" si="488"/>
        <v>VIGENTE</v>
      </c>
      <c r="DN176" s="4"/>
      <c r="DO176" s="4">
        <v>45731</v>
      </c>
      <c r="DP176" s="4">
        <f>DATE(YEAR(DO176)+2,MONTH(DO176),DAY(DO176)-1)</f>
        <v>46460</v>
      </c>
      <c r="DQ176" s="8">
        <f t="shared" ca="1" si="489"/>
        <v>315</v>
      </c>
      <c r="DR176" s="5" t="str">
        <f t="shared" ca="1" si="490"/>
        <v>VIGENTE</v>
      </c>
      <c r="DS176" s="6"/>
      <c r="DT176" s="4">
        <v>45619</v>
      </c>
      <c r="DU176" s="4">
        <f>DATE(YEAR(DT176)+2,MONTH(DT176),DAY(DT176)-1)</f>
        <v>46348</v>
      </c>
      <c r="DV176" s="8">
        <f t="shared" ca="1" si="491"/>
        <v>203</v>
      </c>
      <c r="DW176" s="5" t="str">
        <f t="shared" ca="1" si="492"/>
        <v>VIGENTE</v>
      </c>
      <c r="DX176" s="4"/>
      <c r="DY176" s="4">
        <v>45663</v>
      </c>
      <c r="DZ176" s="4">
        <f>DATE(YEAR(DY176)+2,MONTH(DY176),DAY(DY176)-1)</f>
        <v>46392</v>
      </c>
      <c r="EA176" s="8">
        <f t="shared" ca="1" si="493"/>
        <v>247</v>
      </c>
      <c r="EB176" s="5" t="str">
        <f t="shared" ca="1" si="494"/>
        <v>VIGENTE</v>
      </c>
      <c r="EC176" s="4"/>
      <c r="ED176" s="4">
        <v>45642</v>
      </c>
      <c r="EE176" s="4">
        <f>DATE(YEAR(ED176)+2,MONTH(ED176),DAY(ED176)-1)</f>
        <v>46371</v>
      </c>
      <c r="EF176" s="8">
        <f t="shared" ca="1" si="495"/>
        <v>226</v>
      </c>
      <c r="EG176" s="5" t="str">
        <f t="shared" ca="1" si="496"/>
        <v>VIGENTE</v>
      </c>
      <c r="EH176" s="4"/>
      <c r="EI176" s="4">
        <v>46123</v>
      </c>
      <c r="EJ176" s="4">
        <f t="shared" si="558"/>
        <v>46488</v>
      </c>
      <c r="EK176" s="8">
        <f t="shared" ca="1" si="497"/>
        <v>343</v>
      </c>
      <c r="EL176" s="5" t="str">
        <f t="shared" ca="1" si="498"/>
        <v>VIGENTE</v>
      </c>
      <c r="EM176" s="4"/>
      <c r="EN176" s="4">
        <v>45612</v>
      </c>
      <c r="EO176" s="4">
        <f>DATE(YEAR(EN176)+2,MONTH(EN176),DAY(EN176)-1)</f>
        <v>46341</v>
      </c>
      <c r="EP176" s="8">
        <f t="shared" ca="1" si="499"/>
        <v>196</v>
      </c>
      <c r="EQ176" s="5" t="str">
        <f t="shared" ca="1" si="500"/>
        <v>VIGENTE</v>
      </c>
      <c r="ER176" s="6"/>
      <c r="ES176" s="4">
        <v>45677</v>
      </c>
      <c r="ET176" s="4">
        <f>DATE(YEAR(ES176)+2,MONTH(ES176),DAY(ES176)-1)</f>
        <v>46406</v>
      </c>
      <c r="EU176" s="8">
        <f t="shared" ca="1" si="501"/>
        <v>261</v>
      </c>
      <c r="EV176" s="5" t="str">
        <f t="shared" ca="1" si="502"/>
        <v>VIGENTE</v>
      </c>
      <c r="EW176" s="6"/>
      <c r="EX176" s="4">
        <v>45610</v>
      </c>
      <c r="EY176" s="4">
        <f>DATE(YEAR(EX176)+2,MONTH(EX176),DAY(EX176)-1)</f>
        <v>46339</v>
      </c>
      <c r="EZ176" s="8">
        <f t="shared" ca="1" si="503"/>
        <v>194</v>
      </c>
      <c r="FA176" s="5" t="str">
        <f t="shared" ca="1" si="504"/>
        <v>VIGENTE</v>
      </c>
      <c r="FB176" s="6"/>
      <c r="FC176" s="4">
        <v>45611</v>
      </c>
      <c r="FD176" s="4">
        <f>DATE(YEAR(FC176)+2,MONTH(FC176),DAY(FC176)-1)</f>
        <v>46340</v>
      </c>
      <c r="FE176" s="8">
        <f t="shared" ca="1" si="505"/>
        <v>195</v>
      </c>
      <c r="FF176" s="5" t="str">
        <f t="shared" ca="1" si="506"/>
        <v>VIGENTE</v>
      </c>
      <c r="FG176" s="6"/>
      <c r="FH176" s="4">
        <v>45668</v>
      </c>
      <c r="FI176" s="4">
        <f>DATE(YEAR(FH176)+2,MONTH(FH176),DAY(FH176)-1)</f>
        <v>46397</v>
      </c>
      <c r="FJ176" s="8">
        <f t="shared" ca="1" si="507"/>
        <v>252</v>
      </c>
      <c r="FK176" s="5" t="str">
        <f t="shared" ca="1" si="508"/>
        <v>VIGENTE</v>
      </c>
      <c r="FL176" s="4"/>
      <c r="FM176" s="4">
        <v>45637</v>
      </c>
      <c r="FN176" s="4">
        <f>DATE(YEAR(FM176)+2,MONTH(FM176),DAY(FM176)-1)</f>
        <v>46366</v>
      </c>
      <c r="FO176" s="8">
        <f t="shared" ca="1" si="509"/>
        <v>221</v>
      </c>
      <c r="FP176" s="5" t="str">
        <f t="shared" ca="1" si="510"/>
        <v>VIGENTE</v>
      </c>
      <c r="FQ176" s="4"/>
      <c r="FR176" s="4">
        <v>45605</v>
      </c>
      <c r="FS176" s="4">
        <f>DATE(YEAR(FR176)+2,MONTH(FR176),DAY(FR176)-1)</f>
        <v>46334</v>
      </c>
      <c r="FT176" s="8">
        <f t="shared" ca="1" si="511"/>
        <v>189</v>
      </c>
      <c r="FU176" s="5" t="str">
        <f t="shared" ca="1" si="512"/>
        <v>VIGENTE</v>
      </c>
      <c r="FV176" s="4"/>
      <c r="FW176" s="4">
        <v>45700</v>
      </c>
      <c r="FX176" s="4">
        <f>DATE(YEAR(FW176)+2,MONTH(FW176),DAY(FW176)-1)</f>
        <v>46429</v>
      </c>
      <c r="FY176" s="8">
        <f t="shared" ca="1" si="513"/>
        <v>284</v>
      </c>
      <c r="FZ176" s="5" t="str">
        <f t="shared" ca="1" si="514"/>
        <v>VIGENTE</v>
      </c>
      <c r="GA176" s="4"/>
      <c r="GB176" s="4">
        <v>45626</v>
      </c>
      <c r="GC176" s="4">
        <f>DATE(YEAR(GB176)+2,MONTH(GB176),DAY(GB176)-1)</f>
        <v>46355</v>
      </c>
      <c r="GD176" s="8">
        <f t="shared" ca="1" si="515"/>
        <v>210</v>
      </c>
      <c r="GE176" s="5" t="str">
        <f t="shared" ca="1" si="516"/>
        <v>VIGENTE</v>
      </c>
      <c r="GF176" s="4"/>
      <c r="GG176" s="4">
        <v>45672</v>
      </c>
      <c r="GH176" s="4">
        <f>DATE(YEAR(GG176)+2,MONTH(GG176),DAY(GG176)-1)</f>
        <v>46401</v>
      </c>
      <c r="GI176" s="8">
        <f t="shared" ca="1" si="517"/>
        <v>256</v>
      </c>
      <c r="GJ176" s="5" t="str">
        <f t="shared" ca="1" si="518"/>
        <v>VIGENTE</v>
      </c>
      <c r="GK176" s="4"/>
      <c r="GL176" s="4">
        <v>45608</v>
      </c>
      <c r="GM176" s="4">
        <f>DATE(YEAR(GL176)+2,MONTH(GL176),DAY(GL176)-1)</f>
        <v>46337</v>
      </c>
      <c r="GN176" s="8">
        <f t="shared" ca="1" si="519"/>
        <v>192</v>
      </c>
      <c r="GO176" s="5" t="str">
        <f t="shared" ca="1" si="520"/>
        <v>VIGENTE</v>
      </c>
      <c r="GP176" s="4"/>
      <c r="GQ176" s="6"/>
      <c r="GR176" s="4"/>
      <c r="GS176" s="8"/>
      <c r="GT176" s="5" t="str">
        <f>IF(GS176&gt;=61,"VIGENTE",IF(GS176&gt;=1,"POR VENCER",IF(GS176&lt;=-1,"PROGRAMAR",IF(GQ176=0,"NO APLICA"))))</f>
        <v>NO APLICA</v>
      </c>
      <c r="GU176" s="4"/>
      <c r="GV176" s="6"/>
      <c r="GW176" s="4"/>
      <c r="GX176" s="8"/>
      <c r="GY176" s="5" t="str">
        <f>IF(GX176&gt;=61,"VIGENTE",IF(GX176&gt;=1,"POR VENCER",IF(GX176&lt;=-1,"PROGRAMAR",IF(GV176=0,"NO APLICA"))))</f>
        <v>NO APLICA</v>
      </c>
      <c r="GZ176" s="6"/>
      <c r="HA176" s="6"/>
      <c r="HB176" s="4"/>
      <c r="HC176" s="8"/>
      <c r="HD176" s="5" t="str">
        <f>IF(HC176&gt;=61,"VIGENTE",IF(HC176&gt;=1,"POR VENCER",IF(HC176&lt;=-1,"PROGRAMAR",IF(HA176=0,"NO APLICA"))))</f>
        <v>NO APLICA</v>
      </c>
      <c r="HE176" s="6"/>
      <c r="HF176" s="6"/>
      <c r="HG176" s="4"/>
      <c r="HH176" s="8"/>
      <c r="HI176" s="5" t="str">
        <f>IF(HH176&gt;=61,"VIGENTE",IF(HH176&gt;=1,"POR VENCER",IF(HH176&lt;=-1,"PROGRAMAR",IF(HF176=0,"NO APLICA"))))</f>
        <v>NO APLICA</v>
      </c>
      <c r="HJ176" s="6"/>
      <c r="HK176" s="6"/>
      <c r="HL176" s="6"/>
      <c r="HM176" s="6"/>
      <c r="HN176" s="5" t="str">
        <f t="shared" si="444"/>
        <v>NO APLICA</v>
      </c>
      <c r="HO176" s="6"/>
      <c r="HP176" s="6"/>
      <c r="HQ176" s="6"/>
      <c r="HR176" s="6"/>
      <c r="HS176" s="5" t="str">
        <f t="shared" si="526"/>
        <v>NO APLICA</v>
      </c>
      <c r="HT176" s="6"/>
      <c r="HU176" s="6"/>
      <c r="HV176" s="6"/>
      <c r="HW176" s="6"/>
      <c r="HX176" s="5" t="str">
        <f t="shared" si="527"/>
        <v>NO APLICA</v>
      </c>
      <c r="HY176" s="6"/>
      <c r="HZ176" s="6"/>
      <c r="IA176" s="6"/>
      <c r="IB176" s="6"/>
      <c r="IC176" s="5" t="str">
        <f t="shared" si="528"/>
        <v>NO APLICA</v>
      </c>
      <c r="ID176" s="6"/>
      <c r="IE176" s="6"/>
      <c r="IF176" s="6"/>
      <c r="IG176" s="6"/>
      <c r="IH176" s="5" t="str">
        <f t="shared" si="529"/>
        <v>NO APLICA</v>
      </c>
      <c r="II176" s="6"/>
      <c r="IJ176" s="6"/>
      <c r="IK176" s="6"/>
      <c r="IL176" s="6"/>
      <c r="IM176" s="5" t="str">
        <f t="shared" si="530"/>
        <v>NO APLICA</v>
      </c>
      <c r="IN176" s="6"/>
      <c r="IO176" s="6"/>
      <c r="IP176" s="6"/>
      <c r="IQ176" s="6"/>
      <c r="IR176" s="5" t="str">
        <f t="shared" si="531"/>
        <v>NO APLICA</v>
      </c>
      <c r="IS176" s="6"/>
      <c r="IT176" s="6"/>
      <c r="IU176" s="6"/>
      <c r="IV176" s="6"/>
      <c r="IW176" s="5" t="str">
        <f t="shared" si="532"/>
        <v>NO APLICA</v>
      </c>
      <c r="IX176" s="6"/>
      <c r="IY176" s="6"/>
      <c r="IZ176" s="6"/>
      <c r="JA176" s="6"/>
      <c r="JB176" s="5" t="str">
        <f t="shared" si="533"/>
        <v>NO APLICA</v>
      </c>
      <c r="JC176" s="3" t="s">
        <v>780</v>
      </c>
      <c r="JD176" s="6"/>
      <c r="JE176" s="6"/>
      <c r="JF176" s="6"/>
      <c r="JG176" s="5"/>
      <c r="JH176" s="3" t="s">
        <v>780</v>
      </c>
      <c r="JI176" s="6"/>
      <c r="JJ176" s="6"/>
      <c r="JK176" s="6"/>
      <c r="JL176" s="5"/>
      <c r="JM176" s="6" t="s">
        <v>780</v>
      </c>
      <c r="JN176" s="6"/>
      <c r="JO176" s="6"/>
      <c r="JP176" s="6"/>
      <c r="JQ176" s="5"/>
      <c r="JR176" s="6" t="s">
        <v>780</v>
      </c>
      <c r="JS176" s="6"/>
      <c r="JT176" s="6"/>
      <c r="JU176" s="6"/>
      <c r="JV176" s="5"/>
      <c r="JW176" s="6" t="s">
        <v>780</v>
      </c>
      <c r="JX176" s="5"/>
      <c r="JY176" s="5"/>
      <c r="JZ176" s="5"/>
      <c r="KA176" s="5"/>
      <c r="KB176" s="5"/>
      <c r="KC176" s="6"/>
      <c r="KD176" s="6"/>
      <c r="KE176" s="6"/>
      <c r="KF176" s="5" t="str">
        <f t="shared" si="534"/>
        <v>NO APLICA</v>
      </c>
      <c r="KG176" s="5"/>
      <c r="KH176" s="6"/>
      <c r="KI176" s="6"/>
      <c r="KJ176" s="6"/>
      <c r="KK176" s="5" t="str">
        <f t="shared" si="559"/>
        <v>NO APLICA</v>
      </c>
      <c r="KL176" s="5"/>
      <c r="KM176" s="6"/>
      <c r="KN176" s="6"/>
      <c r="KO176" s="6"/>
      <c r="KP176" s="5" t="str">
        <f t="shared" si="535"/>
        <v>NO APLICA</v>
      </c>
      <c r="KQ176" s="5"/>
      <c r="KR176" s="6"/>
      <c r="KS176" s="6"/>
      <c r="KT176" s="6"/>
      <c r="KU176" s="5" t="str">
        <f t="shared" si="560"/>
        <v>NO APLICA</v>
      </c>
      <c r="KV176" s="6"/>
      <c r="KW176" s="6"/>
      <c r="KX176" s="6"/>
      <c r="KY176" s="6"/>
      <c r="KZ176" s="5" t="str">
        <f t="shared" si="565"/>
        <v>NO APLICA</v>
      </c>
      <c r="LA176" s="5"/>
      <c r="LB176" s="6"/>
      <c r="LC176" s="6"/>
      <c r="LD176" s="6"/>
      <c r="LE176" s="5" t="str">
        <f t="shared" si="561"/>
        <v>NO APLICA</v>
      </c>
      <c r="LF176" s="6"/>
      <c r="LG176" s="6"/>
      <c r="LH176" s="6"/>
      <c r="LI176" s="6"/>
      <c r="LJ176" s="5" t="str">
        <f t="shared" si="600"/>
        <v>NO APLICA</v>
      </c>
      <c r="LK176" s="5"/>
      <c r="LL176" s="5"/>
      <c r="LM176" s="5"/>
      <c r="LN176" s="5"/>
      <c r="LO176" s="5" t="str">
        <f t="shared" si="566"/>
        <v>NO APLICA</v>
      </c>
      <c r="LP176" s="6"/>
      <c r="LQ176" s="6"/>
      <c r="LR176" s="6"/>
      <c r="LS176" s="6"/>
      <c r="LT176" s="5" t="str">
        <f t="shared" si="562"/>
        <v>NO APLICA</v>
      </c>
      <c r="LU176" s="6"/>
      <c r="LV176" s="6"/>
      <c r="LW176" s="6"/>
      <c r="LX176" s="6"/>
      <c r="LY176" s="5" t="str">
        <f t="shared" si="563"/>
        <v>NO APLICA</v>
      </c>
      <c r="LZ176" s="6"/>
      <c r="MA176" s="6"/>
      <c r="MB176" s="6"/>
      <c r="MC176" s="6"/>
      <c r="MD176" s="5" t="str">
        <f t="shared" si="564"/>
        <v>NO APLICA</v>
      </c>
      <c r="ME176" s="6"/>
      <c r="MF176" s="6"/>
      <c r="MG176" s="6"/>
      <c r="MH176" s="6"/>
      <c r="MI176" s="5" t="str">
        <f t="shared" si="537"/>
        <v>NO APLICA</v>
      </c>
      <c r="MJ176" s="6"/>
      <c r="MK176" s="6"/>
      <c r="ML176" s="6"/>
      <c r="MM176" s="6"/>
      <c r="MN176" s="5" t="str">
        <f t="shared" si="538"/>
        <v>NO APLICA</v>
      </c>
      <c r="MO176" s="5"/>
      <c r="MP176" s="6"/>
      <c r="MQ176" s="6"/>
      <c r="MR176" s="6"/>
      <c r="MS176" s="5" t="str">
        <f t="shared" si="539"/>
        <v>NO APLICA</v>
      </c>
      <c r="MT176" s="5"/>
      <c r="MU176" s="6"/>
      <c r="MV176" s="6"/>
      <c r="MW176" s="6"/>
      <c r="MX176" s="5" t="str">
        <f t="shared" si="540"/>
        <v>NO APLICA</v>
      </c>
      <c r="MY176" s="6"/>
      <c r="MZ176" s="6"/>
      <c r="NA176" s="6"/>
      <c r="NB176" s="6"/>
      <c r="NC176" s="5" t="str">
        <f t="shared" si="541"/>
        <v>NO APLICA</v>
      </c>
      <c r="ND176" s="6"/>
      <c r="NE176" s="6"/>
      <c r="NF176" s="6"/>
      <c r="NG176" s="6"/>
      <c r="NH176" s="5" t="str">
        <f t="shared" si="542"/>
        <v>NO APLICA</v>
      </c>
      <c r="NI176" s="6"/>
      <c r="NJ176" s="6"/>
      <c r="NK176" s="6"/>
      <c r="NL176" s="6"/>
      <c r="NM176" s="5" t="str">
        <f t="shared" si="543"/>
        <v>NO APLICA</v>
      </c>
      <c r="NN176" s="6"/>
      <c r="NO176" s="6"/>
      <c r="NP176" s="6"/>
      <c r="NQ176" s="6"/>
      <c r="NR176" s="5" t="str">
        <f t="shared" si="544"/>
        <v>NO APLICA</v>
      </c>
      <c r="NS176" s="6"/>
      <c r="NT176" s="6"/>
      <c r="NU176" s="6"/>
      <c r="NV176" s="6"/>
      <c r="NW176" s="5" t="str">
        <f t="shared" si="545"/>
        <v>NO APLICA</v>
      </c>
      <c r="NX176" s="6"/>
      <c r="NY176" s="6"/>
      <c r="NZ176" s="6"/>
      <c r="OA176" s="6"/>
      <c r="OB176" s="5" t="str">
        <f t="shared" si="546"/>
        <v>NO APLICA</v>
      </c>
      <c r="OC176" s="6"/>
      <c r="OD176" s="6"/>
      <c r="OE176" s="6"/>
      <c r="OF176" s="6"/>
      <c r="OG176" s="5" t="str">
        <f t="shared" si="547"/>
        <v>NO APLICA</v>
      </c>
      <c r="OH176" s="6"/>
      <c r="OI176" s="6"/>
      <c r="OJ176" s="6"/>
      <c r="OK176" s="6"/>
      <c r="OL176" s="5" t="str">
        <f t="shared" si="548"/>
        <v>NO APLICA</v>
      </c>
      <c r="OM176" s="6"/>
      <c r="ON176" s="6"/>
      <c r="OO176" s="6"/>
      <c r="OP176" s="6"/>
      <c r="OQ176" s="5" t="str">
        <f t="shared" si="549"/>
        <v>NO APLICA</v>
      </c>
      <c r="OR176" s="6"/>
      <c r="OS176" s="6"/>
      <c r="OT176" s="6"/>
      <c r="OU176" s="6"/>
      <c r="OV176" s="5" t="str">
        <f t="shared" si="550"/>
        <v>NO APLICA</v>
      </c>
      <c r="OW176" s="6"/>
      <c r="OX176" s="6"/>
      <c r="OY176" s="6"/>
      <c r="OZ176" s="6"/>
      <c r="PA176" s="5" t="str">
        <f t="shared" si="551"/>
        <v>NO APLICA</v>
      </c>
      <c r="PB176" s="6"/>
      <c r="PC176" s="6"/>
      <c r="PD176" s="6"/>
      <c r="PE176" s="6"/>
      <c r="PF176" s="5" t="str">
        <f t="shared" si="552"/>
        <v>NO APLICA</v>
      </c>
      <c r="PG176" s="6"/>
      <c r="PH176" s="6"/>
      <c r="PI176" s="6"/>
      <c r="PJ176" s="6"/>
      <c r="PK176" s="5" t="str">
        <f t="shared" si="553"/>
        <v>NO APLICA</v>
      </c>
      <c r="PL176" s="5"/>
      <c r="PM176" s="6"/>
      <c r="PN176" s="6"/>
      <c r="PO176" s="6"/>
      <c r="PP176" s="5" t="str">
        <f t="shared" si="554"/>
        <v>NO APLICA</v>
      </c>
      <c r="PQ176" s="6"/>
      <c r="PR176" s="6"/>
      <c r="PS176" s="6"/>
      <c r="PT176" s="6"/>
      <c r="PU176" s="5" t="str">
        <f t="shared" si="555"/>
        <v>NO APLICA</v>
      </c>
      <c r="PV176" s="5"/>
      <c r="PW176" s="6"/>
      <c r="PX176" s="6"/>
      <c r="PY176" s="6"/>
      <c r="PZ176" s="5" t="str">
        <f t="shared" si="556"/>
        <v>NO APLICA</v>
      </c>
    </row>
    <row r="177" spans="1:442" ht="15.6" hidden="1" thickTop="1" thickBot="1" x14ac:dyDescent="0.35">
      <c r="A177" s="26">
        <v>174</v>
      </c>
      <c r="B177" s="31">
        <v>1728</v>
      </c>
      <c r="C177" s="28" t="s">
        <v>559</v>
      </c>
      <c r="D177" s="29" t="s">
        <v>68</v>
      </c>
      <c r="E177" s="30" t="s">
        <v>73</v>
      </c>
      <c r="F177" s="6"/>
      <c r="G177" s="6"/>
      <c r="H177" s="6"/>
      <c r="I177" s="6"/>
      <c r="J177" s="5" t="str">
        <f t="shared" si="455"/>
        <v>NO APLICA</v>
      </c>
      <c r="K177" s="6"/>
      <c r="L177" s="6"/>
      <c r="M177" s="6"/>
      <c r="N177" s="6"/>
      <c r="O177" s="5" t="str">
        <f t="shared" si="456"/>
        <v>NO APLICA</v>
      </c>
      <c r="P177" s="9"/>
      <c r="Q177" s="9"/>
      <c r="R177" s="9"/>
      <c r="S177" s="9"/>
      <c r="T177" s="5" t="str">
        <f t="shared" si="557"/>
        <v>NO APLICA</v>
      </c>
      <c r="U177" s="5"/>
      <c r="V177" s="6" t="s">
        <v>560</v>
      </c>
      <c r="W177" s="4">
        <v>45261</v>
      </c>
      <c r="X177" s="4">
        <f t="shared" si="587"/>
        <v>47088</v>
      </c>
      <c r="Y177" s="8">
        <f t="shared" ca="1" si="588"/>
        <v>943</v>
      </c>
      <c r="Z177" s="5" t="str">
        <f t="shared" ca="1" si="605"/>
        <v>VIGENTE</v>
      </c>
      <c r="AA177" s="5"/>
      <c r="AB177" s="6" t="s">
        <v>561</v>
      </c>
      <c r="AC177" s="4">
        <v>45464</v>
      </c>
      <c r="AD177" s="4">
        <f>DATE(YEAR(AC177)+5,MONTH(AC177),DAY(AC177))</f>
        <v>47290</v>
      </c>
      <c r="AE177" s="8">
        <f ca="1">AD177-TODAY()</f>
        <v>1145</v>
      </c>
      <c r="AF177" s="5" t="str">
        <f t="shared" ca="1" si="457"/>
        <v>VIGENTE</v>
      </c>
      <c r="AG177" s="4"/>
      <c r="AH177" s="4">
        <v>46006</v>
      </c>
      <c r="AI177" s="4">
        <f>DATE(YEAR(AH177)+2,MONTH(AH177),DAY(AH177))</f>
        <v>46736</v>
      </c>
      <c r="AJ177" s="8">
        <f t="shared" ca="1" si="458"/>
        <v>591</v>
      </c>
      <c r="AK177" s="5" t="str">
        <f t="shared" ca="1" si="602"/>
        <v>VIGENTE</v>
      </c>
      <c r="AL177" s="6"/>
      <c r="AM177" s="4">
        <v>46062</v>
      </c>
      <c r="AN177" s="4">
        <f>DATE(YEAR(AM177)+2,MONTH(AM177),DAY(AM177))</f>
        <v>46792</v>
      </c>
      <c r="AO177" s="8">
        <f t="shared" ca="1" si="459"/>
        <v>647</v>
      </c>
      <c r="AP177" s="5" t="str">
        <f t="shared" ca="1" si="460"/>
        <v>VIGENTE</v>
      </c>
      <c r="AQ177" s="6"/>
      <c r="AR177" s="4">
        <v>46048</v>
      </c>
      <c r="AS177" s="4">
        <f t="shared" ref="AS177:AS183" si="608">DATE(YEAR(AR177)+2,MONTH(AR177),DAY(AR177))</f>
        <v>46778</v>
      </c>
      <c r="AT177" s="8">
        <f t="shared" ca="1" si="461"/>
        <v>633</v>
      </c>
      <c r="AU177" s="5" t="str">
        <f t="shared" ca="1" si="462"/>
        <v>VIGENTE</v>
      </c>
      <c r="AV177" s="6"/>
      <c r="AW177" s="4">
        <v>46070</v>
      </c>
      <c r="AX177" s="4">
        <f>DATE(YEAR(AW177)+2,MONTH(AW177),DAY(AW177))</f>
        <v>46800</v>
      </c>
      <c r="AY177" s="8">
        <f t="shared" ca="1" si="463"/>
        <v>655</v>
      </c>
      <c r="AZ177" s="5" t="str">
        <f t="shared" ca="1" si="464"/>
        <v>VIGENTE</v>
      </c>
      <c r="BA177" s="3"/>
      <c r="BB177" s="4">
        <v>46041</v>
      </c>
      <c r="BC177" s="4">
        <f>DATE(YEAR(BB177)+2,MONTH(BB177),DAY(BB177))</f>
        <v>46771</v>
      </c>
      <c r="BD177" s="8">
        <f t="shared" ca="1" si="465"/>
        <v>626</v>
      </c>
      <c r="BE177" s="5" t="str">
        <f t="shared" ca="1" si="466"/>
        <v>VIGENTE</v>
      </c>
      <c r="BF177" s="6"/>
      <c r="BG177" s="4">
        <v>46067</v>
      </c>
      <c r="BH177" s="4">
        <f>DATE(YEAR(BG177)+2,MONTH(BG177),DAY(BG177))</f>
        <v>46797</v>
      </c>
      <c r="BI177" s="8">
        <f t="shared" ca="1" si="467"/>
        <v>652</v>
      </c>
      <c r="BJ177" s="5" t="str">
        <f t="shared" ca="1" si="468"/>
        <v>VIGENTE</v>
      </c>
      <c r="BK177" s="4"/>
      <c r="BL177" s="4">
        <v>46035</v>
      </c>
      <c r="BM177" s="4">
        <f>DATE(YEAR(BL177)+2,MONTH(BL177),DAY(BL177))</f>
        <v>46765</v>
      </c>
      <c r="BN177" s="8">
        <f t="shared" ca="1" si="469"/>
        <v>620</v>
      </c>
      <c r="BO177" s="5" t="str">
        <f t="shared" ca="1" si="470"/>
        <v>VIGENTE</v>
      </c>
      <c r="BP177" s="4"/>
      <c r="BQ177" s="39">
        <v>46050</v>
      </c>
      <c r="BR177" s="4">
        <f>DATE(YEAR(BQ177)+2,MONTH(BQ177),DAY(BQ177))</f>
        <v>46780</v>
      </c>
      <c r="BS177" s="8">
        <f t="shared" ca="1" si="471"/>
        <v>635</v>
      </c>
      <c r="BT177" s="5" t="str">
        <f t="shared" ca="1" si="472"/>
        <v>VIGENTE</v>
      </c>
      <c r="BU177" s="3"/>
      <c r="BV177" s="4">
        <v>46031</v>
      </c>
      <c r="BW177" s="4">
        <f>DATE(YEAR(BV177)+2,MONTH(BV177),DAY(BV177))</f>
        <v>46761</v>
      </c>
      <c r="BX177" s="8">
        <f t="shared" ca="1" si="473"/>
        <v>616</v>
      </c>
      <c r="BY177" s="5" t="str">
        <f t="shared" ca="1" si="474"/>
        <v>VIGENTE</v>
      </c>
      <c r="BZ177" s="4"/>
      <c r="CA177" s="4">
        <v>46095</v>
      </c>
      <c r="CB177" s="4">
        <f>DATE(YEAR(CA177)+2,MONTH(CA177),DAY(CA177))</f>
        <v>46826</v>
      </c>
      <c r="CC177" s="8">
        <f t="shared" ca="1" si="475"/>
        <v>681</v>
      </c>
      <c r="CD177" s="5" t="str">
        <f t="shared" ca="1" si="476"/>
        <v>VIGENTE</v>
      </c>
      <c r="CE177" s="6"/>
      <c r="CF177" s="4">
        <v>45346</v>
      </c>
      <c r="CG177" s="4">
        <f t="shared" si="590"/>
        <v>46807</v>
      </c>
      <c r="CH177" s="8">
        <f t="shared" ca="1" si="591"/>
        <v>662</v>
      </c>
      <c r="CI177" s="5" t="str">
        <f t="shared" ca="1" si="573"/>
        <v>VIGENTE</v>
      </c>
      <c r="CJ177" s="4"/>
      <c r="CK177" s="4">
        <v>46018</v>
      </c>
      <c r="CL177" s="4">
        <f>DATE(YEAR(CK177)+2,MONTH(CK177),DAY(CK177))</f>
        <v>46748</v>
      </c>
      <c r="CM177" s="8">
        <f t="shared" ca="1" si="477"/>
        <v>603</v>
      </c>
      <c r="CN177" s="5" t="str">
        <f t="shared" ca="1" si="478"/>
        <v>VIGENTE</v>
      </c>
      <c r="CO177" s="4"/>
      <c r="CP177" s="4">
        <v>46101</v>
      </c>
      <c r="CQ177" s="4">
        <f>DATE(YEAR(CP177)+2,MONTH(CP177),DAY(CP177))</f>
        <v>46832</v>
      </c>
      <c r="CR177" s="8">
        <f t="shared" ca="1" si="479"/>
        <v>687</v>
      </c>
      <c r="CS177" s="5" t="str">
        <f t="shared" ca="1" si="480"/>
        <v>VIGENTE</v>
      </c>
      <c r="CT177" s="4"/>
      <c r="CU177" s="4">
        <v>46043</v>
      </c>
      <c r="CV177" s="4">
        <f>DATE(YEAR(CU177)+2,MONTH(CU177),DAY(CU177))</f>
        <v>46773</v>
      </c>
      <c r="CW177" s="8">
        <f t="shared" ca="1" si="481"/>
        <v>628</v>
      </c>
      <c r="CX177" s="5" t="str">
        <f t="shared" ca="1" si="482"/>
        <v>VIGENTE</v>
      </c>
      <c r="CY177" s="4"/>
      <c r="CZ177" s="4">
        <v>46098</v>
      </c>
      <c r="DA177" s="4">
        <f>DATE(YEAR(CZ177)+2,MONTH(CZ177),DAY(CZ177))</f>
        <v>46829</v>
      </c>
      <c r="DB177" s="8">
        <f t="shared" ca="1" si="483"/>
        <v>684</v>
      </c>
      <c r="DC177" s="5" t="str">
        <f t="shared" ca="1" si="484"/>
        <v>VIGENTE</v>
      </c>
      <c r="DD177" s="4"/>
      <c r="DE177" s="39">
        <v>46045</v>
      </c>
      <c r="DF177" s="4">
        <f>DATE(YEAR(DE177)+2,MONTH(DE177),DAY(DE177))</f>
        <v>46775</v>
      </c>
      <c r="DG177" s="8">
        <f t="shared" ca="1" si="485"/>
        <v>630</v>
      </c>
      <c r="DH177" s="5" t="str">
        <f t="shared" ca="1" si="486"/>
        <v>VIGENTE</v>
      </c>
      <c r="DI177" s="6"/>
      <c r="DJ177" s="39">
        <v>46073</v>
      </c>
      <c r="DK177" s="4">
        <f>DATE(YEAR(DJ177)+2,MONTH(DJ177),DAY(DJ177))</f>
        <v>46803</v>
      </c>
      <c r="DL177" s="8">
        <f t="shared" ca="1" si="487"/>
        <v>658</v>
      </c>
      <c r="DM177" s="5" t="str">
        <f t="shared" ca="1" si="488"/>
        <v>VIGENTE</v>
      </c>
      <c r="DN177" s="4"/>
      <c r="DO177" s="4">
        <v>46046</v>
      </c>
      <c r="DP177" s="4">
        <f>DATE(YEAR(DO177)+2,MONTH(DO177),DAY(DO177))</f>
        <v>46776</v>
      </c>
      <c r="DQ177" s="8">
        <f t="shared" ca="1" si="489"/>
        <v>631</v>
      </c>
      <c r="DR177" s="5" t="str">
        <f t="shared" ca="1" si="490"/>
        <v>VIGENTE</v>
      </c>
      <c r="DS177" s="6"/>
      <c r="DT177" s="4">
        <v>46072</v>
      </c>
      <c r="DU177" s="4">
        <f>DATE(YEAR(DT177)+2,MONTH(DT177),DAY(DT177))</f>
        <v>46802</v>
      </c>
      <c r="DV177" s="8">
        <f t="shared" ca="1" si="491"/>
        <v>657</v>
      </c>
      <c r="DW177" s="5" t="str">
        <f t="shared" ca="1" si="492"/>
        <v>VIGENTE</v>
      </c>
      <c r="DX177" s="4"/>
      <c r="DY177" s="4">
        <v>46099</v>
      </c>
      <c r="DZ177" s="4">
        <f>DATE(YEAR(DY177)+2,MONTH(DY177),DAY(DY177))</f>
        <v>46830</v>
      </c>
      <c r="EA177" s="8">
        <f t="shared" ca="1" si="493"/>
        <v>685</v>
      </c>
      <c r="EB177" s="5" t="str">
        <f t="shared" ca="1" si="494"/>
        <v>VIGENTE</v>
      </c>
      <c r="EC177" s="4"/>
      <c r="ED177" s="39">
        <v>46104</v>
      </c>
      <c r="EE177" s="4">
        <f>DATE(YEAR(ED177)+2,MONTH(ED177),DAY(ED177))</f>
        <v>46835</v>
      </c>
      <c r="EF177" s="8">
        <f t="shared" ca="1" si="495"/>
        <v>690</v>
      </c>
      <c r="EG177" s="5" t="str">
        <f t="shared" ca="1" si="496"/>
        <v>VIGENTE</v>
      </c>
      <c r="EH177" s="4"/>
      <c r="EI177" s="4">
        <v>46115</v>
      </c>
      <c r="EJ177" s="4">
        <f t="shared" si="558"/>
        <v>46480</v>
      </c>
      <c r="EK177" s="8">
        <f t="shared" ca="1" si="497"/>
        <v>335</v>
      </c>
      <c r="EL177" s="5" t="str">
        <f t="shared" ca="1" si="498"/>
        <v>VIGENTE</v>
      </c>
      <c r="EM177" s="4"/>
      <c r="EN177" s="4">
        <v>46100</v>
      </c>
      <c r="EO177" s="4">
        <f>DATE(YEAR(EN177)+2,MONTH(EN177),DAY(EN177))</f>
        <v>46831</v>
      </c>
      <c r="EP177" s="8">
        <f t="shared" ca="1" si="499"/>
        <v>686</v>
      </c>
      <c r="EQ177" s="5" t="str">
        <f t="shared" ca="1" si="500"/>
        <v>VIGENTE</v>
      </c>
      <c r="ER177" s="6"/>
      <c r="ES177" s="39">
        <v>45999</v>
      </c>
      <c r="ET177" s="4">
        <f>DATE(YEAR(ES177)+2,MONTH(ES177),DAY(ES177))</f>
        <v>46729</v>
      </c>
      <c r="EU177" s="8">
        <f t="shared" ca="1" si="501"/>
        <v>584</v>
      </c>
      <c r="EV177" s="5" t="str">
        <f t="shared" ca="1" si="502"/>
        <v>VIGENTE</v>
      </c>
      <c r="EW177" s="4"/>
      <c r="EX177" s="4">
        <v>45917</v>
      </c>
      <c r="EY177" s="4">
        <f t="shared" ref="EY177:EY186" si="609">DATE(YEAR(EX177)+2,MONTH(EX177),DAY(EX177))</f>
        <v>46647</v>
      </c>
      <c r="EZ177" s="8">
        <f t="shared" ca="1" si="503"/>
        <v>502</v>
      </c>
      <c r="FA177" s="5" t="str">
        <f t="shared" ca="1" si="504"/>
        <v>VIGENTE</v>
      </c>
      <c r="FB177" s="6"/>
      <c r="FC177" s="4">
        <v>46091</v>
      </c>
      <c r="FD177" s="4">
        <f>DATE(YEAR(FC177)+2,MONTH(FC177),DAY(FC177))</f>
        <v>46822</v>
      </c>
      <c r="FE177" s="8">
        <f t="shared" ca="1" si="505"/>
        <v>677</v>
      </c>
      <c r="FF177" s="5" t="str">
        <f t="shared" ca="1" si="506"/>
        <v>VIGENTE</v>
      </c>
      <c r="FG177" s="6"/>
      <c r="FH177" s="4">
        <v>45992</v>
      </c>
      <c r="FI177" s="4">
        <f>DATE(YEAR(FH177)+2,MONTH(FH177),DAY(FH177))</f>
        <v>46722</v>
      </c>
      <c r="FJ177" s="8">
        <f t="shared" ca="1" si="507"/>
        <v>577</v>
      </c>
      <c r="FK177" s="5" t="str">
        <f t="shared" ca="1" si="508"/>
        <v>VIGENTE</v>
      </c>
      <c r="FL177" s="4"/>
      <c r="FM177" s="4">
        <v>45920</v>
      </c>
      <c r="FN177" s="4">
        <f>DATE(YEAR(FM177)+2,MONTH(FM177),DAY(FM177))</f>
        <v>46650</v>
      </c>
      <c r="FO177" s="8">
        <f t="shared" ca="1" si="509"/>
        <v>505</v>
      </c>
      <c r="FP177" s="5" t="str">
        <f t="shared" ca="1" si="510"/>
        <v>VIGENTE</v>
      </c>
      <c r="FQ177" s="4"/>
      <c r="FR177" s="39">
        <v>46034</v>
      </c>
      <c r="FS177" s="4">
        <f>DATE(YEAR(FR177)+2,MONTH(FR177),DAY(FR177))</f>
        <v>46764</v>
      </c>
      <c r="FT177" s="8">
        <f t="shared" ca="1" si="511"/>
        <v>619</v>
      </c>
      <c r="FU177" s="5" t="str">
        <f t="shared" ca="1" si="512"/>
        <v>VIGENTE</v>
      </c>
      <c r="FV177" s="4"/>
      <c r="FW177" s="4">
        <v>46014</v>
      </c>
      <c r="FX177" s="4">
        <f>DATE(YEAR(FW177)+2,MONTH(FW177),DAY(FW177))</f>
        <v>46744</v>
      </c>
      <c r="FY177" s="8">
        <f t="shared" ca="1" si="513"/>
        <v>599</v>
      </c>
      <c r="FZ177" s="5" t="str">
        <f t="shared" ca="1" si="514"/>
        <v>VIGENTE</v>
      </c>
      <c r="GA177" s="4"/>
      <c r="GB177" s="4">
        <v>46030</v>
      </c>
      <c r="GC177" s="4">
        <f>DATE(YEAR(GB177)+2,MONTH(GB177),DAY(GB177))</f>
        <v>46760</v>
      </c>
      <c r="GD177" s="8">
        <f t="shared" ca="1" si="515"/>
        <v>615</v>
      </c>
      <c r="GE177" s="5" t="str">
        <f t="shared" ca="1" si="516"/>
        <v>VIGENTE</v>
      </c>
      <c r="GF177" s="4"/>
      <c r="GG177" s="4">
        <v>46036</v>
      </c>
      <c r="GH177" s="4">
        <f>DATE(YEAR(GG177)+2,MONTH(GG177),DAY(GG177))</f>
        <v>46766</v>
      </c>
      <c r="GI177" s="8">
        <f t="shared" ca="1" si="517"/>
        <v>621</v>
      </c>
      <c r="GJ177" s="5" t="str">
        <f t="shared" ca="1" si="518"/>
        <v>VIGENTE</v>
      </c>
      <c r="GK177" s="4"/>
      <c r="GL177" s="4">
        <v>45923</v>
      </c>
      <c r="GM177" s="4">
        <f>DATE(YEAR(GL177)+2,MONTH(GL177),DAY(GL177))</f>
        <v>46653</v>
      </c>
      <c r="GN177" s="8">
        <f t="shared" ca="1" si="519"/>
        <v>508</v>
      </c>
      <c r="GO177" s="5" t="str">
        <f t="shared" ca="1" si="520"/>
        <v>VIGENTE</v>
      </c>
      <c r="GP177" s="4"/>
      <c r="GQ177" s="4">
        <v>45367</v>
      </c>
      <c r="GR177" s="4">
        <f t="shared" si="521"/>
        <v>47193</v>
      </c>
      <c r="GS177" s="8">
        <f t="shared" ca="1" si="601"/>
        <v>1048</v>
      </c>
      <c r="GT177" s="5" t="str">
        <f t="shared" ref="GT177:GT240" ca="1" si="610">IF(GS177&gt;=91,"VIGENTE",IF(GS177&gt;=1,"POR VENCER",IF(GS177&lt;=-1,"VENCIDA",IF(GQ177=0,"NO APLICA"))))</f>
        <v>VIGENTE</v>
      </c>
      <c r="GU177" s="4"/>
      <c r="GV177" s="4">
        <v>45389</v>
      </c>
      <c r="GW177" s="4">
        <f t="shared" si="522"/>
        <v>47215</v>
      </c>
      <c r="GX177" s="8">
        <f t="shared" ca="1" si="523"/>
        <v>1070</v>
      </c>
      <c r="GY177" s="5" t="str">
        <f t="shared" ref="GY177:GY240" ca="1" si="611">IF(GX177&gt;=91,"VIGENTE",IF(GX177&gt;=1,"POR VENCER",IF(GX177&lt;=-1,"VENCIDA",IF(GV177=0,"NO APLICA"))))</f>
        <v>VIGENTE</v>
      </c>
      <c r="GZ177" s="6"/>
      <c r="HA177" s="4">
        <v>45348</v>
      </c>
      <c r="HB177" s="4">
        <f t="shared" si="524"/>
        <v>47175</v>
      </c>
      <c r="HC177" s="8">
        <f t="shared" ca="1" si="525"/>
        <v>1030</v>
      </c>
      <c r="HD177" s="5" t="str">
        <f t="shared" ref="HD177:HD240" ca="1" si="612">IF(HC177&gt;=91,"VIGENTE",IF(HC177&gt;=1,"POR VENCER",IF(HC177&lt;=-1,"VENCIDA",IF(HA177=0,"NO APLICA"))))</f>
        <v>VIGENTE</v>
      </c>
      <c r="HE177" s="6"/>
      <c r="HF177" s="4">
        <v>45392</v>
      </c>
      <c r="HG177" s="4">
        <f t="shared" si="603"/>
        <v>47218</v>
      </c>
      <c r="HH177" s="8">
        <f t="shared" ca="1" si="604"/>
        <v>1073</v>
      </c>
      <c r="HI177" s="5" t="str">
        <f t="shared" ref="HI177:HI190" ca="1" si="613">IF(HH177&gt;=61,"VIGENTE",IF(HH177&gt;=1,"POR VENCER",IF(HH177&lt;=-1,"VENCIDA",IF(HF177=0,"NO APLICA"))))</f>
        <v>VIGENTE</v>
      </c>
      <c r="HJ177" s="6"/>
      <c r="HK177" s="6"/>
      <c r="HL177" s="4"/>
      <c r="HM177" s="8"/>
      <c r="HN177" s="5" t="str">
        <f t="shared" si="444"/>
        <v>NO APLICA</v>
      </c>
      <c r="HO177" s="2"/>
      <c r="HP177" s="2"/>
      <c r="HQ177" s="4"/>
      <c r="HR177" s="2"/>
      <c r="HS177" s="5" t="str">
        <f t="shared" si="526"/>
        <v>NO APLICA</v>
      </c>
      <c r="HT177" s="6"/>
      <c r="HU177" s="6"/>
      <c r="HV177" s="4"/>
      <c r="HW177" s="8"/>
      <c r="HX177" s="5" t="str">
        <f t="shared" si="527"/>
        <v>NO APLICA</v>
      </c>
      <c r="HY177" s="6"/>
      <c r="HZ177" s="6"/>
      <c r="IA177" s="4"/>
      <c r="IB177" s="8"/>
      <c r="IC177" s="5" t="str">
        <f t="shared" si="528"/>
        <v>NO APLICA</v>
      </c>
      <c r="ID177" s="6"/>
      <c r="IE177" s="6"/>
      <c r="IF177" s="4"/>
      <c r="IG177" s="8"/>
      <c r="IH177" s="5" t="str">
        <f t="shared" si="529"/>
        <v>NO APLICA</v>
      </c>
      <c r="II177" s="6"/>
      <c r="IJ177" s="6"/>
      <c r="IK177" s="4"/>
      <c r="IL177" s="6"/>
      <c r="IM177" s="5" t="str">
        <f t="shared" si="530"/>
        <v>NO APLICA</v>
      </c>
      <c r="IN177" s="6"/>
      <c r="IO177" s="6"/>
      <c r="IP177" s="4"/>
      <c r="IQ177" s="8"/>
      <c r="IR177" s="5" t="str">
        <f t="shared" si="531"/>
        <v>NO APLICA</v>
      </c>
      <c r="IS177" s="6"/>
      <c r="IT177" s="6"/>
      <c r="IU177" s="4"/>
      <c r="IV177" s="8"/>
      <c r="IW177" s="5" t="str">
        <f t="shared" si="532"/>
        <v>NO APLICA</v>
      </c>
      <c r="IX177" s="6"/>
      <c r="IY177" s="6"/>
      <c r="IZ177" s="4"/>
      <c r="JA177" s="8"/>
      <c r="JB177" s="5" t="str">
        <f t="shared" si="533"/>
        <v>NO APLICA</v>
      </c>
      <c r="JC177" s="3" t="s">
        <v>780</v>
      </c>
      <c r="JD177" s="3"/>
      <c r="JE177" s="4"/>
      <c r="JF177" s="8"/>
      <c r="JG177" s="5"/>
      <c r="JH177" s="3" t="s">
        <v>780</v>
      </c>
      <c r="JI177" s="6"/>
      <c r="JJ177" s="6"/>
      <c r="JK177" s="6"/>
      <c r="JL177" s="5"/>
      <c r="JM177" s="6" t="s">
        <v>780</v>
      </c>
      <c r="JN177" s="6"/>
      <c r="JO177" s="6"/>
      <c r="JP177" s="6"/>
      <c r="JQ177" s="5"/>
      <c r="JR177" s="6" t="s">
        <v>780</v>
      </c>
      <c r="JS177" s="6"/>
      <c r="JT177" s="6"/>
      <c r="JU177" s="6"/>
      <c r="JV177" s="5"/>
      <c r="JW177" s="6" t="s">
        <v>780</v>
      </c>
      <c r="JX177" s="5"/>
      <c r="JY177" s="5"/>
      <c r="JZ177" s="5"/>
      <c r="KA177" s="5"/>
      <c r="KB177" s="5"/>
      <c r="KC177" s="2"/>
      <c r="KD177" s="4"/>
      <c r="KE177" s="8"/>
      <c r="KF177" s="5" t="str">
        <f t="shared" si="534"/>
        <v>NO APLICA</v>
      </c>
      <c r="KG177" s="5"/>
      <c r="KH177" s="2"/>
      <c r="KI177" s="4"/>
      <c r="KJ177" s="8"/>
      <c r="KK177" s="5" t="str">
        <f t="shared" si="559"/>
        <v>NO APLICA</v>
      </c>
      <c r="KL177" s="5"/>
      <c r="KM177" s="2"/>
      <c r="KN177" s="4"/>
      <c r="KO177" s="8"/>
      <c r="KP177" s="5" t="str">
        <f t="shared" si="535"/>
        <v>NO APLICA</v>
      </c>
      <c r="KQ177" s="5"/>
      <c r="KR177" s="3">
        <v>45346</v>
      </c>
      <c r="KS177" s="4">
        <f>DATE(YEAR(KR177)+5,MONTH(KR177),DAY(KR177))</f>
        <v>47173</v>
      </c>
      <c r="KT177" s="8">
        <f ca="1">KS177-TODAY()</f>
        <v>1028</v>
      </c>
      <c r="KU177" s="5" t="str">
        <f t="shared" ca="1" si="560"/>
        <v>VIGENTE</v>
      </c>
      <c r="KV177" s="6"/>
      <c r="KW177" s="6"/>
      <c r="KX177" s="4"/>
      <c r="KY177" s="6"/>
      <c r="KZ177" s="5" t="str">
        <f t="shared" si="565"/>
        <v>NO APLICA</v>
      </c>
      <c r="LA177" s="5"/>
      <c r="LB177" s="6"/>
      <c r="LC177" s="4"/>
      <c r="LD177" s="6"/>
      <c r="LE177" s="5" t="str">
        <f t="shared" si="561"/>
        <v>NO APLICA</v>
      </c>
      <c r="LF177" s="6"/>
      <c r="LG177" s="6"/>
      <c r="LH177" s="6"/>
      <c r="LI177" s="6"/>
      <c r="LJ177" s="5" t="str">
        <f t="shared" si="600"/>
        <v>NO APLICA</v>
      </c>
      <c r="LK177" s="5"/>
      <c r="LL177" s="5"/>
      <c r="LM177" s="4"/>
      <c r="LN177" s="8"/>
      <c r="LO177" s="5" t="str">
        <f t="shared" si="566"/>
        <v>NO APLICA</v>
      </c>
      <c r="LP177" s="6"/>
      <c r="LQ177" s="6"/>
      <c r="LR177" s="4"/>
      <c r="LS177" s="8"/>
      <c r="LT177" s="5" t="str">
        <f t="shared" si="562"/>
        <v>NO APLICA</v>
      </c>
      <c r="LU177" s="6"/>
      <c r="LV177" s="6"/>
      <c r="LW177" s="4"/>
      <c r="LX177" s="6"/>
      <c r="LY177" s="5" t="str">
        <f t="shared" si="563"/>
        <v>NO APLICA</v>
      </c>
      <c r="LZ177" s="6"/>
      <c r="MA177" s="6"/>
      <c r="MB177" s="4"/>
      <c r="MC177" s="6"/>
      <c r="MD177" s="5" t="str">
        <f t="shared" si="564"/>
        <v>NO APLICA</v>
      </c>
      <c r="ME177" s="6"/>
      <c r="MF177" s="6"/>
      <c r="MG177" s="4"/>
      <c r="MH177" s="6"/>
      <c r="MI177" s="5" t="str">
        <f t="shared" si="537"/>
        <v>NO APLICA</v>
      </c>
      <c r="MJ177" s="6"/>
      <c r="MK177" s="6"/>
      <c r="ML177" s="4"/>
      <c r="MM177" s="6"/>
      <c r="MN177" s="5" t="str">
        <f t="shared" si="538"/>
        <v>NO APLICA</v>
      </c>
      <c r="MO177" s="5"/>
      <c r="MP177" s="6"/>
      <c r="MQ177" s="4"/>
      <c r="MR177" s="6"/>
      <c r="MS177" s="5" t="str">
        <f t="shared" si="539"/>
        <v>NO APLICA</v>
      </c>
      <c r="MT177" s="5"/>
      <c r="MU177" s="6"/>
      <c r="MV177" s="6"/>
      <c r="MW177" s="6"/>
      <c r="MX177" s="5" t="str">
        <f t="shared" si="540"/>
        <v>NO APLICA</v>
      </c>
      <c r="MY177" s="6"/>
      <c r="MZ177" s="6"/>
      <c r="NA177" s="4"/>
      <c r="NB177" s="6"/>
      <c r="NC177" s="5" t="str">
        <f t="shared" si="541"/>
        <v>NO APLICA</v>
      </c>
      <c r="ND177" s="6"/>
      <c r="NE177" s="6"/>
      <c r="NF177" s="4"/>
      <c r="NG177" s="6"/>
      <c r="NH177" s="5" t="str">
        <f t="shared" si="542"/>
        <v>NO APLICA</v>
      </c>
      <c r="NI177" s="6"/>
      <c r="NJ177" s="6"/>
      <c r="NK177" s="4"/>
      <c r="NL177" s="6"/>
      <c r="NM177" s="5" t="str">
        <f t="shared" si="543"/>
        <v>NO APLICA</v>
      </c>
      <c r="NN177" s="6"/>
      <c r="NO177" s="6"/>
      <c r="NP177" s="4"/>
      <c r="NQ177" s="6"/>
      <c r="NR177" s="5" t="str">
        <f t="shared" si="544"/>
        <v>NO APLICA</v>
      </c>
      <c r="NS177" s="6"/>
      <c r="NT177" s="6"/>
      <c r="NU177" s="4"/>
      <c r="NV177" s="6"/>
      <c r="NW177" s="5" t="str">
        <f t="shared" si="545"/>
        <v>NO APLICA</v>
      </c>
      <c r="NX177" s="6"/>
      <c r="NY177" s="6"/>
      <c r="NZ177" s="4"/>
      <c r="OA177" s="8"/>
      <c r="OB177" s="5" t="str">
        <f t="shared" si="546"/>
        <v>NO APLICA</v>
      </c>
      <c r="OC177" s="6"/>
      <c r="OD177" s="6"/>
      <c r="OE177" s="6"/>
      <c r="OF177" s="6"/>
      <c r="OG177" s="5" t="str">
        <f t="shared" si="547"/>
        <v>NO APLICA</v>
      </c>
      <c r="OH177" s="6"/>
      <c r="OI177" s="6"/>
      <c r="OJ177" s="6"/>
      <c r="OK177" s="6"/>
      <c r="OL177" s="5" t="str">
        <f t="shared" si="548"/>
        <v>NO APLICA</v>
      </c>
      <c r="OM177" s="6"/>
      <c r="ON177" s="6"/>
      <c r="OO177" s="6"/>
      <c r="OP177" s="6"/>
      <c r="OQ177" s="5" t="str">
        <f t="shared" si="549"/>
        <v>NO APLICA</v>
      </c>
      <c r="OR177" s="6"/>
      <c r="OS177" s="6"/>
      <c r="OT177" s="6"/>
      <c r="OU177" s="6"/>
      <c r="OV177" s="5" t="str">
        <f t="shared" si="550"/>
        <v>NO APLICA</v>
      </c>
      <c r="OW177" s="6"/>
      <c r="OX177" s="6"/>
      <c r="OY177" s="6"/>
      <c r="OZ177" s="6"/>
      <c r="PA177" s="5" t="str">
        <f t="shared" si="551"/>
        <v>NO APLICA</v>
      </c>
      <c r="PB177" s="6"/>
      <c r="PC177" s="6"/>
      <c r="PD177" s="6"/>
      <c r="PE177" s="6"/>
      <c r="PF177" s="5" t="str">
        <f t="shared" si="552"/>
        <v>NO APLICA</v>
      </c>
      <c r="PG177" s="6"/>
      <c r="PH177" s="6"/>
      <c r="PI177" s="6"/>
      <c r="PJ177" s="6"/>
      <c r="PK177" s="5" t="str">
        <f t="shared" si="553"/>
        <v>NO APLICA</v>
      </c>
      <c r="PL177" s="5"/>
      <c r="PM177" s="6"/>
      <c r="PN177" s="6"/>
      <c r="PO177" s="6"/>
      <c r="PP177" s="5" t="str">
        <f t="shared" si="554"/>
        <v>NO APLICA</v>
      </c>
      <c r="PQ177" s="6"/>
      <c r="PR177" s="6"/>
      <c r="PS177" s="6"/>
      <c r="PT177" s="6"/>
      <c r="PU177" s="5" t="str">
        <f t="shared" si="555"/>
        <v>NO APLICA</v>
      </c>
      <c r="PV177" s="5"/>
      <c r="PW177" s="6"/>
      <c r="PX177" s="6"/>
      <c r="PY177" s="6"/>
      <c r="PZ177" s="5" t="str">
        <f t="shared" si="556"/>
        <v>NO APLICA</v>
      </c>
    </row>
    <row r="178" spans="1:442" ht="15.6" hidden="1" thickTop="1" thickBot="1" x14ac:dyDescent="0.35">
      <c r="A178" s="26">
        <v>175</v>
      </c>
      <c r="B178" s="27">
        <v>653</v>
      </c>
      <c r="C178" s="28" t="s">
        <v>562</v>
      </c>
      <c r="D178" s="29" t="s">
        <v>68</v>
      </c>
      <c r="E178" s="30" t="s">
        <v>129</v>
      </c>
      <c r="F178" s="5"/>
      <c r="G178" s="6"/>
      <c r="H178" s="4"/>
      <c r="I178" s="8"/>
      <c r="J178" s="5" t="str">
        <f t="shared" si="455"/>
        <v>NO APLICA</v>
      </c>
      <c r="K178" s="5"/>
      <c r="L178" s="6"/>
      <c r="M178" s="6"/>
      <c r="N178" s="8"/>
      <c r="O178" s="5" t="str">
        <f t="shared" si="456"/>
        <v>NO APLICA</v>
      </c>
      <c r="P178" s="6"/>
      <c r="Q178" s="6"/>
      <c r="R178" s="4"/>
      <c r="S178" s="8"/>
      <c r="T178" s="5" t="str">
        <f t="shared" si="557"/>
        <v>NO APLICA</v>
      </c>
      <c r="U178" s="5"/>
      <c r="V178" s="2" t="s">
        <v>563</v>
      </c>
      <c r="W178" s="4">
        <v>45216</v>
      </c>
      <c r="X178" s="4">
        <f t="shared" si="587"/>
        <v>47043</v>
      </c>
      <c r="Y178" s="8">
        <f t="shared" ca="1" si="588"/>
        <v>898</v>
      </c>
      <c r="Z178" s="5" t="str">
        <f t="shared" ca="1" si="605"/>
        <v>VIGENTE</v>
      </c>
      <c r="AA178" s="5"/>
      <c r="AB178" s="2" t="s">
        <v>564</v>
      </c>
      <c r="AC178" s="4">
        <v>44828</v>
      </c>
      <c r="AD178" s="4">
        <f>DATE(YEAR(AC178)+5,MONTH(AC178),DAY(AC178))</f>
        <v>46654</v>
      </c>
      <c r="AE178" s="8">
        <f ca="1">AD178-TODAY()</f>
        <v>509</v>
      </c>
      <c r="AF178" s="5" t="str">
        <f t="shared" ca="1" si="457"/>
        <v>VIGENTE</v>
      </c>
      <c r="AG178" s="3"/>
      <c r="AH178" s="3">
        <v>45589</v>
      </c>
      <c r="AI178" s="4">
        <f>DATE(YEAR(AH178)+2,MONTH(AH178),DAY(AH178)-1)</f>
        <v>46318</v>
      </c>
      <c r="AJ178" s="8">
        <f t="shared" ca="1" si="458"/>
        <v>173</v>
      </c>
      <c r="AK178" s="5" t="str">
        <f t="shared" ca="1" si="602"/>
        <v>VIGENTE</v>
      </c>
      <c r="AL178" s="3"/>
      <c r="AM178" s="4">
        <v>45937</v>
      </c>
      <c r="AN178" s="4">
        <f>DATE(YEAR(AM178)+2,MONTH(AM178),DAY(AM178))</f>
        <v>46667</v>
      </c>
      <c r="AO178" s="8">
        <f t="shared" ca="1" si="459"/>
        <v>522</v>
      </c>
      <c r="AP178" s="5" t="str">
        <f t="shared" ca="1" si="460"/>
        <v>VIGENTE</v>
      </c>
      <c r="AQ178" s="3"/>
      <c r="AR178" s="4">
        <v>45887</v>
      </c>
      <c r="AS178" s="4">
        <f t="shared" si="608"/>
        <v>46617</v>
      </c>
      <c r="AT178" s="8">
        <f t="shared" ca="1" si="461"/>
        <v>472</v>
      </c>
      <c r="AU178" s="5" t="str">
        <f t="shared" ca="1" si="462"/>
        <v>VIGENTE</v>
      </c>
      <c r="AV178" s="3"/>
      <c r="AW178" s="4">
        <v>45990</v>
      </c>
      <c r="AX178" s="4">
        <f>DATE(YEAR(AW178)+2,MONTH(AW178),DAY(AW178))</f>
        <v>46720</v>
      </c>
      <c r="AY178" s="8">
        <f t="shared" ca="1" si="463"/>
        <v>575</v>
      </c>
      <c r="AZ178" s="5" t="str">
        <f t="shared" ca="1" si="464"/>
        <v>VIGENTE</v>
      </c>
      <c r="BA178" s="3"/>
      <c r="BB178" s="4">
        <v>45515</v>
      </c>
      <c r="BC178" s="4">
        <f>DATE(YEAR(BB178)+2,MONTH(BB178),DAY(BB178)-1)</f>
        <v>46244</v>
      </c>
      <c r="BD178" s="8">
        <f t="shared" ca="1" si="465"/>
        <v>99</v>
      </c>
      <c r="BE178" s="5" t="str">
        <f t="shared" ca="1" si="466"/>
        <v>VIGENTE</v>
      </c>
      <c r="BF178" s="3"/>
      <c r="BG178" s="4">
        <v>46027</v>
      </c>
      <c r="BH178" s="4">
        <f>DATE(YEAR(BG178)+2,MONTH(BG178),DAY(BG178))</f>
        <v>46757</v>
      </c>
      <c r="BI178" s="8">
        <f t="shared" ca="1" si="467"/>
        <v>612</v>
      </c>
      <c r="BJ178" s="5" t="str">
        <f t="shared" ca="1" si="468"/>
        <v>VIGENTE</v>
      </c>
      <c r="BK178" s="3"/>
      <c r="BL178" s="4">
        <v>46133</v>
      </c>
      <c r="BM178" s="4">
        <f>DATE(YEAR(BL178)+2,MONTH(BL178),DAY(BL178))</f>
        <v>46864</v>
      </c>
      <c r="BN178" s="8">
        <f t="shared" ca="1" si="469"/>
        <v>719</v>
      </c>
      <c r="BO178" s="5" t="str">
        <f t="shared" ca="1" si="470"/>
        <v>VIGENTE</v>
      </c>
      <c r="BP178" s="3"/>
      <c r="BQ178" s="39">
        <v>46120</v>
      </c>
      <c r="BR178" s="4">
        <f>DATE(YEAR(BQ178)+2,MONTH(BQ178),DAY(BQ178)-1)</f>
        <v>46850</v>
      </c>
      <c r="BS178" s="8">
        <f t="shared" ca="1" si="471"/>
        <v>705</v>
      </c>
      <c r="BT178" s="5" t="str">
        <f t="shared" ca="1" si="472"/>
        <v>VIGENTE</v>
      </c>
      <c r="BU178" s="3"/>
      <c r="BV178" s="4">
        <v>45871</v>
      </c>
      <c r="BW178" s="4">
        <f>DATE(YEAR(BV178)+2,MONTH(BV178),DAY(BV178))</f>
        <v>46601</v>
      </c>
      <c r="BX178" s="8">
        <f t="shared" ca="1" si="473"/>
        <v>456</v>
      </c>
      <c r="BY178" s="5" t="str">
        <f t="shared" ca="1" si="474"/>
        <v>VIGENTE</v>
      </c>
      <c r="BZ178" s="3"/>
      <c r="CA178" s="4">
        <v>45944</v>
      </c>
      <c r="CB178" s="4">
        <f>DATE(YEAR(CA178)+2,MONTH(CA178),DAY(CA178))</f>
        <v>46674</v>
      </c>
      <c r="CC178" s="8">
        <f t="shared" ca="1" si="475"/>
        <v>529</v>
      </c>
      <c r="CD178" s="5" t="str">
        <f t="shared" ca="1" si="476"/>
        <v>VIGENTE</v>
      </c>
      <c r="CE178" s="6"/>
      <c r="CF178" s="4">
        <v>45227</v>
      </c>
      <c r="CG178" s="4">
        <f t="shared" si="590"/>
        <v>46688</v>
      </c>
      <c r="CH178" s="8">
        <f t="shared" ca="1" si="591"/>
        <v>543</v>
      </c>
      <c r="CI178" s="5" t="str">
        <f t="shared" ca="1" si="573"/>
        <v>VIGENTE</v>
      </c>
      <c r="CJ178" s="4"/>
      <c r="CK178" s="4">
        <v>45895</v>
      </c>
      <c r="CL178" s="4">
        <f>DATE(YEAR(CK178)+2,MONTH(CK178),DAY(CK178))</f>
        <v>46625</v>
      </c>
      <c r="CM178" s="8">
        <f t="shared" ca="1" si="477"/>
        <v>480</v>
      </c>
      <c r="CN178" s="5" t="str">
        <f t="shared" ca="1" si="478"/>
        <v>VIGENTE</v>
      </c>
      <c r="CO178" s="3"/>
      <c r="CP178" s="39">
        <v>45898</v>
      </c>
      <c r="CQ178" s="4">
        <f>DATE(YEAR(CP178)+2,MONTH(CP178),DAY(CP178))</f>
        <v>46628</v>
      </c>
      <c r="CR178" s="8">
        <f t="shared" ca="1" si="479"/>
        <v>483</v>
      </c>
      <c r="CS178" s="5" t="str">
        <f t="shared" ca="1" si="480"/>
        <v>VIGENTE</v>
      </c>
      <c r="CT178" s="3"/>
      <c r="CU178" s="4">
        <v>45645</v>
      </c>
      <c r="CV178" s="4">
        <f>DATE(YEAR(CU178)+2,MONTH(CU178),DAY(CU178)-1)</f>
        <v>46374</v>
      </c>
      <c r="CW178" s="8">
        <f t="shared" ca="1" si="481"/>
        <v>229</v>
      </c>
      <c r="CX178" s="5" t="str">
        <f t="shared" ca="1" si="482"/>
        <v>VIGENTE</v>
      </c>
      <c r="CY178" s="3"/>
      <c r="CZ178" s="4">
        <v>45661</v>
      </c>
      <c r="DA178" s="4">
        <f>DATE(YEAR(CZ178)+2,MONTH(CZ178),DAY(CZ178)-1)</f>
        <v>46390</v>
      </c>
      <c r="DB178" s="8">
        <f t="shared" ca="1" si="483"/>
        <v>245</v>
      </c>
      <c r="DC178" s="5" t="str">
        <f t="shared" ca="1" si="484"/>
        <v>VIGENTE</v>
      </c>
      <c r="DD178" s="3"/>
      <c r="DE178" s="39">
        <v>45689</v>
      </c>
      <c r="DF178" s="4">
        <f>DATE(YEAR(DE178)+2,MONTH(DE178),DAY(DE178)-1)</f>
        <v>46418</v>
      </c>
      <c r="DG178" s="8">
        <f t="shared" ca="1" si="485"/>
        <v>273</v>
      </c>
      <c r="DH178" s="5" t="str">
        <f t="shared" ca="1" si="486"/>
        <v>VIGENTE</v>
      </c>
      <c r="DI178" s="3"/>
      <c r="DJ178" s="39">
        <v>45955</v>
      </c>
      <c r="DK178" s="4">
        <f>DATE(YEAR(DJ178)+2,MONTH(DJ178),DAY(DJ178))</f>
        <v>46685</v>
      </c>
      <c r="DL178" s="8">
        <f t="shared" ca="1" si="487"/>
        <v>540</v>
      </c>
      <c r="DM178" s="5" t="str">
        <f t="shared" ca="1" si="488"/>
        <v>VIGENTE</v>
      </c>
      <c r="DN178" s="3"/>
      <c r="DO178" s="4">
        <v>45982</v>
      </c>
      <c r="DP178" s="4">
        <f>DATE(YEAR(DO178)+2,MONTH(DO178),DAY(DO178))</f>
        <v>46712</v>
      </c>
      <c r="DQ178" s="8">
        <f t="shared" ca="1" si="489"/>
        <v>567</v>
      </c>
      <c r="DR178" s="5" t="str">
        <f t="shared" ca="1" si="490"/>
        <v>VIGENTE</v>
      </c>
      <c r="DS178" s="3"/>
      <c r="DT178" s="4">
        <v>45918</v>
      </c>
      <c r="DU178" s="4">
        <f>DATE(YEAR(DT178)+2,MONTH(DT178),DAY(DT178))</f>
        <v>46648</v>
      </c>
      <c r="DV178" s="8">
        <f t="shared" ca="1" si="491"/>
        <v>503</v>
      </c>
      <c r="DW178" s="5" t="str">
        <f t="shared" ca="1" si="492"/>
        <v>VIGENTE</v>
      </c>
      <c r="DX178" s="3"/>
      <c r="DY178" s="4">
        <v>45915</v>
      </c>
      <c r="DZ178" s="4">
        <f>DATE(YEAR(DY178)+2,MONTH(DY178),DAY(DY178))</f>
        <v>46645</v>
      </c>
      <c r="EA178" s="8">
        <f t="shared" ca="1" si="493"/>
        <v>500</v>
      </c>
      <c r="EB178" s="5" t="str">
        <f t="shared" ca="1" si="494"/>
        <v>VIGENTE</v>
      </c>
      <c r="EC178" s="3"/>
      <c r="ED178" s="39">
        <v>45883</v>
      </c>
      <c r="EE178" s="4">
        <f>DATE(YEAR(ED178)+2,MONTH(ED178),DAY(ED178))</f>
        <v>46613</v>
      </c>
      <c r="EF178" s="8">
        <f t="shared" ca="1" si="495"/>
        <v>468</v>
      </c>
      <c r="EG178" s="5" t="str">
        <f t="shared" ca="1" si="496"/>
        <v>VIGENTE</v>
      </c>
      <c r="EH178" s="3"/>
      <c r="EI178" s="3">
        <v>46002</v>
      </c>
      <c r="EJ178" s="4">
        <f t="shared" si="558"/>
        <v>46367</v>
      </c>
      <c r="EK178" s="8">
        <f t="shared" ca="1" si="497"/>
        <v>222</v>
      </c>
      <c r="EL178" s="5" t="str">
        <f t="shared" ca="1" si="498"/>
        <v>VIGENTE</v>
      </c>
      <c r="EM178" s="3"/>
      <c r="EN178" s="4">
        <v>45940</v>
      </c>
      <c r="EO178" s="4">
        <f>DATE(YEAR(EN178)+2,MONTH(EN178),DAY(EN178))</f>
        <v>46670</v>
      </c>
      <c r="EP178" s="8">
        <f t="shared" ca="1" si="499"/>
        <v>525</v>
      </c>
      <c r="EQ178" s="5" t="str">
        <f t="shared" ca="1" si="500"/>
        <v>VIGENTE</v>
      </c>
      <c r="ER178" s="3"/>
      <c r="ES178" s="39">
        <v>45824</v>
      </c>
      <c r="ET178" s="4">
        <f>DATE(YEAR(ES178)+2,MONTH(ES178),DAY(ES178))</f>
        <v>46554</v>
      </c>
      <c r="EU178" s="8">
        <f t="shared" ca="1" si="501"/>
        <v>409</v>
      </c>
      <c r="EV178" s="5" t="str">
        <f t="shared" ca="1" si="502"/>
        <v>VIGENTE</v>
      </c>
      <c r="EW178" s="3"/>
      <c r="EX178" s="4">
        <v>45917</v>
      </c>
      <c r="EY178" s="4">
        <f t="shared" si="609"/>
        <v>46647</v>
      </c>
      <c r="EZ178" s="8">
        <f t="shared" ca="1" si="503"/>
        <v>502</v>
      </c>
      <c r="FA178" s="5" t="str">
        <f t="shared" ca="1" si="504"/>
        <v>VIGENTE</v>
      </c>
      <c r="FB178" s="3"/>
      <c r="FC178" s="4">
        <v>45922</v>
      </c>
      <c r="FD178" s="4">
        <f>DATE(YEAR(FC178)+2,MONTH(FC178),DAY(FC178))</f>
        <v>46652</v>
      </c>
      <c r="FE178" s="8">
        <f t="shared" ca="1" si="505"/>
        <v>507</v>
      </c>
      <c r="FF178" s="5" t="str">
        <f t="shared" ca="1" si="506"/>
        <v>VIGENTE</v>
      </c>
      <c r="FG178" s="3"/>
      <c r="FH178" s="4">
        <v>45919</v>
      </c>
      <c r="FI178" s="4">
        <f>DATE(YEAR(FH178)+2,MONTH(FH178),DAY(FH178))</f>
        <v>46649</v>
      </c>
      <c r="FJ178" s="8">
        <f t="shared" ca="1" si="507"/>
        <v>504</v>
      </c>
      <c r="FK178" s="5" t="str">
        <f t="shared" ca="1" si="508"/>
        <v>VIGENTE</v>
      </c>
      <c r="FL178" s="3"/>
      <c r="FM178" s="39">
        <v>45964</v>
      </c>
      <c r="FN178" s="4">
        <f>DATE(YEAR(FM178)+2,MONTH(FM178),DAY(FM178))</f>
        <v>46694</v>
      </c>
      <c r="FO178" s="8">
        <f t="shared" ca="1" si="509"/>
        <v>549</v>
      </c>
      <c r="FP178" s="5" t="str">
        <f t="shared" ca="1" si="510"/>
        <v>VIGENTE</v>
      </c>
      <c r="FQ178" s="3"/>
      <c r="FR178" s="39">
        <v>45846</v>
      </c>
      <c r="FS178" s="4">
        <f>DATE(YEAR(FR178)+2,MONTH(FR178),DAY(FR178))</f>
        <v>46576</v>
      </c>
      <c r="FT178" s="8">
        <f t="shared" ca="1" si="511"/>
        <v>431</v>
      </c>
      <c r="FU178" s="5" t="str">
        <f t="shared" ca="1" si="512"/>
        <v>VIGENTE</v>
      </c>
      <c r="FV178" s="3"/>
      <c r="FW178" s="4">
        <v>45908</v>
      </c>
      <c r="FX178" s="4">
        <f>DATE(YEAR(FW178)+2,MONTH(FW178),DAY(FW178))</f>
        <v>46638</v>
      </c>
      <c r="FY178" s="8">
        <f t="shared" ca="1" si="513"/>
        <v>493</v>
      </c>
      <c r="FZ178" s="5" t="str">
        <f t="shared" ca="1" si="514"/>
        <v>VIGENTE</v>
      </c>
      <c r="GA178" s="3"/>
      <c r="GB178" s="4">
        <v>45874</v>
      </c>
      <c r="GC178" s="4">
        <f>DATE(YEAR(GB178)+2,MONTH(GB178),DAY(GB178))</f>
        <v>46604</v>
      </c>
      <c r="GD178" s="8">
        <f t="shared" ca="1" si="515"/>
        <v>459</v>
      </c>
      <c r="GE178" s="5" t="str">
        <f t="shared" ca="1" si="516"/>
        <v>VIGENTE</v>
      </c>
      <c r="GF178" s="3"/>
      <c r="GG178" s="4">
        <v>45960</v>
      </c>
      <c r="GH178" s="4">
        <f>DATE(YEAR(GG178)+2,MONTH(GG178),DAY(GG178))</f>
        <v>46690</v>
      </c>
      <c r="GI178" s="8">
        <f t="shared" ca="1" si="517"/>
        <v>545</v>
      </c>
      <c r="GJ178" s="5" t="str">
        <f t="shared" ca="1" si="518"/>
        <v>VIGENTE</v>
      </c>
      <c r="GK178" s="3"/>
      <c r="GL178" s="4">
        <v>45945</v>
      </c>
      <c r="GM178" s="4">
        <f>DATE(YEAR(GL178)+2,MONTH(GL178),DAY(GL178))</f>
        <v>46675</v>
      </c>
      <c r="GN178" s="8">
        <f t="shared" ca="1" si="519"/>
        <v>530</v>
      </c>
      <c r="GO178" s="5" t="str">
        <f t="shared" ca="1" si="520"/>
        <v>VIGENTE</v>
      </c>
      <c r="GP178" s="4"/>
      <c r="GQ178" s="4">
        <v>45224</v>
      </c>
      <c r="GR178" s="4">
        <f t="shared" si="521"/>
        <v>47051</v>
      </c>
      <c r="GS178" s="8">
        <f t="shared" ca="1" si="601"/>
        <v>906</v>
      </c>
      <c r="GT178" s="5" t="str">
        <f t="shared" ca="1" si="610"/>
        <v>VIGENTE</v>
      </c>
      <c r="GU178" s="3"/>
      <c r="GV178" s="4">
        <v>45200</v>
      </c>
      <c r="GW178" s="4">
        <f t="shared" si="522"/>
        <v>47027</v>
      </c>
      <c r="GX178" s="8">
        <f t="shared" ca="1" si="523"/>
        <v>882</v>
      </c>
      <c r="GY178" s="5" t="str">
        <f t="shared" ca="1" si="611"/>
        <v>VIGENTE</v>
      </c>
      <c r="GZ178" s="3"/>
      <c r="HA178" s="4">
        <v>45232</v>
      </c>
      <c r="HB178" s="4">
        <f t="shared" si="524"/>
        <v>47059</v>
      </c>
      <c r="HC178" s="8">
        <f t="shared" ca="1" si="525"/>
        <v>914</v>
      </c>
      <c r="HD178" s="5" t="str">
        <f t="shared" ca="1" si="612"/>
        <v>VIGENTE</v>
      </c>
      <c r="HE178" s="6"/>
      <c r="HF178" s="4">
        <v>44862</v>
      </c>
      <c r="HG178" s="4">
        <f t="shared" si="603"/>
        <v>46688</v>
      </c>
      <c r="HH178" s="8">
        <f t="shared" ca="1" si="604"/>
        <v>543</v>
      </c>
      <c r="HI178" s="5" t="str">
        <f t="shared" ca="1" si="613"/>
        <v>VIGENTE</v>
      </c>
      <c r="HJ178" s="2"/>
      <c r="HK178" s="6"/>
      <c r="HL178" s="4"/>
      <c r="HM178" s="8"/>
      <c r="HN178" s="5" t="str">
        <f t="shared" si="444"/>
        <v>NO APLICA</v>
      </c>
      <c r="HO178" s="2"/>
      <c r="HP178" s="5"/>
      <c r="HQ178" s="4"/>
      <c r="HR178" s="5"/>
      <c r="HS178" s="5" t="str">
        <f t="shared" si="526"/>
        <v>NO APLICA</v>
      </c>
      <c r="HT178" s="3"/>
      <c r="HU178" s="4">
        <v>45260</v>
      </c>
      <c r="HV178" s="4">
        <f>DATE(YEAR(HU178)+5,MONTH(HU178),DAY(HU178))</f>
        <v>47087</v>
      </c>
      <c r="HW178" s="8">
        <f ca="1">HV178-TODAY()</f>
        <v>942</v>
      </c>
      <c r="HX178" s="5" t="str">
        <f t="shared" ca="1" si="527"/>
        <v>VIGENTE</v>
      </c>
      <c r="HY178" s="3"/>
      <c r="HZ178" s="4">
        <v>45428</v>
      </c>
      <c r="IA178" s="4">
        <f>DATE(YEAR(HZ178)+5,MONTH(HZ178),DAY(HZ178))</f>
        <v>47254</v>
      </c>
      <c r="IB178" s="8">
        <f ca="1">IA178-TODAY()</f>
        <v>1109</v>
      </c>
      <c r="IC178" s="5" t="str">
        <f t="shared" ca="1" si="528"/>
        <v>VIGENTE</v>
      </c>
      <c r="ID178" s="3"/>
      <c r="IE178" s="4">
        <v>45470</v>
      </c>
      <c r="IF178" s="4">
        <f>DATE(YEAR(IE178)+5,MONTH(IE178),DAY(IE178))</f>
        <v>47296</v>
      </c>
      <c r="IG178" s="8">
        <f ca="1">IF178-TODAY()</f>
        <v>1151</v>
      </c>
      <c r="IH178" s="5" t="str">
        <f t="shared" ca="1" si="529"/>
        <v>VIGENTE</v>
      </c>
      <c r="II178" s="4"/>
      <c r="IJ178" s="4">
        <v>45429</v>
      </c>
      <c r="IK178" s="4">
        <f>DATE(YEAR(IJ178)+5,MONTH(IJ178),DAY(IJ178))</f>
        <v>47255</v>
      </c>
      <c r="IL178" s="8">
        <f ca="1">IK178-TODAY()</f>
        <v>1110</v>
      </c>
      <c r="IM178" s="5" t="str">
        <f t="shared" ca="1" si="530"/>
        <v>VIGENTE</v>
      </c>
      <c r="IN178" s="3"/>
      <c r="IO178" s="4">
        <v>45460</v>
      </c>
      <c r="IP178" s="4">
        <f>DATE(YEAR(IO178)+5,MONTH(IO178),DAY(IO178))</f>
        <v>47286</v>
      </c>
      <c r="IQ178" s="8">
        <f ca="1">IP178-TODAY()</f>
        <v>1141</v>
      </c>
      <c r="IR178" s="5" t="str">
        <f t="shared" ca="1" si="531"/>
        <v>VIGENTE</v>
      </c>
      <c r="IS178" s="3"/>
      <c r="IT178" s="4">
        <v>45435</v>
      </c>
      <c r="IU178" s="4">
        <f>DATE(YEAR(IT178)+5,MONTH(IT178),DAY(IT178))</f>
        <v>47261</v>
      </c>
      <c r="IV178" s="8">
        <f ca="1">IU178-TODAY()</f>
        <v>1116</v>
      </c>
      <c r="IW178" s="5" t="str">
        <f t="shared" ca="1" si="532"/>
        <v>VIGENTE</v>
      </c>
      <c r="IX178" s="3"/>
      <c r="IY178" s="4">
        <v>45461</v>
      </c>
      <c r="IZ178" s="4">
        <f>DATE(YEAR(IY178)+5,MONTH(IY178),DAY(IY178))</f>
        <v>47287</v>
      </c>
      <c r="JA178" s="8">
        <f ca="1">IZ178-TODAY()</f>
        <v>1142</v>
      </c>
      <c r="JB178" s="5" t="str">
        <f t="shared" ca="1" si="533"/>
        <v>VIGENTE</v>
      </c>
      <c r="JC178" s="3" t="s">
        <v>780</v>
      </c>
      <c r="JD178" s="3"/>
      <c r="JE178" s="4"/>
      <c r="JF178" s="8"/>
      <c r="JG178" s="5"/>
      <c r="JH178" s="3" t="s">
        <v>780</v>
      </c>
      <c r="JI178" s="6"/>
      <c r="JJ178" s="6"/>
      <c r="JK178" s="6"/>
      <c r="JL178" s="5"/>
      <c r="JM178" s="6" t="s">
        <v>780</v>
      </c>
      <c r="JN178" s="6"/>
      <c r="JO178" s="6"/>
      <c r="JP178" s="6"/>
      <c r="JQ178" s="5"/>
      <c r="JR178" s="6" t="s">
        <v>780</v>
      </c>
      <c r="JS178" s="6"/>
      <c r="JT178" s="6"/>
      <c r="JU178" s="6"/>
      <c r="JV178" s="5"/>
      <c r="JW178" s="6" t="s">
        <v>780</v>
      </c>
      <c r="JX178" s="3"/>
      <c r="JY178" s="4"/>
      <c r="JZ178" s="8"/>
      <c r="KA178" s="5"/>
      <c r="KB178" s="5"/>
      <c r="KC178" s="5"/>
      <c r="KD178" s="4"/>
      <c r="KE178" s="8"/>
      <c r="KF178" s="5" t="str">
        <f t="shared" si="534"/>
        <v>NO APLICA</v>
      </c>
      <c r="KG178" s="5"/>
      <c r="KH178" s="5"/>
      <c r="KI178" s="4"/>
      <c r="KJ178" s="8"/>
      <c r="KK178" s="5" t="str">
        <f t="shared" si="559"/>
        <v>NO APLICA</v>
      </c>
      <c r="KL178" s="5"/>
      <c r="KM178" s="5"/>
      <c r="KN178" s="4"/>
      <c r="KO178" s="8"/>
      <c r="KP178" s="5" t="str">
        <f t="shared" si="535"/>
        <v>NO APLICA</v>
      </c>
      <c r="KQ178" s="5"/>
      <c r="KR178" s="2"/>
      <c r="KS178" s="4"/>
      <c r="KT178" s="8"/>
      <c r="KU178" s="5" t="str">
        <f t="shared" si="560"/>
        <v>NO APLICA</v>
      </c>
      <c r="KV178" s="3"/>
      <c r="KW178" s="4">
        <v>44658</v>
      </c>
      <c r="KX178" s="4">
        <f>DATE(YEAR(KW178)+5,MONTH(KW178),DAY(KW178))</f>
        <v>46484</v>
      </c>
      <c r="KY178" s="8">
        <f ca="1">KX178-TODAY()</f>
        <v>339</v>
      </c>
      <c r="KZ178" s="5" t="str">
        <f t="shared" ca="1" si="565"/>
        <v>VIGENTE</v>
      </c>
      <c r="LA178" s="5"/>
      <c r="LB178" s="6"/>
      <c r="LC178" s="4"/>
      <c r="LD178" s="8"/>
      <c r="LE178" s="5" t="str">
        <f t="shared" si="561"/>
        <v>NO APLICA</v>
      </c>
      <c r="LF178" s="6"/>
      <c r="LG178" s="4"/>
      <c r="LH178" s="4"/>
      <c r="LI178" s="8"/>
      <c r="LJ178" s="5" t="str">
        <f t="shared" si="600"/>
        <v>NO APLICA</v>
      </c>
      <c r="LK178" s="5"/>
      <c r="LL178" s="5"/>
      <c r="LM178" s="4"/>
      <c r="LN178" s="8"/>
      <c r="LO178" s="5" t="str">
        <f t="shared" si="566"/>
        <v>NO APLICA</v>
      </c>
      <c r="LP178" s="5"/>
      <c r="LQ178" s="6"/>
      <c r="LR178" s="4"/>
      <c r="LS178" s="8"/>
      <c r="LT178" s="5" t="str">
        <f t="shared" si="562"/>
        <v>NO APLICA</v>
      </c>
      <c r="LU178" s="6"/>
      <c r="LV178" s="6"/>
      <c r="LW178" s="4"/>
      <c r="LX178" s="8"/>
      <c r="LY178" s="5" t="str">
        <f t="shared" si="563"/>
        <v>NO APLICA</v>
      </c>
      <c r="LZ178" s="6"/>
      <c r="MA178" s="6"/>
      <c r="MB178" s="4"/>
      <c r="MC178" s="8"/>
      <c r="MD178" s="5" t="str">
        <f t="shared" si="564"/>
        <v>NO APLICA</v>
      </c>
      <c r="ME178" s="5"/>
      <c r="MF178" s="5"/>
      <c r="MG178" s="4"/>
      <c r="MH178" s="8"/>
      <c r="MI178" s="5" t="str">
        <f t="shared" si="537"/>
        <v>NO APLICA</v>
      </c>
      <c r="MJ178" s="5"/>
      <c r="MK178" s="5"/>
      <c r="ML178" s="4"/>
      <c r="MM178" s="8"/>
      <c r="MN178" s="5" t="str">
        <f t="shared" si="538"/>
        <v>NO APLICA</v>
      </c>
      <c r="MO178" s="5"/>
      <c r="MP178" s="5"/>
      <c r="MQ178" s="4"/>
      <c r="MR178" s="8"/>
      <c r="MS178" s="5" t="str">
        <f t="shared" si="539"/>
        <v>NO APLICA</v>
      </c>
      <c r="MT178" s="5"/>
      <c r="MU178" s="5"/>
      <c r="MV178" s="4"/>
      <c r="MW178" s="5"/>
      <c r="MX178" s="5" t="str">
        <f t="shared" si="540"/>
        <v>NO APLICA</v>
      </c>
      <c r="MY178" s="5"/>
      <c r="MZ178" s="6"/>
      <c r="NA178" s="4"/>
      <c r="NB178" s="8"/>
      <c r="NC178" s="5" t="str">
        <f t="shared" si="541"/>
        <v>NO APLICA</v>
      </c>
      <c r="ND178" s="5"/>
      <c r="NE178" s="6"/>
      <c r="NF178" s="4"/>
      <c r="NG178" s="8"/>
      <c r="NH178" s="5" t="str">
        <f t="shared" si="542"/>
        <v>NO APLICA</v>
      </c>
      <c r="NI178" s="5"/>
      <c r="NJ178" s="6"/>
      <c r="NK178" s="4"/>
      <c r="NL178" s="8"/>
      <c r="NM178" s="5" t="str">
        <f t="shared" si="543"/>
        <v>NO APLICA</v>
      </c>
      <c r="NN178" s="5"/>
      <c r="NO178" s="5"/>
      <c r="NP178" s="4"/>
      <c r="NQ178" s="8"/>
      <c r="NR178" s="5" t="str">
        <f t="shared" si="544"/>
        <v>NO APLICA</v>
      </c>
      <c r="NS178" s="5"/>
      <c r="NT178" s="5"/>
      <c r="NU178" s="5"/>
      <c r="NV178" s="5"/>
      <c r="NW178" s="5" t="str">
        <f t="shared" si="545"/>
        <v>NO APLICA</v>
      </c>
      <c r="NX178" s="6"/>
      <c r="NY178" s="6"/>
      <c r="NZ178" s="4"/>
      <c r="OA178" s="8"/>
      <c r="OB178" s="5" t="str">
        <f t="shared" si="546"/>
        <v>NO APLICA</v>
      </c>
      <c r="OC178" s="6"/>
      <c r="OD178" s="6"/>
      <c r="OE178" s="6"/>
      <c r="OF178" s="6"/>
      <c r="OG178" s="5" t="str">
        <f t="shared" si="547"/>
        <v>NO APLICA</v>
      </c>
      <c r="OH178" s="5"/>
      <c r="OI178" s="5"/>
      <c r="OJ178" s="4"/>
      <c r="OK178" s="8"/>
      <c r="OL178" s="5" t="str">
        <f t="shared" si="548"/>
        <v>NO APLICA</v>
      </c>
      <c r="OM178" s="6"/>
      <c r="ON178" s="6"/>
      <c r="OO178" s="6"/>
      <c r="OP178" s="6"/>
      <c r="OQ178" s="5" t="str">
        <f t="shared" si="549"/>
        <v>NO APLICA</v>
      </c>
      <c r="OR178" s="6"/>
      <c r="OS178" s="6"/>
      <c r="OT178" s="6"/>
      <c r="OU178" s="6"/>
      <c r="OV178" s="5" t="str">
        <f t="shared" si="550"/>
        <v>NO APLICA</v>
      </c>
      <c r="OW178" s="6"/>
      <c r="OX178" s="6"/>
      <c r="OY178" s="6"/>
      <c r="OZ178" s="6"/>
      <c r="PA178" s="5" t="str">
        <f t="shared" si="551"/>
        <v>NO APLICA</v>
      </c>
      <c r="PB178" s="6"/>
      <c r="PC178" s="6"/>
      <c r="PD178" s="6"/>
      <c r="PE178" s="6"/>
      <c r="PF178" s="5" t="str">
        <f t="shared" si="552"/>
        <v>NO APLICA</v>
      </c>
      <c r="PG178" s="6"/>
      <c r="PH178" s="6"/>
      <c r="PI178" s="6"/>
      <c r="PJ178" s="6"/>
      <c r="PK178" s="5" t="str">
        <f t="shared" si="553"/>
        <v>NO APLICA</v>
      </c>
      <c r="PL178" s="5"/>
      <c r="PM178" s="6"/>
      <c r="PN178" s="4"/>
      <c r="PO178" s="8"/>
      <c r="PP178" s="5" t="str">
        <f t="shared" si="554"/>
        <v>NO APLICA</v>
      </c>
      <c r="PQ178" s="6"/>
      <c r="PR178" s="6"/>
      <c r="PS178" s="6"/>
      <c r="PT178" s="6"/>
      <c r="PU178" s="5" t="str">
        <f t="shared" si="555"/>
        <v>NO APLICA</v>
      </c>
      <c r="PV178" s="5"/>
      <c r="PW178" s="6"/>
      <c r="PX178" s="6"/>
      <c r="PY178" s="6"/>
      <c r="PZ178" s="5" t="str">
        <f t="shared" si="556"/>
        <v>NO APLICA</v>
      </c>
    </row>
    <row r="179" spans="1:442" ht="15.6" hidden="1" thickTop="1" thickBot="1" x14ac:dyDescent="0.35">
      <c r="A179" s="26">
        <v>176</v>
      </c>
      <c r="B179" s="27">
        <v>1057</v>
      </c>
      <c r="C179" s="28" t="s">
        <v>565</v>
      </c>
      <c r="D179" s="29" t="s">
        <v>113</v>
      </c>
      <c r="E179" s="30" t="s">
        <v>126</v>
      </c>
      <c r="F179" s="3"/>
      <c r="G179" s="4">
        <v>46058</v>
      </c>
      <c r="H179" s="4">
        <f>DATE(YEAR(G179)+2,MONTH(G179),DAY(G179))</f>
        <v>46788</v>
      </c>
      <c r="I179" s="8">
        <f ca="1">H179-TODAY()</f>
        <v>643</v>
      </c>
      <c r="J179" s="5" t="str">
        <f t="shared" ca="1" si="455"/>
        <v>VIGENTE</v>
      </c>
      <c r="K179" s="2"/>
      <c r="L179" s="6"/>
      <c r="M179" s="6"/>
      <c r="N179" s="8"/>
      <c r="O179" s="5" t="str">
        <f t="shared" si="456"/>
        <v>NO APLICA</v>
      </c>
      <c r="P179" s="6"/>
      <c r="Q179" s="6"/>
      <c r="R179" s="4"/>
      <c r="S179" s="8"/>
      <c r="T179" s="5" t="str">
        <f t="shared" si="557"/>
        <v>NO APLICA</v>
      </c>
      <c r="U179" s="5"/>
      <c r="V179" s="2" t="s">
        <v>566</v>
      </c>
      <c r="W179" s="4">
        <v>45735</v>
      </c>
      <c r="X179" s="4">
        <f t="shared" si="587"/>
        <v>47561</v>
      </c>
      <c r="Y179" s="8">
        <f t="shared" ca="1" si="588"/>
        <v>1416</v>
      </c>
      <c r="Z179" s="5" t="str">
        <f t="shared" ca="1" si="605"/>
        <v>VIGENTE</v>
      </c>
      <c r="AA179" s="5"/>
      <c r="AB179" s="2"/>
      <c r="AC179" s="6"/>
      <c r="AD179" s="4"/>
      <c r="AE179" s="8"/>
      <c r="AF179" s="5" t="str">
        <f t="shared" si="457"/>
        <v>NO APLICA</v>
      </c>
      <c r="AG179" s="3"/>
      <c r="AH179" s="4">
        <v>45902</v>
      </c>
      <c r="AI179" s="4">
        <f>DATE(YEAR(AH179)+2,MONTH(AH179),DAY(AH179))</f>
        <v>46632</v>
      </c>
      <c r="AJ179" s="8">
        <f t="shared" ca="1" si="458"/>
        <v>487</v>
      </c>
      <c r="AK179" s="5" t="str">
        <f t="shared" ca="1" si="602"/>
        <v>VIGENTE</v>
      </c>
      <c r="AL179" s="3"/>
      <c r="AM179" s="4">
        <v>45926</v>
      </c>
      <c r="AN179" s="4">
        <f>DATE(YEAR(AM179)+2,MONTH(AM179),DAY(AM179))</f>
        <v>46656</v>
      </c>
      <c r="AO179" s="8">
        <f t="shared" ca="1" si="459"/>
        <v>511</v>
      </c>
      <c r="AP179" s="5" t="str">
        <f t="shared" ca="1" si="460"/>
        <v>VIGENTE</v>
      </c>
      <c r="AQ179" s="3"/>
      <c r="AR179" s="4">
        <v>45904</v>
      </c>
      <c r="AS179" s="4">
        <f t="shared" si="608"/>
        <v>46634</v>
      </c>
      <c r="AT179" s="8">
        <f t="shared" ca="1" si="461"/>
        <v>489</v>
      </c>
      <c r="AU179" s="5" t="str">
        <f t="shared" ca="1" si="462"/>
        <v>VIGENTE</v>
      </c>
      <c r="AV179" s="3"/>
      <c r="AW179" s="4">
        <v>45906</v>
      </c>
      <c r="AX179" s="4">
        <f>DATE(YEAR(AW179)+2,MONTH(AW179),DAY(AW179))</f>
        <v>46636</v>
      </c>
      <c r="AY179" s="8">
        <f t="shared" ca="1" si="463"/>
        <v>491</v>
      </c>
      <c r="AZ179" s="5" t="str">
        <f t="shared" ca="1" si="464"/>
        <v>VIGENTE</v>
      </c>
      <c r="BA179" s="3"/>
      <c r="BB179" s="4">
        <v>45717</v>
      </c>
      <c r="BC179" s="4">
        <f>DATE(YEAR(BB179)+2,MONTH(BB179),DAY(BB179)-1)</f>
        <v>46446</v>
      </c>
      <c r="BD179" s="8">
        <f t="shared" ca="1" si="465"/>
        <v>301</v>
      </c>
      <c r="BE179" s="5" t="str">
        <f t="shared" ca="1" si="466"/>
        <v>VIGENTE</v>
      </c>
      <c r="BF179" s="3"/>
      <c r="BG179" s="4">
        <v>45531</v>
      </c>
      <c r="BH179" s="4">
        <f>DATE(YEAR(BG179)+2,MONTH(BG179),DAY(BG179)-1)</f>
        <v>46260</v>
      </c>
      <c r="BI179" s="8">
        <f t="shared" ca="1" si="467"/>
        <v>115</v>
      </c>
      <c r="BJ179" s="5" t="str">
        <f t="shared" ca="1" si="468"/>
        <v>VIGENTE</v>
      </c>
      <c r="BK179" s="3"/>
      <c r="BL179" s="4">
        <v>45570</v>
      </c>
      <c r="BM179" s="4">
        <f>DATE(YEAR(BL179)+2,MONTH(BL179),DAY(BL179)-1)</f>
        <v>46299</v>
      </c>
      <c r="BN179" s="8">
        <f t="shared" ca="1" si="469"/>
        <v>154</v>
      </c>
      <c r="BO179" s="5" t="str">
        <f t="shared" ca="1" si="470"/>
        <v>VIGENTE</v>
      </c>
      <c r="BP179" s="3"/>
      <c r="BQ179" s="39">
        <v>45701</v>
      </c>
      <c r="BR179" s="4">
        <f>DATE(YEAR(BQ179)+2,MONTH(BQ179),DAY(BQ179)-1)</f>
        <v>46430</v>
      </c>
      <c r="BS179" s="8">
        <f t="shared" ca="1" si="471"/>
        <v>285</v>
      </c>
      <c r="BT179" s="5" t="str">
        <f t="shared" ca="1" si="472"/>
        <v>VIGENTE</v>
      </c>
      <c r="BU179" s="3"/>
      <c r="BV179" s="4">
        <v>45695</v>
      </c>
      <c r="BW179" s="4">
        <f>DATE(YEAR(BV179)+2,MONTH(BV179),DAY(BV179)-1)</f>
        <v>46424</v>
      </c>
      <c r="BX179" s="8">
        <f t="shared" ca="1" si="473"/>
        <v>279</v>
      </c>
      <c r="BY179" s="5" t="str">
        <f t="shared" ca="1" si="474"/>
        <v>VIGENTE</v>
      </c>
      <c r="BZ179" s="3"/>
      <c r="CA179" s="4">
        <v>45911</v>
      </c>
      <c r="CB179" s="4">
        <f>DATE(YEAR(CA179)+2,MONTH(CA179),DAY(CA179))</f>
        <v>46641</v>
      </c>
      <c r="CC179" s="8">
        <f t="shared" ca="1" si="475"/>
        <v>496</v>
      </c>
      <c r="CD179" s="5" t="str">
        <f t="shared" ca="1" si="476"/>
        <v>VIGENTE</v>
      </c>
      <c r="CE179" s="6"/>
      <c r="CF179" s="4">
        <v>45529</v>
      </c>
      <c r="CG179" s="4">
        <f t="shared" si="590"/>
        <v>46990</v>
      </c>
      <c r="CH179" s="8">
        <f t="shared" ca="1" si="591"/>
        <v>845</v>
      </c>
      <c r="CI179" s="5" t="str">
        <f t="shared" ca="1" si="573"/>
        <v>VIGENTE</v>
      </c>
      <c r="CJ179" s="4"/>
      <c r="CK179" s="4">
        <v>45688</v>
      </c>
      <c r="CL179" s="4">
        <f>DATE(YEAR(CK179)+2,MONTH(CK179),DAY(CK179)-1)</f>
        <v>46417</v>
      </c>
      <c r="CM179" s="8">
        <f t="shared" ca="1" si="477"/>
        <v>272</v>
      </c>
      <c r="CN179" s="5" t="str">
        <f t="shared" ca="1" si="478"/>
        <v>VIGENTE</v>
      </c>
      <c r="CO179" s="3"/>
      <c r="CP179" s="39">
        <v>45769</v>
      </c>
      <c r="CQ179" s="4">
        <f>DATE(YEAR(CP179)+2,MONTH(CP179),DAY(CP179))</f>
        <v>46499</v>
      </c>
      <c r="CR179" s="8">
        <f t="shared" ca="1" si="479"/>
        <v>354</v>
      </c>
      <c r="CS179" s="5" t="str">
        <f t="shared" ca="1" si="480"/>
        <v>VIGENTE</v>
      </c>
      <c r="CT179" s="3"/>
      <c r="CU179" s="4">
        <v>45965</v>
      </c>
      <c r="CV179" s="4">
        <f>DATE(YEAR(CU179)+2,MONTH(CU179),DAY(CU179))</f>
        <v>46695</v>
      </c>
      <c r="CW179" s="8">
        <f t="shared" ca="1" si="481"/>
        <v>550</v>
      </c>
      <c r="CX179" s="5" t="str">
        <f t="shared" ca="1" si="482"/>
        <v>VIGENTE</v>
      </c>
      <c r="CY179" s="3"/>
      <c r="CZ179" s="4">
        <v>45924</v>
      </c>
      <c r="DA179" s="4">
        <f>DATE(YEAR(CZ179)+2,MONTH(CZ179),DAY(CZ179))</f>
        <v>46654</v>
      </c>
      <c r="DB179" s="8">
        <f t="shared" ca="1" si="483"/>
        <v>509</v>
      </c>
      <c r="DC179" s="5" t="str">
        <f t="shared" ca="1" si="484"/>
        <v>VIGENTE</v>
      </c>
      <c r="DD179" s="3"/>
      <c r="DE179" s="39">
        <v>45689</v>
      </c>
      <c r="DF179" s="4">
        <f>DATE(YEAR(DE179)+2,MONTH(DE179),DAY(DE179)-1)</f>
        <v>46418</v>
      </c>
      <c r="DG179" s="8">
        <f t="shared" ca="1" si="485"/>
        <v>273</v>
      </c>
      <c r="DH179" s="5" t="str">
        <f t="shared" ca="1" si="486"/>
        <v>VIGENTE</v>
      </c>
      <c r="DI179" s="3"/>
      <c r="DJ179" s="39">
        <v>45975</v>
      </c>
      <c r="DK179" s="4">
        <f>DATE(YEAR(DJ179)+2,MONTH(DJ179),DAY(DJ179))</f>
        <v>46705</v>
      </c>
      <c r="DL179" s="8">
        <f t="shared" ca="1" si="487"/>
        <v>560</v>
      </c>
      <c r="DM179" s="5" t="str">
        <f t="shared" ca="1" si="488"/>
        <v>VIGENTE</v>
      </c>
      <c r="DN179" s="3"/>
      <c r="DO179" s="4">
        <v>45982</v>
      </c>
      <c r="DP179" s="4">
        <f>DATE(YEAR(DO179)+2,MONTH(DO179),DAY(DO179))</f>
        <v>46712</v>
      </c>
      <c r="DQ179" s="8">
        <f t="shared" ca="1" si="489"/>
        <v>567</v>
      </c>
      <c r="DR179" s="5" t="str">
        <f t="shared" ca="1" si="490"/>
        <v>VIGENTE</v>
      </c>
      <c r="DS179" s="3"/>
      <c r="DT179" s="4">
        <v>45685</v>
      </c>
      <c r="DU179" s="4">
        <f>DATE(YEAR(DT179)+2,MONTH(DT179),DAY(DT179)-1)</f>
        <v>46414</v>
      </c>
      <c r="DV179" s="8">
        <f t="shared" ca="1" si="491"/>
        <v>269</v>
      </c>
      <c r="DW179" s="5" t="str">
        <f t="shared" ca="1" si="492"/>
        <v>VIGENTE</v>
      </c>
      <c r="DX179" s="3"/>
      <c r="DY179" s="4">
        <v>45663</v>
      </c>
      <c r="DZ179" s="4">
        <f>DATE(YEAR(DY179)+2,MONTH(DY179),DAY(DY179)-1)</f>
        <v>46392</v>
      </c>
      <c r="EA179" s="8">
        <f t="shared" ca="1" si="493"/>
        <v>247</v>
      </c>
      <c r="EB179" s="5" t="str">
        <f t="shared" ca="1" si="494"/>
        <v>VIGENTE</v>
      </c>
      <c r="EC179" s="3"/>
      <c r="ED179" s="39">
        <v>45674</v>
      </c>
      <c r="EE179" s="4">
        <f>DATE(YEAR(ED179)+2,MONTH(ED179),DAY(ED179)-1)</f>
        <v>46403</v>
      </c>
      <c r="EF179" s="8">
        <f t="shared" ca="1" si="495"/>
        <v>258</v>
      </c>
      <c r="EG179" s="5" t="str">
        <f t="shared" ca="1" si="496"/>
        <v>VIGENTE</v>
      </c>
      <c r="EH179" s="3"/>
      <c r="EI179" s="3">
        <v>46085</v>
      </c>
      <c r="EJ179" s="4">
        <f t="shared" si="558"/>
        <v>46450</v>
      </c>
      <c r="EK179" s="8">
        <f t="shared" ca="1" si="497"/>
        <v>305</v>
      </c>
      <c r="EL179" s="5" t="str">
        <f t="shared" ca="1" si="498"/>
        <v>VIGENTE</v>
      </c>
      <c r="EM179" s="3"/>
      <c r="EN179" s="4">
        <v>45705</v>
      </c>
      <c r="EO179" s="4">
        <f>DATE(YEAR(EN179)+2,MONTH(EN179),DAY(EN179)-1)</f>
        <v>46434</v>
      </c>
      <c r="EP179" s="8">
        <f t="shared" ca="1" si="499"/>
        <v>289</v>
      </c>
      <c r="EQ179" s="5" t="str">
        <f t="shared" ca="1" si="500"/>
        <v>VIGENTE</v>
      </c>
      <c r="ER179" s="3"/>
      <c r="ES179" s="39">
        <v>45749</v>
      </c>
      <c r="ET179" s="4">
        <f>DATE(YEAR(ES179)+2,MONTH(ES179),DAY(ES179)-1)</f>
        <v>46478</v>
      </c>
      <c r="EU179" s="8">
        <f t="shared" ca="1" si="501"/>
        <v>333</v>
      </c>
      <c r="EV179" s="5" t="str">
        <f t="shared" ca="1" si="502"/>
        <v>VIGENTE</v>
      </c>
      <c r="EW179" s="3"/>
      <c r="EX179" s="4">
        <v>45917</v>
      </c>
      <c r="EY179" s="4">
        <f t="shared" si="609"/>
        <v>46647</v>
      </c>
      <c r="EZ179" s="8">
        <f t="shared" ca="1" si="503"/>
        <v>502</v>
      </c>
      <c r="FA179" s="5" t="str">
        <f t="shared" ca="1" si="504"/>
        <v>VIGENTE</v>
      </c>
      <c r="FB179" s="3"/>
      <c r="FC179" s="4">
        <v>45931</v>
      </c>
      <c r="FD179" s="4">
        <f>DATE(YEAR(FC179)+2,MONTH(FC179),DAY(FC179))</f>
        <v>46661</v>
      </c>
      <c r="FE179" s="8">
        <f t="shared" ca="1" si="505"/>
        <v>516</v>
      </c>
      <c r="FF179" s="5" t="str">
        <f t="shared" ca="1" si="506"/>
        <v>VIGENTE</v>
      </c>
      <c r="FG179" s="3"/>
      <c r="FH179" s="4">
        <v>45932</v>
      </c>
      <c r="FI179" s="4">
        <f>DATE(YEAR(FH179)+2,MONTH(FH179),DAY(FH179))</f>
        <v>46662</v>
      </c>
      <c r="FJ179" s="8">
        <f t="shared" ca="1" si="507"/>
        <v>517</v>
      </c>
      <c r="FK179" s="5" t="str">
        <f t="shared" ca="1" si="508"/>
        <v>VIGENTE</v>
      </c>
      <c r="FL179" s="3"/>
      <c r="FM179" s="39">
        <v>45670</v>
      </c>
      <c r="FN179" s="4">
        <f>DATE(YEAR(FM179)+2,MONTH(FM179),DAY(FM179)-1)</f>
        <v>46399</v>
      </c>
      <c r="FO179" s="8">
        <f t="shared" ca="1" si="509"/>
        <v>254</v>
      </c>
      <c r="FP179" s="5" t="str">
        <f t="shared" ca="1" si="510"/>
        <v>VIGENTE</v>
      </c>
      <c r="FQ179" s="3"/>
      <c r="FR179" s="39">
        <v>45664</v>
      </c>
      <c r="FS179" s="4">
        <f>DATE(YEAR(FR179)+2,MONTH(FR179),DAY(FR179)-1)</f>
        <v>46393</v>
      </c>
      <c r="FT179" s="8">
        <f t="shared" ca="1" si="511"/>
        <v>248</v>
      </c>
      <c r="FU179" s="5" t="str">
        <f t="shared" ca="1" si="512"/>
        <v>VIGENTE</v>
      </c>
      <c r="FV179" s="3"/>
      <c r="FW179" s="4">
        <v>45993</v>
      </c>
      <c r="FX179" s="4">
        <f>DATE(YEAR(FW179)+2,MONTH(FW179),DAY(FW179))</f>
        <v>46723</v>
      </c>
      <c r="FY179" s="8">
        <f t="shared" ca="1" si="513"/>
        <v>578</v>
      </c>
      <c r="FZ179" s="5" t="str">
        <f t="shared" ca="1" si="514"/>
        <v>VIGENTE</v>
      </c>
      <c r="GA179" s="3"/>
      <c r="GB179" s="4">
        <v>45667</v>
      </c>
      <c r="GC179" s="4">
        <f>DATE(YEAR(GB179)+2,MONTH(GB179),DAY(GB179)-1)</f>
        <v>46396</v>
      </c>
      <c r="GD179" s="8">
        <f t="shared" ca="1" si="515"/>
        <v>251</v>
      </c>
      <c r="GE179" s="5" t="str">
        <f t="shared" ca="1" si="516"/>
        <v>VIGENTE</v>
      </c>
      <c r="GF179" s="3"/>
      <c r="GG179" s="4">
        <v>45672</v>
      </c>
      <c r="GH179" s="4">
        <f>DATE(YEAR(GG179)+2,MONTH(GG179),DAY(GG179)-1)</f>
        <v>46401</v>
      </c>
      <c r="GI179" s="8">
        <f t="shared" ca="1" si="517"/>
        <v>256</v>
      </c>
      <c r="GJ179" s="5" t="str">
        <f t="shared" ca="1" si="518"/>
        <v>VIGENTE</v>
      </c>
      <c r="GK179" s="3"/>
      <c r="GL179" s="4">
        <v>45608</v>
      </c>
      <c r="GM179" s="4">
        <f>DATE(YEAR(GL179)+2,MONTH(GL179),DAY(GL179)-1)</f>
        <v>46337</v>
      </c>
      <c r="GN179" s="8">
        <f t="shared" ca="1" si="519"/>
        <v>192</v>
      </c>
      <c r="GO179" s="5" t="str">
        <f t="shared" ca="1" si="520"/>
        <v>VIGENTE</v>
      </c>
      <c r="GP179" s="4"/>
      <c r="GQ179" s="4">
        <v>44912</v>
      </c>
      <c r="GR179" s="4">
        <f t="shared" si="521"/>
        <v>46738</v>
      </c>
      <c r="GS179" s="8">
        <f t="shared" ca="1" si="601"/>
        <v>593</v>
      </c>
      <c r="GT179" s="5" t="str">
        <f t="shared" ca="1" si="610"/>
        <v>VIGENTE</v>
      </c>
      <c r="GU179" s="3"/>
      <c r="GV179" s="4">
        <v>44984</v>
      </c>
      <c r="GW179" s="4">
        <f t="shared" si="522"/>
        <v>46810</v>
      </c>
      <c r="GX179" s="8">
        <f t="shared" ca="1" si="523"/>
        <v>665</v>
      </c>
      <c r="GY179" s="5" t="str">
        <f t="shared" ca="1" si="611"/>
        <v>VIGENTE</v>
      </c>
      <c r="GZ179" s="3"/>
      <c r="HA179" s="4">
        <v>45174</v>
      </c>
      <c r="HB179" s="4">
        <f t="shared" si="524"/>
        <v>47001</v>
      </c>
      <c r="HC179" s="8">
        <f t="shared" ca="1" si="525"/>
        <v>856</v>
      </c>
      <c r="HD179" s="5" t="str">
        <f t="shared" ca="1" si="612"/>
        <v>VIGENTE</v>
      </c>
      <c r="HE179" s="6"/>
      <c r="HF179" s="6"/>
      <c r="HG179" s="4"/>
      <c r="HH179" s="8"/>
      <c r="HI179" s="5" t="str">
        <f t="shared" si="613"/>
        <v>NO APLICA</v>
      </c>
      <c r="HJ179" s="2"/>
      <c r="HK179" s="6"/>
      <c r="HL179" s="4"/>
      <c r="HM179" s="8"/>
      <c r="HN179" s="5" t="str">
        <f t="shared" si="444"/>
        <v>NO APLICA</v>
      </c>
      <c r="HO179" s="2"/>
      <c r="HP179" s="2"/>
      <c r="HQ179" s="4"/>
      <c r="HR179" s="2"/>
      <c r="HS179" s="5" t="str">
        <f t="shared" si="526"/>
        <v>NO APLICA</v>
      </c>
      <c r="HT179" s="2"/>
      <c r="HU179" s="6"/>
      <c r="HV179" s="4"/>
      <c r="HW179" s="8"/>
      <c r="HX179" s="5" t="str">
        <f t="shared" si="527"/>
        <v>NO APLICA</v>
      </c>
      <c r="HY179" s="2"/>
      <c r="HZ179" s="6"/>
      <c r="IA179" s="4"/>
      <c r="IB179" s="8"/>
      <c r="IC179" s="5" t="str">
        <f t="shared" si="528"/>
        <v>NO APLICA</v>
      </c>
      <c r="ID179" s="2"/>
      <c r="IE179" s="6"/>
      <c r="IF179" s="4"/>
      <c r="IG179" s="8"/>
      <c r="IH179" s="5" t="str">
        <f t="shared" si="529"/>
        <v>NO APLICA</v>
      </c>
      <c r="II179" s="6"/>
      <c r="IJ179" s="6"/>
      <c r="IK179" s="4"/>
      <c r="IL179" s="8"/>
      <c r="IM179" s="5" t="str">
        <f t="shared" si="530"/>
        <v>NO APLICA</v>
      </c>
      <c r="IN179" s="2"/>
      <c r="IO179" s="6"/>
      <c r="IP179" s="4"/>
      <c r="IQ179" s="8"/>
      <c r="IR179" s="5" t="str">
        <f t="shared" si="531"/>
        <v>NO APLICA</v>
      </c>
      <c r="IS179" s="2"/>
      <c r="IT179" s="6"/>
      <c r="IU179" s="4"/>
      <c r="IV179" s="8"/>
      <c r="IW179" s="5" t="str">
        <f t="shared" si="532"/>
        <v>NO APLICA</v>
      </c>
      <c r="IX179" s="2"/>
      <c r="IY179" s="6"/>
      <c r="IZ179" s="4"/>
      <c r="JA179" s="8"/>
      <c r="JB179" s="5" t="str">
        <f t="shared" si="533"/>
        <v>NO APLICA</v>
      </c>
      <c r="JC179" s="3" t="s">
        <v>780</v>
      </c>
      <c r="JD179" s="3"/>
      <c r="JE179" s="4"/>
      <c r="JF179" s="8"/>
      <c r="JG179" s="5"/>
      <c r="JH179" s="3" t="s">
        <v>780</v>
      </c>
      <c r="JI179" s="6"/>
      <c r="JJ179" s="6"/>
      <c r="JK179" s="6"/>
      <c r="JL179" s="5"/>
      <c r="JM179" s="6" t="s">
        <v>780</v>
      </c>
      <c r="JN179" s="6"/>
      <c r="JO179" s="6"/>
      <c r="JP179" s="6"/>
      <c r="JQ179" s="5"/>
      <c r="JR179" s="6" t="s">
        <v>780</v>
      </c>
      <c r="JS179" s="6"/>
      <c r="JT179" s="6"/>
      <c r="JU179" s="6"/>
      <c r="JV179" s="5"/>
      <c r="JW179" s="6" t="s">
        <v>780</v>
      </c>
      <c r="JX179" s="3"/>
      <c r="JY179" s="4"/>
      <c r="JZ179" s="8"/>
      <c r="KA179" s="5"/>
      <c r="KB179" s="5"/>
      <c r="KC179" s="2"/>
      <c r="KD179" s="4"/>
      <c r="KE179" s="8"/>
      <c r="KF179" s="5" t="str">
        <f t="shared" si="534"/>
        <v>NO APLICA</v>
      </c>
      <c r="KG179" s="5"/>
      <c r="KH179" s="2"/>
      <c r="KI179" s="4"/>
      <c r="KJ179" s="8"/>
      <c r="KK179" s="5" t="str">
        <f t="shared" si="559"/>
        <v>NO APLICA</v>
      </c>
      <c r="KL179" s="5"/>
      <c r="KM179" s="2"/>
      <c r="KN179" s="4"/>
      <c r="KO179" s="8"/>
      <c r="KP179" s="5" t="str">
        <f t="shared" si="535"/>
        <v>NO APLICA</v>
      </c>
      <c r="KQ179" s="5"/>
      <c r="KR179" s="2"/>
      <c r="KS179" s="4"/>
      <c r="KT179" s="8"/>
      <c r="KU179" s="5" t="str">
        <f t="shared" si="560"/>
        <v>NO APLICA</v>
      </c>
      <c r="KV179" s="2"/>
      <c r="KW179" s="6"/>
      <c r="KX179" s="4"/>
      <c r="KY179" s="8"/>
      <c r="KZ179" s="5" t="str">
        <f t="shared" si="565"/>
        <v>NO APLICA</v>
      </c>
      <c r="LA179" s="5"/>
      <c r="LB179" s="6"/>
      <c r="LC179" s="4"/>
      <c r="LD179" s="8"/>
      <c r="LE179" s="5" t="str">
        <f t="shared" si="561"/>
        <v>NO APLICA</v>
      </c>
      <c r="LF179" s="6"/>
      <c r="LG179" s="6"/>
      <c r="LH179" s="4"/>
      <c r="LI179" s="8"/>
      <c r="LJ179" s="5" t="str">
        <f t="shared" si="600"/>
        <v>NO APLICA</v>
      </c>
      <c r="LK179" s="5"/>
      <c r="LL179" s="5"/>
      <c r="LM179" s="4"/>
      <c r="LN179" s="8"/>
      <c r="LO179" s="5" t="str">
        <f t="shared" si="566"/>
        <v>NO APLICA</v>
      </c>
      <c r="LP179" s="2"/>
      <c r="LQ179" s="6"/>
      <c r="LR179" s="4"/>
      <c r="LS179" s="8"/>
      <c r="LT179" s="5" t="str">
        <f t="shared" si="562"/>
        <v>NO APLICA</v>
      </c>
      <c r="LU179" s="6"/>
      <c r="LV179" s="6"/>
      <c r="LW179" s="4"/>
      <c r="LX179" s="8"/>
      <c r="LY179" s="5" t="str">
        <f t="shared" si="563"/>
        <v>NO APLICA</v>
      </c>
      <c r="LZ179" s="6"/>
      <c r="MA179" s="6"/>
      <c r="MB179" s="4"/>
      <c r="MC179" s="8"/>
      <c r="MD179" s="5" t="str">
        <f t="shared" si="564"/>
        <v>NO APLICA</v>
      </c>
      <c r="ME179" s="2"/>
      <c r="MF179" s="2"/>
      <c r="MG179" s="4"/>
      <c r="MH179" s="8"/>
      <c r="MI179" s="5" t="str">
        <f t="shared" si="537"/>
        <v>NO APLICA</v>
      </c>
      <c r="MJ179" s="2"/>
      <c r="MK179" s="2"/>
      <c r="ML179" s="4"/>
      <c r="MM179" s="8"/>
      <c r="MN179" s="5" t="str">
        <f t="shared" si="538"/>
        <v>NO APLICA</v>
      </c>
      <c r="MO179" s="5"/>
      <c r="MP179" s="2"/>
      <c r="MQ179" s="4"/>
      <c r="MR179" s="8"/>
      <c r="MS179" s="5" t="str">
        <f t="shared" si="539"/>
        <v>NO APLICA</v>
      </c>
      <c r="MT179" s="5"/>
      <c r="MU179" s="2"/>
      <c r="MV179" s="4"/>
      <c r="MW179" s="2"/>
      <c r="MX179" s="5" t="str">
        <f t="shared" si="540"/>
        <v>NO APLICA</v>
      </c>
      <c r="MY179" s="2"/>
      <c r="MZ179" s="6"/>
      <c r="NA179" s="4"/>
      <c r="NB179" s="8"/>
      <c r="NC179" s="5" t="str">
        <f t="shared" si="541"/>
        <v>NO APLICA</v>
      </c>
      <c r="ND179" s="2"/>
      <c r="NE179" s="6"/>
      <c r="NF179" s="4"/>
      <c r="NG179" s="8"/>
      <c r="NH179" s="5" t="str">
        <f t="shared" si="542"/>
        <v>NO APLICA</v>
      </c>
      <c r="NI179" s="2"/>
      <c r="NJ179" s="6"/>
      <c r="NK179" s="4"/>
      <c r="NL179" s="8"/>
      <c r="NM179" s="5" t="str">
        <f t="shared" si="543"/>
        <v>NO APLICA</v>
      </c>
      <c r="NN179" s="2"/>
      <c r="NO179" s="2"/>
      <c r="NP179" s="4"/>
      <c r="NQ179" s="8"/>
      <c r="NR179" s="5" t="str">
        <f t="shared" si="544"/>
        <v>NO APLICA</v>
      </c>
      <c r="NS179" s="2"/>
      <c r="NT179" s="2"/>
      <c r="NU179" s="2"/>
      <c r="NV179" s="2"/>
      <c r="NW179" s="5" t="str">
        <f t="shared" si="545"/>
        <v>NO APLICA</v>
      </c>
      <c r="NX179" s="6"/>
      <c r="NY179" s="6"/>
      <c r="NZ179" s="4"/>
      <c r="OA179" s="8"/>
      <c r="OB179" s="5" t="str">
        <f t="shared" si="546"/>
        <v>NO APLICA</v>
      </c>
      <c r="OC179" s="6"/>
      <c r="OD179" s="6"/>
      <c r="OE179" s="6"/>
      <c r="OF179" s="6"/>
      <c r="OG179" s="5" t="str">
        <f t="shared" si="547"/>
        <v>NO APLICA</v>
      </c>
      <c r="OH179" s="6"/>
      <c r="OI179" s="6"/>
      <c r="OJ179" s="4"/>
      <c r="OK179" s="8"/>
      <c r="OL179" s="5" t="str">
        <f t="shared" si="548"/>
        <v>NO APLICA</v>
      </c>
      <c r="OM179" s="6"/>
      <c r="ON179" s="6"/>
      <c r="OO179" s="6"/>
      <c r="OP179" s="6"/>
      <c r="OQ179" s="5" t="str">
        <f t="shared" si="549"/>
        <v>NO APLICA</v>
      </c>
      <c r="OR179" s="6"/>
      <c r="OS179" s="6"/>
      <c r="OT179" s="6"/>
      <c r="OU179" s="6"/>
      <c r="OV179" s="5" t="str">
        <f t="shared" si="550"/>
        <v>NO APLICA</v>
      </c>
      <c r="OW179" s="6"/>
      <c r="OX179" s="6"/>
      <c r="OY179" s="6"/>
      <c r="OZ179" s="6"/>
      <c r="PA179" s="5" t="str">
        <f t="shared" si="551"/>
        <v>NO APLICA</v>
      </c>
      <c r="PB179" s="6"/>
      <c r="PC179" s="6"/>
      <c r="PD179" s="6"/>
      <c r="PE179" s="6"/>
      <c r="PF179" s="5" t="str">
        <f t="shared" si="552"/>
        <v>NO APLICA</v>
      </c>
      <c r="PG179" s="6"/>
      <c r="PH179" s="6"/>
      <c r="PI179" s="6"/>
      <c r="PJ179" s="6"/>
      <c r="PK179" s="5" t="str">
        <f t="shared" si="553"/>
        <v>NO APLICA</v>
      </c>
      <c r="PL179" s="5"/>
      <c r="PM179" s="6"/>
      <c r="PN179" s="4"/>
      <c r="PO179" s="8"/>
      <c r="PP179" s="5" t="str">
        <f t="shared" si="554"/>
        <v>NO APLICA</v>
      </c>
      <c r="PQ179" s="6"/>
      <c r="PR179" s="6"/>
      <c r="PS179" s="6"/>
      <c r="PT179" s="6"/>
      <c r="PU179" s="5" t="str">
        <f t="shared" si="555"/>
        <v>NO APLICA</v>
      </c>
      <c r="PV179" s="5"/>
      <c r="PW179" s="6"/>
      <c r="PX179" s="6"/>
      <c r="PY179" s="6"/>
      <c r="PZ179" s="5" t="str">
        <f t="shared" si="556"/>
        <v>NO APLICA</v>
      </c>
    </row>
    <row r="180" spans="1:442" ht="15.6" hidden="1" thickTop="1" thickBot="1" x14ac:dyDescent="0.35">
      <c r="A180" s="26">
        <v>177</v>
      </c>
      <c r="B180" s="31">
        <v>1241</v>
      </c>
      <c r="C180" s="28" t="s">
        <v>773</v>
      </c>
      <c r="D180" s="29" t="s">
        <v>68</v>
      </c>
      <c r="E180" s="30" t="s">
        <v>73</v>
      </c>
      <c r="F180" s="6"/>
      <c r="G180" s="6"/>
      <c r="H180" s="6"/>
      <c r="I180" s="6"/>
      <c r="J180" s="5" t="str">
        <f t="shared" si="455"/>
        <v>NO APLICA</v>
      </c>
      <c r="K180" s="6"/>
      <c r="L180" s="6"/>
      <c r="M180" s="6"/>
      <c r="N180" s="6"/>
      <c r="O180" s="5" t="str">
        <f t="shared" si="456"/>
        <v>NO APLICA</v>
      </c>
      <c r="P180" s="6"/>
      <c r="Q180" s="6"/>
      <c r="R180" s="6"/>
      <c r="S180" s="6"/>
      <c r="T180" s="5" t="str">
        <f t="shared" si="557"/>
        <v>NO APLICA</v>
      </c>
      <c r="U180" s="5"/>
      <c r="V180" s="6" t="s">
        <v>567</v>
      </c>
      <c r="W180" s="4">
        <v>45426</v>
      </c>
      <c r="X180" s="4">
        <f t="shared" si="587"/>
        <v>47252</v>
      </c>
      <c r="Y180" s="8">
        <f t="shared" ca="1" si="588"/>
        <v>1107</v>
      </c>
      <c r="Z180" s="5" t="str">
        <f t="shared" ca="1" si="605"/>
        <v>VIGENTE</v>
      </c>
      <c r="AA180" s="5"/>
      <c r="AB180" s="6" t="s">
        <v>568</v>
      </c>
      <c r="AC180" s="4">
        <v>45464</v>
      </c>
      <c r="AD180" s="4">
        <f>DATE(YEAR(AC180)+5,MONTH(AC180),DAY(AC180))</f>
        <v>47290</v>
      </c>
      <c r="AE180" s="8">
        <f t="shared" ref="AE180:AE189" ca="1" si="614">AD180-TODAY()</f>
        <v>1145</v>
      </c>
      <c r="AF180" s="5" t="str">
        <f t="shared" ca="1" si="457"/>
        <v>VIGENTE</v>
      </c>
      <c r="AG180" s="6"/>
      <c r="AH180" s="4">
        <v>45512</v>
      </c>
      <c r="AI180" s="4">
        <f>DATE(YEAR(AH180)+2,MONTH(AH180),DAY(AH180)-1)</f>
        <v>46241</v>
      </c>
      <c r="AJ180" s="8">
        <f t="shared" ca="1" si="458"/>
        <v>96</v>
      </c>
      <c r="AK180" s="5" t="str">
        <f t="shared" ca="1" si="602"/>
        <v>VIGENTE</v>
      </c>
      <c r="AL180" s="4"/>
      <c r="AM180" s="4">
        <v>46084</v>
      </c>
      <c r="AN180" s="4">
        <f>DATE(YEAR(AM180)+2,MONTH(AM180),DAY(AM180))</f>
        <v>46815</v>
      </c>
      <c r="AO180" s="8">
        <f t="shared" ca="1" si="459"/>
        <v>670</v>
      </c>
      <c r="AP180" s="5" t="str">
        <f t="shared" ca="1" si="460"/>
        <v>VIGENTE</v>
      </c>
      <c r="AQ180" s="6"/>
      <c r="AR180" s="4">
        <v>46048</v>
      </c>
      <c r="AS180" s="4">
        <f t="shared" si="608"/>
        <v>46778</v>
      </c>
      <c r="AT180" s="8">
        <f t="shared" ca="1" si="461"/>
        <v>633</v>
      </c>
      <c r="AU180" s="5" t="str">
        <f t="shared" ca="1" si="462"/>
        <v>VIGENTE</v>
      </c>
      <c r="AV180" s="6"/>
      <c r="AW180" s="4">
        <v>45523</v>
      </c>
      <c r="AX180" s="4">
        <f>DATE(YEAR(AW180)+2,MONTH(AW180),DAY(AW180)-1)</f>
        <v>46252</v>
      </c>
      <c r="AY180" s="8">
        <f t="shared" ca="1" si="463"/>
        <v>107</v>
      </c>
      <c r="AZ180" s="5" t="str">
        <f t="shared" ca="1" si="464"/>
        <v>VIGENTE</v>
      </c>
      <c r="BA180" s="4"/>
      <c r="BB180" s="4">
        <v>46071</v>
      </c>
      <c r="BC180" s="4">
        <f>DATE(YEAR(BB180)+2,MONTH(BB180),DAY(BB180))</f>
        <v>46801</v>
      </c>
      <c r="BD180" s="8">
        <f t="shared" ca="1" si="465"/>
        <v>656</v>
      </c>
      <c r="BE180" s="5" t="str">
        <f t="shared" ca="1" si="466"/>
        <v>VIGENTE</v>
      </c>
      <c r="BF180" s="6"/>
      <c r="BG180" s="4">
        <v>46067</v>
      </c>
      <c r="BH180" s="4">
        <f t="shared" ref="BH180:BH186" si="615">DATE(YEAR(BG180)+2,MONTH(BG180),DAY(BG180))</f>
        <v>46797</v>
      </c>
      <c r="BI180" s="8">
        <f t="shared" ca="1" si="467"/>
        <v>652</v>
      </c>
      <c r="BJ180" s="5" t="str">
        <f t="shared" ca="1" si="468"/>
        <v>VIGENTE</v>
      </c>
      <c r="BK180" s="4"/>
      <c r="BL180" s="4">
        <v>46090</v>
      </c>
      <c r="BM180" s="4">
        <f>DATE(YEAR(BL180)+2,MONTH(BL180),DAY(BL180))</f>
        <v>46821</v>
      </c>
      <c r="BN180" s="8">
        <f t="shared" ca="1" si="469"/>
        <v>676</v>
      </c>
      <c r="BO180" s="5" t="str">
        <f t="shared" ca="1" si="470"/>
        <v>VIGENTE</v>
      </c>
      <c r="BP180" s="4"/>
      <c r="BQ180" s="39">
        <v>46120</v>
      </c>
      <c r="BR180" s="4">
        <f>DATE(YEAR(BQ180)+2,MONTH(BQ180),DAY(BQ180)-1)</f>
        <v>46850</v>
      </c>
      <c r="BS180" s="8">
        <f t="shared" ca="1" si="471"/>
        <v>705</v>
      </c>
      <c r="BT180" s="5" t="str">
        <f t="shared" ca="1" si="472"/>
        <v>VIGENTE</v>
      </c>
      <c r="BU180" s="6"/>
      <c r="BV180" s="4">
        <v>46135</v>
      </c>
      <c r="BW180" s="4">
        <f>DATE(YEAR(BV180)+2,MONTH(BV180),DAY(BV180)-1)</f>
        <v>46865</v>
      </c>
      <c r="BX180" s="8">
        <f t="shared" ca="1" si="473"/>
        <v>720</v>
      </c>
      <c r="BY180" s="5" t="str">
        <f t="shared" ca="1" si="474"/>
        <v>VIGENTE</v>
      </c>
      <c r="BZ180" s="6"/>
      <c r="CA180" s="4">
        <v>46065</v>
      </c>
      <c r="CB180" s="4">
        <f>DATE(YEAR(CA180)+2,MONTH(CA180),DAY(CA180))</f>
        <v>46795</v>
      </c>
      <c r="CC180" s="8">
        <f t="shared" ca="1" si="475"/>
        <v>650</v>
      </c>
      <c r="CD180" s="5" t="str">
        <f t="shared" ca="1" si="476"/>
        <v>VIGENTE</v>
      </c>
      <c r="CE180" s="6"/>
      <c r="CF180" s="4">
        <v>45455</v>
      </c>
      <c r="CG180" s="4">
        <f t="shared" si="590"/>
        <v>46916</v>
      </c>
      <c r="CH180" s="8">
        <f t="shared" ca="1" si="591"/>
        <v>771</v>
      </c>
      <c r="CI180" s="5" t="str">
        <f t="shared" ca="1" si="573"/>
        <v>VIGENTE</v>
      </c>
      <c r="CJ180" s="6"/>
      <c r="CK180" s="4">
        <v>46134</v>
      </c>
      <c r="CL180" s="4">
        <f>DATE(YEAR(CK180)+2,MONTH(CK180),DAY(CK180)-1)</f>
        <v>46864</v>
      </c>
      <c r="CM180" s="8">
        <f t="shared" ca="1" si="477"/>
        <v>719</v>
      </c>
      <c r="CN180" s="5" t="str">
        <f t="shared" ca="1" si="478"/>
        <v>VIGENTE</v>
      </c>
      <c r="CO180" s="4"/>
      <c r="CP180" s="4">
        <v>46101</v>
      </c>
      <c r="CQ180" s="4">
        <f>DATE(YEAR(CP180)+2,MONTH(CP180),DAY(CP180))</f>
        <v>46832</v>
      </c>
      <c r="CR180" s="8">
        <f t="shared" ca="1" si="479"/>
        <v>687</v>
      </c>
      <c r="CS180" s="5" t="str">
        <f t="shared" ca="1" si="480"/>
        <v>VIGENTE</v>
      </c>
      <c r="CT180" s="4"/>
      <c r="CU180" s="4">
        <v>46081</v>
      </c>
      <c r="CV180" s="4">
        <f>DATE(YEAR(CU180)+2,MONTH(CU180),DAY(CU180))</f>
        <v>46811</v>
      </c>
      <c r="CW180" s="8">
        <f t="shared" ca="1" si="481"/>
        <v>666</v>
      </c>
      <c r="CX180" s="5" t="str">
        <f t="shared" ca="1" si="482"/>
        <v>VIGENTE</v>
      </c>
      <c r="CY180" s="4"/>
      <c r="CZ180" s="4">
        <v>46098</v>
      </c>
      <c r="DA180" s="4">
        <f>DATE(YEAR(CZ180)+2,MONTH(CZ180),DAY(CZ180))</f>
        <v>46829</v>
      </c>
      <c r="DB180" s="8">
        <f t="shared" ca="1" si="483"/>
        <v>684</v>
      </c>
      <c r="DC180" s="5" t="str">
        <f t="shared" ca="1" si="484"/>
        <v>VIGENTE</v>
      </c>
      <c r="DD180" s="4"/>
      <c r="DE180" s="4">
        <v>45535</v>
      </c>
      <c r="DF180" s="4">
        <f>DATE(YEAR(DE180)+2,MONTH(DE180),DAY(DE180)-1)</f>
        <v>46264</v>
      </c>
      <c r="DG180" s="8">
        <f t="shared" ca="1" si="485"/>
        <v>119</v>
      </c>
      <c r="DH180" s="5" t="str">
        <f t="shared" ca="1" si="486"/>
        <v>VIGENTE</v>
      </c>
      <c r="DI180" s="6"/>
      <c r="DJ180" s="39">
        <v>46126</v>
      </c>
      <c r="DK180" s="4">
        <f>DATE(YEAR(DJ180)+2,MONTH(DJ180),DAY(DJ180)-1)</f>
        <v>46856</v>
      </c>
      <c r="DL180" s="8">
        <f t="shared" ca="1" si="487"/>
        <v>711</v>
      </c>
      <c r="DM180" s="5" t="str">
        <f t="shared" ca="1" si="488"/>
        <v>VIGENTE</v>
      </c>
      <c r="DN180" s="4"/>
      <c r="DO180" s="4">
        <v>45486</v>
      </c>
      <c r="DP180" s="4">
        <f>DATE(YEAR(DO180)+2,MONTH(DO180),DAY(DO180)-1)</f>
        <v>46215</v>
      </c>
      <c r="DQ180" s="8">
        <f t="shared" ca="1" si="489"/>
        <v>70</v>
      </c>
      <c r="DR180" s="5" t="str">
        <f t="shared" ca="1" si="490"/>
        <v>POR VENCER</v>
      </c>
      <c r="DS180" s="6"/>
      <c r="DT180" s="4">
        <v>46053</v>
      </c>
      <c r="DU180" s="4">
        <f>DATE(YEAR(DT180)+2,MONTH(DT180),DAY(DT180))</f>
        <v>46783</v>
      </c>
      <c r="DV180" s="8">
        <f t="shared" ca="1" si="491"/>
        <v>638</v>
      </c>
      <c r="DW180" s="5" t="str">
        <f t="shared" ca="1" si="492"/>
        <v>VIGENTE</v>
      </c>
      <c r="DX180" s="4"/>
      <c r="DY180" s="4">
        <v>46099</v>
      </c>
      <c r="DZ180" s="4">
        <f>DATE(YEAR(DY180)+2,MONTH(DY180),DAY(DY180))</f>
        <v>46830</v>
      </c>
      <c r="EA180" s="8">
        <f t="shared" ca="1" si="493"/>
        <v>685</v>
      </c>
      <c r="EB180" s="5" t="str">
        <f t="shared" ca="1" si="494"/>
        <v>VIGENTE</v>
      </c>
      <c r="EC180" s="4"/>
      <c r="ED180" s="39">
        <v>46104</v>
      </c>
      <c r="EE180" s="4">
        <f>DATE(YEAR(ED180)+2,MONTH(ED180),DAY(ED180))</f>
        <v>46835</v>
      </c>
      <c r="EF180" s="8">
        <f t="shared" ca="1" si="495"/>
        <v>690</v>
      </c>
      <c r="EG180" s="5" t="str">
        <f t="shared" ca="1" si="496"/>
        <v>VIGENTE</v>
      </c>
      <c r="EH180" s="4"/>
      <c r="EI180" s="4">
        <v>46123</v>
      </c>
      <c r="EJ180" s="4">
        <f t="shared" si="558"/>
        <v>46488</v>
      </c>
      <c r="EK180" s="8">
        <f t="shared" ca="1" si="497"/>
        <v>343</v>
      </c>
      <c r="EL180" s="5" t="str">
        <f t="shared" ca="1" si="498"/>
        <v>VIGENTE</v>
      </c>
      <c r="EM180" s="4"/>
      <c r="EN180" s="4">
        <v>46100</v>
      </c>
      <c r="EO180" s="4">
        <f>DATE(YEAR(EN180)+2,MONTH(EN180),DAY(EN180))</f>
        <v>46831</v>
      </c>
      <c r="EP180" s="8">
        <f t="shared" ca="1" si="499"/>
        <v>686</v>
      </c>
      <c r="EQ180" s="5" t="str">
        <f t="shared" ca="1" si="500"/>
        <v>VIGENTE</v>
      </c>
      <c r="ER180" s="6"/>
      <c r="ES180" s="39">
        <v>46094</v>
      </c>
      <c r="ET180" s="4">
        <f>DATE(YEAR(ES180)+2,MONTH(ES180),DAY(ES180))</f>
        <v>46825</v>
      </c>
      <c r="EU180" s="8">
        <f t="shared" ca="1" si="501"/>
        <v>680</v>
      </c>
      <c r="EV180" s="5" t="str">
        <f t="shared" ca="1" si="502"/>
        <v>VIGENTE</v>
      </c>
      <c r="EW180" s="4"/>
      <c r="EX180" s="4">
        <v>46063</v>
      </c>
      <c r="EY180" s="4">
        <f t="shared" si="609"/>
        <v>46793</v>
      </c>
      <c r="EZ180" s="8">
        <f t="shared" ca="1" si="503"/>
        <v>648</v>
      </c>
      <c r="FA180" s="5" t="str">
        <f t="shared" ca="1" si="504"/>
        <v>VIGENTE</v>
      </c>
      <c r="FB180" s="6"/>
      <c r="FC180" s="4">
        <v>45482</v>
      </c>
      <c r="FD180" s="4">
        <f>DATE(YEAR(FC180)+2,MONTH(FC180),DAY(FC180)-1)</f>
        <v>46211</v>
      </c>
      <c r="FE180" s="8">
        <f t="shared" ca="1" si="505"/>
        <v>66</v>
      </c>
      <c r="FF180" s="5" t="str">
        <f t="shared" ca="1" si="506"/>
        <v>POR VENCER</v>
      </c>
      <c r="FG180" s="6"/>
      <c r="FH180" s="4">
        <v>45506</v>
      </c>
      <c r="FI180" s="4">
        <f>DATE(YEAR(FH180)+2,MONTH(FH180),DAY(FH180)-1)</f>
        <v>46235</v>
      </c>
      <c r="FJ180" s="8">
        <f t="shared" ca="1" si="507"/>
        <v>90</v>
      </c>
      <c r="FK180" s="5" t="str">
        <f t="shared" ca="1" si="508"/>
        <v>POR VENCER</v>
      </c>
      <c r="FL180" s="4"/>
      <c r="FM180" s="39">
        <v>46129</v>
      </c>
      <c r="FN180" s="4">
        <f>DATE(YEAR(FM180)+2,MONTH(FM180),DAY(FM180)-1)</f>
        <v>46859</v>
      </c>
      <c r="FO180" s="8">
        <f t="shared" ca="1" si="509"/>
        <v>714</v>
      </c>
      <c r="FP180" s="5" t="str">
        <f t="shared" ca="1" si="510"/>
        <v>VIGENTE</v>
      </c>
      <c r="FQ180" s="4"/>
      <c r="FR180" s="39">
        <v>46080</v>
      </c>
      <c r="FS180" s="4">
        <f>DATE(YEAR(FR180)+2,MONTH(FR180),DAY(FR180))</f>
        <v>46810</v>
      </c>
      <c r="FT180" s="8">
        <f t="shared" ca="1" si="511"/>
        <v>665</v>
      </c>
      <c r="FU180" s="5" t="str">
        <f t="shared" ca="1" si="512"/>
        <v>VIGENTE</v>
      </c>
      <c r="FV180" s="4"/>
      <c r="FW180" s="4">
        <v>45547</v>
      </c>
      <c r="FX180" s="4">
        <f>DATE(YEAR(FW180)+2,MONTH(FW180),DAY(FW180)-1)</f>
        <v>46276</v>
      </c>
      <c r="FY180" s="8">
        <f t="shared" ca="1" si="513"/>
        <v>131</v>
      </c>
      <c r="FZ180" s="5" t="str">
        <f t="shared" ca="1" si="514"/>
        <v>VIGENTE</v>
      </c>
      <c r="GA180" s="4"/>
      <c r="GB180" s="4">
        <v>46073</v>
      </c>
      <c r="GC180" s="4">
        <f>DATE(YEAR(GB180)+2,MONTH(GB180),DAY(GB180))</f>
        <v>46803</v>
      </c>
      <c r="GD180" s="8">
        <f t="shared" ca="1" si="515"/>
        <v>658</v>
      </c>
      <c r="GE180" s="5" t="str">
        <f t="shared" ca="1" si="516"/>
        <v>VIGENTE</v>
      </c>
      <c r="GF180" s="4"/>
      <c r="GG180" s="4">
        <v>46092</v>
      </c>
      <c r="GH180" s="4">
        <f>DATE(YEAR(GG180)+2,MONTH(GG180),DAY(GG180))</f>
        <v>46823</v>
      </c>
      <c r="GI180" s="8">
        <f t="shared" ca="1" si="517"/>
        <v>678</v>
      </c>
      <c r="GJ180" s="5" t="str">
        <f t="shared" ca="1" si="518"/>
        <v>VIGENTE</v>
      </c>
      <c r="GK180" s="4"/>
      <c r="GL180" s="4">
        <v>46093</v>
      </c>
      <c r="GM180" s="4">
        <f>DATE(YEAR(GL180)+2,MONTH(GL180),DAY(GL180))</f>
        <v>46824</v>
      </c>
      <c r="GN180" s="8">
        <f t="shared" ca="1" si="519"/>
        <v>679</v>
      </c>
      <c r="GO180" s="5" t="str">
        <f t="shared" ca="1" si="520"/>
        <v>VIGENTE</v>
      </c>
      <c r="GP180" s="4"/>
      <c r="GQ180" s="4">
        <v>45468</v>
      </c>
      <c r="GR180" s="4">
        <f t="shared" si="521"/>
        <v>47294</v>
      </c>
      <c r="GS180" s="8">
        <f t="shared" ca="1" si="601"/>
        <v>1149</v>
      </c>
      <c r="GT180" s="5" t="str">
        <f t="shared" ca="1" si="610"/>
        <v>VIGENTE</v>
      </c>
      <c r="GU180" s="4"/>
      <c r="GV180" s="4">
        <v>45507</v>
      </c>
      <c r="GW180" s="4">
        <f t="shared" si="522"/>
        <v>47333</v>
      </c>
      <c r="GX180" s="8">
        <f t="shared" ca="1" si="523"/>
        <v>1188</v>
      </c>
      <c r="GY180" s="5" t="str">
        <f t="shared" ca="1" si="611"/>
        <v>VIGENTE</v>
      </c>
      <c r="GZ180" s="6"/>
      <c r="HA180" s="4">
        <v>45479</v>
      </c>
      <c r="HB180" s="4">
        <f t="shared" si="524"/>
        <v>47305</v>
      </c>
      <c r="HC180" s="8">
        <f t="shared" ca="1" si="525"/>
        <v>1160</v>
      </c>
      <c r="HD180" s="5" t="str">
        <f t="shared" ca="1" si="612"/>
        <v>VIGENTE</v>
      </c>
      <c r="HE180" s="6"/>
      <c r="HF180" s="4">
        <v>45496</v>
      </c>
      <c r="HG180" s="4">
        <f>DATE(YEAR(HF180)+5,MONTH(HF180),DAY(HF180))</f>
        <v>47322</v>
      </c>
      <c r="HH180" s="8">
        <f t="shared" ref="HH180:HH189" ca="1" si="616">HG180-TODAY()</f>
        <v>1177</v>
      </c>
      <c r="HI180" s="5" t="str">
        <f t="shared" ca="1" si="613"/>
        <v>VIGENTE</v>
      </c>
      <c r="HJ180" s="6"/>
      <c r="HK180" s="6"/>
      <c r="HL180" s="4"/>
      <c r="HM180" s="8"/>
      <c r="HN180" s="5" t="str">
        <f t="shared" si="444"/>
        <v>NO APLICA</v>
      </c>
      <c r="HO180" s="6"/>
      <c r="HP180" s="6"/>
      <c r="HQ180" s="4"/>
      <c r="HR180" s="6"/>
      <c r="HS180" s="5" t="str">
        <f t="shared" si="526"/>
        <v>NO APLICA</v>
      </c>
      <c r="HT180" s="6"/>
      <c r="HU180" s="6"/>
      <c r="HV180" s="4"/>
      <c r="HW180" s="8"/>
      <c r="HX180" s="5" t="str">
        <f t="shared" si="527"/>
        <v>NO APLICA</v>
      </c>
      <c r="HY180" s="6"/>
      <c r="HZ180" s="6"/>
      <c r="IA180" s="4"/>
      <c r="IB180" s="8"/>
      <c r="IC180" s="5" t="str">
        <f t="shared" si="528"/>
        <v>NO APLICA</v>
      </c>
      <c r="ID180" s="6"/>
      <c r="IE180" s="6"/>
      <c r="IF180" s="4"/>
      <c r="IG180" s="8"/>
      <c r="IH180" s="5" t="str">
        <f t="shared" si="529"/>
        <v>NO APLICA</v>
      </c>
      <c r="II180" s="6"/>
      <c r="IJ180" s="6"/>
      <c r="IK180" s="4"/>
      <c r="IL180" s="6"/>
      <c r="IM180" s="5" t="str">
        <f t="shared" si="530"/>
        <v>NO APLICA</v>
      </c>
      <c r="IN180" s="6"/>
      <c r="IO180" s="6"/>
      <c r="IP180" s="4"/>
      <c r="IQ180" s="8"/>
      <c r="IR180" s="5" t="str">
        <f t="shared" si="531"/>
        <v>NO APLICA</v>
      </c>
      <c r="IS180" s="6"/>
      <c r="IT180" s="6"/>
      <c r="IU180" s="4"/>
      <c r="IV180" s="8"/>
      <c r="IW180" s="5" t="str">
        <f t="shared" si="532"/>
        <v>NO APLICA</v>
      </c>
      <c r="IX180" s="6"/>
      <c r="IY180" s="6"/>
      <c r="IZ180" s="4"/>
      <c r="JA180" s="8"/>
      <c r="JB180" s="5" t="str">
        <f t="shared" si="533"/>
        <v>NO APLICA</v>
      </c>
      <c r="JC180" s="3" t="s">
        <v>780</v>
      </c>
      <c r="JD180" s="6"/>
      <c r="JE180" s="6"/>
      <c r="JF180" s="6"/>
      <c r="JG180" s="5"/>
      <c r="JH180" s="3" t="s">
        <v>780</v>
      </c>
      <c r="JI180" s="6"/>
      <c r="JJ180" s="6"/>
      <c r="JK180" s="6"/>
      <c r="JL180" s="5"/>
      <c r="JM180" s="6" t="s">
        <v>780</v>
      </c>
      <c r="JN180" s="6"/>
      <c r="JO180" s="6"/>
      <c r="JP180" s="6"/>
      <c r="JQ180" s="5"/>
      <c r="JR180" s="6" t="s">
        <v>780</v>
      </c>
      <c r="JS180" s="6"/>
      <c r="JT180" s="6"/>
      <c r="JU180" s="6"/>
      <c r="JV180" s="5"/>
      <c r="JW180" s="6" t="s">
        <v>780</v>
      </c>
      <c r="JX180" s="5"/>
      <c r="JY180" s="5"/>
      <c r="JZ180" s="5"/>
      <c r="KA180" s="5"/>
      <c r="KB180" s="5"/>
      <c r="KC180" s="6"/>
      <c r="KD180" s="4"/>
      <c r="KE180" s="6"/>
      <c r="KF180" s="5" t="str">
        <f t="shared" si="534"/>
        <v>NO APLICA</v>
      </c>
      <c r="KG180" s="5"/>
      <c r="KH180" s="6"/>
      <c r="KI180" s="4"/>
      <c r="KJ180" s="6"/>
      <c r="KK180" s="5" t="str">
        <f t="shared" si="559"/>
        <v>NO APLICA</v>
      </c>
      <c r="KL180" s="5"/>
      <c r="KM180" s="6"/>
      <c r="KN180" s="4"/>
      <c r="KO180" s="6"/>
      <c r="KP180" s="5" t="str">
        <f t="shared" si="535"/>
        <v>NO APLICA</v>
      </c>
      <c r="KQ180" s="5"/>
      <c r="KR180" s="6"/>
      <c r="KS180" s="4"/>
      <c r="KT180" s="6"/>
      <c r="KU180" s="5" t="str">
        <f t="shared" si="560"/>
        <v>NO APLICA</v>
      </c>
      <c r="KV180" s="6"/>
      <c r="KW180" s="6"/>
      <c r="KX180" s="4"/>
      <c r="KY180" s="6"/>
      <c r="KZ180" s="5" t="str">
        <f t="shared" si="565"/>
        <v>NO APLICA</v>
      </c>
      <c r="LA180" s="5"/>
      <c r="LB180" s="6"/>
      <c r="LC180" s="4"/>
      <c r="LD180" s="6"/>
      <c r="LE180" s="5" t="str">
        <f t="shared" si="561"/>
        <v>NO APLICA</v>
      </c>
      <c r="LF180" s="6"/>
      <c r="LG180" s="6"/>
      <c r="LH180" s="6"/>
      <c r="LI180" s="6"/>
      <c r="LJ180" s="5" t="str">
        <f t="shared" si="600"/>
        <v>NO APLICA</v>
      </c>
      <c r="LK180" s="5"/>
      <c r="LL180" s="5"/>
      <c r="LM180" s="4"/>
      <c r="LN180" s="8"/>
      <c r="LO180" s="5" t="str">
        <f t="shared" si="566"/>
        <v>NO APLICA</v>
      </c>
      <c r="LP180" s="6"/>
      <c r="LQ180" s="6"/>
      <c r="LR180" s="4"/>
      <c r="LS180" s="8"/>
      <c r="LT180" s="5" t="str">
        <f t="shared" si="562"/>
        <v>NO APLICA</v>
      </c>
      <c r="LU180" s="6"/>
      <c r="LV180" s="6"/>
      <c r="LW180" s="4"/>
      <c r="LX180" s="6"/>
      <c r="LY180" s="5" t="str">
        <f t="shared" si="563"/>
        <v>NO APLICA</v>
      </c>
      <c r="LZ180" s="6"/>
      <c r="MA180" s="6"/>
      <c r="MB180" s="4"/>
      <c r="MC180" s="6"/>
      <c r="MD180" s="5" t="str">
        <f t="shared" si="564"/>
        <v>NO APLICA</v>
      </c>
      <c r="ME180" s="6"/>
      <c r="MF180" s="6"/>
      <c r="MG180" s="4"/>
      <c r="MH180" s="6"/>
      <c r="MI180" s="5" t="str">
        <f t="shared" si="537"/>
        <v>NO APLICA</v>
      </c>
      <c r="MJ180" s="6"/>
      <c r="MK180" s="6"/>
      <c r="ML180" s="4"/>
      <c r="MM180" s="6"/>
      <c r="MN180" s="5" t="str">
        <f t="shared" si="538"/>
        <v>NO APLICA</v>
      </c>
      <c r="MO180" s="5"/>
      <c r="MP180" s="6"/>
      <c r="MQ180" s="4"/>
      <c r="MR180" s="6"/>
      <c r="MS180" s="5" t="str">
        <f t="shared" si="539"/>
        <v>NO APLICA</v>
      </c>
      <c r="MT180" s="5"/>
      <c r="MU180" s="6"/>
      <c r="MV180" s="6"/>
      <c r="MW180" s="6"/>
      <c r="MX180" s="5" t="str">
        <f t="shared" si="540"/>
        <v>NO APLICA</v>
      </c>
      <c r="MY180" s="6"/>
      <c r="MZ180" s="6"/>
      <c r="NA180" s="4"/>
      <c r="NB180" s="6"/>
      <c r="NC180" s="5" t="str">
        <f t="shared" si="541"/>
        <v>NO APLICA</v>
      </c>
      <c r="ND180" s="6"/>
      <c r="NE180" s="6"/>
      <c r="NF180" s="4"/>
      <c r="NG180" s="6"/>
      <c r="NH180" s="5" t="str">
        <f t="shared" si="542"/>
        <v>NO APLICA</v>
      </c>
      <c r="NI180" s="6"/>
      <c r="NJ180" s="6"/>
      <c r="NK180" s="4"/>
      <c r="NL180" s="6"/>
      <c r="NM180" s="5" t="str">
        <f t="shared" si="543"/>
        <v>NO APLICA</v>
      </c>
      <c r="NN180" s="6"/>
      <c r="NO180" s="6"/>
      <c r="NP180" s="4"/>
      <c r="NQ180" s="6"/>
      <c r="NR180" s="5" t="str">
        <f t="shared" si="544"/>
        <v>NO APLICA</v>
      </c>
      <c r="NS180" s="6"/>
      <c r="NT180" s="6"/>
      <c r="NU180" s="4"/>
      <c r="NV180" s="6"/>
      <c r="NW180" s="5" t="str">
        <f t="shared" si="545"/>
        <v>NO APLICA</v>
      </c>
      <c r="NX180" s="6"/>
      <c r="NY180" s="6"/>
      <c r="NZ180" s="4"/>
      <c r="OA180" s="8"/>
      <c r="OB180" s="5" t="str">
        <f t="shared" si="546"/>
        <v>NO APLICA</v>
      </c>
      <c r="OC180" s="6"/>
      <c r="OD180" s="6"/>
      <c r="OE180" s="6"/>
      <c r="OF180" s="6"/>
      <c r="OG180" s="5" t="str">
        <f t="shared" si="547"/>
        <v>NO APLICA</v>
      </c>
      <c r="OH180" s="6"/>
      <c r="OI180" s="6"/>
      <c r="OJ180" s="6"/>
      <c r="OK180" s="6"/>
      <c r="OL180" s="5" t="str">
        <f t="shared" si="548"/>
        <v>NO APLICA</v>
      </c>
      <c r="OM180" s="6"/>
      <c r="ON180" s="6"/>
      <c r="OO180" s="4"/>
      <c r="OP180" s="8"/>
      <c r="OQ180" s="5" t="str">
        <f t="shared" si="549"/>
        <v>NO APLICA</v>
      </c>
      <c r="OR180" s="6"/>
      <c r="OS180" s="6"/>
      <c r="OT180" s="6"/>
      <c r="OU180" s="6"/>
      <c r="OV180" s="5" t="str">
        <f t="shared" si="550"/>
        <v>NO APLICA</v>
      </c>
      <c r="OW180" s="6"/>
      <c r="OX180" s="6"/>
      <c r="OY180" s="6"/>
      <c r="OZ180" s="6"/>
      <c r="PA180" s="5" t="str">
        <f t="shared" si="551"/>
        <v>NO APLICA</v>
      </c>
      <c r="PB180" s="6"/>
      <c r="PC180" s="6"/>
      <c r="PD180" s="6"/>
      <c r="PE180" s="6"/>
      <c r="PF180" s="5" t="str">
        <f t="shared" si="552"/>
        <v>NO APLICA</v>
      </c>
      <c r="PG180" s="6"/>
      <c r="PH180" s="6"/>
      <c r="PI180" s="6"/>
      <c r="PJ180" s="6"/>
      <c r="PK180" s="5" t="str">
        <f t="shared" si="553"/>
        <v>NO APLICA</v>
      </c>
      <c r="PL180" s="5"/>
      <c r="PM180" s="6"/>
      <c r="PN180" s="6"/>
      <c r="PO180" s="6"/>
      <c r="PP180" s="5" t="str">
        <f t="shared" si="554"/>
        <v>NO APLICA</v>
      </c>
      <c r="PQ180" s="6"/>
      <c r="PR180" s="6"/>
      <c r="PS180" s="6"/>
      <c r="PT180" s="6"/>
      <c r="PU180" s="5" t="str">
        <f t="shared" si="555"/>
        <v>NO APLICA</v>
      </c>
      <c r="PV180" s="5"/>
      <c r="PW180" s="6"/>
      <c r="PX180" s="6"/>
      <c r="PY180" s="6"/>
      <c r="PZ180" s="5" t="str">
        <f t="shared" si="556"/>
        <v>NO APLICA</v>
      </c>
    </row>
    <row r="181" spans="1:442" ht="15.6" hidden="1" thickTop="1" thickBot="1" x14ac:dyDescent="0.35">
      <c r="A181" s="26">
        <v>178</v>
      </c>
      <c r="B181" s="27">
        <v>723</v>
      </c>
      <c r="C181" s="28" t="s">
        <v>569</v>
      </c>
      <c r="D181" s="29" t="s">
        <v>68</v>
      </c>
      <c r="E181" s="30" t="s">
        <v>185</v>
      </c>
      <c r="F181" s="5"/>
      <c r="G181" s="6"/>
      <c r="H181" s="4"/>
      <c r="I181" s="8"/>
      <c r="J181" s="5" t="str">
        <f t="shared" si="455"/>
        <v>NO APLICA</v>
      </c>
      <c r="K181" s="5"/>
      <c r="L181" s="6"/>
      <c r="M181" s="6"/>
      <c r="N181" s="8"/>
      <c r="O181" s="5" t="str">
        <f t="shared" si="456"/>
        <v>NO APLICA</v>
      </c>
      <c r="P181" s="6"/>
      <c r="Q181" s="6"/>
      <c r="R181" s="4"/>
      <c r="S181" s="8"/>
      <c r="T181" s="5" t="str">
        <f t="shared" si="557"/>
        <v>NO APLICA</v>
      </c>
      <c r="U181" s="5"/>
      <c r="V181" s="2" t="s">
        <v>570</v>
      </c>
      <c r="W181" s="4">
        <v>44790</v>
      </c>
      <c r="X181" s="4">
        <f t="shared" si="587"/>
        <v>46616</v>
      </c>
      <c r="Y181" s="8">
        <f t="shared" ca="1" si="588"/>
        <v>471</v>
      </c>
      <c r="Z181" s="5" t="str">
        <f t="shared" ca="1" si="605"/>
        <v>VIGENTE</v>
      </c>
      <c r="AA181" s="5"/>
      <c r="AB181" s="2" t="s">
        <v>571</v>
      </c>
      <c r="AC181" s="4">
        <v>44828</v>
      </c>
      <c r="AD181" s="4">
        <f>DATE(YEAR(AC181)+5,MONTH(AC181),DAY(AC181))</f>
        <v>46654</v>
      </c>
      <c r="AE181" s="8">
        <f t="shared" ca="1" si="614"/>
        <v>509</v>
      </c>
      <c r="AF181" s="5" t="str">
        <f t="shared" ca="1" si="457"/>
        <v>VIGENTE</v>
      </c>
      <c r="AG181" s="3"/>
      <c r="AH181" s="3">
        <v>45589</v>
      </c>
      <c r="AI181" s="4">
        <f>DATE(YEAR(AH181)+2,MONTH(AH181),DAY(AH181)-1)</f>
        <v>46318</v>
      </c>
      <c r="AJ181" s="8">
        <f t="shared" ca="1" si="458"/>
        <v>173</v>
      </c>
      <c r="AK181" s="5" t="str">
        <f t="shared" ca="1" si="602"/>
        <v>VIGENTE</v>
      </c>
      <c r="AL181" s="3"/>
      <c r="AM181" s="4">
        <v>45926</v>
      </c>
      <c r="AN181" s="4">
        <f>DATE(YEAR(AM181)+2,MONTH(AM181),DAY(AM181))</f>
        <v>46656</v>
      </c>
      <c r="AO181" s="8">
        <f t="shared" ca="1" si="459"/>
        <v>511</v>
      </c>
      <c r="AP181" s="5" t="str">
        <f t="shared" ca="1" si="460"/>
        <v>VIGENTE</v>
      </c>
      <c r="AQ181" s="3"/>
      <c r="AR181" s="4">
        <v>45967</v>
      </c>
      <c r="AS181" s="4">
        <f t="shared" si="608"/>
        <v>46697</v>
      </c>
      <c r="AT181" s="8">
        <f t="shared" ca="1" si="461"/>
        <v>552</v>
      </c>
      <c r="AU181" s="5" t="str">
        <f t="shared" ca="1" si="462"/>
        <v>VIGENTE</v>
      </c>
      <c r="AV181" s="3"/>
      <c r="AW181" s="4">
        <v>45972</v>
      </c>
      <c r="AX181" s="4">
        <f>DATE(YEAR(AW181)+2,MONTH(AW181),DAY(AW181))</f>
        <v>46702</v>
      </c>
      <c r="AY181" s="8">
        <f t="shared" ca="1" si="463"/>
        <v>557</v>
      </c>
      <c r="AZ181" s="5" t="str">
        <f t="shared" ca="1" si="464"/>
        <v>VIGENTE</v>
      </c>
      <c r="BA181" s="3"/>
      <c r="BB181" s="4">
        <v>45515</v>
      </c>
      <c r="BC181" s="4">
        <f>DATE(YEAR(BB181)+2,MONTH(BB181),DAY(BB181)-1)</f>
        <v>46244</v>
      </c>
      <c r="BD181" s="8">
        <f t="shared" ca="1" si="465"/>
        <v>99</v>
      </c>
      <c r="BE181" s="5" t="str">
        <f t="shared" ca="1" si="466"/>
        <v>VIGENTE</v>
      </c>
      <c r="BF181" s="3"/>
      <c r="BG181" s="4">
        <v>45968</v>
      </c>
      <c r="BH181" s="4">
        <f t="shared" si="615"/>
        <v>46698</v>
      </c>
      <c r="BI181" s="8">
        <f t="shared" ca="1" si="467"/>
        <v>553</v>
      </c>
      <c r="BJ181" s="5" t="str">
        <f t="shared" ca="1" si="468"/>
        <v>VIGENTE</v>
      </c>
      <c r="BK181" s="3"/>
      <c r="BL181" s="4">
        <v>46035</v>
      </c>
      <c r="BM181" s="4">
        <f>DATE(YEAR(BL181)+2,MONTH(BL181),DAY(BL181))</f>
        <v>46765</v>
      </c>
      <c r="BN181" s="8">
        <f t="shared" ca="1" si="469"/>
        <v>620</v>
      </c>
      <c r="BO181" s="5" t="str">
        <f t="shared" ca="1" si="470"/>
        <v>VIGENTE</v>
      </c>
      <c r="BP181" s="3"/>
      <c r="BQ181" s="39">
        <v>46069</v>
      </c>
      <c r="BR181" s="4">
        <f>DATE(YEAR(BQ181)+2,MONTH(BQ181),DAY(BQ181))</f>
        <v>46799</v>
      </c>
      <c r="BS181" s="8">
        <f t="shared" ca="1" si="471"/>
        <v>654</v>
      </c>
      <c r="BT181" s="5" t="str">
        <f t="shared" ca="1" si="472"/>
        <v>VIGENTE</v>
      </c>
      <c r="BU181" s="3"/>
      <c r="BV181" s="4">
        <v>46116</v>
      </c>
      <c r="BW181" s="4">
        <f>DATE(YEAR(BV181)+2,MONTH(BV181),DAY(BV181)-1)</f>
        <v>46846</v>
      </c>
      <c r="BX181" s="8">
        <f t="shared" ca="1" si="473"/>
        <v>701</v>
      </c>
      <c r="BY181" s="5" t="str">
        <f t="shared" ca="1" si="474"/>
        <v>VIGENTE</v>
      </c>
      <c r="BZ181" s="3"/>
      <c r="CA181" s="4">
        <v>45944</v>
      </c>
      <c r="CB181" s="4">
        <f>DATE(YEAR(CA181)+2,MONTH(CA181),DAY(CA181))</f>
        <v>46674</v>
      </c>
      <c r="CC181" s="8">
        <f t="shared" ca="1" si="475"/>
        <v>529</v>
      </c>
      <c r="CD181" s="5" t="str">
        <f t="shared" ca="1" si="476"/>
        <v>VIGENTE</v>
      </c>
      <c r="CE181" s="6"/>
      <c r="CF181" s="4">
        <v>45262</v>
      </c>
      <c r="CG181" s="4">
        <f t="shared" si="590"/>
        <v>46723</v>
      </c>
      <c r="CH181" s="8">
        <f t="shared" ca="1" si="591"/>
        <v>578</v>
      </c>
      <c r="CI181" s="5" t="str">
        <f t="shared" ca="1" si="573"/>
        <v>VIGENTE</v>
      </c>
      <c r="CJ181" s="4"/>
      <c r="CK181" s="4">
        <v>45511</v>
      </c>
      <c r="CL181" s="4">
        <f>DATE(YEAR(CK181)+2,MONTH(CK181),DAY(CK181)-1)</f>
        <v>46240</v>
      </c>
      <c r="CM181" s="8">
        <f t="shared" ca="1" si="477"/>
        <v>95</v>
      </c>
      <c r="CN181" s="5" t="str">
        <f t="shared" ca="1" si="478"/>
        <v>VIGENTE</v>
      </c>
      <c r="CO181" s="3"/>
      <c r="CP181" s="39">
        <v>45517</v>
      </c>
      <c r="CQ181" s="4">
        <f>DATE(YEAR(CP181)+2,MONTH(CP181),DAY(CP181)-1)</f>
        <v>46246</v>
      </c>
      <c r="CR181" s="8">
        <f t="shared" ca="1" si="479"/>
        <v>101</v>
      </c>
      <c r="CS181" s="5" t="str">
        <f t="shared" ca="1" si="480"/>
        <v>VIGENTE</v>
      </c>
      <c r="CT181" s="3"/>
      <c r="CU181" s="4">
        <v>45639</v>
      </c>
      <c r="CV181" s="4">
        <f>DATE(YEAR(CU181)+2,MONTH(CU181),DAY(CU181)-1)</f>
        <v>46368</v>
      </c>
      <c r="CW181" s="8">
        <f t="shared" ca="1" si="481"/>
        <v>223</v>
      </c>
      <c r="CX181" s="5" t="str">
        <f t="shared" ca="1" si="482"/>
        <v>VIGENTE</v>
      </c>
      <c r="CY181" s="3"/>
      <c r="CZ181" s="4">
        <v>45661</v>
      </c>
      <c r="DA181" s="4">
        <f>DATE(YEAR(CZ181)+2,MONTH(CZ181),DAY(CZ181)-1)</f>
        <v>46390</v>
      </c>
      <c r="DB181" s="8">
        <f t="shared" ca="1" si="483"/>
        <v>245</v>
      </c>
      <c r="DC181" s="5" t="str">
        <f t="shared" ca="1" si="484"/>
        <v>VIGENTE</v>
      </c>
      <c r="DD181" s="3"/>
      <c r="DE181" s="39">
        <v>45689</v>
      </c>
      <c r="DF181" s="4">
        <f>DATE(YEAR(DE181)+2,MONTH(DE181),DAY(DE181)-1)</f>
        <v>46418</v>
      </c>
      <c r="DG181" s="8">
        <f t="shared" ca="1" si="485"/>
        <v>273</v>
      </c>
      <c r="DH181" s="5" t="str">
        <f t="shared" ca="1" si="486"/>
        <v>VIGENTE</v>
      </c>
      <c r="DI181" s="3"/>
      <c r="DJ181" s="39">
        <v>45696</v>
      </c>
      <c r="DK181" s="4">
        <f>DATE(YEAR(DJ181)+2,MONTH(DJ181),DAY(DJ181)-1)</f>
        <v>46425</v>
      </c>
      <c r="DL181" s="8">
        <f t="shared" ca="1" si="487"/>
        <v>280</v>
      </c>
      <c r="DM181" s="5" t="str">
        <f t="shared" ca="1" si="488"/>
        <v>VIGENTE</v>
      </c>
      <c r="DN181" s="3"/>
      <c r="DO181" s="4">
        <v>45520</v>
      </c>
      <c r="DP181" s="4">
        <f>DATE(YEAR(DO181)+2,MONTH(DO181),DAY(DO181)-1)</f>
        <v>46249</v>
      </c>
      <c r="DQ181" s="8">
        <f t="shared" ca="1" si="489"/>
        <v>104</v>
      </c>
      <c r="DR181" s="5" t="str">
        <f t="shared" ca="1" si="490"/>
        <v>VIGENTE</v>
      </c>
      <c r="DS181" s="3"/>
      <c r="DT181" s="4">
        <v>45619</v>
      </c>
      <c r="DU181" s="4">
        <f>DATE(YEAR(DT181)+2,MONTH(DT181),DAY(DT181)-1)</f>
        <v>46348</v>
      </c>
      <c r="DV181" s="8">
        <f t="shared" ca="1" si="491"/>
        <v>203</v>
      </c>
      <c r="DW181" s="5" t="str">
        <f t="shared" ca="1" si="492"/>
        <v>VIGENTE</v>
      </c>
      <c r="DX181" s="3"/>
      <c r="DY181" s="4">
        <v>45682</v>
      </c>
      <c r="DZ181" s="4">
        <f>DATE(YEAR(DY181)+2,MONTH(DY181),DAY(DY181)-1)</f>
        <v>46411</v>
      </c>
      <c r="EA181" s="8">
        <f t="shared" ca="1" si="493"/>
        <v>266</v>
      </c>
      <c r="EB181" s="5" t="str">
        <f t="shared" ca="1" si="494"/>
        <v>VIGENTE</v>
      </c>
      <c r="EC181" s="3"/>
      <c r="ED181" s="39">
        <v>45674</v>
      </c>
      <c r="EE181" s="4">
        <f>DATE(YEAR(ED181)+2,MONTH(ED181),DAY(ED181)-1)</f>
        <v>46403</v>
      </c>
      <c r="EF181" s="8">
        <f t="shared" ca="1" si="495"/>
        <v>258</v>
      </c>
      <c r="EG181" s="5" t="str">
        <f t="shared" ca="1" si="496"/>
        <v>VIGENTE</v>
      </c>
      <c r="EH181" s="3"/>
      <c r="EI181" s="4">
        <v>46115</v>
      </c>
      <c r="EJ181" s="4">
        <f t="shared" si="558"/>
        <v>46480</v>
      </c>
      <c r="EK181" s="8">
        <f t="shared" ca="1" si="497"/>
        <v>335</v>
      </c>
      <c r="EL181" s="5" t="str">
        <f t="shared" ca="1" si="498"/>
        <v>VIGENTE</v>
      </c>
      <c r="EM181" s="3"/>
      <c r="EN181" s="4">
        <v>45660</v>
      </c>
      <c r="EO181" s="4">
        <f>DATE(YEAR(EN181)+2,MONTH(EN181),DAY(EN181)-1)</f>
        <v>46389</v>
      </c>
      <c r="EP181" s="8">
        <f t="shared" ca="1" si="499"/>
        <v>244</v>
      </c>
      <c r="EQ181" s="5" t="str">
        <f t="shared" ca="1" si="500"/>
        <v>VIGENTE</v>
      </c>
      <c r="ER181" s="3"/>
      <c r="ES181" s="39">
        <v>45677</v>
      </c>
      <c r="ET181" s="4">
        <f>DATE(YEAR(ES181)+2,MONTH(ES181),DAY(ES181)-1)</f>
        <v>46406</v>
      </c>
      <c r="EU181" s="8">
        <f t="shared" ca="1" si="501"/>
        <v>261</v>
      </c>
      <c r="EV181" s="5" t="str">
        <f t="shared" ca="1" si="502"/>
        <v>VIGENTE</v>
      </c>
      <c r="EW181" s="3"/>
      <c r="EX181" s="4">
        <v>45953</v>
      </c>
      <c r="EY181" s="4">
        <f t="shared" si="609"/>
        <v>46683</v>
      </c>
      <c r="EZ181" s="8">
        <f t="shared" ca="1" si="503"/>
        <v>538</v>
      </c>
      <c r="FA181" s="5" t="str">
        <f t="shared" ca="1" si="504"/>
        <v>VIGENTE</v>
      </c>
      <c r="FB181" s="3"/>
      <c r="FC181" s="4">
        <v>45951</v>
      </c>
      <c r="FD181" s="4">
        <f>DATE(YEAR(FC181)+2,MONTH(FC181),DAY(FC181))</f>
        <v>46681</v>
      </c>
      <c r="FE181" s="8">
        <f t="shared" ca="1" si="505"/>
        <v>536</v>
      </c>
      <c r="FF181" s="5" t="str">
        <f t="shared" ca="1" si="506"/>
        <v>VIGENTE</v>
      </c>
      <c r="FG181" s="3"/>
      <c r="FH181" s="4">
        <v>45932</v>
      </c>
      <c r="FI181" s="4">
        <f>DATE(YEAR(FH181)+2,MONTH(FH181),DAY(FH181))</f>
        <v>46662</v>
      </c>
      <c r="FJ181" s="8">
        <f t="shared" ca="1" si="507"/>
        <v>517</v>
      </c>
      <c r="FK181" s="5" t="str">
        <f t="shared" ca="1" si="508"/>
        <v>VIGENTE</v>
      </c>
      <c r="FL181" s="3"/>
      <c r="FM181" s="39">
        <v>45670</v>
      </c>
      <c r="FN181" s="4">
        <f>DATE(YEAR(FM181)+2,MONTH(FM181),DAY(FM181)-1)</f>
        <v>46399</v>
      </c>
      <c r="FO181" s="8">
        <f t="shared" ca="1" si="509"/>
        <v>254</v>
      </c>
      <c r="FP181" s="5" t="str">
        <f t="shared" ca="1" si="510"/>
        <v>VIGENTE</v>
      </c>
      <c r="FQ181" s="3"/>
      <c r="FR181" s="39">
        <v>45586</v>
      </c>
      <c r="FS181" s="4">
        <f>DATE(YEAR(FR181)+2,MONTH(FR181),DAY(FR181)-1)</f>
        <v>46315</v>
      </c>
      <c r="FT181" s="8">
        <f t="shared" ca="1" si="511"/>
        <v>170</v>
      </c>
      <c r="FU181" s="5" t="str">
        <f t="shared" ca="1" si="512"/>
        <v>VIGENTE</v>
      </c>
      <c r="FV181" s="3"/>
      <c r="FW181" s="4">
        <v>45908</v>
      </c>
      <c r="FX181" s="4">
        <f>DATE(YEAR(FW181)+2,MONTH(FW181),DAY(FW181))</f>
        <v>46638</v>
      </c>
      <c r="FY181" s="8">
        <f t="shared" ca="1" si="513"/>
        <v>493</v>
      </c>
      <c r="FZ181" s="5" t="str">
        <f t="shared" ca="1" si="514"/>
        <v>VIGENTE</v>
      </c>
      <c r="GA181" s="3"/>
      <c r="GB181" s="4">
        <v>45667</v>
      </c>
      <c r="GC181" s="4">
        <f>DATE(YEAR(GB181)+2,MONTH(GB181),DAY(GB181)-1)</f>
        <v>46396</v>
      </c>
      <c r="GD181" s="8">
        <f t="shared" ca="1" si="515"/>
        <v>251</v>
      </c>
      <c r="GE181" s="5" t="str">
        <f t="shared" ca="1" si="516"/>
        <v>VIGENTE</v>
      </c>
      <c r="GF181" s="3"/>
      <c r="GG181" s="4">
        <v>45579</v>
      </c>
      <c r="GH181" s="4">
        <f>DATE(YEAR(GG181)+2,MONTH(GG181),DAY(GG181)-1)</f>
        <v>46308</v>
      </c>
      <c r="GI181" s="8">
        <f t="shared" ca="1" si="517"/>
        <v>163</v>
      </c>
      <c r="GJ181" s="5" t="str">
        <f t="shared" ca="1" si="518"/>
        <v>VIGENTE</v>
      </c>
      <c r="GK181" s="3"/>
      <c r="GL181" s="4">
        <v>45923</v>
      </c>
      <c r="GM181" s="4">
        <f>DATE(YEAR(GL181)+2,MONTH(GL181),DAY(GL181))</f>
        <v>46653</v>
      </c>
      <c r="GN181" s="8">
        <f t="shared" ca="1" si="519"/>
        <v>508</v>
      </c>
      <c r="GO181" s="5" t="str">
        <f t="shared" ca="1" si="520"/>
        <v>VIGENTE</v>
      </c>
      <c r="GP181" s="4"/>
      <c r="GQ181" s="4">
        <v>45459</v>
      </c>
      <c r="GR181" s="4">
        <f t="shared" si="521"/>
        <v>47285</v>
      </c>
      <c r="GS181" s="8">
        <f t="shared" ca="1" si="601"/>
        <v>1140</v>
      </c>
      <c r="GT181" s="5" t="str">
        <f t="shared" ca="1" si="610"/>
        <v>VIGENTE</v>
      </c>
      <c r="GU181" s="3"/>
      <c r="GV181" s="4">
        <v>45464</v>
      </c>
      <c r="GW181" s="4">
        <f t="shared" si="522"/>
        <v>47290</v>
      </c>
      <c r="GX181" s="8">
        <f t="shared" ca="1" si="523"/>
        <v>1145</v>
      </c>
      <c r="GY181" s="5" t="str">
        <f t="shared" ca="1" si="611"/>
        <v>VIGENTE</v>
      </c>
      <c r="GZ181" s="3"/>
      <c r="HA181" s="4">
        <v>45466</v>
      </c>
      <c r="HB181" s="4">
        <f t="shared" si="524"/>
        <v>47292</v>
      </c>
      <c r="HC181" s="8">
        <f t="shared" ca="1" si="525"/>
        <v>1147</v>
      </c>
      <c r="HD181" s="5" t="str">
        <f t="shared" ca="1" si="612"/>
        <v>VIGENTE</v>
      </c>
      <c r="HE181" s="6"/>
      <c r="HF181" s="4">
        <v>44862</v>
      </c>
      <c r="HG181" s="4">
        <f>DATE(YEAR(HF181)+5,MONTH(HF181),DAY(HF181))</f>
        <v>46688</v>
      </c>
      <c r="HH181" s="8">
        <f t="shared" ca="1" si="616"/>
        <v>543</v>
      </c>
      <c r="HI181" s="5" t="str">
        <f t="shared" ca="1" si="613"/>
        <v>VIGENTE</v>
      </c>
      <c r="HJ181" s="2"/>
      <c r="HK181" s="4">
        <v>45341</v>
      </c>
      <c r="HL181" s="4">
        <f>DATE(YEAR(HK181)+5,MONTH(HK181),DAY(HK181))</f>
        <v>47168</v>
      </c>
      <c r="HM181" s="8">
        <f ca="1">HL181-TODAY()</f>
        <v>1023</v>
      </c>
      <c r="HN181" s="5" t="str">
        <f t="shared" ca="1" si="444"/>
        <v>VIGENTE</v>
      </c>
      <c r="HO181" s="2"/>
      <c r="HP181" s="3">
        <v>45374</v>
      </c>
      <c r="HQ181" s="4">
        <f>DATE(YEAR(HP181)+5,MONTH(HP181),DAY(HP181))</f>
        <v>47200</v>
      </c>
      <c r="HR181" s="8">
        <f ca="1">HQ181-TODAY()</f>
        <v>1055</v>
      </c>
      <c r="HS181" s="5" t="str">
        <f t="shared" ca="1" si="526"/>
        <v>VIGENTE</v>
      </c>
      <c r="HT181" s="3"/>
      <c r="HU181" s="4">
        <v>45469</v>
      </c>
      <c r="HV181" s="4">
        <f>DATE(YEAR(HU181)+5,MONTH(HU181),DAY(HU181))</f>
        <v>47295</v>
      </c>
      <c r="HW181" s="8">
        <f ca="1">HV181-TODAY()</f>
        <v>1150</v>
      </c>
      <c r="HX181" s="5" t="str">
        <f t="shared" ca="1" si="527"/>
        <v>VIGENTE</v>
      </c>
      <c r="HY181" s="3"/>
      <c r="HZ181" s="4">
        <v>45475</v>
      </c>
      <c r="IA181" s="4">
        <f>DATE(YEAR(HZ181)+5,MONTH(HZ181),DAY(HZ181))</f>
        <v>47301</v>
      </c>
      <c r="IB181" s="8">
        <f ca="1">IA181-TODAY()</f>
        <v>1156</v>
      </c>
      <c r="IC181" s="5" t="str">
        <f t="shared" ca="1" si="528"/>
        <v>VIGENTE</v>
      </c>
      <c r="ID181" s="3"/>
      <c r="IE181" s="4">
        <v>45470</v>
      </c>
      <c r="IF181" s="4">
        <f>DATE(YEAR(IE181)+5,MONTH(IE181),DAY(IE181))</f>
        <v>47296</v>
      </c>
      <c r="IG181" s="8">
        <f ca="1">IF181-TODAY()</f>
        <v>1151</v>
      </c>
      <c r="IH181" s="5" t="str">
        <f t="shared" ca="1" si="529"/>
        <v>VIGENTE</v>
      </c>
      <c r="II181" s="4"/>
      <c r="IJ181" s="4">
        <v>45429</v>
      </c>
      <c r="IK181" s="4">
        <f>DATE(YEAR(IJ181)+5,MONTH(IJ181),DAY(IJ181))</f>
        <v>47255</v>
      </c>
      <c r="IL181" s="8">
        <f ca="1">IK181-TODAY()</f>
        <v>1110</v>
      </c>
      <c r="IM181" s="5" t="str">
        <f t="shared" ca="1" si="530"/>
        <v>VIGENTE</v>
      </c>
      <c r="IN181" s="3"/>
      <c r="IO181" s="4">
        <v>45460</v>
      </c>
      <c r="IP181" s="4">
        <f>DATE(YEAR(IO181)+5,MONTH(IO181),DAY(IO181))</f>
        <v>47286</v>
      </c>
      <c r="IQ181" s="8">
        <f ca="1">IP181-TODAY()</f>
        <v>1141</v>
      </c>
      <c r="IR181" s="5" t="str">
        <f t="shared" ca="1" si="531"/>
        <v>VIGENTE</v>
      </c>
      <c r="IS181" s="3"/>
      <c r="IT181" s="4">
        <v>45471</v>
      </c>
      <c r="IU181" s="4">
        <f>DATE(YEAR(IT181)+5,MONTH(IT181),DAY(IT181))</f>
        <v>47297</v>
      </c>
      <c r="IV181" s="8">
        <f ca="1">IU181-TODAY()</f>
        <v>1152</v>
      </c>
      <c r="IW181" s="5" t="str">
        <f t="shared" ca="1" si="532"/>
        <v>VIGENTE</v>
      </c>
      <c r="IX181" s="3"/>
      <c r="IY181" s="4">
        <v>45461</v>
      </c>
      <c r="IZ181" s="4">
        <f>DATE(YEAR(IY181)+5,MONTH(IY181),DAY(IY181))</f>
        <v>47287</v>
      </c>
      <c r="JA181" s="8">
        <f ca="1">IZ181-TODAY()</f>
        <v>1142</v>
      </c>
      <c r="JB181" s="5" t="str">
        <f t="shared" ca="1" si="533"/>
        <v>VIGENTE</v>
      </c>
      <c r="JC181" s="3" t="s">
        <v>780</v>
      </c>
      <c r="JD181" s="3"/>
      <c r="JE181" s="4"/>
      <c r="JF181" s="8"/>
      <c r="JG181" s="5"/>
      <c r="JH181" s="3" t="s">
        <v>780</v>
      </c>
      <c r="JI181" s="6"/>
      <c r="JJ181" s="6"/>
      <c r="JK181" s="6"/>
      <c r="JL181" s="5"/>
      <c r="JM181" s="6" t="s">
        <v>780</v>
      </c>
      <c r="JN181" s="6"/>
      <c r="JO181" s="6"/>
      <c r="JP181" s="6"/>
      <c r="JQ181" s="5"/>
      <c r="JR181" s="6" t="s">
        <v>780</v>
      </c>
      <c r="JS181" s="6"/>
      <c r="JT181" s="6"/>
      <c r="JU181" s="6"/>
      <c r="JV181" s="5"/>
      <c r="JW181" s="6" t="s">
        <v>780</v>
      </c>
      <c r="JX181" s="3"/>
      <c r="JY181" s="4"/>
      <c r="JZ181" s="8"/>
      <c r="KA181" s="5"/>
      <c r="KB181" s="5"/>
      <c r="KC181" s="5"/>
      <c r="KD181" s="4"/>
      <c r="KE181" s="8"/>
      <c r="KF181" s="5" t="str">
        <f t="shared" si="534"/>
        <v>NO APLICA</v>
      </c>
      <c r="KG181" s="5"/>
      <c r="KH181" s="5"/>
      <c r="KI181" s="4"/>
      <c r="KJ181" s="8"/>
      <c r="KK181" s="5" t="str">
        <f t="shared" si="559"/>
        <v>NO APLICA</v>
      </c>
      <c r="KL181" s="5"/>
      <c r="KM181" s="5"/>
      <c r="KN181" s="4"/>
      <c r="KO181" s="8"/>
      <c r="KP181" s="5" t="str">
        <f t="shared" si="535"/>
        <v>NO APLICA</v>
      </c>
      <c r="KQ181" s="5"/>
      <c r="KR181" s="3">
        <v>45346</v>
      </c>
      <c r="KS181" s="4">
        <f>DATE(YEAR(KR181)+5,MONTH(KR181),DAY(KR181))</f>
        <v>47173</v>
      </c>
      <c r="KT181" s="8">
        <f ca="1">KS181-TODAY()</f>
        <v>1028</v>
      </c>
      <c r="KU181" s="5" t="str">
        <f t="shared" ca="1" si="560"/>
        <v>VIGENTE</v>
      </c>
      <c r="KV181" s="3"/>
      <c r="KW181" s="4">
        <v>44656</v>
      </c>
      <c r="KX181" s="4">
        <f>DATE(YEAR(KW181)+5,MONTH(KW181),DAY(KW181))</f>
        <v>46482</v>
      </c>
      <c r="KY181" s="8">
        <f ca="1">KX181-TODAY()</f>
        <v>337</v>
      </c>
      <c r="KZ181" s="5" t="str">
        <f t="shared" ca="1" si="565"/>
        <v>VIGENTE</v>
      </c>
      <c r="LA181" s="5"/>
      <c r="LB181" s="4">
        <v>44603</v>
      </c>
      <c r="LC181" s="4">
        <f>DATE(YEAR(LB181)+5,MONTH(LB181),DAY(LB181))</f>
        <v>46429</v>
      </c>
      <c r="LD181" s="8">
        <f ca="1">LC181-TODAY()</f>
        <v>284</v>
      </c>
      <c r="LE181" s="5" t="str">
        <f t="shared" ca="1" si="561"/>
        <v>VIGENTE</v>
      </c>
      <c r="LF181" s="6"/>
      <c r="LG181" s="4">
        <v>45611</v>
      </c>
      <c r="LH181" s="4">
        <f>DATE(YEAR(LG181)+2,MONTH(LG181),DAY(LG181))</f>
        <v>46341</v>
      </c>
      <c r="LI181" s="8">
        <f ca="1">LH181-TODAY()</f>
        <v>196</v>
      </c>
      <c r="LJ181" s="5" t="str">
        <f t="shared" ca="1" si="600"/>
        <v>VIGENTE</v>
      </c>
      <c r="LK181" s="5"/>
      <c r="LL181" s="5"/>
      <c r="LM181" s="4"/>
      <c r="LN181" s="8"/>
      <c r="LO181" s="5" t="str">
        <f t="shared" si="566"/>
        <v>NO APLICA</v>
      </c>
      <c r="LP181" s="5"/>
      <c r="LQ181" s="6"/>
      <c r="LR181" s="4"/>
      <c r="LS181" s="8"/>
      <c r="LT181" s="5" t="str">
        <f t="shared" si="562"/>
        <v>NO APLICA</v>
      </c>
      <c r="LU181" s="6"/>
      <c r="LV181" s="6"/>
      <c r="LW181" s="4"/>
      <c r="LX181" s="8"/>
      <c r="LY181" s="5" t="str">
        <f t="shared" si="563"/>
        <v>NO APLICA</v>
      </c>
      <c r="LZ181" s="6"/>
      <c r="MA181" s="6"/>
      <c r="MB181" s="4"/>
      <c r="MC181" s="8"/>
      <c r="MD181" s="5" t="str">
        <f t="shared" si="564"/>
        <v>NO APLICA</v>
      </c>
      <c r="ME181" s="5"/>
      <c r="MF181" s="5"/>
      <c r="MG181" s="4"/>
      <c r="MH181" s="8"/>
      <c r="MI181" s="5" t="str">
        <f t="shared" si="537"/>
        <v>NO APLICA</v>
      </c>
      <c r="MJ181" s="5"/>
      <c r="MK181" s="5"/>
      <c r="ML181" s="4"/>
      <c r="MM181" s="8"/>
      <c r="MN181" s="5" t="str">
        <f t="shared" si="538"/>
        <v>NO APLICA</v>
      </c>
      <c r="MO181" s="5"/>
      <c r="MP181" s="3">
        <v>45154</v>
      </c>
      <c r="MQ181" s="4">
        <f>DATE(YEAR(MP181)+5,MONTH(MP181),DAY(MP181))</f>
        <v>46981</v>
      </c>
      <c r="MR181" s="8">
        <f ca="1">MQ181-TODAY()</f>
        <v>836</v>
      </c>
      <c r="MS181" s="5" t="str">
        <f t="shared" ca="1" si="539"/>
        <v>VIGENTE</v>
      </c>
      <c r="MT181" s="5"/>
      <c r="MU181" s="3">
        <v>45155</v>
      </c>
      <c r="MV181" s="4">
        <f>DATE(YEAR(MU181)+5,MONTH(MU181),DAY(MU181))</f>
        <v>46982</v>
      </c>
      <c r="MW181" s="8">
        <f ca="1">MV181-TODAY()</f>
        <v>837</v>
      </c>
      <c r="MX181" s="5" t="str">
        <f t="shared" ca="1" si="540"/>
        <v>VIGENTE</v>
      </c>
      <c r="MY181" s="5"/>
      <c r="MZ181" s="6"/>
      <c r="NA181" s="4"/>
      <c r="NB181" s="8"/>
      <c r="NC181" s="5" t="str">
        <f t="shared" si="541"/>
        <v>NO APLICA</v>
      </c>
      <c r="ND181" s="5"/>
      <c r="NE181" s="6"/>
      <c r="NF181" s="4"/>
      <c r="NG181" s="8"/>
      <c r="NH181" s="5" t="str">
        <f t="shared" si="542"/>
        <v>NO APLICA</v>
      </c>
      <c r="NI181" s="5"/>
      <c r="NJ181" s="6"/>
      <c r="NK181" s="4"/>
      <c r="NL181" s="8"/>
      <c r="NM181" s="5" t="str">
        <f t="shared" si="543"/>
        <v>NO APLICA</v>
      </c>
      <c r="NN181" s="5"/>
      <c r="NO181" s="5"/>
      <c r="NP181" s="4"/>
      <c r="NQ181" s="8"/>
      <c r="NR181" s="5" t="str">
        <f t="shared" si="544"/>
        <v>NO APLICA</v>
      </c>
      <c r="NS181" s="5"/>
      <c r="NT181" s="5"/>
      <c r="NU181" s="5"/>
      <c r="NV181" s="5"/>
      <c r="NW181" s="5" t="str">
        <f t="shared" si="545"/>
        <v>NO APLICA</v>
      </c>
      <c r="NX181" s="6"/>
      <c r="NY181" s="6"/>
      <c r="NZ181" s="4"/>
      <c r="OA181" s="8"/>
      <c r="OB181" s="5" t="str">
        <f t="shared" si="546"/>
        <v>NO APLICA</v>
      </c>
      <c r="OC181" s="6"/>
      <c r="OD181" s="6"/>
      <c r="OE181" s="6"/>
      <c r="OF181" s="6"/>
      <c r="OG181" s="5" t="str">
        <f t="shared" si="547"/>
        <v>NO APLICA</v>
      </c>
      <c r="OH181" s="5"/>
      <c r="OI181" s="5"/>
      <c r="OJ181" s="4"/>
      <c r="OK181" s="8"/>
      <c r="OL181" s="5" t="str">
        <f t="shared" si="548"/>
        <v>NO APLICA</v>
      </c>
      <c r="OM181" s="6"/>
      <c r="ON181" s="6"/>
      <c r="OO181" s="6"/>
      <c r="OP181" s="6"/>
      <c r="OQ181" s="5" t="str">
        <f t="shared" si="549"/>
        <v>NO APLICA</v>
      </c>
      <c r="OR181" s="6"/>
      <c r="OS181" s="6"/>
      <c r="OT181" s="6"/>
      <c r="OU181" s="6"/>
      <c r="OV181" s="5" t="str">
        <f t="shared" si="550"/>
        <v>NO APLICA</v>
      </c>
      <c r="OW181" s="6"/>
      <c r="OX181" s="6"/>
      <c r="OY181" s="6"/>
      <c r="OZ181" s="6"/>
      <c r="PA181" s="5" t="str">
        <f t="shared" si="551"/>
        <v>NO APLICA</v>
      </c>
      <c r="PB181" s="6"/>
      <c r="PC181" s="6"/>
      <c r="PD181" s="6"/>
      <c r="PE181" s="6"/>
      <c r="PF181" s="5" t="str">
        <f t="shared" si="552"/>
        <v>NO APLICA</v>
      </c>
      <c r="PG181" s="6"/>
      <c r="PH181" s="6"/>
      <c r="PI181" s="6"/>
      <c r="PJ181" s="6"/>
      <c r="PK181" s="5" t="str">
        <f t="shared" si="553"/>
        <v>NO APLICA</v>
      </c>
      <c r="PL181" s="5"/>
      <c r="PM181" s="6"/>
      <c r="PN181" s="4"/>
      <c r="PO181" s="8"/>
      <c r="PP181" s="5" t="str">
        <f t="shared" si="554"/>
        <v>NO APLICA</v>
      </c>
      <c r="PQ181" s="6"/>
      <c r="PR181" s="6"/>
      <c r="PS181" s="6"/>
      <c r="PT181" s="6"/>
      <c r="PU181" s="5" t="str">
        <f t="shared" si="555"/>
        <v>NO APLICA</v>
      </c>
      <c r="PV181" s="5"/>
      <c r="PW181" s="6"/>
      <c r="PX181" s="6"/>
      <c r="PY181" s="6"/>
      <c r="PZ181" s="5" t="str">
        <f t="shared" si="556"/>
        <v>NO APLICA</v>
      </c>
    </row>
    <row r="182" spans="1:442" ht="15.6" hidden="1" thickTop="1" thickBot="1" x14ac:dyDescent="0.35">
      <c r="A182" s="26">
        <v>179</v>
      </c>
      <c r="B182" s="27">
        <v>1556</v>
      </c>
      <c r="C182" s="28" t="s">
        <v>572</v>
      </c>
      <c r="D182" s="29" t="s">
        <v>64</v>
      </c>
      <c r="E182" s="30" t="s">
        <v>532</v>
      </c>
      <c r="F182" s="5"/>
      <c r="G182" s="6"/>
      <c r="H182" s="4"/>
      <c r="I182" s="8"/>
      <c r="J182" s="5" t="str">
        <f t="shared" si="455"/>
        <v>NO APLICA</v>
      </c>
      <c r="K182" s="5"/>
      <c r="L182" s="6"/>
      <c r="M182" s="6"/>
      <c r="N182" s="8"/>
      <c r="O182" s="5" t="str">
        <f t="shared" si="456"/>
        <v>NO APLICA</v>
      </c>
      <c r="P182" s="4"/>
      <c r="Q182" s="4">
        <v>45590</v>
      </c>
      <c r="R182" s="4">
        <f>DATE(YEAR(Q182)+2,MONTH(Q182),DAY(Q182)-1)</f>
        <v>46319</v>
      </c>
      <c r="S182" s="8">
        <f ca="1">R182-TODAY()</f>
        <v>174</v>
      </c>
      <c r="T182" s="5" t="str">
        <f t="shared" ca="1" si="557"/>
        <v>VIGENTE</v>
      </c>
      <c r="U182" s="5"/>
      <c r="V182" s="2" t="s">
        <v>573</v>
      </c>
      <c r="W182" s="4">
        <v>45693</v>
      </c>
      <c r="X182" s="4">
        <f t="shared" si="587"/>
        <v>47519</v>
      </c>
      <c r="Y182" s="8">
        <f t="shared" ca="1" si="588"/>
        <v>1374</v>
      </c>
      <c r="Z182" s="5" t="str">
        <f t="shared" ca="1" si="605"/>
        <v>VIGENTE</v>
      </c>
      <c r="AA182" s="5"/>
      <c r="AB182" s="2" t="s">
        <v>574</v>
      </c>
      <c r="AC182" s="4">
        <v>45190</v>
      </c>
      <c r="AD182" s="4">
        <f>DATE(YEAR(AC182)+5,MONTH(AC182),DAY(AC182))</f>
        <v>47017</v>
      </c>
      <c r="AE182" s="8">
        <f t="shared" ca="1" si="614"/>
        <v>872</v>
      </c>
      <c r="AF182" s="5" t="str">
        <f t="shared" ca="1" si="457"/>
        <v>VIGENTE</v>
      </c>
      <c r="AG182" s="3"/>
      <c r="AH182" s="4">
        <v>45902</v>
      </c>
      <c r="AI182" s="4">
        <f>DATE(YEAR(AH182)+2,MONTH(AH182),DAY(AH182))</f>
        <v>46632</v>
      </c>
      <c r="AJ182" s="8">
        <f t="shared" ca="1" si="458"/>
        <v>487</v>
      </c>
      <c r="AK182" s="5" t="str">
        <f t="shared" ca="1" si="602"/>
        <v>VIGENTE</v>
      </c>
      <c r="AL182" s="3"/>
      <c r="AM182" s="4">
        <v>45748</v>
      </c>
      <c r="AN182" s="4">
        <f>DATE(YEAR(AM182)+2,MONTH(AM182),DAY(AM182)-1)</f>
        <v>46477</v>
      </c>
      <c r="AO182" s="8">
        <f t="shared" ca="1" si="459"/>
        <v>332</v>
      </c>
      <c r="AP182" s="5" t="str">
        <f t="shared" ca="1" si="460"/>
        <v>VIGENTE</v>
      </c>
      <c r="AQ182" s="3"/>
      <c r="AR182" s="4">
        <v>45904</v>
      </c>
      <c r="AS182" s="4">
        <f t="shared" si="608"/>
        <v>46634</v>
      </c>
      <c r="AT182" s="8">
        <f t="shared" ca="1" si="461"/>
        <v>489</v>
      </c>
      <c r="AU182" s="5" t="str">
        <f t="shared" ca="1" si="462"/>
        <v>VIGENTE</v>
      </c>
      <c r="AV182" s="3"/>
      <c r="AW182" s="4">
        <v>45927</v>
      </c>
      <c r="AX182" s="4">
        <f>DATE(YEAR(AW182)+2,MONTH(AW182),DAY(AW182))</f>
        <v>46657</v>
      </c>
      <c r="AY182" s="8">
        <f t="shared" ca="1" si="463"/>
        <v>512</v>
      </c>
      <c r="AZ182" s="5" t="str">
        <f t="shared" ca="1" si="464"/>
        <v>VIGENTE</v>
      </c>
      <c r="BA182" s="3"/>
      <c r="BB182" s="4">
        <v>46041</v>
      </c>
      <c r="BC182" s="4">
        <f>DATE(YEAR(BB182)+2,MONTH(BB182),DAY(BB182))</f>
        <v>46771</v>
      </c>
      <c r="BD182" s="8">
        <f t="shared" ca="1" si="465"/>
        <v>626</v>
      </c>
      <c r="BE182" s="5" t="str">
        <f t="shared" ca="1" si="466"/>
        <v>VIGENTE</v>
      </c>
      <c r="BF182" s="3"/>
      <c r="BG182" s="4">
        <v>46027</v>
      </c>
      <c r="BH182" s="4">
        <f t="shared" si="615"/>
        <v>46757</v>
      </c>
      <c r="BI182" s="8">
        <f t="shared" ca="1" si="467"/>
        <v>612</v>
      </c>
      <c r="BJ182" s="5" t="str">
        <f t="shared" ca="1" si="468"/>
        <v>VIGENTE</v>
      </c>
      <c r="BK182" s="3"/>
      <c r="BL182" s="4">
        <v>45600</v>
      </c>
      <c r="BM182" s="4">
        <f>DATE(YEAR(BL182)+2,MONTH(BL182),DAY(BL182)-1)</f>
        <v>46329</v>
      </c>
      <c r="BN182" s="8">
        <f t="shared" ca="1" si="469"/>
        <v>184</v>
      </c>
      <c r="BO182" s="5" t="str">
        <f t="shared" ca="1" si="470"/>
        <v>VIGENTE</v>
      </c>
      <c r="BP182" s="3"/>
      <c r="BQ182" s="39">
        <v>45988</v>
      </c>
      <c r="BR182" s="4">
        <f>DATE(YEAR(BQ182)+2,MONTH(BQ182),DAY(BQ182))</f>
        <v>46718</v>
      </c>
      <c r="BS182" s="8">
        <f t="shared" ca="1" si="471"/>
        <v>573</v>
      </c>
      <c r="BT182" s="5" t="str">
        <f t="shared" ca="1" si="472"/>
        <v>VIGENTE</v>
      </c>
      <c r="BU182" s="3"/>
      <c r="BV182" s="4">
        <v>46126</v>
      </c>
      <c r="BW182" s="4">
        <f>DATE(YEAR(BV182)+2,MONTH(BV182),DAY(BV182)-1)</f>
        <v>46856</v>
      </c>
      <c r="BX182" s="8">
        <f t="shared" ca="1" si="473"/>
        <v>711</v>
      </c>
      <c r="BY182" s="5" t="str">
        <f t="shared" ca="1" si="474"/>
        <v>VIGENTE</v>
      </c>
      <c r="BZ182" s="3"/>
      <c r="CA182" s="4">
        <v>45629</v>
      </c>
      <c r="CB182" s="4">
        <f>DATE(YEAR(CA182)+2,MONTH(CA182),DAY(CA182)-1)</f>
        <v>46358</v>
      </c>
      <c r="CC182" s="8">
        <f t="shared" ca="1" si="475"/>
        <v>213</v>
      </c>
      <c r="CD182" s="5" t="str">
        <f t="shared" ca="1" si="476"/>
        <v>VIGENTE</v>
      </c>
      <c r="CE182" s="6"/>
      <c r="CF182" s="4">
        <v>45616</v>
      </c>
      <c r="CG182" s="4">
        <f t="shared" si="590"/>
        <v>47077</v>
      </c>
      <c r="CH182" s="8">
        <f t="shared" ca="1" si="591"/>
        <v>932</v>
      </c>
      <c r="CI182" s="5" t="str">
        <f t="shared" ca="1" si="573"/>
        <v>VIGENTE</v>
      </c>
      <c r="CJ182" s="4"/>
      <c r="CK182" s="4">
        <v>45929</v>
      </c>
      <c r="CL182" s="4">
        <f>DATE(YEAR(CK182)+2,MONTH(CK182),DAY(CK182))</f>
        <v>46659</v>
      </c>
      <c r="CM182" s="8">
        <f t="shared" ca="1" si="477"/>
        <v>514</v>
      </c>
      <c r="CN182" s="5" t="str">
        <f t="shared" ca="1" si="478"/>
        <v>VIGENTE</v>
      </c>
      <c r="CO182" s="3"/>
      <c r="CP182" s="39">
        <v>45888</v>
      </c>
      <c r="CQ182" s="4">
        <f>DATE(YEAR(CP182)+2,MONTH(CP182),DAY(CP182))</f>
        <v>46618</v>
      </c>
      <c r="CR182" s="8">
        <f t="shared" ca="1" si="479"/>
        <v>473</v>
      </c>
      <c r="CS182" s="5" t="str">
        <f t="shared" ca="1" si="480"/>
        <v>VIGENTE</v>
      </c>
      <c r="CT182" s="3"/>
      <c r="CU182" s="4">
        <v>45905</v>
      </c>
      <c r="CV182" s="4">
        <f>DATE(YEAR(CU182)+2,MONTH(CU182),DAY(CU182))</f>
        <v>46635</v>
      </c>
      <c r="CW182" s="8">
        <f t="shared" ca="1" si="481"/>
        <v>490</v>
      </c>
      <c r="CX182" s="5" t="str">
        <f t="shared" ca="1" si="482"/>
        <v>VIGENTE</v>
      </c>
      <c r="CY182" s="3"/>
      <c r="CZ182" s="4">
        <v>46000</v>
      </c>
      <c r="DA182" s="4">
        <f>DATE(YEAR(CZ182)+2,MONTH(CZ182),DAY(CZ182))</f>
        <v>46730</v>
      </c>
      <c r="DB182" s="8">
        <f t="shared" ca="1" si="483"/>
        <v>585</v>
      </c>
      <c r="DC182" s="5" t="str">
        <f t="shared" ca="1" si="484"/>
        <v>VIGENTE</v>
      </c>
      <c r="DD182" s="3"/>
      <c r="DE182" s="39">
        <v>45996</v>
      </c>
      <c r="DF182" s="4">
        <f>DATE(YEAR(DE182)+2,MONTH(DE182),DAY(DE182))</f>
        <v>46726</v>
      </c>
      <c r="DG182" s="8">
        <f t="shared" ca="1" si="485"/>
        <v>581</v>
      </c>
      <c r="DH182" s="5" t="str">
        <f t="shared" ca="1" si="486"/>
        <v>VIGENTE</v>
      </c>
      <c r="DI182" s="3"/>
      <c r="DJ182" s="39">
        <v>45975</v>
      </c>
      <c r="DK182" s="4">
        <f>DATE(YEAR(DJ182)+2,MONTH(DJ182),DAY(DJ182))</f>
        <v>46705</v>
      </c>
      <c r="DL182" s="8">
        <f t="shared" ca="1" si="487"/>
        <v>560</v>
      </c>
      <c r="DM182" s="5" t="str">
        <f t="shared" ca="1" si="488"/>
        <v>VIGENTE</v>
      </c>
      <c r="DN182" s="3"/>
      <c r="DO182" s="4">
        <v>45982</v>
      </c>
      <c r="DP182" s="4">
        <f>DATE(YEAR(DO182)+2,MONTH(DO182),DAY(DO182))</f>
        <v>46712</v>
      </c>
      <c r="DQ182" s="8">
        <f t="shared" ca="1" si="489"/>
        <v>567</v>
      </c>
      <c r="DR182" s="5" t="str">
        <f t="shared" ca="1" si="490"/>
        <v>VIGENTE</v>
      </c>
      <c r="DS182" s="3"/>
      <c r="DT182" s="4">
        <v>46053</v>
      </c>
      <c r="DU182" s="4">
        <f>DATE(YEAR(DT182)+2,MONTH(DT182),DAY(DT182))</f>
        <v>46783</v>
      </c>
      <c r="DV182" s="8">
        <f t="shared" ca="1" si="491"/>
        <v>638</v>
      </c>
      <c r="DW182" s="5" t="str">
        <f t="shared" ca="1" si="492"/>
        <v>VIGENTE</v>
      </c>
      <c r="DX182" s="3"/>
      <c r="DY182" s="4">
        <v>46020</v>
      </c>
      <c r="DZ182" s="4">
        <f>DATE(YEAR(DY182)+2,MONTH(DY182),DAY(DY182))</f>
        <v>46750</v>
      </c>
      <c r="EA182" s="8">
        <f t="shared" ca="1" si="493"/>
        <v>605</v>
      </c>
      <c r="EB182" s="5" t="str">
        <f t="shared" ca="1" si="494"/>
        <v>VIGENTE</v>
      </c>
      <c r="EC182" s="3"/>
      <c r="ED182" s="39">
        <v>45913</v>
      </c>
      <c r="EE182" s="4">
        <f>DATE(YEAR(ED182)+2,MONTH(ED182),DAY(ED182))</f>
        <v>46643</v>
      </c>
      <c r="EF182" s="8">
        <f t="shared" ca="1" si="495"/>
        <v>498</v>
      </c>
      <c r="EG182" s="5" t="str">
        <f t="shared" ca="1" si="496"/>
        <v>VIGENTE</v>
      </c>
      <c r="EH182" s="3"/>
      <c r="EI182" s="3">
        <v>45911</v>
      </c>
      <c r="EJ182" s="4">
        <f t="shared" si="558"/>
        <v>46276</v>
      </c>
      <c r="EK182" s="8">
        <f t="shared" ca="1" si="497"/>
        <v>131</v>
      </c>
      <c r="EL182" s="5" t="str">
        <f t="shared" ca="1" si="498"/>
        <v>VIGENTE</v>
      </c>
      <c r="EM182" s="3"/>
      <c r="EN182" s="4">
        <v>45940</v>
      </c>
      <c r="EO182" s="4">
        <f>DATE(YEAR(EN182)+2,MONTH(EN182),DAY(EN182))</f>
        <v>46670</v>
      </c>
      <c r="EP182" s="8">
        <f t="shared" ca="1" si="499"/>
        <v>525</v>
      </c>
      <c r="EQ182" s="5" t="str">
        <f t="shared" ca="1" si="500"/>
        <v>VIGENTE</v>
      </c>
      <c r="ER182" s="3"/>
      <c r="ES182" s="39">
        <v>46042</v>
      </c>
      <c r="ET182" s="4">
        <f>DATE(YEAR(ES182)+2,MONTH(ES182),DAY(ES182))</f>
        <v>46772</v>
      </c>
      <c r="EU182" s="8">
        <f t="shared" ca="1" si="501"/>
        <v>627</v>
      </c>
      <c r="EV182" s="5" t="str">
        <f t="shared" ca="1" si="502"/>
        <v>VIGENTE</v>
      </c>
      <c r="EW182" s="3"/>
      <c r="EX182" s="4">
        <v>45917</v>
      </c>
      <c r="EY182" s="4">
        <f t="shared" si="609"/>
        <v>46647</v>
      </c>
      <c r="EZ182" s="8">
        <f t="shared" ca="1" si="503"/>
        <v>502</v>
      </c>
      <c r="FA182" s="5" t="str">
        <f t="shared" ca="1" si="504"/>
        <v>VIGENTE</v>
      </c>
      <c r="FB182" s="3"/>
      <c r="FC182" s="4">
        <v>45931</v>
      </c>
      <c r="FD182" s="4">
        <f>DATE(YEAR(FC182)+2,MONTH(FC182),DAY(FC182))</f>
        <v>46661</v>
      </c>
      <c r="FE182" s="8">
        <f t="shared" ca="1" si="505"/>
        <v>516</v>
      </c>
      <c r="FF182" s="5" t="str">
        <f t="shared" ca="1" si="506"/>
        <v>VIGENTE</v>
      </c>
      <c r="FG182" s="3"/>
      <c r="FH182" s="4">
        <v>45919</v>
      </c>
      <c r="FI182" s="4">
        <f>DATE(YEAR(FH182)+2,MONTH(FH182),DAY(FH182))</f>
        <v>46649</v>
      </c>
      <c r="FJ182" s="8">
        <f t="shared" ca="1" si="507"/>
        <v>504</v>
      </c>
      <c r="FK182" s="5" t="str">
        <f t="shared" ca="1" si="508"/>
        <v>VIGENTE</v>
      </c>
      <c r="FL182" s="3"/>
      <c r="FM182" s="39">
        <v>45933</v>
      </c>
      <c r="FN182" s="4">
        <f>DATE(YEAR(FM182)+2,MONTH(FM182),DAY(FM182))</f>
        <v>46663</v>
      </c>
      <c r="FO182" s="8">
        <f t="shared" ca="1" si="509"/>
        <v>518</v>
      </c>
      <c r="FP182" s="5" t="str">
        <f t="shared" ca="1" si="510"/>
        <v>VIGENTE</v>
      </c>
      <c r="FQ182" s="3"/>
      <c r="FR182" s="39">
        <v>45957</v>
      </c>
      <c r="FS182" s="4">
        <f>DATE(YEAR(FR182)+2,MONTH(FR182),DAY(FR182))</f>
        <v>46687</v>
      </c>
      <c r="FT182" s="8">
        <f t="shared" ca="1" si="511"/>
        <v>542</v>
      </c>
      <c r="FU182" s="5" t="str">
        <f t="shared" ca="1" si="512"/>
        <v>VIGENTE</v>
      </c>
      <c r="FV182" s="3"/>
      <c r="FW182" s="4">
        <v>45941</v>
      </c>
      <c r="FX182" s="4">
        <f>DATE(YEAR(FW182)+2,MONTH(FW182),DAY(FW182))</f>
        <v>46671</v>
      </c>
      <c r="FY182" s="8">
        <f t="shared" ca="1" si="513"/>
        <v>526</v>
      </c>
      <c r="FZ182" s="5" t="str">
        <f t="shared" ca="1" si="514"/>
        <v>VIGENTE</v>
      </c>
      <c r="GA182" s="3"/>
      <c r="GB182" s="4">
        <v>46030</v>
      </c>
      <c r="GC182" s="4">
        <f>DATE(YEAR(GB182)+2,MONTH(GB182),DAY(GB182))</f>
        <v>46760</v>
      </c>
      <c r="GD182" s="8">
        <f t="shared" ca="1" si="515"/>
        <v>615</v>
      </c>
      <c r="GE182" s="5" t="str">
        <f t="shared" ca="1" si="516"/>
        <v>VIGENTE</v>
      </c>
      <c r="GF182" s="3"/>
      <c r="GG182" s="4">
        <v>45960</v>
      </c>
      <c r="GH182" s="4">
        <f>DATE(YEAR(GG182)+2,MONTH(GG182),DAY(GG182))</f>
        <v>46690</v>
      </c>
      <c r="GI182" s="8">
        <f t="shared" ca="1" si="517"/>
        <v>545</v>
      </c>
      <c r="GJ182" s="5" t="str">
        <f t="shared" ca="1" si="518"/>
        <v>VIGENTE</v>
      </c>
      <c r="GK182" s="3"/>
      <c r="GL182" s="4">
        <v>45945</v>
      </c>
      <c r="GM182" s="4">
        <f>DATE(YEAR(GL182)+2,MONTH(GL182),DAY(GL182))</f>
        <v>46675</v>
      </c>
      <c r="GN182" s="8">
        <f t="shared" ca="1" si="519"/>
        <v>530</v>
      </c>
      <c r="GO182" s="5" t="str">
        <f t="shared" ca="1" si="520"/>
        <v>VIGENTE</v>
      </c>
      <c r="GP182" s="4"/>
      <c r="GQ182" s="4">
        <v>45495</v>
      </c>
      <c r="GR182" s="4">
        <f t="shared" si="521"/>
        <v>47321</v>
      </c>
      <c r="GS182" s="8">
        <f t="shared" ca="1" si="601"/>
        <v>1176</v>
      </c>
      <c r="GT182" s="5" t="str">
        <f t="shared" ca="1" si="610"/>
        <v>VIGENTE</v>
      </c>
      <c r="GU182" s="3"/>
      <c r="GV182" s="4">
        <v>44979</v>
      </c>
      <c r="GW182" s="4">
        <f t="shared" si="522"/>
        <v>46805</v>
      </c>
      <c r="GX182" s="8">
        <f t="shared" ca="1" si="523"/>
        <v>660</v>
      </c>
      <c r="GY182" s="5" t="str">
        <f t="shared" ca="1" si="611"/>
        <v>VIGENTE</v>
      </c>
      <c r="GZ182" s="3"/>
      <c r="HA182" s="4">
        <v>45294</v>
      </c>
      <c r="HB182" s="4">
        <f t="shared" si="524"/>
        <v>47121</v>
      </c>
      <c r="HC182" s="8">
        <f t="shared" ca="1" si="525"/>
        <v>976</v>
      </c>
      <c r="HD182" s="5" t="str">
        <f t="shared" ca="1" si="612"/>
        <v>VIGENTE</v>
      </c>
      <c r="HE182" s="6"/>
      <c r="HF182" s="4">
        <v>44880</v>
      </c>
      <c r="HG182" s="4">
        <f>DATE(YEAR(HF182)+5,MONTH(HF182),DAY(HF182))</f>
        <v>46706</v>
      </c>
      <c r="HH182" s="8">
        <f t="shared" ca="1" si="616"/>
        <v>561</v>
      </c>
      <c r="HI182" s="5" t="str">
        <f t="shared" ca="1" si="613"/>
        <v>VIGENTE</v>
      </c>
      <c r="HJ182" s="2"/>
      <c r="HK182" s="6"/>
      <c r="HL182" s="4"/>
      <c r="HM182" s="8"/>
      <c r="HN182" s="5" t="str">
        <f t="shared" si="444"/>
        <v>NO APLICA</v>
      </c>
      <c r="HO182" s="2"/>
      <c r="HP182" s="2"/>
      <c r="HQ182" s="4"/>
      <c r="HR182" s="2"/>
      <c r="HS182" s="5" t="str">
        <f t="shared" si="526"/>
        <v>NO APLICA</v>
      </c>
      <c r="HT182" s="2"/>
      <c r="HU182" s="6"/>
      <c r="HV182" s="4"/>
      <c r="HW182" s="8"/>
      <c r="HX182" s="5" t="str">
        <f t="shared" si="527"/>
        <v>NO APLICA</v>
      </c>
      <c r="HY182" s="2"/>
      <c r="HZ182" s="6"/>
      <c r="IA182" s="4"/>
      <c r="IB182" s="8"/>
      <c r="IC182" s="5" t="str">
        <f t="shared" si="528"/>
        <v>NO APLICA</v>
      </c>
      <c r="ID182" s="2"/>
      <c r="IE182" s="6"/>
      <c r="IF182" s="4"/>
      <c r="IG182" s="8"/>
      <c r="IH182" s="5" t="str">
        <f t="shared" si="529"/>
        <v>NO APLICA</v>
      </c>
      <c r="II182" s="6"/>
      <c r="IJ182" s="6"/>
      <c r="IK182" s="4"/>
      <c r="IL182" s="8"/>
      <c r="IM182" s="5" t="str">
        <f t="shared" si="530"/>
        <v>NO APLICA</v>
      </c>
      <c r="IN182" s="2"/>
      <c r="IO182" s="6"/>
      <c r="IP182" s="4"/>
      <c r="IQ182" s="8"/>
      <c r="IR182" s="5" t="str">
        <f t="shared" si="531"/>
        <v>NO APLICA</v>
      </c>
      <c r="IS182" s="2"/>
      <c r="IT182" s="6"/>
      <c r="IU182" s="4"/>
      <c r="IV182" s="8"/>
      <c r="IW182" s="5" t="str">
        <f t="shared" si="532"/>
        <v>NO APLICA</v>
      </c>
      <c r="IX182" s="2"/>
      <c r="IY182" s="6"/>
      <c r="IZ182" s="4"/>
      <c r="JA182" s="8"/>
      <c r="JB182" s="5" t="str">
        <f t="shared" si="533"/>
        <v>NO APLICA</v>
      </c>
      <c r="JC182" s="3" t="s">
        <v>780</v>
      </c>
      <c r="JD182" s="3"/>
      <c r="JE182" s="4"/>
      <c r="JF182" s="8"/>
      <c r="JG182" s="5"/>
      <c r="JH182" s="3" t="s">
        <v>780</v>
      </c>
      <c r="JI182" s="6"/>
      <c r="JJ182" s="6"/>
      <c r="JK182" s="6"/>
      <c r="JL182" s="5"/>
      <c r="JM182" s="6" t="s">
        <v>780</v>
      </c>
      <c r="JN182" s="6"/>
      <c r="JO182" s="6"/>
      <c r="JP182" s="6"/>
      <c r="JQ182" s="5"/>
      <c r="JR182" s="6" t="s">
        <v>780</v>
      </c>
      <c r="JS182" s="6"/>
      <c r="JT182" s="6"/>
      <c r="JU182" s="6"/>
      <c r="JV182" s="5"/>
      <c r="JW182" s="6" t="s">
        <v>780</v>
      </c>
      <c r="JX182" s="5"/>
      <c r="JY182" s="5"/>
      <c r="JZ182" s="5"/>
      <c r="KA182" s="5"/>
      <c r="KB182" s="5"/>
      <c r="KC182" s="2"/>
      <c r="KD182" s="4"/>
      <c r="KE182" s="8"/>
      <c r="KF182" s="5" t="str">
        <f t="shared" si="534"/>
        <v>NO APLICA</v>
      </c>
      <c r="KG182" s="5"/>
      <c r="KH182" s="2"/>
      <c r="KI182" s="4"/>
      <c r="KJ182" s="8"/>
      <c r="KK182" s="5" t="str">
        <f t="shared" si="559"/>
        <v>NO APLICA</v>
      </c>
      <c r="KL182" s="5"/>
      <c r="KM182" s="3">
        <v>45364</v>
      </c>
      <c r="KN182" s="4">
        <f>DATE(YEAR(KM182)+5,MONTH(KM182),DAY(KM182))</f>
        <v>47190</v>
      </c>
      <c r="KO182" s="8">
        <f ca="1">KN182-TODAY()</f>
        <v>1045</v>
      </c>
      <c r="KP182" s="5" t="str">
        <f t="shared" ca="1" si="535"/>
        <v>VIGENTE</v>
      </c>
      <c r="KQ182" s="5"/>
      <c r="KR182" s="2"/>
      <c r="KS182" s="4"/>
      <c r="KT182" s="8"/>
      <c r="KU182" s="5" t="str">
        <f t="shared" si="560"/>
        <v>NO APLICA</v>
      </c>
      <c r="KV182" s="3"/>
      <c r="KW182" s="4">
        <v>44658</v>
      </c>
      <c r="KX182" s="4">
        <f>DATE(YEAR(KW182)+5,MONTH(KW182),DAY(KW182))</f>
        <v>46484</v>
      </c>
      <c r="KY182" s="8">
        <f ca="1">KX182-TODAY()</f>
        <v>339</v>
      </c>
      <c r="KZ182" s="5" t="str">
        <f t="shared" ca="1" si="565"/>
        <v>VIGENTE</v>
      </c>
      <c r="LA182" s="5"/>
      <c r="LB182" s="4">
        <v>44613</v>
      </c>
      <c r="LC182" s="4">
        <f>DATE(YEAR(LB182)+5,MONTH(LB182),DAY(LB182))</f>
        <v>46439</v>
      </c>
      <c r="LD182" s="8">
        <f ca="1">LC182-TODAY()</f>
        <v>294</v>
      </c>
      <c r="LE182" s="5" t="str">
        <f t="shared" ca="1" si="561"/>
        <v>VIGENTE</v>
      </c>
      <c r="LF182" s="6"/>
      <c r="LG182" s="6"/>
      <c r="LH182" s="4"/>
      <c r="LI182" s="8"/>
      <c r="LJ182" s="5" t="str">
        <f t="shared" si="600"/>
        <v>NO APLICA</v>
      </c>
      <c r="LK182" s="5"/>
      <c r="LL182" s="5"/>
      <c r="LM182" s="5"/>
      <c r="LN182" s="5"/>
      <c r="LO182" s="5" t="str">
        <f t="shared" si="566"/>
        <v>NO APLICA</v>
      </c>
      <c r="LP182" s="2"/>
      <c r="LQ182" s="6"/>
      <c r="LR182" s="4"/>
      <c r="LS182" s="8"/>
      <c r="LT182" s="5" t="str">
        <f t="shared" si="562"/>
        <v>NO APLICA</v>
      </c>
      <c r="LU182" s="4"/>
      <c r="LV182" s="4">
        <v>44986</v>
      </c>
      <c r="LW182" s="4">
        <f>DATE(YEAR(LV182)+5,MONTH(LV182),DAY(LV182))</f>
        <v>46813</v>
      </c>
      <c r="LX182" s="8">
        <f ca="1">LW182-TODAY()</f>
        <v>668</v>
      </c>
      <c r="LY182" s="5" t="str">
        <f t="shared" ca="1" si="563"/>
        <v>VIGENTE</v>
      </c>
      <c r="LZ182" s="4"/>
      <c r="MA182" s="4">
        <v>44988</v>
      </c>
      <c r="MB182" s="4">
        <f>DATE(YEAR(MA182)+5,MONTH(MA182),DAY(MA182))</f>
        <v>46815</v>
      </c>
      <c r="MC182" s="8">
        <f ca="1">MB182-TODAY()</f>
        <v>670</v>
      </c>
      <c r="MD182" s="5" t="str">
        <f t="shared" ca="1" si="564"/>
        <v>VIGENTE</v>
      </c>
      <c r="ME182" s="4"/>
      <c r="MF182" s="4">
        <v>45010</v>
      </c>
      <c r="MG182" s="4">
        <f>DATE(YEAR(MF182)+5,MONTH(MF182),DAY(MF182))</f>
        <v>46837</v>
      </c>
      <c r="MH182" s="8">
        <f ca="1">MG182-TODAY()</f>
        <v>692</v>
      </c>
      <c r="MI182" s="5" t="str">
        <f t="shared" ca="1" si="537"/>
        <v>VIGENTE</v>
      </c>
      <c r="MJ182" s="3"/>
      <c r="MK182" s="3">
        <v>45231</v>
      </c>
      <c r="ML182" s="4">
        <f>DATE(YEAR(MK182)+5,MONTH(MK182),DAY(MK182))</f>
        <v>47058</v>
      </c>
      <c r="MM182" s="8">
        <f ca="1">ML182-TODAY()</f>
        <v>913</v>
      </c>
      <c r="MN182" s="5" t="str">
        <f t="shared" ca="1" si="538"/>
        <v>VIGENTE</v>
      </c>
      <c r="MO182" s="5"/>
      <c r="MP182" s="2"/>
      <c r="MQ182" s="4"/>
      <c r="MR182" s="8"/>
      <c r="MS182" s="5" t="str">
        <f t="shared" si="539"/>
        <v>NO APLICA</v>
      </c>
      <c r="MT182" s="5"/>
      <c r="MU182" s="2"/>
      <c r="MV182" s="4"/>
      <c r="MW182" s="2"/>
      <c r="MX182" s="5" t="str">
        <f t="shared" si="540"/>
        <v>NO APLICA</v>
      </c>
      <c r="MY182" s="2"/>
      <c r="MZ182" s="6"/>
      <c r="NA182" s="4"/>
      <c r="NB182" s="8"/>
      <c r="NC182" s="5" t="str">
        <f t="shared" si="541"/>
        <v>NO APLICA</v>
      </c>
      <c r="ND182" s="2"/>
      <c r="NE182" s="6"/>
      <c r="NF182" s="4"/>
      <c r="NG182" s="8"/>
      <c r="NH182" s="5" t="str">
        <f t="shared" si="542"/>
        <v>NO APLICA</v>
      </c>
      <c r="NI182" s="2"/>
      <c r="NJ182" s="6"/>
      <c r="NK182" s="4"/>
      <c r="NL182" s="8"/>
      <c r="NM182" s="5" t="str">
        <f t="shared" si="543"/>
        <v>NO APLICA</v>
      </c>
      <c r="NN182" s="2"/>
      <c r="NO182" s="2"/>
      <c r="NP182" s="4"/>
      <c r="NQ182" s="2"/>
      <c r="NR182" s="5" t="str">
        <f t="shared" si="544"/>
        <v>NO APLICA</v>
      </c>
      <c r="NS182" s="2"/>
      <c r="NT182" s="2"/>
      <c r="NU182" s="4"/>
      <c r="NV182" s="2"/>
      <c r="NW182" s="5" t="str">
        <f t="shared" si="545"/>
        <v>NO APLICA</v>
      </c>
      <c r="NX182" s="6"/>
      <c r="NY182" s="6"/>
      <c r="NZ182" s="4"/>
      <c r="OA182" s="8"/>
      <c r="OB182" s="5" t="str">
        <f t="shared" si="546"/>
        <v>NO APLICA</v>
      </c>
      <c r="OC182" s="4"/>
      <c r="OD182" s="4">
        <v>44762</v>
      </c>
      <c r="OE182" s="4">
        <f>DATE(YEAR(OD182)+5,MONTH(OD182),DAY(OD182))</f>
        <v>46588</v>
      </c>
      <c r="OF182" s="8">
        <f ca="1">OE182-TODAY()</f>
        <v>443</v>
      </c>
      <c r="OG182" s="5" t="str">
        <f t="shared" ca="1" si="547"/>
        <v>VIGENTE</v>
      </c>
      <c r="OH182" s="6"/>
      <c r="OI182" s="6"/>
      <c r="OJ182" s="4"/>
      <c r="OK182" s="8"/>
      <c r="OL182" s="5" t="str">
        <f t="shared" si="548"/>
        <v>NO APLICA</v>
      </c>
      <c r="OM182" s="6"/>
      <c r="ON182" s="6"/>
      <c r="OO182" s="6"/>
      <c r="OP182" s="6"/>
      <c r="OQ182" s="5" t="str">
        <f t="shared" si="549"/>
        <v>NO APLICA</v>
      </c>
      <c r="OR182" s="6"/>
      <c r="OS182" s="6"/>
      <c r="OT182" s="6"/>
      <c r="OU182" s="6"/>
      <c r="OV182" s="5" t="str">
        <f t="shared" si="550"/>
        <v>NO APLICA</v>
      </c>
      <c r="OW182" s="6"/>
      <c r="OX182" s="6"/>
      <c r="OY182" s="6"/>
      <c r="OZ182" s="6"/>
      <c r="PA182" s="5" t="str">
        <f t="shared" si="551"/>
        <v>NO APLICA</v>
      </c>
      <c r="PB182" s="6"/>
      <c r="PC182" s="6"/>
      <c r="PD182" s="6"/>
      <c r="PE182" s="6"/>
      <c r="PF182" s="5" t="str">
        <f t="shared" si="552"/>
        <v>NO APLICA</v>
      </c>
      <c r="PG182" s="6"/>
      <c r="PH182" s="6"/>
      <c r="PI182" s="6"/>
      <c r="PJ182" s="6"/>
      <c r="PK182" s="5" t="str">
        <f t="shared" si="553"/>
        <v>NO APLICA</v>
      </c>
      <c r="PL182" s="5"/>
      <c r="PM182" s="6"/>
      <c r="PN182" s="4"/>
      <c r="PO182" s="8"/>
      <c r="PP182" s="5" t="str">
        <f t="shared" si="554"/>
        <v>NO APLICA</v>
      </c>
      <c r="PQ182" s="6"/>
      <c r="PR182" s="6"/>
      <c r="PS182" s="6"/>
      <c r="PT182" s="6"/>
      <c r="PU182" s="5" t="str">
        <f t="shared" si="555"/>
        <v>NO APLICA</v>
      </c>
      <c r="PV182" s="5"/>
      <c r="PW182" s="6"/>
      <c r="PX182" s="6"/>
      <c r="PY182" s="6"/>
      <c r="PZ182" s="5" t="str">
        <f t="shared" si="556"/>
        <v>NO APLICA</v>
      </c>
    </row>
    <row r="183" spans="1:442" ht="15.6" hidden="1" thickTop="1" thickBot="1" x14ac:dyDescent="0.35">
      <c r="A183" s="26">
        <v>180</v>
      </c>
      <c r="B183" s="27">
        <v>1479</v>
      </c>
      <c r="C183" s="28" t="s">
        <v>575</v>
      </c>
      <c r="D183" s="29" t="s">
        <v>68</v>
      </c>
      <c r="E183" s="30" t="s">
        <v>77</v>
      </c>
      <c r="F183" s="5"/>
      <c r="G183" s="6"/>
      <c r="H183" s="4"/>
      <c r="I183" s="8"/>
      <c r="J183" s="5" t="str">
        <f t="shared" si="455"/>
        <v>NO APLICA</v>
      </c>
      <c r="K183" s="5"/>
      <c r="L183" s="6"/>
      <c r="M183" s="6"/>
      <c r="N183" s="8"/>
      <c r="O183" s="5" t="str">
        <f t="shared" si="456"/>
        <v>NO APLICA</v>
      </c>
      <c r="P183" s="6"/>
      <c r="Q183" s="6"/>
      <c r="R183" s="4"/>
      <c r="S183" s="8"/>
      <c r="T183" s="5" t="str">
        <f t="shared" si="557"/>
        <v>NO APLICA</v>
      </c>
      <c r="U183" s="5"/>
      <c r="V183" s="2" t="s">
        <v>576</v>
      </c>
      <c r="W183" s="4">
        <v>44829</v>
      </c>
      <c r="X183" s="4">
        <f t="shared" si="587"/>
        <v>46655</v>
      </c>
      <c r="Y183" s="8">
        <f t="shared" ca="1" si="588"/>
        <v>510</v>
      </c>
      <c r="Z183" s="5" t="str">
        <f t="shared" ca="1" si="605"/>
        <v>VIGENTE</v>
      </c>
      <c r="AA183" s="5"/>
      <c r="AB183" s="2" t="s">
        <v>577</v>
      </c>
      <c r="AC183" s="4">
        <v>44603</v>
      </c>
      <c r="AD183" s="4">
        <f>DATE(YEAR(AC183)+5,MONTH(AC183),DAY(AC183))</f>
        <v>46429</v>
      </c>
      <c r="AE183" s="8">
        <f t="shared" ca="1" si="614"/>
        <v>284</v>
      </c>
      <c r="AF183" s="5" t="str">
        <f t="shared" ca="1" si="457"/>
        <v>VIGENTE</v>
      </c>
      <c r="AG183" s="3"/>
      <c r="AH183" s="4">
        <v>45609</v>
      </c>
      <c r="AI183" s="4">
        <f>DATE(YEAR(AH183)+2,MONTH(AH183),DAY(AH183)-1)</f>
        <v>46338</v>
      </c>
      <c r="AJ183" s="8">
        <f t="shared" ca="1" si="458"/>
        <v>193</v>
      </c>
      <c r="AK183" s="5" t="str">
        <f t="shared" ca="1" si="602"/>
        <v>VIGENTE</v>
      </c>
      <c r="AL183" s="3"/>
      <c r="AM183" s="4">
        <v>45937</v>
      </c>
      <c r="AN183" s="4">
        <f>DATE(YEAR(AM183)+2,MONTH(AM183),DAY(AM183))</f>
        <v>46667</v>
      </c>
      <c r="AO183" s="8">
        <f t="shared" ca="1" si="459"/>
        <v>522</v>
      </c>
      <c r="AP183" s="5" t="str">
        <f t="shared" ca="1" si="460"/>
        <v>VIGENTE</v>
      </c>
      <c r="AQ183" s="3"/>
      <c r="AR183" s="4">
        <v>45967</v>
      </c>
      <c r="AS183" s="4">
        <f t="shared" si="608"/>
        <v>46697</v>
      </c>
      <c r="AT183" s="8">
        <f t="shared" ca="1" si="461"/>
        <v>552</v>
      </c>
      <c r="AU183" s="5" t="str">
        <f t="shared" ca="1" si="462"/>
        <v>VIGENTE</v>
      </c>
      <c r="AV183" s="3"/>
      <c r="AW183" s="4">
        <v>45972</v>
      </c>
      <c r="AX183" s="4">
        <f>DATE(YEAR(AW183)+2,MONTH(AW183),DAY(AW183))</f>
        <v>46702</v>
      </c>
      <c r="AY183" s="8">
        <f t="shared" ca="1" si="463"/>
        <v>557</v>
      </c>
      <c r="AZ183" s="5" t="str">
        <f t="shared" ca="1" si="464"/>
        <v>VIGENTE</v>
      </c>
      <c r="BA183" s="3"/>
      <c r="BB183" s="4">
        <v>46071</v>
      </c>
      <c r="BC183" s="4">
        <f>DATE(YEAR(BB183)+2,MONTH(BB183),DAY(BB183))</f>
        <v>46801</v>
      </c>
      <c r="BD183" s="8">
        <f t="shared" ca="1" si="465"/>
        <v>656</v>
      </c>
      <c r="BE183" s="5" t="str">
        <f t="shared" ca="1" si="466"/>
        <v>VIGENTE</v>
      </c>
      <c r="BF183" s="3"/>
      <c r="BG183" s="4">
        <v>46027</v>
      </c>
      <c r="BH183" s="4">
        <f t="shared" si="615"/>
        <v>46757</v>
      </c>
      <c r="BI183" s="8">
        <f t="shared" ca="1" si="467"/>
        <v>612</v>
      </c>
      <c r="BJ183" s="5" t="str">
        <f t="shared" ca="1" si="468"/>
        <v>VIGENTE</v>
      </c>
      <c r="BK183" s="3"/>
      <c r="BL183" s="4">
        <v>46035</v>
      </c>
      <c r="BM183" s="4">
        <f>DATE(YEAR(BL183)+2,MONTH(BL183),DAY(BL183))</f>
        <v>46765</v>
      </c>
      <c r="BN183" s="8">
        <f t="shared" ca="1" si="469"/>
        <v>620</v>
      </c>
      <c r="BO183" s="5" t="str">
        <f t="shared" ca="1" si="470"/>
        <v>VIGENTE</v>
      </c>
      <c r="BP183" s="3"/>
      <c r="BQ183" s="39">
        <v>46069</v>
      </c>
      <c r="BR183" s="4">
        <f>DATE(YEAR(BQ183)+2,MONTH(BQ183),DAY(BQ183))</f>
        <v>46799</v>
      </c>
      <c r="BS183" s="8">
        <f t="shared" ca="1" si="471"/>
        <v>654</v>
      </c>
      <c r="BT183" s="5" t="str">
        <f t="shared" ca="1" si="472"/>
        <v>VIGENTE</v>
      </c>
      <c r="BU183" s="3"/>
      <c r="BV183" s="4">
        <v>46116</v>
      </c>
      <c r="BW183" s="4">
        <f>DATE(YEAR(BV183)+2,MONTH(BV183),DAY(BV183)-1)</f>
        <v>46846</v>
      </c>
      <c r="BX183" s="8">
        <f t="shared" ca="1" si="473"/>
        <v>701</v>
      </c>
      <c r="BY183" s="5" t="str">
        <f t="shared" ca="1" si="474"/>
        <v>VIGENTE</v>
      </c>
      <c r="BZ183" s="3"/>
      <c r="CA183" s="4">
        <v>45954</v>
      </c>
      <c r="CB183" s="4">
        <f>DATE(YEAR(CA183)+2,MONTH(CA183),DAY(CA183))</f>
        <v>46684</v>
      </c>
      <c r="CC183" s="8">
        <f t="shared" ca="1" si="475"/>
        <v>539</v>
      </c>
      <c r="CD183" s="5" t="str">
        <f t="shared" ca="1" si="476"/>
        <v>VIGENTE</v>
      </c>
      <c r="CE183" s="6"/>
      <c r="CF183" s="4">
        <v>45241</v>
      </c>
      <c r="CG183" s="4">
        <f t="shared" si="590"/>
        <v>46702</v>
      </c>
      <c r="CH183" s="8">
        <f t="shared" ca="1" si="591"/>
        <v>557</v>
      </c>
      <c r="CI183" s="5" t="str">
        <f t="shared" ca="1" si="573"/>
        <v>VIGENTE</v>
      </c>
      <c r="CJ183" s="4"/>
      <c r="CK183" s="4">
        <v>46134</v>
      </c>
      <c r="CL183" s="4">
        <f>DATE(YEAR(CK183)+2,MONTH(CK183),DAY(CK183)-1)</f>
        <v>46864</v>
      </c>
      <c r="CM183" s="8">
        <f t="shared" ca="1" si="477"/>
        <v>719</v>
      </c>
      <c r="CN183" s="5" t="str">
        <f t="shared" ca="1" si="478"/>
        <v>VIGENTE</v>
      </c>
      <c r="CO183" s="3"/>
      <c r="CP183" s="39">
        <v>45513</v>
      </c>
      <c r="CQ183" s="4">
        <f>DATE(YEAR(CP183)+2,MONTH(CP183),DAY(CP183)-1)</f>
        <v>46242</v>
      </c>
      <c r="CR183" s="8">
        <f t="shared" ca="1" si="479"/>
        <v>97</v>
      </c>
      <c r="CS183" s="5" t="str">
        <f t="shared" ca="1" si="480"/>
        <v>VIGENTE</v>
      </c>
      <c r="CT183" s="3"/>
      <c r="CU183" s="4">
        <v>45639</v>
      </c>
      <c r="CV183" s="4">
        <f>DATE(YEAR(CU183)+2,MONTH(CU183),DAY(CU183)-1)</f>
        <v>46368</v>
      </c>
      <c r="CW183" s="8">
        <f t="shared" ca="1" si="481"/>
        <v>223</v>
      </c>
      <c r="CX183" s="5" t="str">
        <f t="shared" ca="1" si="482"/>
        <v>VIGENTE</v>
      </c>
      <c r="CY183" s="3"/>
      <c r="CZ183" s="4">
        <v>45665</v>
      </c>
      <c r="DA183" s="4">
        <f>DATE(YEAR(CZ183)+2,MONTH(CZ183),DAY(CZ183)-1)</f>
        <v>46394</v>
      </c>
      <c r="DB183" s="8">
        <f t="shared" ca="1" si="483"/>
        <v>249</v>
      </c>
      <c r="DC183" s="5" t="str">
        <f t="shared" ca="1" si="484"/>
        <v>VIGENTE</v>
      </c>
      <c r="DD183" s="3"/>
      <c r="DE183" s="39">
        <v>45723</v>
      </c>
      <c r="DF183" s="4">
        <f>DATE(YEAR(DE183)+2,MONTH(DE183),DAY(DE183)-1)</f>
        <v>46452</v>
      </c>
      <c r="DG183" s="8">
        <f t="shared" ca="1" si="485"/>
        <v>307</v>
      </c>
      <c r="DH183" s="5" t="str">
        <f t="shared" ca="1" si="486"/>
        <v>VIGENTE</v>
      </c>
      <c r="DI183" s="3"/>
      <c r="DJ183" s="39">
        <v>45779</v>
      </c>
      <c r="DK183" s="4">
        <f>DATE(YEAR(DJ183)+2,MONTH(DJ183),DAY(DJ183))</f>
        <v>46509</v>
      </c>
      <c r="DL183" s="8">
        <f t="shared" ca="1" si="487"/>
        <v>364</v>
      </c>
      <c r="DM183" s="5" t="str">
        <f t="shared" ca="1" si="488"/>
        <v>VIGENTE</v>
      </c>
      <c r="DN183" s="3"/>
      <c r="DO183" s="4">
        <v>45982</v>
      </c>
      <c r="DP183" s="4">
        <f>DATE(YEAR(DO183)+2,MONTH(DO183),DAY(DO183))</f>
        <v>46712</v>
      </c>
      <c r="DQ183" s="8">
        <f t="shared" ca="1" si="489"/>
        <v>567</v>
      </c>
      <c r="DR183" s="5" t="str">
        <f t="shared" ca="1" si="490"/>
        <v>VIGENTE</v>
      </c>
      <c r="DS183" s="3"/>
      <c r="DT183" s="4">
        <v>46053</v>
      </c>
      <c r="DU183" s="4">
        <f>DATE(YEAR(DT183)+2,MONTH(DT183),DAY(DT183))</f>
        <v>46783</v>
      </c>
      <c r="DV183" s="8">
        <f t="shared" ca="1" si="491"/>
        <v>638</v>
      </c>
      <c r="DW183" s="5" t="str">
        <f t="shared" ca="1" si="492"/>
        <v>VIGENTE</v>
      </c>
      <c r="DX183" s="4"/>
      <c r="DY183" s="4">
        <v>45709</v>
      </c>
      <c r="DZ183" s="4">
        <f>DATE(YEAR(DY183)+2,MONTH(DY183),DAY(DY183)-1)</f>
        <v>46438</v>
      </c>
      <c r="EA183" s="8">
        <f t="shared" ca="1" si="493"/>
        <v>293</v>
      </c>
      <c r="EB183" s="5" t="str">
        <f t="shared" ca="1" si="494"/>
        <v>VIGENTE</v>
      </c>
      <c r="EC183" s="3"/>
      <c r="ED183" s="39">
        <v>45674</v>
      </c>
      <c r="EE183" s="4">
        <f>DATE(YEAR(ED183)+2,MONTH(ED183),DAY(ED183)-1)</f>
        <v>46403</v>
      </c>
      <c r="EF183" s="8">
        <f t="shared" ca="1" si="495"/>
        <v>258</v>
      </c>
      <c r="EG183" s="5" t="str">
        <f t="shared" ca="1" si="496"/>
        <v>VIGENTE</v>
      </c>
      <c r="EH183" s="4"/>
      <c r="EI183" s="4">
        <v>46115</v>
      </c>
      <c r="EJ183" s="4">
        <f t="shared" si="558"/>
        <v>46480</v>
      </c>
      <c r="EK183" s="8">
        <f t="shared" ca="1" si="497"/>
        <v>335</v>
      </c>
      <c r="EL183" s="5" t="str">
        <f t="shared" ca="1" si="498"/>
        <v>VIGENTE</v>
      </c>
      <c r="EM183" s="4"/>
      <c r="EN183" s="4">
        <v>45671</v>
      </c>
      <c r="EO183" s="4">
        <f>DATE(YEAR(EN183)+2,MONTH(EN183),DAY(EN183)-1)</f>
        <v>46400</v>
      </c>
      <c r="EP183" s="8">
        <f t="shared" ca="1" si="499"/>
        <v>255</v>
      </c>
      <c r="EQ183" s="5" t="str">
        <f t="shared" ca="1" si="500"/>
        <v>VIGENTE</v>
      </c>
      <c r="ER183" s="3"/>
      <c r="ES183" s="39">
        <v>46062</v>
      </c>
      <c r="ET183" s="4">
        <f>DATE(YEAR(ES183)+2,MONTH(ES183),DAY(ES183))</f>
        <v>46792</v>
      </c>
      <c r="EU183" s="8">
        <f t="shared" ca="1" si="501"/>
        <v>647</v>
      </c>
      <c r="EV183" s="5" t="str">
        <f t="shared" ca="1" si="502"/>
        <v>VIGENTE</v>
      </c>
      <c r="EW183" s="3"/>
      <c r="EX183" s="4">
        <v>45953</v>
      </c>
      <c r="EY183" s="4">
        <f t="shared" si="609"/>
        <v>46683</v>
      </c>
      <c r="EZ183" s="8">
        <f t="shared" ca="1" si="503"/>
        <v>538</v>
      </c>
      <c r="FA183" s="5" t="str">
        <f t="shared" ca="1" si="504"/>
        <v>VIGENTE</v>
      </c>
      <c r="FB183" s="3"/>
      <c r="FC183" s="4">
        <v>45931</v>
      </c>
      <c r="FD183" s="4">
        <f>DATE(YEAR(FC183)+2,MONTH(FC183),DAY(FC183))</f>
        <v>46661</v>
      </c>
      <c r="FE183" s="8">
        <f t="shared" ca="1" si="505"/>
        <v>516</v>
      </c>
      <c r="FF183" s="5" t="str">
        <f t="shared" ca="1" si="506"/>
        <v>VIGENTE</v>
      </c>
      <c r="FG183" s="3"/>
      <c r="FH183" s="4">
        <v>45962</v>
      </c>
      <c r="FI183" s="4">
        <f>DATE(YEAR(FH183)+2,MONTH(FH183),DAY(FH183))</f>
        <v>46692</v>
      </c>
      <c r="FJ183" s="8">
        <f t="shared" ca="1" si="507"/>
        <v>547</v>
      </c>
      <c r="FK183" s="5" t="str">
        <f t="shared" ca="1" si="508"/>
        <v>VIGENTE</v>
      </c>
      <c r="FL183" s="3"/>
      <c r="FM183" s="39">
        <v>45686</v>
      </c>
      <c r="FN183" s="4">
        <f>DATE(YEAR(FM183)+2,MONTH(FM183),DAY(FM183)-1)</f>
        <v>46415</v>
      </c>
      <c r="FO183" s="8">
        <f t="shared" ca="1" si="509"/>
        <v>270</v>
      </c>
      <c r="FP183" s="5" t="str">
        <f t="shared" ca="1" si="510"/>
        <v>VIGENTE</v>
      </c>
      <c r="FQ183" s="3"/>
      <c r="FR183" s="39">
        <v>45586</v>
      </c>
      <c r="FS183" s="4">
        <f>DATE(YEAR(FR183)+2,MONTH(FR183),DAY(FR183)-1)</f>
        <v>46315</v>
      </c>
      <c r="FT183" s="8">
        <f t="shared" ca="1" si="511"/>
        <v>170</v>
      </c>
      <c r="FU183" s="5" t="str">
        <f t="shared" ca="1" si="512"/>
        <v>VIGENTE</v>
      </c>
      <c r="FV183" s="4"/>
      <c r="FW183" s="4">
        <v>45536</v>
      </c>
      <c r="FX183" s="4">
        <f>DATE(YEAR(FW183)+2,MONTH(FW183),DAY(FW183)-1)</f>
        <v>46265</v>
      </c>
      <c r="FY183" s="8">
        <f t="shared" ca="1" si="513"/>
        <v>120</v>
      </c>
      <c r="FZ183" s="5" t="str">
        <f t="shared" ca="1" si="514"/>
        <v>VIGENTE</v>
      </c>
      <c r="GA183" s="3"/>
      <c r="GB183" s="4">
        <v>46073</v>
      </c>
      <c r="GC183" s="4">
        <f>DATE(YEAR(GB183)+2,MONTH(GB183),DAY(GB183))</f>
        <v>46803</v>
      </c>
      <c r="GD183" s="8">
        <f t="shared" ca="1" si="515"/>
        <v>658</v>
      </c>
      <c r="GE183" s="5" t="str">
        <f t="shared" ca="1" si="516"/>
        <v>VIGENTE</v>
      </c>
      <c r="GF183" s="4"/>
      <c r="GG183" s="4">
        <v>45672</v>
      </c>
      <c r="GH183" s="4">
        <f>DATE(YEAR(GG183)+2,MONTH(GG183),DAY(GG183)-1)</f>
        <v>46401</v>
      </c>
      <c r="GI183" s="8">
        <f t="shared" ca="1" si="517"/>
        <v>256</v>
      </c>
      <c r="GJ183" s="5" t="str">
        <f t="shared" ca="1" si="518"/>
        <v>VIGENTE</v>
      </c>
      <c r="GK183" s="3"/>
      <c r="GL183" s="4">
        <v>45923</v>
      </c>
      <c r="GM183" s="4">
        <f>DATE(YEAR(GL183)+2,MONTH(GL183),DAY(GL183))</f>
        <v>46653</v>
      </c>
      <c r="GN183" s="8">
        <f t="shared" ca="1" si="519"/>
        <v>508</v>
      </c>
      <c r="GO183" s="5" t="str">
        <f t="shared" ca="1" si="520"/>
        <v>VIGENTE</v>
      </c>
      <c r="GP183" s="4"/>
      <c r="GQ183" s="4">
        <v>45299</v>
      </c>
      <c r="GR183" s="4">
        <f t="shared" si="521"/>
        <v>47126</v>
      </c>
      <c r="GS183" s="8">
        <f t="shared" ca="1" si="601"/>
        <v>981</v>
      </c>
      <c r="GT183" s="5" t="str">
        <f t="shared" ca="1" si="610"/>
        <v>VIGENTE</v>
      </c>
      <c r="GU183" s="3"/>
      <c r="GV183" s="4">
        <v>45478</v>
      </c>
      <c r="GW183" s="4">
        <f t="shared" si="522"/>
        <v>47304</v>
      </c>
      <c r="GX183" s="8">
        <f t="shared" ca="1" si="523"/>
        <v>1159</v>
      </c>
      <c r="GY183" s="5" t="str">
        <f t="shared" ca="1" si="611"/>
        <v>VIGENTE</v>
      </c>
      <c r="GZ183" s="3"/>
      <c r="HA183" s="4">
        <v>45258</v>
      </c>
      <c r="HB183" s="4">
        <f t="shared" si="524"/>
        <v>47085</v>
      </c>
      <c r="HC183" s="8">
        <f t="shared" ca="1" si="525"/>
        <v>940</v>
      </c>
      <c r="HD183" s="5" t="str">
        <f t="shared" ca="1" si="612"/>
        <v>VIGENTE</v>
      </c>
      <c r="HE183" s="6"/>
      <c r="HF183" s="4">
        <v>44865</v>
      </c>
      <c r="HG183" s="4">
        <f>DATE(YEAR(HF183)+5,MONTH(HF183),DAY(HF183))</f>
        <v>46691</v>
      </c>
      <c r="HH183" s="8">
        <f t="shared" ca="1" si="616"/>
        <v>546</v>
      </c>
      <c r="HI183" s="5" t="str">
        <f t="shared" ca="1" si="613"/>
        <v>VIGENTE</v>
      </c>
      <c r="HJ183" s="3"/>
      <c r="HK183" s="4">
        <v>45480</v>
      </c>
      <c r="HL183" s="4">
        <f>DATE(YEAR(HK183)+5,MONTH(HK183),DAY(HK183))</f>
        <v>47306</v>
      </c>
      <c r="HM183" s="8">
        <f ca="1">HL183-TODAY()</f>
        <v>1161</v>
      </c>
      <c r="HN183" s="5" t="str">
        <f t="shared" ca="1" si="444"/>
        <v>VIGENTE</v>
      </c>
      <c r="HO183" s="2"/>
      <c r="HP183" s="2"/>
      <c r="HQ183" s="4"/>
      <c r="HR183" s="2"/>
      <c r="HS183" s="5" t="str">
        <f t="shared" si="526"/>
        <v>NO APLICA</v>
      </c>
      <c r="HT183" s="3"/>
      <c r="HU183" s="4">
        <v>45469</v>
      </c>
      <c r="HV183" s="4">
        <f>DATE(YEAR(HU183)+5,MONTH(HU183),DAY(HU183))</f>
        <v>47295</v>
      </c>
      <c r="HW183" s="8">
        <f ca="1">HV183-TODAY()</f>
        <v>1150</v>
      </c>
      <c r="HX183" s="5" t="str">
        <f t="shared" ca="1" si="527"/>
        <v>VIGENTE</v>
      </c>
      <c r="HY183" s="3"/>
      <c r="HZ183" s="4">
        <v>45475</v>
      </c>
      <c r="IA183" s="4">
        <f>DATE(YEAR(HZ183)+5,MONTH(HZ183),DAY(HZ183))</f>
        <v>47301</v>
      </c>
      <c r="IB183" s="8">
        <f ca="1">IA183-TODAY()</f>
        <v>1156</v>
      </c>
      <c r="IC183" s="5" t="str">
        <f t="shared" ca="1" si="528"/>
        <v>VIGENTE</v>
      </c>
      <c r="ID183" s="3"/>
      <c r="IE183" s="4">
        <v>45470</v>
      </c>
      <c r="IF183" s="4">
        <f>DATE(YEAR(IE183)+5,MONTH(IE183),DAY(IE183))</f>
        <v>47296</v>
      </c>
      <c r="IG183" s="8">
        <f ca="1">IF183-TODAY()</f>
        <v>1151</v>
      </c>
      <c r="IH183" s="5" t="str">
        <f t="shared" ca="1" si="529"/>
        <v>VIGENTE</v>
      </c>
      <c r="II183" s="4"/>
      <c r="IJ183" s="4">
        <v>45452</v>
      </c>
      <c r="IK183" s="4">
        <f>DATE(YEAR(IJ183)+5,MONTH(IJ183),DAY(IJ183))</f>
        <v>47278</v>
      </c>
      <c r="IL183" s="8">
        <f ca="1">IK183-TODAY()</f>
        <v>1133</v>
      </c>
      <c r="IM183" s="5" t="str">
        <f t="shared" ca="1" si="530"/>
        <v>VIGENTE</v>
      </c>
      <c r="IN183" s="3"/>
      <c r="IO183" s="4">
        <v>45453</v>
      </c>
      <c r="IP183" s="4">
        <f>DATE(YEAR(IO183)+5,MONTH(IO183),DAY(IO183))</f>
        <v>47279</v>
      </c>
      <c r="IQ183" s="8">
        <f ca="1">IP183-TODAY()</f>
        <v>1134</v>
      </c>
      <c r="IR183" s="5" t="str">
        <f t="shared" ca="1" si="531"/>
        <v>VIGENTE</v>
      </c>
      <c r="IS183" s="3"/>
      <c r="IT183" s="4">
        <v>45487</v>
      </c>
      <c r="IU183" s="4">
        <f>DATE(YEAR(IT183)+5,MONTH(IT183),DAY(IT183))</f>
        <v>47313</v>
      </c>
      <c r="IV183" s="8">
        <f t="shared" ref="IV183:IV188" ca="1" si="617">IU183-TODAY()</f>
        <v>1168</v>
      </c>
      <c r="IW183" s="5" t="str">
        <f t="shared" ca="1" si="532"/>
        <v>VIGENTE</v>
      </c>
      <c r="IX183" s="3"/>
      <c r="IY183" s="4">
        <v>45461</v>
      </c>
      <c r="IZ183" s="4">
        <f>DATE(YEAR(IY183)+5,MONTH(IY183),DAY(IY183))</f>
        <v>47287</v>
      </c>
      <c r="JA183" s="8">
        <f t="shared" ref="JA183:JA188" ca="1" si="618">IZ183-TODAY()</f>
        <v>1142</v>
      </c>
      <c r="JB183" s="5" t="str">
        <f t="shared" ca="1" si="533"/>
        <v>VIGENTE</v>
      </c>
      <c r="JC183" s="3" t="s">
        <v>780</v>
      </c>
      <c r="JD183" s="3"/>
      <c r="JE183" s="4"/>
      <c r="JF183" s="8"/>
      <c r="JG183" s="5"/>
      <c r="JH183" s="3" t="s">
        <v>780</v>
      </c>
      <c r="JI183" s="6"/>
      <c r="JJ183" s="6"/>
      <c r="JK183" s="6"/>
      <c r="JL183" s="5"/>
      <c r="JM183" s="6" t="s">
        <v>780</v>
      </c>
      <c r="JN183" s="6"/>
      <c r="JO183" s="6"/>
      <c r="JP183" s="6"/>
      <c r="JQ183" s="5"/>
      <c r="JR183" s="6" t="s">
        <v>780</v>
      </c>
      <c r="JS183" s="6"/>
      <c r="JT183" s="6"/>
      <c r="JU183" s="6"/>
      <c r="JV183" s="5"/>
      <c r="JW183" s="6" t="s">
        <v>780</v>
      </c>
      <c r="JX183" s="5"/>
      <c r="JY183" s="5"/>
      <c r="JZ183" s="5"/>
      <c r="KA183" s="5"/>
      <c r="KB183" s="5"/>
      <c r="KC183" s="2"/>
      <c r="KD183" s="4"/>
      <c r="KE183" s="8"/>
      <c r="KF183" s="5" t="str">
        <f t="shared" si="534"/>
        <v>NO APLICA</v>
      </c>
      <c r="KG183" s="5"/>
      <c r="KH183" s="2"/>
      <c r="KI183" s="4"/>
      <c r="KJ183" s="8"/>
      <c r="KK183" s="5" t="str">
        <f t="shared" si="559"/>
        <v>NO APLICA</v>
      </c>
      <c r="KL183" s="5"/>
      <c r="KM183" s="2"/>
      <c r="KN183" s="4"/>
      <c r="KO183" s="8"/>
      <c r="KP183" s="5" t="str">
        <f t="shared" si="535"/>
        <v>NO APLICA</v>
      </c>
      <c r="KQ183" s="5"/>
      <c r="KR183" s="3">
        <v>45346</v>
      </c>
      <c r="KS183" s="4">
        <f>DATE(YEAR(KR183)+5,MONTH(KR183),DAY(KR183))</f>
        <v>47173</v>
      </c>
      <c r="KT183" s="8">
        <f ca="1">KS183-TODAY()</f>
        <v>1028</v>
      </c>
      <c r="KU183" s="5" t="str">
        <f t="shared" ca="1" si="560"/>
        <v>VIGENTE</v>
      </c>
      <c r="KV183" s="3"/>
      <c r="KW183" s="4">
        <v>44649</v>
      </c>
      <c r="KX183" s="4">
        <f>DATE(YEAR(KW183)+5,MONTH(KW183),DAY(KW183))</f>
        <v>46475</v>
      </c>
      <c r="KY183" s="8">
        <f ca="1">KX183-TODAY()</f>
        <v>330</v>
      </c>
      <c r="KZ183" s="5" t="str">
        <f t="shared" ca="1" si="565"/>
        <v>VIGENTE</v>
      </c>
      <c r="LA183" s="5"/>
      <c r="LB183" s="6"/>
      <c r="LC183" s="4"/>
      <c r="LD183" s="8"/>
      <c r="LE183" s="5" t="str">
        <f t="shared" si="561"/>
        <v>NO APLICA</v>
      </c>
      <c r="LF183" s="6"/>
      <c r="LG183" s="4">
        <v>45611</v>
      </c>
      <c r="LH183" s="4">
        <f>DATE(YEAR(LG183)+2,MONTH(LG183),DAY(LG183))</f>
        <v>46341</v>
      </c>
      <c r="LI183" s="8">
        <f ca="1">LH183-TODAY()</f>
        <v>196</v>
      </c>
      <c r="LJ183" s="5" t="str">
        <f t="shared" ca="1" si="600"/>
        <v>VIGENTE</v>
      </c>
      <c r="LK183" s="5"/>
      <c r="LL183" s="5"/>
      <c r="LM183" s="4"/>
      <c r="LN183" s="8"/>
      <c r="LO183" s="5" t="str">
        <f t="shared" si="566"/>
        <v>NO APLICA</v>
      </c>
      <c r="LP183" s="2"/>
      <c r="LQ183" s="6"/>
      <c r="LR183" s="4"/>
      <c r="LS183" s="8"/>
      <c r="LT183" s="5" t="str">
        <f t="shared" si="562"/>
        <v>NO APLICA</v>
      </c>
      <c r="LU183" s="6"/>
      <c r="LV183" s="6"/>
      <c r="LW183" s="4"/>
      <c r="LX183" s="8"/>
      <c r="LY183" s="5" t="str">
        <f t="shared" si="563"/>
        <v>NO APLICA</v>
      </c>
      <c r="LZ183" s="6"/>
      <c r="MA183" s="6"/>
      <c r="MB183" s="4"/>
      <c r="MC183" s="8"/>
      <c r="MD183" s="5" t="str">
        <f t="shared" si="564"/>
        <v>NO APLICA</v>
      </c>
      <c r="ME183" s="2"/>
      <c r="MF183" s="2"/>
      <c r="MG183" s="4"/>
      <c r="MH183" s="8"/>
      <c r="MI183" s="5" t="str">
        <f t="shared" si="537"/>
        <v>NO APLICA</v>
      </c>
      <c r="MJ183" s="2"/>
      <c r="MK183" s="2"/>
      <c r="ML183" s="4"/>
      <c r="MM183" s="8"/>
      <c r="MN183" s="5" t="str">
        <f t="shared" si="538"/>
        <v>NO APLICA</v>
      </c>
      <c r="MO183" s="5"/>
      <c r="MP183" s="2"/>
      <c r="MQ183" s="4"/>
      <c r="MR183" s="8"/>
      <c r="MS183" s="5" t="str">
        <f t="shared" si="539"/>
        <v>NO APLICA</v>
      </c>
      <c r="MT183" s="5"/>
      <c r="MU183" s="2"/>
      <c r="MV183" s="4"/>
      <c r="MW183" s="2"/>
      <c r="MX183" s="5" t="str">
        <f t="shared" si="540"/>
        <v>NO APLICA</v>
      </c>
      <c r="MY183" s="2"/>
      <c r="MZ183" s="6"/>
      <c r="NA183" s="4"/>
      <c r="NB183" s="8"/>
      <c r="NC183" s="5" t="str">
        <f t="shared" si="541"/>
        <v>NO APLICA</v>
      </c>
      <c r="ND183" s="2"/>
      <c r="NE183" s="6"/>
      <c r="NF183" s="4"/>
      <c r="NG183" s="8"/>
      <c r="NH183" s="5" t="str">
        <f t="shared" si="542"/>
        <v>NO APLICA</v>
      </c>
      <c r="NI183" s="2"/>
      <c r="NJ183" s="6"/>
      <c r="NK183" s="4"/>
      <c r="NL183" s="8"/>
      <c r="NM183" s="5" t="str">
        <f t="shared" si="543"/>
        <v>NO APLICA</v>
      </c>
      <c r="NN183" s="2"/>
      <c r="NO183" s="2"/>
      <c r="NP183" s="4"/>
      <c r="NQ183" s="2"/>
      <c r="NR183" s="5" t="str">
        <f t="shared" si="544"/>
        <v>NO APLICA</v>
      </c>
      <c r="NS183" s="2"/>
      <c r="NT183" s="2"/>
      <c r="NU183" s="4"/>
      <c r="NV183" s="2"/>
      <c r="NW183" s="5" t="str">
        <f t="shared" si="545"/>
        <v>NO APLICA</v>
      </c>
      <c r="NX183" s="6"/>
      <c r="NY183" s="6"/>
      <c r="NZ183" s="4"/>
      <c r="OA183" s="8"/>
      <c r="OB183" s="5" t="str">
        <f t="shared" si="546"/>
        <v>NO APLICA</v>
      </c>
      <c r="OC183" s="6"/>
      <c r="OD183" s="6"/>
      <c r="OE183" s="6"/>
      <c r="OF183" s="6"/>
      <c r="OG183" s="5" t="str">
        <f t="shared" si="547"/>
        <v>NO APLICA</v>
      </c>
      <c r="OH183" s="6"/>
      <c r="OI183" s="6"/>
      <c r="OJ183" s="4"/>
      <c r="OK183" s="8"/>
      <c r="OL183" s="5" t="str">
        <f t="shared" si="548"/>
        <v>NO APLICA</v>
      </c>
      <c r="OM183" s="6"/>
      <c r="ON183" s="6"/>
      <c r="OO183" s="6"/>
      <c r="OP183" s="6"/>
      <c r="OQ183" s="5" t="str">
        <f t="shared" si="549"/>
        <v>NO APLICA</v>
      </c>
      <c r="OR183" s="6"/>
      <c r="OS183" s="6"/>
      <c r="OT183" s="6"/>
      <c r="OU183" s="6"/>
      <c r="OV183" s="5" t="str">
        <f t="shared" si="550"/>
        <v>NO APLICA</v>
      </c>
      <c r="OW183" s="6"/>
      <c r="OX183" s="6"/>
      <c r="OY183" s="6"/>
      <c r="OZ183" s="6"/>
      <c r="PA183" s="5" t="str">
        <f t="shared" si="551"/>
        <v>NO APLICA</v>
      </c>
      <c r="PB183" s="6"/>
      <c r="PC183" s="6"/>
      <c r="PD183" s="6"/>
      <c r="PE183" s="6"/>
      <c r="PF183" s="5" t="str">
        <f t="shared" si="552"/>
        <v>NO APLICA</v>
      </c>
      <c r="PG183" s="6"/>
      <c r="PH183" s="6"/>
      <c r="PI183" s="6"/>
      <c r="PJ183" s="6"/>
      <c r="PK183" s="5" t="str">
        <f t="shared" si="553"/>
        <v>NO APLICA</v>
      </c>
      <c r="PL183" s="5"/>
      <c r="PM183" s="6"/>
      <c r="PN183" s="4"/>
      <c r="PO183" s="8"/>
      <c r="PP183" s="5" t="str">
        <f t="shared" si="554"/>
        <v>NO APLICA</v>
      </c>
      <c r="PQ183" s="6"/>
      <c r="PR183" s="6"/>
      <c r="PS183" s="6"/>
      <c r="PT183" s="6"/>
      <c r="PU183" s="5" t="str">
        <f t="shared" si="555"/>
        <v>NO APLICA</v>
      </c>
      <c r="PV183" s="5"/>
      <c r="PW183" s="6"/>
      <c r="PX183" s="6"/>
      <c r="PY183" s="6"/>
      <c r="PZ183" s="5" t="str">
        <f t="shared" si="556"/>
        <v>NO APLICA</v>
      </c>
    </row>
    <row r="184" spans="1:442" ht="15.6" hidden="1" thickTop="1" thickBot="1" x14ac:dyDescent="0.35">
      <c r="A184" s="26">
        <v>181</v>
      </c>
      <c r="B184" s="27">
        <v>1489</v>
      </c>
      <c r="C184" s="28" t="s">
        <v>578</v>
      </c>
      <c r="D184" s="29" t="s">
        <v>68</v>
      </c>
      <c r="E184" s="30" t="s">
        <v>73</v>
      </c>
      <c r="F184" s="5"/>
      <c r="G184" s="6"/>
      <c r="H184" s="4"/>
      <c r="I184" s="8"/>
      <c r="J184" s="5" t="str">
        <f t="shared" si="455"/>
        <v>NO APLICA</v>
      </c>
      <c r="K184" s="5"/>
      <c r="L184" s="6"/>
      <c r="M184" s="6"/>
      <c r="N184" s="8"/>
      <c r="O184" s="5" t="str">
        <f t="shared" si="456"/>
        <v>NO APLICA</v>
      </c>
      <c r="P184" s="6"/>
      <c r="Q184" s="6"/>
      <c r="R184" s="4"/>
      <c r="S184" s="8"/>
      <c r="T184" s="5" t="str">
        <f t="shared" si="557"/>
        <v>NO APLICA</v>
      </c>
      <c r="U184" s="5"/>
      <c r="V184" s="2" t="s">
        <v>579</v>
      </c>
      <c r="W184" s="4">
        <v>44786</v>
      </c>
      <c r="X184" s="4">
        <f t="shared" si="587"/>
        <v>46612</v>
      </c>
      <c r="Y184" s="8">
        <f t="shared" ca="1" si="588"/>
        <v>467</v>
      </c>
      <c r="Z184" s="5" t="str">
        <f t="shared" ca="1" si="605"/>
        <v>VIGENTE</v>
      </c>
      <c r="AA184" s="5"/>
      <c r="AB184" s="2" t="s">
        <v>580</v>
      </c>
      <c r="AC184" s="4">
        <v>44988</v>
      </c>
      <c r="AD184" s="4">
        <f t="shared" ref="AD184:AD189" si="619">DATE(YEAR(AC184)+5,MONTH(AC184),DAY(AC184))</f>
        <v>46815</v>
      </c>
      <c r="AE184" s="8">
        <f t="shared" ca="1" si="614"/>
        <v>670</v>
      </c>
      <c r="AF184" s="5" t="str">
        <f t="shared" ca="1" si="457"/>
        <v>VIGENTE</v>
      </c>
      <c r="AG184" s="3"/>
      <c r="AH184" s="4">
        <v>45589</v>
      </c>
      <c r="AI184" s="4">
        <f t="shared" ref="AI184:AI188" si="620">DATE(YEAR(AH184)+2,MONTH(AH184),DAY(AH184)-1)</f>
        <v>46318</v>
      </c>
      <c r="AJ184" s="8">
        <f t="shared" ca="1" si="458"/>
        <v>173</v>
      </c>
      <c r="AK184" s="5" t="str">
        <f t="shared" ca="1" si="602"/>
        <v>VIGENTE</v>
      </c>
      <c r="AL184" s="3"/>
      <c r="AM184" s="4">
        <v>46084</v>
      </c>
      <c r="AN184" s="4">
        <f t="shared" ref="AN184:AN186" si="621">DATE(YEAR(AM184)+2,MONTH(AM184),DAY(AM184))</f>
        <v>46815</v>
      </c>
      <c r="AO184" s="8">
        <f t="shared" ca="1" si="459"/>
        <v>670</v>
      </c>
      <c r="AP184" s="5" t="str">
        <f t="shared" ca="1" si="460"/>
        <v>VIGENTE</v>
      </c>
      <c r="AQ184" s="3"/>
      <c r="AR184" s="4">
        <v>45505</v>
      </c>
      <c r="AS184" s="4">
        <f t="shared" ref="AS184" si="622">DATE(YEAR(AR184)+2,MONTH(AR184),DAY(AR184)-1)</f>
        <v>46234</v>
      </c>
      <c r="AT184" s="8">
        <f t="shared" ca="1" si="461"/>
        <v>89</v>
      </c>
      <c r="AU184" s="5" t="str">
        <f t="shared" ca="1" si="462"/>
        <v>POR VENCER</v>
      </c>
      <c r="AV184" s="3"/>
      <c r="AW184" s="4">
        <v>45464</v>
      </c>
      <c r="AX184" s="4">
        <f t="shared" ref="AX184:AX187" si="623">DATE(YEAR(AW184)+2,MONTH(AW184),DAY(AW184)-1)</f>
        <v>46193</v>
      </c>
      <c r="AY184" s="8">
        <f t="shared" ca="1" si="463"/>
        <v>48</v>
      </c>
      <c r="AZ184" s="5" t="str">
        <f t="shared" ca="1" si="464"/>
        <v>POR VENCER</v>
      </c>
      <c r="BA184" s="3"/>
      <c r="BB184" s="4">
        <v>45476</v>
      </c>
      <c r="BC184" s="4">
        <f t="shared" ref="BC184:BC190" si="624">DATE(YEAR(BB184)+2,MONTH(BB184),DAY(BB184)-1)</f>
        <v>46205</v>
      </c>
      <c r="BD184" s="8">
        <f t="shared" ca="1" si="465"/>
        <v>60</v>
      </c>
      <c r="BE184" s="5" t="str">
        <f t="shared" ca="1" si="466"/>
        <v>POR VENCER</v>
      </c>
      <c r="BF184" s="3"/>
      <c r="BG184" s="4">
        <v>46067</v>
      </c>
      <c r="BH184" s="4">
        <f t="shared" si="615"/>
        <v>46797</v>
      </c>
      <c r="BI184" s="8">
        <f t="shared" ca="1" si="467"/>
        <v>652</v>
      </c>
      <c r="BJ184" s="5" t="str">
        <f t="shared" ca="1" si="468"/>
        <v>VIGENTE</v>
      </c>
      <c r="BK184" s="3"/>
      <c r="BL184" s="4">
        <v>46035</v>
      </c>
      <c r="BM184" s="4">
        <f t="shared" ref="BM184:BM186" si="625">DATE(YEAR(BL184)+2,MONTH(BL184),DAY(BL184))</f>
        <v>46765</v>
      </c>
      <c r="BN184" s="8">
        <f t="shared" ca="1" si="469"/>
        <v>620</v>
      </c>
      <c r="BO184" s="5" t="str">
        <f t="shared" ca="1" si="470"/>
        <v>VIGENTE</v>
      </c>
      <c r="BP184" s="3"/>
      <c r="BQ184" s="39">
        <v>46069</v>
      </c>
      <c r="BR184" s="4">
        <f t="shared" ref="BR184" si="626">DATE(YEAR(BQ184)+2,MONTH(BQ184),DAY(BQ184))</f>
        <v>46799</v>
      </c>
      <c r="BS184" s="8">
        <f t="shared" ca="1" si="471"/>
        <v>654</v>
      </c>
      <c r="BT184" s="5" t="str">
        <f t="shared" ca="1" si="472"/>
        <v>VIGENTE</v>
      </c>
      <c r="BU184" s="3"/>
      <c r="BV184" s="4">
        <v>45736</v>
      </c>
      <c r="BW184" s="4">
        <f t="shared" ref="BW184:BW188" si="627">DATE(YEAR(BV184)+2,MONTH(BV184),DAY(BV184)-1)</f>
        <v>46465</v>
      </c>
      <c r="BX184" s="8">
        <f t="shared" ca="1" si="473"/>
        <v>320</v>
      </c>
      <c r="BY184" s="5" t="str">
        <f t="shared" ca="1" si="474"/>
        <v>VIGENTE</v>
      </c>
      <c r="BZ184" s="3"/>
      <c r="CA184" s="4">
        <v>45480</v>
      </c>
      <c r="CB184" s="4">
        <f t="shared" ref="CB184:CB187" si="628">DATE(YEAR(CA184)+2,MONTH(CA184),DAY(CA184)-1)</f>
        <v>46209</v>
      </c>
      <c r="CC184" s="8">
        <f t="shared" ca="1" si="475"/>
        <v>64</v>
      </c>
      <c r="CD184" s="5" t="str">
        <f t="shared" ca="1" si="476"/>
        <v>POR VENCER</v>
      </c>
      <c r="CE184" s="6"/>
      <c r="CF184" s="4">
        <v>45282</v>
      </c>
      <c r="CG184" s="4">
        <f t="shared" si="590"/>
        <v>46743</v>
      </c>
      <c r="CH184" s="8">
        <f t="shared" ca="1" si="591"/>
        <v>598</v>
      </c>
      <c r="CI184" s="5" t="str">
        <f t="shared" ca="1" si="573"/>
        <v>VIGENTE</v>
      </c>
      <c r="CJ184" s="4"/>
      <c r="CK184" s="4">
        <v>45688</v>
      </c>
      <c r="CL184" s="4">
        <f t="shared" ref="CL184:CL190" si="629">DATE(YEAR(CK184)+2,MONTH(CK184),DAY(CK184)-1)</f>
        <v>46417</v>
      </c>
      <c r="CM184" s="8">
        <f t="shared" ca="1" si="477"/>
        <v>272</v>
      </c>
      <c r="CN184" s="5" t="str">
        <f t="shared" ca="1" si="478"/>
        <v>VIGENTE</v>
      </c>
      <c r="CO184" s="3"/>
      <c r="CP184" s="39">
        <v>45684</v>
      </c>
      <c r="CQ184" s="4">
        <f t="shared" ref="CQ184:CQ190" si="630">DATE(YEAR(CP184)+2,MONTH(CP184),DAY(CP184)-1)</f>
        <v>46413</v>
      </c>
      <c r="CR184" s="8">
        <f t="shared" ca="1" si="479"/>
        <v>268</v>
      </c>
      <c r="CS184" s="5" t="str">
        <f t="shared" ca="1" si="480"/>
        <v>VIGENTE</v>
      </c>
      <c r="CT184" s="3"/>
      <c r="CU184" s="4">
        <v>45645</v>
      </c>
      <c r="CV184" s="4">
        <f t="shared" ref="CV184:CV188" si="631">DATE(YEAR(CU184)+2,MONTH(CU184),DAY(CU184)-1)</f>
        <v>46374</v>
      </c>
      <c r="CW184" s="8">
        <f t="shared" ca="1" si="481"/>
        <v>229</v>
      </c>
      <c r="CX184" s="5" t="str">
        <f t="shared" ca="1" si="482"/>
        <v>VIGENTE</v>
      </c>
      <c r="CY184" s="3"/>
      <c r="CZ184" s="4">
        <v>45665</v>
      </c>
      <c r="DA184" s="4">
        <f t="shared" ref="DA184:DA188" si="632">DATE(YEAR(CZ184)+2,MONTH(CZ184),DAY(CZ184)-1)</f>
        <v>46394</v>
      </c>
      <c r="DB184" s="8">
        <f t="shared" ca="1" si="483"/>
        <v>249</v>
      </c>
      <c r="DC184" s="5" t="str">
        <f t="shared" ca="1" si="484"/>
        <v>VIGENTE</v>
      </c>
      <c r="DD184" s="3"/>
      <c r="DE184" s="39">
        <v>45689</v>
      </c>
      <c r="DF184" s="4">
        <f t="shared" ref="DF184:DF190" si="633">DATE(YEAR(DE184)+2,MONTH(DE184),DAY(DE184)-1)</f>
        <v>46418</v>
      </c>
      <c r="DG184" s="8">
        <f t="shared" ca="1" si="485"/>
        <v>273</v>
      </c>
      <c r="DH184" s="5" t="str">
        <f t="shared" ca="1" si="486"/>
        <v>VIGENTE</v>
      </c>
      <c r="DI184" s="3"/>
      <c r="DJ184" s="39">
        <v>46073</v>
      </c>
      <c r="DK184" s="4">
        <f t="shared" ref="DK184:DK186" si="634">DATE(YEAR(DJ184)+2,MONTH(DJ184),DAY(DJ184))</f>
        <v>46803</v>
      </c>
      <c r="DL184" s="8">
        <f t="shared" ca="1" si="487"/>
        <v>658</v>
      </c>
      <c r="DM184" s="5" t="str">
        <f t="shared" ca="1" si="488"/>
        <v>VIGENTE</v>
      </c>
      <c r="DN184" s="3"/>
      <c r="DO184" s="4">
        <v>45731</v>
      </c>
      <c r="DP184" s="4">
        <f t="shared" ref="DP184:DP187" si="635">DATE(YEAR(DO184)+2,MONTH(DO184),DAY(DO184)-1)</f>
        <v>46460</v>
      </c>
      <c r="DQ184" s="8">
        <f t="shared" ca="1" si="489"/>
        <v>315</v>
      </c>
      <c r="DR184" s="5" t="str">
        <f t="shared" ca="1" si="490"/>
        <v>VIGENTE</v>
      </c>
      <c r="DS184" s="3"/>
      <c r="DT184" s="4">
        <v>46072</v>
      </c>
      <c r="DU184" s="4">
        <f>DATE(YEAR(DT184)+2,MONTH(DT184),DAY(DT184))</f>
        <v>46802</v>
      </c>
      <c r="DV184" s="8">
        <f t="shared" ca="1" si="491"/>
        <v>657</v>
      </c>
      <c r="DW184" s="5" t="str">
        <f t="shared" ca="1" si="492"/>
        <v>VIGENTE</v>
      </c>
      <c r="DX184" s="3"/>
      <c r="DY184" s="4">
        <v>45709</v>
      </c>
      <c r="DZ184" s="4">
        <f t="shared" ref="DZ184:DZ190" si="636">DATE(YEAR(DY184)+2,MONTH(DY184),DAY(DY184)-1)</f>
        <v>46438</v>
      </c>
      <c r="EA184" s="8">
        <f t="shared" ca="1" si="493"/>
        <v>293</v>
      </c>
      <c r="EB184" s="5" t="str">
        <f t="shared" ca="1" si="494"/>
        <v>VIGENTE</v>
      </c>
      <c r="EC184" s="3"/>
      <c r="ED184" s="39">
        <v>46104</v>
      </c>
      <c r="EE184" s="4">
        <f t="shared" ref="EE184:EE189" si="637">DATE(YEAR(ED184)+2,MONTH(ED184),DAY(ED184))</f>
        <v>46835</v>
      </c>
      <c r="EF184" s="8">
        <f t="shared" ca="1" si="495"/>
        <v>690</v>
      </c>
      <c r="EG184" s="5" t="str">
        <f t="shared" ca="1" si="496"/>
        <v>VIGENTE</v>
      </c>
      <c r="EH184" s="3"/>
      <c r="EI184" s="4">
        <v>45948</v>
      </c>
      <c r="EJ184" s="4">
        <f t="shared" si="558"/>
        <v>46313</v>
      </c>
      <c r="EK184" s="8">
        <f t="shared" ca="1" si="497"/>
        <v>168</v>
      </c>
      <c r="EL184" s="5" t="str">
        <f t="shared" ca="1" si="498"/>
        <v>VIGENTE</v>
      </c>
      <c r="EM184" s="3"/>
      <c r="EN184" s="4">
        <v>46135</v>
      </c>
      <c r="EO184" s="4">
        <f t="shared" ref="EO184:EO190" si="638">DATE(YEAR(EN184)+2,MONTH(EN184),DAY(EN184)-1)</f>
        <v>46865</v>
      </c>
      <c r="EP184" s="8">
        <f t="shared" ca="1" si="499"/>
        <v>720</v>
      </c>
      <c r="EQ184" s="5" t="str">
        <f t="shared" ca="1" si="500"/>
        <v>VIGENTE</v>
      </c>
      <c r="ER184" s="3"/>
      <c r="ES184" s="39">
        <v>46094</v>
      </c>
      <c r="ET184" s="4">
        <f t="shared" ref="ET184:ET186" si="639">DATE(YEAR(ES184)+2,MONTH(ES184),DAY(ES184))</f>
        <v>46825</v>
      </c>
      <c r="EU184" s="8">
        <f t="shared" ca="1" si="501"/>
        <v>680</v>
      </c>
      <c r="EV184" s="5" t="str">
        <f t="shared" ca="1" si="502"/>
        <v>VIGENTE</v>
      </c>
      <c r="EW184" s="3"/>
      <c r="EX184" s="4">
        <v>46070</v>
      </c>
      <c r="EY184" s="4">
        <f t="shared" si="609"/>
        <v>46800</v>
      </c>
      <c r="EZ184" s="8">
        <f t="shared" ca="1" si="503"/>
        <v>655</v>
      </c>
      <c r="FA184" s="5" t="str">
        <f t="shared" ca="1" si="504"/>
        <v>VIGENTE</v>
      </c>
      <c r="FB184" s="3"/>
      <c r="FC184" s="4">
        <v>46091</v>
      </c>
      <c r="FD184" s="4">
        <f t="shared" ref="FD184:FD186" si="640">DATE(YEAR(FC184)+2,MONTH(FC184),DAY(FC184))</f>
        <v>46822</v>
      </c>
      <c r="FE184" s="8">
        <f t="shared" ca="1" si="505"/>
        <v>677</v>
      </c>
      <c r="FF184" s="5" t="str">
        <f t="shared" ca="1" si="506"/>
        <v>VIGENTE</v>
      </c>
      <c r="FG184" s="3"/>
      <c r="FH184" s="4">
        <v>45506</v>
      </c>
      <c r="FI184" s="4">
        <f t="shared" ref="FI184:FI187" si="641">DATE(YEAR(FH184)+2,MONTH(FH184),DAY(FH184)-1)</f>
        <v>46235</v>
      </c>
      <c r="FJ184" s="8">
        <f t="shared" ca="1" si="507"/>
        <v>90</v>
      </c>
      <c r="FK184" s="5" t="str">
        <f t="shared" ca="1" si="508"/>
        <v>POR VENCER</v>
      </c>
      <c r="FL184" s="3"/>
      <c r="FM184" s="39">
        <v>46049</v>
      </c>
      <c r="FN184" s="4">
        <f t="shared" ref="FN184:FN186" si="642">DATE(YEAR(FM184)+2,MONTH(FM184),DAY(FM184))</f>
        <v>46779</v>
      </c>
      <c r="FO184" s="8">
        <f t="shared" ca="1" si="509"/>
        <v>634</v>
      </c>
      <c r="FP184" s="5" t="str">
        <f t="shared" ca="1" si="510"/>
        <v>VIGENTE</v>
      </c>
      <c r="FQ184" s="3"/>
      <c r="FR184" s="39">
        <v>46132</v>
      </c>
      <c r="FS184" s="4">
        <f t="shared" ref="FS184:FS190" si="643">DATE(YEAR(FR184)+2,MONTH(FR184),DAY(FR184)-1)</f>
        <v>46862</v>
      </c>
      <c r="FT184" s="8">
        <f t="shared" ca="1" si="511"/>
        <v>717</v>
      </c>
      <c r="FU184" s="5" t="str">
        <f t="shared" ca="1" si="512"/>
        <v>VIGENTE</v>
      </c>
      <c r="FV184" s="3"/>
      <c r="FW184" s="4">
        <v>45581</v>
      </c>
      <c r="FX184" s="4">
        <f t="shared" ref="FX184:FX188" si="644">DATE(YEAR(FW184)+2,MONTH(FW184),DAY(FW184)-1)</f>
        <v>46310</v>
      </c>
      <c r="FY184" s="8">
        <f t="shared" ca="1" si="513"/>
        <v>165</v>
      </c>
      <c r="FZ184" s="5" t="str">
        <f t="shared" ca="1" si="514"/>
        <v>VIGENTE</v>
      </c>
      <c r="GA184" s="3"/>
      <c r="GB184" s="4">
        <v>45507</v>
      </c>
      <c r="GC184" s="4">
        <f t="shared" ref="GC184:GC190" si="645">DATE(YEAR(GB184)+2,MONTH(GB184),DAY(GB184)-1)</f>
        <v>46236</v>
      </c>
      <c r="GD184" s="8">
        <f t="shared" ca="1" si="515"/>
        <v>91</v>
      </c>
      <c r="GE184" s="5" t="str">
        <f t="shared" ca="1" si="516"/>
        <v>VIGENTE</v>
      </c>
      <c r="GF184" s="3"/>
      <c r="GG184" s="4">
        <v>45472</v>
      </c>
      <c r="GH184" s="4">
        <f t="shared" ref="GH184:GH187" si="646">DATE(YEAR(GG184)+2,MONTH(GG184),DAY(GG184)-1)</f>
        <v>46201</v>
      </c>
      <c r="GI184" s="8">
        <f t="shared" ca="1" si="517"/>
        <v>56</v>
      </c>
      <c r="GJ184" s="5" t="str">
        <f t="shared" ca="1" si="518"/>
        <v>POR VENCER</v>
      </c>
      <c r="GK184" s="3"/>
      <c r="GL184" s="4">
        <v>45687</v>
      </c>
      <c r="GM184" s="4">
        <f t="shared" ref="GM184:GM189" si="647">DATE(YEAR(GL184)+2,MONTH(GL184),DAY(GL184)-1)</f>
        <v>46416</v>
      </c>
      <c r="GN184" s="8">
        <f t="shared" ca="1" si="519"/>
        <v>271</v>
      </c>
      <c r="GO184" s="5" t="str">
        <f t="shared" ca="1" si="520"/>
        <v>VIGENTE</v>
      </c>
      <c r="GP184" s="4"/>
      <c r="GQ184" s="4">
        <v>45421</v>
      </c>
      <c r="GR184" s="4">
        <f t="shared" si="521"/>
        <v>47247</v>
      </c>
      <c r="GS184" s="8">
        <f t="shared" ca="1" si="601"/>
        <v>1102</v>
      </c>
      <c r="GT184" s="5" t="str">
        <f t="shared" ca="1" si="610"/>
        <v>VIGENTE</v>
      </c>
      <c r="GU184" s="3"/>
      <c r="GV184" s="4">
        <v>45432</v>
      </c>
      <c r="GW184" s="4">
        <f t="shared" si="522"/>
        <v>47258</v>
      </c>
      <c r="GX184" s="8">
        <f t="shared" ca="1" si="523"/>
        <v>1113</v>
      </c>
      <c r="GY184" s="5" t="str">
        <f t="shared" ca="1" si="611"/>
        <v>VIGENTE</v>
      </c>
      <c r="GZ184" s="2"/>
      <c r="HA184" s="4">
        <v>45016</v>
      </c>
      <c r="HB184" s="4">
        <f t="shared" si="524"/>
        <v>46843</v>
      </c>
      <c r="HC184" s="8">
        <f t="shared" ca="1" si="525"/>
        <v>698</v>
      </c>
      <c r="HD184" s="5" t="str">
        <f t="shared" ca="1" si="612"/>
        <v>VIGENTE</v>
      </c>
      <c r="HE184" s="6"/>
      <c r="HF184" s="4">
        <v>44956</v>
      </c>
      <c r="HG184" s="4">
        <f t="shared" ref="HG184:HG189" si="648">DATE(YEAR(HF184)+5,MONTH(HF184),DAY(HF184))</f>
        <v>46782</v>
      </c>
      <c r="HH184" s="8">
        <f t="shared" ca="1" si="616"/>
        <v>637</v>
      </c>
      <c r="HI184" s="5" t="str">
        <f t="shared" ca="1" si="613"/>
        <v>VIGENTE</v>
      </c>
      <c r="HJ184" s="2"/>
      <c r="HK184" s="6"/>
      <c r="HL184" s="4"/>
      <c r="HM184" s="8"/>
      <c r="HN184" s="5" t="str">
        <f t="shared" si="444"/>
        <v>NO APLICA</v>
      </c>
      <c r="HO184" s="2"/>
      <c r="HP184" s="2"/>
      <c r="HQ184" s="4"/>
      <c r="HR184" s="2"/>
      <c r="HS184" s="5" t="str">
        <f t="shared" si="526"/>
        <v>NO APLICA</v>
      </c>
      <c r="HT184" s="3"/>
      <c r="HU184" s="4">
        <v>45420</v>
      </c>
      <c r="HV184" s="4">
        <f>DATE(YEAR(HU184)+5,MONTH(HU184),DAY(HU184))</f>
        <v>47246</v>
      </c>
      <c r="HW184" s="8">
        <f ca="1">HV184-TODAY()</f>
        <v>1101</v>
      </c>
      <c r="HX184" s="5" t="str">
        <f t="shared" ca="1" si="527"/>
        <v>VIGENTE</v>
      </c>
      <c r="HY184" s="3"/>
      <c r="HZ184" s="4">
        <v>45447</v>
      </c>
      <c r="IA184" s="4">
        <f>DATE(YEAR(HZ184)+5,MONTH(HZ184),DAY(HZ184))</f>
        <v>47273</v>
      </c>
      <c r="IB184" s="8">
        <f ca="1">IA184-TODAY()</f>
        <v>1128</v>
      </c>
      <c r="IC184" s="5" t="str">
        <f t="shared" ca="1" si="528"/>
        <v>VIGENTE</v>
      </c>
      <c r="ID184" s="3"/>
      <c r="IE184" s="4">
        <v>45444</v>
      </c>
      <c r="IF184" s="4">
        <f>DATE(YEAR(IE184)+5,MONTH(IE184),DAY(IE184))</f>
        <v>47270</v>
      </c>
      <c r="IG184" s="8">
        <f ca="1">IF184-TODAY()</f>
        <v>1125</v>
      </c>
      <c r="IH184" s="5" t="str">
        <f t="shared" ca="1" si="529"/>
        <v>VIGENTE</v>
      </c>
      <c r="II184" s="4"/>
      <c r="IJ184" s="4">
        <v>45449</v>
      </c>
      <c r="IK184" s="4">
        <f>DATE(YEAR(IJ184)+5,MONTH(IJ184),DAY(IJ184))</f>
        <v>47275</v>
      </c>
      <c r="IL184" s="8">
        <f ca="1">IK184-TODAY()</f>
        <v>1130</v>
      </c>
      <c r="IM184" s="5" t="str">
        <f t="shared" ca="1" si="530"/>
        <v>VIGENTE</v>
      </c>
      <c r="IN184" s="2"/>
      <c r="IO184" s="4">
        <v>45064</v>
      </c>
      <c r="IP184" s="4">
        <f>DATE(YEAR(IO184)+5,MONTH(IO184),DAY(IO184))</f>
        <v>46891</v>
      </c>
      <c r="IQ184" s="8">
        <f ca="1">IP184-TODAY()</f>
        <v>746</v>
      </c>
      <c r="IR184" s="5" t="str">
        <f t="shared" ca="1" si="531"/>
        <v>VIGENTE</v>
      </c>
      <c r="IS184" s="3"/>
      <c r="IT184" s="4">
        <v>45423</v>
      </c>
      <c r="IU184" s="4">
        <f t="shared" ref="IU184:IU188" si="649">DATE(YEAR(IT184)+5,MONTH(IT184),DAY(IT184))</f>
        <v>47249</v>
      </c>
      <c r="IV184" s="8">
        <f t="shared" ca="1" si="617"/>
        <v>1104</v>
      </c>
      <c r="IW184" s="5" t="str">
        <f t="shared" ca="1" si="532"/>
        <v>VIGENTE</v>
      </c>
      <c r="IX184" s="2"/>
      <c r="IY184" s="4">
        <v>44973</v>
      </c>
      <c r="IZ184" s="4">
        <f t="shared" ref="IZ184:IZ188" si="650">DATE(YEAR(IY184)+5,MONTH(IY184),DAY(IY184))</f>
        <v>46799</v>
      </c>
      <c r="JA184" s="8">
        <f t="shared" ca="1" si="618"/>
        <v>654</v>
      </c>
      <c r="JB184" s="5" t="str">
        <f t="shared" ca="1" si="533"/>
        <v>VIGENTE</v>
      </c>
      <c r="JC184" s="3" t="s">
        <v>780</v>
      </c>
      <c r="JD184" s="3"/>
      <c r="JE184" s="4"/>
      <c r="JF184" s="8"/>
      <c r="JG184" s="5"/>
      <c r="JH184" s="3" t="s">
        <v>780</v>
      </c>
      <c r="JI184" s="6"/>
      <c r="JJ184" s="6"/>
      <c r="JK184" s="6"/>
      <c r="JL184" s="5"/>
      <c r="JM184" s="6" t="s">
        <v>780</v>
      </c>
      <c r="JN184" s="6"/>
      <c r="JO184" s="6"/>
      <c r="JP184" s="6"/>
      <c r="JQ184" s="5"/>
      <c r="JR184" s="6" t="s">
        <v>780</v>
      </c>
      <c r="JS184" s="6"/>
      <c r="JT184" s="6"/>
      <c r="JU184" s="6"/>
      <c r="JV184" s="5"/>
      <c r="JW184" s="6" t="s">
        <v>780</v>
      </c>
      <c r="JX184" s="5"/>
      <c r="JY184" s="5"/>
      <c r="JZ184" s="5"/>
      <c r="KA184" s="5"/>
      <c r="KB184" s="5"/>
      <c r="KC184" s="2"/>
      <c r="KD184" s="4"/>
      <c r="KE184" s="8"/>
      <c r="KF184" s="5" t="str">
        <f t="shared" si="534"/>
        <v>NO APLICA</v>
      </c>
      <c r="KG184" s="5"/>
      <c r="KH184" s="2"/>
      <c r="KI184" s="4"/>
      <c r="KJ184" s="8"/>
      <c r="KK184" s="5" t="str">
        <f t="shared" si="559"/>
        <v>NO APLICA</v>
      </c>
      <c r="KL184" s="5"/>
      <c r="KM184" s="2"/>
      <c r="KN184" s="4"/>
      <c r="KO184" s="8"/>
      <c r="KP184" s="5" t="str">
        <f t="shared" si="535"/>
        <v>NO APLICA</v>
      </c>
      <c r="KQ184" s="5"/>
      <c r="KR184" s="2"/>
      <c r="KS184" s="4"/>
      <c r="KT184" s="8"/>
      <c r="KU184" s="5" t="str">
        <f t="shared" si="560"/>
        <v>NO APLICA</v>
      </c>
      <c r="KV184" s="2"/>
      <c r="KW184" s="6"/>
      <c r="KX184" s="4"/>
      <c r="KY184" s="8"/>
      <c r="KZ184" s="5" t="str">
        <f t="shared" si="565"/>
        <v>NO APLICA</v>
      </c>
      <c r="LA184" s="5"/>
      <c r="LB184" s="6"/>
      <c r="LC184" s="4"/>
      <c r="LD184" s="8"/>
      <c r="LE184" s="5" t="str">
        <f t="shared" si="561"/>
        <v>NO APLICA</v>
      </c>
      <c r="LF184" s="6"/>
      <c r="LG184" s="6"/>
      <c r="LH184" s="4"/>
      <c r="LI184" s="8"/>
      <c r="LJ184" s="5" t="str">
        <f t="shared" si="600"/>
        <v>NO APLICA</v>
      </c>
      <c r="LK184" s="5"/>
      <c r="LL184" s="5"/>
      <c r="LM184" s="5"/>
      <c r="LN184" s="5"/>
      <c r="LO184" s="5" t="str">
        <f t="shared" si="566"/>
        <v>NO APLICA</v>
      </c>
      <c r="LP184" s="2"/>
      <c r="LQ184" s="6"/>
      <c r="LR184" s="4"/>
      <c r="LS184" s="8"/>
      <c r="LT184" s="5" t="str">
        <f t="shared" si="562"/>
        <v>NO APLICA</v>
      </c>
      <c r="LU184" s="6"/>
      <c r="LV184" s="6"/>
      <c r="LW184" s="4"/>
      <c r="LX184" s="8"/>
      <c r="LY184" s="5" t="str">
        <f t="shared" si="563"/>
        <v>NO APLICA</v>
      </c>
      <c r="LZ184" s="6"/>
      <c r="MA184" s="6"/>
      <c r="MB184" s="4"/>
      <c r="MC184" s="8"/>
      <c r="MD184" s="5" t="str">
        <f t="shared" si="564"/>
        <v>NO APLICA</v>
      </c>
      <c r="ME184" s="2"/>
      <c r="MF184" s="2"/>
      <c r="MG184" s="4"/>
      <c r="MH184" s="2"/>
      <c r="MI184" s="5" t="str">
        <f t="shared" si="537"/>
        <v>NO APLICA</v>
      </c>
      <c r="MJ184" s="2"/>
      <c r="MK184" s="2"/>
      <c r="ML184" s="4"/>
      <c r="MM184" s="8"/>
      <c r="MN184" s="5" t="str">
        <f t="shared" si="538"/>
        <v>NO APLICA</v>
      </c>
      <c r="MO184" s="5"/>
      <c r="MP184" s="2"/>
      <c r="MQ184" s="4"/>
      <c r="MR184" s="8"/>
      <c r="MS184" s="5" t="str">
        <f t="shared" si="539"/>
        <v>NO APLICA</v>
      </c>
      <c r="MT184" s="5"/>
      <c r="MU184" s="2"/>
      <c r="MV184" s="4"/>
      <c r="MW184" s="2"/>
      <c r="MX184" s="5" t="str">
        <f t="shared" si="540"/>
        <v>NO APLICA</v>
      </c>
      <c r="MY184" s="2"/>
      <c r="MZ184" s="6"/>
      <c r="NA184" s="4"/>
      <c r="NB184" s="8"/>
      <c r="NC184" s="5" t="str">
        <f t="shared" si="541"/>
        <v>NO APLICA</v>
      </c>
      <c r="ND184" s="2"/>
      <c r="NE184" s="6"/>
      <c r="NF184" s="4"/>
      <c r="NG184" s="8"/>
      <c r="NH184" s="5" t="str">
        <f t="shared" si="542"/>
        <v>NO APLICA</v>
      </c>
      <c r="NI184" s="2"/>
      <c r="NJ184" s="6"/>
      <c r="NK184" s="4"/>
      <c r="NL184" s="8"/>
      <c r="NM184" s="5" t="str">
        <f t="shared" si="543"/>
        <v>NO APLICA</v>
      </c>
      <c r="NN184" s="2"/>
      <c r="NO184" s="2"/>
      <c r="NP184" s="4"/>
      <c r="NQ184" s="2"/>
      <c r="NR184" s="5" t="str">
        <f t="shared" si="544"/>
        <v>NO APLICA</v>
      </c>
      <c r="NS184" s="2"/>
      <c r="NT184" s="2"/>
      <c r="NU184" s="4"/>
      <c r="NV184" s="2"/>
      <c r="NW184" s="5" t="str">
        <f t="shared" si="545"/>
        <v>NO APLICA</v>
      </c>
      <c r="NX184" s="6"/>
      <c r="NY184" s="6"/>
      <c r="NZ184" s="4"/>
      <c r="OA184" s="8"/>
      <c r="OB184" s="5" t="str">
        <f t="shared" si="546"/>
        <v>NO APLICA</v>
      </c>
      <c r="OC184" s="6"/>
      <c r="OD184" s="6"/>
      <c r="OE184" s="6"/>
      <c r="OF184" s="6"/>
      <c r="OG184" s="5" t="str">
        <f t="shared" si="547"/>
        <v>NO APLICA</v>
      </c>
      <c r="OH184" s="6"/>
      <c r="OI184" s="6"/>
      <c r="OJ184" s="4"/>
      <c r="OK184" s="8"/>
      <c r="OL184" s="5" t="str">
        <f t="shared" si="548"/>
        <v>NO APLICA</v>
      </c>
      <c r="OM184" s="6"/>
      <c r="ON184" s="6"/>
      <c r="OO184" s="6"/>
      <c r="OP184" s="6"/>
      <c r="OQ184" s="5" t="str">
        <f t="shared" si="549"/>
        <v>NO APLICA</v>
      </c>
      <c r="OR184" s="6"/>
      <c r="OS184" s="6"/>
      <c r="OT184" s="6"/>
      <c r="OU184" s="6"/>
      <c r="OV184" s="5" t="str">
        <f t="shared" si="550"/>
        <v>NO APLICA</v>
      </c>
      <c r="OW184" s="6"/>
      <c r="OX184" s="6"/>
      <c r="OY184" s="6"/>
      <c r="OZ184" s="6"/>
      <c r="PA184" s="5" t="str">
        <f t="shared" si="551"/>
        <v>NO APLICA</v>
      </c>
      <c r="PB184" s="6"/>
      <c r="PC184" s="6"/>
      <c r="PD184" s="6"/>
      <c r="PE184" s="6"/>
      <c r="PF184" s="5" t="str">
        <f t="shared" si="552"/>
        <v>NO APLICA</v>
      </c>
      <c r="PG184" s="6"/>
      <c r="PH184" s="6"/>
      <c r="PI184" s="6"/>
      <c r="PJ184" s="6"/>
      <c r="PK184" s="5" t="str">
        <f t="shared" si="553"/>
        <v>NO APLICA</v>
      </c>
      <c r="PL184" s="5"/>
      <c r="PM184" s="6"/>
      <c r="PN184" s="4"/>
      <c r="PO184" s="8"/>
      <c r="PP184" s="5" t="str">
        <f t="shared" si="554"/>
        <v>NO APLICA</v>
      </c>
      <c r="PQ184" s="6"/>
      <c r="PR184" s="6"/>
      <c r="PS184" s="6"/>
      <c r="PT184" s="6"/>
      <c r="PU184" s="5" t="str">
        <f t="shared" si="555"/>
        <v>NO APLICA</v>
      </c>
      <c r="PV184" s="5"/>
      <c r="PW184" s="6"/>
      <c r="PX184" s="6"/>
      <c r="PY184" s="6"/>
      <c r="PZ184" s="5" t="str">
        <f t="shared" si="556"/>
        <v>NO APLICA</v>
      </c>
    </row>
    <row r="185" spans="1:442" ht="15.6" hidden="1" thickTop="1" thickBot="1" x14ac:dyDescent="0.35">
      <c r="A185" s="26">
        <v>182</v>
      </c>
      <c r="B185" s="27">
        <v>1378</v>
      </c>
      <c r="C185" s="28" t="s">
        <v>581</v>
      </c>
      <c r="D185" s="29" t="s">
        <v>68</v>
      </c>
      <c r="E185" s="30" t="s">
        <v>73</v>
      </c>
      <c r="F185" s="5"/>
      <c r="G185" s="6"/>
      <c r="H185" s="4"/>
      <c r="I185" s="8"/>
      <c r="J185" s="5" t="str">
        <f t="shared" si="455"/>
        <v>NO APLICA</v>
      </c>
      <c r="K185" s="5"/>
      <c r="L185" s="6"/>
      <c r="M185" s="6"/>
      <c r="N185" s="8"/>
      <c r="O185" s="5" t="str">
        <f t="shared" si="456"/>
        <v>NO APLICA</v>
      </c>
      <c r="P185" s="6"/>
      <c r="Q185" s="6"/>
      <c r="R185" s="4"/>
      <c r="S185" s="8"/>
      <c r="T185" s="5" t="str">
        <f t="shared" si="557"/>
        <v>NO APLICA</v>
      </c>
      <c r="U185" s="5"/>
      <c r="V185" s="2" t="s">
        <v>582</v>
      </c>
      <c r="W185" s="4">
        <v>44590</v>
      </c>
      <c r="X185" s="4">
        <f t="shared" si="587"/>
        <v>46416</v>
      </c>
      <c r="Y185" s="8">
        <f t="shared" ca="1" si="588"/>
        <v>271</v>
      </c>
      <c r="Z185" s="5" t="str">
        <f t="shared" ca="1" si="605"/>
        <v>VIGENTE</v>
      </c>
      <c r="AA185" s="5"/>
      <c r="AB185" s="2" t="s">
        <v>583</v>
      </c>
      <c r="AC185" s="4">
        <v>44824</v>
      </c>
      <c r="AD185" s="4">
        <f t="shared" si="619"/>
        <v>46650</v>
      </c>
      <c r="AE185" s="8">
        <f t="shared" ca="1" si="614"/>
        <v>505</v>
      </c>
      <c r="AF185" s="5" t="str">
        <f t="shared" ca="1" si="457"/>
        <v>VIGENTE</v>
      </c>
      <c r="AG185" s="3"/>
      <c r="AH185" s="4">
        <v>46002</v>
      </c>
      <c r="AI185" s="4">
        <f t="shared" ref="AI185:AI186" si="651">DATE(YEAR(AH185)+2,MONTH(AH185),DAY(AH185))</f>
        <v>46732</v>
      </c>
      <c r="AJ185" s="8">
        <f t="shared" ca="1" si="458"/>
        <v>587</v>
      </c>
      <c r="AK185" s="5" t="str">
        <f t="shared" ca="1" si="602"/>
        <v>VIGENTE</v>
      </c>
      <c r="AL185" s="3"/>
      <c r="AM185" s="4">
        <v>45959</v>
      </c>
      <c r="AN185" s="4">
        <f t="shared" si="621"/>
        <v>46689</v>
      </c>
      <c r="AO185" s="8">
        <f t="shared" ca="1" si="459"/>
        <v>544</v>
      </c>
      <c r="AP185" s="5" t="str">
        <f t="shared" ca="1" si="460"/>
        <v>VIGENTE</v>
      </c>
      <c r="AQ185" s="3"/>
      <c r="AR185" s="4">
        <v>45967</v>
      </c>
      <c r="AS185" s="4">
        <f t="shared" ref="AS185:AS186" si="652">DATE(YEAR(AR185)+2,MONTH(AR185),DAY(AR185))</f>
        <v>46697</v>
      </c>
      <c r="AT185" s="8">
        <f t="shared" ca="1" si="461"/>
        <v>552</v>
      </c>
      <c r="AU185" s="5" t="str">
        <f t="shared" ca="1" si="462"/>
        <v>VIGENTE</v>
      </c>
      <c r="AV185" s="3"/>
      <c r="AW185" s="4">
        <v>45972</v>
      </c>
      <c r="AX185" s="4">
        <f>DATE(YEAR(AW185)+2,MONTH(AW185),DAY(AW185))</f>
        <v>46702</v>
      </c>
      <c r="AY185" s="8">
        <f t="shared" ca="1" si="463"/>
        <v>557</v>
      </c>
      <c r="AZ185" s="5" t="str">
        <f t="shared" ca="1" si="464"/>
        <v>VIGENTE</v>
      </c>
      <c r="BA185" s="3"/>
      <c r="BB185" s="4">
        <v>45930</v>
      </c>
      <c r="BC185" s="4">
        <f t="shared" ref="BC185:BC186" si="653">DATE(YEAR(BB185)+2,MONTH(BB185),DAY(BB185))</f>
        <v>46660</v>
      </c>
      <c r="BD185" s="8">
        <f t="shared" ca="1" si="465"/>
        <v>515</v>
      </c>
      <c r="BE185" s="5" t="str">
        <f t="shared" ca="1" si="466"/>
        <v>VIGENTE</v>
      </c>
      <c r="BF185" s="3"/>
      <c r="BG185" s="4">
        <v>45987</v>
      </c>
      <c r="BH185" s="4">
        <f t="shared" si="615"/>
        <v>46717</v>
      </c>
      <c r="BI185" s="8">
        <f t="shared" ca="1" si="467"/>
        <v>572</v>
      </c>
      <c r="BJ185" s="5" t="str">
        <f t="shared" ca="1" si="468"/>
        <v>VIGENTE</v>
      </c>
      <c r="BK185" s="3"/>
      <c r="BL185" s="4">
        <v>46051</v>
      </c>
      <c r="BM185" s="4">
        <f t="shared" si="625"/>
        <v>46781</v>
      </c>
      <c r="BN185" s="8">
        <f t="shared" ca="1" si="469"/>
        <v>636</v>
      </c>
      <c r="BO185" s="5" t="str">
        <f t="shared" ca="1" si="470"/>
        <v>VIGENTE</v>
      </c>
      <c r="BP185" s="3"/>
      <c r="BQ185" s="39">
        <v>45841</v>
      </c>
      <c r="BR185" s="4">
        <f>DATE(YEAR(BQ185)+2,MONTH(BQ185),DAY(BQ185))</f>
        <v>46571</v>
      </c>
      <c r="BS185" s="8">
        <f t="shared" ca="1" si="471"/>
        <v>426</v>
      </c>
      <c r="BT185" s="5" t="str">
        <f t="shared" ca="1" si="472"/>
        <v>VIGENTE</v>
      </c>
      <c r="BU185" s="3"/>
      <c r="BV185" s="4">
        <v>45950</v>
      </c>
      <c r="BW185" s="4">
        <f t="shared" ref="BW185:BW186" si="654">DATE(YEAR(BV185)+2,MONTH(BV185),DAY(BV185))</f>
        <v>46680</v>
      </c>
      <c r="BX185" s="8">
        <f t="shared" ca="1" si="473"/>
        <v>535</v>
      </c>
      <c r="BY185" s="5" t="str">
        <f t="shared" ca="1" si="474"/>
        <v>VIGENTE</v>
      </c>
      <c r="BZ185" s="3"/>
      <c r="CA185" s="4">
        <v>45954</v>
      </c>
      <c r="CB185" s="4">
        <f t="shared" ref="CB185:CB186" si="655">DATE(YEAR(CA185)+2,MONTH(CA185),DAY(CA185))</f>
        <v>46684</v>
      </c>
      <c r="CC185" s="8">
        <f t="shared" ca="1" si="475"/>
        <v>539</v>
      </c>
      <c r="CD185" s="5" t="str">
        <f t="shared" ca="1" si="476"/>
        <v>VIGENTE</v>
      </c>
      <c r="CE185" s="6"/>
      <c r="CF185" s="4">
        <v>45247</v>
      </c>
      <c r="CG185" s="4">
        <f t="shared" si="590"/>
        <v>46708</v>
      </c>
      <c r="CH185" s="8">
        <f t="shared" ca="1" si="591"/>
        <v>563</v>
      </c>
      <c r="CI185" s="5" t="str">
        <f t="shared" ca="1" si="573"/>
        <v>VIGENTE</v>
      </c>
      <c r="CJ185" s="4"/>
      <c r="CK185" s="4">
        <v>45688</v>
      </c>
      <c r="CL185" s="4">
        <f t="shared" si="629"/>
        <v>46417</v>
      </c>
      <c r="CM185" s="8">
        <f t="shared" ca="1" si="477"/>
        <v>272</v>
      </c>
      <c r="CN185" s="5" t="str">
        <f t="shared" ca="1" si="478"/>
        <v>VIGENTE</v>
      </c>
      <c r="CO185" s="3"/>
      <c r="CP185" s="39">
        <v>45979</v>
      </c>
      <c r="CQ185" s="4">
        <f t="shared" ref="CQ185:CQ186" si="656">DATE(YEAR(CP185)+2,MONTH(CP185),DAY(CP185))</f>
        <v>46709</v>
      </c>
      <c r="CR185" s="8">
        <f t="shared" ca="1" si="479"/>
        <v>564</v>
      </c>
      <c r="CS185" s="5" t="str">
        <f t="shared" ca="1" si="480"/>
        <v>VIGENTE</v>
      </c>
      <c r="CT185" s="3"/>
      <c r="CU185" s="4">
        <v>45639</v>
      </c>
      <c r="CV185" s="4">
        <f t="shared" si="631"/>
        <v>46368</v>
      </c>
      <c r="CW185" s="8">
        <f t="shared" ca="1" si="481"/>
        <v>223</v>
      </c>
      <c r="CX185" s="5" t="str">
        <f t="shared" ca="1" si="482"/>
        <v>VIGENTE</v>
      </c>
      <c r="CY185" s="3"/>
      <c r="CZ185" s="4">
        <v>45665</v>
      </c>
      <c r="DA185" s="4">
        <f t="shared" si="632"/>
        <v>46394</v>
      </c>
      <c r="DB185" s="8">
        <f t="shared" ca="1" si="483"/>
        <v>249</v>
      </c>
      <c r="DC185" s="5" t="str">
        <f t="shared" ca="1" si="484"/>
        <v>VIGENTE</v>
      </c>
      <c r="DD185" s="3"/>
      <c r="DE185" s="39">
        <v>45689</v>
      </c>
      <c r="DF185" s="4">
        <f t="shared" si="633"/>
        <v>46418</v>
      </c>
      <c r="DG185" s="8">
        <f t="shared" ca="1" si="485"/>
        <v>273</v>
      </c>
      <c r="DH185" s="5" t="str">
        <f t="shared" ca="1" si="486"/>
        <v>VIGENTE</v>
      </c>
      <c r="DI185" s="3"/>
      <c r="DJ185" s="39">
        <v>45955</v>
      </c>
      <c r="DK185" s="4">
        <f t="shared" si="634"/>
        <v>46685</v>
      </c>
      <c r="DL185" s="8">
        <f t="shared" ca="1" si="487"/>
        <v>540</v>
      </c>
      <c r="DM185" s="5" t="str">
        <f t="shared" ca="1" si="488"/>
        <v>VIGENTE</v>
      </c>
      <c r="DN185" s="3"/>
      <c r="DO185" s="4">
        <v>45473</v>
      </c>
      <c r="DP185" s="4">
        <f t="shared" si="635"/>
        <v>46202</v>
      </c>
      <c r="DQ185" s="8">
        <f t="shared" ca="1" si="489"/>
        <v>57</v>
      </c>
      <c r="DR185" s="5" t="str">
        <f t="shared" ca="1" si="490"/>
        <v>POR VENCER</v>
      </c>
      <c r="DS185" s="3"/>
      <c r="DT185" s="4">
        <v>46018</v>
      </c>
      <c r="DU185" s="4">
        <f>DATE(YEAR(DT185)+2,MONTH(DT185),DAY(DT185))</f>
        <v>46748</v>
      </c>
      <c r="DV185" s="8">
        <f t="shared" ca="1" si="491"/>
        <v>603</v>
      </c>
      <c r="DW185" s="5" t="str">
        <f t="shared" ca="1" si="492"/>
        <v>VIGENTE</v>
      </c>
      <c r="DX185" s="3"/>
      <c r="DY185" s="4">
        <v>46020</v>
      </c>
      <c r="DZ185" s="4">
        <f t="shared" ref="DZ185:DZ186" si="657">DATE(YEAR(DY185)+2,MONTH(DY185),DAY(DY185))</f>
        <v>46750</v>
      </c>
      <c r="EA185" s="8">
        <f t="shared" ca="1" si="493"/>
        <v>605</v>
      </c>
      <c r="EB185" s="5" t="str">
        <f t="shared" ca="1" si="494"/>
        <v>VIGENTE</v>
      </c>
      <c r="EC185" s="3"/>
      <c r="ED185" s="39">
        <v>45938</v>
      </c>
      <c r="EE185" s="4">
        <f t="shared" si="637"/>
        <v>46668</v>
      </c>
      <c r="EF185" s="8">
        <f t="shared" ca="1" si="495"/>
        <v>523</v>
      </c>
      <c r="EG185" s="5" t="str">
        <f t="shared" ca="1" si="496"/>
        <v>VIGENTE</v>
      </c>
      <c r="EH185" s="3"/>
      <c r="EI185" s="4">
        <v>45948</v>
      </c>
      <c r="EJ185" s="4">
        <f t="shared" si="558"/>
        <v>46313</v>
      </c>
      <c r="EK185" s="8">
        <f t="shared" ca="1" si="497"/>
        <v>168</v>
      </c>
      <c r="EL185" s="5" t="str">
        <f t="shared" ca="1" si="498"/>
        <v>VIGENTE</v>
      </c>
      <c r="EM185" s="3"/>
      <c r="EN185" s="4">
        <v>45940</v>
      </c>
      <c r="EO185" s="4">
        <f t="shared" ref="EO185:EO186" si="658">DATE(YEAR(EN185)+2,MONTH(EN185),DAY(EN185))</f>
        <v>46670</v>
      </c>
      <c r="EP185" s="8">
        <f t="shared" ca="1" si="499"/>
        <v>525</v>
      </c>
      <c r="EQ185" s="5" t="str">
        <f t="shared" ca="1" si="500"/>
        <v>VIGENTE</v>
      </c>
      <c r="ER185" s="3"/>
      <c r="ES185" s="39">
        <v>45824</v>
      </c>
      <c r="ET185" s="4">
        <f t="shared" si="639"/>
        <v>46554</v>
      </c>
      <c r="EU185" s="8">
        <f t="shared" ca="1" si="501"/>
        <v>409</v>
      </c>
      <c r="EV185" s="5" t="str">
        <f t="shared" ca="1" si="502"/>
        <v>VIGENTE</v>
      </c>
      <c r="EW185" s="3"/>
      <c r="EX185" s="4">
        <v>45953</v>
      </c>
      <c r="EY185" s="4">
        <f t="shared" si="609"/>
        <v>46683</v>
      </c>
      <c r="EZ185" s="8">
        <f t="shared" ca="1" si="503"/>
        <v>538</v>
      </c>
      <c r="FA185" s="5" t="str">
        <f t="shared" ca="1" si="504"/>
        <v>VIGENTE</v>
      </c>
      <c r="FB185" s="3"/>
      <c r="FC185" s="4">
        <v>45951</v>
      </c>
      <c r="FD185" s="4">
        <f t="shared" si="640"/>
        <v>46681</v>
      </c>
      <c r="FE185" s="8">
        <f t="shared" ca="1" si="505"/>
        <v>536</v>
      </c>
      <c r="FF185" s="5" t="str">
        <f t="shared" ca="1" si="506"/>
        <v>VIGENTE</v>
      </c>
      <c r="FG185" s="3"/>
      <c r="FH185" s="4">
        <v>46009</v>
      </c>
      <c r="FI185" s="4">
        <f t="shared" ref="FI185:FI186" si="659">DATE(YEAR(FH185)+2,MONTH(FH185),DAY(FH185))</f>
        <v>46739</v>
      </c>
      <c r="FJ185" s="8">
        <f t="shared" ca="1" si="507"/>
        <v>594</v>
      </c>
      <c r="FK185" s="5" t="str">
        <f t="shared" ca="1" si="508"/>
        <v>VIGENTE</v>
      </c>
      <c r="FL185" s="3"/>
      <c r="FM185" s="39">
        <v>45920</v>
      </c>
      <c r="FN185" s="4">
        <f t="shared" si="642"/>
        <v>46650</v>
      </c>
      <c r="FO185" s="8">
        <f t="shared" ca="1" si="509"/>
        <v>505</v>
      </c>
      <c r="FP185" s="5" t="str">
        <f t="shared" ca="1" si="510"/>
        <v>VIGENTE</v>
      </c>
      <c r="FQ185" s="3"/>
      <c r="FR185" s="39">
        <v>45957</v>
      </c>
      <c r="FS185" s="4">
        <f t="shared" ref="FS185:FS186" si="660">DATE(YEAR(FR185)+2,MONTH(FR185),DAY(FR185))</f>
        <v>46687</v>
      </c>
      <c r="FT185" s="8">
        <f t="shared" ca="1" si="511"/>
        <v>542</v>
      </c>
      <c r="FU185" s="5" t="str">
        <f t="shared" ca="1" si="512"/>
        <v>VIGENTE</v>
      </c>
      <c r="FV185" s="3"/>
      <c r="FW185" s="4">
        <v>45547</v>
      </c>
      <c r="FX185" s="4">
        <f t="shared" si="644"/>
        <v>46276</v>
      </c>
      <c r="FY185" s="8">
        <f t="shared" ca="1" si="513"/>
        <v>131</v>
      </c>
      <c r="FZ185" s="5" t="str">
        <f t="shared" ca="1" si="514"/>
        <v>VIGENTE</v>
      </c>
      <c r="GA185" s="3"/>
      <c r="GB185" s="4">
        <v>45925</v>
      </c>
      <c r="GC185" s="4">
        <f t="shared" ref="GC185:GC186" si="661">DATE(YEAR(GB185)+2,MONTH(GB185),DAY(GB185))</f>
        <v>46655</v>
      </c>
      <c r="GD185" s="8">
        <f t="shared" ca="1" si="515"/>
        <v>510</v>
      </c>
      <c r="GE185" s="5" t="str">
        <f t="shared" ca="1" si="516"/>
        <v>VIGENTE</v>
      </c>
      <c r="GF185" s="3"/>
      <c r="GG185" s="4">
        <v>45912</v>
      </c>
      <c r="GH185" s="4">
        <f t="shared" ref="GH185:GH186" si="662">DATE(YEAR(GG185)+2,MONTH(GG185),DAY(GG185))</f>
        <v>46642</v>
      </c>
      <c r="GI185" s="8">
        <f t="shared" ca="1" si="517"/>
        <v>497</v>
      </c>
      <c r="GJ185" s="5" t="str">
        <f t="shared" ca="1" si="518"/>
        <v>VIGENTE</v>
      </c>
      <c r="GK185" s="3"/>
      <c r="GL185" s="4">
        <v>45923</v>
      </c>
      <c r="GM185" s="4">
        <f t="shared" ref="GM185:GM186" si="663">DATE(YEAR(GL185)+2,MONTH(GL185),DAY(GL185))</f>
        <v>46653</v>
      </c>
      <c r="GN185" s="8">
        <f t="shared" ca="1" si="519"/>
        <v>508</v>
      </c>
      <c r="GO185" s="5" t="str">
        <f t="shared" ca="1" si="520"/>
        <v>VIGENTE</v>
      </c>
      <c r="GP185" s="4"/>
      <c r="GQ185" s="4">
        <v>45299</v>
      </c>
      <c r="GR185" s="4">
        <f t="shared" si="521"/>
        <v>47126</v>
      </c>
      <c r="GS185" s="8">
        <f t="shared" ca="1" si="601"/>
        <v>981</v>
      </c>
      <c r="GT185" s="5" t="str">
        <f t="shared" ca="1" si="610"/>
        <v>VIGENTE</v>
      </c>
      <c r="GU185" s="3"/>
      <c r="GV185" s="4">
        <v>45200</v>
      </c>
      <c r="GW185" s="4">
        <f t="shared" si="522"/>
        <v>47027</v>
      </c>
      <c r="GX185" s="8">
        <f t="shared" ca="1" si="523"/>
        <v>882</v>
      </c>
      <c r="GY185" s="5" t="str">
        <f t="shared" ca="1" si="611"/>
        <v>VIGENTE</v>
      </c>
      <c r="GZ185" s="3"/>
      <c r="HA185" s="4">
        <v>45258</v>
      </c>
      <c r="HB185" s="4">
        <f t="shared" si="524"/>
        <v>47085</v>
      </c>
      <c r="HC185" s="8">
        <f t="shared" ca="1" si="525"/>
        <v>940</v>
      </c>
      <c r="HD185" s="5" t="str">
        <f t="shared" ca="1" si="612"/>
        <v>VIGENTE</v>
      </c>
      <c r="HE185" s="6"/>
      <c r="HF185" s="4">
        <v>44921</v>
      </c>
      <c r="HG185" s="4">
        <f t="shared" si="648"/>
        <v>46747</v>
      </c>
      <c r="HH185" s="8">
        <f t="shared" ca="1" si="616"/>
        <v>602</v>
      </c>
      <c r="HI185" s="5" t="str">
        <f t="shared" ca="1" si="613"/>
        <v>VIGENTE</v>
      </c>
      <c r="HJ185" s="2"/>
      <c r="HK185" s="6"/>
      <c r="HL185" s="4"/>
      <c r="HM185" s="8"/>
      <c r="HN185" s="5" t="str">
        <f t="shared" si="444"/>
        <v>NO APLICA</v>
      </c>
      <c r="HO185" s="2"/>
      <c r="HP185" s="2"/>
      <c r="HQ185" s="4"/>
      <c r="HR185" s="2"/>
      <c r="HS185" s="5" t="str">
        <f t="shared" si="526"/>
        <v>NO APLICA</v>
      </c>
      <c r="HT185" s="2"/>
      <c r="HU185" s="6"/>
      <c r="HV185" s="4"/>
      <c r="HW185" s="8"/>
      <c r="HX185" s="5" t="str">
        <f t="shared" si="527"/>
        <v>NO APLICA</v>
      </c>
      <c r="HY185" s="2"/>
      <c r="HZ185" s="6"/>
      <c r="IA185" s="4"/>
      <c r="IB185" s="8"/>
      <c r="IC185" s="5" t="str">
        <f t="shared" si="528"/>
        <v>NO APLICA</v>
      </c>
      <c r="ID185" s="2"/>
      <c r="IE185" s="6"/>
      <c r="IF185" s="4"/>
      <c r="IG185" s="8"/>
      <c r="IH185" s="5" t="str">
        <f t="shared" si="529"/>
        <v>NO APLICA</v>
      </c>
      <c r="II185" s="6"/>
      <c r="IJ185" s="6"/>
      <c r="IK185" s="4"/>
      <c r="IL185" s="8"/>
      <c r="IM185" s="5" t="str">
        <f t="shared" si="530"/>
        <v>NO APLICA</v>
      </c>
      <c r="IN185" s="2"/>
      <c r="IO185" s="6"/>
      <c r="IP185" s="4"/>
      <c r="IQ185" s="8"/>
      <c r="IR185" s="5" t="str">
        <f t="shared" si="531"/>
        <v>NO APLICA</v>
      </c>
      <c r="IS185" s="2"/>
      <c r="IT185" s="4">
        <v>45350</v>
      </c>
      <c r="IU185" s="4">
        <f t="shared" si="649"/>
        <v>47177</v>
      </c>
      <c r="IV185" s="8">
        <f t="shared" ca="1" si="617"/>
        <v>1032</v>
      </c>
      <c r="IW185" s="5" t="str">
        <f t="shared" ca="1" si="532"/>
        <v>VIGENTE</v>
      </c>
      <c r="IX185" s="2"/>
      <c r="IY185" s="4">
        <v>45339</v>
      </c>
      <c r="IZ185" s="4">
        <f t="shared" si="650"/>
        <v>47166</v>
      </c>
      <c r="JA185" s="8">
        <f t="shared" ca="1" si="618"/>
        <v>1021</v>
      </c>
      <c r="JB185" s="5" t="str">
        <f t="shared" ca="1" si="533"/>
        <v>VIGENTE</v>
      </c>
      <c r="JC185" s="3" t="s">
        <v>780</v>
      </c>
      <c r="JD185" s="3"/>
      <c r="JE185" s="4"/>
      <c r="JF185" s="8"/>
      <c r="JG185" s="5"/>
      <c r="JH185" s="3" t="s">
        <v>780</v>
      </c>
      <c r="JI185" s="6"/>
      <c r="JJ185" s="6"/>
      <c r="JK185" s="6"/>
      <c r="JL185" s="5"/>
      <c r="JM185" s="6" t="s">
        <v>780</v>
      </c>
      <c r="JN185" s="6"/>
      <c r="JO185" s="6"/>
      <c r="JP185" s="6"/>
      <c r="JQ185" s="5"/>
      <c r="JR185" s="6" t="s">
        <v>780</v>
      </c>
      <c r="JS185" s="6"/>
      <c r="JT185" s="6"/>
      <c r="JU185" s="6"/>
      <c r="JV185" s="5"/>
      <c r="JW185" s="6" t="s">
        <v>780</v>
      </c>
      <c r="JX185" s="5"/>
      <c r="JY185" s="5"/>
      <c r="JZ185" s="5"/>
      <c r="KA185" s="5"/>
      <c r="KB185" s="5"/>
      <c r="KC185" s="2"/>
      <c r="KD185" s="4"/>
      <c r="KE185" s="8"/>
      <c r="KF185" s="5" t="str">
        <f t="shared" si="534"/>
        <v>NO APLICA</v>
      </c>
      <c r="KG185" s="5"/>
      <c r="KH185" s="2"/>
      <c r="KI185" s="4"/>
      <c r="KJ185" s="8"/>
      <c r="KK185" s="5" t="str">
        <f t="shared" si="559"/>
        <v>NO APLICA</v>
      </c>
      <c r="KL185" s="5"/>
      <c r="KM185" s="2"/>
      <c r="KN185" s="4"/>
      <c r="KO185" s="8"/>
      <c r="KP185" s="5" t="str">
        <f t="shared" si="535"/>
        <v>NO APLICA</v>
      </c>
      <c r="KQ185" s="5"/>
      <c r="KR185" s="3">
        <v>45346</v>
      </c>
      <c r="KS185" s="4">
        <f>DATE(YEAR(KR185)+5,MONTH(KR185),DAY(KR185))</f>
        <v>47173</v>
      </c>
      <c r="KT185" s="8">
        <f ca="1">KS185-TODAY()</f>
        <v>1028</v>
      </c>
      <c r="KU185" s="5" t="str">
        <f ca="1">IF(KT185&gt;=61,"VIGENTE",IF(KT185&gt;=1,"POR VENCER",IF(KT185&lt;=-1,"VENCIDA",IF(KR185=0,"NO APLICA"))))</f>
        <v>VIGENTE</v>
      </c>
      <c r="KV185" s="2"/>
      <c r="KW185" s="6"/>
      <c r="KX185" s="4"/>
      <c r="KY185" s="8"/>
      <c r="KZ185" s="5" t="str">
        <f t="shared" si="565"/>
        <v>NO APLICA</v>
      </c>
      <c r="LA185" s="5"/>
      <c r="LB185" s="4">
        <v>44615</v>
      </c>
      <c r="LC185" s="4">
        <f>DATE(YEAR(LB185)+5,MONTH(LB185),DAY(LB185))</f>
        <v>46441</v>
      </c>
      <c r="LD185" s="8">
        <f ca="1">LC185-TODAY()</f>
        <v>296</v>
      </c>
      <c r="LE185" s="5" t="str">
        <f ca="1">IF(LD185&gt;=61,"VIGENTE",IF(LD185&gt;=1,"POR VENCER",IF(LD185&lt;=-1,"VENCIDA",IF(LB185=0,"NO APLICA"))))</f>
        <v>VIGENTE</v>
      </c>
      <c r="LF185" s="6"/>
      <c r="LG185" s="4">
        <v>45611</v>
      </c>
      <c r="LH185" s="4">
        <f>DATE(YEAR(LG185)+2,MONTH(LG185),DAY(LG185))</f>
        <v>46341</v>
      </c>
      <c r="LI185" s="8">
        <f ca="1">LH185-TODAY()</f>
        <v>196</v>
      </c>
      <c r="LJ185" s="5" t="str">
        <f ca="1">IF(LI185&gt;=61,"VIGENTE",IF(LI185&gt;=1,"POR VENCER",IF(LI185&lt;=-1,"VENCIDA",IF(LG185=0,"NO APLICA"))))</f>
        <v>VIGENTE</v>
      </c>
      <c r="LK185" s="5"/>
      <c r="LL185" s="5"/>
      <c r="LM185" s="5"/>
      <c r="LN185" s="5"/>
      <c r="LO185" s="5" t="str">
        <f t="shared" si="566"/>
        <v>NO APLICA</v>
      </c>
      <c r="LP185" s="2"/>
      <c r="LQ185" s="6"/>
      <c r="LR185" s="4"/>
      <c r="LS185" s="8"/>
      <c r="LT185" s="5" t="str">
        <f t="shared" si="562"/>
        <v>NO APLICA</v>
      </c>
      <c r="LU185" s="6"/>
      <c r="LV185" s="6"/>
      <c r="LW185" s="4"/>
      <c r="LX185" s="8"/>
      <c r="LY185" s="5" t="str">
        <f t="shared" si="563"/>
        <v>NO APLICA</v>
      </c>
      <c r="LZ185" s="6"/>
      <c r="MA185" s="6"/>
      <c r="MB185" s="4"/>
      <c r="MC185" s="8"/>
      <c r="MD185" s="5" t="str">
        <f t="shared" si="564"/>
        <v>NO APLICA</v>
      </c>
      <c r="ME185" s="2"/>
      <c r="MF185" s="2"/>
      <c r="MG185" s="4"/>
      <c r="MH185" s="8"/>
      <c r="MI185" s="5" t="str">
        <f t="shared" si="537"/>
        <v>NO APLICA</v>
      </c>
      <c r="MJ185" s="2"/>
      <c r="MK185" s="2"/>
      <c r="ML185" s="4"/>
      <c r="MM185" s="8"/>
      <c r="MN185" s="5" t="str">
        <f t="shared" si="538"/>
        <v>NO APLICA</v>
      </c>
      <c r="MO185" s="5"/>
      <c r="MP185" s="2"/>
      <c r="MQ185" s="4"/>
      <c r="MR185" s="8"/>
      <c r="MS185" s="5" t="str">
        <f t="shared" si="539"/>
        <v>NO APLICA</v>
      </c>
      <c r="MT185" s="5"/>
      <c r="MU185" s="2"/>
      <c r="MV185" s="4"/>
      <c r="MW185" s="2"/>
      <c r="MX185" s="5" t="str">
        <f t="shared" si="540"/>
        <v>NO APLICA</v>
      </c>
      <c r="MY185" s="2"/>
      <c r="MZ185" s="6"/>
      <c r="NA185" s="4"/>
      <c r="NB185" s="8"/>
      <c r="NC185" s="5" t="str">
        <f t="shared" si="541"/>
        <v>NO APLICA</v>
      </c>
      <c r="ND185" s="2"/>
      <c r="NE185" s="6"/>
      <c r="NF185" s="4"/>
      <c r="NG185" s="8"/>
      <c r="NH185" s="5" t="str">
        <f t="shared" si="542"/>
        <v>NO APLICA</v>
      </c>
      <c r="NI185" s="2"/>
      <c r="NJ185" s="6"/>
      <c r="NK185" s="4"/>
      <c r="NL185" s="8"/>
      <c r="NM185" s="5" t="str">
        <f t="shared" si="543"/>
        <v>NO APLICA</v>
      </c>
      <c r="NN185" s="2"/>
      <c r="NO185" s="2"/>
      <c r="NP185" s="4"/>
      <c r="NQ185" s="2"/>
      <c r="NR185" s="5" t="str">
        <f t="shared" si="544"/>
        <v>NO APLICA</v>
      </c>
      <c r="NS185" s="2"/>
      <c r="NT185" s="2"/>
      <c r="NU185" s="4"/>
      <c r="NV185" s="2"/>
      <c r="NW185" s="5" t="str">
        <f t="shared" si="545"/>
        <v>NO APLICA</v>
      </c>
      <c r="NX185" s="6"/>
      <c r="NY185" s="6"/>
      <c r="NZ185" s="4"/>
      <c r="OA185" s="8"/>
      <c r="OB185" s="5" t="str">
        <f t="shared" si="546"/>
        <v>NO APLICA</v>
      </c>
      <c r="OC185" s="6"/>
      <c r="OD185" s="6"/>
      <c r="OE185" s="6"/>
      <c r="OF185" s="6"/>
      <c r="OG185" s="5" t="str">
        <f t="shared" si="547"/>
        <v>NO APLICA</v>
      </c>
      <c r="OH185" s="6"/>
      <c r="OI185" s="6"/>
      <c r="OJ185" s="4"/>
      <c r="OK185" s="8"/>
      <c r="OL185" s="5" t="str">
        <f t="shared" si="548"/>
        <v>NO APLICA</v>
      </c>
      <c r="OM185" s="6"/>
      <c r="ON185" s="6"/>
      <c r="OO185" s="6"/>
      <c r="OP185" s="6"/>
      <c r="OQ185" s="5" t="str">
        <f t="shared" si="549"/>
        <v>NO APLICA</v>
      </c>
      <c r="OR185" s="6"/>
      <c r="OS185" s="6"/>
      <c r="OT185" s="6"/>
      <c r="OU185" s="6"/>
      <c r="OV185" s="5" t="str">
        <f t="shared" si="550"/>
        <v>NO APLICA</v>
      </c>
      <c r="OW185" s="6"/>
      <c r="OX185" s="6"/>
      <c r="OY185" s="6"/>
      <c r="OZ185" s="6"/>
      <c r="PA185" s="5" t="str">
        <f t="shared" si="551"/>
        <v>NO APLICA</v>
      </c>
      <c r="PB185" s="6"/>
      <c r="PC185" s="6"/>
      <c r="PD185" s="6"/>
      <c r="PE185" s="6"/>
      <c r="PF185" s="5" t="str">
        <f t="shared" si="552"/>
        <v>NO APLICA</v>
      </c>
      <c r="PG185" s="6"/>
      <c r="PH185" s="6"/>
      <c r="PI185" s="6"/>
      <c r="PJ185" s="6"/>
      <c r="PK185" s="5" t="str">
        <f t="shared" si="553"/>
        <v>NO APLICA</v>
      </c>
      <c r="PL185" s="5"/>
      <c r="PM185" s="6"/>
      <c r="PN185" s="4"/>
      <c r="PO185" s="8"/>
      <c r="PP185" s="5" t="str">
        <f t="shared" si="554"/>
        <v>NO APLICA</v>
      </c>
      <c r="PQ185" s="6"/>
      <c r="PR185" s="6"/>
      <c r="PS185" s="6"/>
      <c r="PT185" s="6"/>
      <c r="PU185" s="5" t="str">
        <f t="shared" si="555"/>
        <v>NO APLICA</v>
      </c>
      <c r="PV185" s="5"/>
      <c r="PW185" s="6"/>
      <c r="PX185" s="6"/>
      <c r="PY185" s="6"/>
      <c r="PZ185" s="5" t="str">
        <f t="shared" si="556"/>
        <v>NO APLICA</v>
      </c>
    </row>
    <row r="186" spans="1:442" ht="15.6" hidden="1" thickTop="1" thickBot="1" x14ac:dyDescent="0.35">
      <c r="A186" s="26">
        <v>183</v>
      </c>
      <c r="B186" s="27">
        <v>983</v>
      </c>
      <c r="C186" s="28" t="s">
        <v>584</v>
      </c>
      <c r="D186" s="29" t="s">
        <v>64</v>
      </c>
      <c r="E186" s="30" t="s">
        <v>377</v>
      </c>
      <c r="F186" s="5"/>
      <c r="G186" s="6"/>
      <c r="H186" s="4"/>
      <c r="I186" s="8"/>
      <c r="J186" s="5" t="str">
        <f t="shared" si="455"/>
        <v>NO APLICA</v>
      </c>
      <c r="K186" s="5"/>
      <c r="L186" s="6"/>
      <c r="M186" s="6"/>
      <c r="N186" s="8"/>
      <c r="O186" s="5" t="str">
        <f t="shared" si="456"/>
        <v>NO APLICA</v>
      </c>
      <c r="P186" s="4"/>
      <c r="Q186" s="4">
        <v>45604</v>
      </c>
      <c r="R186" s="4">
        <f>DATE(YEAR(Q186)+2,MONTH(Q186),DAY(Q186)-1)</f>
        <v>46333</v>
      </c>
      <c r="S186" s="8">
        <f ca="1">R186-TODAY()</f>
        <v>188</v>
      </c>
      <c r="T186" s="5" t="str">
        <f ca="1">IF(S186&gt;=61,"VIGENTE",IF(S186&gt;=1,"POR VENCER",IF(S186&lt;=-1,"VENCIDA",IF(S186=0,"NO APLICA"))))</f>
        <v>VIGENTE</v>
      </c>
      <c r="U186" s="5"/>
      <c r="V186" s="2" t="s">
        <v>585</v>
      </c>
      <c r="W186" s="4">
        <v>44716</v>
      </c>
      <c r="X186" s="4">
        <f t="shared" si="587"/>
        <v>46542</v>
      </c>
      <c r="Y186" s="8">
        <f t="shared" ca="1" si="588"/>
        <v>397</v>
      </c>
      <c r="Z186" s="5" t="str">
        <f t="shared" ca="1" si="605"/>
        <v>VIGENTE</v>
      </c>
      <c r="AA186" s="5"/>
      <c r="AB186" s="2" t="s">
        <v>586</v>
      </c>
      <c r="AC186" s="4">
        <v>45162</v>
      </c>
      <c r="AD186" s="4">
        <f t="shared" si="619"/>
        <v>46989</v>
      </c>
      <c r="AE186" s="8">
        <f t="shared" ca="1" si="614"/>
        <v>844</v>
      </c>
      <c r="AF186" s="5" t="str">
        <f t="shared" ca="1" si="457"/>
        <v>VIGENTE</v>
      </c>
      <c r="AG186" s="3"/>
      <c r="AH186" s="4">
        <v>45936</v>
      </c>
      <c r="AI186" s="4">
        <f t="shared" si="651"/>
        <v>46666</v>
      </c>
      <c r="AJ186" s="8">
        <f t="shared" ca="1" si="458"/>
        <v>521</v>
      </c>
      <c r="AK186" s="5" t="str">
        <f t="shared" ca="1" si="602"/>
        <v>VIGENTE</v>
      </c>
      <c r="AL186" s="3"/>
      <c r="AM186" s="4">
        <v>45937</v>
      </c>
      <c r="AN186" s="4">
        <f t="shared" si="621"/>
        <v>46667</v>
      </c>
      <c r="AO186" s="8">
        <f t="shared" ca="1" si="459"/>
        <v>522</v>
      </c>
      <c r="AP186" s="5" t="str">
        <f t="shared" ca="1" si="460"/>
        <v>VIGENTE</v>
      </c>
      <c r="AQ186" s="3"/>
      <c r="AR186" s="4">
        <v>45904</v>
      </c>
      <c r="AS186" s="4">
        <f t="shared" si="652"/>
        <v>46634</v>
      </c>
      <c r="AT186" s="8">
        <f t="shared" ca="1" si="461"/>
        <v>489</v>
      </c>
      <c r="AU186" s="5" t="str">
        <f t="shared" ca="1" si="462"/>
        <v>VIGENTE</v>
      </c>
      <c r="AV186" s="3"/>
      <c r="AW186" s="4">
        <v>45927</v>
      </c>
      <c r="AX186" s="4">
        <f>DATE(YEAR(AW186)+2,MONTH(AW186),DAY(AW186))</f>
        <v>46657</v>
      </c>
      <c r="AY186" s="8">
        <f t="shared" ca="1" si="463"/>
        <v>512</v>
      </c>
      <c r="AZ186" s="5" t="str">
        <f t="shared" ca="1" si="464"/>
        <v>VIGENTE</v>
      </c>
      <c r="BA186" s="3"/>
      <c r="BB186" s="4">
        <v>45930</v>
      </c>
      <c r="BC186" s="4">
        <f t="shared" si="653"/>
        <v>46660</v>
      </c>
      <c r="BD186" s="8">
        <f t="shared" ca="1" si="465"/>
        <v>515</v>
      </c>
      <c r="BE186" s="5" t="str">
        <f t="shared" ca="1" si="466"/>
        <v>VIGENTE</v>
      </c>
      <c r="BF186" s="3"/>
      <c r="BG186" s="4">
        <v>45997</v>
      </c>
      <c r="BH186" s="4">
        <f t="shared" si="615"/>
        <v>46727</v>
      </c>
      <c r="BI186" s="8">
        <f t="shared" ca="1" si="467"/>
        <v>582</v>
      </c>
      <c r="BJ186" s="5" t="str">
        <f t="shared" ca="1" si="468"/>
        <v>VIGENTE</v>
      </c>
      <c r="BK186" s="3"/>
      <c r="BL186" s="4">
        <v>46051</v>
      </c>
      <c r="BM186" s="4">
        <f t="shared" si="625"/>
        <v>46781</v>
      </c>
      <c r="BN186" s="8">
        <f t="shared" ca="1" si="469"/>
        <v>636</v>
      </c>
      <c r="BO186" s="5" t="str">
        <f t="shared" ca="1" si="470"/>
        <v>VIGENTE</v>
      </c>
      <c r="BP186" s="3"/>
      <c r="BQ186" s="39">
        <v>45841</v>
      </c>
      <c r="BR186" s="4">
        <f>DATE(YEAR(BQ186)+2,MONTH(BQ186),DAY(BQ186))</f>
        <v>46571</v>
      </c>
      <c r="BS186" s="8">
        <f t="shared" ca="1" si="471"/>
        <v>426</v>
      </c>
      <c r="BT186" s="5" t="str">
        <f t="shared" ca="1" si="472"/>
        <v>VIGENTE</v>
      </c>
      <c r="BU186" s="3"/>
      <c r="BV186" s="4">
        <v>45950</v>
      </c>
      <c r="BW186" s="4">
        <f t="shared" si="654"/>
        <v>46680</v>
      </c>
      <c r="BX186" s="8">
        <f t="shared" ca="1" si="473"/>
        <v>535</v>
      </c>
      <c r="BY186" s="5" t="str">
        <f t="shared" ca="1" si="474"/>
        <v>VIGENTE</v>
      </c>
      <c r="BZ186" s="3"/>
      <c r="CA186" s="4">
        <v>45944</v>
      </c>
      <c r="CB186" s="4">
        <f t="shared" si="655"/>
        <v>46674</v>
      </c>
      <c r="CC186" s="8">
        <f t="shared" ca="1" si="475"/>
        <v>529</v>
      </c>
      <c r="CD186" s="5" t="str">
        <f t="shared" ca="1" si="476"/>
        <v>VIGENTE</v>
      </c>
      <c r="CE186" s="6"/>
      <c r="CF186" s="4">
        <v>45828</v>
      </c>
      <c r="CG186" s="4">
        <f t="shared" si="590"/>
        <v>47289</v>
      </c>
      <c r="CH186" s="8">
        <f t="shared" ca="1" si="591"/>
        <v>1144</v>
      </c>
      <c r="CI186" s="5" t="str">
        <f t="shared" ca="1" si="573"/>
        <v>VIGENTE</v>
      </c>
      <c r="CJ186" s="4"/>
      <c r="CK186" s="4">
        <v>45929</v>
      </c>
      <c r="CL186" s="4">
        <f>DATE(YEAR(CK186)+2,MONTH(CK186),DAY(CK186))</f>
        <v>46659</v>
      </c>
      <c r="CM186" s="8">
        <f t="shared" ca="1" si="477"/>
        <v>514</v>
      </c>
      <c r="CN186" s="5" t="str">
        <f t="shared" ca="1" si="478"/>
        <v>VIGENTE</v>
      </c>
      <c r="CO186" s="3"/>
      <c r="CP186" s="39">
        <v>45888</v>
      </c>
      <c r="CQ186" s="4">
        <f t="shared" si="656"/>
        <v>46618</v>
      </c>
      <c r="CR186" s="8">
        <f t="shared" ca="1" si="479"/>
        <v>473</v>
      </c>
      <c r="CS186" s="5" t="str">
        <f t="shared" ca="1" si="480"/>
        <v>VIGENTE</v>
      </c>
      <c r="CT186" s="3"/>
      <c r="CU186" s="4">
        <v>45905</v>
      </c>
      <c r="CV186" s="4">
        <f>DATE(YEAR(CU186)+2,MONTH(CU186),DAY(CU186))</f>
        <v>46635</v>
      </c>
      <c r="CW186" s="8">
        <f t="shared" ca="1" si="481"/>
        <v>490</v>
      </c>
      <c r="CX186" s="5" t="str">
        <f t="shared" ca="1" si="482"/>
        <v>VIGENTE</v>
      </c>
      <c r="CY186" s="3"/>
      <c r="CZ186" s="4">
        <v>45924</v>
      </c>
      <c r="DA186" s="4">
        <f>DATE(YEAR(CZ186)+2,MONTH(CZ186),DAY(CZ186))</f>
        <v>46654</v>
      </c>
      <c r="DB186" s="8">
        <f t="shared" ca="1" si="483"/>
        <v>509</v>
      </c>
      <c r="DC186" s="5" t="str">
        <f t="shared" ca="1" si="484"/>
        <v>VIGENTE</v>
      </c>
      <c r="DD186" s="3"/>
      <c r="DE186" s="39">
        <v>45896</v>
      </c>
      <c r="DF186" s="4">
        <f>DATE(YEAR(DE186)+2,MONTH(DE186),DAY(DE186))</f>
        <v>46626</v>
      </c>
      <c r="DG186" s="8">
        <f t="shared" ca="1" si="485"/>
        <v>481</v>
      </c>
      <c r="DH186" s="5" t="str">
        <f t="shared" ca="1" si="486"/>
        <v>VIGENTE</v>
      </c>
      <c r="DI186" s="3"/>
      <c r="DJ186" s="39">
        <v>45899</v>
      </c>
      <c r="DK186" s="4">
        <f t="shared" si="634"/>
        <v>46629</v>
      </c>
      <c r="DL186" s="8">
        <f t="shared" ca="1" si="487"/>
        <v>484</v>
      </c>
      <c r="DM186" s="5" t="str">
        <f t="shared" ca="1" si="488"/>
        <v>VIGENTE</v>
      </c>
      <c r="DN186" s="3"/>
      <c r="DO186" s="4">
        <v>45982</v>
      </c>
      <c r="DP186" s="4">
        <f>DATE(YEAR(DO186)+2,MONTH(DO186),DAY(DO186))</f>
        <v>46712</v>
      </c>
      <c r="DQ186" s="8">
        <f t="shared" ca="1" si="489"/>
        <v>567</v>
      </c>
      <c r="DR186" s="5" t="str">
        <f t="shared" ca="1" si="490"/>
        <v>VIGENTE</v>
      </c>
      <c r="DS186" s="3"/>
      <c r="DT186" s="4">
        <v>45885</v>
      </c>
      <c r="DU186" s="4">
        <f>DATE(YEAR(DT186)+2,MONTH(DT186),DAY(DT186))</f>
        <v>46615</v>
      </c>
      <c r="DV186" s="8">
        <f t="shared" ca="1" si="491"/>
        <v>470</v>
      </c>
      <c r="DW186" s="5" t="str">
        <f t="shared" ca="1" si="492"/>
        <v>VIGENTE</v>
      </c>
      <c r="DX186" s="3"/>
      <c r="DY186" s="4">
        <v>46020</v>
      </c>
      <c r="DZ186" s="4">
        <f t="shared" si="657"/>
        <v>46750</v>
      </c>
      <c r="EA186" s="8">
        <f t="shared" ca="1" si="493"/>
        <v>605</v>
      </c>
      <c r="EB186" s="5" t="str">
        <f t="shared" ca="1" si="494"/>
        <v>VIGENTE</v>
      </c>
      <c r="EC186" s="3"/>
      <c r="ED186" s="39">
        <v>45938</v>
      </c>
      <c r="EE186" s="4">
        <f t="shared" si="637"/>
        <v>46668</v>
      </c>
      <c r="EF186" s="8">
        <f t="shared" ca="1" si="495"/>
        <v>523</v>
      </c>
      <c r="EG186" s="5" t="str">
        <f t="shared" ca="1" si="496"/>
        <v>VIGENTE</v>
      </c>
      <c r="EH186" s="3"/>
      <c r="EI186" s="3">
        <v>45911</v>
      </c>
      <c r="EJ186" s="4">
        <f t="shared" si="558"/>
        <v>46276</v>
      </c>
      <c r="EK186" s="8">
        <f t="shared" ca="1" si="497"/>
        <v>131</v>
      </c>
      <c r="EL186" s="5" t="str">
        <f t="shared" ca="1" si="498"/>
        <v>VIGENTE</v>
      </c>
      <c r="EM186" s="3"/>
      <c r="EN186" s="4">
        <v>45940</v>
      </c>
      <c r="EO186" s="4">
        <f t="shared" si="658"/>
        <v>46670</v>
      </c>
      <c r="EP186" s="8">
        <f t="shared" ca="1" si="499"/>
        <v>525</v>
      </c>
      <c r="EQ186" s="5" t="str">
        <f t="shared" ca="1" si="500"/>
        <v>VIGENTE</v>
      </c>
      <c r="ER186" s="3"/>
      <c r="ES186" s="39">
        <v>45922</v>
      </c>
      <c r="ET186" s="4">
        <f t="shared" si="639"/>
        <v>46652</v>
      </c>
      <c r="EU186" s="8">
        <f t="shared" ca="1" si="501"/>
        <v>507</v>
      </c>
      <c r="EV186" s="5" t="str">
        <f t="shared" ca="1" si="502"/>
        <v>VIGENTE</v>
      </c>
      <c r="EW186" s="3"/>
      <c r="EX186" s="4">
        <v>45917</v>
      </c>
      <c r="EY186" s="4">
        <f t="shared" si="609"/>
        <v>46647</v>
      </c>
      <c r="EZ186" s="8">
        <f t="shared" ca="1" si="503"/>
        <v>502</v>
      </c>
      <c r="FA186" s="5" t="str">
        <f t="shared" ca="1" si="504"/>
        <v>VIGENTE</v>
      </c>
      <c r="FB186" s="3"/>
      <c r="FC186" s="4">
        <v>45931</v>
      </c>
      <c r="FD186" s="4">
        <f t="shared" si="640"/>
        <v>46661</v>
      </c>
      <c r="FE186" s="8">
        <f t="shared" ca="1" si="505"/>
        <v>516</v>
      </c>
      <c r="FF186" s="5" t="str">
        <f t="shared" ca="1" si="506"/>
        <v>VIGENTE</v>
      </c>
      <c r="FG186" s="3"/>
      <c r="FH186" s="4">
        <v>45919</v>
      </c>
      <c r="FI186" s="4">
        <f t="shared" si="659"/>
        <v>46649</v>
      </c>
      <c r="FJ186" s="8">
        <f t="shared" ca="1" si="507"/>
        <v>504</v>
      </c>
      <c r="FK186" s="5" t="str">
        <f t="shared" ca="1" si="508"/>
        <v>VIGENTE</v>
      </c>
      <c r="FL186" s="3"/>
      <c r="FM186" s="39">
        <v>45933</v>
      </c>
      <c r="FN186" s="4">
        <f t="shared" si="642"/>
        <v>46663</v>
      </c>
      <c r="FO186" s="8">
        <f t="shared" ca="1" si="509"/>
        <v>518</v>
      </c>
      <c r="FP186" s="5" t="str">
        <f t="shared" ca="1" si="510"/>
        <v>VIGENTE</v>
      </c>
      <c r="FQ186" s="3"/>
      <c r="FR186" s="39">
        <v>45957</v>
      </c>
      <c r="FS186" s="4">
        <f t="shared" si="660"/>
        <v>46687</v>
      </c>
      <c r="FT186" s="8">
        <f t="shared" ca="1" si="511"/>
        <v>542</v>
      </c>
      <c r="FU186" s="5" t="str">
        <f t="shared" ca="1" si="512"/>
        <v>VIGENTE</v>
      </c>
      <c r="FV186" s="3"/>
      <c r="FW186" s="4">
        <v>45961</v>
      </c>
      <c r="FX186" s="4">
        <f>DATE(YEAR(FW186)+2,MONTH(FW186),DAY(FW186))</f>
        <v>46691</v>
      </c>
      <c r="FY186" s="8">
        <f t="shared" ca="1" si="513"/>
        <v>546</v>
      </c>
      <c r="FZ186" s="5" t="str">
        <f t="shared" ca="1" si="514"/>
        <v>VIGENTE</v>
      </c>
      <c r="GA186" s="3"/>
      <c r="GB186" s="4">
        <v>45925</v>
      </c>
      <c r="GC186" s="4">
        <f t="shared" si="661"/>
        <v>46655</v>
      </c>
      <c r="GD186" s="8">
        <f t="shared" ca="1" si="515"/>
        <v>510</v>
      </c>
      <c r="GE186" s="5" t="str">
        <f t="shared" ca="1" si="516"/>
        <v>VIGENTE</v>
      </c>
      <c r="GF186" s="3"/>
      <c r="GG186" s="4">
        <v>45912</v>
      </c>
      <c r="GH186" s="4">
        <f t="shared" si="662"/>
        <v>46642</v>
      </c>
      <c r="GI186" s="8">
        <f t="shared" ca="1" si="517"/>
        <v>497</v>
      </c>
      <c r="GJ186" s="5" t="str">
        <f t="shared" ca="1" si="518"/>
        <v>VIGENTE</v>
      </c>
      <c r="GK186" s="3"/>
      <c r="GL186" s="4">
        <v>45945</v>
      </c>
      <c r="GM186" s="4">
        <f t="shared" si="663"/>
        <v>46675</v>
      </c>
      <c r="GN186" s="8">
        <f t="shared" ca="1" si="519"/>
        <v>530</v>
      </c>
      <c r="GO186" s="5" t="str">
        <f t="shared" ca="1" si="520"/>
        <v>VIGENTE</v>
      </c>
      <c r="GP186" s="4"/>
      <c r="GQ186" s="4">
        <v>45048</v>
      </c>
      <c r="GR186" s="4">
        <f t="shared" si="521"/>
        <v>46875</v>
      </c>
      <c r="GS186" s="8">
        <f t="shared" ca="1" si="601"/>
        <v>730</v>
      </c>
      <c r="GT186" s="5" t="str">
        <f t="shared" ca="1" si="610"/>
        <v>VIGENTE</v>
      </c>
      <c r="GU186" s="3"/>
      <c r="GV186" s="4">
        <v>45006</v>
      </c>
      <c r="GW186" s="4">
        <f t="shared" si="522"/>
        <v>46833</v>
      </c>
      <c r="GX186" s="8">
        <f t="shared" ca="1" si="523"/>
        <v>688</v>
      </c>
      <c r="GY186" s="5" t="str">
        <f t="shared" ca="1" si="611"/>
        <v>VIGENTE</v>
      </c>
      <c r="GZ186" s="2"/>
      <c r="HA186" s="4">
        <v>45073</v>
      </c>
      <c r="HB186" s="4">
        <f t="shared" si="524"/>
        <v>46900</v>
      </c>
      <c r="HC186" s="8">
        <f t="shared" ca="1" si="525"/>
        <v>755</v>
      </c>
      <c r="HD186" s="5" t="str">
        <f t="shared" ca="1" si="612"/>
        <v>VIGENTE</v>
      </c>
      <c r="HE186" s="6"/>
      <c r="HF186" s="4">
        <v>45020</v>
      </c>
      <c r="HG186" s="4">
        <f t="shared" si="648"/>
        <v>46847</v>
      </c>
      <c r="HH186" s="8">
        <f t="shared" ca="1" si="616"/>
        <v>702</v>
      </c>
      <c r="HI186" s="5" t="str">
        <f t="shared" ca="1" si="613"/>
        <v>VIGENTE</v>
      </c>
      <c r="HJ186" s="2"/>
      <c r="HK186" s="6"/>
      <c r="HL186" s="4"/>
      <c r="HM186" s="8"/>
      <c r="HN186" s="5" t="str">
        <f t="shared" si="444"/>
        <v>NO APLICA</v>
      </c>
      <c r="HO186" s="2"/>
      <c r="HP186" s="2"/>
      <c r="HQ186" s="4"/>
      <c r="HR186" s="2"/>
      <c r="HS186" s="5" t="str">
        <f t="shared" si="526"/>
        <v>NO APLICA</v>
      </c>
      <c r="HT186" s="2"/>
      <c r="HU186" s="4">
        <v>45089</v>
      </c>
      <c r="HV186" s="4">
        <f>DATE(YEAR(HU186)+5,MONTH(HU186),DAY(HU186))</f>
        <v>46916</v>
      </c>
      <c r="HW186" s="8">
        <f ca="1">HV186-TODAY()</f>
        <v>771</v>
      </c>
      <c r="HX186" s="5" t="str">
        <f ca="1">IF(HW186&gt;=61,"VIGENTE",IF(HW186&gt;=1,"POR VENCER",IF(HW186&lt;=-1,"VENCIDA",IF(HU186=0,"NO APLICA"))))</f>
        <v>VIGENTE</v>
      </c>
      <c r="HY186" s="2"/>
      <c r="HZ186" s="4">
        <v>44981</v>
      </c>
      <c r="IA186" s="4">
        <f>DATE(YEAR(HZ186)+5,MONTH(HZ186),DAY(HZ186))</f>
        <v>46807</v>
      </c>
      <c r="IB186" s="8">
        <f ca="1">IA186-TODAY()</f>
        <v>662</v>
      </c>
      <c r="IC186" s="5" t="str">
        <f ca="1">IF(IB186&gt;=61,"VIGENTE",IF(IB186&gt;=1,"POR VENCER",IF(IB186&lt;=-1,"VENCIDA",IF(HZ186=0,"NO APLICA"))))</f>
        <v>VIGENTE</v>
      </c>
      <c r="ID186" s="2"/>
      <c r="IE186" s="4">
        <v>45049</v>
      </c>
      <c r="IF186" s="4">
        <f>DATE(YEAR(IE186)+5,MONTH(IE186),DAY(IE186))</f>
        <v>46876</v>
      </c>
      <c r="IG186" s="8">
        <f ca="1">IF186-TODAY()</f>
        <v>731</v>
      </c>
      <c r="IH186" s="5" t="str">
        <f ca="1">IF(IG186&gt;=61,"VIGENTE",IF(IG186&gt;=1,"POR VENCER",IF(IG186&lt;=-1,"VENCIDA",IF(IE186=0,"NO APLICA"))))</f>
        <v>VIGENTE</v>
      </c>
      <c r="II186" s="6"/>
      <c r="IJ186" s="4">
        <v>45058</v>
      </c>
      <c r="IK186" s="4">
        <f>DATE(YEAR(IJ186)+5,MONTH(IJ186),DAY(IJ186))</f>
        <v>46885</v>
      </c>
      <c r="IL186" s="8">
        <f ca="1">IK186-TODAY()</f>
        <v>740</v>
      </c>
      <c r="IM186" s="5" t="str">
        <f ca="1">IF(IL186&gt;=61,"VIGENTE",IF(IL186&gt;=1,"POR VENCER",IF(IL186&lt;=-1,"VENCIDA",IF(IJ186=0,"NO APLICA"))))</f>
        <v>VIGENTE</v>
      </c>
      <c r="IN186" s="2"/>
      <c r="IO186" s="4">
        <v>45064</v>
      </c>
      <c r="IP186" s="4">
        <f>DATE(YEAR(IO186)+5,MONTH(IO186),DAY(IO186))</f>
        <v>46891</v>
      </c>
      <c r="IQ186" s="8">
        <f ca="1">IP186-TODAY()</f>
        <v>746</v>
      </c>
      <c r="IR186" s="5" t="str">
        <f ca="1">IF(IQ186&gt;=61,"VIGENTE",IF(IQ186&gt;=1,"POR VENCER",IF(IQ186&lt;=-1,"VENCIDA",IF(IO186=0,"NO APLICA"))))</f>
        <v>VIGENTE</v>
      </c>
      <c r="IS186" s="2"/>
      <c r="IT186" s="4">
        <v>45062</v>
      </c>
      <c r="IU186" s="4">
        <f t="shared" si="649"/>
        <v>46889</v>
      </c>
      <c r="IV186" s="8">
        <f t="shared" ca="1" si="617"/>
        <v>744</v>
      </c>
      <c r="IW186" s="5" t="str">
        <f t="shared" ca="1" si="532"/>
        <v>VIGENTE</v>
      </c>
      <c r="IX186" s="2"/>
      <c r="IY186" s="4">
        <v>44996</v>
      </c>
      <c r="IZ186" s="4">
        <f t="shared" si="650"/>
        <v>46823</v>
      </c>
      <c r="JA186" s="8">
        <f t="shared" ca="1" si="618"/>
        <v>678</v>
      </c>
      <c r="JB186" s="5" t="str">
        <f t="shared" ca="1" si="533"/>
        <v>VIGENTE</v>
      </c>
      <c r="JC186" s="3" t="s">
        <v>780</v>
      </c>
      <c r="JD186" s="3"/>
      <c r="JE186" s="4"/>
      <c r="JF186" s="8"/>
      <c r="JG186" s="5"/>
      <c r="JH186" s="3" t="s">
        <v>780</v>
      </c>
      <c r="JI186" s="6"/>
      <c r="JJ186" s="6"/>
      <c r="JK186" s="6"/>
      <c r="JL186" s="5"/>
      <c r="JM186" s="6" t="s">
        <v>780</v>
      </c>
      <c r="JN186" s="6"/>
      <c r="JO186" s="6"/>
      <c r="JP186" s="6"/>
      <c r="JQ186" s="5"/>
      <c r="JR186" s="6" t="s">
        <v>780</v>
      </c>
      <c r="JS186" s="6"/>
      <c r="JT186" s="6"/>
      <c r="JU186" s="6"/>
      <c r="JV186" s="5"/>
      <c r="JW186" s="6" t="s">
        <v>780</v>
      </c>
      <c r="JX186" s="5"/>
      <c r="JY186" s="5"/>
      <c r="JZ186" s="5"/>
      <c r="KA186" s="5"/>
      <c r="KB186" s="5"/>
      <c r="KC186" s="2"/>
      <c r="KD186" s="4"/>
      <c r="KE186" s="8"/>
      <c r="KF186" s="5" t="str">
        <f t="shared" si="534"/>
        <v>NO APLICA</v>
      </c>
      <c r="KG186" s="5"/>
      <c r="KH186" s="2"/>
      <c r="KI186" s="4"/>
      <c r="KJ186" s="8"/>
      <c r="KK186" s="5" t="str">
        <f t="shared" si="559"/>
        <v>NO APLICA</v>
      </c>
      <c r="KL186" s="5"/>
      <c r="KM186" s="2"/>
      <c r="KN186" s="4"/>
      <c r="KO186" s="8"/>
      <c r="KP186" s="5" t="str">
        <f t="shared" si="535"/>
        <v>NO APLICA</v>
      </c>
      <c r="KQ186" s="5"/>
      <c r="KR186" s="3">
        <v>45346</v>
      </c>
      <c r="KS186" s="4">
        <f>DATE(YEAR(KR186)+5,MONTH(KR186),DAY(KR186))</f>
        <v>47173</v>
      </c>
      <c r="KT186" s="8">
        <f ca="1">KS186-TODAY()</f>
        <v>1028</v>
      </c>
      <c r="KU186" s="5" t="str">
        <f ca="1">IF(KT186&gt;=61,"VIGENTE",IF(KT186&gt;=1,"POR VENCER",IF(KT186&lt;=-1,"VENCIDA",IF(KR186=0,"NO APLICA"))))</f>
        <v>VIGENTE</v>
      </c>
      <c r="KV186" s="3"/>
      <c r="KW186" s="4">
        <v>44656</v>
      </c>
      <c r="KX186" s="4">
        <f>DATE(YEAR(KW186)+5,MONTH(KW186),DAY(KW186))</f>
        <v>46482</v>
      </c>
      <c r="KY186" s="8">
        <f ca="1">KX186-TODAY()</f>
        <v>337</v>
      </c>
      <c r="KZ186" s="5" t="str">
        <f ca="1">IF(KY186&gt;=61,"VIGENTE",IF(KY186&gt;=1,"POR VENCER",IF(KY186&lt;=-1,"VENCIDA",IF(KW186=0,"NO APLICA"))))</f>
        <v>VIGENTE</v>
      </c>
      <c r="LA186" s="5"/>
      <c r="LB186" s="4">
        <v>44603</v>
      </c>
      <c r="LC186" s="4">
        <f>DATE(YEAR(LB186)+5,MONTH(LB186),DAY(LB186))</f>
        <v>46429</v>
      </c>
      <c r="LD186" s="8">
        <f ca="1">LC186-TODAY()</f>
        <v>284</v>
      </c>
      <c r="LE186" s="5" t="str">
        <f ca="1">IF(LD186&gt;=61,"VIGENTE",IF(LD186&gt;=1,"POR VENCER",IF(LD186&lt;=-1,"VENCIDA",IF(LB186=0,"NO APLICA"))))</f>
        <v>VIGENTE</v>
      </c>
      <c r="LF186" s="6"/>
      <c r="LG186" s="6"/>
      <c r="LH186" s="4"/>
      <c r="LI186" s="8"/>
      <c r="LJ186" s="5" t="str">
        <f t="shared" si="600"/>
        <v>NO APLICA</v>
      </c>
      <c r="LK186" s="5"/>
      <c r="LL186" s="5"/>
      <c r="LM186" s="4"/>
      <c r="LN186" s="8"/>
      <c r="LO186" s="5" t="str">
        <f t="shared" si="566"/>
        <v>NO APLICA</v>
      </c>
      <c r="LP186" s="2"/>
      <c r="LQ186" s="6"/>
      <c r="LR186" s="4"/>
      <c r="LS186" s="8"/>
      <c r="LT186" s="5" t="str">
        <f t="shared" si="562"/>
        <v>NO APLICA</v>
      </c>
      <c r="LU186" s="6"/>
      <c r="LV186" s="6"/>
      <c r="LW186" s="4"/>
      <c r="LX186" s="8"/>
      <c r="LY186" s="5" t="str">
        <f t="shared" si="563"/>
        <v>NO APLICA</v>
      </c>
      <c r="LZ186" s="6"/>
      <c r="MA186" s="6"/>
      <c r="MB186" s="4"/>
      <c r="MC186" s="8"/>
      <c r="MD186" s="5" t="str">
        <f t="shared" si="564"/>
        <v>NO APLICA</v>
      </c>
      <c r="ME186" s="2"/>
      <c r="MF186" s="2"/>
      <c r="MG186" s="4"/>
      <c r="MH186" s="8"/>
      <c r="MI186" s="5" t="str">
        <f t="shared" si="537"/>
        <v>NO APLICA</v>
      </c>
      <c r="MJ186" s="2"/>
      <c r="MK186" s="2"/>
      <c r="ML186" s="4"/>
      <c r="MM186" s="8"/>
      <c r="MN186" s="5" t="str">
        <f t="shared" si="538"/>
        <v>NO APLICA</v>
      </c>
      <c r="MO186" s="5"/>
      <c r="MP186" s="2"/>
      <c r="MQ186" s="4"/>
      <c r="MR186" s="8"/>
      <c r="MS186" s="5" t="str">
        <f t="shared" si="539"/>
        <v>NO APLICA</v>
      </c>
      <c r="MT186" s="5"/>
      <c r="MU186" s="2"/>
      <c r="MV186" s="4"/>
      <c r="MW186" s="2"/>
      <c r="MX186" s="5" t="str">
        <f t="shared" si="540"/>
        <v>NO APLICA</v>
      </c>
      <c r="MY186" s="2"/>
      <c r="MZ186" s="6"/>
      <c r="NA186" s="4"/>
      <c r="NB186" s="8"/>
      <c r="NC186" s="5" t="str">
        <f t="shared" si="541"/>
        <v>NO APLICA</v>
      </c>
      <c r="ND186" s="2"/>
      <c r="NE186" s="6"/>
      <c r="NF186" s="4"/>
      <c r="NG186" s="8"/>
      <c r="NH186" s="5" t="str">
        <f t="shared" si="542"/>
        <v>NO APLICA</v>
      </c>
      <c r="NI186" s="2"/>
      <c r="NJ186" s="6"/>
      <c r="NK186" s="4"/>
      <c r="NL186" s="8"/>
      <c r="NM186" s="5" t="str">
        <f t="shared" si="543"/>
        <v>NO APLICA</v>
      </c>
      <c r="NN186" s="2"/>
      <c r="NO186" s="2"/>
      <c r="NP186" s="4"/>
      <c r="NQ186" s="8"/>
      <c r="NR186" s="5" t="str">
        <f t="shared" si="544"/>
        <v>NO APLICA</v>
      </c>
      <c r="NS186" s="2"/>
      <c r="NT186" s="2"/>
      <c r="NU186" s="2"/>
      <c r="NV186" s="2"/>
      <c r="NW186" s="5" t="str">
        <f t="shared" si="545"/>
        <v>NO APLICA</v>
      </c>
      <c r="NX186" s="6"/>
      <c r="NY186" s="4">
        <v>45568</v>
      </c>
      <c r="NZ186" s="4">
        <f>DATE(YEAR(NY186)+2,MONTH(NY186),DAY(NY186))</f>
        <v>46298</v>
      </c>
      <c r="OA186" s="8">
        <f ca="1">NZ186-TODAY()</f>
        <v>153</v>
      </c>
      <c r="OB186" s="5" t="str">
        <f ca="1">IF(OA186&gt;=61,"VIGENTE",IF(OA186&gt;=1,"POR VENCER",IF(OA186&lt;=-1,"VENCIDA",IF(NY186=0,"NO APLICA"))))</f>
        <v>VIGENTE</v>
      </c>
      <c r="OC186" s="6"/>
      <c r="OD186" s="6"/>
      <c r="OE186" s="6"/>
      <c r="OF186" s="6"/>
      <c r="OG186" s="5" t="str">
        <f t="shared" si="547"/>
        <v>NO APLICA</v>
      </c>
      <c r="OH186" s="2"/>
      <c r="OI186" s="2"/>
      <c r="OJ186" s="4"/>
      <c r="OK186" s="8"/>
      <c r="OL186" s="5" t="str">
        <f t="shared" si="548"/>
        <v>NO APLICA</v>
      </c>
      <c r="OM186" s="6"/>
      <c r="ON186" s="6"/>
      <c r="OO186" s="6"/>
      <c r="OP186" s="6"/>
      <c r="OQ186" s="5" t="str">
        <f t="shared" si="549"/>
        <v>NO APLICA</v>
      </c>
      <c r="OR186" s="6"/>
      <c r="OS186" s="6"/>
      <c r="OT186" s="6"/>
      <c r="OU186" s="6"/>
      <c r="OV186" s="5" t="str">
        <f t="shared" si="550"/>
        <v>NO APLICA</v>
      </c>
      <c r="OW186" s="6"/>
      <c r="OX186" s="6"/>
      <c r="OY186" s="6"/>
      <c r="OZ186" s="6"/>
      <c r="PA186" s="5" t="str">
        <f t="shared" si="551"/>
        <v>NO APLICA</v>
      </c>
      <c r="PB186" s="6"/>
      <c r="PC186" s="6"/>
      <c r="PD186" s="6"/>
      <c r="PE186" s="6"/>
      <c r="PF186" s="5" t="str">
        <f t="shared" si="552"/>
        <v>NO APLICA</v>
      </c>
      <c r="PG186" s="6"/>
      <c r="PH186" s="6"/>
      <c r="PI186" s="6"/>
      <c r="PJ186" s="6"/>
      <c r="PK186" s="5" t="str">
        <f t="shared" si="553"/>
        <v>NO APLICA</v>
      </c>
      <c r="PL186" s="5"/>
      <c r="PM186" s="6"/>
      <c r="PN186" s="4"/>
      <c r="PO186" s="8"/>
      <c r="PP186" s="5" t="str">
        <f t="shared" si="554"/>
        <v>NO APLICA</v>
      </c>
      <c r="PQ186" s="6"/>
      <c r="PR186" s="6"/>
      <c r="PS186" s="6"/>
      <c r="PT186" s="6"/>
      <c r="PU186" s="5" t="str">
        <f t="shared" si="555"/>
        <v>NO APLICA</v>
      </c>
      <c r="PV186" s="5"/>
      <c r="PW186" s="6"/>
      <c r="PX186" s="6"/>
      <c r="PY186" s="6"/>
      <c r="PZ186" s="5" t="str">
        <f t="shared" si="556"/>
        <v>NO APLICA</v>
      </c>
    </row>
    <row r="187" spans="1:442" ht="15.6" hidden="1" thickTop="1" thickBot="1" x14ac:dyDescent="0.35">
      <c r="A187" s="26">
        <v>184</v>
      </c>
      <c r="B187" s="31">
        <v>1344</v>
      </c>
      <c r="C187" s="28" t="s">
        <v>587</v>
      </c>
      <c r="D187" s="29" t="s">
        <v>68</v>
      </c>
      <c r="E187" s="30" t="s">
        <v>73</v>
      </c>
      <c r="F187" s="2"/>
      <c r="G187" s="6"/>
      <c r="H187" s="4"/>
      <c r="I187" s="8"/>
      <c r="J187" s="5" t="str">
        <f t="shared" si="455"/>
        <v>NO APLICA</v>
      </c>
      <c r="K187" s="5"/>
      <c r="L187" s="6"/>
      <c r="M187" s="6"/>
      <c r="N187" s="8"/>
      <c r="O187" s="5" t="str">
        <f t="shared" si="456"/>
        <v>NO APLICA</v>
      </c>
      <c r="P187" s="6"/>
      <c r="Q187" s="6"/>
      <c r="R187" s="4"/>
      <c r="S187" s="8"/>
      <c r="T187" s="5" t="str">
        <f t="shared" si="557"/>
        <v>NO APLICA</v>
      </c>
      <c r="U187" s="5"/>
      <c r="V187" s="2" t="s">
        <v>588</v>
      </c>
      <c r="W187" s="4">
        <v>45849</v>
      </c>
      <c r="X187" s="4">
        <f t="shared" si="587"/>
        <v>47675</v>
      </c>
      <c r="Y187" s="8">
        <f t="shared" ca="1" si="588"/>
        <v>1530</v>
      </c>
      <c r="Z187" s="5" t="str">
        <f t="shared" ca="1" si="605"/>
        <v>VIGENTE</v>
      </c>
      <c r="AA187" s="5"/>
      <c r="AB187" s="2" t="s">
        <v>589</v>
      </c>
      <c r="AC187" s="4">
        <v>45136</v>
      </c>
      <c r="AD187" s="4">
        <f t="shared" si="619"/>
        <v>46963</v>
      </c>
      <c r="AE187" s="8">
        <f t="shared" ca="1" si="614"/>
        <v>818</v>
      </c>
      <c r="AF187" s="5" t="str">
        <f t="shared" ca="1" si="457"/>
        <v>VIGENTE</v>
      </c>
      <c r="AG187" s="3"/>
      <c r="AH187" s="4">
        <v>45609</v>
      </c>
      <c r="AI187" s="4">
        <f t="shared" si="620"/>
        <v>46338</v>
      </c>
      <c r="AJ187" s="8">
        <f t="shared" ca="1" si="458"/>
        <v>193</v>
      </c>
      <c r="AK187" s="5" t="str">
        <f t="shared" ca="1" si="602"/>
        <v>VIGENTE</v>
      </c>
      <c r="AL187" s="3"/>
      <c r="AM187" s="4">
        <v>45516</v>
      </c>
      <c r="AN187" s="4">
        <f>DATE(YEAR(AM187)+2,MONTH(AM187),DAY(AM187)-1)</f>
        <v>46245</v>
      </c>
      <c r="AO187" s="8">
        <f t="shared" ca="1" si="459"/>
        <v>100</v>
      </c>
      <c r="AP187" s="5" t="str">
        <f t="shared" ca="1" si="460"/>
        <v>VIGENTE</v>
      </c>
      <c r="AQ187" s="3"/>
      <c r="AR187" s="4">
        <v>45529</v>
      </c>
      <c r="AS187" s="4">
        <f t="shared" ref="AS187" si="664">DATE(YEAR(AR187)+2,MONTH(AR187),DAY(AR187)-1)</f>
        <v>46258</v>
      </c>
      <c r="AT187" s="8">
        <f t="shared" ca="1" si="461"/>
        <v>113</v>
      </c>
      <c r="AU187" s="5" t="str">
        <f t="shared" ca="1" si="462"/>
        <v>VIGENTE</v>
      </c>
      <c r="AV187" s="3"/>
      <c r="AW187" s="4">
        <v>45523</v>
      </c>
      <c r="AX187" s="4">
        <f t="shared" si="623"/>
        <v>46252</v>
      </c>
      <c r="AY187" s="8">
        <f t="shared" ca="1" si="463"/>
        <v>107</v>
      </c>
      <c r="AZ187" s="5" t="str">
        <f t="shared" ca="1" si="464"/>
        <v>VIGENTE</v>
      </c>
      <c r="BA187" s="3"/>
      <c r="BB187" s="4">
        <v>45534</v>
      </c>
      <c r="BC187" s="4">
        <f t="shared" si="624"/>
        <v>46263</v>
      </c>
      <c r="BD187" s="8">
        <f t="shared" ca="1" si="465"/>
        <v>118</v>
      </c>
      <c r="BE187" s="5" t="str">
        <f t="shared" ca="1" si="466"/>
        <v>VIGENTE</v>
      </c>
      <c r="BF187" s="3"/>
      <c r="BG187" s="4">
        <v>45531</v>
      </c>
      <c r="BH187" s="4">
        <f t="shared" ref="BH187" si="665">DATE(YEAR(BG187)+2,MONTH(BG187),DAY(BG187)-1)</f>
        <v>46260</v>
      </c>
      <c r="BI187" s="8">
        <f t="shared" ca="1" si="467"/>
        <v>115</v>
      </c>
      <c r="BJ187" s="5" t="str">
        <f t="shared" ca="1" si="468"/>
        <v>VIGENTE</v>
      </c>
      <c r="BK187" s="3"/>
      <c r="BL187" s="4">
        <v>45519</v>
      </c>
      <c r="BM187" s="4">
        <f t="shared" ref="BM187" si="666">DATE(YEAR(BL187)+2,MONTH(BL187),DAY(BL187)-1)</f>
        <v>46248</v>
      </c>
      <c r="BN187" s="8">
        <f t="shared" ca="1" si="469"/>
        <v>103</v>
      </c>
      <c r="BO187" s="5" t="str">
        <f t="shared" ca="1" si="470"/>
        <v>VIGENTE</v>
      </c>
      <c r="BP187" s="3"/>
      <c r="BQ187" s="39">
        <v>45532</v>
      </c>
      <c r="BR187" s="4">
        <f>DATE(YEAR(BQ187)+2,MONTH(BQ187),DAY(BQ187)-1)</f>
        <v>46261</v>
      </c>
      <c r="BS187" s="8">
        <f t="shared" ca="1" si="471"/>
        <v>116</v>
      </c>
      <c r="BT187" s="5" t="str">
        <f t="shared" ca="1" si="472"/>
        <v>VIGENTE</v>
      </c>
      <c r="BU187" s="3"/>
      <c r="BV187" s="4">
        <v>46116</v>
      </c>
      <c r="BW187" s="4">
        <f t="shared" si="627"/>
        <v>46846</v>
      </c>
      <c r="BX187" s="8">
        <f t="shared" ca="1" si="473"/>
        <v>701</v>
      </c>
      <c r="BY187" s="5" t="str">
        <f t="shared" ca="1" si="474"/>
        <v>VIGENTE</v>
      </c>
      <c r="BZ187" s="3"/>
      <c r="CA187" s="4">
        <v>45730</v>
      </c>
      <c r="CB187" s="4">
        <f t="shared" si="628"/>
        <v>46459</v>
      </c>
      <c r="CC187" s="8">
        <f t="shared" ca="1" si="475"/>
        <v>314</v>
      </c>
      <c r="CD187" s="5" t="str">
        <f t="shared" ca="1" si="476"/>
        <v>VIGENTE</v>
      </c>
      <c r="CE187" s="6"/>
      <c r="CF187" s="4">
        <v>45262</v>
      </c>
      <c r="CG187" s="4">
        <f t="shared" si="590"/>
        <v>46723</v>
      </c>
      <c r="CH187" s="8">
        <f t="shared" ca="1" si="591"/>
        <v>578</v>
      </c>
      <c r="CI187" s="5" t="str">
        <f t="shared" ca="1" si="573"/>
        <v>VIGENTE</v>
      </c>
      <c r="CJ187" s="4"/>
      <c r="CK187" s="4">
        <v>46134</v>
      </c>
      <c r="CL187" s="4">
        <f t="shared" si="629"/>
        <v>46864</v>
      </c>
      <c r="CM187" s="8">
        <f t="shared" ca="1" si="477"/>
        <v>719</v>
      </c>
      <c r="CN187" s="5" t="str">
        <f t="shared" ca="1" si="478"/>
        <v>VIGENTE</v>
      </c>
      <c r="CO187" s="3"/>
      <c r="CP187" s="39">
        <v>45481</v>
      </c>
      <c r="CQ187" s="4">
        <f t="shared" si="630"/>
        <v>46210</v>
      </c>
      <c r="CR187" s="8">
        <f t="shared" ca="1" si="479"/>
        <v>65</v>
      </c>
      <c r="CS187" s="5" t="str">
        <f t="shared" ca="1" si="480"/>
        <v>POR VENCER</v>
      </c>
      <c r="CT187" s="3"/>
      <c r="CU187" s="4">
        <v>45639</v>
      </c>
      <c r="CV187" s="4">
        <f t="shared" si="631"/>
        <v>46368</v>
      </c>
      <c r="CW187" s="8">
        <f t="shared" ca="1" si="481"/>
        <v>223</v>
      </c>
      <c r="CX187" s="5" t="str">
        <f t="shared" ca="1" si="482"/>
        <v>VIGENTE</v>
      </c>
      <c r="CY187" s="3"/>
      <c r="CZ187" s="4">
        <v>45681</v>
      </c>
      <c r="DA187" s="4">
        <f t="shared" si="632"/>
        <v>46410</v>
      </c>
      <c r="DB187" s="8">
        <f t="shared" ca="1" si="483"/>
        <v>265</v>
      </c>
      <c r="DC187" s="5" t="str">
        <f t="shared" ca="1" si="484"/>
        <v>VIGENTE</v>
      </c>
      <c r="DD187" s="3"/>
      <c r="DE187" s="39">
        <v>45689</v>
      </c>
      <c r="DF187" s="4">
        <f t="shared" si="633"/>
        <v>46418</v>
      </c>
      <c r="DG187" s="8">
        <f t="shared" ca="1" si="485"/>
        <v>273</v>
      </c>
      <c r="DH187" s="5" t="str">
        <f t="shared" ca="1" si="486"/>
        <v>VIGENTE</v>
      </c>
      <c r="DI187" s="3"/>
      <c r="DJ187" s="39">
        <v>45580</v>
      </c>
      <c r="DK187" s="4">
        <f t="shared" ref="DK187" si="667">DATE(YEAR(DJ187)+2,MONTH(DJ187),DAY(DJ187)-1)</f>
        <v>46309</v>
      </c>
      <c r="DL187" s="8">
        <f t="shared" ca="1" si="487"/>
        <v>164</v>
      </c>
      <c r="DM187" s="5" t="str">
        <f t="shared" ca="1" si="488"/>
        <v>VIGENTE</v>
      </c>
      <c r="DN187" s="3"/>
      <c r="DO187" s="4">
        <v>45577</v>
      </c>
      <c r="DP187" s="4">
        <f t="shared" si="635"/>
        <v>46306</v>
      </c>
      <c r="DQ187" s="8">
        <f t="shared" ca="1" si="489"/>
        <v>161</v>
      </c>
      <c r="DR187" s="5" t="str">
        <f t="shared" ca="1" si="490"/>
        <v>VIGENTE</v>
      </c>
      <c r="DS187" s="3"/>
      <c r="DT187" s="4">
        <v>45619</v>
      </c>
      <c r="DU187" s="4">
        <f t="shared" ref="DU187:DU190" si="668">DATE(YEAR(DT187)+2,MONTH(DT187),DAY(DT187)-1)</f>
        <v>46348</v>
      </c>
      <c r="DV187" s="8">
        <f t="shared" ca="1" si="491"/>
        <v>203</v>
      </c>
      <c r="DW187" s="5" t="str">
        <f t="shared" ca="1" si="492"/>
        <v>VIGENTE</v>
      </c>
      <c r="DX187" s="3"/>
      <c r="DY187" s="4">
        <v>45751</v>
      </c>
      <c r="DZ187" s="4">
        <f t="shared" si="636"/>
        <v>46480</v>
      </c>
      <c r="EA187" s="8">
        <f t="shared" ca="1" si="493"/>
        <v>335</v>
      </c>
      <c r="EB187" s="5" t="str">
        <f t="shared" ca="1" si="494"/>
        <v>VIGENTE</v>
      </c>
      <c r="EC187" s="3"/>
      <c r="ED187" s="39">
        <v>45768</v>
      </c>
      <c r="EE187" s="4">
        <f t="shared" si="637"/>
        <v>46498</v>
      </c>
      <c r="EF187" s="8">
        <f t="shared" ca="1" si="495"/>
        <v>353</v>
      </c>
      <c r="EG187" s="5" t="str">
        <f t="shared" ca="1" si="496"/>
        <v>VIGENTE</v>
      </c>
      <c r="EH187" s="3"/>
      <c r="EI187" s="3">
        <v>46107</v>
      </c>
      <c r="EJ187" s="4">
        <f t="shared" si="558"/>
        <v>46472</v>
      </c>
      <c r="EK187" s="8">
        <f t="shared" ca="1" si="497"/>
        <v>327</v>
      </c>
      <c r="EL187" s="5" t="str">
        <f t="shared" ca="1" si="498"/>
        <v>VIGENTE</v>
      </c>
      <c r="EM187" s="3"/>
      <c r="EN187" s="4">
        <v>45660</v>
      </c>
      <c r="EO187" s="4">
        <f t="shared" si="638"/>
        <v>46389</v>
      </c>
      <c r="EP187" s="8">
        <f t="shared" ca="1" si="499"/>
        <v>244</v>
      </c>
      <c r="EQ187" s="5" t="str">
        <f t="shared" ca="1" si="500"/>
        <v>VIGENTE</v>
      </c>
      <c r="ER187" s="3"/>
      <c r="ES187" s="39">
        <v>45524</v>
      </c>
      <c r="ET187" s="4">
        <f t="shared" ref="ET187:ET190" si="669">DATE(YEAR(ES187)+2,MONTH(ES187),DAY(ES187)-1)</f>
        <v>46253</v>
      </c>
      <c r="EU187" s="8">
        <f t="shared" ca="1" si="501"/>
        <v>108</v>
      </c>
      <c r="EV187" s="5" t="str">
        <f t="shared" ca="1" si="502"/>
        <v>VIGENTE</v>
      </c>
      <c r="EW187" s="3"/>
      <c r="EX187" s="4">
        <v>45694</v>
      </c>
      <c r="EY187" s="4">
        <f t="shared" ref="EY187" si="670">DATE(YEAR(EX187)+2,MONTH(EX187),DAY(EX187)-1)</f>
        <v>46423</v>
      </c>
      <c r="EZ187" s="8">
        <f t="shared" ca="1" si="503"/>
        <v>278</v>
      </c>
      <c r="FA187" s="5" t="str">
        <f t="shared" ca="1" si="504"/>
        <v>VIGENTE</v>
      </c>
      <c r="FB187" s="3"/>
      <c r="FC187" s="4">
        <v>45611</v>
      </c>
      <c r="FD187" s="4">
        <f t="shared" ref="FD187:FD190" si="671">DATE(YEAR(FC187)+2,MONTH(FC187),DAY(FC187)-1)</f>
        <v>46340</v>
      </c>
      <c r="FE187" s="8">
        <f t="shared" ca="1" si="505"/>
        <v>195</v>
      </c>
      <c r="FF187" s="5" t="str">
        <f t="shared" ca="1" si="506"/>
        <v>VIGENTE</v>
      </c>
      <c r="FG187" s="3"/>
      <c r="FH187" s="4">
        <v>45668</v>
      </c>
      <c r="FI187" s="4">
        <f t="shared" si="641"/>
        <v>46397</v>
      </c>
      <c r="FJ187" s="8">
        <f t="shared" ca="1" si="507"/>
        <v>252</v>
      </c>
      <c r="FK187" s="5" t="str">
        <f t="shared" ca="1" si="508"/>
        <v>VIGENTE</v>
      </c>
      <c r="FL187" s="3"/>
      <c r="FM187" s="39">
        <v>45530</v>
      </c>
      <c r="FN187" s="4">
        <f t="shared" ref="FN187:FN190" si="672">DATE(YEAR(FM187)+2,MONTH(FM187),DAY(FM187)-1)</f>
        <v>46259</v>
      </c>
      <c r="FO187" s="8">
        <f t="shared" ca="1" si="509"/>
        <v>114</v>
      </c>
      <c r="FP187" s="5" t="str">
        <f t="shared" ca="1" si="510"/>
        <v>VIGENTE</v>
      </c>
      <c r="FQ187" s="3"/>
      <c r="FR187" s="39">
        <v>45605</v>
      </c>
      <c r="FS187" s="4">
        <f t="shared" si="643"/>
        <v>46334</v>
      </c>
      <c r="FT187" s="8">
        <f t="shared" ca="1" si="511"/>
        <v>189</v>
      </c>
      <c r="FU187" s="5" t="str">
        <f t="shared" ca="1" si="512"/>
        <v>VIGENTE</v>
      </c>
      <c r="FV187" s="3"/>
      <c r="FW187" s="4">
        <v>45581</v>
      </c>
      <c r="FX187" s="4">
        <f t="shared" si="644"/>
        <v>46310</v>
      </c>
      <c r="FY187" s="8">
        <f t="shared" ca="1" si="513"/>
        <v>165</v>
      </c>
      <c r="FZ187" s="5" t="str">
        <f t="shared" ca="1" si="514"/>
        <v>VIGENTE</v>
      </c>
      <c r="GA187" s="3"/>
      <c r="GB187" s="4">
        <v>45595</v>
      </c>
      <c r="GC187" s="4">
        <f t="shared" si="645"/>
        <v>46324</v>
      </c>
      <c r="GD187" s="8">
        <f t="shared" ca="1" si="515"/>
        <v>179</v>
      </c>
      <c r="GE187" s="5" t="str">
        <f t="shared" ca="1" si="516"/>
        <v>VIGENTE</v>
      </c>
      <c r="GF187" s="3"/>
      <c r="GG187" s="4">
        <v>45579</v>
      </c>
      <c r="GH187" s="4">
        <f t="shared" si="646"/>
        <v>46308</v>
      </c>
      <c r="GI187" s="8">
        <f t="shared" ca="1" si="517"/>
        <v>163</v>
      </c>
      <c r="GJ187" s="5" t="str">
        <f t="shared" ca="1" si="518"/>
        <v>VIGENTE</v>
      </c>
      <c r="GK187" s="3"/>
      <c r="GL187" s="4">
        <v>45557</v>
      </c>
      <c r="GM187" s="4">
        <f t="shared" si="647"/>
        <v>46286</v>
      </c>
      <c r="GN187" s="8">
        <f t="shared" ca="1" si="519"/>
        <v>141</v>
      </c>
      <c r="GO187" s="5" t="str">
        <f t="shared" ca="1" si="520"/>
        <v>VIGENTE</v>
      </c>
      <c r="GP187" s="4"/>
      <c r="GQ187" s="4">
        <v>44912</v>
      </c>
      <c r="GR187" s="4">
        <f t="shared" si="521"/>
        <v>46738</v>
      </c>
      <c r="GS187" s="8">
        <f t="shared" ca="1" si="601"/>
        <v>593</v>
      </c>
      <c r="GT187" s="5" t="str">
        <f t="shared" ca="1" si="610"/>
        <v>VIGENTE</v>
      </c>
      <c r="GU187" s="3"/>
      <c r="GV187" s="4">
        <v>44910</v>
      </c>
      <c r="GW187" s="4">
        <f t="shared" si="522"/>
        <v>46736</v>
      </c>
      <c r="GX187" s="8">
        <f t="shared" ca="1" si="523"/>
        <v>591</v>
      </c>
      <c r="GY187" s="5" t="str">
        <f t="shared" ca="1" si="611"/>
        <v>VIGENTE</v>
      </c>
      <c r="GZ187" s="2"/>
      <c r="HA187" s="4">
        <v>44911</v>
      </c>
      <c r="HB187" s="4">
        <f t="shared" si="524"/>
        <v>46737</v>
      </c>
      <c r="HC187" s="8">
        <f t="shared" ca="1" si="525"/>
        <v>592</v>
      </c>
      <c r="HD187" s="5" t="str">
        <f t="shared" ca="1" si="612"/>
        <v>VIGENTE</v>
      </c>
      <c r="HE187" s="6"/>
      <c r="HF187" s="4">
        <v>45020</v>
      </c>
      <c r="HG187" s="4">
        <f t="shared" si="648"/>
        <v>46847</v>
      </c>
      <c r="HH187" s="8">
        <f t="shared" ca="1" si="616"/>
        <v>702</v>
      </c>
      <c r="HI187" s="5" t="str">
        <f t="shared" ca="1" si="613"/>
        <v>VIGENTE</v>
      </c>
      <c r="HJ187" s="2"/>
      <c r="HK187" s="6"/>
      <c r="HL187" s="4"/>
      <c r="HM187" s="8"/>
      <c r="HN187" s="5" t="str">
        <f t="shared" si="444"/>
        <v>NO APLICA</v>
      </c>
      <c r="HO187" s="2"/>
      <c r="HP187" s="2"/>
      <c r="HQ187" s="4"/>
      <c r="HR187" s="2"/>
      <c r="HS187" s="5" t="str">
        <f t="shared" si="526"/>
        <v>NO APLICA</v>
      </c>
      <c r="HT187" s="2"/>
      <c r="HU187" s="4">
        <v>44990</v>
      </c>
      <c r="HV187" s="4">
        <f>DATE(YEAR(HU187)+5,MONTH(HU187),DAY(HU187))</f>
        <v>46817</v>
      </c>
      <c r="HW187" s="8">
        <f ca="1">HV187-TODAY()</f>
        <v>672</v>
      </c>
      <c r="HX187" s="5" t="str">
        <f ca="1">IF(HW187&gt;=61,"VIGENTE",IF(HW187&gt;=1,"POR VENCER",IF(HW187&lt;=-1,"VENCIDA",IF(HU187=0,"NO APLICA"))))</f>
        <v>VIGENTE</v>
      </c>
      <c r="HY187" s="2"/>
      <c r="HZ187" s="4">
        <v>44978</v>
      </c>
      <c r="IA187" s="4">
        <f>DATE(YEAR(HZ187)+5,MONTH(HZ187),DAY(HZ187))</f>
        <v>46804</v>
      </c>
      <c r="IB187" s="8">
        <f ca="1">IA187-TODAY()</f>
        <v>659</v>
      </c>
      <c r="IC187" s="5" t="str">
        <f ca="1">IF(IB187&gt;=61,"VIGENTE",IF(IB187&gt;=1,"POR VENCER",IF(IB187&lt;=-1,"VENCIDA",IF(HZ187=0,"NO APLICA"))))</f>
        <v>VIGENTE</v>
      </c>
      <c r="ID187" s="2"/>
      <c r="IE187" s="4">
        <v>44972</v>
      </c>
      <c r="IF187" s="4">
        <f>DATE(YEAR(IE187)+5,MONTH(IE187),DAY(IE187))</f>
        <v>46798</v>
      </c>
      <c r="IG187" s="8">
        <f ca="1">IF187-TODAY()</f>
        <v>653</v>
      </c>
      <c r="IH187" s="5" t="str">
        <f ca="1">IF(IG187&gt;=61,"VIGENTE",IF(IG187&gt;=1,"POR VENCER",IF(IG187&lt;=-1,"VENCIDA",IF(IE187=0,"NO APLICA"))))</f>
        <v>VIGENTE</v>
      </c>
      <c r="II187" s="6"/>
      <c r="IJ187" s="4">
        <v>45058</v>
      </c>
      <c r="IK187" s="4">
        <f>DATE(YEAR(IJ187)+5,MONTH(IJ187),DAY(IJ187))</f>
        <v>46885</v>
      </c>
      <c r="IL187" s="8">
        <f ca="1">IK187-TODAY()</f>
        <v>740</v>
      </c>
      <c r="IM187" s="5" t="str">
        <f ca="1">IF(IL187&gt;=61,"VIGENTE",IF(IL187&gt;=1,"POR VENCER",IF(IL187&lt;=-1,"VENCIDA",IF(IJ187=0,"NO APLICA"))))</f>
        <v>VIGENTE</v>
      </c>
      <c r="IN187" s="2"/>
      <c r="IO187" s="4">
        <v>45064</v>
      </c>
      <c r="IP187" s="4">
        <f>DATE(YEAR(IO187)+5,MONTH(IO187),DAY(IO187))</f>
        <v>46891</v>
      </c>
      <c r="IQ187" s="8">
        <f ca="1">IP187-TODAY()</f>
        <v>746</v>
      </c>
      <c r="IR187" s="5" t="str">
        <f ca="1">IF(IQ187&gt;=61,"VIGENTE",IF(IQ187&gt;=1,"POR VENCER",IF(IQ187&lt;=-1,"VENCIDA",IF(IO187=0,"NO APLICA"))))</f>
        <v>VIGENTE</v>
      </c>
      <c r="IS187" s="2"/>
      <c r="IT187" s="4">
        <v>45013</v>
      </c>
      <c r="IU187" s="4">
        <f t="shared" si="649"/>
        <v>46840</v>
      </c>
      <c r="IV187" s="8">
        <f t="shared" ca="1" si="617"/>
        <v>695</v>
      </c>
      <c r="IW187" s="5" t="str">
        <f t="shared" ca="1" si="532"/>
        <v>VIGENTE</v>
      </c>
      <c r="IX187" s="2"/>
      <c r="IY187" s="4">
        <v>44973</v>
      </c>
      <c r="IZ187" s="4">
        <f t="shared" si="650"/>
        <v>46799</v>
      </c>
      <c r="JA187" s="8">
        <f t="shared" ca="1" si="618"/>
        <v>654</v>
      </c>
      <c r="JB187" s="5" t="str">
        <f t="shared" ca="1" si="533"/>
        <v>VIGENTE</v>
      </c>
      <c r="JC187" s="3" t="s">
        <v>780</v>
      </c>
      <c r="JD187" s="3"/>
      <c r="JE187" s="4"/>
      <c r="JF187" s="8"/>
      <c r="JG187" s="5"/>
      <c r="JH187" s="3" t="s">
        <v>780</v>
      </c>
      <c r="JI187" s="6"/>
      <c r="JJ187" s="6"/>
      <c r="JK187" s="6"/>
      <c r="JL187" s="5"/>
      <c r="JM187" s="6" t="s">
        <v>780</v>
      </c>
      <c r="JN187" s="6"/>
      <c r="JO187" s="6"/>
      <c r="JP187" s="6"/>
      <c r="JQ187" s="5"/>
      <c r="JR187" s="6" t="s">
        <v>780</v>
      </c>
      <c r="JS187" s="6"/>
      <c r="JT187" s="6"/>
      <c r="JU187" s="6"/>
      <c r="JV187" s="5"/>
      <c r="JW187" s="6" t="s">
        <v>780</v>
      </c>
      <c r="JX187" s="5"/>
      <c r="JY187" s="5"/>
      <c r="JZ187" s="5"/>
      <c r="KA187" s="5"/>
      <c r="KB187" s="5"/>
      <c r="KC187" s="2"/>
      <c r="KD187" s="4"/>
      <c r="KE187" s="8"/>
      <c r="KF187" s="5" t="str">
        <f t="shared" si="534"/>
        <v>NO APLICA</v>
      </c>
      <c r="KG187" s="5"/>
      <c r="KH187" s="2"/>
      <c r="KI187" s="4"/>
      <c r="KJ187" s="8"/>
      <c r="KK187" s="5" t="str">
        <f t="shared" si="559"/>
        <v>NO APLICA</v>
      </c>
      <c r="KL187" s="5"/>
      <c r="KM187" s="2"/>
      <c r="KN187" s="4"/>
      <c r="KO187" s="8"/>
      <c r="KP187" s="5" t="str">
        <f t="shared" si="535"/>
        <v>NO APLICA</v>
      </c>
      <c r="KQ187" s="5"/>
      <c r="KR187" s="2"/>
      <c r="KS187" s="4"/>
      <c r="KT187" s="8"/>
      <c r="KU187" s="5" t="str">
        <f t="shared" si="560"/>
        <v>NO APLICA</v>
      </c>
      <c r="KV187" s="2"/>
      <c r="KW187" s="6"/>
      <c r="KX187" s="4"/>
      <c r="KY187" s="8"/>
      <c r="KZ187" s="5" t="str">
        <f t="shared" si="565"/>
        <v>NO APLICA</v>
      </c>
      <c r="LA187" s="5"/>
      <c r="LB187" s="6"/>
      <c r="LC187" s="4"/>
      <c r="LD187" s="8"/>
      <c r="LE187" s="5" t="str">
        <f t="shared" si="561"/>
        <v>NO APLICA</v>
      </c>
      <c r="LF187" s="6"/>
      <c r="LG187" s="4"/>
      <c r="LH187" s="4"/>
      <c r="LI187" s="8"/>
      <c r="LJ187" s="5" t="str">
        <f>IF(LI187&gt;=61,"VIGENTE",IF(LI187&gt;=1,"POR VENCER",IF(LI187&lt;=-1,"VENCIDA",IF(LG187=0,"NO APLICA"))))</f>
        <v>NO APLICA</v>
      </c>
      <c r="LK187" s="5"/>
      <c r="LL187" s="5"/>
      <c r="LM187" s="5"/>
      <c r="LN187" s="5"/>
      <c r="LO187" s="5" t="str">
        <f t="shared" si="566"/>
        <v>NO APLICA</v>
      </c>
      <c r="LP187" s="2"/>
      <c r="LQ187" s="6"/>
      <c r="LR187" s="4"/>
      <c r="LS187" s="8"/>
      <c r="LT187" s="5" t="str">
        <f t="shared" si="562"/>
        <v>NO APLICA</v>
      </c>
      <c r="LU187" s="6"/>
      <c r="LV187" s="6"/>
      <c r="LW187" s="4"/>
      <c r="LX187" s="8"/>
      <c r="LY187" s="5" t="str">
        <f t="shared" si="563"/>
        <v>NO APLICA</v>
      </c>
      <c r="LZ187" s="6"/>
      <c r="MA187" s="6"/>
      <c r="MB187" s="4"/>
      <c r="MC187" s="8"/>
      <c r="MD187" s="5" t="str">
        <f t="shared" si="564"/>
        <v>NO APLICA</v>
      </c>
      <c r="ME187" s="2"/>
      <c r="MF187" s="2"/>
      <c r="MG187" s="4"/>
      <c r="MH187" s="8"/>
      <c r="MI187" s="5" t="str">
        <f t="shared" si="537"/>
        <v>NO APLICA</v>
      </c>
      <c r="MJ187" s="2"/>
      <c r="MK187" s="2"/>
      <c r="ML187" s="4"/>
      <c r="MM187" s="8"/>
      <c r="MN187" s="5" t="str">
        <f t="shared" si="538"/>
        <v>NO APLICA</v>
      </c>
      <c r="MO187" s="5"/>
      <c r="MP187" s="2"/>
      <c r="MQ187" s="4"/>
      <c r="MR187" s="8"/>
      <c r="MS187" s="5" t="str">
        <f t="shared" si="539"/>
        <v>NO APLICA</v>
      </c>
      <c r="MT187" s="5"/>
      <c r="MU187" s="2"/>
      <c r="MV187" s="4"/>
      <c r="MW187" s="2"/>
      <c r="MX187" s="5" t="str">
        <f t="shared" si="540"/>
        <v>NO APLICA</v>
      </c>
      <c r="MY187" s="2"/>
      <c r="MZ187" s="6"/>
      <c r="NA187" s="4"/>
      <c r="NB187" s="8"/>
      <c r="NC187" s="5" t="str">
        <f t="shared" si="541"/>
        <v>NO APLICA</v>
      </c>
      <c r="ND187" s="2"/>
      <c r="NE187" s="6"/>
      <c r="NF187" s="4"/>
      <c r="NG187" s="8"/>
      <c r="NH187" s="5" t="str">
        <f t="shared" si="542"/>
        <v>NO APLICA</v>
      </c>
      <c r="NI187" s="2"/>
      <c r="NJ187" s="6"/>
      <c r="NK187" s="4"/>
      <c r="NL187" s="8"/>
      <c r="NM187" s="5" t="str">
        <f t="shared" si="543"/>
        <v>NO APLICA</v>
      </c>
      <c r="NN187" s="2"/>
      <c r="NO187" s="2"/>
      <c r="NP187" s="4"/>
      <c r="NQ187" s="2"/>
      <c r="NR187" s="5" t="str">
        <f t="shared" si="544"/>
        <v>NO APLICA</v>
      </c>
      <c r="NS187" s="2"/>
      <c r="NT187" s="2"/>
      <c r="NU187" s="4"/>
      <c r="NV187" s="2"/>
      <c r="NW187" s="5" t="str">
        <f t="shared" si="545"/>
        <v>NO APLICA</v>
      </c>
      <c r="NX187" s="6"/>
      <c r="NY187" s="6"/>
      <c r="NZ187" s="4"/>
      <c r="OA187" s="8"/>
      <c r="OB187" s="5" t="str">
        <f t="shared" si="546"/>
        <v>NO APLICA</v>
      </c>
      <c r="OC187" s="6"/>
      <c r="OD187" s="6"/>
      <c r="OE187" s="6"/>
      <c r="OF187" s="6"/>
      <c r="OG187" s="5" t="str">
        <f t="shared" si="547"/>
        <v>NO APLICA</v>
      </c>
      <c r="OH187" s="6"/>
      <c r="OI187" s="6"/>
      <c r="OJ187" s="4"/>
      <c r="OK187" s="8"/>
      <c r="OL187" s="5" t="str">
        <f t="shared" si="548"/>
        <v>NO APLICA</v>
      </c>
      <c r="OM187" s="6"/>
      <c r="ON187" s="6"/>
      <c r="OO187" s="6"/>
      <c r="OP187" s="6"/>
      <c r="OQ187" s="5" t="str">
        <f t="shared" si="549"/>
        <v>NO APLICA</v>
      </c>
      <c r="OR187" s="6"/>
      <c r="OS187" s="6"/>
      <c r="OT187" s="6"/>
      <c r="OU187" s="6"/>
      <c r="OV187" s="5" t="str">
        <f t="shared" si="550"/>
        <v>NO APLICA</v>
      </c>
      <c r="OW187" s="6"/>
      <c r="OX187" s="6"/>
      <c r="OY187" s="6"/>
      <c r="OZ187" s="6"/>
      <c r="PA187" s="5" t="str">
        <f t="shared" si="551"/>
        <v>NO APLICA</v>
      </c>
      <c r="PB187" s="6"/>
      <c r="PC187" s="6"/>
      <c r="PD187" s="6"/>
      <c r="PE187" s="6"/>
      <c r="PF187" s="5" t="str">
        <f t="shared" si="552"/>
        <v>NO APLICA</v>
      </c>
      <c r="PG187" s="6"/>
      <c r="PH187" s="6"/>
      <c r="PI187" s="6"/>
      <c r="PJ187" s="6"/>
      <c r="PK187" s="5" t="str">
        <f t="shared" si="553"/>
        <v>NO APLICA</v>
      </c>
      <c r="PL187" s="5"/>
      <c r="PM187" s="6"/>
      <c r="PN187" s="4"/>
      <c r="PO187" s="8"/>
      <c r="PP187" s="5" t="str">
        <f t="shared" si="554"/>
        <v>NO APLICA</v>
      </c>
      <c r="PQ187" s="6"/>
      <c r="PR187" s="6"/>
      <c r="PS187" s="6"/>
      <c r="PT187" s="6"/>
      <c r="PU187" s="5" t="str">
        <f t="shared" si="555"/>
        <v>NO APLICA</v>
      </c>
      <c r="PV187" s="5"/>
      <c r="PW187" s="6"/>
      <c r="PX187" s="6"/>
      <c r="PY187" s="6"/>
      <c r="PZ187" s="5" t="str">
        <f t="shared" si="556"/>
        <v>NO APLICA</v>
      </c>
    </row>
    <row r="188" spans="1:442" ht="15.6" hidden="1" thickTop="1" thickBot="1" x14ac:dyDescent="0.35">
      <c r="A188" s="26">
        <v>185</v>
      </c>
      <c r="B188" s="27">
        <v>1424</v>
      </c>
      <c r="C188" s="28" t="s">
        <v>590</v>
      </c>
      <c r="D188" s="29" t="s">
        <v>68</v>
      </c>
      <c r="E188" s="30" t="s">
        <v>73</v>
      </c>
      <c r="F188" s="5"/>
      <c r="G188" s="6"/>
      <c r="H188" s="4"/>
      <c r="I188" s="8"/>
      <c r="J188" s="5" t="str">
        <f t="shared" si="455"/>
        <v>NO APLICA</v>
      </c>
      <c r="K188" s="5"/>
      <c r="L188" s="6"/>
      <c r="M188" s="6"/>
      <c r="N188" s="8"/>
      <c r="O188" s="5" t="str">
        <f t="shared" si="456"/>
        <v>NO APLICA</v>
      </c>
      <c r="P188" s="6"/>
      <c r="Q188" s="6"/>
      <c r="R188" s="4"/>
      <c r="S188" s="8"/>
      <c r="T188" s="5" t="str">
        <f t="shared" si="557"/>
        <v>NO APLICA</v>
      </c>
      <c r="U188" s="5"/>
      <c r="V188" s="2" t="s">
        <v>591</v>
      </c>
      <c r="W188" s="4">
        <v>45337</v>
      </c>
      <c r="X188" s="4">
        <f t="shared" si="587"/>
        <v>47164</v>
      </c>
      <c r="Y188" s="8">
        <f t="shared" ca="1" si="588"/>
        <v>1019</v>
      </c>
      <c r="Z188" s="5" t="str">
        <f t="shared" ca="1" si="605"/>
        <v>VIGENTE</v>
      </c>
      <c r="AA188" s="5"/>
      <c r="AB188" s="2" t="s">
        <v>592</v>
      </c>
      <c r="AC188" s="4">
        <v>44824</v>
      </c>
      <c r="AD188" s="4">
        <f t="shared" si="619"/>
        <v>46650</v>
      </c>
      <c r="AE188" s="8">
        <f t="shared" ca="1" si="614"/>
        <v>505</v>
      </c>
      <c r="AF188" s="5" t="str">
        <f t="shared" ca="1" si="457"/>
        <v>VIGENTE</v>
      </c>
      <c r="AG188" s="3"/>
      <c r="AH188" s="4">
        <v>45609</v>
      </c>
      <c r="AI188" s="4">
        <f t="shared" si="620"/>
        <v>46338</v>
      </c>
      <c r="AJ188" s="8">
        <f t="shared" ca="1" si="458"/>
        <v>193</v>
      </c>
      <c r="AK188" s="5" t="str">
        <f t="shared" ca="1" si="602"/>
        <v>VIGENTE</v>
      </c>
      <c r="AL188" s="3"/>
      <c r="AM188" s="4">
        <v>45926</v>
      </c>
      <c r="AN188" s="4">
        <f t="shared" ref="AN188:AN191" si="673">DATE(YEAR(AM188)+2,MONTH(AM188),DAY(AM188))</f>
        <v>46656</v>
      </c>
      <c r="AO188" s="8">
        <f t="shared" ca="1" si="459"/>
        <v>511</v>
      </c>
      <c r="AP188" s="5" t="str">
        <f t="shared" ca="1" si="460"/>
        <v>VIGENTE</v>
      </c>
      <c r="AQ188" s="3"/>
      <c r="AR188" s="4">
        <v>45904</v>
      </c>
      <c r="AS188" s="4">
        <f t="shared" ref="AS188:AS191" si="674">DATE(YEAR(AR188)+2,MONTH(AR188),DAY(AR188))</f>
        <v>46634</v>
      </c>
      <c r="AT188" s="8">
        <f t="shared" ca="1" si="461"/>
        <v>489</v>
      </c>
      <c r="AU188" s="5" t="str">
        <f t="shared" ca="1" si="462"/>
        <v>VIGENTE</v>
      </c>
      <c r="AV188" s="3"/>
      <c r="AW188" s="4">
        <v>45927</v>
      </c>
      <c r="AX188" s="4">
        <f>DATE(YEAR(AW188)+2,MONTH(AW188),DAY(AW188))</f>
        <v>46657</v>
      </c>
      <c r="AY188" s="8">
        <f t="shared" ca="1" si="463"/>
        <v>512</v>
      </c>
      <c r="AZ188" s="5" t="str">
        <f t="shared" ca="1" si="464"/>
        <v>VIGENTE</v>
      </c>
      <c r="BA188" s="3"/>
      <c r="BB188" s="4">
        <v>45901</v>
      </c>
      <c r="BC188" s="4">
        <f t="shared" ref="BC188:BC189" si="675">DATE(YEAR(BB188)+2,MONTH(BB188),DAY(BB188))</f>
        <v>46631</v>
      </c>
      <c r="BD188" s="8">
        <f t="shared" ca="1" si="465"/>
        <v>486</v>
      </c>
      <c r="BE188" s="5" t="str">
        <f t="shared" ca="1" si="466"/>
        <v>VIGENTE</v>
      </c>
      <c r="BF188" s="3"/>
      <c r="BG188" s="4">
        <v>45968</v>
      </c>
      <c r="BH188" s="4">
        <f>DATE(YEAR(BG188)+2,MONTH(BG188),DAY(BG188))</f>
        <v>46698</v>
      </c>
      <c r="BI188" s="8">
        <f t="shared" ca="1" si="467"/>
        <v>553</v>
      </c>
      <c r="BJ188" s="5" t="str">
        <f t="shared" ca="1" si="468"/>
        <v>VIGENTE</v>
      </c>
      <c r="BK188" s="3"/>
      <c r="BL188" s="4">
        <v>46035</v>
      </c>
      <c r="BM188" s="4">
        <f t="shared" ref="BM188:BM191" si="676">DATE(YEAR(BL188)+2,MONTH(BL188),DAY(BL188))</f>
        <v>46765</v>
      </c>
      <c r="BN188" s="8">
        <f t="shared" ca="1" si="469"/>
        <v>620</v>
      </c>
      <c r="BO188" s="5" t="str">
        <f t="shared" ca="1" si="470"/>
        <v>VIGENTE</v>
      </c>
      <c r="BP188" s="3"/>
      <c r="BQ188" s="39">
        <v>46120</v>
      </c>
      <c r="BR188" s="4">
        <f>DATE(YEAR(BQ188)+2,MONTH(BQ188),DAY(BQ188)-1)</f>
        <v>46850</v>
      </c>
      <c r="BS188" s="8">
        <f t="shared" ca="1" si="471"/>
        <v>705</v>
      </c>
      <c r="BT188" s="5" t="str">
        <f t="shared" ca="1" si="472"/>
        <v>VIGENTE</v>
      </c>
      <c r="BU188" s="3"/>
      <c r="BV188" s="4">
        <v>46116</v>
      </c>
      <c r="BW188" s="4">
        <f t="shared" si="627"/>
        <v>46846</v>
      </c>
      <c r="BX188" s="8">
        <f t="shared" ca="1" si="473"/>
        <v>701</v>
      </c>
      <c r="BY188" s="5" t="str">
        <f t="shared" ca="1" si="474"/>
        <v>VIGENTE</v>
      </c>
      <c r="BZ188" s="3"/>
      <c r="CA188" s="3">
        <v>45894</v>
      </c>
      <c r="CB188" s="4">
        <f t="shared" ref="CB188:CB191" si="677">DATE(YEAR(CA188)+2,MONTH(CA188),DAY(CA188))</f>
        <v>46624</v>
      </c>
      <c r="CC188" s="8">
        <f t="shared" ca="1" si="475"/>
        <v>479</v>
      </c>
      <c r="CD188" s="5" t="str">
        <f t="shared" ca="1" si="476"/>
        <v>VIGENTE</v>
      </c>
      <c r="CE188" s="6"/>
      <c r="CF188" s="4">
        <v>45227</v>
      </c>
      <c r="CG188" s="4">
        <f t="shared" si="590"/>
        <v>46688</v>
      </c>
      <c r="CH188" s="8">
        <f t="shared" ca="1" si="591"/>
        <v>543</v>
      </c>
      <c r="CI188" s="5" t="str">
        <f t="shared" ca="1" si="573"/>
        <v>VIGENTE</v>
      </c>
      <c r="CJ188" s="4"/>
      <c r="CK188" s="4">
        <v>45929</v>
      </c>
      <c r="CL188" s="4">
        <f>DATE(YEAR(CK188)+2,MONTH(CK188),DAY(CK188))</f>
        <v>46659</v>
      </c>
      <c r="CM188" s="8">
        <f t="shared" ca="1" si="477"/>
        <v>514</v>
      </c>
      <c r="CN188" s="5" t="str">
        <f t="shared" ca="1" si="478"/>
        <v>VIGENTE</v>
      </c>
      <c r="CO188" s="3"/>
      <c r="CP188" s="39">
        <v>45898</v>
      </c>
      <c r="CQ188" s="4">
        <f t="shared" ref="CQ188:CQ189" si="678">DATE(YEAR(CP188)+2,MONTH(CP188),DAY(CP188))</f>
        <v>46628</v>
      </c>
      <c r="CR188" s="8">
        <f t="shared" ca="1" si="479"/>
        <v>483</v>
      </c>
      <c r="CS188" s="5" t="str">
        <f t="shared" ca="1" si="480"/>
        <v>VIGENTE</v>
      </c>
      <c r="CT188" s="3"/>
      <c r="CU188" s="4">
        <v>45631</v>
      </c>
      <c r="CV188" s="4">
        <f t="shared" si="631"/>
        <v>46360</v>
      </c>
      <c r="CW188" s="8">
        <f t="shared" ca="1" si="481"/>
        <v>215</v>
      </c>
      <c r="CX188" s="5" t="str">
        <f t="shared" ca="1" si="482"/>
        <v>VIGENTE</v>
      </c>
      <c r="CY188" s="3"/>
      <c r="CZ188" s="4">
        <v>45665</v>
      </c>
      <c r="DA188" s="4">
        <f t="shared" si="632"/>
        <v>46394</v>
      </c>
      <c r="DB188" s="8">
        <f t="shared" ca="1" si="483"/>
        <v>249</v>
      </c>
      <c r="DC188" s="5" t="str">
        <f t="shared" ca="1" si="484"/>
        <v>VIGENTE</v>
      </c>
      <c r="DD188" s="3"/>
      <c r="DE188" s="39">
        <v>45689</v>
      </c>
      <c r="DF188" s="4">
        <f t="shared" si="633"/>
        <v>46418</v>
      </c>
      <c r="DG188" s="8">
        <f t="shared" ca="1" si="485"/>
        <v>273</v>
      </c>
      <c r="DH188" s="5" t="str">
        <f t="shared" ca="1" si="486"/>
        <v>VIGENTE</v>
      </c>
      <c r="DI188" s="3"/>
      <c r="DJ188" s="39">
        <v>45899</v>
      </c>
      <c r="DK188" s="4">
        <f t="shared" ref="DK188:DK191" si="679">DATE(YEAR(DJ188)+2,MONTH(DJ188),DAY(DJ188))</f>
        <v>46629</v>
      </c>
      <c r="DL188" s="8">
        <f t="shared" ca="1" si="487"/>
        <v>484</v>
      </c>
      <c r="DM188" s="5" t="str">
        <f t="shared" ca="1" si="488"/>
        <v>VIGENTE</v>
      </c>
      <c r="DN188" s="3"/>
      <c r="DO188" s="4">
        <v>45982</v>
      </c>
      <c r="DP188" s="4">
        <f t="shared" ref="DP188:DP191" si="680">DATE(YEAR(DO188)+2,MONTH(DO188),DAY(DO188))</f>
        <v>46712</v>
      </c>
      <c r="DQ188" s="8">
        <f t="shared" ca="1" si="489"/>
        <v>567</v>
      </c>
      <c r="DR188" s="5" t="str">
        <f t="shared" ca="1" si="490"/>
        <v>VIGENTE</v>
      </c>
      <c r="DS188" s="3"/>
      <c r="DT188" s="4">
        <v>45918</v>
      </c>
      <c r="DU188" s="4">
        <f>DATE(YEAR(DT188)+2,MONTH(DT188),DAY(DT188))</f>
        <v>46648</v>
      </c>
      <c r="DV188" s="8">
        <f t="shared" ca="1" si="491"/>
        <v>503</v>
      </c>
      <c r="DW188" s="5" t="str">
        <f t="shared" ca="1" si="492"/>
        <v>VIGENTE</v>
      </c>
      <c r="DX188" s="3"/>
      <c r="DY188" s="4">
        <v>45915</v>
      </c>
      <c r="DZ188" s="4">
        <f t="shared" ref="DZ188:DZ189" si="681">DATE(YEAR(DY188)+2,MONTH(DY188),DAY(DY188))</f>
        <v>46645</v>
      </c>
      <c r="EA188" s="8">
        <f t="shared" ca="1" si="493"/>
        <v>500</v>
      </c>
      <c r="EB188" s="5" t="str">
        <f t="shared" ca="1" si="494"/>
        <v>VIGENTE</v>
      </c>
      <c r="EC188" s="3"/>
      <c r="ED188" s="39">
        <v>45883</v>
      </c>
      <c r="EE188" s="4">
        <f t="shared" si="637"/>
        <v>46613</v>
      </c>
      <c r="EF188" s="8">
        <f t="shared" ca="1" si="495"/>
        <v>468</v>
      </c>
      <c r="EG188" s="5" t="str">
        <f t="shared" ca="1" si="496"/>
        <v>VIGENTE</v>
      </c>
      <c r="EH188" s="3"/>
      <c r="EI188" s="4">
        <v>45948</v>
      </c>
      <c r="EJ188" s="4">
        <f t="shared" si="558"/>
        <v>46313</v>
      </c>
      <c r="EK188" s="8">
        <f t="shared" ca="1" si="497"/>
        <v>168</v>
      </c>
      <c r="EL188" s="5" t="str">
        <f t="shared" ca="1" si="498"/>
        <v>VIGENTE</v>
      </c>
      <c r="EM188" s="3"/>
      <c r="EN188" s="4">
        <v>45983</v>
      </c>
      <c r="EO188" s="4">
        <f t="shared" ref="EO188:EO189" si="682">DATE(YEAR(EN188)+2,MONTH(EN188),DAY(EN188))</f>
        <v>46713</v>
      </c>
      <c r="EP188" s="8">
        <f t="shared" ca="1" si="499"/>
        <v>568</v>
      </c>
      <c r="EQ188" s="5" t="str">
        <f t="shared" ca="1" si="500"/>
        <v>VIGENTE</v>
      </c>
      <c r="ER188" s="3"/>
      <c r="ES188" s="39">
        <v>45999</v>
      </c>
      <c r="ET188" s="4">
        <f t="shared" ref="ET188:ET189" si="683">DATE(YEAR(ES188)+2,MONTH(ES188),DAY(ES188))</f>
        <v>46729</v>
      </c>
      <c r="EU188" s="8">
        <f t="shared" ca="1" si="501"/>
        <v>584</v>
      </c>
      <c r="EV188" s="5" t="str">
        <f t="shared" ca="1" si="502"/>
        <v>VIGENTE</v>
      </c>
      <c r="EW188" s="3"/>
      <c r="EX188" s="4">
        <v>45917</v>
      </c>
      <c r="EY188" s="4">
        <f t="shared" ref="EY188:EY191" si="684">DATE(YEAR(EX188)+2,MONTH(EX188),DAY(EX188))</f>
        <v>46647</v>
      </c>
      <c r="EZ188" s="8">
        <f t="shared" ca="1" si="503"/>
        <v>502</v>
      </c>
      <c r="FA188" s="5" t="str">
        <f t="shared" ca="1" si="504"/>
        <v>VIGENTE</v>
      </c>
      <c r="FB188" s="3"/>
      <c r="FC188" s="4">
        <v>45922</v>
      </c>
      <c r="FD188" s="4">
        <f t="shared" ref="FD188:FD189" si="685">DATE(YEAR(FC188)+2,MONTH(FC188),DAY(FC188))</f>
        <v>46652</v>
      </c>
      <c r="FE188" s="8">
        <f t="shared" ca="1" si="505"/>
        <v>507</v>
      </c>
      <c r="FF188" s="5" t="str">
        <f t="shared" ca="1" si="506"/>
        <v>VIGENTE</v>
      </c>
      <c r="FG188" s="3"/>
      <c r="FH188" s="4">
        <v>45932</v>
      </c>
      <c r="FI188" s="4">
        <f t="shared" ref="FI188:FI191" si="686">DATE(YEAR(FH188)+2,MONTH(FH188),DAY(FH188))</f>
        <v>46662</v>
      </c>
      <c r="FJ188" s="8">
        <f t="shared" ca="1" si="507"/>
        <v>517</v>
      </c>
      <c r="FK188" s="5" t="str">
        <f t="shared" ca="1" si="508"/>
        <v>VIGENTE</v>
      </c>
      <c r="FL188" s="3"/>
      <c r="FM188" s="39">
        <v>45920</v>
      </c>
      <c r="FN188" s="4">
        <f t="shared" ref="FN188:FN189" si="687">DATE(YEAR(FM188)+2,MONTH(FM188),DAY(FM188))</f>
        <v>46650</v>
      </c>
      <c r="FO188" s="8">
        <f t="shared" ca="1" si="509"/>
        <v>505</v>
      </c>
      <c r="FP188" s="5" t="str">
        <f t="shared" ca="1" si="510"/>
        <v>VIGENTE</v>
      </c>
      <c r="FQ188" s="3"/>
      <c r="FR188" s="39">
        <v>45957</v>
      </c>
      <c r="FS188" s="4">
        <f t="shared" ref="FS188:FS189" si="688">DATE(YEAR(FR188)+2,MONTH(FR188),DAY(FR188))</f>
        <v>46687</v>
      </c>
      <c r="FT188" s="8">
        <f t="shared" ca="1" si="511"/>
        <v>542</v>
      </c>
      <c r="FU188" s="5" t="str">
        <f t="shared" ca="1" si="512"/>
        <v>VIGENTE</v>
      </c>
      <c r="FV188" s="3"/>
      <c r="FW188" s="4">
        <v>45587</v>
      </c>
      <c r="FX188" s="4">
        <f t="shared" si="644"/>
        <v>46316</v>
      </c>
      <c r="FY188" s="8">
        <f t="shared" ca="1" si="513"/>
        <v>171</v>
      </c>
      <c r="FZ188" s="5" t="str">
        <f t="shared" ca="1" si="514"/>
        <v>VIGENTE</v>
      </c>
      <c r="GA188" s="3"/>
      <c r="GB188" s="4">
        <v>45925</v>
      </c>
      <c r="GC188" s="4">
        <f>DATE(YEAR(GB188)+2,MONTH(GB188),DAY(GB188))</f>
        <v>46655</v>
      </c>
      <c r="GD188" s="8">
        <f t="shared" ca="1" si="515"/>
        <v>510</v>
      </c>
      <c r="GE188" s="5" t="str">
        <f t="shared" ca="1" si="516"/>
        <v>VIGENTE</v>
      </c>
      <c r="GF188" s="3"/>
      <c r="GG188" s="4">
        <v>45912</v>
      </c>
      <c r="GH188" s="4">
        <f t="shared" ref="GH188:GH191" si="689">DATE(YEAR(GG188)+2,MONTH(GG188),DAY(GG188))</f>
        <v>46642</v>
      </c>
      <c r="GI188" s="8">
        <f t="shared" ca="1" si="517"/>
        <v>497</v>
      </c>
      <c r="GJ188" s="5" t="str">
        <f t="shared" ca="1" si="518"/>
        <v>VIGENTE</v>
      </c>
      <c r="GK188" s="3"/>
      <c r="GL188" s="4">
        <v>45923</v>
      </c>
      <c r="GM188" s="4">
        <f>DATE(YEAR(GL188)+2,MONTH(GL188),DAY(GL188))</f>
        <v>46653</v>
      </c>
      <c r="GN188" s="8">
        <f t="shared" ca="1" si="519"/>
        <v>508</v>
      </c>
      <c r="GO188" s="5" t="str">
        <f t="shared" ca="1" si="520"/>
        <v>VIGENTE</v>
      </c>
      <c r="GP188" s="4"/>
      <c r="GQ188" s="4">
        <v>45244</v>
      </c>
      <c r="GR188" s="4">
        <f t="shared" si="521"/>
        <v>47071</v>
      </c>
      <c r="GS188" s="8">
        <f t="shared" ca="1" si="601"/>
        <v>926</v>
      </c>
      <c r="GT188" s="5" t="str">
        <f t="shared" ca="1" si="610"/>
        <v>VIGENTE</v>
      </c>
      <c r="GU188" s="4"/>
      <c r="GV188" s="4">
        <v>45245</v>
      </c>
      <c r="GW188" s="4">
        <f t="shared" si="522"/>
        <v>47072</v>
      </c>
      <c r="GX188" s="8">
        <f t="shared" ca="1" si="523"/>
        <v>927</v>
      </c>
      <c r="GY188" s="5" t="str">
        <f t="shared" ca="1" si="611"/>
        <v>VIGENTE</v>
      </c>
      <c r="GZ188" s="3"/>
      <c r="HA188" s="4">
        <v>45249</v>
      </c>
      <c r="HB188" s="4">
        <f t="shared" si="524"/>
        <v>47076</v>
      </c>
      <c r="HC188" s="8">
        <f t="shared" ca="1" si="525"/>
        <v>931</v>
      </c>
      <c r="HD188" s="5" t="str">
        <f t="shared" ca="1" si="612"/>
        <v>VIGENTE</v>
      </c>
      <c r="HE188" s="6"/>
      <c r="HF188" s="4">
        <v>44879</v>
      </c>
      <c r="HG188" s="4">
        <f t="shared" si="648"/>
        <v>46705</v>
      </c>
      <c r="HH188" s="8">
        <f t="shared" ca="1" si="616"/>
        <v>560</v>
      </c>
      <c r="HI188" s="5" t="str">
        <f t="shared" ca="1" si="613"/>
        <v>VIGENTE</v>
      </c>
      <c r="HJ188" s="3"/>
      <c r="HK188" s="4">
        <v>45370</v>
      </c>
      <c r="HL188" s="4">
        <f>DATE(YEAR(HK188)+5,MONTH(HK188),DAY(HK188))</f>
        <v>47196</v>
      </c>
      <c r="HM188" s="8">
        <f ca="1">HL188-TODAY()</f>
        <v>1051</v>
      </c>
      <c r="HN188" s="5" t="str">
        <f ca="1">IF(HM188&gt;=61,"VIGENTE",IF(HM188&gt;=1,"POR VENCER",IF(HM188&lt;=-1,"VENCIDA",IF(HK188=0,"NO APLICA"))))</f>
        <v>VIGENTE</v>
      </c>
      <c r="HO188" s="2"/>
      <c r="HP188" s="3">
        <v>45374</v>
      </c>
      <c r="HQ188" s="4">
        <f>DATE(YEAR(HP188)+5,MONTH(HP188),DAY(HP188))</f>
        <v>47200</v>
      </c>
      <c r="HR188" s="8">
        <f ca="1">HQ188-TODAY()</f>
        <v>1055</v>
      </c>
      <c r="HS188" s="5" t="str">
        <f ca="1">IF(HR188&gt;=61,"VIGENTE",IF(HR188&gt;=1,"POR VENCER",IF(HR188&lt;=-1,"VENCIDA",IF(HP188=0,"NO APLICA"))))</f>
        <v>VIGENTE</v>
      </c>
      <c r="HT188" s="3"/>
      <c r="HU188" s="4">
        <v>45243</v>
      </c>
      <c r="HV188" s="4">
        <f>DATE(YEAR(HU188)+5,MONTH(HU188),DAY(HU188))</f>
        <v>47070</v>
      </c>
      <c r="HW188" s="8">
        <f ca="1">HV188-TODAY()</f>
        <v>925</v>
      </c>
      <c r="HX188" s="5" t="str">
        <f ca="1">IF(HW188&gt;=61,"VIGENTE",IF(HW188&gt;=1,"POR VENCER",IF(HW188&lt;=-1,"VENCIDA",IF(HU188=0,"NO APLICA"))))</f>
        <v>VIGENTE</v>
      </c>
      <c r="HY188" s="3"/>
      <c r="HZ188" s="4">
        <v>45234</v>
      </c>
      <c r="IA188" s="4">
        <f>DATE(YEAR(HZ188)+5,MONTH(HZ188),DAY(HZ188))</f>
        <v>47061</v>
      </c>
      <c r="IB188" s="8">
        <f ca="1">IA188-TODAY()</f>
        <v>916</v>
      </c>
      <c r="IC188" s="5" t="str">
        <f ca="1">IF(IB188&gt;=61,"VIGENTE",IF(IB188&gt;=1,"POR VENCER",IF(IB188&lt;=-1,"VENCIDA",IF(HZ188=0,"NO APLICA"))))</f>
        <v>VIGENTE</v>
      </c>
      <c r="ID188" s="3"/>
      <c r="IE188" s="4">
        <v>45236</v>
      </c>
      <c r="IF188" s="4">
        <f>DATE(YEAR(IE188)+5,MONTH(IE188),DAY(IE188))</f>
        <v>47063</v>
      </c>
      <c r="IG188" s="8">
        <f ca="1">IF188-TODAY()</f>
        <v>918</v>
      </c>
      <c r="IH188" s="5" t="str">
        <f ca="1">IF(IG188&gt;=61,"VIGENTE",IF(IG188&gt;=1,"POR VENCER",IF(IG188&lt;=-1,"VENCIDA",IF(IE188=0,"NO APLICA"))))</f>
        <v>VIGENTE</v>
      </c>
      <c r="II188" s="4"/>
      <c r="IJ188" s="4">
        <v>45238</v>
      </c>
      <c r="IK188" s="4">
        <f>DATE(YEAR(IJ188)+5,MONTH(IJ188),DAY(IJ188))</f>
        <v>47065</v>
      </c>
      <c r="IL188" s="8">
        <f ca="1">IK188-TODAY()</f>
        <v>920</v>
      </c>
      <c r="IM188" s="5" t="str">
        <f ca="1">IF(IL188&gt;=61,"VIGENTE",IF(IL188&gt;=1,"POR VENCER",IF(IL188&lt;=-1,"VENCIDA",IF(IJ188=0,"NO APLICA"))))</f>
        <v>VIGENTE</v>
      </c>
      <c r="IN188" s="3"/>
      <c r="IO188" s="4">
        <v>45239</v>
      </c>
      <c r="IP188" s="4">
        <f>DATE(YEAR(IO188)+5,MONTH(IO188),DAY(IO188))</f>
        <v>47066</v>
      </c>
      <c r="IQ188" s="8">
        <f ca="1">IP188-TODAY()</f>
        <v>921</v>
      </c>
      <c r="IR188" s="5" t="str">
        <f ca="1">IF(IQ188&gt;=61,"VIGENTE",IF(IQ188&gt;=1,"POR VENCER",IF(IQ188&lt;=-1,"VENCIDA",IF(IO188=0,"NO APLICA"))))</f>
        <v>VIGENTE</v>
      </c>
      <c r="IS188" s="3"/>
      <c r="IT188" s="4">
        <v>45233</v>
      </c>
      <c r="IU188" s="4">
        <f t="shared" si="649"/>
        <v>47060</v>
      </c>
      <c r="IV188" s="8">
        <f t="shared" ca="1" si="617"/>
        <v>915</v>
      </c>
      <c r="IW188" s="5" t="str">
        <f t="shared" ca="1" si="532"/>
        <v>VIGENTE</v>
      </c>
      <c r="IX188" s="3"/>
      <c r="IY188" s="4">
        <v>45261</v>
      </c>
      <c r="IZ188" s="4">
        <f t="shared" si="650"/>
        <v>47088</v>
      </c>
      <c r="JA188" s="8">
        <f t="shared" ca="1" si="618"/>
        <v>943</v>
      </c>
      <c r="JB188" s="5" t="str">
        <f t="shared" ca="1" si="533"/>
        <v>VIGENTE</v>
      </c>
      <c r="JC188" s="3" t="s">
        <v>780</v>
      </c>
      <c r="JD188" s="3"/>
      <c r="JE188" s="4"/>
      <c r="JF188" s="8"/>
      <c r="JG188" s="5"/>
      <c r="JH188" s="3" t="s">
        <v>780</v>
      </c>
      <c r="JI188" s="6"/>
      <c r="JJ188" s="6"/>
      <c r="JK188" s="6"/>
      <c r="JL188" s="5"/>
      <c r="JM188" s="6" t="s">
        <v>780</v>
      </c>
      <c r="JN188" s="6"/>
      <c r="JO188" s="6"/>
      <c r="JP188" s="6"/>
      <c r="JQ188" s="5"/>
      <c r="JR188" s="6" t="s">
        <v>780</v>
      </c>
      <c r="JS188" s="6"/>
      <c r="JT188" s="6"/>
      <c r="JU188" s="6"/>
      <c r="JV188" s="5"/>
      <c r="JW188" s="6" t="s">
        <v>780</v>
      </c>
      <c r="JX188" s="5"/>
      <c r="JY188" s="5"/>
      <c r="JZ188" s="5"/>
      <c r="KA188" s="5"/>
      <c r="KB188" s="5"/>
      <c r="KC188" s="2"/>
      <c r="KD188" s="4"/>
      <c r="KE188" s="8"/>
      <c r="KF188" s="5" t="str">
        <f t="shared" si="534"/>
        <v>NO APLICA</v>
      </c>
      <c r="KG188" s="5"/>
      <c r="KH188" s="2"/>
      <c r="KI188" s="4"/>
      <c r="KJ188" s="8"/>
      <c r="KK188" s="5" t="str">
        <f t="shared" si="559"/>
        <v>NO APLICA</v>
      </c>
      <c r="KL188" s="5"/>
      <c r="KM188" s="2"/>
      <c r="KN188" s="4"/>
      <c r="KO188" s="8"/>
      <c r="KP188" s="5" t="str">
        <f t="shared" si="535"/>
        <v>NO APLICA</v>
      </c>
      <c r="KQ188" s="5"/>
      <c r="KR188" s="2"/>
      <c r="KS188" s="4"/>
      <c r="KT188" s="8"/>
      <c r="KU188" s="5" t="str">
        <f t="shared" si="560"/>
        <v>NO APLICA</v>
      </c>
      <c r="KV188" s="2"/>
      <c r="KW188" s="6"/>
      <c r="KX188" s="4"/>
      <c r="KY188" s="8"/>
      <c r="KZ188" s="5" t="str">
        <f t="shared" si="565"/>
        <v>NO APLICA</v>
      </c>
      <c r="LA188" s="5"/>
      <c r="LB188" s="6"/>
      <c r="LC188" s="4"/>
      <c r="LD188" s="8"/>
      <c r="LE188" s="5" t="str">
        <f t="shared" si="561"/>
        <v>NO APLICA</v>
      </c>
      <c r="LF188" s="4"/>
      <c r="LG188" s="4"/>
      <c r="LH188" s="4"/>
      <c r="LI188" s="8"/>
      <c r="LJ188" s="5" t="str">
        <f>IF(LI188&gt;=61,"VIGENTE",IF(LI188&gt;=1,"POR VENCER",IF(LI188&lt;=-1,"VENCIDA",IF(LG188=0,"NO APLICA"))))</f>
        <v>NO APLICA</v>
      </c>
      <c r="LK188" s="5"/>
      <c r="LL188" s="5"/>
      <c r="LM188" s="5"/>
      <c r="LN188" s="5"/>
      <c r="LO188" s="5" t="str">
        <f t="shared" si="566"/>
        <v>NO APLICA</v>
      </c>
      <c r="LP188" s="2"/>
      <c r="LQ188" s="6"/>
      <c r="LR188" s="4"/>
      <c r="LS188" s="8"/>
      <c r="LT188" s="5" t="str">
        <f t="shared" si="562"/>
        <v>NO APLICA</v>
      </c>
      <c r="LU188" s="4"/>
      <c r="LV188" s="4">
        <v>44986</v>
      </c>
      <c r="LW188" s="4">
        <f>DATE(YEAR(LV188)+5,MONTH(LV188),DAY(LV188))</f>
        <v>46813</v>
      </c>
      <c r="LX188" s="8">
        <f ca="1">LW188-TODAY()</f>
        <v>668</v>
      </c>
      <c r="LY188" s="5" t="str">
        <f ca="1">IF(LX188&gt;=61,"VIGENTE",IF(LX188&gt;=1,"POR VENCER",IF(LX188&lt;=-1,"VENCIDA",IF(LV188=0,"NO APLICA"))))</f>
        <v>VIGENTE</v>
      </c>
      <c r="LZ188" s="4"/>
      <c r="MA188" s="4">
        <v>44988</v>
      </c>
      <c r="MB188" s="4">
        <f>DATE(YEAR(MA188)+5,MONTH(MA188),DAY(MA188))</f>
        <v>46815</v>
      </c>
      <c r="MC188" s="8">
        <f ca="1">MB188-TODAY()</f>
        <v>670</v>
      </c>
      <c r="MD188" s="5" t="str">
        <f ca="1">IF(MC188&gt;=61,"VIGENTE",IF(MC188&gt;=1,"POR VENCER",IF(MC188&lt;=-1,"VENCIDA",IF(MA188=0,"NO APLICA"))))</f>
        <v>VIGENTE</v>
      </c>
      <c r="ME188" s="2"/>
      <c r="MF188" s="2"/>
      <c r="MG188" s="4"/>
      <c r="MH188" s="8"/>
      <c r="MI188" s="5" t="str">
        <f t="shared" si="537"/>
        <v>NO APLICA</v>
      </c>
      <c r="MJ188" s="2"/>
      <c r="MK188" s="2"/>
      <c r="ML188" s="4"/>
      <c r="MM188" s="8"/>
      <c r="MN188" s="5" t="str">
        <f t="shared" si="538"/>
        <v>NO APLICA</v>
      </c>
      <c r="MO188" s="5"/>
      <c r="MP188" s="2"/>
      <c r="MQ188" s="4"/>
      <c r="MR188" s="8"/>
      <c r="MS188" s="5" t="str">
        <f t="shared" si="539"/>
        <v>NO APLICA</v>
      </c>
      <c r="MT188" s="5"/>
      <c r="MU188" s="2"/>
      <c r="MV188" s="4"/>
      <c r="MW188" s="2"/>
      <c r="MX188" s="5" t="str">
        <f t="shared" si="540"/>
        <v>NO APLICA</v>
      </c>
      <c r="MY188" s="2"/>
      <c r="MZ188" s="6"/>
      <c r="NA188" s="4"/>
      <c r="NB188" s="8"/>
      <c r="NC188" s="5" t="str">
        <f t="shared" si="541"/>
        <v>NO APLICA</v>
      </c>
      <c r="ND188" s="2"/>
      <c r="NE188" s="6"/>
      <c r="NF188" s="4"/>
      <c r="NG188" s="8"/>
      <c r="NH188" s="5" t="str">
        <f t="shared" si="542"/>
        <v>NO APLICA</v>
      </c>
      <c r="NI188" s="2"/>
      <c r="NJ188" s="6"/>
      <c r="NK188" s="4"/>
      <c r="NL188" s="8"/>
      <c r="NM188" s="5" t="str">
        <f t="shared" si="543"/>
        <v>NO APLICA</v>
      </c>
      <c r="NN188" s="2"/>
      <c r="NO188" s="2"/>
      <c r="NP188" s="4"/>
      <c r="NQ188" s="2"/>
      <c r="NR188" s="5" t="str">
        <f t="shared" si="544"/>
        <v>NO APLICA</v>
      </c>
      <c r="NS188" s="2"/>
      <c r="NT188" s="2"/>
      <c r="NU188" s="4"/>
      <c r="NV188" s="2"/>
      <c r="NW188" s="5" t="str">
        <f t="shared" si="545"/>
        <v>NO APLICA</v>
      </c>
      <c r="NX188" s="6"/>
      <c r="NY188" s="6"/>
      <c r="NZ188" s="4"/>
      <c r="OA188" s="8"/>
      <c r="OB188" s="5" t="str">
        <f t="shared" si="546"/>
        <v>NO APLICA</v>
      </c>
      <c r="OC188" s="6"/>
      <c r="OD188" s="6"/>
      <c r="OE188" s="6"/>
      <c r="OF188" s="6"/>
      <c r="OG188" s="5" t="str">
        <f t="shared" si="547"/>
        <v>NO APLICA</v>
      </c>
      <c r="OH188" s="6"/>
      <c r="OI188" s="6"/>
      <c r="OJ188" s="4"/>
      <c r="OK188" s="8"/>
      <c r="OL188" s="5" t="str">
        <f t="shared" si="548"/>
        <v>NO APLICA</v>
      </c>
      <c r="OM188" s="6"/>
      <c r="ON188" s="6"/>
      <c r="OO188" s="6"/>
      <c r="OP188" s="6"/>
      <c r="OQ188" s="5" t="str">
        <f t="shared" si="549"/>
        <v>NO APLICA</v>
      </c>
      <c r="OR188" s="6"/>
      <c r="OS188" s="6"/>
      <c r="OT188" s="6"/>
      <c r="OU188" s="6"/>
      <c r="OV188" s="5" t="str">
        <f t="shared" si="550"/>
        <v>NO APLICA</v>
      </c>
      <c r="OW188" s="6"/>
      <c r="OX188" s="6"/>
      <c r="OY188" s="6"/>
      <c r="OZ188" s="6"/>
      <c r="PA188" s="5" t="str">
        <f t="shared" si="551"/>
        <v>NO APLICA</v>
      </c>
      <c r="PB188" s="6"/>
      <c r="PC188" s="6"/>
      <c r="PD188" s="6"/>
      <c r="PE188" s="6"/>
      <c r="PF188" s="5" t="str">
        <f t="shared" si="552"/>
        <v>NO APLICA</v>
      </c>
      <c r="PG188" s="6"/>
      <c r="PH188" s="6"/>
      <c r="PI188" s="6"/>
      <c r="PJ188" s="6"/>
      <c r="PK188" s="5" t="str">
        <f t="shared" si="553"/>
        <v>NO APLICA</v>
      </c>
      <c r="PL188" s="5"/>
      <c r="PM188" s="6"/>
      <c r="PN188" s="4"/>
      <c r="PO188" s="8"/>
      <c r="PP188" s="5" t="str">
        <f t="shared" si="554"/>
        <v>NO APLICA</v>
      </c>
      <c r="PQ188" s="6"/>
      <c r="PR188" s="6"/>
      <c r="PS188" s="6"/>
      <c r="PT188" s="6"/>
      <c r="PU188" s="5" t="str">
        <f t="shared" si="555"/>
        <v>NO APLICA</v>
      </c>
      <c r="PV188" s="5"/>
      <c r="PW188" s="6"/>
      <c r="PX188" s="6"/>
      <c r="PY188" s="6"/>
      <c r="PZ188" s="5" t="str">
        <f t="shared" si="556"/>
        <v>NO APLICA</v>
      </c>
    </row>
    <row r="189" spans="1:442" ht="15.6" hidden="1" thickTop="1" thickBot="1" x14ac:dyDescent="0.35">
      <c r="A189" s="26">
        <v>186</v>
      </c>
      <c r="B189" s="31">
        <v>1699</v>
      </c>
      <c r="C189" s="28" t="s">
        <v>593</v>
      </c>
      <c r="D189" s="29" t="s">
        <v>68</v>
      </c>
      <c r="E189" s="30" t="s">
        <v>73</v>
      </c>
      <c r="F189" s="5"/>
      <c r="G189" s="6"/>
      <c r="H189" s="4"/>
      <c r="I189" s="8"/>
      <c r="J189" s="5" t="str">
        <f t="shared" si="455"/>
        <v>NO APLICA</v>
      </c>
      <c r="K189" s="5"/>
      <c r="L189" s="6"/>
      <c r="M189" s="6"/>
      <c r="N189" s="8"/>
      <c r="O189" s="5" t="str">
        <f t="shared" si="456"/>
        <v>NO APLICA</v>
      </c>
      <c r="P189" s="4"/>
      <c r="Q189" s="4"/>
      <c r="R189" s="4"/>
      <c r="S189" s="8"/>
      <c r="T189" s="5" t="str">
        <f t="shared" si="557"/>
        <v>NO APLICA</v>
      </c>
      <c r="U189" s="5"/>
      <c r="V189" s="2" t="s">
        <v>594</v>
      </c>
      <c r="W189" s="4">
        <v>45156</v>
      </c>
      <c r="X189" s="4">
        <f t="shared" si="587"/>
        <v>46983</v>
      </c>
      <c r="Y189" s="8">
        <f t="shared" ca="1" si="588"/>
        <v>838</v>
      </c>
      <c r="Z189" s="5" t="str">
        <f t="shared" ca="1" si="605"/>
        <v>VIGENTE</v>
      </c>
      <c r="AA189" s="5"/>
      <c r="AB189" s="2" t="s">
        <v>595</v>
      </c>
      <c r="AC189" s="4">
        <v>45162</v>
      </c>
      <c r="AD189" s="4">
        <f t="shared" si="619"/>
        <v>46989</v>
      </c>
      <c r="AE189" s="8">
        <f t="shared" ca="1" si="614"/>
        <v>844</v>
      </c>
      <c r="AF189" s="5" t="str">
        <f t="shared" ca="1" si="457"/>
        <v>VIGENTE</v>
      </c>
      <c r="AG189" s="3"/>
      <c r="AH189" s="4">
        <v>46006</v>
      </c>
      <c r="AI189" s="4">
        <f t="shared" ref="AI189:AI191" si="690">DATE(YEAR(AH189)+2,MONTH(AH189),DAY(AH189))</f>
        <v>46736</v>
      </c>
      <c r="AJ189" s="8">
        <f t="shared" ca="1" si="458"/>
        <v>591</v>
      </c>
      <c r="AK189" s="5" t="str">
        <f t="shared" ca="1" si="602"/>
        <v>VIGENTE</v>
      </c>
      <c r="AL189" s="3"/>
      <c r="AM189" s="4">
        <v>45959</v>
      </c>
      <c r="AN189" s="4">
        <f t="shared" si="673"/>
        <v>46689</v>
      </c>
      <c r="AO189" s="8">
        <f t="shared" ca="1" si="459"/>
        <v>544</v>
      </c>
      <c r="AP189" s="5" t="str">
        <f t="shared" ca="1" si="460"/>
        <v>VIGENTE</v>
      </c>
      <c r="AQ189" s="3"/>
      <c r="AR189" s="4">
        <v>45971</v>
      </c>
      <c r="AS189" s="4">
        <f t="shared" si="674"/>
        <v>46701</v>
      </c>
      <c r="AT189" s="8">
        <f t="shared" ca="1" si="461"/>
        <v>556</v>
      </c>
      <c r="AU189" s="5" t="str">
        <f t="shared" ca="1" si="462"/>
        <v>VIGENTE</v>
      </c>
      <c r="AV189" s="2"/>
      <c r="AW189" s="4">
        <v>45952</v>
      </c>
      <c r="AX189" s="4">
        <f>DATE(YEAR(AW189)+2,MONTH(AW189),DAY(AW189))</f>
        <v>46682</v>
      </c>
      <c r="AY189" s="8">
        <f t="shared" ca="1" si="463"/>
        <v>537</v>
      </c>
      <c r="AZ189" s="5" t="str">
        <f t="shared" ca="1" si="464"/>
        <v>VIGENTE</v>
      </c>
      <c r="BA189" s="3"/>
      <c r="BB189" s="4">
        <v>46041</v>
      </c>
      <c r="BC189" s="4">
        <f t="shared" si="675"/>
        <v>46771</v>
      </c>
      <c r="BD189" s="8">
        <f t="shared" ca="1" si="465"/>
        <v>626</v>
      </c>
      <c r="BE189" s="5" t="str">
        <f t="shared" ca="1" si="466"/>
        <v>VIGENTE</v>
      </c>
      <c r="BF189" s="2"/>
      <c r="BG189" s="4">
        <v>45987</v>
      </c>
      <c r="BH189" s="4">
        <f>DATE(YEAR(BG189)+2,MONTH(BG189),DAY(BG189))</f>
        <v>46717</v>
      </c>
      <c r="BI189" s="8">
        <f t="shared" ca="1" si="467"/>
        <v>572</v>
      </c>
      <c r="BJ189" s="5" t="str">
        <f t="shared" ca="1" si="468"/>
        <v>VIGENTE</v>
      </c>
      <c r="BK189" s="3"/>
      <c r="BL189" s="4">
        <v>46007</v>
      </c>
      <c r="BM189" s="4">
        <f t="shared" si="676"/>
        <v>46737</v>
      </c>
      <c r="BN189" s="8">
        <f t="shared" ca="1" si="469"/>
        <v>592</v>
      </c>
      <c r="BO189" s="5" t="str">
        <f t="shared" ca="1" si="470"/>
        <v>VIGENTE</v>
      </c>
      <c r="BP189" s="4"/>
      <c r="BQ189" s="39">
        <v>45981</v>
      </c>
      <c r="BR189" s="4">
        <f>DATE(YEAR(BQ189)+2,MONTH(BQ189),DAY(BQ189))</f>
        <v>46711</v>
      </c>
      <c r="BS189" s="8">
        <f t="shared" ca="1" si="471"/>
        <v>566</v>
      </c>
      <c r="BT189" s="5" t="str">
        <f t="shared" ca="1" si="472"/>
        <v>VIGENTE</v>
      </c>
      <c r="BU189" s="3"/>
      <c r="BV189" s="4">
        <v>46031</v>
      </c>
      <c r="BW189" s="4">
        <f>DATE(YEAR(BV189)+2,MONTH(BV189),DAY(BV189))</f>
        <v>46761</v>
      </c>
      <c r="BX189" s="8">
        <f t="shared" ca="1" si="473"/>
        <v>616</v>
      </c>
      <c r="BY189" s="5" t="str">
        <f t="shared" ca="1" si="474"/>
        <v>VIGENTE</v>
      </c>
      <c r="BZ189" s="2"/>
      <c r="CA189" s="4">
        <v>45986</v>
      </c>
      <c r="CB189" s="4">
        <f t="shared" si="677"/>
        <v>46716</v>
      </c>
      <c r="CC189" s="8">
        <f t="shared" ca="1" si="475"/>
        <v>571</v>
      </c>
      <c r="CD189" s="5" t="str">
        <f t="shared" ca="1" si="476"/>
        <v>VIGENTE</v>
      </c>
      <c r="CE189" s="6"/>
      <c r="CF189" s="4">
        <v>45164</v>
      </c>
      <c r="CG189" s="4">
        <f t="shared" si="590"/>
        <v>46625</v>
      </c>
      <c r="CH189" s="8">
        <f t="shared" ca="1" si="591"/>
        <v>480</v>
      </c>
      <c r="CI189" s="5" t="str">
        <f t="shared" ca="1" si="573"/>
        <v>VIGENTE</v>
      </c>
      <c r="CJ189" s="4"/>
      <c r="CK189" s="4">
        <v>46018</v>
      </c>
      <c r="CL189" s="4">
        <f>DATE(YEAR(CK189)+2,MONTH(CK189),DAY(CK189))</f>
        <v>46748</v>
      </c>
      <c r="CM189" s="8">
        <f t="shared" ca="1" si="477"/>
        <v>603</v>
      </c>
      <c r="CN189" s="5" t="str">
        <f t="shared" ca="1" si="478"/>
        <v>VIGENTE</v>
      </c>
      <c r="CO189" s="4"/>
      <c r="CP189" s="39">
        <v>45979</v>
      </c>
      <c r="CQ189" s="4">
        <f t="shared" si="678"/>
        <v>46709</v>
      </c>
      <c r="CR189" s="8">
        <f t="shared" ca="1" si="479"/>
        <v>564</v>
      </c>
      <c r="CS189" s="5" t="str">
        <f t="shared" ca="1" si="480"/>
        <v>VIGENTE</v>
      </c>
      <c r="CT189" s="2"/>
      <c r="CU189" s="4">
        <v>45939</v>
      </c>
      <c r="CV189" s="4">
        <f t="shared" ref="CV189:CV191" si="691">DATE(YEAR(CU189)+2,MONTH(CU189),DAY(CU189))</f>
        <v>46669</v>
      </c>
      <c r="CW189" s="8">
        <f t="shared" ca="1" si="481"/>
        <v>524</v>
      </c>
      <c r="CX189" s="5" t="str">
        <f t="shared" ca="1" si="482"/>
        <v>VIGENTE</v>
      </c>
      <c r="CY189" s="3"/>
      <c r="CZ189" s="4">
        <v>46000</v>
      </c>
      <c r="DA189" s="4">
        <f t="shared" ref="DA189:DA191" si="692">DATE(YEAR(CZ189)+2,MONTH(CZ189),DAY(CZ189))</f>
        <v>46730</v>
      </c>
      <c r="DB189" s="8">
        <f t="shared" ca="1" si="483"/>
        <v>585</v>
      </c>
      <c r="DC189" s="5" t="str">
        <f t="shared" ca="1" si="484"/>
        <v>VIGENTE</v>
      </c>
      <c r="DD189" s="4"/>
      <c r="DE189" s="39">
        <v>46045</v>
      </c>
      <c r="DF189" s="4">
        <f>DATE(YEAR(DE189)+2,MONTH(DE189),DAY(DE189))</f>
        <v>46775</v>
      </c>
      <c r="DG189" s="8">
        <f t="shared" ca="1" si="485"/>
        <v>630</v>
      </c>
      <c r="DH189" s="5" t="str">
        <f t="shared" ca="1" si="486"/>
        <v>VIGENTE</v>
      </c>
      <c r="DI189" s="3"/>
      <c r="DJ189" s="39">
        <v>45955</v>
      </c>
      <c r="DK189" s="4">
        <f t="shared" si="679"/>
        <v>46685</v>
      </c>
      <c r="DL189" s="8">
        <f t="shared" ca="1" si="487"/>
        <v>540</v>
      </c>
      <c r="DM189" s="5" t="str">
        <f t="shared" ca="1" si="488"/>
        <v>VIGENTE</v>
      </c>
      <c r="DN189" s="3"/>
      <c r="DO189" s="4">
        <v>45982</v>
      </c>
      <c r="DP189" s="4">
        <f t="shared" si="680"/>
        <v>46712</v>
      </c>
      <c r="DQ189" s="8">
        <f t="shared" ca="1" si="489"/>
        <v>567</v>
      </c>
      <c r="DR189" s="5" t="str">
        <f t="shared" ca="1" si="490"/>
        <v>VIGENTE</v>
      </c>
      <c r="DS189" s="3"/>
      <c r="DT189" s="4">
        <v>46003</v>
      </c>
      <c r="DU189" s="4">
        <f>DATE(YEAR(DT189)+2,MONTH(DT189),DAY(DT189))</f>
        <v>46733</v>
      </c>
      <c r="DV189" s="8">
        <f t="shared" ca="1" si="491"/>
        <v>588</v>
      </c>
      <c r="DW189" s="5" t="str">
        <f t="shared" ca="1" si="492"/>
        <v>VIGENTE</v>
      </c>
      <c r="DX189" s="4"/>
      <c r="DY189" s="4">
        <v>46032</v>
      </c>
      <c r="DZ189" s="4">
        <f t="shared" si="681"/>
        <v>46762</v>
      </c>
      <c r="EA189" s="8">
        <f t="shared" ca="1" si="493"/>
        <v>617</v>
      </c>
      <c r="EB189" s="5" t="str">
        <f t="shared" ca="1" si="494"/>
        <v>VIGENTE</v>
      </c>
      <c r="EC189" s="4"/>
      <c r="ED189" s="39">
        <v>45994</v>
      </c>
      <c r="EE189" s="4">
        <f t="shared" si="637"/>
        <v>46724</v>
      </c>
      <c r="EF189" s="8">
        <f t="shared" ca="1" si="495"/>
        <v>579</v>
      </c>
      <c r="EG189" s="5" t="str">
        <f t="shared" ca="1" si="496"/>
        <v>VIGENTE</v>
      </c>
      <c r="EH189" s="3"/>
      <c r="EI189" s="4">
        <v>46123</v>
      </c>
      <c r="EJ189" s="4">
        <f t="shared" si="558"/>
        <v>46488</v>
      </c>
      <c r="EK189" s="8">
        <f t="shared" ca="1" si="497"/>
        <v>343</v>
      </c>
      <c r="EL189" s="5" t="str">
        <f t="shared" ca="1" si="498"/>
        <v>VIGENTE</v>
      </c>
      <c r="EM189" s="3"/>
      <c r="EN189" s="4">
        <v>45995</v>
      </c>
      <c r="EO189" s="4">
        <f t="shared" si="682"/>
        <v>46725</v>
      </c>
      <c r="EP189" s="8">
        <f t="shared" ca="1" si="499"/>
        <v>580</v>
      </c>
      <c r="EQ189" s="5" t="str">
        <f t="shared" ca="1" si="500"/>
        <v>VIGENTE</v>
      </c>
      <c r="ER189" s="2"/>
      <c r="ES189" s="39">
        <v>45999</v>
      </c>
      <c r="ET189" s="4">
        <f t="shared" si="683"/>
        <v>46729</v>
      </c>
      <c r="EU189" s="8">
        <f t="shared" ca="1" si="501"/>
        <v>584</v>
      </c>
      <c r="EV189" s="5" t="str">
        <f t="shared" ca="1" si="502"/>
        <v>VIGENTE</v>
      </c>
      <c r="EW189" s="3"/>
      <c r="EX189" s="4">
        <v>46063</v>
      </c>
      <c r="EY189" s="4">
        <f t="shared" si="684"/>
        <v>46793</v>
      </c>
      <c r="EZ189" s="8">
        <f t="shared" ca="1" si="503"/>
        <v>648</v>
      </c>
      <c r="FA189" s="5" t="str">
        <f t="shared" ca="1" si="504"/>
        <v>VIGENTE</v>
      </c>
      <c r="FB189" s="2"/>
      <c r="FC189" s="4">
        <v>45988</v>
      </c>
      <c r="FD189" s="4">
        <f t="shared" si="685"/>
        <v>46718</v>
      </c>
      <c r="FE189" s="8">
        <f t="shared" ca="1" si="505"/>
        <v>573</v>
      </c>
      <c r="FF189" s="5" t="str">
        <f t="shared" ca="1" si="506"/>
        <v>VIGENTE</v>
      </c>
      <c r="FG189" s="2"/>
      <c r="FH189" s="4">
        <v>45992</v>
      </c>
      <c r="FI189" s="4">
        <f t="shared" si="686"/>
        <v>46722</v>
      </c>
      <c r="FJ189" s="8">
        <f t="shared" ca="1" si="507"/>
        <v>577</v>
      </c>
      <c r="FK189" s="5" t="str">
        <f t="shared" ca="1" si="508"/>
        <v>VIGENTE</v>
      </c>
      <c r="FL189" s="4"/>
      <c r="FM189" s="39">
        <v>46039</v>
      </c>
      <c r="FN189" s="4">
        <f t="shared" si="687"/>
        <v>46769</v>
      </c>
      <c r="FO189" s="8">
        <f t="shared" ca="1" si="509"/>
        <v>624</v>
      </c>
      <c r="FP189" s="5" t="str">
        <f t="shared" ca="1" si="510"/>
        <v>VIGENTE</v>
      </c>
      <c r="FQ189" s="4"/>
      <c r="FR189" s="39">
        <v>46034</v>
      </c>
      <c r="FS189" s="4">
        <f t="shared" si="688"/>
        <v>46764</v>
      </c>
      <c r="FT189" s="8">
        <f t="shared" ca="1" si="511"/>
        <v>619</v>
      </c>
      <c r="FU189" s="5" t="str">
        <f t="shared" ca="1" si="512"/>
        <v>VIGENTE</v>
      </c>
      <c r="FV189" s="3"/>
      <c r="FW189" s="4">
        <v>45993</v>
      </c>
      <c r="FX189" s="4">
        <f t="shared" ref="FX189:FX191" si="693">DATE(YEAR(FW189)+2,MONTH(FW189),DAY(FW189))</f>
        <v>46723</v>
      </c>
      <c r="FY189" s="8">
        <f t="shared" ca="1" si="513"/>
        <v>578</v>
      </c>
      <c r="FZ189" s="5" t="str">
        <f t="shared" ca="1" si="514"/>
        <v>VIGENTE</v>
      </c>
      <c r="GA189" s="3"/>
      <c r="GB189" s="4">
        <v>45925</v>
      </c>
      <c r="GC189" s="4">
        <f>DATE(YEAR(GB189)+2,MONTH(GB189),DAY(GB189))</f>
        <v>46655</v>
      </c>
      <c r="GD189" s="8">
        <f t="shared" ca="1" si="515"/>
        <v>510</v>
      </c>
      <c r="GE189" s="5" t="str">
        <f t="shared" ca="1" si="516"/>
        <v>VIGENTE</v>
      </c>
      <c r="GF189" s="3"/>
      <c r="GG189" s="4">
        <v>45960</v>
      </c>
      <c r="GH189" s="4">
        <f t="shared" si="689"/>
        <v>46690</v>
      </c>
      <c r="GI189" s="8">
        <f t="shared" ca="1" si="517"/>
        <v>545</v>
      </c>
      <c r="GJ189" s="5" t="str">
        <f t="shared" ca="1" si="518"/>
        <v>VIGENTE</v>
      </c>
      <c r="GK189" s="3"/>
      <c r="GL189" s="4">
        <v>45499</v>
      </c>
      <c r="GM189" s="4">
        <f t="shared" si="647"/>
        <v>46228</v>
      </c>
      <c r="GN189" s="8">
        <f t="shared" ca="1" si="519"/>
        <v>83</v>
      </c>
      <c r="GO189" s="5" t="str">
        <f t="shared" ca="1" si="520"/>
        <v>VIGENTE</v>
      </c>
      <c r="GP189" s="4"/>
      <c r="GQ189" s="4">
        <v>45299</v>
      </c>
      <c r="GR189" s="4">
        <f t="shared" si="521"/>
        <v>47126</v>
      </c>
      <c r="GS189" s="8">
        <f t="shared" ca="1" si="601"/>
        <v>981</v>
      </c>
      <c r="GT189" s="5" t="str">
        <f t="shared" ca="1" si="610"/>
        <v>VIGENTE</v>
      </c>
      <c r="GU189" s="3"/>
      <c r="GV189" s="4">
        <v>45329</v>
      </c>
      <c r="GW189" s="4">
        <f t="shared" si="522"/>
        <v>47156</v>
      </c>
      <c r="GX189" s="8">
        <f t="shared" ca="1" si="523"/>
        <v>1011</v>
      </c>
      <c r="GY189" s="5" t="str">
        <f t="shared" ca="1" si="611"/>
        <v>VIGENTE</v>
      </c>
      <c r="GZ189" s="2"/>
      <c r="HA189" s="4">
        <v>45343</v>
      </c>
      <c r="HB189" s="4">
        <f t="shared" si="524"/>
        <v>47170</v>
      </c>
      <c r="HC189" s="8">
        <f t="shared" ca="1" si="525"/>
        <v>1025</v>
      </c>
      <c r="HD189" s="5" t="str">
        <f t="shared" ca="1" si="612"/>
        <v>VIGENTE</v>
      </c>
      <c r="HE189" s="6"/>
      <c r="HF189" s="4">
        <v>45317</v>
      </c>
      <c r="HG189" s="4">
        <f t="shared" si="648"/>
        <v>47144</v>
      </c>
      <c r="HH189" s="8">
        <f t="shared" ca="1" si="616"/>
        <v>999</v>
      </c>
      <c r="HI189" s="5" t="str">
        <f t="shared" ca="1" si="613"/>
        <v>VIGENTE</v>
      </c>
      <c r="HJ189" s="2"/>
      <c r="HK189" s="6"/>
      <c r="HL189" s="4"/>
      <c r="HM189" s="8"/>
      <c r="HN189" s="5" t="str">
        <f t="shared" ref="HN189:HN240" si="694">IF(HM189&gt;=61,"VIGENTE",IF(HM189&gt;=1,"POR VENCER",IF(HM189&lt;=-1,"VENCIDA",IF(HK189=0,"NO APLICA"))))</f>
        <v>NO APLICA</v>
      </c>
      <c r="HO189" s="2"/>
      <c r="HP189" s="2"/>
      <c r="HQ189" s="4"/>
      <c r="HR189" s="2"/>
      <c r="HS189" s="5" t="str">
        <f t="shared" si="526"/>
        <v>NO APLICA</v>
      </c>
      <c r="HT189" s="2"/>
      <c r="HU189" s="6"/>
      <c r="HV189" s="4"/>
      <c r="HW189" s="8"/>
      <c r="HX189" s="5" t="str">
        <f t="shared" si="527"/>
        <v>NO APLICA</v>
      </c>
      <c r="HY189" s="2"/>
      <c r="HZ189" s="6"/>
      <c r="IA189" s="4"/>
      <c r="IB189" s="8"/>
      <c r="IC189" s="5" t="str">
        <f t="shared" si="528"/>
        <v>NO APLICA</v>
      </c>
      <c r="ID189" s="2"/>
      <c r="IE189" s="6"/>
      <c r="IF189" s="4"/>
      <c r="IG189" s="8"/>
      <c r="IH189" s="5" t="str">
        <f t="shared" si="529"/>
        <v>NO APLICA</v>
      </c>
      <c r="II189" s="6"/>
      <c r="IJ189" s="6"/>
      <c r="IK189" s="4"/>
      <c r="IL189" s="8"/>
      <c r="IM189" s="5" t="str">
        <f t="shared" si="530"/>
        <v>NO APLICA</v>
      </c>
      <c r="IN189" s="2"/>
      <c r="IO189" s="6"/>
      <c r="IP189" s="4"/>
      <c r="IQ189" s="8"/>
      <c r="IR189" s="5" t="str">
        <f t="shared" si="531"/>
        <v>NO APLICA</v>
      </c>
      <c r="IS189" s="2"/>
      <c r="IT189" s="6"/>
      <c r="IU189" s="4"/>
      <c r="IV189" s="8"/>
      <c r="IW189" s="5" t="str">
        <f t="shared" si="532"/>
        <v>NO APLICA</v>
      </c>
      <c r="IX189" s="2"/>
      <c r="IY189" s="6"/>
      <c r="IZ189" s="4"/>
      <c r="JA189" s="8"/>
      <c r="JB189" s="5" t="str">
        <f t="shared" si="533"/>
        <v>NO APLICA</v>
      </c>
      <c r="JC189" s="3" t="s">
        <v>780</v>
      </c>
      <c r="JD189" s="3"/>
      <c r="JE189" s="4"/>
      <c r="JF189" s="8"/>
      <c r="JG189" s="5"/>
      <c r="JH189" s="3" t="s">
        <v>780</v>
      </c>
      <c r="JI189" s="6"/>
      <c r="JJ189" s="6"/>
      <c r="JK189" s="6"/>
      <c r="JL189" s="5"/>
      <c r="JM189" s="6" t="s">
        <v>780</v>
      </c>
      <c r="JN189" s="6"/>
      <c r="JO189" s="6"/>
      <c r="JP189" s="6"/>
      <c r="JQ189" s="5"/>
      <c r="JR189" s="6" t="s">
        <v>780</v>
      </c>
      <c r="JS189" s="6"/>
      <c r="JT189" s="6"/>
      <c r="JU189" s="6"/>
      <c r="JV189" s="5"/>
      <c r="JW189" s="6" t="s">
        <v>780</v>
      </c>
      <c r="JX189" s="5"/>
      <c r="JY189" s="5"/>
      <c r="JZ189" s="5"/>
      <c r="KA189" s="5"/>
      <c r="KB189" s="5"/>
      <c r="KC189" s="2"/>
      <c r="KD189" s="4"/>
      <c r="KE189" s="8"/>
      <c r="KF189" s="5" t="str">
        <f t="shared" si="534"/>
        <v>NO APLICA</v>
      </c>
      <c r="KG189" s="5"/>
      <c r="KH189" s="3">
        <v>45328</v>
      </c>
      <c r="KI189" s="4">
        <f>DATE(YEAR(KH189)+5,MONTH(KH189),DAY(KH189)-1)</f>
        <v>47154</v>
      </c>
      <c r="KJ189" s="8">
        <f ca="1">KI189-TODAY()</f>
        <v>1009</v>
      </c>
      <c r="KK189" s="5" t="str">
        <f ca="1">IF(KJ189&gt;=61,"VIGENTE",IF(KJ189&gt;=1,"POR VENCER",IF(KJ189&lt;=-1,"VENCIDA",IF(KH189=0,"NO APLICA"))))</f>
        <v>VIGENTE</v>
      </c>
      <c r="KL189" s="5"/>
      <c r="KM189" s="2"/>
      <c r="KN189" s="4"/>
      <c r="KO189" s="8"/>
      <c r="KP189" s="5" t="str">
        <f t="shared" si="535"/>
        <v>NO APLICA</v>
      </c>
      <c r="KQ189" s="5"/>
      <c r="KR189" s="3">
        <v>45346</v>
      </c>
      <c r="KS189" s="4">
        <f>DATE(YEAR(KR189)+5,MONTH(KR189),DAY(KR189))</f>
        <v>47173</v>
      </c>
      <c r="KT189" s="8">
        <f ca="1">KS189-TODAY()</f>
        <v>1028</v>
      </c>
      <c r="KU189" s="5" t="str">
        <f ca="1">IF(KT189&gt;=61,"VIGENTE",IF(KT189&gt;=1,"POR VENCER",IF(KT189&lt;=-1,"VENCIDA",IF(KR189=0,"NO APLICA"))))</f>
        <v>VIGENTE</v>
      </c>
      <c r="KV189" s="2"/>
      <c r="KW189" s="6"/>
      <c r="KX189" s="4"/>
      <c r="KY189" s="8"/>
      <c r="KZ189" s="5" t="str">
        <f t="shared" si="565"/>
        <v>NO APLICA</v>
      </c>
      <c r="LA189" s="5"/>
      <c r="LB189" s="6"/>
      <c r="LC189" s="4"/>
      <c r="LD189" s="8"/>
      <c r="LE189" s="5" t="str">
        <f t="shared" si="561"/>
        <v>NO APLICA</v>
      </c>
      <c r="LF189" s="6"/>
      <c r="LG189" s="6"/>
      <c r="LH189" s="4"/>
      <c r="LI189" s="8"/>
      <c r="LJ189" s="5" t="str">
        <f t="shared" si="600"/>
        <v>NO APLICA</v>
      </c>
      <c r="LK189" s="5"/>
      <c r="LL189" s="5"/>
      <c r="LM189" s="4"/>
      <c r="LN189" s="8"/>
      <c r="LO189" s="5" t="str">
        <f t="shared" si="566"/>
        <v>NO APLICA</v>
      </c>
      <c r="LP189" s="2"/>
      <c r="LQ189" s="6"/>
      <c r="LR189" s="4"/>
      <c r="LS189" s="8"/>
      <c r="LT189" s="5" t="str">
        <f t="shared" si="562"/>
        <v>NO APLICA</v>
      </c>
      <c r="LU189" s="6"/>
      <c r="LV189" s="6"/>
      <c r="LW189" s="4"/>
      <c r="LX189" s="8"/>
      <c r="LY189" s="5" t="str">
        <f t="shared" si="563"/>
        <v>NO APLICA</v>
      </c>
      <c r="LZ189" s="6"/>
      <c r="MA189" s="6"/>
      <c r="MB189" s="4"/>
      <c r="MC189" s="8"/>
      <c r="MD189" s="5" t="str">
        <f t="shared" si="564"/>
        <v>NO APLICA</v>
      </c>
      <c r="ME189" s="2"/>
      <c r="MF189" s="2"/>
      <c r="MG189" s="4"/>
      <c r="MH189" s="8"/>
      <c r="MI189" s="5" t="str">
        <f t="shared" si="537"/>
        <v>NO APLICA</v>
      </c>
      <c r="MJ189" s="2"/>
      <c r="MK189" s="2"/>
      <c r="ML189" s="4"/>
      <c r="MM189" s="8"/>
      <c r="MN189" s="5" t="str">
        <f t="shared" si="538"/>
        <v>NO APLICA</v>
      </c>
      <c r="MO189" s="5"/>
      <c r="MP189" s="2"/>
      <c r="MQ189" s="4"/>
      <c r="MR189" s="8"/>
      <c r="MS189" s="5" t="str">
        <f t="shared" si="539"/>
        <v>NO APLICA</v>
      </c>
      <c r="MT189" s="5"/>
      <c r="MU189" s="2"/>
      <c r="MV189" s="4"/>
      <c r="MW189" s="2"/>
      <c r="MX189" s="5" t="str">
        <f t="shared" si="540"/>
        <v>NO APLICA</v>
      </c>
      <c r="MY189" s="2"/>
      <c r="MZ189" s="6"/>
      <c r="NA189" s="4"/>
      <c r="NB189" s="8"/>
      <c r="NC189" s="5" t="str">
        <f t="shared" si="541"/>
        <v>NO APLICA</v>
      </c>
      <c r="ND189" s="2"/>
      <c r="NE189" s="6"/>
      <c r="NF189" s="4"/>
      <c r="NG189" s="8"/>
      <c r="NH189" s="5" t="str">
        <f t="shared" si="542"/>
        <v>NO APLICA</v>
      </c>
      <c r="NI189" s="2"/>
      <c r="NJ189" s="6"/>
      <c r="NK189" s="4"/>
      <c r="NL189" s="8"/>
      <c r="NM189" s="5" t="str">
        <f t="shared" si="543"/>
        <v>NO APLICA</v>
      </c>
      <c r="NN189" s="2"/>
      <c r="NO189" s="2"/>
      <c r="NP189" s="4"/>
      <c r="NQ189" s="8"/>
      <c r="NR189" s="5" t="str">
        <f t="shared" si="544"/>
        <v>NO APLICA</v>
      </c>
      <c r="NS189" s="2"/>
      <c r="NT189" s="2"/>
      <c r="NU189" s="4"/>
      <c r="NV189" s="2"/>
      <c r="NW189" s="5" t="str">
        <f t="shared" si="545"/>
        <v>NO APLICA</v>
      </c>
      <c r="NX189" s="6"/>
      <c r="NY189" s="6"/>
      <c r="NZ189" s="4"/>
      <c r="OA189" s="8"/>
      <c r="OB189" s="5" t="str">
        <f t="shared" si="546"/>
        <v>NO APLICA</v>
      </c>
      <c r="OC189" s="6"/>
      <c r="OD189" s="6"/>
      <c r="OE189" s="6"/>
      <c r="OF189" s="6"/>
      <c r="OG189" s="5" t="str">
        <f t="shared" si="547"/>
        <v>NO APLICA</v>
      </c>
      <c r="OH189" s="6"/>
      <c r="OI189" s="6"/>
      <c r="OJ189" s="4"/>
      <c r="OK189" s="8"/>
      <c r="OL189" s="5" t="str">
        <f t="shared" si="548"/>
        <v>NO APLICA</v>
      </c>
      <c r="OM189" s="6"/>
      <c r="ON189" s="6"/>
      <c r="OO189" s="6"/>
      <c r="OP189" s="6"/>
      <c r="OQ189" s="5" t="str">
        <f t="shared" si="549"/>
        <v>NO APLICA</v>
      </c>
      <c r="OR189" s="6"/>
      <c r="OS189" s="6"/>
      <c r="OT189" s="6"/>
      <c r="OU189" s="6"/>
      <c r="OV189" s="5" t="str">
        <f t="shared" si="550"/>
        <v>NO APLICA</v>
      </c>
      <c r="OW189" s="6"/>
      <c r="OX189" s="6"/>
      <c r="OY189" s="6"/>
      <c r="OZ189" s="6"/>
      <c r="PA189" s="5" t="str">
        <f t="shared" si="551"/>
        <v>NO APLICA</v>
      </c>
      <c r="PB189" s="6"/>
      <c r="PC189" s="6"/>
      <c r="PD189" s="6"/>
      <c r="PE189" s="6"/>
      <c r="PF189" s="5" t="str">
        <f t="shared" si="552"/>
        <v>NO APLICA</v>
      </c>
      <c r="PG189" s="6"/>
      <c r="PH189" s="6"/>
      <c r="PI189" s="6"/>
      <c r="PJ189" s="6"/>
      <c r="PK189" s="5" t="str">
        <f t="shared" si="553"/>
        <v>NO APLICA</v>
      </c>
      <c r="PL189" s="5"/>
      <c r="PM189" s="6"/>
      <c r="PN189" s="4"/>
      <c r="PO189" s="8"/>
      <c r="PP189" s="5" t="str">
        <f t="shared" si="554"/>
        <v>NO APLICA</v>
      </c>
      <c r="PQ189" s="6"/>
      <c r="PR189" s="6"/>
      <c r="PS189" s="6"/>
      <c r="PT189" s="6"/>
      <c r="PU189" s="5" t="str">
        <f t="shared" si="555"/>
        <v>NO APLICA</v>
      </c>
      <c r="PV189" s="5"/>
      <c r="PW189" s="6"/>
      <c r="PX189" s="6"/>
      <c r="PY189" s="6"/>
      <c r="PZ189" s="5" t="str">
        <f t="shared" si="556"/>
        <v>NO APLICA</v>
      </c>
    </row>
    <row r="190" spans="1:442" ht="15.6" hidden="1" thickTop="1" thickBot="1" x14ac:dyDescent="0.35">
      <c r="A190" s="26">
        <v>187</v>
      </c>
      <c r="B190" s="27">
        <v>815</v>
      </c>
      <c r="C190" s="28" t="s">
        <v>596</v>
      </c>
      <c r="D190" s="29" t="s">
        <v>113</v>
      </c>
      <c r="E190" s="30" t="s">
        <v>126</v>
      </c>
      <c r="F190" s="3"/>
      <c r="G190" s="4">
        <v>46058</v>
      </c>
      <c r="H190" s="4">
        <f>DATE(YEAR(G190)+2,MONTH(G190),DAY(G190))</f>
        <v>46788</v>
      </c>
      <c r="I190" s="8">
        <f ca="1">H190-TODAY()</f>
        <v>643</v>
      </c>
      <c r="J190" s="5" t="str">
        <f ca="1">IF(I190&gt;=61,"VIGENTE",IF(I190&gt;=1,"POR VENCER",IF(I190&lt;=-1,"VENCIDA",IF(G190=0,"NO APLICA"))))</f>
        <v>VIGENTE</v>
      </c>
      <c r="K190" s="5"/>
      <c r="L190" s="6"/>
      <c r="M190" s="6"/>
      <c r="N190" s="8"/>
      <c r="O190" s="5" t="str">
        <f t="shared" si="456"/>
        <v>NO APLICA</v>
      </c>
      <c r="P190" s="6"/>
      <c r="Q190" s="6"/>
      <c r="R190" s="4"/>
      <c r="S190" s="8"/>
      <c r="T190" s="5" t="str">
        <f t="shared" si="557"/>
        <v>NO APLICA</v>
      </c>
      <c r="U190" s="5"/>
      <c r="V190" s="2" t="s">
        <v>597</v>
      </c>
      <c r="W190" s="4">
        <v>44801</v>
      </c>
      <c r="X190" s="4">
        <f t="shared" si="587"/>
        <v>46627</v>
      </c>
      <c r="Y190" s="8">
        <f t="shared" ca="1" si="588"/>
        <v>482</v>
      </c>
      <c r="Z190" s="5" t="str">
        <f t="shared" ca="1" si="605"/>
        <v>VIGENTE</v>
      </c>
      <c r="AA190" s="5"/>
      <c r="AB190" s="2"/>
      <c r="AC190" s="6"/>
      <c r="AD190" s="4"/>
      <c r="AE190" s="8"/>
      <c r="AF190" s="5" t="str">
        <f t="shared" si="457"/>
        <v>NO APLICA</v>
      </c>
      <c r="AG190" s="3"/>
      <c r="AH190" s="4">
        <v>45936</v>
      </c>
      <c r="AI190" s="4">
        <f t="shared" si="690"/>
        <v>46666</v>
      </c>
      <c r="AJ190" s="8">
        <f t="shared" ca="1" si="458"/>
        <v>521</v>
      </c>
      <c r="AK190" s="5" t="str">
        <f t="shared" ca="1" si="602"/>
        <v>VIGENTE</v>
      </c>
      <c r="AL190" s="3"/>
      <c r="AM190" s="4">
        <v>45903</v>
      </c>
      <c r="AN190" s="4">
        <f t="shared" si="673"/>
        <v>46633</v>
      </c>
      <c r="AO190" s="8">
        <f t="shared" ca="1" si="459"/>
        <v>488</v>
      </c>
      <c r="AP190" s="5" t="str">
        <f t="shared" ca="1" si="460"/>
        <v>VIGENTE</v>
      </c>
      <c r="AQ190" s="3"/>
      <c r="AR190" s="4">
        <v>45904</v>
      </c>
      <c r="AS190" s="4">
        <f t="shared" si="674"/>
        <v>46634</v>
      </c>
      <c r="AT190" s="8">
        <f t="shared" ca="1" si="461"/>
        <v>489</v>
      </c>
      <c r="AU190" s="5" t="str">
        <f t="shared" ca="1" si="462"/>
        <v>VIGENTE</v>
      </c>
      <c r="AV190" s="3"/>
      <c r="AW190" s="4">
        <v>45990</v>
      </c>
      <c r="AX190" s="4">
        <f>DATE(YEAR(AW190)+2,MONTH(AW190),DAY(AW190))</f>
        <v>46720</v>
      </c>
      <c r="AY190" s="8">
        <f t="shared" ca="1" si="463"/>
        <v>575</v>
      </c>
      <c r="AZ190" s="5" t="str">
        <f t="shared" ca="1" si="464"/>
        <v>VIGENTE</v>
      </c>
      <c r="BA190" s="3"/>
      <c r="BB190" s="4">
        <v>45603</v>
      </c>
      <c r="BC190" s="4">
        <f t="shared" si="624"/>
        <v>46332</v>
      </c>
      <c r="BD190" s="8">
        <f t="shared" ca="1" si="465"/>
        <v>187</v>
      </c>
      <c r="BE190" s="5" t="str">
        <f t="shared" ca="1" si="466"/>
        <v>VIGENTE</v>
      </c>
      <c r="BF190" s="3"/>
      <c r="BG190" s="4">
        <v>45968</v>
      </c>
      <c r="BH190" s="4">
        <f>DATE(YEAR(BG190)+2,MONTH(BG190),DAY(BG190))</f>
        <v>46698</v>
      </c>
      <c r="BI190" s="8">
        <f t="shared" ca="1" si="467"/>
        <v>553</v>
      </c>
      <c r="BJ190" s="5" t="str">
        <f t="shared" ca="1" si="468"/>
        <v>VIGENTE</v>
      </c>
      <c r="BK190" s="3"/>
      <c r="BL190" s="4">
        <v>46090</v>
      </c>
      <c r="BM190" s="4">
        <f t="shared" si="676"/>
        <v>46821</v>
      </c>
      <c r="BN190" s="8">
        <f t="shared" ca="1" si="469"/>
        <v>676</v>
      </c>
      <c r="BO190" s="5" t="str">
        <f t="shared" ca="1" si="470"/>
        <v>VIGENTE</v>
      </c>
      <c r="BP190" s="3"/>
      <c r="BQ190" s="39">
        <v>46120</v>
      </c>
      <c r="BR190" s="4">
        <f>DATE(YEAR(BQ190)+2,MONTH(BQ190),DAY(BQ190)-1)</f>
        <v>46850</v>
      </c>
      <c r="BS190" s="8">
        <f t="shared" ca="1" si="471"/>
        <v>705</v>
      </c>
      <c r="BT190" s="5" t="str">
        <f t="shared" ca="1" si="472"/>
        <v>VIGENTE</v>
      </c>
      <c r="BU190" s="3"/>
      <c r="BV190" s="4">
        <v>45853</v>
      </c>
      <c r="BW190" s="4">
        <f>DATE(YEAR(BV190)+2,MONTH(BV190),DAY(BV190))</f>
        <v>46583</v>
      </c>
      <c r="BX190" s="8">
        <f t="shared" ca="1" si="473"/>
        <v>438</v>
      </c>
      <c r="BY190" s="5" t="str">
        <f t="shared" ca="1" si="474"/>
        <v>VIGENTE</v>
      </c>
      <c r="BZ190" s="3"/>
      <c r="CA190" s="4">
        <v>45944</v>
      </c>
      <c r="CB190" s="4">
        <f t="shared" si="677"/>
        <v>46674</v>
      </c>
      <c r="CC190" s="8">
        <f t="shared" ca="1" si="475"/>
        <v>529</v>
      </c>
      <c r="CD190" s="5" t="str">
        <f t="shared" ca="1" si="476"/>
        <v>VIGENTE</v>
      </c>
      <c r="CE190" s="6"/>
      <c r="CF190" s="4">
        <v>45616</v>
      </c>
      <c r="CG190" s="4">
        <f t="shared" si="590"/>
        <v>47077</v>
      </c>
      <c r="CH190" s="8">
        <f t="shared" ca="1" si="591"/>
        <v>932</v>
      </c>
      <c r="CI190" s="5" t="str">
        <f t="shared" ca="1" si="573"/>
        <v>VIGENTE</v>
      </c>
      <c r="CJ190" s="4"/>
      <c r="CK190" s="4">
        <v>45504</v>
      </c>
      <c r="CL190" s="4">
        <f t="shared" si="629"/>
        <v>46233</v>
      </c>
      <c r="CM190" s="8">
        <f t="shared" ca="1" si="477"/>
        <v>88</v>
      </c>
      <c r="CN190" s="5" t="str">
        <f t="shared" ca="1" si="478"/>
        <v>POR VENCER</v>
      </c>
      <c r="CO190" s="3"/>
      <c r="CP190" s="39">
        <v>45517</v>
      </c>
      <c r="CQ190" s="4">
        <f t="shared" si="630"/>
        <v>46246</v>
      </c>
      <c r="CR190" s="8">
        <f t="shared" ca="1" si="479"/>
        <v>101</v>
      </c>
      <c r="CS190" s="5" t="str">
        <f t="shared" ca="1" si="480"/>
        <v>VIGENTE</v>
      </c>
      <c r="CT190" s="3"/>
      <c r="CU190" s="4">
        <v>45905</v>
      </c>
      <c r="CV190" s="4">
        <f t="shared" si="691"/>
        <v>46635</v>
      </c>
      <c r="CW190" s="8">
        <f t="shared" ca="1" si="481"/>
        <v>490</v>
      </c>
      <c r="CX190" s="5" t="str">
        <f t="shared" ca="1" si="482"/>
        <v>VIGENTE</v>
      </c>
      <c r="CY190" s="3"/>
      <c r="CZ190" s="4">
        <v>45924</v>
      </c>
      <c r="DA190" s="4">
        <f t="shared" si="692"/>
        <v>46654</v>
      </c>
      <c r="DB190" s="8">
        <f t="shared" ca="1" si="483"/>
        <v>509</v>
      </c>
      <c r="DC190" s="5" t="str">
        <f t="shared" ca="1" si="484"/>
        <v>VIGENTE</v>
      </c>
      <c r="DD190" s="3"/>
      <c r="DE190" s="39">
        <v>46123</v>
      </c>
      <c r="DF190" s="4">
        <f t="shared" si="633"/>
        <v>46853</v>
      </c>
      <c r="DG190" s="8">
        <f t="shared" ca="1" si="485"/>
        <v>708</v>
      </c>
      <c r="DH190" s="5" t="str">
        <f t="shared" ca="1" si="486"/>
        <v>VIGENTE</v>
      </c>
      <c r="DI190" s="3"/>
      <c r="DJ190" s="39">
        <v>45899</v>
      </c>
      <c r="DK190" s="4">
        <f t="shared" si="679"/>
        <v>46629</v>
      </c>
      <c r="DL190" s="8">
        <f t="shared" ca="1" si="487"/>
        <v>484</v>
      </c>
      <c r="DM190" s="5" t="str">
        <f t="shared" ca="1" si="488"/>
        <v>VIGENTE</v>
      </c>
      <c r="DN190" s="3"/>
      <c r="DO190" s="4">
        <v>45982</v>
      </c>
      <c r="DP190" s="4">
        <f t="shared" si="680"/>
        <v>46712</v>
      </c>
      <c r="DQ190" s="8">
        <f t="shared" ca="1" si="489"/>
        <v>567</v>
      </c>
      <c r="DR190" s="5" t="str">
        <f t="shared" ca="1" si="490"/>
        <v>VIGENTE</v>
      </c>
      <c r="DS190" s="3"/>
      <c r="DT190" s="4">
        <v>45608</v>
      </c>
      <c r="DU190" s="4">
        <f t="shared" si="668"/>
        <v>46337</v>
      </c>
      <c r="DV190" s="8">
        <f t="shared" ca="1" si="491"/>
        <v>192</v>
      </c>
      <c r="DW190" s="5" t="str">
        <f t="shared" ca="1" si="492"/>
        <v>VIGENTE</v>
      </c>
      <c r="DX190" s="3"/>
      <c r="DY190" s="4">
        <v>45612</v>
      </c>
      <c r="DZ190" s="4">
        <f t="shared" si="636"/>
        <v>46341</v>
      </c>
      <c r="EA190" s="8">
        <f t="shared" ca="1" si="493"/>
        <v>196</v>
      </c>
      <c r="EB190" s="5" t="str">
        <f t="shared" ca="1" si="494"/>
        <v>VIGENTE</v>
      </c>
      <c r="EC190" s="3"/>
      <c r="ED190" s="39">
        <v>45674</v>
      </c>
      <c r="EE190" s="4">
        <f>DATE(YEAR(ED190)+2,MONTH(ED190),DAY(ED190)-1)</f>
        <v>46403</v>
      </c>
      <c r="EF190" s="8">
        <f t="shared" ca="1" si="495"/>
        <v>258</v>
      </c>
      <c r="EG190" s="5" t="str">
        <f t="shared" ca="1" si="496"/>
        <v>VIGENTE</v>
      </c>
      <c r="EH190" s="3"/>
      <c r="EI190" s="3">
        <v>46085</v>
      </c>
      <c r="EJ190" s="4">
        <f t="shared" si="558"/>
        <v>46450</v>
      </c>
      <c r="EK190" s="8">
        <f t="shared" ca="1" si="497"/>
        <v>305</v>
      </c>
      <c r="EL190" s="5" t="str">
        <f t="shared" ca="1" si="498"/>
        <v>VIGENTE</v>
      </c>
      <c r="EM190" s="3"/>
      <c r="EN190" s="4">
        <v>45465</v>
      </c>
      <c r="EO190" s="4">
        <f t="shared" si="638"/>
        <v>46194</v>
      </c>
      <c r="EP190" s="8">
        <f t="shared" ca="1" si="499"/>
        <v>49</v>
      </c>
      <c r="EQ190" s="5" t="str">
        <f t="shared" ca="1" si="500"/>
        <v>POR VENCER</v>
      </c>
      <c r="ER190" s="3"/>
      <c r="ES190" s="39">
        <v>45575</v>
      </c>
      <c r="ET190" s="4">
        <f t="shared" si="669"/>
        <v>46304</v>
      </c>
      <c r="EU190" s="8">
        <f t="shared" ca="1" si="501"/>
        <v>159</v>
      </c>
      <c r="EV190" s="5" t="str">
        <f t="shared" ca="1" si="502"/>
        <v>VIGENTE</v>
      </c>
      <c r="EW190" s="3"/>
      <c r="EX190" s="4">
        <v>45917</v>
      </c>
      <c r="EY190" s="4">
        <f t="shared" si="684"/>
        <v>46647</v>
      </c>
      <c r="EZ190" s="8">
        <f t="shared" ca="1" si="503"/>
        <v>502</v>
      </c>
      <c r="FA190" s="5" t="str">
        <f t="shared" ca="1" si="504"/>
        <v>VIGENTE</v>
      </c>
      <c r="FB190" s="3"/>
      <c r="FC190" s="4">
        <v>45611</v>
      </c>
      <c r="FD190" s="4">
        <f t="shared" si="671"/>
        <v>46340</v>
      </c>
      <c r="FE190" s="8">
        <f t="shared" ca="1" si="505"/>
        <v>195</v>
      </c>
      <c r="FF190" s="5" t="str">
        <f t="shared" ca="1" si="506"/>
        <v>VIGENTE</v>
      </c>
      <c r="FG190" s="3"/>
      <c r="FH190" s="4">
        <v>45932</v>
      </c>
      <c r="FI190" s="4">
        <f t="shared" si="686"/>
        <v>46662</v>
      </c>
      <c r="FJ190" s="8">
        <f t="shared" ca="1" si="507"/>
        <v>517</v>
      </c>
      <c r="FK190" s="5" t="str">
        <f t="shared" ca="1" si="508"/>
        <v>VIGENTE</v>
      </c>
      <c r="FL190" s="3"/>
      <c r="FM190" s="39">
        <v>45588</v>
      </c>
      <c r="FN190" s="4">
        <f t="shared" si="672"/>
        <v>46317</v>
      </c>
      <c r="FO190" s="8">
        <f t="shared" ca="1" si="509"/>
        <v>172</v>
      </c>
      <c r="FP190" s="5" t="str">
        <f t="shared" ca="1" si="510"/>
        <v>VIGENTE</v>
      </c>
      <c r="FQ190" s="3"/>
      <c r="FR190" s="39">
        <v>45466</v>
      </c>
      <c r="FS190" s="4">
        <f t="shared" si="643"/>
        <v>46195</v>
      </c>
      <c r="FT190" s="8">
        <f t="shared" ca="1" si="511"/>
        <v>50</v>
      </c>
      <c r="FU190" s="5" t="str">
        <f t="shared" ca="1" si="512"/>
        <v>POR VENCER</v>
      </c>
      <c r="FV190" s="3"/>
      <c r="FW190" s="4">
        <v>45941</v>
      </c>
      <c r="FX190" s="4">
        <f t="shared" si="693"/>
        <v>46671</v>
      </c>
      <c r="FY190" s="8">
        <f t="shared" ca="1" si="513"/>
        <v>526</v>
      </c>
      <c r="FZ190" s="5" t="str">
        <f t="shared" ca="1" si="514"/>
        <v>VIGENTE</v>
      </c>
      <c r="GA190" s="3"/>
      <c r="GB190" s="4">
        <v>45667</v>
      </c>
      <c r="GC190" s="4">
        <f t="shared" si="645"/>
        <v>46396</v>
      </c>
      <c r="GD190" s="8">
        <f t="shared" ca="1" si="515"/>
        <v>251</v>
      </c>
      <c r="GE190" s="5" t="str">
        <f t="shared" ca="1" si="516"/>
        <v>VIGENTE</v>
      </c>
      <c r="GF190" s="3"/>
      <c r="GG190" s="4">
        <v>46092</v>
      </c>
      <c r="GH190" s="4">
        <f t="shared" si="689"/>
        <v>46823</v>
      </c>
      <c r="GI190" s="8">
        <f t="shared" ca="1" si="517"/>
        <v>678</v>
      </c>
      <c r="GJ190" s="5" t="str">
        <f t="shared" ca="1" si="518"/>
        <v>VIGENTE</v>
      </c>
      <c r="GK190" s="3"/>
      <c r="GL190" s="4">
        <v>45945</v>
      </c>
      <c r="GM190" s="4">
        <f t="shared" ref="GM190:GM191" si="695">DATE(YEAR(GL190)+2,MONTH(GL190),DAY(GL190))</f>
        <v>46675</v>
      </c>
      <c r="GN190" s="8">
        <f t="shared" ca="1" si="519"/>
        <v>530</v>
      </c>
      <c r="GO190" s="5" t="str">
        <f t="shared" ca="1" si="520"/>
        <v>VIGENTE</v>
      </c>
      <c r="GP190" s="4"/>
      <c r="GQ190" s="4">
        <v>45048</v>
      </c>
      <c r="GR190" s="4">
        <f t="shared" si="521"/>
        <v>46875</v>
      </c>
      <c r="GS190" s="8">
        <f t="shared" ca="1" si="601"/>
        <v>730</v>
      </c>
      <c r="GT190" s="5" t="str">
        <f t="shared" ca="1" si="610"/>
        <v>VIGENTE</v>
      </c>
      <c r="GU190" s="3"/>
      <c r="GV190" s="4">
        <v>44979</v>
      </c>
      <c r="GW190" s="4">
        <f t="shared" si="522"/>
        <v>46805</v>
      </c>
      <c r="GX190" s="8">
        <f t="shared" ca="1" si="523"/>
        <v>660</v>
      </c>
      <c r="GY190" s="5" t="str">
        <f t="shared" ca="1" si="611"/>
        <v>VIGENTE</v>
      </c>
      <c r="GZ190" s="2"/>
      <c r="HA190" s="4">
        <v>45003</v>
      </c>
      <c r="HB190" s="4">
        <f t="shared" si="524"/>
        <v>46830</v>
      </c>
      <c r="HC190" s="8">
        <f t="shared" ca="1" si="525"/>
        <v>685</v>
      </c>
      <c r="HD190" s="5" t="str">
        <f t="shared" ca="1" si="612"/>
        <v>VIGENTE</v>
      </c>
      <c r="HE190" s="6"/>
      <c r="HF190" s="6"/>
      <c r="HG190" s="4"/>
      <c r="HH190" s="8"/>
      <c r="HI190" s="5" t="str">
        <f t="shared" si="613"/>
        <v>NO APLICA</v>
      </c>
      <c r="HJ190" s="2"/>
      <c r="HK190" s="6"/>
      <c r="HL190" s="4"/>
      <c r="HM190" s="8"/>
      <c r="HN190" s="5" t="str">
        <f t="shared" si="694"/>
        <v>NO APLICA</v>
      </c>
      <c r="HO190" s="2"/>
      <c r="HP190" s="2"/>
      <c r="HQ190" s="4"/>
      <c r="HR190" s="2"/>
      <c r="HS190" s="5" t="str">
        <f t="shared" si="526"/>
        <v>NO APLICA</v>
      </c>
      <c r="HT190" s="2"/>
      <c r="HU190" s="6"/>
      <c r="HV190" s="4"/>
      <c r="HW190" s="8"/>
      <c r="HX190" s="5" t="str">
        <f t="shared" si="527"/>
        <v>NO APLICA</v>
      </c>
      <c r="HY190" s="2"/>
      <c r="HZ190" s="6"/>
      <c r="IA190" s="4"/>
      <c r="IB190" s="8"/>
      <c r="IC190" s="5" t="str">
        <f t="shared" si="528"/>
        <v>NO APLICA</v>
      </c>
      <c r="ID190" s="2"/>
      <c r="IE190" s="6"/>
      <c r="IF190" s="4"/>
      <c r="IG190" s="8"/>
      <c r="IH190" s="5" t="str">
        <f t="shared" si="529"/>
        <v>NO APLICA</v>
      </c>
      <c r="II190" s="6"/>
      <c r="IJ190" s="6"/>
      <c r="IK190" s="4"/>
      <c r="IL190" s="8"/>
      <c r="IM190" s="5" t="str">
        <f t="shared" si="530"/>
        <v>NO APLICA</v>
      </c>
      <c r="IN190" s="2"/>
      <c r="IO190" s="6"/>
      <c r="IP190" s="4"/>
      <c r="IQ190" s="8"/>
      <c r="IR190" s="5" t="str">
        <f t="shared" si="531"/>
        <v>NO APLICA</v>
      </c>
      <c r="IS190" s="2"/>
      <c r="IT190" s="6"/>
      <c r="IU190" s="4"/>
      <c r="IV190" s="8"/>
      <c r="IW190" s="5" t="str">
        <f t="shared" si="532"/>
        <v>NO APLICA</v>
      </c>
      <c r="IX190" s="2"/>
      <c r="IY190" s="6"/>
      <c r="IZ190" s="4"/>
      <c r="JA190" s="8"/>
      <c r="JB190" s="5" t="str">
        <f t="shared" si="533"/>
        <v>NO APLICA</v>
      </c>
      <c r="JC190" s="3" t="s">
        <v>780</v>
      </c>
      <c r="JD190" s="3"/>
      <c r="JE190" s="4"/>
      <c r="JF190" s="8"/>
      <c r="JG190" s="5"/>
      <c r="JH190" s="3" t="s">
        <v>780</v>
      </c>
      <c r="JI190" s="6"/>
      <c r="JJ190" s="6"/>
      <c r="JK190" s="6"/>
      <c r="JL190" s="5"/>
      <c r="JM190" s="6" t="s">
        <v>780</v>
      </c>
      <c r="JN190" s="6"/>
      <c r="JO190" s="6"/>
      <c r="JP190" s="6"/>
      <c r="JQ190" s="5"/>
      <c r="JR190" s="6" t="s">
        <v>780</v>
      </c>
      <c r="JS190" s="6"/>
      <c r="JT190" s="6"/>
      <c r="JU190" s="6"/>
      <c r="JV190" s="5"/>
      <c r="JW190" s="6" t="s">
        <v>780</v>
      </c>
      <c r="JX190" s="5"/>
      <c r="JY190" s="5"/>
      <c r="JZ190" s="5"/>
      <c r="KA190" s="5"/>
      <c r="KB190" s="5"/>
      <c r="KC190" s="2"/>
      <c r="KD190" s="4"/>
      <c r="KE190" s="8"/>
      <c r="KF190" s="5" t="str">
        <f t="shared" si="534"/>
        <v>NO APLICA</v>
      </c>
      <c r="KG190" s="5"/>
      <c r="KH190" s="2"/>
      <c r="KI190" s="4"/>
      <c r="KJ190" s="8"/>
      <c r="KK190" s="5" t="str">
        <f t="shared" si="559"/>
        <v>NO APLICA</v>
      </c>
      <c r="KL190" s="5"/>
      <c r="KM190" s="2"/>
      <c r="KN190" s="4"/>
      <c r="KO190" s="8"/>
      <c r="KP190" s="5" t="str">
        <f t="shared" si="535"/>
        <v>NO APLICA</v>
      </c>
      <c r="KQ190" s="5"/>
      <c r="KR190" s="2"/>
      <c r="KS190" s="4"/>
      <c r="KT190" s="8"/>
      <c r="KU190" s="5" t="str">
        <f t="shared" si="560"/>
        <v>NO APLICA</v>
      </c>
      <c r="KV190" s="2"/>
      <c r="KW190" s="6"/>
      <c r="KX190" s="4"/>
      <c r="KY190" s="8"/>
      <c r="KZ190" s="5" t="str">
        <f t="shared" si="565"/>
        <v>NO APLICA</v>
      </c>
      <c r="LA190" s="5"/>
      <c r="LB190" s="6"/>
      <c r="LC190" s="4"/>
      <c r="LD190" s="8"/>
      <c r="LE190" s="5" t="str">
        <f t="shared" si="561"/>
        <v>NO APLICA</v>
      </c>
      <c r="LF190" s="6"/>
      <c r="LG190" s="6"/>
      <c r="LH190" s="4"/>
      <c r="LI190" s="8"/>
      <c r="LJ190" s="5" t="str">
        <f t="shared" si="600"/>
        <v>NO APLICA</v>
      </c>
      <c r="LK190" s="5"/>
      <c r="LL190" s="5"/>
      <c r="LM190" s="5"/>
      <c r="LN190" s="5"/>
      <c r="LO190" s="5" t="str">
        <f t="shared" si="566"/>
        <v>NO APLICA</v>
      </c>
      <c r="LP190" s="2"/>
      <c r="LQ190" s="6"/>
      <c r="LR190" s="4"/>
      <c r="LS190" s="8"/>
      <c r="LT190" s="5" t="str">
        <f t="shared" si="562"/>
        <v>NO APLICA</v>
      </c>
      <c r="LU190" s="6"/>
      <c r="LV190" s="6"/>
      <c r="LW190" s="4"/>
      <c r="LX190" s="8"/>
      <c r="LY190" s="5" t="str">
        <f t="shared" si="563"/>
        <v>NO APLICA</v>
      </c>
      <c r="LZ190" s="6"/>
      <c r="MA190" s="6"/>
      <c r="MB190" s="4"/>
      <c r="MC190" s="8"/>
      <c r="MD190" s="5" t="str">
        <f t="shared" si="564"/>
        <v>NO APLICA</v>
      </c>
      <c r="ME190" s="2"/>
      <c r="MF190" s="2"/>
      <c r="MG190" s="4"/>
      <c r="MH190" s="8"/>
      <c r="MI190" s="5" t="str">
        <f t="shared" si="537"/>
        <v>NO APLICA</v>
      </c>
      <c r="MJ190" s="2"/>
      <c r="MK190" s="2"/>
      <c r="ML190" s="4"/>
      <c r="MM190" s="8"/>
      <c r="MN190" s="5" t="str">
        <f t="shared" si="538"/>
        <v>NO APLICA</v>
      </c>
      <c r="MO190" s="5"/>
      <c r="MP190" s="2"/>
      <c r="MQ190" s="4"/>
      <c r="MR190" s="8"/>
      <c r="MS190" s="5" t="str">
        <f t="shared" si="539"/>
        <v>NO APLICA</v>
      </c>
      <c r="MT190" s="5"/>
      <c r="MU190" s="2"/>
      <c r="MV190" s="4"/>
      <c r="MW190" s="2"/>
      <c r="MX190" s="5" t="str">
        <f t="shared" si="540"/>
        <v>NO APLICA</v>
      </c>
      <c r="MY190" s="2"/>
      <c r="MZ190" s="6"/>
      <c r="NA190" s="4"/>
      <c r="NB190" s="8"/>
      <c r="NC190" s="5" t="str">
        <f t="shared" si="541"/>
        <v>NO APLICA</v>
      </c>
      <c r="ND190" s="2"/>
      <c r="NE190" s="6"/>
      <c r="NF190" s="4"/>
      <c r="NG190" s="8"/>
      <c r="NH190" s="5" t="str">
        <f t="shared" si="542"/>
        <v>NO APLICA</v>
      </c>
      <c r="NI190" s="2"/>
      <c r="NJ190" s="6"/>
      <c r="NK190" s="4"/>
      <c r="NL190" s="8"/>
      <c r="NM190" s="5" t="str">
        <f t="shared" si="543"/>
        <v>NO APLICA</v>
      </c>
      <c r="NN190" s="2"/>
      <c r="NO190" s="2"/>
      <c r="NP190" s="4"/>
      <c r="NQ190" s="2"/>
      <c r="NR190" s="5" t="str">
        <f t="shared" si="544"/>
        <v>NO APLICA</v>
      </c>
      <c r="NS190" s="2"/>
      <c r="NT190" s="2"/>
      <c r="NU190" s="2"/>
      <c r="NV190" s="2"/>
      <c r="NW190" s="5" t="str">
        <f t="shared" si="545"/>
        <v>NO APLICA</v>
      </c>
      <c r="NX190" s="6"/>
      <c r="NY190" s="6"/>
      <c r="NZ190" s="4"/>
      <c r="OA190" s="8"/>
      <c r="OB190" s="5" t="str">
        <f t="shared" si="546"/>
        <v>NO APLICA</v>
      </c>
      <c r="OC190" s="6"/>
      <c r="OD190" s="6"/>
      <c r="OE190" s="6"/>
      <c r="OF190" s="6"/>
      <c r="OG190" s="5" t="str">
        <f t="shared" si="547"/>
        <v>NO APLICA</v>
      </c>
      <c r="OH190" s="6"/>
      <c r="OI190" s="6"/>
      <c r="OJ190" s="4"/>
      <c r="OK190" s="8"/>
      <c r="OL190" s="5" t="str">
        <f t="shared" si="548"/>
        <v>NO APLICA</v>
      </c>
      <c r="OM190" s="6"/>
      <c r="ON190" s="6"/>
      <c r="OO190" s="6"/>
      <c r="OP190" s="6"/>
      <c r="OQ190" s="5" t="str">
        <f t="shared" si="549"/>
        <v>NO APLICA</v>
      </c>
      <c r="OR190" s="6"/>
      <c r="OS190" s="6"/>
      <c r="OT190" s="6"/>
      <c r="OU190" s="6"/>
      <c r="OV190" s="5" t="str">
        <f t="shared" si="550"/>
        <v>NO APLICA</v>
      </c>
      <c r="OW190" s="6"/>
      <c r="OX190" s="6"/>
      <c r="OY190" s="6"/>
      <c r="OZ190" s="6"/>
      <c r="PA190" s="5" t="str">
        <f t="shared" si="551"/>
        <v>NO APLICA</v>
      </c>
      <c r="PB190" s="6"/>
      <c r="PC190" s="6"/>
      <c r="PD190" s="6"/>
      <c r="PE190" s="6"/>
      <c r="PF190" s="5" t="str">
        <f t="shared" si="552"/>
        <v>NO APLICA</v>
      </c>
      <c r="PG190" s="6"/>
      <c r="PH190" s="6"/>
      <c r="PI190" s="6"/>
      <c r="PJ190" s="6"/>
      <c r="PK190" s="5" t="str">
        <f t="shared" si="553"/>
        <v>NO APLICA</v>
      </c>
      <c r="PL190" s="5"/>
      <c r="PM190" s="6"/>
      <c r="PN190" s="4"/>
      <c r="PO190" s="8"/>
      <c r="PP190" s="5" t="str">
        <f t="shared" si="554"/>
        <v>NO APLICA</v>
      </c>
      <c r="PQ190" s="6"/>
      <c r="PR190" s="6"/>
      <c r="PS190" s="6"/>
      <c r="PT190" s="6"/>
      <c r="PU190" s="5" t="str">
        <f t="shared" si="555"/>
        <v>NO APLICA</v>
      </c>
      <c r="PV190" s="5"/>
      <c r="PW190" s="6"/>
      <c r="PX190" s="6"/>
      <c r="PY190" s="6"/>
      <c r="PZ190" s="5" t="str">
        <f t="shared" si="556"/>
        <v>NO APLICA</v>
      </c>
    </row>
    <row r="191" spans="1:442" ht="15.6" hidden="1" thickTop="1" thickBot="1" x14ac:dyDescent="0.35">
      <c r="A191" s="26">
        <v>188</v>
      </c>
      <c r="B191" s="31">
        <v>1677</v>
      </c>
      <c r="C191" s="28" t="s">
        <v>598</v>
      </c>
      <c r="D191" s="29" t="s">
        <v>64</v>
      </c>
      <c r="E191" s="30" t="s">
        <v>81</v>
      </c>
      <c r="F191" s="6"/>
      <c r="G191" s="6"/>
      <c r="H191" s="6"/>
      <c r="I191" s="8"/>
      <c r="J191" s="5" t="str">
        <f t="shared" ref="J191:J240" si="696">IF(I191&gt;=61,"VIGENTE",IF(I191&gt;=1,"POR VENCER",IF(I191&lt;=-1,"VENCIDA",IF(G191=0,"NO APLICA"))))</f>
        <v>NO APLICA</v>
      </c>
      <c r="K191" s="6"/>
      <c r="L191" s="6"/>
      <c r="M191" s="6"/>
      <c r="N191" s="8"/>
      <c r="O191" s="5" t="str">
        <f t="shared" si="456"/>
        <v>NO APLICA</v>
      </c>
      <c r="P191" s="4"/>
      <c r="Q191" s="4">
        <v>45590</v>
      </c>
      <c r="R191" s="4">
        <f>DATE(YEAR(Q191)+2,MONTH(Q191),DAY(Q191)-1)</f>
        <v>46319</v>
      </c>
      <c r="S191" s="8">
        <f ca="1">R191-TODAY()</f>
        <v>174</v>
      </c>
      <c r="T191" s="5" t="str">
        <f ca="1">IF(S191&gt;=61,"VIGENTE",IF(S191&gt;=1,"POR VENCER",IF(S191&lt;=-1,"VENCIDA",IF(S191=0,"NO APLICA"))))</f>
        <v>VIGENTE</v>
      </c>
      <c r="U191" s="5"/>
      <c r="V191" s="2" t="s">
        <v>599</v>
      </c>
      <c r="W191" s="4">
        <v>45142</v>
      </c>
      <c r="X191" s="4">
        <f t="shared" si="587"/>
        <v>46969</v>
      </c>
      <c r="Y191" s="8">
        <f t="shared" ca="1" si="588"/>
        <v>824</v>
      </c>
      <c r="Z191" s="5" t="str">
        <f t="shared" ca="1" si="605"/>
        <v>VIGENTE</v>
      </c>
      <c r="AA191" s="5"/>
      <c r="AB191" s="2" t="s">
        <v>600</v>
      </c>
      <c r="AC191" s="4">
        <v>45192</v>
      </c>
      <c r="AD191" s="4">
        <f>DATE(YEAR(AC191)+5,MONTH(AC191),DAY(AC191))</f>
        <v>47019</v>
      </c>
      <c r="AE191" s="8">
        <f ca="1">AD191-TODAY()</f>
        <v>874</v>
      </c>
      <c r="AF191" s="5" t="str">
        <f t="shared" ca="1" si="457"/>
        <v>VIGENTE</v>
      </c>
      <c r="AG191" s="6"/>
      <c r="AH191" s="4">
        <v>45936</v>
      </c>
      <c r="AI191" s="4">
        <f t="shared" si="690"/>
        <v>46666</v>
      </c>
      <c r="AJ191" s="8">
        <f t="shared" ca="1" si="458"/>
        <v>521</v>
      </c>
      <c r="AK191" s="5" t="str">
        <f t="shared" ca="1" si="602"/>
        <v>VIGENTE</v>
      </c>
      <c r="AL191" s="6"/>
      <c r="AM191" s="4">
        <v>45937</v>
      </c>
      <c r="AN191" s="4">
        <f t="shared" si="673"/>
        <v>46667</v>
      </c>
      <c r="AO191" s="8">
        <f t="shared" ca="1" si="459"/>
        <v>522</v>
      </c>
      <c r="AP191" s="5" t="str">
        <f t="shared" ca="1" si="460"/>
        <v>VIGENTE</v>
      </c>
      <c r="AQ191" s="6"/>
      <c r="AR191" s="4">
        <v>45904</v>
      </c>
      <c r="AS191" s="4">
        <f t="shared" si="674"/>
        <v>46634</v>
      </c>
      <c r="AT191" s="8">
        <f t="shared" ca="1" si="461"/>
        <v>489</v>
      </c>
      <c r="AU191" s="5" t="str">
        <f t="shared" ca="1" si="462"/>
        <v>VIGENTE</v>
      </c>
      <c r="AV191" s="4"/>
      <c r="AW191" s="4">
        <v>45972</v>
      </c>
      <c r="AX191" s="4">
        <f>DATE(YEAR(AW191)+2,MONTH(AW191),DAY(AW191))</f>
        <v>46702</v>
      </c>
      <c r="AY191" s="8">
        <f t="shared" ca="1" si="463"/>
        <v>557</v>
      </c>
      <c r="AZ191" s="5" t="str">
        <f t="shared" ca="1" si="464"/>
        <v>VIGENTE</v>
      </c>
      <c r="BA191" s="3"/>
      <c r="BB191" s="4">
        <v>46041</v>
      </c>
      <c r="BC191" s="4">
        <f>DATE(YEAR(BB191)+2,MONTH(BB191),DAY(BB191))</f>
        <v>46771</v>
      </c>
      <c r="BD191" s="8">
        <f t="shared" ca="1" si="465"/>
        <v>626</v>
      </c>
      <c r="BE191" s="5" t="str">
        <f t="shared" ca="1" si="466"/>
        <v>VIGENTE</v>
      </c>
      <c r="BF191" s="6"/>
      <c r="BG191" s="4">
        <v>45997</v>
      </c>
      <c r="BH191" s="4">
        <f>DATE(YEAR(BG191)+2,MONTH(BG191),DAY(BG191))</f>
        <v>46727</v>
      </c>
      <c r="BI191" s="8">
        <f t="shared" ca="1" si="467"/>
        <v>582</v>
      </c>
      <c r="BJ191" s="5" t="str">
        <f t="shared" ca="1" si="468"/>
        <v>VIGENTE</v>
      </c>
      <c r="BK191" s="4"/>
      <c r="BL191" s="4">
        <v>46017</v>
      </c>
      <c r="BM191" s="4">
        <f t="shared" si="676"/>
        <v>46747</v>
      </c>
      <c r="BN191" s="8">
        <f t="shared" ca="1" si="469"/>
        <v>602</v>
      </c>
      <c r="BO191" s="5" t="str">
        <f t="shared" ca="1" si="470"/>
        <v>VIGENTE</v>
      </c>
      <c r="BP191" s="4"/>
      <c r="BQ191" s="39">
        <v>45988</v>
      </c>
      <c r="BR191" s="4">
        <f>DATE(YEAR(BQ191)+2,MONTH(BQ191),DAY(BQ191))</f>
        <v>46718</v>
      </c>
      <c r="BS191" s="8">
        <f t="shared" ca="1" si="471"/>
        <v>573</v>
      </c>
      <c r="BT191" s="5" t="str">
        <f t="shared" ca="1" si="472"/>
        <v>VIGENTE</v>
      </c>
      <c r="BU191" s="3"/>
      <c r="BV191" s="4">
        <v>46031</v>
      </c>
      <c r="BW191" s="4">
        <f>DATE(YEAR(BV191)+2,MONTH(BV191),DAY(BV191))</f>
        <v>46761</v>
      </c>
      <c r="BX191" s="8">
        <f t="shared" ca="1" si="473"/>
        <v>616</v>
      </c>
      <c r="BY191" s="5" t="str">
        <f t="shared" ca="1" si="474"/>
        <v>VIGENTE</v>
      </c>
      <c r="BZ191" s="6"/>
      <c r="CA191" s="4">
        <v>45986</v>
      </c>
      <c r="CB191" s="4">
        <f t="shared" si="677"/>
        <v>46716</v>
      </c>
      <c r="CC191" s="8">
        <f t="shared" ca="1" si="475"/>
        <v>571</v>
      </c>
      <c r="CD191" s="5" t="str">
        <f t="shared" ca="1" si="476"/>
        <v>VIGENTE</v>
      </c>
      <c r="CE191" s="6"/>
      <c r="CF191" s="4">
        <v>45828</v>
      </c>
      <c r="CG191" s="4">
        <f t="shared" si="590"/>
        <v>47289</v>
      </c>
      <c r="CH191" s="8">
        <f t="shared" ca="1" si="591"/>
        <v>1144</v>
      </c>
      <c r="CI191" s="5" t="str">
        <f t="shared" ca="1" si="573"/>
        <v>VIGENTE</v>
      </c>
      <c r="CJ191" s="4"/>
      <c r="CK191" s="4">
        <v>46018</v>
      </c>
      <c r="CL191" s="4">
        <f>DATE(YEAR(CK191)+2,MONTH(CK191),DAY(CK191))</f>
        <v>46748</v>
      </c>
      <c r="CM191" s="8">
        <f t="shared" ca="1" si="477"/>
        <v>603</v>
      </c>
      <c r="CN191" s="5" t="str">
        <f t="shared" ca="1" si="478"/>
        <v>VIGENTE</v>
      </c>
      <c r="CO191" s="4"/>
      <c r="CP191" s="39">
        <v>45979</v>
      </c>
      <c r="CQ191" s="4">
        <f>DATE(YEAR(CP191)+2,MONTH(CP191),DAY(CP191))</f>
        <v>46709</v>
      </c>
      <c r="CR191" s="8">
        <f t="shared" ca="1" si="479"/>
        <v>564</v>
      </c>
      <c r="CS191" s="5" t="str">
        <f t="shared" ca="1" si="480"/>
        <v>VIGENTE</v>
      </c>
      <c r="CT191" s="6"/>
      <c r="CU191" s="4">
        <v>45905</v>
      </c>
      <c r="CV191" s="4">
        <f t="shared" si="691"/>
        <v>46635</v>
      </c>
      <c r="CW191" s="8">
        <f t="shared" ca="1" si="481"/>
        <v>490</v>
      </c>
      <c r="CX191" s="5" t="str">
        <f t="shared" ca="1" si="482"/>
        <v>VIGENTE</v>
      </c>
      <c r="CY191" s="4"/>
      <c r="CZ191" s="4">
        <v>46000</v>
      </c>
      <c r="DA191" s="4">
        <f t="shared" si="692"/>
        <v>46730</v>
      </c>
      <c r="DB191" s="8">
        <f t="shared" ca="1" si="483"/>
        <v>585</v>
      </c>
      <c r="DC191" s="5" t="str">
        <f t="shared" ca="1" si="484"/>
        <v>VIGENTE</v>
      </c>
      <c r="DD191" s="3"/>
      <c r="DE191" s="39">
        <v>45996</v>
      </c>
      <c r="DF191" s="4">
        <f>DATE(YEAR(DE191)+2,MONTH(DE191),DAY(DE191))</f>
        <v>46726</v>
      </c>
      <c r="DG191" s="8">
        <f t="shared" ca="1" si="485"/>
        <v>581</v>
      </c>
      <c r="DH191" s="5" t="str">
        <f t="shared" ca="1" si="486"/>
        <v>VIGENTE</v>
      </c>
      <c r="DI191" s="4"/>
      <c r="DJ191" s="39">
        <v>45975</v>
      </c>
      <c r="DK191" s="4">
        <f t="shared" si="679"/>
        <v>46705</v>
      </c>
      <c r="DL191" s="8">
        <f t="shared" ca="1" si="487"/>
        <v>560</v>
      </c>
      <c r="DM191" s="5" t="str">
        <f t="shared" ca="1" si="488"/>
        <v>VIGENTE</v>
      </c>
      <c r="DN191" s="4"/>
      <c r="DO191" s="4">
        <v>45982</v>
      </c>
      <c r="DP191" s="4">
        <f t="shared" si="680"/>
        <v>46712</v>
      </c>
      <c r="DQ191" s="8">
        <f t="shared" ca="1" si="489"/>
        <v>567</v>
      </c>
      <c r="DR191" s="5" t="str">
        <f t="shared" ca="1" si="490"/>
        <v>VIGENTE</v>
      </c>
      <c r="DS191" s="4"/>
      <c r="DT191" s="3">
        <v>46009</v>
      </c>
      <c r="DU191" s="4">
        <f>DATE(YEAR(DT191)+2,MONTH(DT191),DAY(DT191))</f>
        <v>46739</v>
      </c>
      <c r="DV191" s="8">
        <f t="shared" ca="1" si="491"/>
        <v>594</v>
      </c>
      <c r="DW191" s="5" t="str">
        <f t="shared" ca="1" si="492"/>
        <v>VIGENTE</v>
      </c>
      <c r="DX191" s="4"/>
      <c r="DY191" s="4">
        <v>46032</v>
      </c>
      <c r="DZ191" s="4">
        <f>DATE(YEAR(DY191)+2,MONTH(DY191),DAY(DY191))</f>
        <v>46762</v>
      </c>
      <c r="EA191" s="8">
        <f t="shared" ca="1" si="493"/>
        <v>617</v>
      </c>
      <c r="EB191" s="5" t="str">
        <f t="shared" ca="1" si="494"/>
        <v>VIGENTE</v>
      </c>
      <c r="EC191" s="4"/>
      <c r="ED191" s="39">
        <v>45994</v>
      </c>
      <c r="EE191" s="4">
        <f>DATE(YEAR(ED191)+2,MONTH(ED191),DAY(ED191))</f>
        <v>46724</v>
      </c>
      <c r="EF191" s="8">
        <f t="shared" ca="1" si="495"/>
        <v>579</v>
      </c>
      <c r="EG191" s="5" t="str">
        <f t="shared" ca="1" si="496"/>
        <v>VIGENTE</v>
      </c>
      <c r="EH191" s="3"/>
      <c r="EI191" s="3">
        <v>46015</v>
      </c>
      <c r="EJ191" s="4">
        <f t="shared" si="558"/>
        <v>46380</v>
      </c>
      <c r="EK191" s="8">
        <f t="shared" ca="1" si="497"/>
        <v>235</v>
      </c>
      <c r="EL191" s="5" t="str">
        <f t="shared" ca="1" si="498"/>
        <v>VIGENTE</v>
      </c>
      <c r="EM191" s="3"/>
      <c r="EN191" s="4">
        <v>45983</v>
      </c>
      <c r="EO191" s="4">
        <f>DATE(YEAR(EN191)+2,MONTH(EN191),DAY(EN191))</f>
        <v>46713</v>
      </c>
      <c r="EP191" s="8">
        <f t="shared" ca="1" si="499"/>
        <v>568</v>
      </c>
      <c r="EQ191" s="5" t="str">
        <f t="shared" ca="1" si="500"/>
        <v>VIGENTE</v>
      </c>
      <c r="ER191" s="6"/>
      <c r="ES191" s="39">
        <v>45999</v>
      </c>
      <c r="ET191" s="4">
        <f>DATE(YEAR(ES191)+2,MONTH(ES191),DAY(ES191))</f>
        <v>46729</v>
      </c>
      <c r="EU191" s="8">
        <f t="shared" ca="1" si="501"/>
        <v>584</v>
      </c>
      <c r="EV191" s="5" t="str">
        <f t="shared" ca="1" si="502"/>
        <v>VIGENTE</v>
      </c>
      <c r="EW191" s="4"/>
      <c r="EX191" s="4">
        <v>46037</v>
      </c>
      <c r="EY191" s="4">
        <f t="shared" si="684"/>
        <v>46767</v>
      </c>
      <c r="EZ191" s="8">
        <f t="shared" ca="1" si="503"/>
        <v>622</v>
      </c>
      <c r="FA191" s="5" t="str">
        <f t="shared" ca="1" si="504"/>
        <v>VIGENTE</v>
      </c>
      <c r="FB191" s="4"/>
      <c r="FC191" s="4">
        <v>46010</v>
      </c>
      <c r="FD191" s="4">
        <f>DATE(YEAR(FC191)+2,MONTH(FC191),DAY(FC191))</f>
        <v>46740</v>
      </c>
      <c r="FE191" s="8">
        <f t="shared" ca="1" si="505"/>
        <v>595</v>
      </c>
      <c r="FF191" s="5" t="str">
        <f t="shared" ca="1" si="506"/>
        <v>VIGENTE</v>
      </c>
      <c r="FG191" s="4"/>
      <c r="FH191" s="4">
        <v>45962</v>
      </c>
      <c r="FI191" s="4">
        <f t="shared" si="686"/>
        <v>46692</v>
      </c>
      <c r="FJ191" s="8">
        <f t="shared" ca="1" si="507"/>
        <v>547</v>
      </c>
      <c r="FK191" s="5" t="str">
        <f t="shared" ca="1" si="508"/>
        <v>VIGENTE</v>
      </c>
      <c r="FL191" s="4"/>
      <c r="FM191" s="39">
        <v>46039</v>
      </c>
      <c r="FN191" s="4">
        <f>DATE(YEAR(FM191)+2,MONTH(FM191),DAY(FM191))</f>
        <v>46769</v>
      </c>
      <c r="FO191" s="8">
        <f t="shared" ca="1" si="509"/>
        <v>624</v>
      </c>
      <c r="FP191" s="5" t="str">
        <f t="shared" ca="1" si="510"/>
        <v>VIGENTE</v>
      </c>
      <c r="FQ191" s="4"/>
      <c r="FR191" s="39">
        <v>46034</v>
      </c>
      <c r="FS191" s="4">
        <f>DATE(YEAR(FR191)+2,MONTH(FR191),DAY(FR191))</f>
        <v>46764</v>
      </c>
      <c r="FT191" s="8">
        <f t="shared" ca="1" si="511"/>
        <v>619</v>
      </c>
      <c r="FU191" s="5" t="str">
        <f t="shared" ca="1" si="512"/>
        <v>VIGENTE</v>
      </c>
      <c r="FV191" s="4"/>
      <c r="FW191" s="4">
        <v>46004</v>
      </c>
      <c r="FX191" s="4">
        <f t="shared" si="693"/>
        <v>46734</v>
      </c>
      <c r="FY191" s="8">
        <f t="shared" ca="1" si="513"/>
        <v>589</v>
      </c>
      <c r="FZ191" s="5" t="str">
        <f t="shared" ca="1" si="514"/>
        <v>VIGENTE</v>
      </c>
      <c r="GA191" s="4"/>
      <c r="GB191" s="4">
        <v>45925</v>
      </c>
      <c r="GC191" s="4">
        <f>DATE(YEAR(GB191)+2,MONTH(GB191),DAY(GB191))</f>
        <v>46655</v>
      </c>
      <c r="GD191" s="8">
        <f t="shared" ca="1" si="515"/>
        <v>510</v>
      </c>
      <c r="GE191" s="5" t="str">
        <f t="shared" ca="1" si="516"/>
        <v>VIGENTE</v>
      </c>
      <c r="GF191" s="4"/>
      <c r="GG191" s="4">
        <v>45960</v>
      </c>
      <c r="GH191" s="4">
        <f t="shared" si="689"/>
        <v>46690</v>
      </c>
      <c r="GI191" s="8">
        <f t="shared" ca="1" si="517"/>
        <v>545</v>
      </c>
      <c r="GJ191" s="5" t="str">
        <f t="shared" ca="1" si="518"/>
        <v>VIGENTE</v>
      </c>
      <c r="GK191" s="3"/>
      <c r="GL191" s="4">
        <v>46044</v>
      </c>
      <c r="GM191" s="4">
        <f t="shared" si="695"/>
        <v>46774</v>
      </c>
      <c r="GN191" s="8">
        <f t="shared" ca="1" si="519"/>
        <v>629</v>
      </c>
      <c r="GO191" s="5" t="str">
        <f t="shared" ca="1" si="520"/>
        <v>VIGENTE</v>
      </c>
      <c r="GP191" s="4"/>
      <c r="GQ191" s="4">
        <v>45299</v>
      </c>
      <c r="GR191" s="4">
        <f t="shared" si="521"/>
        <v>47126</v>
      </c>
      <c r="GS191" s="8">
        <f t="shared" ca="1" si="601"/>
        <v>981</v>
      </c>
      <c r="GT191" s="5" t="str">
        <f t="shared" ca="1" si="610"/>
        <v>VIGENTE</v>
      </c>
      <c r="GU191" s="4"/>
      <c r="GV191" s="4">
        <v>45329</v>
      </c>
      <c r="GW191" s="4">
        <f t="shared" si="522"/>
        <v>47156</v>
      </c>
      <c r="GX191" s="8">
        <f t="shared" ca="1" si="523"/>
        <v>1011</v>
      </c>
      <c r="GY191" s="5" t="str">
        <f t="shared" ca="1" si="611"/>
        <v>VIGENTE</v>
      </c>
      <c r="GZ191" s="6"/>
      <c r="HA191" s="4">
        <v>45343</v>
      </c>
      <c r="HB191" s="4">
        <f t="shared" si="524"/>
        <v>47170</v>
      </c>
      <c r="HC191" s="8">
        <f t="shared" ca="1" si="525"/>
        <v>1025</v>
      </c>
      <c r="HD191" s="5" t="str">
        <f t="shared" ca="1" si="612"/>
        <v>VIGENTE</v>
      </c>
      <c r="HE191" s="6"/>
      <c r="HF191" s="4">
        <v>45317</v>
      </c>
      <c r="HG191" s="4">
        <f>DATE(YEAR(HF191)+5,MONTH(HF191),DAY(HF191))</f>
        <v>47144</v>
      </c>
      <c r="HH191" s="8">
        <f ca="1">HG191-TODAY()</f>
        <v>999</v>
      </c>
      <c r="HI191" s="5" t="str">
        <f ca="1">IF(HH191&gt;=61,"VIGENTE",IF(HH191&gt;=1,"POR VENCER",IF(HH191&lt;=-1,"VENCIDA",IF(HF191=0,"NO APLICA"))))</f>
        <v>VIGENTE</v>
      </c>
      <c r="HJ191" s="6"/>
      <c r="HK191" s="6"/>
      <c r="HL191" s="4"/>
      <c r="HM191" s="8"/>
      <c r="HN191" s="5" t="str">
        <f t="shared" si="694"/>
        <v>NO APLICA</v>
      </c>
      <c r="HO191" s="2"/>
      <c r="HP191" s="2"/>
      <c r="HQ191" s="4"/>
      <c r="HR191" s="2"/>
      <c r="HS191" s="5" t="str">
        <f t="shared" si="526"/>
        <v>NO APLICA</v>
      </c>
      <c r="HT191" s="6"/>
      <c r="HU191" s="6"/>
      <c r="HV191" s="4"/>
      <c r="HW191" s="8"/>
      <c r="HX191" s="5" t="str">
        <f t="shared" si="527"/>
        <v>NO APLICA</v>
      </c>
      <c r="HY191" s="6"/>
      <c r="HZ191" s="6"/>
      <c r="IA191" s="4"/>
      <c r="IB191" s="8"/>
      <c r="IC191" s="5" t="str">
        <f t="shared" si="528"/>
        <v>NO APLICA</v>
      </c>
      <c r="ID191" s="6"/>
      <c r="IE191" s="6"/>
      <c r="IF191" s="4"/>
      <c r="IG191" s="8"/>
      <c r="IH191" s="5" t="str">
        <f t="shared" si="529"/>
        <v>NO APLICA</v>
      </c>
      <c r="II191" s="6"/>
      <c r="IJ191" s="6"/>
      <c r="IK191" s="4"/>
      <c r="IL191" s="8"/>
      <c r="IM191" s="5" t="str">
        <f t="shared" si="530"/>
        <v>NO APLICA</v>
      </c>
      <c r="IN191" s="6"/>
      <c r="IO191" s="6"/>
      <c r="IP191" s="4"/>
      <c r="IQ191" s="8"/>
      <c r="IR191" s="5" t="str">
        <f t="shared" si="531"/>
        <v>NO APLICA</v>
      </c>
      <c r="IS191" s="6"/>
      <c r="IT191" s="6"/>
      <c r="IU191" s="4"/>
      <c r="IV191" s="8"/>
      <c r="IW191" s="5" t="str">
        <f t="shared" si="532"/>
        <v>NO APLICA</v>
      </c>
      <c r="IX191" s="6"/>
      <c r="IY191" s="6"/>
      <c r="IZ191" s="4"/>
      <c r="JA191" s="8"/>
      <c r="JB191" s="5" t="str">
        <f t="shared" si="533"/>
        <v>NO APLICA</v>
      </c>
      <c r="JC191" s="3" t="s">
        <v>780</v>
      </c>
      <c r="JD191" s="3"/>
      <c r="JE191" s="4"/>
      <c r="JF191" s="8"/>
      <c r="JG191" s="5"/>
      <c r="JH191" s="3" t="s">
        <v>780</v>
      </c>
      <c r="JI191" s="6"/>
      <c r="JJ191" s="6"/>
      <c r="JK191" s="6"/>
      <c r="JL191" s="5"/>
      <c r="JM191" s="6" t="s">
        <v>780</v>
      </c>
      <c r="JN191" s="6"/>
      <c r="JO191" s="6"/>
      <c r="JP191" s="6"/>
      <c r="JQ191" s="5"/>
      <c r="JR191" s="6" t="s">
        <v>780</v>
      </c>
      <c r="JS191" s="6"/>
      <c r="JT191" s="6"/>
      <c r="JU191" s="6"/>
      <c r="JV191" s="5"/>
      <c r="JW191" s="6" t="s">
        <v>780</v>
      </c>
      <c r="JX191" s="5"/>
      <c r="JY191" s="5"/>
      <c r="JZ191" s="5"/>
      <c r="KA191" s="5"/>
      <c r="KB191" s="5"/>
      <c r="KC191" s="2"/>
      <c r="KD191" s="4"/>
      <c r="KE191" s="8"/>
      <c r="KF191" s="5" t="str">
        <f t="shared" si="534"/>
        <v>NO APLICA</v>
      </c>
      <c r="KG191" s="5"/>
      <c r="KH191" s="2"/>
      <c r="KI191" s="4"/>
      <c r="KJ191" s="8"/>
      <c r="KK191" s="5" t="str">
        <f t="shared" si="559"/>
        <v>NO APLICA</v>
      </c>
      <c r="KL191" s="5"/>
      <c r="KM191" s="2"/>
      <c r="KN191" s="4"/>
      <c r="KO191" s="8"/>
      <c r="KP191" s="5" t="str">
        <f t="shared" si="535"/>
        <v>NO APLICA</v>
      </c>
      <c r="KQ191" s="5"/>
      <c r="KR191" s="2"/>
      <c r="KS191" s="4"/>
      <c r="KT191" s="8"/>
      <c r="KU191" s="5" t="str">
        <f t="shared" si="560"/>
        <v>NO APLICA</v>
      </c>
      <c r="KV191" s="6"/>
      <c r="KW191" s="6"/>
      <c r="KX191" s="4"/>
      <c r="KY191" s="8"/>
      <c r="KZ191" s="5" t="str">
        <f t="shared" si="565"/>
        <v>NO APLICA</v>
      </c>
      <c r="LA191" s="5"/>
      <c r="LB191" s="6"/>
      <c r="LC191" s="4"/>
      <c r="LD191" s="8"/>
      <c r="LE191" s="5" t="str">
        <f t="shared" si="561"/>
        <v>NO APLICA</v>
      </c>
      <c r="LF191" s="6"/>
      <c r="LG191" s="6"/>
      <c r="LH191" s="4"/>
      <c r="LI191" s="8"/>
      <c r="LJ191" s="5" t="str">
        <f t="shared" si="600"/>
        <v>NO APLICA</v>
      </c>
      <c r="LK191" s="5"/>
      <c r="LL191" s="5"/>
      <c r="LM191" s="5"/>
      <c r="LN191" s="5"/>
      <c r="LO191" s="5" t="str">
        <f t="shared" si="566"/>
        <v>NO APLICA</v>
      </c>
      <c r="LP191" s="6"/>
      <c r="LQ191" s="6"/>
      <c r="LR191" s="4"/>
      <c r="LS191" s="8"/>
      <c r="LT191" s="5" t="str">
        <f t="shared" si="562"/>
        <v>NO APLICA</v>
      </c>
      <c r="LU191" s="6"/>
      <c r="LV191" s="6"/>
      <c r="LW191" s="4"/>
      <c r="LX191" s="8"/>
      <c r="LY191" s="5" t="str">
        <f t="shared" si="563"/>
        <v>NO APLICA</v>
      </c>
      <c r="LZ191" s="6"/>
      <c r="MA191" s="6"/>
      <c r="MB191" s="4"/>
      <c r="MC191" s="8"/>
      <c r="MD191" s="5" t="str">
        <f t="shared" si="564"/>
        <v>NO APLICA</v>
      </c>
      <c r="ME191" s="2"/>
      <c r="MF191" s="2"/>
      <c r="MG191" s="4"/>
      <c r="MH191" s="8"/>
      <c r="MI191" s="5" t="str">
        <f t="shared" si="537"/>
        <v>NO APLICA</v>
      </c>
      <c r="MJ191" s="2"/>
      <c r="MK191" s="2"/>
      <c r="ML191" s="4"/>
      <c r="MM191" s="8"/>
      <c r="MN191" s="5" t="str">
        <f t="shared" si="538"/>
        <v>NO APLICA</v>
      </c>
      <c r="MO191" s="5"/>
      <c r="MP191" s="2"/>
      <c r="MQ191" s="4"/>
      <c r="MR191" s="8"/>
      <c r="MS191" s="5" t="str">
        <f t="shared" si="539"/>
        <v>NO APLICA</v>
      </c>
      <c r="MT191" s="5"/>
      <c r="MU191" s="2"/>
      <c r="MV191" s="4"/>
      <c r="MW191" s="2"/>
      <c r="MX191" s="5" t="str">
        <f t="shared" si="540"/>
        <v>NO APLICA</v>
      </c>
      <c r="MY191" s="6"/>
      <c r="MZ191" s="6"/>
      <c r="NA191" s="4"/>
      <c r="NB191" s="8"/>
      <c r="NC191" s="5" t="str">
        <f t="shared" si="541"/>
        <v>NO APLICA</v>
      </c>
      <c r="ND191" s="6"/>
      <c r="NE191" s="6"/>
      <c r="NF191" s="4"/>
      <c r="NG191" s="8"/>
      <c r="NH191" s="5" t="str">
        <f t="shared" si="542"/>
        <v>NO APLICA</v>
      </c>
      <c r="NI191" s="6"/>
      <c r="NJ191" s="6"/>
      <c r="NK191" s="4"/>
      <c r="NL191" s="8"/>
      <c r="NM191" s="5" t="str">
        <f t="shared" si="543"/>
        <v>NO APLICA</v>
      </c>
      <c r="NN191" s="2"/>
      <c r="NO191" s="2"/>
      <c r="NP191" s="4"/>
      <c r="NQ191" s="2"/>
      <c r="NR191" s="5" t="str">
        <f t="shared" si="544"/>
        <v>NO APLICA</v>
      </c>
      <c r="NS191" s="2"/>
      <c r="NT191" s="2"/>
      <c r="NU191" s="4"/>
      <c r="NV191" s="2"/>
      <c r="NW191" s="5" t="str">
        <f t="shared" si="545"/>
        <v>NO APLICA</v>
      </c>
      <c r="NX191" s="6"/>
      <c r="NY191" s="6"/>
      <c r="NZ191" s="4"/>
      <c r="OA191" s="8"/>
      <c r="OB191" s="5" t="str">
        <f t="shared" si="546"/>
        <v>NO APLICA</v>
      </c>
      <c r="OC191" s="6"/>
      <c r="OD191" s="6"/>
      <c r="OE191" s="6"/>
      <c r="OF191" s="6"/>
      <c r="OG191" s="5" t="str">
        <f t="shared" si="547"/>
        <v>NO APLICA</v>
      </c>
      <c r="OH191" s="6"/>
      <c r="OI191" s="6"/>
      <c r="OJ191" s="4"/>
      <c r="OK191" s="8"/>
      <c r="OL191" s="5" t="str">
        <f t="shared" si="548"/>
        <v>NO APLICA</v>
      </c>
      <c r="OM191" s="6"/>
      <c r="ON191" s="6"/>
      <c r="OO191" s="6"/>
      <c r="OP191" s="6"/>
      <c r="OQ191" s="5" t="str">
        <f t="shared" si="549"/>
        <v>NO APLICA</v>
      </c>
      <c r="OR191" s="6"/>
      <c r="OS191" s="6"/>
      <c r="OT191" s="6"/>
      <c r="OU191" s="6"/>
      <c r="OV191" s="5" t="str">
        <f t="shared" si="550"/>
        <v>NO APLICA</v>
      </c>
      <c r="OW191" s="6"/>
      <c r="OX191" s="6"/>
      <c r="OY191" s="6"/>
      <c r="OZ191" s="6"/>
      <c r="PA191" s="5" t="str">
        <f t="shared" si="551"/>
        <v>NO APLICA</v>
      </c>
      <c r="PB191" s="6"/>
      <c r="PC191" s="6"/>
      <c r="PD191" s="6"/>
      <c r="PE191" s="6"/>
      <c r="PF191" s="5" t="str">
        <f t="shared" si="552"/>
        <v>NO APLICA</v>
      </c>
      <c r="PG191" s="6"/>
      <c r="PH191" s="6"/>
      <c r="PI191" s="6"/>
      <c r="PJ191" s="6"/>
      <c r="PK191" s="5" t="str">
        <f t="shared" si="553"/>
        <v>NO APLICA</v>
      </c>
      <c r="PL191" s="5"/>
      <c r="PM191" s="6"/>
      <c r="PN191" s="4"/>
      <c r="PO191" s="8"/>
      <c r="PP191" s="5" t="str">
        <f t="shared" si="554"/>
        <v>NO APLICA</v>
      </c>
      <c r="PQ191" s="6"/>
      <c r="PR191" s="6"/>
      <c r="PS191" s="6"/>
      <c r="PT191" s="6"/>
      <c r="PU191" s="5" t="str">
        <f t="shared" si="555"/>
        <v>NO APLICA</v>
      </c>
      <c r="PV191" s="5"/>
      <c r="PW191" s="6"/>
      <c r="PX191" s="6"/>
      <c r="PY191" s="6"/>
      <c r="PZ191" s="5" t="str">
        <f t="shared" si="556"/>
        <v>NO APLICA</v>
      </c>
    </row>
    <row r="192" spans="1:442" ht="15.6" hidden="1" thickTop="1" thickBot="1" x14ac:dyDescent="0.35">
      <c r="A192" s="26">
        <v>189</v>
      </c>
      <c r="B192" s="31">
        <v>1357</v>
      </c>
      <c r="C192" s="28" t="s">
        <v>601</v>
      </c>
      <c r="D192" s="29" t="s">
        <v>113</v>
      </c>
      <c r="E192" s="30" t="s">
        <v>602</v>
      </c>
      <c r="F192" s="6"/>
      <c r="G192" s="6"/>
      <c r="H192" s="6"/>
      <c r="I192" s="6"/>
      <c r="J192" s="5" t="str">
        <f t="shared" si="696"/>
        <v>NO APLICA</v>
      </c>
      <c r="K192" s="6"/>
      <c r="L192" s="6"/>
      <c r="M192" s="6"/>
      <c r="N192" s="6"/>
      <c r="O192" s="5" t="str">
        <f t="shared" si="456"/>
        <v>NO APLICA</v>
      </c>
      <c r="P192" s="6"/>
      <c r="Q192" s="6"/>
      <c r="R192" s="6"/>
      <c r="S192" s="6"/>
      <c r="T192" s="5" t="str">
        <f t="shared" ref="T192:T240" si="697">IF(S192&gt;=61,"VIGENTE",IF(S192&gt;=1,"POR VENCER",IF(S192&lt;=-1,"VENCIDA",IF(S192=0,"NO APLICA"))))</f>
        <v>NO APLICA</v>
      </c>
      <c r="U192" s="5"/>
      <c r="V192" s="6"/>
      <c r="W192" s="4"/>
      <c r="X192" s="4"/>
      <c r="Y192" s="8"/>
      <c r="Z192" s="5" t="str">
        <f t="shared" si="605"/>
        <v>NO APLICA</v>
      </c>
      <c r="AA192" s="5"/>
      <c r="AB192" s="6"/>
      <c r="AC192" s="6"/>
      <c r="AD192" s="6"/>
      <c r="AE192" s="6"/>
      <c r="AF192" s="5" t="str">
        <f t="shared" si="457"/>
        <v>NO APLICA</v>
      </c>
      <c r="AG192" s="4"/>
      <c r="AH192" s="4"/>
      <c r="AI192" s="4"/>
      <c r="AJ192" s="6"/>
      <c r="AK192" s="5" t="str">
        <f t="shared" si="602"/>
        <v>NO APLICA</v>
      </c>
      <c r="AL192" s="4"/>
      <c r="AM192" s="4"/>
      <c r="AN192" s="4"/>
      <c r="AO192" s="6"/>
      <c r="AP192" s="5" t="str">
        <f t="shared" si="460"/>
        <v>NO APLICA</v>
      </c>
      <c r="AQ192" s="4"/>
      <c r="AR192" s="4"/>
      <c r="AS192" s="4"/>
      <c r="AT192" s="6"/>
      <c r="AU192" s="5" t="str">
        <f t="shared" si="462"/>
        <v>NO APLICA</v>
      </c>
      <c r="AV192" s="4"/>
      <c r="AW192" s="4"/>
      <c r="AX192" s="4"/>
      <c r="AY192" s="6"/>
      <c r="AZ192" s="5" t="str">
        <f t="shared" si="464"/>
        <v>NO APLICA</v>
      </c>
      <c r="BA192" s="4"/>
      <c r="BB192" s="4"/>
      <c r="BC192" s="4"/>
      <c r="BD192" s="6"/>
      <c r="BE192" s="5" t="str">
        <f t="shared" si="466"/>
        <v>NO APLICA</v>
      </c>
      <c r="BF192" s="4"/>
      <c r="BG192" s="4"/>
      <c r="BH192" s="4"/>
      <c r="BI192" s="6"/>
      <c r="BJ192" s="5" t="str">
        <f t="shared" si="468"/>
        <v>NO APLICA</v>
      </c>
      <c r="BK192" s="4"/>
      <c r="BL192" s="4"/>
      <c r="BM192" s="4"/>
      <c r="BN192" s="6"/>
      <c r="BO192" s="5" t="str">
        <f t="shared" si="470"/>
        <v>NO APLICA</v>
      </c>
      <c r="BP192" s="4"/>
      <c r="BQ192" s="4"/>
      <c r="BR192" s="4"/>
      <c r="BS192" s="6"/>
      <c r="BT192" s="5" t="str">
        <f t="shared" si="472"/>
        <v>NO APLICA</v>
      </c>
      <c r="BU192" s="4"/>
      <c r="BV192" s="4"/>
      <c r="BW192" s="4"/>
      <c r="BX192" s="6"/>
      <c r="BY192" s="5" t="str">
        <f t="shared" si="474"/>
        <v>NO APLICA</v>
      </c>
      <c r="BZ192" s="4"/>
      <c r="CA192" s="4"/>
      <c r="CB192" s="4"/>
      <c r="CC192" s="6"/>
      <c r="CD192" s="5" t="str">
        <f t="shared" si="476"/>
        <v>NO APLICA</v>
      </c>
      <c r="CE192" s="6"/>
      <c r="CF192" s="6"/>
      <c r="CG192" s="6"/>
      <c r="CH192" s="6"/>
      <c r="CI192" s="5" t="str">
        <f t="shared" si="573"/>
        <v>NO APLICA</v>
      </c>
      <c r="CJ192" s="4"/>
      <c r="CK192" s="4"/>
      <c r="CL192" s="4"/>
      <c r="CM192" s="6"/>
      <c r="CN192" s="5" t="str">
        <f t="shared" si="478"/>
        <v>NO APLICA</v>
      </c>
      <c r="CO192" s="4"/>
      <c r="CP192" s="4"/>
      <c r="CQ192" s="4"/>
      <c r="CR192" s="6"/>
      <c r="CS192" s="5" t="str">
        <f t="shared" si="480"/>
        <v>NO APLICA</v>
      </c>
      <c r="CT192" s="4"/>
      <c r="CU192" s="4"/>
      <c r="CV192" s="4"/>
      <c r="CW192" s="6"/>
      <c r="CX192" s="5" t="str">
        <f t="shared" si="482"/>
        <v>NO APLICA</v>
      </c>
      <c r="CY192" s="4"/>
      <c r="CZ192" s="4"/>
      <c r="DA192" s="4"/>
      <c r="DB192" s="6"/>
      <c r="DC192" s="5" t="str">
        <f t="shared" si="484"/>
        <v>NO APLICA</v>
      </c>
      <c r="DD192" s="4"/>
      <c r="DE192" s="4"/>
      <c r="DF192" s="4"/>
      <c r="DG192" s="6"/>
      <c r="DH192" s="5" t="str">
        <f t="shared" si="486"/>
        <v>NO APLICA</v>
      </c>
      <c r="DI192" s="4"/>
      <c r="DJ192" s="4"/>
      <c r="DK192" s="4"/>
      <c r="DL192" s="6"/>
      <c r="DM192" s="5" t="str">
        <f t="shared" si="488"/>
        <v>NO APLICA</v>
      </c>
      <c r="DN192" s="4"/>
      <c r="DO192" s="4"/>
      <c r="DP192" s="4"/>
      <c r="DQ192" s="6"/>
      <c r="DR192" s="5" t="str">
        <f t="shared" si="490"/>
        <v>NO APLICA</v>
      </c>
      <c r="DS192" s="4"/>
      <c r="DT192" s="4"/>
      <c r="DU192" s="4"/>
      <c r="DV192" s="6"/>
      <c r="DW192" s="5" t="str">
        <f t="shared" si="492"/>
        <v>NO APLICA</v>
      </c>
      <c r="DX192" s="4"/>
      <c r="DY192" s="4"/>
      <c r="DZ192" s="4"/>
      <c r="EA192" s="6"/>
      <c r="EB192" s="5" t="str">
        <f t="shared" si="494"/>
        <v>NO APLICA</v>
      </c>
      <c r="EC192" s="4"/>
      <c r="ED192" s="4"/>
      <c r="EE192" s="4"/>
      <c r="EF192" s="6"/>
      <c r="EG192" s="5" t="str">
        <f t="shared" si="496"/>
        <v>NO APLICA</v>
      </c>
      <c r="EH192" s="4"/>
      <c r="EI192" s="4"/>
      <c r="EJ192" s="4"/>
      <c r="EK192" s="8"/>
      <c r="EL192" s="5" t="str">
        <f t="shared" si="498"/>
        <v>NO APLICA</v>
      </c>
      <c r="EM192" s="4"/>
      <c r="EN192" s="4"/>
      <c r="EO192" s="4"/>
      <c r="EP192" s="8"/>
      <c r="EQ192" s="5" t="str">
        <f t="shared" si="500"/>
        <v>NO APLICA</v>
      </c>
      <c r="ER192" s="4"/>
      <c r="ES192" s="4"/>
      <c r="ET192" s="4"/>
      <c r="EU192" s="8"/>
      <c r="EV192" s="5" t="str">
        <f t="shared" si="502"/>
        <v>NO APLICA</v>
      </c>
      <c r="EW192" s="4"/>
      <c r="EX192" s="4"/>
      <c r="EY192" s="4"/>
      <c r="EZ192" s="6"/>
      <c r="FA192" s="5" t="str">
        <f t="shared" si="504"/>
        <v>NO APLICA</v>
      </c>
      <c r="FB192" s="4"/>
      <c r="FC192" s="4"/>
      <c r="FD192" s="4"/>
      <c r="FE192" s="6"/>
      <c r="FF192" s="5" t="str">
        <f t="shared" si="506"/>
        <v>NO APLICA</v>
      </c>
      <c r="FG192" s="4"/>
      <c r="FH192" s="4"/>
      <c r="FI192" s="4"/>
      <c r="FJ192" s="6"/>
      <c r="FK192" s="5" t="str">
        <f t="shared" si="508"/>
        <v>NO APLICA</v>
      </c>
      <c r="FL192" s="4"/>
      <c r="FM192" s="4"/>
      <c r="FN192" s="4"/>
      <c r="FO192" s="6"/>
      <c r="FP192" s="5" t="str">
        <f t="shared" si="510"/>
        <v>NO APLICA</v>
      </c>
      <c r="FQ192" s="4"/>
      <c r="FR192" s="4"/>
      <c r="FS192" s="4"/>
      <c r="FT192" s="6"/>
      <c r="FU192" s="5" t="str">
        <f t="shared" si="512"/>
        <v>NO APLICA</v>
      </c>
      <c r="FV192" s="4"/>
      <c r="FW192" s="4"/>
      <c r="FX192" s="4"/>
      <c r="FY192" s="6"/>
      <c r="FZ192" s="5" t="str">
        <f t="shared" si="514"/>
        <v>NO APLICA</v>
      </c>
      <c r="GA192" s="4"/>
      <c r="GB192" s="4"/>
      <c r="GC192" s="4"/>
      <c r="GD192" s="6"/>
      <c r="GE192" s="5" t="str">
        <f t="shared" si="516"/>
        <v>NO APLICA</v>
      </c>
      <c r="GF192" s="4"/>
      <c r="GG192" s="4"/>
      <c r="GH192" s="4"/>
      <c r="GI192" s="8"/>
      <c r="GJ192" s="5" t="str">
        <f t="shared" si="518"/>
        <v>NO APLICA</v>
      </c>
      <c r="GK192" s="4"/>
      <c r="GL192" s="6"/>
      <c r="GM192" s="6"/>
      <c r="GN192" s="6"/>
      <c r="GO192" s="5" t="str">
        <f t="shared" si="520"/>
        <v>NO APLICA</v>
      </c>
      <c r="GP192" s="4"/>
      <c r="GQ192" s="6"/>
      <c r="GR192" s="6"/>
      <c r="GS192" s="6"/>
      <c r="GT192" s="5" t="str">
        <f t="shared" si="610"/>
        <v>NO APLICA</v>
      </c>
      <c r="GU192" s="4"/>
      <c r="GV192" s="6"/>
      <c r="GW192" s="6"/>
      <c r="GX192" s="6"/>
      <c r="GY192" s="5" t="str">
        <f t="shared" si="611"/>
        <v>NO APLICA</v>
      </c>
      <c r="GZ192" s="6"/>
      <c r="HA192" s="6"/>
      <c r="HB192" s="6"/>
      <c r="HC192" s="6"/>
      <c r="HD192" s="5" t="str">
        <f t="shared" si="612"/>
        <v>NO APLICA</v>
      </c>
      <c r="HE192" s="6"/>
      <c r="HF192" s="6"/>
      <c r="HG192" s="4"/>
      <c r="HH192" s="8"/>
      <c r="HI192" s="5" t="str">
        <f t="shared" ref="HI192:HI240" si="698">IF(HH192&gt;=61,"VIGENTE",IF(HH192&gt;=1,"POR VENCER",IF(HH192&lt;=-1,"VENCIDA",IF(HF192=0,"NO APLICA"))))</f>
        <v>NO APLICA</v>
      </c>
      <c r="HJ192" s="6"/>
      <c r="HK192" s="6"/>
      <c r="HL192" s="6"/>
      <c r="HM192" s="6"/>
      <c r="HN192" s="5" t="str">
        <f t="shared" si="694"/>
        <v>NO APLICA</v>
      </c>
      <c r="HO192" s="6"/>
      <c r="HP192" s="6"/>
      <c r="HQ192" s="6"/>
      <c r="HR192" s="6"/>
      <c r="HS192" s="5" t="str">
        <f t="shared" si="526"/>
        <v>NO APLICA</v>
      </c>
      <c r="HT192" s="6"/>
      <c r="HU192" s="6"/>
      <c r="HV192" s="6"/>
      <c r="HW192" s="6"/>
      <c r="HX192" s="5" t="str">
        <f t="shared" si="527"/>
        <v>NO APLICA</v>
      </c>
      <c r="HY192" s="6"/>
      <c r="HZ192" s="6"/>
      <c r="IA192" s="6"/>
      <c r="IB192" s="6"/>
      <c r="IC192" s="5" t="str">
        <f t="shared" si="528"/>
        <v>NO APLICA</v>
      </c>
      <c r="ID192" s="6"/>
      <c r="IE192" s="6"/>
      <c r="IF192" s="6"/>
      <c r="IG192" s="6"/>
      <c r="IH192" s="5" t="str">
        <f t="shared" si="529"/>
        <v>NO APLICA</v>
      </c>
      <c r="II192" s="6"/>
      <c r="IJ192" s="6"/>
      <c r="IK192" s="6"/>
      <c r="IL192" s="6"/>
      <c r="IM192" s="5" t="str">
        <f t="shared" si="530"/>
        <v>NO APLICA</v>
      </c>
      <c r="IN192" s="6"/>
      <c r="IO192" s="6"/>
      <c r="IP192" s="6"/>
      <c r="IQ192" s="6"/>
      <c r="IR192" s="5" t="str">
        <f t="shared" si="531"/>
        <v>NO APLICA</v>
      </c>
      <c r="IS192" s="6"/>
      <c r="IT192" s="6"/>
      <c r="IU192" s="6"/>
      <c r="IV192" s="6"/>
      <c r="IW192" s="5" t="str">
        <f t="shared" si="532"/>
        <v>NO APLICA</v>
      </c>
      <c r="IX192" s="6"/>
      <c r="IY192" s="6"/>
      <c r="IZ192" s="6"/>
      <c r="JA192" s="6"/>
      <c r="JB192" s="5" t="str">
        <f t="shared" si="533"/>
        <v>NO APLICA</v>
      </c>
      <c r="JC192" s="3" t="s">
        <v>780</v>
      </c>
      <c r="JD192" s="6"/>
      <c r="JE192" s="6"/>
      <c r="JF192" s="6"/>
      <c r="JG192" s="5"/>
      <c r="JH192" s="3" t="s">
        <v>780</v>
      </c>
      <c r="JI192" s="6"/>
      <c r="JJ192" s="6"/>
      <c r="JK192" s="6"/>
      <c r="JL192" s="5"/>
      <c r="JM192" s="6" t="s">
        <v>780</v>
      </c>
      <c r="JN192" s="6"/>
      <c r="JO192" s="6"/>
      <c r="JP192" s="6"/>
      <c r="JQ192" s="5"/>
      <c r="JR192" s="6" t="s">
        <v>780</v>
      </c>
      <c r="JS192" s="6"/>
      <c r="JT192" s="6"/>
      <c r="JU192" s="6"/>
      <c r="JV192" s="5"/>
      <c r="JW192" s="6" t="s">
        <v>780</v>
      </c>
      <c r="JX192" s="5"/>
      <c r="JY192" s="5"/>
      <c r="JZ192" s="5"/>
      <c r="KA192" s="5"/>
      <c r="KB192" s="5"/>
      <c r="KC192" s="6"/>
      <c r="KD192" s="6"/>
      <c r="KE192" s="6"/>
      <c r="KF192" s="5" t="str">
        <f t="shared" si="534"/>
        <v>NO APLICA</v>
      </c>
      <c r="KG192" s="5"/>
      <c r="KH192" s="6"/>
      <c r="KI192" s="6"/>
      <c r="KJ192" s="6"/>
      <c r="KK192" s="5" t="str">
        <f t="shared" si="559"/>
        <v>NO APLICA</v>
      </c>
      <c r="KL192" s="5"/>
      <c r="KM192" s="6"/>
      <c r="KN192" s="6"/>
      <c r="KO192" s="6"/>
      <c r="KP192" s="5" t="str">
        <f t="shared" si="535"/>
        <v>NO APLICA</v>
      </c>
      <c r="KQ192" s="5"/>
      <c r="KR192" s="6"/>
      <c r="KS192" s="6"/>
      <c r="KT192" s="6"/>
      <c r="KU192" s="5" t="str">
        <f t="shared" si="560"/>
        <v>NO APLICA</v>
      </c>
      <c r="KV192" s="6"/>
      <c r="KW192" s="6"/>
      <c r="KX192" s="6"/>
      <c r="KY192" s="6"/>
      <c r="KZ192" s="5" t="str">
        <f t="shared" si="565"/>
        <v>NO APLICA</v>
      </c>
      <c r="LA192" s="5"/>
      <c r="LB192" s="6"/>
      <c r="LC192" s="6"/>
      <c r="LD192" s="6"/>
      <c r="LE192" s="5" t="str">
        <f t="shared" si="561"/>
        <v>NO APLICA</v>
      </c>
      <c r="LF192" s="6"/>
      <c r="LG192" s="6"/>
      <c r="LH192" s="6"/>
      <c r="LI192" s="6"/>
      <c r="LJ192" s="5" t="str">
        <f t="shared" si="600"/>
        <v>NO APLICA</v>
      </c>
      <c r="LK192" s="5"/>
      <c r="LL192" s="5"/>
      <c r="LM192" s="4"/>
      <c r="LN192" s="8"/>
      <c r="LO192" s="5" t="str">
        <f t="shared" si="566"/>
        <v>NO APLICA</v>
      </c>
      <c r="LP192" s="6"/>
      <c r="LQ192" s="6"/>
      <c r="LR192" s="6"/>
      <c r="LS192" s="6"/>
      <c r="LT192" s="5" t="str">
        <f t="shared" si="562"/>
        <v>NO APLICA</v>
      </c>
      <c r="LU192" s="6"/>
      <c r="LV192" s="6"/>
      <c r="LW192" s="6"/>
      <c r="LX192" s="6"/>
      <c r="LY192" s="5" t="str">
        <f t="shared" si="563"/>
        <v>NO APLICA</v>
      </c>
      <c r="LZ192" s="6"/>
      <c r="MA192" s="6"/>
      <c r="MB192" s="6"/>
      <c r="MC192" s="6"/>
      <c r="MD192" s="5" t="str">
        <f t="shared" si="564"/>
        <v>NO APLICA</v>
      </c>
      <c r="ME192" s="6"/>
      <c r="MF192" s="6"/>
      <c r="MG192" s="6"/>
      <c r="MH192" s="6"/>
      <c r="MI192" s="5" t="str">
        <f t="shared" si="537"/>
        <v>NO APLICA</v>
      </c>
      <c r="MJ192" s="6"/>
      <c r="MK192" s="6"/>
      <c r="ML192" s="6"/>
      <c r="MM192" s="6"/>
      <c r="MN192" s="5" t="str">
        <f t="shared" si="538"/>
        <v>NO APLICA</v>
      </c>
      <c r="MO192" s="5"/>
      <c r="MP192" s="6"/>
      <c r="MQ192" s="6"/>
      <c r="MR192" s="6"/>
      <c r="MS192" s="5" t="str">
        <f t="shared" si="539"/>
        <v>NO APLICA</v>
      </c>
      <c r="MT192" s="5"/>
      <c r="MU192" s="6"/>
      <c r="MV192" s="6"/>
      <c r="MW192" s="6"/>
      <c r="MX192" s="5" t="str">
        <f t="shared" si="540"/>
        <v>NO APLICA</v>
      </c>
      <c r="MY192" s="6"/>
      <c r="MZ192" s="6"/>
      <c r="NA192" s="6"/>
      <c r="NB192" s="6"/>
      <c r="NC192" s="5" t="str">
        <f t="shared" si="541"/>
        <v>NO APLICA</v>
      </c>
      <c r="ND192" s="6"/>
      <c r="NE192" s="6"/>
      <c r="NF192" s="6"/>
      <c r="NG192" s="6"/>
      <c r="NH192" s="5" t="str">
        <f t="shared" si="542"/>
        <v>NO APLICA</v>
      </c>
      <c r="NI192" s="6"/>
      <c r="NJ192" s="6"/>
      <c r="NK192" s="6"/>
      <c r="NL192" s="6"/>
      <c r="NM192" s="5" t="str">
        <f t="shared" si="543"/>
        <v>NO APLICA</v>
      </c>
      <c r="NN192" s="6"/>
      <c r="NO192" s="6"/>
      <c r="NP192" s="6"/>
      <c r="NQ192" s="6"/>
      <c r="NR192" s="5" t="str">
        <f t="shared" si="544"/>
        <v>NO APLICA</v>
      </c>
      <c r="NS192" s="6"/>
      <c r="NT192" s="6"/>
      <c r="NU192" s="6"/>
      <c r="NV192" s="6"/>
      <c r="NW192" s="5" t="str">
        <f t="shared" si="545"/>
        <v>NO APLICA</v>
      </c>
      <c r="NX192" s="6"/>
      <c r="NY192" s="6"/>
      <c r="NZ192" s="6"/>
      <c r="OA192" s="6"/>
      <c r="OB192" s="5" t="str">
        <f t="shared" si="546"/>
        <v>NO APLICA</v>
      </c>
      <c r="OC192" s="6"/>
      <c r="OD192" s="6"/>
      <c r="OE192" s="6"/>
      <c r="OF192" s="6"/>
      <c r="OG192" s="5" t="str">
        <f t="shared" si="547"/>
        <v>NO APLICA</v>
      </c>
      <c r="OH192" s="6"/>
      <c r="OI192" s="6"/>
      <c r="OJ192" s="6"/>
      <c r="OK192" s="6"/>
      <c r="OL192" s="5" t="str">
        <f t="shared" si="548"/>
        <v>NO APLICA</v>
      </c>
      <c r="OM192" s="6"/>
      <c r="ON192" s="6"/>
      <c r="OO192" s="6"/>
      <c r="OP192" s="6"/>
      <c r="OQ192" s="5" t="str">
        <f t="shared" si="549"/>
        <v>NO APLICA</v>
      </c>
      <c r="OR192" s="6"/>
      <c r="OS192" s="6"/>
      <c r="OT192" s="6"/>
      <c r="OU192" s="6"/>
      <c r="OV192" s="5" t="str">
        <f t="shared" si="550"/>
        <v>NO APLICA</v>
      </c>
      <c r="OW192" s="6"/>
      <c r="OX192" s="6"/>
      <c r="OY192" s="6"/>
      <c r="OZ192" s="6"/>
      <c r="PA192" s="5" t="str">
        <f t="shared" si="551"/>
        <v>NO APLICA</v>
      </c>
      <c r="PB192" s="6"/>
      <c r="PC192" s="6"/>
      <c r="PD192" s="6"/>
      <c r="PE192" s="6"/>
      <c r="PF192" s="5" t="str">
        <f t="shared" si="552"/>
        <v>NO APLICA</v>
      </c>
      <c r="PG192" s="6"/>
      <c r="PH192" s="6"/>
      <c r="PI192" s="6"/>
      <c r="PJ192" s="6"/>
      <c r="PK192" s="5" t="str">
        <f t="shared" si="553"/>
        <v>NO APLICA</v>
      </c>
      <c r="PL192" s="5"/>
      <c r="PM192" s="6"/>
      <c r="PN192" s="6"/>
      <c r="PO192" s="6"/>
      <c r="PP192" s="5" t="str">
        <f t="shared" si="554"/>
        <v>NO APLICA</v>
      </c>
      <c r="PQ192" s="6"/>
      <c r="PR192" s="6"/>
      <c r="PS192" s="6"/>
      <c r="PT192" s="6"/>
      <c r="PU192" s="5" t="str">
        <f t="shared" si="555"/>
        <v>NO APLICA</v>
      </c>
      <c r="PV192" s="5"/>
      <c r="PW192" s="4">
        <v>46126</v>
      </c>
      <c r="PX192" s="4">
        <f>DATE(YEAR(PW192)+1,MONTH(PW192),DAY(PW192))</f>
        <v>46491</v>
      </c>
      <c r="PY192" s="8">
        <f ca="1">PX192-TODAY()</f>
        <v>346</v>
      </c>
      <c r="PZ192" s="5" t="str">
        <f t="shared" ca="1" si="556"/>
        <v>VIGENTE</v>
      </c>
    </row>
    <row r="193" spans="1:442" ht="15.6" hidden="1" thickTop="1" thickBot="1" x14ac:dyDescent="0.35">
      <c r="A193" s="26">
        <v>190</v>
      </c>
      <c r="B193" s="31">
        <v>663</v>
      </c>
      <c r="C193" s="28" t="s">
        <v>603</v>
      </c>
      <c r="D193" s="29" t="s">
        <v>604</v>
      </c>
      <c r="E193" s="30" t="s">
        <v>605</v>
      </c>
      <c r="F193" s="3"/>
      <c r="G193" s="4"/>
      <c r="H193" s="4"/>
      <c r="I193" s="8"/>
      <c r="J193" s="5" t="str">
        <f t="shared" si="696"/>
        <v>NO APLICA</v>
      </c>
      <c r="K193" s="2"/>
      <c r="L193" s="2"/>
      <c r="M193" s="2"/>
      <c r="N193" s="2"/>
      <c r="O193" s="5" t="str">
        <f t="shared" si="456"/>
        <v>NO APLICA</v>
      </c>
      <c r="P193" s="6"/>
      <c r="Q193" s="6"/>
      <c r="R193" s="4"/>
      <c r="S193" s="8"/>
      <c r="T193" s="5" t="str">
        <f t="shared" si="697"/>
        <v>NO APLICA</v>
      </c>
      <c r="U193" s="5"/>
      <c r="V193" s="2"/>
      <c r="W193" s="4"/>
      <c r="X193" s="4"/>
      <c r="Y193" s="8"/>
      <c r="Z193" s="5" t="str">
        <f t="shared" si="605"/>
        <v>NO APLICA</v>
      </c>
      <c r="AA193" s="5"/>
      <c r="AB193" s="2"/>
      <c r="AC193" s="6"/>
      <c r="AD193" s="4"/>
      <c r="AE193" s="8"/>
      <c r="AF193" s="5" t="str">
        <f t="shared" si="457"/>
        <v>NO APLICA</v>
      </c>
      <c r="AG193" s="2"/>
      <c r="AH193" s="4"/>
      <c r="AI193" s="4"/>
      <c r="AJ193" s="8"/>
      <c r="AK193" s="5" t="str">
        <f t="shared" si="602"/>
        <v>NO APLICA</v>
      </c>
      <c r="AL193" s="2"/>
      <c r="AM193" s="4"/>
      <c r="AN193" s="4"/>
      <c r="AO193" s="8"/>
      <c r="AP193" s="5" t="str">
        <f t="shared" si="460"/>
        <v>NO APLICA</v>
      </c>
      <c r="AQ193" s="2"/>
      <c r="AR193" s="4"/>
      <c r="AS193" s="4"/>
      <c r="AT193" s="8"/>
      <c r="AU193" s="5" t="str">
        <f t="shared" si="462"/>
        <v>NO APLICA</v>
      </c>
      <c r="AV193" s="2"/>
      <c r="AW193" s="4"/>
      <c r="AX193" s="4"/>
      <c r="AY193" s="8"/>
      <c r="AZ193" s="5" t="str">
        <f t="shared" si="464"/>
        <v>NO APLICA</v>
      </c>
      <c r="BA193" s="3"/>
      <c r="BB193" s="4"/>
      <c r="BC193" s="4"/>
      <c r="BD193" s="8"/>
      <c r="BE193" s="5" t="str">
        <f t="shared" si="466"/>
        <v>NO APLICA</v>
      </c>
      <c r="BF193" s="2"/>
      <c r="BG193" s="4"/>
      <c r="BH193" s="4"/>
      <c r="BI193" s="8"/>
      <c r="BJ193" s="5" t="str">
        <f t="shared" si="468"/>
        <v>NO APLICA</v>
      </c>
      <c r="BK193" s="3"/>
      <c r="BL193" s="4"/>
      <c r="BM193" s="4"/>
      <c r="BN193" s="8"/>
      <c r="BO193" s="5" t="str">
        <f t="shared" si="470"/>
        <v>NO APLICA</v>
      </c>
      <c r="BP193" s="3"/>
      <c r="BQ193" s="39"/>
      <c r="BR193" s="4"/>
      <c r="BS193" s="8"/>
      <c r="BT193" s="5" t="str">
        <f t="shared" si="472"/>
        <v>NO APLICA</v>
      </c>
      <c r="BU193" s="2"/>
      <c r="BV193" s="4"/>
      <c r="BW193" s="4"/>
      <c r="BX193" s="8"/>
      <c r="BY193" s="5" t="str">
        <f t="shared" si="474"/>
        <v>NO APLICA</v>
      </c>
      <c r="BZ193" s="2"/>
      <c r="CA193" s="4"/>
      <c r="CB193" s="4"/>
      <c r="CC193" s="8"/>
      <c r="CD193" s="5" t="str">
        <f t="shared" si="476"/>
        <v>NO APLICA</v>
      </c>
      <c r="CE193" s="6"/>
      <c r="CF193" s="4"/>
      <c r="CG193" s="4"/>
      <c r="CH193" s="8"/>
      <c r="CI193" s="5" t="str">
        <f t="shared" si="573"/>
        <v>NO APLICA</v>
      </c>
      <c r="CJ193" s="6"/>
      <c r="CK193" s="4"/>
      <c r="CL193" s="4"/>
      <c r="CM193" s="8"/>
      <c r="CN193" s="5" t="str">
        <f t="shared" si="478"/>
        <v>NO APLICA</v>
      </c>
      <c r="CO193" s="2"/>
      <c r="CP193" s="39"/>
      <c r="CQ193" s="4"/>
      <c r="CR193" s="8"/>
      <c r="CS193" s="5" t="str">
        <f t="shared" si="480"/>
        <v>NO APLICA</v>
      </c>
      <c r="CT193" s="2"/>
      <c r="CU193" s="4"/>
      <c r="CV193" s="4"/>
      <c r="CW193" s="8"/>
      <c r="CX193" s="5" t="str">
        <f t="shared" si="482"/>
        <v>NO APLICA</v>
      </c>
      <c r="CY193" s="3"/>
      <c r="CZ193" s="4"/>
      <c r="DA193" s="4"/>
      <c r="DB193" s="8"/>
      <c r="DC193" s="5" t="str">
        <f t="shared" si="484"/>
        <v>NO APLICA</v>
      </c>
      <c r="DD193" s="3"/>
      <c r="DE193" s="39"/>
      <c r="DF193" s="4"/>
      <c r="DG193" s="8"/>
      <c r="DH193" s="5" t="str">
        <f t="shared" si="486"/>
        <v>NO APLICA</v>
      </c>
      <c r="DI193" s="2"/>
      <c r="DJ193" s="39"/>
      <c r="DK193" s="4"/>
      <c r="DL193" s="8"/>
      <c r="DM193" s="5" t="str">
        <f t="shared" si="488"/>
        <v>NO APLICA</v>
      </c>
      <c r="DN193" s="3"/>
      <c r="DO193" s="4"/>
      <c r="DP193" s="4"/>
      <c r="DQ193" s="8"/>
      <c r="DR193" s="5" t="str">
        <f t="shared" si="490"/>
        <v>NO APLICA</v>
      </c>
      <c r="DS193" s="2"/>
      <c r="DT193" s="4"/>
      <c r="DU193" s="4"/>
      <c r="DV193" s="8"/>
      <c r="DW193" s="5" t="str">
        <f t="shared" si="492"/>
        <v>NO APLICA</v>
      </c>
      <c r="DX193" s="3"/>
      <c r="DY193" s="4"/>
      <c r="DZ193" s="4"/>
      <c r="EA193" s="8"/>
      <c r="EB193" s="5" t="str">
        <f t="shared" si="494"/>
        <v>NO APLICA</v>
      </c>
      <c r="EC193" s="3"/>
      <c r="ED193" s="39"/>
      <c r="EE193" s="4"/>
      <c r="EF193" s="8"/>
      <c r="EG193" s="5" t="str">
        <f t="shared" si="496"/>
        <v>NO APLICA</v>
      </c>
      <c r="EH193" s="2"/>
      <c r="EI193" s="4"/>
      <c r="EJ193" s="4"/>
      <c r="EK193" s="8"/>
      <c r="EL193" s="5" t="str">
        <f t="shared" si="498"/>
        <v>NO APLICA</v>
      </c>
      <c r="EM193" s="3"/>
      <c r="EN193" s="4"/>
      <c r="EO193" s="4"/>
      <c r="EP193" s="8"/>
      <c r="EQ193" s="5" t="str">
        <f t="shared" si="500"/>
        <v>NO APLICA</v>
      </c>
      <c r="ER193" s="2"/>
      <c r="ES193" s="39"/>
      <c r="ET193" s="4"/>
      <c r="EU193" s="8"/>
      <c r="EV193" s="5" t="str">
        <f t="shared" si="502"/>
        <v>NO APLICA</v>
      </c>
      <c r="EW193" s="2"/>
      <c r="EX193" s="4"/>
      <c r="EY193" s="4"/>
      <c r="EZ193" s="8"/>
      <c r="FA193" s="5" t="str">
        <f t="shared" si="504"/>
        <v>NO APLICA</v>
      </c>
      <c r="FB193" s="2"/>
      <c r="FC193" s="4"/>
      <c r="FD193" s="4"/>
      <c r="FE193" s="8"/>
      <c r="FF193" s="5" t="str">
        <f t="shared" si="506"/>
        <v>NO APLICA</v>
      </c>
      <c r="FG193" s="2"/>
      <c r="FH193" s="4"/>
      <c r="FI193" s="4"/>
      <c r="FJ193" s="8"/>
      <c r="FK193" s="5" t="str">
        <f t="shared" si="508"/>
        <v>NO APLICA</v>
      </c>
      <c r="FL193" s="3"/>
      <c r="FM193" s="39"/>
      <c r="FN193" s="4"/>
      <c r="FO193" s="8"/>
      <c r="FP193" s="5" t="str">
        <f t="shared" si="510"/>
        <v>NO APLICA</v>
      </c>
      <c r="FQ193" s="3"/>
      <c r="FR193" s="39"/>
      <c r="FS193" s="4"/>
      <c r="FT193" s="8"/>
      <c r="FU193" s="5" t="str">
        <f t="shared" si="512"/>
        <v>NO APLICA</v>
      </c>
      <c r="FV193" s="3"/>
      <c r="FW193" s="4"/>
      <c r="FX193" s="4"/>
      <c r="FY193" s="8"/>
      <c r="FZ193" s="5" t="str">
        <f t="shared" si="514"/>
        <v>NO APLICA</v>
      </c>
      <c r="GA193" s="3"/>
      <c r="GB193" s="4"/>
      <c r="GC193" s="4"/>
      <c r="GD193" s="8"/>
      <c r="GE193" s="5" t="str">
        <f t="shared" si="516"/>
        <v>NO APLICA</v>
      </c>
      <c r="GF193" s="3"/>
      <c r="GG193" s="4"/>
      <c r="GH193" s="4"/>
      <c r="GI193" s="8"/>
      <c r="GJ193" s="5" t="str">
        <f t="shared" si="518"/>
        <v>NO APLICA</v>
      </c>
      <c r="GK193" s="3"/>
      <c r="GL193" s="4"/>
      <c r="GM193" s="4"/>
      <c r="GN193" s="8"/>
      <c r="GO193" s="5" t="str">
        <f t="shared" si="520"/>
        <v>NO APLICA</v>
      </c>
      <c r="GP193" s="4"/>
      <c r="GQ193" s="4"/>
      <c r="GR193" s="4"/>
      <c r="GS193" s="8"/>
      <c r="GT193" s="5" t="str">
        <f t="shared" si="610"/>
        <v>NO APLICA</v>
      </c>
      <c r="GU193" s="3"/>
      <c r="GV193" s="4"/>
      <c r="GW193" s="4"/>
      <c r="GX193" s="8"/>
      <c r="GY193" s="5" t="str">
        <f t="shared" si="611"/>
        <v>NO APLICA</v>
      </c>
      <c r="GZ193" s="2"/>
      <c r="HA193" s="4"/>
      <c r="HB193" s="4"/>
      <c r="HC193" s="8"/>
      <c r="HD193" s="5" t="str">
        <f t="shared" si="612"/>
        <v>NO APLICA</v>
      </c>
      <c r="HE193" s="6"/>
      <c r="HF193" s="6"/>
      <c r="HG193" s="4"/>
      <c r="HH193" s="8"/>
      <c r="HI193" s="5" t="str">
        <f t="shared" si="698"/>
        <v>NO APLICA</v>
      </c>
      <c r="HJ193" s="2"/>
      <c r="HK193" s="6"/>
      <c r="HL193" s="4"/>
      <c r="HM193" s="8"/>
      <c r="HN193" s="5" t="str">
        <f t="shared" si="694"/>
        <v>NO APLICA</v>
      </c>
      <c r="HO193" s="2"/>
      <c r="HP193" s="2"/>
      <c r="HQ193" s="4"/>
      <c r="HR193" s="2"/>
      <c r="HS193" s="5" t="str">
        <f t="shared" si="526"/>
        <v>NO APLICA</v>
      </c>
      <c r="HT193" s="2"/>
      <c r="HU193" s="6"/>
      <c r="HV193" s="4"/>
      <c r="HW193" s="8"/>
      <c r="HX193" s="5" t="str">
        <f t="shared" si="527"/>
        <v>NO APLICA</v>
      </c>
      <c r="HY193" s="2"/>
      <c r="HZ193" s="6"/>
      <c r="IA193" s="4"/>
      <c r="IB193" s="8"/>
      <c r="IC193" s="5" t="str">
        <f t="shared" si="528"/>
        <v>NO APLICA</v>
      </c>
      <c r="ID193" s="2"/>
      <c r="IE193" s="6"/>
      <c r="IF193" s="4"/>
      <c r="IG193" s="8"/>
      <c r="IH193" s="5" t="str">
        <f t="shared" si="529"/>
        <v>NO APLICA</v>
      </c>
      <c r="II193" s="6"/>
      <c r="IJ193" s="6"/>
      <c r="IK193" s="4"/>
      <c r="IL193" s="8"/>
      <c r="IM193" s="5" t="str">
        <f t="shared" si="530"/>
        <v>NO APLICA</v>
      </c>
      <c r="IN193" s="2"/>
      <c r="IO193" s="6"/>
      <c r="IP193" s="4"/>
      <c r="IQ193" s="8"/>
      <c r="IR193" s="5" t="str">
        <f t="shared" si="531"/>
        <v>NO APLICA</v>
      </c>
      <c r="IS193" s="2"/>
      <c r="IT193" s="6"/>
      <c r="IU193" s="4"/>
      <c r="IV193" s="8"/>
      <c r="IW193" s="5" t="str">
        <f t="shared" si="532"/>
        <v>NO APLICA</v>
      </c>
      <c r="IX193" s="2"/>
      <c r="IY193" s="6"/>
      <c r="IZ193" s="4"/>
      <c r="JA193" s="8"/>
      <c r="JB193" s="5" t="str">
        <f t="shared" si="533"/>
        <v>NO APLICA</v>
      </c>
      <c r="JC193" s="3" t="s">
        <v>780</v>
      </c>
      <c r="JD193" s="3"/>
      <c r="JE193" s="4"/>
      <c r="JF193" s="8"/>
      <c r="JG193" s="5"/>
      <c r="JH193" s="3" t="s">
        <v>780</v>
      </c>
      <c r="JI193" s="6"/>
      <c r="JJ193" s="6"/>
      <c r="JK193" s="6"/>
      <c r="JL193" s="5"/>
      <c r="JM193" s="6" t="s">
        <v>780</v>
      </c>
      <c r="JN193" s="6"/>
      <c r="JO193" s="6"/>
      <c r="JP193" s="6"/>
      <c r="JQ193" s="5"/>
      <c r="JR193" s="6" t="s">
        <v>780</v>
      </c>
      <c r="JS193" s="6"/>
      <c r="JT193" s="6"/>
      <c r="JU193" s="6"/>
      <c r="JV193" s="5"/>
      <c r="JW193" s="6" t="s">
        <v>780</v>
      </c>
      <c r="JX193" s="5"/>
      <c r="JY193" s="5"/>
      <c r="JZ193" s="5"/>
      <c r="KA193" s="5"/>
      <c r="KB193" s="5"/>
      <c r="KC193" s="2"/>
      <c r="KD193" s="4"/>
      <c r="KE193" s="8"/>
      <c r="KF193" s="5" t="str">
        <f t="shared" si="534"/>
        <v>NO APLICA</v>
      </c>
      <c r="KG193" s="5"/>
      <c r="KH193" s="2"/>
      <c r="KI193" s="4"/>
      <c r="KJ193" s="8"/>
      <c r="KK193" s="5" t="str">
        <f t="shared" si="559"/>
        <v>NO APLICA</v>
      </c>
      <c r="KL193" s="5"/>
      <c r="KM193" s="2"/>
      <c r="KN193" s="4"/>
      <c r="KO193" s="8"/>
      <c r="KP193" s="5" t="str">
        <f t="shared" si="535"/>
        <v>NO APLICA</v>
      </c>
      <c r="KQ193" s="5"/>
      <c r="KR193" s="2"/>
      <c r="KS193" s="4"/>
      <c r="KT193" s="8"/>
      <c r="KU193" s="5" t="str">
        <f t="shared" si="560"/>
        <v>NO APLICA</v>
      </c>
      <c r="KV193" s="2"/>
      <c r="KW193" s="6"/>
      <c r="KX193" s="4"/>
      <c r="KY193" s="8"/>
      <c r="KZ193" s="5" t="str">
        <f t="shared" si="565"/>
        <v>NO APLICA</v>
      </c>
      <c r="LA193" s="5"/>
      <c r="LB193" s="6"/>
      <c r="LC193" s="4"/>
      <c r="LD193" s="8"/>
      <c r="LE193" s="5" t="str">
        <f t="shared" si="561"/>
        <v>NO APLICA</v>
      </c>
      <c r="LF193" s="6"/>
      <c r="LG193" s="6"/>
      <c r="LH193" s="4"/>
      <c r="LI193" s="8"/>
      <c r="LJ193" s="5" t="str">
        <f t="shared" si="600"/>
        <v>NO APLICA</v>
      </c>
      <c r="LK193" s="5"/>
      <c r="LL193" s="5"/>
      <c r="LM193" s="4"/>
      <c r="LN193" s="8"/>
      <c r="LO193" s="5" t="str">
        <f t="shared" si="566"/>
        <v>NO APLICA</v>
      </c>
      <c r="LP193" s="2"/>
      <c r="LQ193" s="6"/>
      <c r="LR193" s="4"/>
      <c r="LS193" s="8"/>
      <c r="LT193" s="5" t="str">
        <f t="shared" si="562"/>
        <v>NO APLICA</v>
      </c>
      <c r="LU193" s="6"/>
      <c r="LV193" s="6"/>
      <c r="LW193" s="4"/>
      <c r="LX193" s="8"/>
      <c r="LY193" s="5" t="str">
        <f t="shared" si="563"/>
        <v>NO APLICA</v>
      </c>
      <c r="LZ193" s="6"/>
      <c r="MA193" s="6"/>
      <c r="MB193" s="4"/>
      <c r="MC193" s="8"/>
      <c r="MD193" s="5" t="str">
        <f t="shared" si="564"/>
        <v>NO APLICA</v>
      </c>
      <c r="ME193" s="2"/>
      <c r="MF193" s="2"/>
      <c r="MG193" s="4"/>
      <c r="MH193" s="8"/>
      <c r="MI193" s="5" t="str">
        <f t="shared" si="537"/>
        <v>NO APLICA</v>
      </c>
      <c r="MJ193" s="2"/>
      <c r="MK193" s="2"/>
      <c r="ML193" s="4"/>
      <c r="MM193" s="8"/>
      <c r="MN193" s="5" t="str">
        <f t="shared" si="538"/>
        <v>NO APLICA</v>
      </c>
      <c r="MO193" s="5"/>
      <c r="MP193" s="2"/>
      <c r="MQ193" s="4"/>
      <c r="MR193" s="8"/>
      <c r="MS193" s="5" t="str">
        <f t="shared" si="539"/>
        <v>NO APLICA</v>
      </c>
      <c r="MT193" s="5"/>
      <c r="MU193" s="2"/>
      <c r="MV193" s="4"/>
      <c r="MW193" s="2"/>
      <c r="MX193" s="5" t="str">
        <f t="shared" si="540"/>
        <v>NO APLICA</v>
      </c>
      <c r="MY193" s="2"/>
      <c r="MZ193" s="6"/>
      <c r="NA193" s="4"/>
      <c r="NB193" s="8"/>
      <c r="NC193" s="5" t="str">
        <f t="shared" si="541"/>
        <v>NO APLICA</v>
      </c>
      <c r="ND193" s="2"/>
      <c r="NE193" s="6"/>
      <c r="NF193" s="4"/>
      <c r="NG193" s="8"/>
      <c r="NH193" s="5" t="str">
        <f t="shared" si="542"/>
        <v>NO APLICA</v>
      </c>
      <c r="NI193" s="2"/>
      <c r="NJ193" s="6"/>
      <c r="NK193" s="4"/>
      <c r="NL193" s="8"/>
      <c r="NM193" s="5" t="str">
        <f t="shared" si="543"/>
        <v>NO APLICA</v>
      </c>
      <c r="NN193" s="2"/>
      <c r="NO193" s="2"/>
      <c r="NP193" s="4"/>
      <c r="NQ193" s="8"/>
      <c r="NR193" s="5" t="str">
        <f t="shared" si="544"/>
        <v>NO APLICA</v>
      </c>
      <c r="NS193" s="2"/>
      <c r="NT193" s="2"/>
      <c r="NU193" s="4"/>
      <c r="NV193" s="2"/>
      <c r="NW193" s="5" t="str">
        <f t="shared" si="545"/>
        <v>NO APLICA</v>
      </c>
      <c r="NX193" s="6"/>
      <c r="NY193" s="6"/>
      <c r="NZ193" s="4"/>
      <c r="OA193" s="8"/>
      <c r="OB193" s="5" t="str">
        <f t="shared" si="546"/>
        <v>NO APLICA</v>
      </c>
      <c r="OC193" s="6"/>
      <c r="OD193" s="6"/>
      <c r="OE193" s="6"/>
      <c r="OF193" s="6"/>
      <c r="OG193" s="5" t="str">
        <f t="shared" si="547"/>
        <v>NO APLICA</v>
      </c>
      <c r="OH193" s="6"/>
      <c r="OI193" s="6"/>
      <c r="OJ193" s="4"/>
      <c r="OK193" s="8"/>
      <c r="OL193" s="5" t="str">
        <f t="shared" si="548"/>
        <v>NO APLICA</v>
      </c>
      <c r="OM193" s="6"/>
      <c r="ON193" s="6"/>
      <c r="OO193" s="6"/>
      <c r="OP193" s="6"/>
      <c r="OQ193" s="5" t="str">
        <f t="shared" si="549"/>
        <v>NO APLICA</v>
      </c>
      <c r="OR193" s="6"/>
      <c r="OS193" s="6"/>
      <c r="OT193" s="6"/>
      <c r="OU193" s="6"/>
      <c r="OV193" s="5" t="str">
        <f t="shared" si="550"/>
        <v>NO APLICA</v>
      </c>
      <c r="OW193" s="6"/>
      <c r="OX193" s="6"/>
      <c r="OY193" s="6"/>
      <c r="OZ193" s="6"/>
      <c r="PA193" s="5" t="str">
        <f t="shared" si="551"/>
        <v>NO APLICA</v>
      </c>
      <c r="PB193" s="6"/>
      <c r="PC193" s="6"/>
      <c r="PD193" s="6"/>
      <c r="PE193" s="6"/>
      <c r="PF193" s="5" t="str">
        <f t="shared" si="552"/>
        <v>NO APLICA</v>
      </c>
      <c r="PG193" s="6"/>
      <c r="PH193" s="6"/>
      <c r="PI193" s="6"/>
      <c r="PJ193" s="6"/>
      <c r="PK193" s="5" t="str">
        <f t="shared" si="553"/>
        <v>NO APLICA</v>
      </c>
      <c r="PL193" s="5"/>
      <c r="PM193" s="6"/>
      <c r="PN193" s="4"/>
      <c r="PO193" s="8"/>
      <c r="PP193" s="5" t="str">
        <f t="shared" si="554"/>
        <v>NO APLICA</v>
      </c>
      <c r="PQ193" s="6"/>
      <c r="PR193" s="6"/>
      <c r="PS193" s="6"/>
      <c r="PT193" s="6"/>
      <c r="PU193" s="5" t="str">
        <f t="shared" si="555"/>
        <v>NO APLICA</v>
      </c>
      <c r="PV193" s="5"/>
      <c r="PW193" s="4">
        <v>46126</v>
      </c>
      <c r="PX193" s="4">
        <f>DATE(YEAR(PW193)+1,MONTH(PW193),DAY(PW193))</f>
        <v>46491</v>
      </c>
      <c r="PY193" s="8">
        <f ca="1">PX193-TODAY()</f>
        <v>346</v>
      </c>
      <c r="PZ193" s="5" t="str">
        <f t="shared" ca="1" si="556"/>
        <v>VIGENTE</v>
      </c>
    </row>
    <row r="194" spans="1:442" ht="15.6" hidden="1" thickTop="1" thickBot="1" x14ac:dyDescent="0.35">
      <c r="A194" s="26">
        <v>191</v>
      </c>
      <c r="B194" s="31">
        <v>1690</v>
      </c>
      <c r="C194" s="28" t="s">
        <v>606</v>
      </c>
      <c r="D194" s="29" t="s">
        <v>113</v>
      </c>
      <c r="E194" s="30" t="s">
        <v>602</v>
      </c>
      <c r="F194" s="3"/>
      <c r="G194" s="4"/>
      <c r="H194" s="4"/>
      <c r="I194" s="8"/>
      <c r="J194" s="5" t="str">
        <f t="shared" si="696"/>
        <v>NO APLICA</v>
      </c>
      <c r="K194" s="2"/>
      <c r="L194" s="2"/>
      <c r="M194" s="2"/>
      <c r="N194" s="2"/>
      <c r="O194" s="5" t="str">
        <f t="shared" si="456"/>
        <v>NO APLICA</v>
      </c>
      <c r="P194" s="6"/>
      <c r="Q194" s="6"/>
      <c r="R194" s="4"/>
      <c r="S194" s="8"/>
      <c r="T194" s="5" t="str">
        <f t="shared" si="697"/>
        <v>NO APLICA</v>
      </c>
      <c r="U194" s="5"/>
      <c r="V194" s="2"/>
      <c r="W194" s="4"/>
      <c r="X194" s="4"/>
      <c r="Y194" s="8"/>
      <c r="Z194" s="5" t="str">
        <f t="shared" si="605"/>
        <v>NO APLICA</v>
      </c>
      <c r="AA194" s="5"/>
      <c r="AB194" s="2"/>
      <c r="AC194" s="6"/>
      <c r="AD194" s="4"/>
      <c r="AE194" s="8"/>
      <c r="AF194" s="5" t="str">
        <f t="shared" si="457"/>
        <v>NO APLICA</v>
      </c>
      <c r="AG194" s="2"/>
      <c r="AH194" s="4"/>
      <c r="AI194" s="4"/>
      <c r="AJ194" s="8"/>
      <c r="AK194" s="5" t="str">
        <f t="shared" si="602"/>
        <v>NO APLICA</v>
      </c>
      <c r="AL194" s="2"/>
      <c r="AM194" s="4"/>
      <c r="AN194" s="4"/>
      <c r="AO194" s="8"/>
      <c r="AP194" s="5" t="str">
        <f t="shared" si="460"/>
        <v>NO APLICA</v>
      </c>
      <c r="AQ194" s="2"/>
      <c r="AR194" s="4"/>
      <c r="AS194" s="4"/>
      <c r="AT194" s="8"/>
      <c r="AU194" s="5" t="str">
        <f t="shared" si="462"/>
        <v>NO APLICA</v>
      </c>
      <c r="AV194" s="2"/>
      <c r="AW194" s="4"/>
      <c r="AX194" s="4"/>
      <c r="AY194" s="8"/>
      <c r="AZ194" s="5" t="str">
        <f t="shared" si="464"/>
        <v>NO APLICA</v>
      </c>
      <c r="BA194" s="3"/>
      <c r="BB194" s="4"/>
      <c r="BC194" s="4"/>
      <c r="BD194" s="8"/>
      <c r="BE194" s="5" t="str">
        <f t="shared" si="466"/>
        <v>NO APLICA</v>
      </c>
      <c r="BF194" s="2"/>
      <c r="BG194" s="4"/>
      <c r="BH194" s="4"/>
      <c r="BI194" s="8"/>
      <c r="BJ194" s="5" t="str">
        <f t="shared" si="468"/>
        <v>NO APLICA</v>
      </c>
      <c r="BK194" s="3"/>
      <c r="BL194" s="4"/>
      <c r="BM194" s="4"/>
      <c r="BN194" s="8"/>
      <c r="BO194" s="5" t="str">
        <f t="shared" si="470"/>
        <v>NO APLICA</v>
      </c>
      <c r="BP194" s="3"/>
      <c r="BQ194" s="39"/>
      <c r="BR194" s="4"/>
      <c r="BS194" s="8"/>
      <c r="BT194" s="5" t="str">
        <f t="shared" si="472"/>
        <v>NO APLICA</v>
      </c>
      <c r="BU194" s="2"/>
      <c r="BV194" s="4"/>
      <c r="BW194" s="4"/>
      <c r="BX194" s="8"/>
      <c r="BY194" s="5" t="str">
        <f t="shared" si="474"/>
        <v>NO APLICA</v>
      </c>
      <c r="BZ194" s="2"/>
      <c r="CA194" s="4"/>
      <c r="CB194" s="4"/>
      <c r="CC194" s="8"/>
      <c r="CD194" s="5" t="str">
        <f t="shared" si="476"/>
        <v>NO APLICA</v>
      </c>
      <c r="CE194" s="6"/>
      <c r="CF194" s="4"/>
      <c r="CG194" s="4"/>
      <c r="CH194" s="8"/>
      <c r="CI194" s="5" t="str">
        <f t="shared" si="573"/>
        <v>NO APLICA</v>
      </c>
      <c r="CJ194" s="6"/>
      <c r="CK194" s="4"/>
      <c r="CL194" s="4"/>
      <c r="CM194" s="8"/>
      <c r="CN194" s="5" t="str">
        <f t="shared" si="478"/>
        <v>NO APLICA</v>
      </c>
      <c r="CO194" s="2"/>
      <c r="CP194" s="39"/>
      <c r="CQ194" s="4"/>
      <c r="CR194" s="8"/>
      <c r="CS194" s="5" t="str">
        <f t="shared" si="480"/>
        <v>NO APLICA</v>
      </c>
      <c r="CT194" s="2"/>
      <c r="CU194" s="4"/>
      <c r="CV194" s="4"/>
      <c r="CW194" s="8"/>
      <c r="CX194" s="5" t="str">
        <f t="shared" si="482"/>
        <v>NO APLICA</v>
      </c>
      <c r="CY194" s="3"/>
      <c r="CZ194" s="4"/>
      <c r="DA194" s="4"/>
      <c r="DB194" s="8"/>
      <c r="DC194" s="5" t="str">
        <f t="shared" si="484"/>
        <v>NO APLICA</v>
      </c>
      <c r="DD194" s="3"/>
      <c r="DE194" s="39"/>
      <c r="DF194" s="4"/>
      <c r="DG194" s="8"/>
      <c r="DH194" s="5" t="str">
        <f t="shared" si="486"/>
        <v>NO APLICA</v>
      </c>
      <c r="DI194" s="2"/>
      <c r="DJ194" s="39"/>
      <c r="DK194" s="4"/>
      <c r="DL194" s="8"/>
      <c r="DM194" s="5" t="str">
        <f t="shared" si="488"/>
        <v>NO APLICA</v>
      </c>
      <c r="DN194" s="3"/>
      <c r="DO194" s="4"/>
      <c r="DP194" s="4"/>
      <c r="DQ194" s="8"/>
      <c r="DR194" s="5" t="str">
        <f t="shared" si="490"/>
        <v>NO APLICA</v>
      </c>
      <c r="DS194" s="2"/>
      <c r="DT194" s="4"/>
      <c r="DU194" s="4"/>
      <c r="DV194" s="8"/>
      <c r="DW194" s="5" t="str">
        <f t="shared" si="492"/>
        <v>NO APLICA</v>
      </c>
      <c r="DX194" s="3"/>
      <c r="DY194" s="4"/>
      <c r="DZ194" s="4"/>
      <c r="EA194" s="8"/>
      <c r="EB194" s="5" t="str">
        <f t="shared" si="494"/>
        <v>NO APLICA</v>
      </c>
      <c r="EC194" s="3"/>
      <c r="ED194" s="39"/>
      <c r="EE194" s="4"/>
      <c r="EF194" s="8"/>
      <c r="EG194" s="5" t="str">
        <f t="shared" si="496"/>
        <v>NO APLICA</v>
      </c>
      <c r="EH194" s="2"/>
      <c r="EI194" s="4"/>
      <c r="EJ194" s="4"/>
      <c r="EK194" s="8"/>
      <c r="EL194" s="5" t="str">
        <f t="shared" si="498"/>
        <v>NO APLICA</v>
      </c>
      <c r="EM194" s="3"/>
      <c r="EN194" s="4"/>
      <c r="EO194" s="4"/>
      <c r="EP194" s="8"/>
      <c r="EQ194" s="5" t="str">
        <f t="shared" si="500"/>
        <v>NO APLICA</v>
      </c>
      <c r="ER194" s="2"/>
      <c r="ES194" s="39"/>
      <c r="ET194" s="4"/>
      <c r="EU194" s="8"/>
      <c r="EV194" s="5" t="str">
        <f t="shared" si="502"/>
        <v>NO APLICA</v>
      </c>
      <c r="EW194" s="2"/>
      <c r="EX194" s="4"/>
      <c r="EY194" s="4"/>
      <c r="EZ194" s="8"/>
      <c r="FA194" s="5" t="str">
        <f t="shared" si="504"/>
        <v>NO APLICA</v>
      </c>
      <c r="FB194" s="2"/>
      <c r="FC194" s="4"/>
      <c r="FD194" s="4"/>
      <c r="FE194" s="8"/>
      <c r="FF194" s="5" t="str">
        <f t="shared" si="506"/>
        <v>NO APLICA</v>
      </c>
      <c r="FG194" s="2"/>
      <c r="FH194" s="4"/>
      <c r="FI194" s="4"/>
      <c r="FJ194" s="8"/>
      <c r="FK194" s="5" t="str">
        <f t="shared" si="508"/>
        <v>NO APLICA</v>
      </c>
      <c r="FL194" s="3"/>
      <c r="FM194" s="39"/>
      <c r="FN194" s="4"/>
      <c r="FO194" s="8"/>
      <c r="FP194" s="5" t="str">
        <f t="shared" si="510"/>
        <v>NO APLICA</v>
      </c>
      <c r="FQ194" s="3"/>
      <c r="FR194" s="39"/>
      <c r="FS194" s="4"/>
      <c r="FT194" s="8"/>
      <c r="FU194" s="5" t="str">
        <f t="shared" si="512"/>
        <v>NO APLICA</v>
      </c>
      <c r="FV194" s="3"/>
      <c r="FW194" s="4"/>
      <c r="FX194" s="4"/>
      <c r="FY194" s="8"/>
      <c r="FZ194" s="5" t="str">
        <f t="shared" si="514"/>
        <v>NO APLICA</v>
      </c>
      <c r="GA194" s="3"/>
      <c r="GB194" s="4"/>
      <c r="GC194" s="4"/>
      <c r="GD194" s="8"/>
      <c r="GE194" s="5" t="str">
        <f t="shared" si="516"/>
        <v>NO APLICA</v>
      </c>
      <c r="GF194" s="3"/>
      <c r="GG194" s="4"/>
      <c r="GH194" s="4"/>
      <c r="GI194" s="8"/>
      <c r="GJ194" s="5" t="str">
        <f t="shared" si="518"/>
        <v>NO APLICA</v>
      </c>
      <c r="GK194" s="3"/>
      <c r="GL194" s="4"/>
      <c r="GM194" s="4"/>
      <c r="GN194" s="8"/>
      <c r="GO194" s="5" t="str">
        <f t="shared" si="520"/>
        <v>NO APLICA</v>
      </c>
      <c r="GP194" s="4"/>
      <c r="GQ194" s="4"/>
      <c r="GR194" s="4"/>
      <c r="GS194" s="8"/>
      <c r="GT194" s="5" t="str">
        <f t="shared" si="610"/>
        <v>NO APLICA</v>
      </c>
      <c r="GU194" s="3"/>
      <c r="GV194" s="4"/>
      <c r="GW194" s="4"/>
      <c r="GX194" s="8"/>
      <c r="GY194" s="5" t="str">
        <f t="shared" si="611"/>
        <v>NO APLICA</v>
      </c>
      <c r="GZ194" s="2"/>
      <c r="HA194" s="4"/>
      <c r="HB194" s="4"/>
      <c r="HC194" s="8"/>
      <c r="HD194" s="5" t="str">
        <f t="shared" si="612"/>
        <v>NO APLICA</v>
      </c>
      <c r="HE194" s="6"/>
      <c r="HF194" s="6"/>
      <c r="HG194" s="4"/>
      <c r="HH194" s="8"/>
      <c r="HI194" s="5" t="str">
        <f t="shared" si="698"/>
        <v>NO APLICA</v>
      </c>
      <c r="HJ194" s="2"/>
      <c r="HK194" s="6"/>
      <c r="HL194" s="4"/>
      <c r="HM194" s="8"/>
      <c r="HN194" s="5" t="str">
        <f t="shared" si="694"/>
        <v>NO APLICA</v>
      </c>
      <c r="HO194" s="2"/>
      <c r="HP194" s="2"/>
      <c r="HQ194" s="4"/>
      <c r="HR194" s="2"/>
      <c r="HS194" s="5" t="str">
        <f t="shared" si="526"/>
        <v>NO APLICA</v>
      </c>
      <c r="HT194" s="2"/>
      <c r="HU194" s="6"/>
      <c r="HV194" s="4"/>
      <c r="HW194" s="8"/>
      <c r="HX194" s="5" t="str">
        <f t="shared" si="527"/>
        <v>NO APLICA</v>
      </c>
      <c r="HY194" s="2"/>
      <c r="HZ194" s="6"/>
      <c r="IA194" s="4"/>
      <c r="IB194" s="8"/>
      <c r="IC194" s="5" t="str">
        <f t="shared" si="528"/>
        <v>NO APLICA</v>
      </c>
      <c r="ID194" s="2"/>
      <c r="IE194" s="6"/>
      <c r="IF194" s="4"/>
      <c r="IG194" s="8"/>
      <c r="IH194" s="5" t="str">
        <f t="shared" si="529"/>
        <v>NO APLICA</v>
      </c>
      <c r="II194" s="6"/>
      <c r="IJ194" s="6"/>
      <c r="IK194" s="4"/>
      <c r="IL194" s="8"/>
      <c r="IM194" s="5" t="str">
        <f t="shared" si="530"/>
        <v>NO APLICA</v>
      </c>
      <c r="IN194" s="2"/>
      <c r="IO194" s="6"/>
      <c r="IP194" s="4"/>
      <c r="IQ194" s="8"/>
      <c r="IR194" s="5" t="str">
        <f t="shared" si="531"/>
        <v>NO APLICA</v>
      </c>
      <c r="IS194" s="2"/>
      <c r="IT194" s="6"/>
      <c r="IU194" s="4"/>
      <c r="IV194" s="8"/>
      <c r="IW194" s="5" t="str">
        <f t="shared" si="532"/>
        <v>NO APLICA</v>
      </c>
      <c r="IX194" s="2"/>
      <c r="IY194" s="6"/>
      <c r="IZ194" s="4"/>
      <c r="JA194" s="8"/>
      <c r="JB194" s="5" t="str">
        <f t="shared" si="533"/>
        <v>NO APLICA</v>
      </c>
      <c r="JC194" s="3" t="s">
        <v>780</v>
      </c>
      <c r="JD194" s="3"/>
      <c r="JE194" s="4"/>
      <c r="JF194" s="8"/>
      <c r="JG194" s="5"/>
      <c r="JH194" s="3" t="s">
        <v>780</v>
      </c>
      <c r="JI194" s="6"/>
      <c r="JJ194" s="6"/>
      <c r="JK194" s="6"/>
      <c r="JL194" s="5"/>
      <c r="JM194" s="6" t="s">
        <v>780</v>
      </c>
      <c r="JN194" s="6"/>
      <c r="JO194" s="6"/>
      <c r="JP194" s="6"/>
      <c r="JQ194" s="5"/>
      <c r="JR194" s="6" t="s">
        <v>780</v>
      </c>
      <c r="JS194" s="6"/>
      <c r="JT194" s="6"/>
      <c r="JU194" s="6"/>
      <c r="JV194" s="5"/>
      <c r="JW194" s="6" t="s">
        <v>780</v>
      </c>
      <c r="JX194" s="5"/>
      <c r="JY194" s="5"/>
      <c r="JZ194" s="5"/>
      <c r="KA194" s="5"/>
      <c r="KB194" s="5"/>
      <c r="KC194" s="2"/>
      <c r="KD194" s="4"/>
      <c r="KE194" s="8"/>
      <c r="KF194" s="5" t="str">
        <f t="shared" si="534"/>
        <v>NO APLICA</v>
      </c>
      <c r="KG194" s="5"/>
      <c r="KH194" s="2"/>
      <c r="KI194" s="4"/>
      <c r="KJ194" s="8"/>
      <c r="KK194" s="5" t="str">
        <f t="shared" si="559"/>
        <v>NO APLICA</v>
      </c>
      <c r="KL194" s="5"/>
      <c r="KM194" s="2"/>
      <c r="KN194" s="4"/>
      <c r="KO194" s="8"/>
      <c r="KP194" s="5" t="str">
        <f t="shared" si="535"/>
        <v>NO APLICA</v>
      </c>
      <c r="KQ194" s="5"/>
      <c r="KR194" s="2"/>
      <c r="KS194" s="4"/>
      <c r="KT194" s="8"/>
      <c r="KU194" s="5" t="str">
        <f t="shared" si="560"/>
        <v>NO APLICA</v>
      </c>
      <c r="KV194" s="2"/>
      <c r="KW194" s="6"/>
      <c r="KX194" s="4"/>
      <c r="KY194" s="8"/>
      <c r="KZ194" s="5" t="str">
        <f t="shared" si="565"/>
        <v>NO APLICA</v>
      </c>
      <c r="LA194" s="5"/>
      <c r="LB194" s="6"/>
      <c r="LC194" s="4"/>
      <c r="LD194" s="8"/>
      <c r="LE194" s="5" t="str">
        <f t="shared" si="561"/>
        <v>NO APLICA</v>
      </c>
      <c r="LF194" s="6"/>
      <c r="LG194" s="6"/>
      <c r="LH194" s="4"/>
      <c r="LI194" s="8"/>
      <c r="LJ194" s="5" t="str">
        <f t="shared" si="600"/>
        <v>NO APLICA</v>
      </c>
      <c r="LK194" s="5"/>
      <c r="LL194" s="5"/>
      <c r="LM194" s="4"/>
      <c r="LN194" s="8"/>
      <c r="LO194" s="5" t="str">
        <f t="shared" si="566"/>
        <v>NO APLICA</v>
      </c>
      <c r="LP194" s="2"/>
      <c r="LQ194" s="6"/>
      <c r="LR194" s="4"/>
      <c r="LS194" s="8"/>
      <c r="LT194" s="5" t="str">
        <f t="shared" si="562"/>
        <v>NO APLICA</v>
      </c>
      <c r="LU194" s="6"/>
      <c r="LV194" s="6"/>
      <c r="LW194" s="4"/>
      <c r="LX194" s="8"/>
      <c r="LY194" s="5" t="str">
        <f t="shared" si="563"/>
        <v>NO APLICA</v>
      </c>
      <c r="LZ194" s="6"/>
      <c r="MA194" s="6"/>
      <c r="MB194" s="4"/>
      <c r="MC194" s="8"/>
      <c r="MD194" s="5" t="str">
        <f t="shared" si="564"/>
        <v>NO APLICA</v>
      </c>
      <c r="ME194" s="2"/>
      <c r="MF194" s="2"/>
      <c r="MG194" s="4"/>
      <c r="MH194" s="8"/>
      <c r="MI194" s="5" t="str">
        <f t="shared" si="537"/>
        <v>NO APLICA</v>
      </c>
      <c r="MJ194" s="2"/>
      <c r="MK194" s="2"/>
      <c r="ML194" s="4"/>
      <c r="MM194" s="8"/>
      <c r="MN194" s="5" t="str">
        <f t="shared" si="538"/>
        <v>NO APLICA</v>
      </c>
      <c r="MO194" s="5"/>
      <c r="MP194" s="2"/>
      <c r="MQ194" s="4"/>
      <c r="MR194" s="8"/>
      <c r="MS194" s="5" t="str">
        <f t="shared" si="539"/>
        <v>NO APLICA</v>
      </c>
      <c r="MT194" s="5"/>
      <c r="MU194" s="2"/>
      <c r="MV194" s="4"/>
      <c r="MW194" s="2"/>
      <c r="MX194" s="5" t="str">
        <f t="shared" si="540"/>
        <v>NO APLICA</v>
      </c>
      <c r="MY194" s="2"/>
      <c r="MZ194" s="6"/>
      <c r="NA194" s="4"/>
      <c r="NB194" s="8"/>
      <c r="NC194" s="5" t="str">
        <f t="shared" si="541"/>
        <v>NO APLICA</v>
      </c>
      <c r="ND194" s="2"/>
      <c r="NE194" s="6"/>
      <c r="NF194" s="4"/>
      <c r="NG194" s="8"/>
      <c r="NH194" s="5" t="str">
        <f t="shared" si="542"/>
        <v>NO APLICA</v>
      </c>
      <c r="NI194" s="2"/>
      <c r="NJ194" s="6"/>
      <c r="NK194" s="4"/>
      <c r="NL194" s="8"/>
      <c r="NM194" s="5" t="str">
        <f t="shared" si="543"/>
        <v>NO APLICA</v>
      </c>
      <c r="NN194" s="2"/>
      <c r="NO194" s="2"/>
      <c r="NP194" s="4"/>
      <c r="NQ194" s="8"/>
      <c r="NR194" s="5" t="str">
        <f t="shared" si="544"/>
        <v>NO APLICA</v>
      </c>
      <c r="NS194" s="2"/>
      <c r="NT194" s="2"/>
      <c r="NU194" s="4"/>
      <c r="NV194" s="2"/>
      <c r="NW194" s="5" t="str">
        <f t="shared" si="545"/>
        <v>NO APLICA</v>
      </c>
      <c r="NX194" s="6"/>
      <c r="NY194" s="6"/>
      <c r="NZ194" s="4"/>
      <c r="OA194" s="8"/>
      <c r="OB194" s="5" t="str">
        <f t="shared" si="546"/>
        <v>NO APLICA</v>
      </c>
      <c r="OC194" s="6"/>
      <c r="OD194" s="6"/>
      <c r="OE194" s="6"/>
      <c r="OF194" s="6"/>
      <c r="OG194" s="5" t="str">
        <f t="shared" si="547"/>
        <v>NO APLICA</v>
      </c>
      <c r="OH194" s="6"/>
      <c r="OI194" s="6"/>
      <c r="OJ194" s="4"/>
      <c r="OK194" s="8"/>
      <c r="OL194" s="5" t="str">
        <f t="shared" si="548"/>
        <v>NO APLICA</v>
      </c>
      <c r="OM194" s="6"/>
      <c r="ON194" s="6"/>
      <c r="OO194" s="6"/>
      <c r="OP194" s="6"/>
      <c r="OQ194" s="5" t="str">
        <f t="shared" si="549"/>
        <v>NO APLICA</v>
      </c>
      <c r="OR194" s="6"/>
      <c r="OS194" s="6"/>
      <c r="OT194" s="6"/>
      <c r="OU194" s="6"/>
      <c r="OV194" s="5" t="str">
        <f t="shared" si="550"/>
        <v>NO APLICA</v>
      </c>
      <c r="OW194" s="6"/>
      <c r="OX194" s="6"/>
      <c r="OY194" s="6"/>
      <c r="OZ194" s="6"/>
      <c r="PA194" s="5" t="str">
        <f t="shared" si="551"/>
        <v>NO APLICA</v>
      </c>
      <c r="PB194" s="6"/>
      <c r="PC194" s="6"/>
      <c r="PD194" s="6"/>
      <c r="PE194" s="6"/>
      <c r="PF194" s="5" t="str">
        <f t="shared" si="552"/>
        <v>NO APLICA</v>
      </c>
      <c r="PG194" s="6"/>
      <c r="PH194" s="6"/>
      <c r="PI194" s="6"/>
      <c r="PJ194" s="6"/>
      <c r="PK194" s="5" t="str">
        <f t="shared" si="553"/>
        <v>NO APLICA</v>
      </c>
      <c r="PL194" s="5"/>
      <c r="PM194" s="6"/>
      <c r="PN194" s="4"/>
      <c r="PO194" s="8"/>
      <c r="PP194" s="5" t="str">
        <f t="shared" si="554"/>
        <v>NO APLICA</v>
      </c>
      <c r="PQ194" s="6"/>
      <c r="PR194" s="6"/>
      <c r="PS194" s="6"/>
      <c r="PT194" s="6"/>
      <c r="PU194" s="5" t="str">
        <f t="shared" si="555"/>
        <v>NO APLICA</v>
      </c>
      <c r="PV194" s="5"/>
      <c r="PW194" s="4">
        <v>46126</v>
      </c>
      <c r="PX194" s="4">
        <f>DATE(YEAR(PW194)+1,MONTH(PW194),DAY(PW194))</f>
        <v>46491</v>
      </c>
      <c r="PY194" s="8">
        <f ca="1">PX194-TODAY()</f>
        <v>346</v>
      </c>
      <c r="PZ194" s="5" t="str">
        <f t="shared" ca="1" si="556"/>
        <v>VIGENTE</v>
      </c>
    </row>
    <row r="195" spans="1:442" ht="15.6" hidden="1" thickTop="1" thickBot="1" x14ac:dyDescent="0.35">
      <c r="A195" s="26">
        <v>192</v>
      </c>
      <c r="B195" s="31">
        <v>1610</v>
      </c>
      <c r="C195" s="28" t="s">
        <v>607</v>
      </c>
      <c r="D195" s="29" t="s">
        <v>64</v>
      </c>
      <c r="E195" s="30" t="s">
        <v>133</v>
      </c>
      <c r="F195" s="6"/>
      <c r="G195" s="6"/>
      <c r="H195" s="6"/>
      <c r="I195" s="6"/>
      <c r="J195" s="5" t="str">
        <f t="shared" si="696"/>
        <v>NO APLICA</v>
      </c>
      <c r="K195" s="6"/>
      <c r="L195" s="6"/>
      <c r="M195" s="6"/>
      <c r="N195" s="6"/>
      <c r="O195" s="5" t="str">
        <f t="shared" si="456"/>
        <v>NO APLICA</v>
      </c>
      <c r="P195" s="6"/>
      <c r="Q195" s="6"/>
      <c r="R195" s="6"/>
      <c r="S195" s="6"/>
      <c r="T195" s="5" t="str">
        <f t="shared" si="697"/>
        <v>NO APLICA</v>
      </c>
      <c r="U195" s="5"/>
      <c r="V195" s="6"/>
      <c r="W195" s="4"/>
      <c r="X195" s="4"/>
      <c r="Y195" s="8"/>
      <c r="Z195" s="5" t="str">
        <f t="shared" si="605"/>
        <v>NO APLICA</v>
      </c>
      <c r="AA195" s="5"/>
      <c r="AB195" s="6"/>
      <c r="AC195" s="6"/>
      <c r="AD195" s="6"/>
      <c r="AE195" s="6"/>
      <c r="AF195" s="5" t="str">
        <f t="shared" si="457"/>
        <v>NO APLICA</v>
      </c>
      <c r="AG195" s="4"/>
      <c r="AH195" s="4"/>
      <c r="AI195" s="4"/>
      <c r="AJ195" s="6"/>
      <c r="AK195" s="5" t="str">
        <f t="shared" si="602"/>
        <v>NO APLICA</v>
      </c>
      <c r="AL195" s="4"/>
      <c r="AM195" s="4"/>
      <c r="AN195" s="4"/>
      <c r="AO195" s="6"/>
      <c r="AP195" s="5" t="str">
        <f t="shared" si="460"/>
        <v>NO APLICA</v>
      </c>
      <c r="AQ195" s="4"/>
      <c r="AR195" s="4"/>
      <c r="AS195" s="4"/>
      <c r="AT195" s="6"/>
      <c r="AU195" s="5" t="str">
        <f t="shared" si="462"/>
        <v>NO APLICA</v>
      </c>
      <c r="AV195" s="4"/>
      <c r="AW195" s="4"/>
      <c r="AX195" s="4"/>
      <c r="AY195" s="6"/>
      <c r="AZ195" s="5" t="str">
        <f t="shared" si="464"/>
        <v>NO APLICA</v>
      </c>
      <c r="BA195" s="4"/>
      <c r="BB195" s="4"/>
      <c r="BC195" s="4"/>
      <c r="BD195" s="6"/>
      <c r="BE195" s="5" t="str">
        <f t="shared" si="466"/>
        <v>NO APLICA</v>
      </c>
      <c r="BF195" s="4"/>
      <c r="BG195" s="4"/>
      <c r="BH195" s="4"/>
      <c r="BI195" s="6"/>
      <c r="BJ195" s="5" t="str">
        <f t="shared" si="468"/>
        <v>NO APLICA</v>
      </c>
      <c r="BK195" s="4"/>
      <c r="BL195" s="4"/>
      <c r="BM195" s="4"/>
      <c r="BN195" s="6"/>
      <c r="BO195" s="5" t="str">
        <f t="shared" si="470"/>
        <v>NO APLICA</v>
      </c>
      <c r="BP195" s="4"/>
      <c r="BQ195" s="4"/>
      <c r="BR195" s="4"/>
      <c r="BS195" s="6"/>
      <c r="BT195" s="5" t="str">
        <f t="shared" si="472"/>
        <v>NO APLICA</v>
      </c>
      <c r="BU195" s="4"/>
      <c r="BV195" s="4"/>
      <c r="BW195" s="4"/>
      <c r="BX195" s="6"/>
      <c r="BY195" s="5" t="str">
        <f t="shared" si="474"/>
        <v>NO APLICA</v>
      </c>
      <c r="BZ195" s="4"/>
      <c r="CA195" s="4"/>
      <c r="CB195" s="4"/>
      <c r="CC195" s="6"/>
      <c r="CD195" s="5" t="str">
        <f t="shared" si="476"/>
        <v>NO APLICA</v>
      </c>
      <c r="CE195" s="6"/>
      <c r="CF195" s="6"/>
      <c r="CG195" s="6"/>
      <c r="CH195" s="6"/>
      <c r="CI195" s="5" t="str">
        <f t="shared" si="573"/>
        <v>NO APLICA</v>
      </c>
      <c r="CJ195" s="4"/>
      <c r="CK195" s="4"/>
      <c r="CL195" s="4"/>
      <c r="CM195" s="6"/>
      <c r="CN195" s="5" t="str">
        <f t="shared" si="478"/>
        <v>NO APLICA</v>
      </c>
      <c r="CO195" s="4"/>
      <c r="CP195" s="4"/>
      <c r="CQ195" s="4"/>
      <c r="CR195" s="6"/>
      <c r="CS195" s="5" t="str">
        <f t="shared" si="480"/>
        <v>NO APLICA</v>
      </c>
      <c r="CT195" s="4"/>
      <c r="CU195" s="4"/>
      <c r="CV195" s="4"/>
      <c r="CW195" s="6"/>
      <c r="CX195" s="5" t="str">
        <f t="shared" si="482"/>
        <v>NO APLICA</v>
      </c>
      <c r="CY195" s="4"/>
      <c r="CZ195" s="4"/>
      <c r="DA195" s="4"/>
      <c r="DB195" s="6"/>
      <c r="DC195" s="5" t="str">
        <f t="shared" si="484"/>
        <v>NO APLICA</v>
      </c>
      <c r="DD195" s="4"/>
      <c r="DE195" s="4"/>
      <c r="DF195" s="4"/>
      <c r="DG195" s="6"/>
      <c r="DH195" s="5" t="str">
        <f t="shared" si="486"/>
        <v>NO APLICA</v>
      </c>
      <c r="DI195" s="4"/>
      <c r="DJ195" s="4"/>
      <c r="DK195" s="4"/>
      <c r="DL195" s="6"/>
      <c r="DM195" s="5" t="str">
        <f t="shared" si="488"/>
        <v>NO APLICA</v>
      </c>
      <c r="DN195" s="4"/>
      <c r="DO195" s="4"/>
      <c r="DP195" s="4"/>
      <c r="DQ195" s="6"/>
      <c r="DR195" s="5" t="str">
        <f t="shared" si="490"/>
        <v>NO APLICA</v>
      </c>
      <c r="DS195" s="4"/>
      <c r="DT195" s="4"/>
      <c r="DU195" s="4"/>
      <c r="DV195" s="6"/>
      <c r="DW195" s="5" t="str">
        <f t="shared" si="492"/>
        <v>NO APLICA</v>
      </c>
      <c r="DX195" s="4"/>
      <c r="DY195" s="4"/>
      <c r="DZ195" s="4"/>
      <c r="EA195" s="6"/>
      <c r="EB195" s="5" t="str">
        <f t="shared" si="494"/>
        <v>NO APLICA</v>
      </c>
      <c r="EC195" s="4"/>
      <c r="ED195" s="4"/>
      <c r="EE195" s="4"/>
      <c r="EF195" s="6"/>
      <c r="EG195" s="5" t="str">
        <f t="shared" si="496"/>
        <v>NO APLICA</v>
      </c>
      <c r="EH195" s="4"/>
      <c r="EI195" s="4"/>
      <c r="EJ195" s="4"/>
      <c r="EK195" s="8"/>
      <c r="EL195" s="5" t="str">
        <f t="shared" si="498"/>
        <v>NO APLICA</v>
      </c>
      <c r="EM195" s="4"/>
      <c r="EN195" s="4"/>
      <c r="EO195" s="4"/>
      <c r="EP195" s="8"/>
      <c r="EQ195" s="5" t="str">
        <f t="shared" si="500"/>
        <v>NO APLICA</v>
      </c>
      <c r="ER195" s="4"/>
      <c r="ES195" s="4"/>
      <c r="ET195" s="4"/>
      <c r="EU195" s="8"/>
      <c r="EV195" s="5" t="str">
        <f t="shared" si="502"/>
        <v>NO APLICA</v>
      </c>
      <c r="EW195" s="4"/>
      <c r="EX195" s="4"/>
      <c r="EY195" s="4"/>
      <c r="EZ195" s="6"/>
      <c r="FA195" s="5" t="str">
        <f t="shared" si="504"/>
        <v>NO APLICA</v>
      </c>
      <c r="FB195" s="4"/>
      <c r="FC195" s="4"/>
      <c r="FD195" s="4"/>
      <c r="FE195" s="6"/>
      <c r="FF195" s="5" t="str">
        <f t="shared" si="506"/>
        <v>NO APLICA</v>
      </c>
      <c r="FG195" s="4"/>
      <c r="FH195" s="4"/>
      <c r="FI195" s="4"/>
      <c r="FJ195" s="6"/>
      <c r="FK195" s="5" t="str">
        <f t="shared" si="508"/>
        <v>NO APLICA</v>
      </c>
      <c r="FL195" s="4"/>
      <c r="FM195" s="4"/>
      <c r="FN195" s="4"/>
      <c r="FO195" s="6"/>
      <c r="FP195" s="5" t="str">
        <f t="shared" si="510"/>
        <v>NO APLICA</v>
      </c>
      <c r="FQ195" s="4"/>
      <c r="FR195" s="4"/>
      <c r="FS195" s="4"/>
      <c r="FT195" s="6"/>
      <c r="FU195" s="5" t="str">
        <f t="shared" si="512"/>
        <v>NO APLICA</v>
      </c>
      <c r="FV195" s="4"/>
      <c r="FW195" s="4"/>
      <c r="FX195" s="4"/>
      <c r="FY195" s="6"/>
      <c r="FZ195" s="5" t="str">
        <f t="shared" si="514"/>
        <v>NO APLICA</v>
      </c>
      <c r="GA195" s="4"/>
      <c r="GB195" s="4"/>
      <c r="GC195" s="4"/>
      <c r="GD195" s="6"/>
      <c r="GE195" s="5" t="str">
        <f t="shared" si="516"/>
        <v>NO APLICA</v>
      </c>
      <c r="GF195" s="4"/>
      <c r="GG195" s="4"/>
      <c r="GH195" s="4"/>
      <c r="GI195" s="8"/>
      <c r="GJ195" s="5" t="str">
        <f t="shared" si="518"/>
        <v>NO APLICA</v>
      </c>
      <c r="GK195" s="4"/>
      <c r="GL195" s="6"/>
      <c r="GM195" s="6"/>
      <c r="GN195" s="6"/>
      <c r="GO195" s="5" t="str">
        <f t="shared" si="520"/>
        <v>NO APLICA</v>
      </c>
      <c r="GP195" s="4"/>
      <c r="GQ195" s="6"/>
      <c r="GR195" s="6"/>
      <c r="GS195" s="6"/>
      <c r="GT195" s="5" t="str">
        <f t="shared" si="610"/>
        <v>NO APLICA</v>
      </c>
      <c r="GU195" s="4"/>
      <c r="GV195" s="6"/>
      <c r="GW195" s="6"/>
      <c r="GX195" s="6"/>
      <c r="GY195" s="5" t="str">
        <f t="shared" si="611"/>
        <v>NO APLICA</v>
      </c>
      <c r="GZ195" s="6"/>
      <c r="HA195" s="6"/>
      <c r="HB195" s="6"/>
      <c r="HC195" s="6"/>
      <c r="HD195" s="5" t="str">
        <f t="shared" si="612"/>
        <v>NO APLICA</v>
      </c>
      <c r="HE195" s="6"/>
      <c r="HF195" s="6"/>
      <c r="HG195" s="4"/>
      <c r="HH195" s="8"/>
      <c r="HI195" s="5" t="str">
        <f t="shared" si="698"/>
        <v>NO APLICA</v>
      </c>
      <c r="HJ195" s="6"/>
      <c r="HK195" s="6"/>
      <c r="HL195" s="6"/>
      <c r="HM195" s="6"/>
      <c r="HN195" s="5" t="str">
        <f t="shared" si="694"/>
        <v>NO APLICA</v>
      </c>
      <c r="HO195" s="6"/>
      <c r="HP195" s="6"/>
      <c r="HQ195" s="6"/>
      <c r="HR195" s="6"/>
      <c r="HS195" s="5" t="str">
        <f t="shared" si="526"/>
        <v>NO APLICA</v>
      </c>
      <c r="HT195" s="6"/>
      <c r="HU195" s="6"/>
      <c r="HV195" s="6"/>
      <c r="HW195" s="6"/>
      <c r="HX195" s="5" t="str">
        <f t="shared" si="527"/>
        <v>NO APLICA</v>
      </c>
      <c r="HY195" s="6"/>
      <c r="HZ195" s="6"/>
      <c r="IA195" s="6"/>
      <c r="IB195" s="6"/>
      <c r="IC195" s="5" t="str">
        <f t="shared" si="528"/>
        <v>NO APLICA</v>
      </c>
      <c r="ID195" s="6"/>
      <c r="IE195" s="6"/>
      <c r="IF195" s="6"/>
      <c r="IG195" s="6"/>
      <c r="IH195" s="5" t="str">
        <f t="shared" si="529"/>
        <v>NO APLICA</v>
      </c>
      <c r="II195" s="6"/>
      <c r="IJ195" s="6"/>
      <c r="IK195" s="6"/>
      <c r="IL195" s="6"/>
      <c r="IM195" s="5" t="str">
        <f t="shared" si="530"/>
        <v>NO APLICA</v>
      </c>
      <c r="IN195" s="6"/>
      <c r="IO195" s="6"/>
      <c r="IP195" s="6"/>
      <c r="IQ195" s="6"/>
      <c r="IR195" s="5" t="str">
        <f t="shared" si="531"/>
        <v>NO APLICA</v>
      </c>
      <c r="IS195" s="6"/>
      <c r="IT195" s="6"/>
      <c r="IU195" s="6"/>
      <c r="IV195" s="6"/>
      <c r="IW195" s="5" t="str">
        <f t="shared" si="532"/>
        <v>NO APLICA</v>
      </c>
      <c r="IX195" s="6"/>
      <c r="IY195" s="6"/>
      <c r="IZ195" s="6"/>
      <c r="JA195" s="6"/>
      <c r="JB195" s="5" t="str">
        <f t="shared" si="533"/>
        <v>NO APLICA</v>
      </c>
      <c r="JC195" s="3" t="s">
        <v>780</v>
      </c>
      <c r="JD195" s="6"/>
      <c r="JE195" s="6"/>
      <c r="JF195" s="6"/>
      <c r="JG195" s="5"/>
      <c r="JH195" s="3" t="s">
        <v>780</v>
      </c>
      <c r="JI195" s="6"/>
      <c r="JJ195" s="6"/>
      <c r="JK195" s="6"/>
      <c r="JL195" s="5"/>
      <c r="JM195" s="6" t="s">
        <v>780</v>
      </c>
      <c r="JN195" s="6"/>
      <c r="JO195" s="6"/>
      <c r="JP195" s="6"/>
      <c r="JQ195" s="5"/>
      <c r="JR195" s="6" t="s">
        <v>780</v>
      </c>
      <c r="JS195" s="6"/>
      <c r="JT195" s="6"/>
      <c r="JU195" s="6"/>
      <c r="JV195" s="5"/>
      <c r="JW195" s="6" t="s">
        <v>780</v>
      </c>
      <c r="JX195" s="5"/>
      <c r="JY195" s="5"/>
      <c r="JZ195" s="5"/>
      <c r="KA195" s="5"/>
      <c r="KB195" s="5"/>
      <c r="KC195" s="6"/>
      <c r="KD195" s="6"/>
      <c r="KE195" s="6"/>
      <c r="KF195" s="5" t="str">
        <f t="shared" si="534"/>
        <v>NO APLICA</v>
      </c>
      <c r="KG195" s="5"/>
      <c r="KH195" s="6"/>
      <c r="KI195" s="6"/>
      <c r="KJ195" s="6"/>
      <c r="KK195" s="5" t="str">
        <f t="shared" si="559"/>
        <v>NO APLICA</v>
      </c>
      <c r="KL195" s="5"/>
      <c r="KM195" s="6"/>
      <c r="KN195" s="6"/>
      <c r="KO195" s="6"/>
      <c r="KP195" s="5" t="str">
        <f t="shared" si="535"/>
        <v>NO APLICA</v>
      </c>
      <c r="KQ195" s="5"/>
      <c r="KR195" s="6"/>
      <c r="KS195" s="6"/>
      <c r="KT195" s="6"/>
      <c r="KU195" s="5" t="str">
        <f t="shared" si="560"/>
        <v>NO APLICA</v>
      </c>
      <c r="KV195" s="6"/>
      <c r="KW195" s="6"/>
      <c r="KX195" s="6"/>
      <c r="KY195" s="6"/>
      <c r="KZ195" s="5" t="str">
        <f t="shared" si="565"/>
        <v>NO APLICA</v>
      </c>
      <c r="LA195" s="5"/>
      <c r="LB195" s="6"/>
      <c r="LC195" s="6"/>
      <c r="LD195" s="6"/>
      <c r="LE195" s="5" t="str">
        <f t="shared" si="561"/>
        <v>NO APLICA</v>
      </c>
      <c r="LF195" s="6"/>
      <c r="LG195" s="6"/>
      <c r="LH195" s="6"/>
      <c r="LI195" s="6"/>
      <c r="LJ195" s="5" t="str">
        <f t="shared" si="600"/>
        <v>NO APLICA</v>
      </c>
      <c r="LK195" s="5"/>
      <c r="LL195" s="5"/>
      <c r="LM195" s="4"/>
      <c r="LN195" s="8"/>
      <c r="LO195" s="5" t="str">
        <f t="shared" si="566"/>
        <v>NO APLICA</v>
      </c>
      <c r="LP195" s="6"/>
      <c r="LQ195" s="6"/>
      <c r="LR195" s="6"/>
      <c r="LS195" s="6"/>
      <c r="LT195" s="5" t="str">
        <f t="shared" si="562"/>
        <v>NO APLICA</v>
      </c>
      <c r="LU195" s="6"/>
      <c r="LV195" s="6"/>
      <c r="LW195" s="6"/>
      <c r="LX195" s="6"/>
      <c r="LY195" s="5" t="str">
        <f t="shared" si="563"/>
        <v>NO APLICA</v>
      </c>
      <c r="LZ195" s="6"/>
      <c r="MA195" s="6"/>
      <c r="MB195" s="6"/>
      <c r="MC195" s="6"/>
      <c r="MD195" s="5" t="str">
        <f t="shared" si="564"/>
        <v>NO APLICA</v>
      </c>
      <c r="ME195" s="6"/>
      <c r="MF195" s="6"/>
      <c r="MG195" s="6"/>
      <c r="MH195" s="6"/>
      <c r="MI195" s="5" t="str">
        <f t="shared" si="537"/>
        <v>NO APLICA</v>
      </c>
      <c r="MJ195" s="6"/>
      <c r="MK195" s="6"/>
      <c r="ML195" s="6"/>
      <c r="MM195" s="6"/>
      <c r="MN195" s="5" t="str">
        <f t="shared" si="538"/>
        <v>NO APLICA</v>
      </c>
      <c r="MO195" s="5"/>
      <c r="MP195" s="6"/>
      <c r="MQ195" s="6"/>
      <c r="MR195" s="6"/>
      <c r="MS195" s="5" t="str">
        <f t="shared" si="539"/>
        <v>NO APLICA</v>
      </c>
      <c r="MT195" s="5"/>
      <c r="MU195" s="6"/>
      <c r="MV195" s="6"/>
      <c r="MW195" s="6"/>
      <c r="MX195" s="5" t="str">
        <f t="shared" si="540"/>
        <v>NO APLICA</v>
      </c>
      <c r="MY195" s="6"/>
      <c r="MZ195" s="6"/>
      <c r="NA195" s="6"/>
      <c r="NB195" s="6"/>
      <c r="NC195" s="5" t="str">
        <f t="shared" si="541"/>
        <v>NO APLICA</v>
      </c>
      <c r="ND195" s="6"/>
      <c r="NE195" s="6"/>
      <c r="NF195" s="6"/>
      <c r="NG195" s="6"/>
      <c r="NH195" s="5" t="str">
        <f t="shared" si="542"/>
        <v>NO APLICA</v>
      </c>
      <c r="NI195" s="6"/>
      <c r="NJ195" s="6"/>
      <c r="NK195" s="6"/>
      <c r="NL195" s="6"/>
      <c r="NM195" s="5" t="str">
        <f t="shared" si="543"/>
        <v>NO APLICA</v>
      </c>
      <c r="NN195" s="6"/>
      <c r="NO195" s="6"/>
      <c r="NP195" s="6"/>
      <c r="NQ195" s="6"/>
      <c r="NR195" s="5" t="str">
        <f t="shared" si="544"/>
        <v>NO APLICA</v>
      </c>
      <c r="NS195" s="6"/>
      <c r="NT195" s="6"/>
      <c r="NU195" s="6"/>
      <c r="NV195" s="6"/>
      <c r="NW195" s="5" t="str">
        <f t="shared" si="545"/>
        <v>NO APLICA</v>
      </c>
      <c r="NX195" s="6"/>
      <c r="NY195" s="6"/>
      <c r="NZ195" s="6"/>
      <c r="OA195" s="6"/>
      <c r="OB195" s="5" t="str">
        <f t="shared" si="546"/>
        <v>NO APLICA</v>
      </c>
      <c r="OC195" s="6"/>
      <c r="OD195" s="6"/>
      <c r="OE195" s="6"/>
      <c r="OF195" s="6"/>
      <c r="OG195" s="5" t="str">
        <f t="shared" si="547"/>
        <v>NO APLICA</v>
      </c>
      <c r="OH195" s="6"/>
      <c r="OI195" s="6"/>
      <c r="OJ195" s="6"/>
      <c r="OK195" s="6"/>
      <c r="OL195" s="5" t="str">
        <f t="shared" si="548"/>
        <v>NO APLICA</v>
      </c>
      <c r="OM195" s="6"/>
      <c r="ON195" s="6"/>
      <c r="OO195" s="6"/>
      <c r="OP195" s="6"/>
      <c r="OQ195" s="5" t="str">
        <f t="shared" si="549"/>
        <v>NO APLICA</v>
      </c>
      <c r="OR195" s="6"/>
      <c r="OS195" s="6"/>
      <c r="OT195" s="6"/>
      <c r="OU195" s="6"/>
      <c r="OV195" s="5" t="str">
        <f t="shared" si="550"/>
        <v>NO APLICA</v>
      </c>
      <c r="OW195" s="6"/>
      <c r="OX195" s="6"/>
      <c r="OY195" s="6"/>
      <c r="OZ195" s="6"/>
      <c r="PA195" s="5" t="str">
        <f t="shared" si="551"/>
        <v>NO APLICA</v>
      </c>
      <c r="PB195" s="6"/>
      <c r="PC195" s="6"/>
      <c r="PD195" s="6"/>
      <c r="PE195" s="6"/>
      <c r="PF195" s="5" t="str">
        <f t="shared" si="552"/>
        <v>NO APLICA</v>
      </c>
      <c r="PG195" s="6"/>
      <c r="PH195" s="6"/>
      <c r="PI195" s="6"/>
      <c r="PJ195" s="6"/>
      <c r="PK195" s="5" t="str">
        <f t="shared" si="553"/>
        <v>NO APLICA</v>
      </c>
      <c r="PL195" s="5"/>
      <c r="PM195" s="6"/>
      <c r="PN195" s="6"/>
      <c r="PO195" s="6"/>
      <c r="PP195" s="5" t="str">
        <f t="shared" si="554"/>
        <v>NO APLICA</v>
      </c>
      <c r="PQ195" s="6"/>
      <c r="PR195" s="6"/>
      <c r="PS195" s="6"/>
      <c r="PT195" s="6"/>
      <c r="PU195" s="5" t="str">
        <f t="shared" si="555"/>
        <v>NO APLICA</v>
      </c>
      <c r="PV195" s="5"/>
      <c r="PW195" s="6"/>
      <c r="PX195" s="6"/>
      <c r="PY195" s="6"/>
      <c r="PZ195" s="5" t="str">
        <f t="shared" si="556"/>
        <v>NO APLICA</v>
      </c>
    </row>
    <row r="196" spans="1:442" ht="15.6" hidden="1" thickTop="1" thickBot="1" x14ac:dyDescent="0.35">
      <c r="A196" s="26">
        <v>193</v>
      </c>
      <c r="B196" s="31">
        <v>1547</v>
      </c>
      <c r="C196" s="28" t="s">
        <v>608</v>
      </c>
      <c r="D196" s="29" t="s">
        <v>776</v>
      </c>
      <c r="E196" s="30" t="s">
        <v>610</v>
      </c>
      <c r="F196" s="6"/>
      <c r="G196" s="6"/>
      <c r="H196" s="6"/>
      <c r="I196" s="6"/>
      <c r="J196" s="5" t="str">
        <f t="shared" si="696"/>
        <v>NO APLICA</v>
      </c>
      <c r="K196" s="6"/>
      <c r="L196" s="6"/>
      <c r="M196" s="6"/>
      <c r="N196" s="6"/>
      <c r="O196" s="5" t="str">
        <f t="shared" ref="O196:O240" si="699">IF(N196&gt;=61,"VIGENTE",IF(N196&gt;=1,"POR VENCER",IF(N196&lt;=-1,"VENCIDA",IF(L196=0,"NO APLICA"))))</f>
        <v>NO APLICA</v>
      </c>
      <c r="P196" s="6"/>
      <c r="Q196" s="6"/>
      <c r="R196" s="6"/>
      <c r="S196" s="6"/>
      <c r="T196" s="5" t="str">
        <f t="shared" si="697"/>
        <v>NO APLICA</v>
      </c>
      <c r="U196" s="5"/>
      <c r="V196" s="6" t="s">
        <v>611</v>
      </c>
      <c r="W196" s="4">
        <v>46069</v>
      </c>
      <c r="X196" s="4">
        <f>DATE(YEAR(W196)+5,MONTH(W196),DAY(W196))</f>
        <v>47895</v>
      </c>
      <c r="Y196" s="8">
        <f ca="1">X196-TODAY()</f>
        <v>1750</v>
      </c>
      <c r="Z196" s="5" t="str">
        <f ca="1">IF(Y196&gt;=90,"VIGENTE",IF(Y196&gt;=1,"POR VENCER",IF(Y196&lt;=-1,"VENCIDA",IF(W196=0,"NO APLICA"))))</f>
        <v>VIGENTE</v>
      </c>
      <c r="AA196" s="5"/>
      <c r="AB196" s="6"/>
      <c r="AC196" s="6"/>
      <c r="AD196" s="6"/>
      <c r="AE196" s="6"/>
      <c r="AF196" s="5" t="str">
        <f t="shared" ref="AF196:AF240" si="700">IF(AE196&gt;=91,"VIGENTE",IF(AE196&gt;=1,"POR VENCER",IF(AE196&lt;=-1,"VENCIDA",IF(AC196=0,"NO APLICA"))))</f>
        <v>NO APLICA</v>
      </c>
      <c r="AG196" s="4"/>
      <c r="AH196" s="4">
        <v>46085</v>
      </c>
      <c r="AI196" s="4">
        <f>DATE(YEAR(AH196)+2,MONTH(AH196),DAY(AH196))</f>
        <v>46816</v>
      </c>
      <c r="AJ196" s="8">
        <f ca="1">AI196-TODAY()</f>
        <v>671</v>
      </c>
      <c r="AK196" s="5" t="str">
        <f ca="1">IF(AJ196&gt;=91,"VIGENTE",IF(AJ196&gt;=1,"POR VENCER",IF(AJ196&lt;=-1,"VENCIDA",IF(AH196=0,"NO APLICA"))))</f>
        <v>VIGENTE</v>
      </c>
      <c r="AL196" s="4"/>
      <c r="AM196" s="4"/>
      <c r="AN196" s="4"/>
      <c r="AO196" s="6"/>
      <c r="AP196" s="5" t="str">
        <f t="shared" ref="AP196:AP239" si="701">IF(AO196&gt;=91,"VIGENTE",IF(AO196&gt;=1,"POR VENCER",IF(AO196&lt;=-1,"VENCIDA",IF(AM196=0,"NO APLICA"))))</f>
        <v>NO APLICA</v>
      </c>
      <c r="AQ196" s="4"/>
      <c r="AR196" s="4"/>
      <c r="AS196" s="4"/>
      <c r="AT196" s="6"/>
      <c r="AU196" s="5" t="str">
        <f t="shared" ref="AU196:AU237" si="702">IF(AT196&gt;=91,"VIGENTE",IF(AT196&gt;=1,"POR VENCER",IF(AT196&lt;=-1,"VENCIDA",IF(AR196=0,"NO APLICA"))))</f>
        <v>NO APLICA</v>
      </c>
      <c r="AV196" s="4"/>
      <c r="AW196" s="4"/>
      <c r="AX196" s="4"/>
      <c r="AY196" s="6"/>
      <c r="AZ196" s="5" t="str">
        <f t="shared" ref="AZ196:AZ237" si="703">IF(AY196&gt;=91,"VIGENTE",IF(AY196&gt;=1,"POR VENCER",IF(AY196&lt;=-1,"VENCIDA",IF(AW196=0,"NO APLICA"))))</f>
        <v>NO APLICA</v>
      </c>
      <c r="BA196" s="4"/>
      <c r="BB196" s="4"/>
      <c r="BC196" s="4"/>
      <c r="BD196" s="6"/>
      <c r="BE196" s="5" t="str">
        <f t="shared" ref="BE196:BE237" si="704">IF(BD196&gt;=91,"VIGENTE",IF(BD196&gt;=1,"POR VENCER",IF(BD196&lt;=-1,"VENCIDA",IF(BB196=0,"NO APLICA"))))</f>
        <v>NO APLICA</v>
      </c>
      <c r="BF196" s="4"/>
      <c r="BG196" s="4"/>
      <c r="BH196" s="4"/>
      <c r="BI196" s="6"/>
      <c r="BJ196" s="5" t="str">
        <f t="shared" ref="BJ196:BJ237" si="705">IF(BI196&gt;=91,"VIGENTE",IF(BI196&gt;=1,"POR VENCER",IF(BI196&lt;=-1,"VENCIDA",IF(BG196=0,"NO APLICA"))))</f>
        <v>NO APLICA</v>
      </c>
      <c r="BK196" s="4"/>
      <c r="BL196" s="4"/>
      <c r="BM196" s="4"/>
      <c r="BN196" s="6"/>
      <c r="BO196" s="5" t="str">
        <f t="shared" ref="BO196:BO237" si="706">IF(BN196&gt;=91,"VIGENTE",IF(BN196&gt;=1,"POR VENCER",IF(BN196&lt;=-1,"VENCIDA",IF(BL196=0,"NO APLICA"))))</f>
        <v>NO APLICA</v>
      </c>
      <c r="BP196" s="4"/>
      <c r="BQ196" s="4"/>
      <c r="BR196" s="4"/>
      <c r="BS196" s="6"/>
      <c r="BT196" s="5" t="str">
        <f t="shared" ref="BT196:BT237" si="707">IF(BS196&gt;=91,"VIGENTE",IF(BS196&gt;=1,"POR VENCER",IF(BS196&lt;=-1,"VENCIDA",IF(BQ196=0,"NO APLICA"))))</f>
        <v>NO APLICA</v>
      </c>
      <c r="BU196" s="4"/>
      <c r="BV196" s="4"/>
      <c r="BW196" s="4"/>
      <c r="BX196" s="6"/>
      <c r="BY196" s="5" t="str">
        <f t="shared" ref="BY196:BY237" si="708">IF(BX196&gt;=91,"VIGENTE",IF(BX196&gt;=1,"POR VENCER",IF(BX196&lt;=-1,"VENCIDA",IF(BV196=0,"NO APLICA"))))</f>
        <v>NO APLICA</v>
      </c>
      <c r="BZ196" s="4"/>
      <c r="CA196" s="4"/>
      <c r="CB196" s="4"/>
      <c r="CC196" s="6"/>
      <c r="CD196" s="5" t="str">
        <f t="shared" ref="CD196:CD237" si="709">IF(CC196&gt;=91,"VIGENTE",IF(CC196&gt;=1,"POR VENCER",IF(CC196&lt;=-1,"VENCIDA",IF(CA196=0,"NO APLICA"))))</f>
        <v>NO APLICA</v>
      </c>
      <c r="CE196" s="6"/>
      <c r="CF196" s="6"/>
      <c r="CG196" s="6"/>
      <c r="CH196" s="6"/>
      <c r="CI196" s="5" t="str">
        <f t="shared" si="573"/>
        <v>NO APLICA</v>
      </c>
      <c r="CJ196" s="4"/>
      <c r="CK196" s="4"/>
      <c r="CL196" s="4"/>
      <c r="CM196" s="6"/>
      <c r="CN196" s="5" t="str">
        <f t="shared" ref="CN196:CN237" si="710">IF(CM196&gt;=91,"VIGENTE",IF(CM196&gt;=1,"POR VENCER",IF(CM196&lt;=-1,"VENCIDA",IF(CK196=0,"NO APLICA"))))</f>
        <v>NO APLICA</v>
      </c>
      <c r="CO196" s="4"/>
      <c r="CP196" s="4"/>
      <c r="CQ196" s="4"/>
      <c r="CR196" s="6"/>
      <c r="CS196" s="5" t="str">
        <f t="shared" ref="CS196:CS237" si="711">IF(CR196&gt;=91,"VIGENTE",IF(CR196&gt;=1,"POR VENCER",IF(CR196&lt;=-1,"VENCIDA",IF(CP196=0,"NO APLICA"))))</f>
        <v>NO APLICA</v>
      </c>
      <c r="CT196" s="4"/>
      <c r="CU196" s="4"/>
      <c r="CV196" s="4"/>
      <c r="CW196" s="6"/>
      <c r="CX196" s="5" t="str">
        <f t="shared" ref="CX196:CX237" si="712">IF(CW196&gt;=91,"VIGENTE",IF(CW196&gt;=1,"POR VENCER",IF(CW196&lt;=-1,"VENCIDA",IF(CU196=0,"NO APLICA"))))</f>
        <v>NO APLICA</v>
      </c>
      <c r="CY196" s="4"/>
      <c r="CZ196" s="4"/>
      <c r="DA196" s="4"/>
      <c r="DB196" s="6"/>
      <c r="DC196" s="5" t="str">
        <f t="shared" ref="DC196:DC237" si="713">IF(DB196&gt;=91,"VIGENTE",IF(DB196&gt;=1,"POR VENCER",IF(DB196&lt;=-1,"VENCIDA",IF(CZ196=0,"NO APLICA"))))</f>
        <v>NO APLICA</v>
      </c>
      <c r="DD196" s="4"/>
      <c r="DE196" s="4"/>
      <c r="DF196" s="4"/>
      <c r="DG196" s="6"/>
      <c r="DH196" s="5" t="str">
        <f t="shared" ref="DH196:DH237" si="714">IF(DG196&gt;=91,"VIGENTE",IF(DG196&gt;=1,"POR VENCER",IF(DG196&lt;=-1,"VENCIDA",IF(DE196=0,"NO APLICA"))))</f>
        <v>NO APLICA</v>
      </c>
      <c r="DI196" s="4"/>
      <c r="DJ196" s="4"/>
      <c r="DK196" s="4"/>
      <c r="DL196" s="6"/>
      <c r="DM196" s="5" t="str">
        <f t="shared" ref="DM196:DM237" si="715">IF(DL196&gt;=91,"VIGENTE",IF(DL196&gt;=1,"POR VENCER",IF(DL196&lt;=-1,"VENCIDA",IF(DJ196=0,"NO APLICA"))))</f>
        <v>NO APLICA</v>
      </c>
      <c r="DN196" s="4"/>
      <c r="DO196" s="4"/>
      <c r="DP196" s="4"/>
      <c r="DQ196" s="6"/>
      <c r="DR196" s="5" t="str">
        <f t="shared" ref="DR196:DR237" si="716">IF(DQ196&gt;=91,"VIGENTE",IF(DQ196&gt;=1,"POR VENCER",IF(DQ196&lt;=-1,"VENCIDA",IF(DO196=0,"NO APLICA"))))</f>
        <v>NO APLICA</v>
      </c>
      <c r="DS196" s="4"/>
      <c r="DT196" s="4"/>
      <c r="DU196" s="4"/>
      <c r="DV196" s="6"/>
      <c r="DW196" s="5" t="str">
        <f t="shared" ref="DW196:DW237" si="717">IF(DV196&gt;=91,"VIGENTE",IF(DV196&gt;=1,"POR VENCER",IF(DV196&lt;=-1,"VENCIDA",IF(DT196=0,"NO APLICA"))))</f>
        <v>NO APLICA</v>
      </c>
      <c r="DX196" s="4"/>
      <c r="DY196" s="4"/>
      <c r="DZ196" s="4"/>
      <c r="EA196" s="6"/>
      <c r="EB196" s="5" t="str">
        <f t="shared" ref="EB196:EB237" si="718">IF(EA196&gt;=91,"VIGENTE",IF(EA196&gt;=1,"POR VENCER",IF(EA196&lt;=-1,"VENCIDA",IF(DY196=0,"NO APLICA"))))</f>
        <v>NO APLICA</v>
      </c>
      <c r="EC196" s="4"/>
      <c r="ED196" s="4"/>
      <c r="EE196" s="4"/>
      <c r="EF196" s="6"/>
      <c r="EG196" s="5" t="str">
        <f t="shared" ref="EG196:EG237" si="719">IF(EF196&gt;=91,"VIGENTE",IF(EF196&gt;=1,"POR VENCER",IF(EF196&lt;=-1,"VENCIDA",IF(ED196=0,"NO APLICA"))))</f>
        <v>NO APLICA</v>
      </c>
      <c r="EH196" s="4"/>
      <c r="EI196" s="4"/>
      <c r="EJ196" s="4"/>
      <c r="EK196" s="8"/>
      <c r="EL196" s="5" t="str">
        <f t="shared" ref="EL196:EL237" si="720">IF(EK196&gt;=91,"VIGENTE",IF(EK196&gt;=1,"POR VENCER",IF(EK196&lt;=-1,"VENCIDA",IF(EI196=0,"NO APLICA"))))</f>
        <v>NO APLICA</v>
      </c>
      <c r="EM196" s="4"/>
      <c r="EN196" s="4"/>
      <c r="EO196" s="4"/>
      <c r="EP196" s="8"/>
      <c r="EQ196" s="5" t="str">
        <f t="shared" ref="EQ196:EQ237" si="721">IF(EP196&gt;=91,"VIGENTE",IF(EP196&gt;=1,"POR VENCER",IF(EP196&lt;=-1,"VENCIDA",IF(EN196=0,"NO APLICA"))))</f>
        <v>NO APLICA</v>
      </c>
      <c r="ER196" s="4"/>
      <c r="ES196" s="4"/>
      <c r="ET196" s="4"/>
      <c r="EU196" s="8"/>
      <c r="EV196" s="5" t="str">
        <f t="shared" ref="EV196:EV237" si="722">IF(EU196&gt;=91,"VIGENTE",IF(EU196&gt;=1,"POR VENCER",IF(EU196&lt;=-1,"VENCIDA",IF(ES196=0,"NO APLICA"))))</f>
        <v>NO APLICA</v>
      </c>
      <c r="EW196" s="4"/>
      <c r="EX196" s="4"/>
      <c r="EY196" s="4"/>
      <c r="EZ196" s="6"/>
      <c r="FA196" s="5" t="str">
        <f t="shared" ref="FA196:FA237" si="723">IF(EZ196&gt;=91,"VIGENTE",IF(EZ196&gt;=1,"POR VENCER",IF(EZ196&lt;=-1,"VENCIDA",IF(EX196=0,"NO APLICA"))))</f>
        <v>NO APLICA</v>
      </c>
      <c r="FB196" s="4"/>
      <c r="FC196" s="4"/>
      <c r="FD196" s="4"/>
      <c r="FE196" s="6"/>
      <c r="FF196" s="5" t="str">
        <f t="shared" ref="FF196:FF237" si="724">IF(FE196&gt;=91,"VIGENTE",IF(FE196&gt;=1,"POR VENCER",IF(FE196&lt;=-1,"VENCIDA",IF(FC196=0,"NO APLICA"))))</f>
        <v>NO APLICA</v>
      </c>
      <c r="FG196" s="4"/>
      <c r="FH196" s="4"/>
      <c r="FI196" s="4"/>
      <c r="FJ196" s="6"/>
      <c r="FK196" s="5" t="str">
        <f t="shared" ref="FK196:FK237" si="725">IF(FJ196&gt;=91,"VIGENTE",IF(FJ196&gt;=1,"POR VENCER",IF(FJ196&lt;=-1,"VENCIDA",IF(FH196=0,"NO APLICA"))))</f>
        <v>NO APLICA</v>
      </c>
      <c r="FL196" s="4"/>
      <c r="FM196" s="4"/>
      <c r="FN196" s="4"/>
      <c r="FO196" s="6"/>
      <c r="FP196" s="5" t="str">
        <f t="shared" ref="FP196:FP237" si="726">IF(FO196&gt;=91,"VIGENTE",IF(FO196&gt;=1,"POR VENCER",IF(FO196&lt;=-1,"VENCIDA",IF(FM196=0,"NO APLICA"))))</f>
        <v>NO APLICA</v>
      </c>
      <c r="FQ196" s="4"/>
      <c r="FR196" s="4"/>
      <c r="FS196" s="4"/>
      <c r="FT196" s="6"/>
      <c r="FU196" s="5" t="str">
        <f t="shared" ref="FU196:FU237" si="727">IF(FT196&gt;=91,"VIGENTE",IF(FT196&gt;=1,"POR VENCER",IF(FT196&lt;=-1,"VENCIDA",IF(FR196=0,"NO APLICA"))))</f>
        <v>NO APLICA</v>
      </c>
      <c r="FV196" s="4"/>
      <c r="FW196" s="4"/>
      <c r="FX196" s="4"/>
      <c r="FY196" s="6"/>
      <c r="FZ196" s="5" t="str">
        <f t="shared" ref="FZ196:FZ237" si="728">IF(FY196&gt;=91,"VIGENTE",IF(FY196&gt;=1,"POR VENCER",IF(FY196&lt;=-1,"VENCIDA",IF(FW196=0,"NO APLICA"))))</f>
        <v>NO APLICA</v>
      </c>
      <c r="GA196" s="4"/>
      <c r="GB196" s="4"/>
      <c r="GC196" s="4"/>
      <c r="GD196" s="6"/>
      <c r="GE196" s="5" t="str">
        <f t="shared" ref="GE196:GE237" si="729">IF(GD196&gt;=91,"VIGENTE",IF(GD196&gt;=1,"POR VENCER",IF(GD196&lt;=-1,"VENCIDA",IF(GB196=0,"NO APLICA"))))</f>
        <v>NO APLICA</v>
      </c>
      <c r="GF196" s="4"/>
      <c r="GG196" s="4"/>
      <c r="GH196" s="4"/>
      <c r="GI196" s="8"/>
      <c r="GJ196" s="5" t="str">
        <f t="shared" ref="GJ196:GJ237" si="730">IF(GI196&gt;=91,"VIGENTE",IF(GI196&gt;=1,"POR VENCER",IF(GI196&lt;=-1,"VENCIDA",IF(GG196=0,"NO APLICA"))))</f>
        <v>NO APLICA</v>
      </c>
      <c r="GK196" s="4"/>
      <c r="GL196" s="6"/>
      <c r="GM196" s="6"/>
      <c r="GN196" s="6"/>
      <c r="GO196" s="5" t="str">
        <f t="shared" ref="GO196:GO237" si="731">IF(GN196&gt;=61,"VIGENTE",IF(GN196&gt;=1,"POR VENCER",IF(GN196&lt;=-1,"VENCIDA",IF(GL196=0,"NO APLICA"))))</f>
        <v>NO APLICA</v>
      </c>
      <c r="GP196" s="4"/>
      <c r="GQ196" s="6"/>
      <c r="GR196" s="6"/>
      <c r="GS196" s="6"/>
      <c r="GT196" s="5" t="str">
        <f t="shared" si="610"/>
        <v>NO APLICA</v>
      </c>
      <c r="GU196" s="4"/>
      <c r="GV196" s="6"/>
      <c r="GW196" s="6"/>
      <c r="GX196" s="6"/>
      <c r="GY196" s="5" t="str">
        <f t="shared" si="611"/>
        <v>NO APLICA</v>
      </c>
      <c r="GZ196" s="6"/>
      <c r="HA196" s="6"/>
      <c r="HB196" s="6"/>
      <c r="HC196" s="6"/>
      <c r="HD196" s="5" t="str">
        <f t="shared" si="612"/>
        <v>NO APLICA</v>
      </c>
      <c r="HE196" s="6"/>
      <c r="HF196" s="6"/>
      <c r="HG196" s="4"/>
      <c r="HH196" s="8"/>
      <c r="HI196" s="5" t="str">
        <f t="shared" si="698"/>
        <v>NO APLICA</v>
      </c>
      <c r="HJ196" s="6"/>
      <c r="HK196" s="6"/>
      <c r="HL196" s="6"/>
      <c r="HM196" s="6"/>
      <c r="HN196" s="5" t="str">
        <f t="shared" si="694"/>
        <v>NO APLICA</v>
      </c>
      <c r="HO196" s="6"/>
      <c r="HP196" s="6"/>
      <c r="HQ196" s="6"/>
      <c r="HR196" s="6"/>
      <c r="HS196" s="5" t="str">
        <f t="shared" ref="HS196:HS240" si="732">IF(HR196&gt;=61,"VIGENTE",IF(HR196&gt;=1,"POR VENCER",IF(HR196&lt;=-1,"VENCIDA",IF(HP196=0,"NO APLICA"))))</f>
        <v>NO APLICA</v>
      </c>
      <c r="HT196" s="6"/>
      <c r="HU196" s="6"/>
      <c r="HV196" s="6"/>
      <c r="HW196" s="6"/>
      <c r="HX196" s="5" t="str">
        <f t="shared" ref="HX196:HX240" si="733">IF(HW196&gt;=61,"VIGENTE",IF(HW196&gt;=1,"POR VENCER",IF(HW196&lt;=-1,"VENCIDA",IF(HU196=0,"NO APLICA"))))</f>
        <v>NO APLICA</v>
      </c>
      <c r="HY196" s="6"/>
      <c r="HZ196" s="6"/>
      <c r="IA196" s="6"/>
      <c r="IB196" s="6"/>
      <c r="IC196" s="5" t="str">
        <f t="shared" ref="IC196:IC240" si="734">IF(IB196&gt;=61,"VIGENTE",IF(IB196&gt;=1,"POR VENCER",IF(IB196&lt;=-1,"VENCIDA",IF(HZ196=0,"NO APLICA"))))</f>
        <v>NO APLICA</v>
      </c>
      <c r="ID196" s="6"/>
      <c r="IE196" s="6"/>
      <c r="IF196" s="6"/>
      <c r="IG196" s="6"/>
      <c r="IH196" s="5" t="str">
        <f t="shared" ref="IH196:IH240" si="735">IF(IG196&gt;=61,"VIGENTE",IF(IG196&gt;=1,"POR VENCER",IF(IG196&lt;=-1,"VENCIDA",IF(IE196=0,"NO APLICA"))))</f>
        <v>NO APLICA</v>
      </c>
      <c r="II196" s="6"/>
      <c r="IJ196" s="6"/>
      <c r="IK196" s="6"/>
      <c r="IL196" s="6"/>
      <c r="IM196" s="5" t="str">
        <f t="shared" ref="IM196:IM240" si="736">IF(IL196&gt;=61,"VIGENTE",IF(IL196&gt;=1,"POR VENCER",IF(IL196&lt;=-1,"VENCIDA",IF(IJ196=0,"NO APLICA"))))</f>
        <v>NO APLICA</v>
      </c>
      <c r="IN196" s="6"/>
      <c r="IO196" s="6"/>
      <c r="IP196" s="6"/>
      <c r="IQ196" s="6"/>
      <c r="IR196" s="5" t="str">
        <f t="shared" ref="IR196:IR240" si="737">IF(IQ196&gt;=61,"VIGENTE",IF(IQ196&gt;=1,"POR VENCER",IF(IQ196&lt;=-1,"VENCIDA",IF(IO196=0,"NO APLICA"))))</f>
        <v>NO APLICA</v>
      </c>
      <c r="IS196" s="6"/>
      <c r="IT196" s="6"/>
      <c r="IU196" s="6"/>
      <c r="IV196" s="6"/>
      <c r="IW196" s="5" t="str">
        <f t="shared" ref="IW196:IW240" si="738">IF(IV196&gt;=61,"VIGENTE",IF(IV196&gt;=1,"POR VENCER",IF(IV196&lt;=-1,"VENCIDA",IF(IT196=0,"NO APLICA"))))</f>
        <v>NO APLICA</v>
      </c>
      <c r="IX196" s="6"/>
      <c r="IY196" s="6"/>
      <c r="IZ196" s="6"/>
      <c r="JA196" s="6"/>
      <c r="JB196" s="5" t="str">
        <f t="shared" ref="JB196:JB240" si="739">IF(JA196&gt;=61,"VIGENTE",IF(JA196&gt;=1,"POR VENCER",IF(JA196&lt;=-1,"VENCIDA",IF(IY196=0,"NO APLICA"))))</f>
        <v>NO APLICA</v>
      </c>
      <c r="JC196" s="3" t="s">
        <v>780</v>
      </c>
      <c r="JD196" s="6"/>
      <c r="JE196" s="6"/>
      <c r="JF196" s="6"/>
      <c r="JG196" s="5"/>
      <c r="JH196" s="3" t="s">
        <v>780</v>
      </c>
      <c r="JI196" s="6"/>
      <c r="JJ196" s="6"/>
      <c r="JK196" s="6"/>
      <c r="JL196" s="5"/>
      <c r="JM196" s="6" t="s">
        <v>780</v>
      </c>
      <c r="JN196" s="6"/>
      <c r="JO196" s="6"/>
      <c r="JP196" s="6"/>
      <c r="JQ196" s="5"/>
      <c r="JR196" s="6" t="s">
        <v>780</v>
      </c>
      <c r="JS196" s="6"/>
      <c r="JT196" s="6"/>
      <c r="JU196" s="6"/>
      <c r="JV196" s="5"/>
      <c r="JW196" s="6" t="s">
        <v>780</v>
      </c>
      <c r="JX196" s="5"/>
      <c r="JY196" s="5"/>
      <c r="JZ196" s="5"/>
      <c r="KA196" s="5"/>
      <c r="KB196" s="5"/>
      <c r="KC196" s="6"/>
      <c r="KD196" s="6"/>
      <c r="KE196" s="6"/>
      <c r="KF196" s="5" t="str">
        <f t="shared" ref="KF196:KF240" si="740">IF(KE196&gt;=61,"VIGENTE",IF(KE196&gt;=1,"POR VENCER",IF(KE196&lt;=-1,"VENCIDA",IF(KC196=0,"NO APLICA"))))</f>
        <v>NO APLICA</v>
      </c>
      <c r="KG196" s="5"/>
      <c r="KH196" s="6"/>
      <c r="KI196" s="6"/>
      <c r="KJ196" s="6"/>
      <c r="KK196" s="5" t="str">
        <f t="shared" si="559"/>
        <v>NO APLICA</v>
      </c>
      <c r="KL196" s="5"/>
      <c r="KM196" s="6"/>
      <c r="KN196" s="6"/>
      <c r="KO196" s="6"/>
      <c r="KP196" s="5" t="str">
        <f t="shared" ref="KP196:KP240" si="741">IF(KO196&gt;=61,"VIGENTE",IF(KO196&gt;=1,"POR VENCER",IF(KO196&lt;=-1,"VENCIDA",IF(KM196=0,"NO APLICA"))))</f>
        <v>NO APLICA</v>
      </c>
      <c r="KQ196" s="5"/>
      <c r="KR196" s="6"/>
      <c r="KS196" s="6"/>
      <c r="KT196" s="6"/>
      <c r="KU196" s="5" t="str">
        <f t="shared" si="560"/>
        <v>NO APLICA</v>
      </c>
      <c r="KV196" s="6"/>
      <c r="KW196" s="6"/>
      <c r="KX196" s="6"/>
      <c r="KY196" s="6"/>
      <c r="KZ196" s="5" t="str">
        <f t="shared" si="565"/>
        <v>NO APLICA</v>
      </c>
      <c r="LA196" s="5"/>
      <c r="LB196" s="6"/>
      <c r="LC196" s="6"/>
      <c r="LD196" s="6"/>
      <c r="LE196" s="5" t="str">
        <f t="shared" si="561"/>
        <v>NO APLICA</v>
      </c>
      <c r="LF196" s="6"/>
      <c r="LG196" s="6"/>
      <c r="LH196" s="6"/>
      <c r="LI196" s="8"/>
      <c r="LJ196" s="5" t="str">
        <f t="shared" si="600"/>
        <v>NO APLICA</v>
      </c>
      <c r="LK196" s="5"/>
      <c r="LL196" s="5"/>
      <c r="LM196" s="4"/>
      <c r="LN196" s="8"/>
      <c r="LO196" s="5" t="str">
        <f t="shared" si="566"/>
        <v>NO APLICA</v>
      </c>
      <c r="LP196" s="6"/>
      <c r="LQ196" s="6"/>
      <c r="LR196" s="6"/>
      <c r="LS196" s="6"/>
      <c r="LT196" s="5" t="str">
        <f t="shared" si="562"/>
        <v>NO APLICA</v>
      </c>
      <c r="LU196" s="6"/>
      <c r="LV196" s="6"/>
      <c r="LW196" s="6"/>
      <c r="LX196" s="6"/>
      <c r="LY196" s="5" t="str">
        <f t="shared" si="563"/>
        <v>NO APLICA</v>
      </c>
      <c r="LZ196" s="6"/>
      <c r="MA196" s="6"/>
      <c r="MB196" s="6"/>
      <c r="MC196" s="6"/>
      <c r="MD196" s="5" t="str">
        <f t="shared" si="564"/>
        <v>NO APLICA</v>
      </c>
      <c r="ME196" s="6"/>
      <c r="MF196" s="6"/>
      <c r="MG196" s="6"/>
      <c r="MH196" s="6"/>
      <c r="MI196" s="5" t="str">
        <f t="shared" ref="MI196:MI240" si="742">IF(MH196&gt;=61,"VIGENTE",IF(MH196&gt;=1,"POR VENCER",IF(MH196&lt;=-1,"VENCIDA",IF(MF196=0,"NO APLICA"))))</f>
        <v>NO APLICA</v>
      </c>
      <c r="MJ196" s="6"/>
      <c r="MK196" s="6"/>
      <c r="ML196" s="6"/>
      <c r="MM196" s="6"/>
      <c r="MN196" s="5" t="str">
        <f t="shared" ref="MN196:MN240" si="743">IF(MM196&gt;=61,"VIGENTE",IF(MM196&gt;=1,"POR VENCER",IF(MM196&lt;=-1,"VENCIDA",IF(MK196=0,"NO APLICA"))))</f>
        <v>NO APLICA</v>
      </c>
      <c r="MO196" s="5"/>
      <c r="MP196" s="6"/>
      <c r="MQ196" s="6"/>
      <c r="MR196" s="6"/>
      <c r="MS196" s="5" t="str">
        <f t="shared" ref="MS196:MS240" si="744">IF(MR196&gt;=61,"VIGENTE",IF(MR196&gt;=1,"POR VENCER",IF(MR196&lt;=-1,"VENCIDA",IF(MP196=0,"NO APLICA"))))</f>
        <v>NO APLICA</v>
      </c>
      <c r="MT196" s="5"/>
      <c r="MU196" s="6"/>
      <c r="MV196" s="6"/>
      <c r="MW196" s="6"/>
      <c r="MX196" s="5" t="str">
        <f t="shared" ref="MX196:MX240" si="745">IF(MW196&gt;=61,"VIGENTE",IF(MW196&gt;=1,"POR VENCER",IF(MW196&lt;=-1,"VENCIDA",IF(MU196=0,"NO APLICA"))))</f>
        <v>NO APLICA</v>
      </c>
      <c r="MY196" s="6"/>
      <c r="MZ196" s="6"/>
      <c r="NA196" s="6"/>
      <c r="NB196" s="6"/>
      <c r="NC196" s="5" t="str">
        <f t="shared" ref="NC196:NC240" si="746">IF(NB196&gt;=61,"VIGENTE",IF(NB196&gt;=1,"POR VENCER",IF(NB196&lt;=-1,"VENCIDA",IF(MZ196=0,"NO APLICA"))))</f>
        <v>NO APLICA</v>
      </c>
      <c r="ND196" s="6"/>
      <c r="NE196" s="6"/>
      <c r="NF196" s="6"/>
      <c r="NG196" s="6"/>
      <c r="NH196" s="5" t="str">
        <f t="shared" ref="NH196:NH240" si="747">IF(NG196&gt;=61,"VIGENTE",IF(NG196&gt;=1,"POR VENCER",IF(NG196&lt;=-1,"VENCIDA",IF(NE196=0,"NO APLICA"))))</f>
        <v>NO APLICA</v>
      </c>
      <c r="NI196" s="6"/>
      <c r="NJ196" s="6"/>
      <c r="NK196" s="6"/>
      <c r="NL196" s="6"/>
      <c r="NM196" s="5" t="str">
        <f t="shared" ref="NM196:NM240" si="748">IF(NL196&gt;=61,"VIGENTE",IF(NL196&gt;=1,"POR VENCER",IF(NL196&lt;=-1,"VENCIDA",IF(NJ196=0,"NO APLICA"))))</f>
        <v>NO APLICA</v>
      </c>
      <c r="NN196" s="6"/>
      <c r="NO196" s="6"/>
      <c r="NP196" s="6"/>
      <c r="NQ196" s="6"/>
      <c r="NR196" s="5" t="str">
        <f t="shared" ref="NR196:NR240" si="749">IF(NQ196&gt;=61,"VIGENTE",IF(NQ196&gt;=1,"POR VENCER",IF(NQ196&lt;=-1,"VENCIDA",IF(NO196=0,"NO APLICA"))))</f>
        <v>NO APLICA</v>
      </c>
      <c r="NS196" s="6"/>
      <c r="NT196" s="6"/>
      <c r="NU196" s="6"/>
      <c r="NV196" s="6"/>
      <c r="NW196" s="5" t="str">
        <f t="shared" ref="NW196:NW240" si="750">IF(NV196&gt;=61,"VIGENTE",IF(NV196&gt;=1,"POR VENCER",IF(NV196&lt;=-1,"VENCIDA",IF(NT196=0,"NO APLICA"))))</f>
        <v>NO APLICA</v>
      </c>
      <c r="NX196" s="6"/>
      <c r="NY196" s="6"/>
      <c r="NZ196" s="6"/>
      <c r="OA196" s="6"/>
      <c r="OB196" s="5" t="str">
        <f t="shared" ref="OB196:OB240" si="751">IF(OA196&gt;=61,"VIGENTE",IF(OA196&gt;=1,"POR VENCER",IF(OA196&lt;=-1,"VENCIDA",IF(NY196=0,"NO APLICA"))))</f>
        <v>NO APLICA</v>
      </c>
      <c r="OC196" s="6"/>
      <c r="OD196" s="6"/>
      <c r="OE196" s="6"/>
      <c r="OF196" s="6"/>
      <c r="OG196" s="5" t="str">
        <f t="shared" ref="OG196:OG240" si="752">IF(OF196&gt;=61,"VIGENTE",IF(OF196&gt;=1,"POR VENCER",IF(OF196&lt;=-1,"VENCIDA",IF(OD196=0,"NO APLICA"))))</f>
        <v>NO APLICA</v>
      </c>
      <c r="OH196" s="6"/>
      <c r="OI196" s="6"/>
      <c r="OJ196" s="6"/>
      <c r="OK196" s="6"/>
      <c r="OL196" s="5" t="str">
        <f t="shared" ref="OL196:OL240" si="753">IF(OK196&gt;=61,"VIGENTE",IF(OK196&gt;=1,"POR VENCER",IF(OK196&lt;=-1,"VENCIDA",IF(OI196=0,"NO APLICA"))))</f>
        <v>NO APLICA</v>
      </c>
      <c r="OM196" s="6"/>
      <c r="ON196" s="6"/>
      <c r="OO196" s="6"/>
      <c r="OP196" s="6"/>
      <c r="OQ196" s="5" t="str">
        <f t="shared" ref="OQ196:OQ240" si="754">IF(OP196&gt;=61,"VIGENTE",IF(OP196&gt;=1,"POR VENCER",IF(OP196&lt;=-1,"VENCIDA",IF(ON196=0,"NO APLICA"))))</f>
        <v>NO APLICA</v>
      </c>
      <c r="OR196" s="6"/>
      <c r="OS196" s="6"/>
      <c r="OT196" s="6"/>
      <c r="OU196" s="6"/>
      <c r="OV196" s="5" t="str">
        <f t="shared" ref="OV196:OV240" si="755">IF(OU196&gt;=61,"VIGENTE",IF(OU196&gt;=1,"POR VENCER",IF(OU196&lt;=-1,"VENCIDA",IF(OS196=0,"NO APLICA"))))</f>
        <v>NO APLICA</v>
      </c>
      <c r="OW196" s="4"/>
      <c r="OX196" s="4">
        <v>44770</v>
      </c>
      <c r="OY196" s="4">
        <f>DATE(YEAR(OX196)+5,MONTH(OX196),DAY(OX196))</f>
        <v>46596</v>
      </c>
      <c r="OZ196" s="8">
        <f ca="1">OY196-TODAY()</f>
        <v>451</v>
      </c>
      <c r="PA196" s="5" t="str">
        <f ca="1">IF(OZ196&gt;=61,"VIGENTE",IF(OZ196&gt;=1,"POR VENCER",IF(OZ196&lt;=-1,"VENCIDA",IF(OX196=0,"NO APLICA"))))</f>
        <v>VIGENTE</v>
      </c>
      <c r="PB196" s="6"/>
      <c r="PC196" s="6"/>
      <c r="PD196" s="6"/>
      <c r="PE196" s="6"/>
      <c r="PF196" s="5" t="str">
        <f t="shared" ref="PF196:PF240" si="756">IF(PE196&gt;=61,"VIGENTE",IF(PE196&gt;=1,"POR VENCER",IF(PE196&lt;=-1,"VENCIDA",IF(PC196=0,"NO APLICA"))))</f>
        <v>NO APLICA</v>
      </c>
      <c r="PG196" s="6"/>
      <c r="PH196" s="6"/>
      <c r="PI196" s="6"/>
      <c r="PJ196" s="6"/>
      <c r="PK196" s="5" t="str">
        <f t="shared" ref="PK196:PK240" si="757">IF(PJ196&gt;=61,"VIGENTE",IF(PJ196&gt;=1,"POR VENCER",IF(PJ196&lt;=-1,"VENCIDA",IF(PH196=0,"NO APLICA"))))</f>
        <v>NO APLICA</v>
      </c>
      <c r="PL196" s="5"/>
      <c r="PM196" s="4">
        <v>44627</v>
      </c>
      <c r="PN196" s="4">
        <f>DATE(YEAR(PM196)+5,MONTH(PM196),DAY(PM196))</f>
        <v>46453</v>
      </c>
      <c r="PO196" s="8">
        <f ca="1">PN196-TODAY()</f>
        <v>308</v>
      </c>
      <c r="PP196" s="5" t="str">
        <f ca="1">IF(PO196&gt;=61,"VIGENTE",IF(PO196&gt;=1,"POR VENCER",IF(PO196&lt;=-1,"VENCIDA",IF(PM196=0,"NO APLICA"))))</f>
        <v>VIGENTE</v>
      </c>
      <c r="PQ196" s="6"/>
      <c r="PR196" s="6"/>
      <c r="PS196" s="6"/>
      <c r="PT196" s="6"/>
      <c r="PU196" s="5" t="str">
        <f t="shared" ref="PU196:PU240" si="758">IF(PT196&gt;=61,"VIGENTE",IF(PT196&gt;=1,"POR VENCER",IF(PT196&lt;=-1,"VENCIDA",IF(PR196=0,"NO APLICA"))))</f>
        <v>NO APLICA</v>
      </c>
      <c r="PV196" s="5"/>
      <c r="PW196" s="6"/>
      <c r="PX196" s="6"/>
      <c r="PY196" s="6"/>
      <c r="PZ196" s="5" t="str">
        <f t="shared" ref="PZ196:PZ240" si="759">IF(PY196&gt;=61,"VIGENTE",IF(PY196&gt;=1,"POR VENCER",IF(PY196&lt;=-1,"VENCIDA",IF(PW196=0,"NO APLICA"))))</f>
        <v>NO APLICA</v>
      </c>
    </row>
    <row r="197" spans="1:442" ht="15.6" hidden="1" thickTop="1" thickBot="1" x14ac:dyDescent="0.35">
      <c r="A197" s="26">
        <v>194</v>
      </c>
      <c r="B197" s="31">
        <v>1566</v>
      </c>
      <c r="C197" s="28" t="s">
        <v>612</v>
      </c>
      <c r="D197" s="29" t="s">
        <v>68</v>
      </c>
      <c r="E197" s="30" t="s">
        <v>153</v>
      </c>
      <c r="F197" s="6"/>
      <c r="G197" s="6"/>
      <c r="H197" s="6"/>
      <c r="I197" s="6"/>
      <c r="J197" s="5" t="str">
        <f t="shared" si="696"/>
        <v>NO APLICA</v>
      </c>
      <c r="K197" s="6"/>
      <c r="L197" s="6"/>
      <c r="M197" s="6"/>
      <c r="N197" s="6"/>
      <c r="O197" s="5" t="str">
        <f t="shared" si="699"/>
        <v>NO APLICA</v>
      </c>
      <c r="P197" s="6"/>
      <c r="Q197" s="6"/>
      <c r="R197" s="6"/>
      <c r="S197" s="6"/>
      <c r="T197" s="5" t="str">
        <f t="shared" si="697"/>
        <v>NO APLICA</v>
      </c>
      <c r="U197" s="5"/>
      <c r="V197" s="6" t="s">
        <v>613</v>
      </c>
      <c r="W197" s="4">
        <v>45849</v>
      </c>
      <c r="X197" s="4">
        <f>DATE(YEAR(W197)+5,MONTH(W197),DAY(W197))</f>
        <v>47675</v>
      </c>
      <c r="Y197" s="8">
        <f ca="1">X197-TODAY()</f>
        <v>1530</v>
      </c>
      <c r="Z197" s="5" t="str">
        <f ca="1">IF(Y197&gt;=90,"VIGENTE",IF(Y197&gt;=1,"POR VENCER",IF(Y197&lt;=-1,"VENCIDA",IF(W197=0,"NO APLICA"))))</f>
        <v>VIGENTE</v>
      </c>
      <c r="AA197" s="5"/>
      <c r="AB197" s="6"/>
      <c r="AC197" s="6"/>
      <c r="AD197" s="6"/>
      <c r="AE197" s="6"/>
      <c r="AF197" s="5" t="str">
        <f t="shared" si="700"/>
        <v>NO APLICA</v>
      </c>
      <c r="AG197" s="4"/>
      <c r="AH197" s="4"/>
      <c r="AI197" s="4"/>
      <c r="AJ197" s="6"/>
      <c r="AK197" s="5" t="str">
        <f t="shared" si="602"/>
        <v>NO APLICA</v>
      </c>
      <c r="AL197" s="4"/>
      <c r="AM197" s="4"/>
      <c r="AN197" s="4"/>
      <c r="AO197" s="6"/>
      <c r="AP197" s="5" t="str">
        <f t="shared" si="701"/>
        <v>NO APLICA</v>
      </c>
      <c r="AQ197" s="4"/>
      <c r="AR197" s="4"/>
      <c r="AS197" s="4"/>
      <c r="AT197" s="6"/>
      <c r="AU197" s="5" t="str">
        <f t="shared" si="702"/>
        <v>NO APLICA</v>
      </c>
      <c r="AV197" s="4"/>
      <c r="AW197" s="4"/>
      <c r="AX197" s="4"/>
      <c r="AY197" s="6"/>
      <c r="AZ197" s="5" t="str">
        <f t="shared" si="703"/>
        <v>NO APLICA</v>
      </c>
      <c r="BA197" s="4"/>
      <c r="BB197" s="4"/>
      <c r="BC197" s="4"/>
      <c r="BD197" s="6"/>
      <c r="BE197" s="5" t="str">
        <f t="shared" si="704"/>
        <v>NO APLICA</v>
      </c>
      <c r="BF197" s="4"/>
      <c r="BG197" s="4"/>
      <c r="BH197" s="4"/>
      <c r="BI197" s="6"/>
      <c r="BJ197" s="5" t="str">
        <f t="shared" si="705"/>
        <v>NO APLICA</v>
      </c>
      <c r="BK197" s="4"/>
      <c r="BL197" s="4"/>
      <c r="BM197" s="4"/>
      <c r="BN197" s="6"/>
      <c r="BO197" s="5" t="str">
        <f t="shared" si="706"/>
        <v>NO APLICA</v>
      </c>
      <c r="BP197" s="4"/>
      <c r="BQ197" s="4"/>
      <c r="BR197" s="4"/>
      <c r="BS197" s="6"/>
      <c r="BT197" s="5" t="str">
        <f t="shared" si="707"/>
        <v>NO APLICA</v>
      </c>
      <c r="BU197" s="4"/>
      <c r="BV197" s="4"/>
      <c r="BW197" s="4"/>
      <c r="BX197" s="6"/>
      <c r="BY197" s="5" t="str">
        <f t="shared" si="708"/>
        <v>NO APLICA</v>
      </c>
      <c r="BZ197" s="4"/>
      <c r="CA197" s="4"/>
      <c r="CB197" s="4"/>
      <c r="CC197" s="6"/>
      <c r="CD197" s="5" t="str">
        <f t="shared" si="709"/>
        <v>NO APLICA</v>
      </c>
      <c r="CE197" s="6"/>
      <c r="CF197" s="6"/>
      <c r="CG197" s="6"/>
      <c r="CH197" s="6"/>
      <c r="CI197" s="5" t="str">
        <f t="shared" si="573"/>
        <v>NO APLICA</v>
      </c>
      <c r="CJ197" s="4"/>
      <c r="CK197" s="4"/>
      <c r="CL197" s="4"/>
      <c r="CM197" s="6"/>
      <c r="CN197" s="5" t="str">
        <f t="shared" si="710"/>
        <v>NO APLICA</v>
      </c>
      <c r="CO197" s="4"/>
      <c r="CP197" s="4"/>
      <c r="CQ197" s="4"/>
      <c r="CR197" s="6"/>
      <c r="CS197" s="5" t="str">
        <f t="shared" si="711"/>
        <v>NO APLICA</v>
      </c>
      <c r="CT197" s="4"/>
      <c r="CU197" s="4"/>
      <c r="CV197" s="4"/>
      <c r="CW197" s="6"/>
      <c r="CX197" s="5" t="str">
        <f t="shared" si="712"/>
        <v>NO APLICA</v>
      </c>
      <c r="CY197" s="4"/>
      <c r="CZ197" s="4"/>
      <c r="DA197" s="4"/>
      <c r="DB197" s="6"/>
      <c r="DC197" s="5" t="str">
        <f t="shared" si="713"/>
        <v>NO APLICA</v>
      </c>
      <c r="DD197" s="4"/>
      <c r="DE197" s="4"/>
      <c r="DF197" s="4"/>
      <c r="DG197" s="6"/>
      <c r="DH197" s="5" t="str">
        <f t="shared" si="714"/>
        <v>NO APLICA</v>
      </c>
      <c r="DI197" s="4"/>
      <c r="DJ197" s="4"/>
      <c r="DK197" s="4"/>
      <c r="DL197" s="6"/>
      <c r="DM197" s="5" t="str">
        <f t="shared" si="715"/>
        <v>NO APLICA</v>
      </c>
      <c r="DN197" s="4"/>
      <c r="DO197" s="4"/>
      <c r="DP197" s="4"/>
      <c r="DQ197" s="6"/>
      <c r="DR197" s="5" t="str">
        <f t="shared" si="716"/>
        <v>NO APLICA</v>
      </c>
      <c r="DS197" s="4"/>
      <c r="DT197" s="4"/>
      <c r="DU197" s="4"/>
      <c r="DV197" s="6"/>
      <c r="DW197" s="5" t="str">
        <f t="shared" si="717"/>
        <v>NO APLICA</v>
      </c>
      <c r="DX197" s="4"/>
      <c r="DY197" s="4"/>
      <c r="DZ197" s="4"/>
      <c r="EA197" s="6"/>
      <c r="EB197" s="5" t="str">
        <f t="shared" si="718"/>
        <v>NO APLICA</v>
      </c>
      <c r="EC197" s="4"/>
      <c r="ED197" s="4"/>
      <c r="EE197" s="4"/>
      <c r="EF197" s="6"/>
      <c r="EG197" s="5" t="str">
        <f t="shared" si="719"/>
        <v>NO APLICA</v>
      </c>
      <c r="EH197" s="4"/>
      <c r="EI197" s="4"/>
      <c r="EJ197" s="4"/>
      <c r="EK197" s="8"/>
      <c r="EL197" s="5" t="str">
        <f t="shared" si="720"/>
        <v>NO APLICA</v>
      </c>
      <c r="EM197" s="4"/>
      <c r="EN197" s="4"/>
      <c r="EO197" s="4"/>
      <c r="EP197" s="8"/>
      <c r="EQ197" s="5" t="str">
        <f t="shared" si="721"/>
        <v>NO APLICA</v>
      </c>
      <c r="ER197" s="4"/>
      <c r="ES197" s="4"/>
      <c r="ET197" s="4"/>
      <c r="EU197" s="8"/>
      <c r="EV197" s="5" t="str">
        <f t="shared" si="722"/>
        <v>NO APLICA</v>
      </c>
      <c r="EW197" s="4"/>
      <c r="EX197" s="4"/>
      <c r="EY197" s="4"/>
      <c r="EZ197" s="6"/>
      <c r="FA197" s="5" t="str">
        <f t="shared" si="723"/>
        <v>NO APLICA</v>
      </c>
      <c r="FB197" s="4"/>
      <c r="FC197" s="4"/>
      <c r="FD197" s="4"/>
      <c r="FE197" s="6"/>
      <c r="FF197" s="5" t="str">
        <f t="shared" si="724"/>
        <v>NO APLICA</v>
      </c>
      <c r="FG197" s="4"/>
      <c r="FH197" s="4"/>
      <c r="FI197" s="4"/>
      <c r="FJ197" s="6"/>
      <c r="FK197" s="5" t="str">
        <f t="shared" si="725"/>
        <v>NO APLICA</v>
      </c>
      <c r="FL197" s="4"/>
      <c r="FM197" s="4"/>
      <c r="FN197" s="4"/>
      <c r="FO197" s="6"/>
      <c r="FP197" s="5" t="str">
        <f t="shared" si="726"/>
        <v>NO APLICA</v>
      </c>
      <c r="FQ197" s="4"/>
      <c r="FR197" s="4"/>
      <c r="FS197" s="4"/>
      <c r="FT197" s="6"/>
      <c r="FU197" s="5" t="str">
        <f t="shared" si="727"/>
        <v>NO APLICA</v>
      </c>
      <c r="FV197" s="4"/>
      <c r="FW197" s="4"/>
      <c r="FX197" s="4"/>
      <c r="FY197" s="6"/>
      <c r="FZ197" s="5" t="str">
        <f t="shared" si="728"/>
        <v>NO APLICA</v>
      </c>
      <c r="GA197" s="4"/>
      <c r="GB197" s="4"/>
      <c r="GC197" s="4"/>
      <c r="GD197" s="6"/>
      <c r="GE197" s="5" t="str">
        <f t="shared" si="729"/>
        <v>NO APLICA</v>
      </c>
      <c r="GF197" s="4"/>
      <c r="GG197" s="4"/>
      <c r="GH197" s="4"/>
      <c r="GI197" s="8"/>
      <c r="GJ197" s="5" t="str">
        <f t="shared" si="730"/>
        <v>NO APLICA</v>
      </c>
      <c r="GK197" s="4"/>
      <c r="GL197" s="6"/>
      <c r="GM197" s="6"/>
      <c r="GN197" s="6"/>
      <c r="GO197" s="5" t="str">
        <f t="shared" si="731"/>
        <v>NO APLICA</v>
      </c>
      <c r="GP197" s="4"/>
      <c r="GQ197" s="6"/>
      <c r="GR197" s="6"/>
      <c r="GS197" s="6"/>
      <c r="GT197" s="5" t="str">
        <f t="shared" si="610"/>
        <v>NO APLICA</v>
      </c>
      <c r="GU197" s="4"/>
      <c r="GV197" s="6"/>
      <c r="GW197" s="6"/>
      <c r="GX197" s="6"/>
      <c r="GY197" s="5" t="str">
        <f t="shared" si="611"/>
        <v>NO APLICA</v>
      </c>
      <c r="GZ197" s="6"/>
      <c r="HA197" s="6"/>
      <c r="HB197" s="6"/>
      <c r="HC197" s="6"/>
      <c r="HD197" s="5" t="str">
        <f t="shared" si="612"/>
        <v>NO APLICA</v>
      </c>
      <c r="HE197" s="6"/>
      <c r="HF197" s="6"/>
      <c r="HG197" s="4"/>
      <c r="HH197" s="8"/>
      <c r="HI197" s="5" t="str">
        <f t="shared" si="698"/>
        <v>NO APLICA</v>
      </c>
      <c r="HJ197" s="6"/>
      <c r="HK197" s="6"/>
      <c r="HL197" s="6"/>
      <c r="HM197" s="6"/>
      <c r="HN197" s="5" t="str">
        <f t="shared" si="694"/>
        <v>NO APLICA</v>
      </c>
      <c r="HO197" s="6"/>
      <c r="HP197" s="6"/>
      <c r="HQ197" s="6"/>
      <c r="HR197" s="6"/>
      <c r="HS197" s="5" t="str">
        <f t="shared" si="732"/>
        <v>NO APLICA</v>
      </c>
      <c r="HT197" s="6"/>
      <c r="HU197" s="6"/>
      <c r="HV197" s="6"/>
      <c r="HW197" s="6"/>
      <c r="HX197" s="5" t="str">
        <f t="shared" si="733"/>
        <v>NO APLICA</v>
      </c>
      <c r="HY197" s="6"/>
      <c r="HZ197" s="6"/>
      <c r="IA197" s="6"/>
      <c r="IB197" s="6"/>
      <c r="IC197" s="5" t="str">
        <f t="shared" si="734"/>
        <v>NO APLICA</v>
      </c>
      <c r="ID197" s="6"/>
      <c r="IE197" s="6"/>
      <c r="IF197" s="6"/>
      <c r="IG197" s="6"/>
      <c r="IH197" s="5" t="str">
        <f t="shared" si="735"/>
        <v>NO APLICA</v>
      </c>
      <c r="II197" s="6"/>
      <c r="IJ197" s="6"/>
      <c r="IK197" s="6"/>
      <c r="IL197" s="6"/>
      <c r="IM197" s="5" t="str">
        <f t="shared" si="736"/>
        <v>NO APLICA</v>
      </c>
      <c r="IN197" s="6"/>
      <c r="IO197" s="6"/>
      <c r="IP197" s="6"/>
      <c r="IQ197" s="6"/>
      <c r="IR197" s="5" t="str">
        <f t="shared" si="737"/>
        <v>NO APLICA</v>
      </c>
      <c r="IS197" s="6"/>
      <c r="IT197" s="6"/>
      <c r="IU197" s="6"/>
      <c r="IV197" s="6"/>
      <c r="IW197" s="5" t="str">
        <f t="shared" si="738"/>
        <v>NO APLICA</v>
      </c>
      <c r="IX197" s="6"/>
      <c r="IY197" s="6"/>
      <c r="IZ197" s="6"/>
      <c r="JA197" s="6"/>
      <c r="JB197" s="5" t="str">
        <f t="shared" si="739"/>
        <v>NO APLICA</v>
      </c>
      <c r="JC197" s="3" t="s">
        <v>780</v>
      </c>
      <c r="JD197" s="6"/>
      <c r="JE197" s="6"/>
      <c r="JF197" s="6"/>
      <c r="JG197" s="5"/>
      <c r="JH197" s="3" t="s">
        <v>780</v>
      </c>
      <c r="JI197" s="6"/>
      <c r="JJ197" s="6"/>
      <c r="JK197" s="6"/>
      <c r="JL197" s="5"/>
      <c r="JM197" s="6" t="s">
        <v>780</v>
      </c>
      <c r="JN197" s="6"/>
      <c r="JO197" s="6"/>
      <c r="JP197" s="6"/>
      <c r="JQ197" s="5"/>
      <c r="JR197" s="6" t="s">
        <v>780</v>
      </c>
      <c r="JS197" s="6"/>
      <c r="JT197" s="6"/>
      <c r="JU197" s="6"/>
      <c r="JV197" s="5"/>
      <c r="JW197" s="6" t="s">
        <v>780</v>
      </c>
      <c r="JX197" s="5"/>
      <c r="JY197" s="5"/>
      <c r="JZ197" s="5"/>
      <c r="KA197" s="5"/>
      <c r="KB197" s="5"/>
      <c r="KC197" s="6"/>
      <c r="KD197" s="6"/>
      <c r="KE197" s="6"/>
      <c r="KF197" s="5" t="str">
        <f t="shared" si="740"/>
        <v>NO APLICA</v>
      </c>
      <c r="KG197" s="5"/>
      <c r="KH197" s="6"/>
      <c r="KI197" s="6"/>
      <c r="KJ197" s="6"/>
      <c r="KK197" s="5" t="str">
        <f t="shared" ref="KK197:KK240" si="760">IF(KJ197&gt;=61,"VIGENTE",IF(KJ197&gt;=1,"POR VENCER",IF(KJ197&lt;=-1,"VENCIDA",IF(KH197=0,"NO APLICA"))))</f>
        <v>NO APLICA</v>
      </c>
      <c r="KL197" s="5"/>
      <c r="KM197" s="6"/>
      <c r="KN197" s="6"/>
      <c r="KO197" s="6"/>
      <c r="KP197" s="5" t="str">
        <f t="shared" si="741"/>
        <v>NO APLICA</v>
      </c>
      <c r="KQ197" s="5"/>
      <c r="KR197" s="6"/>
      <c r="KS197" s="6"/>
      <c r="KT197" s="6"/>
      <c r="KU197" s="5" t="str">
        <f t="shared" ref="KU197:KU240" si="761">IF(KT197&gt;=61,"VIGENTE",IF(KT197&gt;=1,"POR VENCER",IF(KT197&lt;=-1,"VENCIDA",IF(KR197=0,"NO APLICA"))))</f>
        <v>NO APLICA</v>
      </c>
      <c r="KV197" s="6"/>
      <c r="KW197" s="6"/>
      <c r="KX197" s="6"/>
      <c r="KY197" s="6"/>
      <c r="KZ197" s="5" t="str">
        <f t="shared" si="565"/>
        <v>NO APLICA</v>
      </c>
      <c r="LA197" s="5"/>
      <c r="LB197" s="6"/>
      <c r="LC197" s="6"/>
      <c r="LD197" s="6"/>
      <c r="LE197" s="5" t="str">
        <f t="shared" ref="LE197:LE240" si="762">IF(LD197&gt;=61,"VIGENTE",IF(LD197&gt;=1,"POR VENCER",IF(LD197&lt;=-1,"VENCIDA",IF(LB197=0,"NO APLICA"))))</f>
        <v>NO APLICA</v>
      </c>
      <c r="LF197" s="6"/>
      <c r="LG197" s="6"/>
      <c r="LH197" s="6"/>
      <c r="LI197" s="6"/>
      <c r="LJ197" s="5" t="str">
        <f t="shared" si="600"/>
        <v>NO APLICA</v>
      </c>
      <c r="LK197" s="5"/>
      <c r="LL197" s="3"/>
      <c r="LM197" s="4"/>
      <c r="LN197" s="8"/>
      <c r="LO197" s="5" t="str">
        <f>IF(LN197&gt;=61,"VIGENTE",IF(LN197&gt;=1,"POR VENCER",IF(LN197&lt;=-1,"VENCIDA",IF(LL197=0,"NO APLICA"))))</f>
        <v>NO APLICA</v>
      </c>
      <c r="LP197" s="6"/>
      <c r="LQ197" s="6"/>
      <c r="LR197" s="6"/>
      <c r="LS197" s="6"/>
      <c r="LT197" s="5" t="str">
        <f t="shared" ref="LT197:LT240" si="763">IF(LS197&gt;=61,"VIGENTE",IF(LS197&gt;=1,"POR VENCER",IF(LS197&lt;=-1,"VENCIDA",IF(LQ197=0,"NO APLICA"))))</f>
        <v>NO APLICA</v>
      </c>
      <c r="LU197" s="6"/>
      <c r="LV197" s="6"/>
      <c r="LW197" s="6"/>
      <c r="LX197" s="6"/>
      <c r="LY197" s="5" t="str">
        <f t="shared" ref="LY197:LY240" si="764">IF(LX197&gt;=61,"VIGENTE",IF(LX197&gt;=1,"POR VENCER",IF(LX197&lt;=-1,"VENCIDA",IF(LV197=0,"NO APLICA"))))</f>
        <v>NO APLICA</v>
      </c>
      <c r="LZ197" s="6"/>
      <c r="MA197" s="6"/>
      <c r="MB197" s="6"/>
      <c r="MC197" s="6"/>
      <c r="MD197" s="5" t="str">
        <f t="shared" ref="MD197:MD240" si="765">IF(MC197&gt;=61,"VIGENTE",IF(MC197&gt;=1,"POR VENCER",IF(MC197&lt;=-1,"VENCIDA",IF(MA197=0,"NO APLICA"))))</f>
        <v>NO APLICA</v>
      </c>
      <c r="ME197" s="6"/>
      <c r="MF197" s="6"/>
      <c r="MG197" s="6"/>
      <c r="MH197" s="6"/>
      <c r="MI197" s="5" t="str">
        <f t="shared" si="742"/>
        <v>NO APLICA</v>
      </c>
      <c r="MJ197" s="6"/>
      <c r="MK197" s="6"/>
      <c r="ML197" s="6"/>
      <c r="MM197" s="6"/>
      <c r="MN197" s="5" t="str">
        <f t="shared" si="743"/>
        <v>NO APLICA</v>
      </c>
      <c r="MO197" s="5"/>
      <c r="MP197" s="6"/>
      <c r="MQ197" s="6"/>
      <c r="MR197" s="6"/>
      <c r="MS197" s="5" t="str">
        <f t="shared" si="744"/>
        <v>NO APLICA</v>
      </c>
      <c r="MT197" s="5"/>
      <c r="MU197" s="6"/>
      <c r="MV197" s="6"/>
      <c r="MW197" s="6"/>
      <c r="MX197" s="5" t="str">
        <f t="shared" si="745"/>
        <v>NO APLICA</v>
      </c>
      <c r="MY197" s="6"/>
      <c r="MZ197" s="6"/>
      <c r="NA197" s="6"/>
      <c r="NB197" s="6"/>
      <c r="NC197" s="5" t="str">
        <f t="shared" si="746"/>
        <v>NO APLICA</v>
      </c>
      <c r="ND197" s="6"/>
      <c r="NE197" s="6"/>
      <c r="NF197" s="6"/>
      <c r="NG197" s="6"/>
      <c r="NH197" s="5" t="str">
        <f t="shared" si="747"/>
        <v>NO APLICA</v>
      </c>
      <c r="NI197" s="6"/>
      <c r="NJ197" s="4">
        <v>44751</v>
      </c>
      <c r="NK197" s="4">
        <f>DATE(YEAR(NJ197)+5,MONTH(NJ197),DAY(NJ197))</f>
        <v>46577</v>
      </c>
      <c r="NL197" s="8">
        <f ca="1">NK197-TODAY()</f>
        <v>432</v>
      </c>
      <c r="NM197" s="5" t="str">
        <f ca="1">IF(NL197&gt;=61,"VIGENTE",IF(NL197&gt;=1,"POR VENCER",IF(NL197&lt;=-1,"VENCIDA",IF(NJ197=0,"NO APLICA"))))</f>
        <v>VIGENTE</v>
      </c>
      <c r="NN197" s="4"/>
      <c r="NO197" s="4">
        <v>45002</v>
      </c>
      <c r="NP197" s="4">
        <f>DATE(YEAR(NO197)+5,MONTH(NO197),DAY(NO197))</f>
        <v>46829</v>
      </c>
      <c r="NQ197" s="8">
        <f ca="1">NP197-TODAY()</f>
        <v>684</v>
      </c>
      <c r="NR197" s="5" t="str">
        <f ca="1">IF(NQ197&gt;=61,"VIGENTE",IF(NQ197&gt;=1,"POR VENCER",IF(NQ197&lt;=-1,"VENCIDA",IF(NO197=0,"NO APLICA"))))</f>
        <v>VIGENTE</v>
      </c>
      <c r="NS197" s="6"/>
      <c r="NT197" s="6"/>
      <c r="NU197" s="6"/>
      <c r="NV197" s="6"/>
      <c r="NW197" s="5" t="str">
        <f t="shared" si="750"/>
        <v>NO APLICA</v>
      </c>
      <c r="NX197" s="6"/>
      <c r="NY197" s="6"/>
      <c r="NZ197" s="6"/>
      <c r="OA197" s="6"/>
      <c r="OB197" s="5" t="str">
        <f t="shared" si="751"/>
        <v>NO APLICA</v>
      </c>
      <c r="OC197" s="6"/>
      <c r="OD197" s="6"/>
      <c r="OE197" s="6"/>
      <c r="OF197" s="6"/>
      <c r="OG197" s="5" t="str">
        <f t="shared" si="752"/>
        <v>NO APLICA</v>
      </c>
      <c r="OH197" s="6"/>
      <c r="OI197" s="6"/>
      <c r="OJ197" s="6"/>
      <c r="OK197" s="6"/>
      <c r="OL197" s="5" t="str">
        <f t="shared" si="753"/>
        <v>NO APLICA</v>
      </c>
      <c r="OM197" s="6"/>
      <c r="ON197" s="6"/>
      <c r="OO197" s="6"/>
      <c r="OP197" s="6"/>
      <c r="OQ197" s="5" t="str">
        <f t="shared" si="754"/>
        <v>NO APLICA</v>
      </c>
      <c r="OR197" s="4"/>
      <c r="OS197" s="4"/>
      <c r="OT197" s="4"/>
      <c r="OU197" s="8"/>
      <c r="OV197" s="5" t="str">
        <f t="shared" si="755"/>
        <v>NO APLICA</v>
      </c>
      <c r="OW197" s="4"/>
      <c r="OX197" s="4">
        <v>44770</v>
      </c>
      <c r="OY197" s="4">
        <f>DATE(YEAR(OX197)+5,MONTH(OX197),DAY(OX197))</f>
        <v>46596</v>
      </c>
      <c r="OZ197" s="8">
        <f ca="1">OY197-TODAY()</f>
        <v>451</v>
      </c>
      <c r="PA197" s="5" t="str">
        <f ca="1">IF(OZ197&gt;=61,"VIGENTE",IF(OZ197&gt;=1,"POR VENCER",IF(OZ197&lt;=-1,"VENCIDA",IF(OX197=0,"NO APLICA"))))</f>
        <v>VIGENTE</v>
      </c>
      <c r="PB197" s="6"/>
      <c r="PC197" s="6"/>
      <c r="PD197" s="6"/>
      <c r="PE197" s="6"/>
      <c r="PF197" s="5" t="str">
        <f t="shared" si="756"/>
        <v>NO APLICA</v>
      </c>
      <c r="PG197" s="6"/>
      <c r="PH197" s="6"/>
      <c r="PI197" s="6"/>
      <c r="PJ197" s="6"/>
      <c r="PK197" s="5" t="str">
        <f t="shared" si="757"/>
        <v>NO APLICA</v>
      </c>
      <c r="PL197" s="5"/>
      <c r="PM197" s="6"/>
      <c r="PN197" s="6"/>
      <c r="PO197" s="6"/>
      <c r="PP197" s="5" t="str">
        <f t="shared" ref="PP197:PP240" si="766">IF(PO197&gt;=61,"VIGENTE",IF(PO197&gt;=1,"POR VENCER",IF(PO197&lt;=-1,"VENCIDA",IF(PM197=0,"NO APLICA"))))</f>
        <v>NO APLICA</v>
      </c>
      <c r="PQ197" s="6"/>
      <c r="PR197" s="6"/>
      <c r="PS197" s="6"/>
      <c r="PT197" s="6"/>
      <c r="PU197" s="5" t="str">
        <f t="shared" si="758"/>
        <v>NO APLICA</v>
      </c>
      <c r="PV197" s="5"/>
      <c r="PW197" s="6"/>
      <c r="PX197" s="6"/>
      <c r="PY197" s="6"/>
      <c r="PZ197" s="5" t="str">
        <f t="shared" si="759"/>
        <v>NO APLICA</v>
      </c>
    </row>
    <row r="198" spans="1:442" ht="15.6" hidden="1" thickTop="1" thickBot="1" x14ac:dyDescent="0.35">
      <c r="A198" s="26">
        <v>195</v>
      </c>
      <c r="B198" s="31">
        <v>800</v>
      </c>
      <c r="C198" s="28" t="s">
        <v>614</v>
      </c>
      <c r="D198" s="29" t="s">
        <v>68</v>
      </c>
      <c r="E198" s="30" t="s">
        <v>615</v>
      </c>
      <c r="F198" s="6"/>
      <c r="G198" s="6"/>
      <c r="H198" s="6"/>
      <c r="I198" s="6"/>
      <c r="J198" s="5" t="str">
        <f t="shared" si="696"/>
        <v>NO APLICA</v>
      </c>
      <c r="K198" s="6"/>
      <c r="L198" s="6"/>
      <c r="M198" s="6"/>
      <c r="N198" s="6"/>
      <c r="O198" s="5" t="str">
        <f t="shared" si="699"/>
        <v>NO APLICA</v>
      </c>
      <c r="P198" s="6"/>
      <c r="Q198" s="6"/>
      <c r="R198" s="6"/>
      <c r="S198" s="6"/>
      <c r="T198" s="5" t="str">
        <f t="shared" si="697"/>
        <v>NO APLICA</v>
      </c>
      <c r="U198" s="5"/>
      <c r="V198" s="6"/>
      <c r="W198" s="4"/>
      <c r="X198" s="4"/>
      <c r="Y198" s="8"/>
      <c r="Z198" s="5" t="str">
        <f t="shared" si="605"/>
        <v>NO APLICA</v>
      </c>
      <c r="AA198" s="5"/>
      <c r="AB198" s="6"/>
      <c r="AC198" s="6"/>
      <c r="AD198" s="6"/>
      <c r="AE198" s="6"/>
      <c r="AF198" s="5" t="str">
        <f t="shared" si="700"/>
        <v>NO APLICA</v>
      </c>
      <c r="AG198" s="4"/>
      <c r="AH198" s="4"/>
      <c r="AI198" s="4"/>
      <c r="AJ198" s="6"/>
      <c r="AK198" s="5" t="str">
        <f t="shared" si="602"/>
        <v>NO APLICA</v>
      </c>
      <c r="AL198" s="4"/>
      <c r="AM198" s="4"/>
      <c r="AN198" s="4"/>
      <c r="AO198" s="6"/>
      <c r="AP198" s="5" t="str">
        <f t="shared" si="701"/>
        <v>NO APLICA</v>
      </c>
      <c r="AQ198" s="4"/>
      <c r="AR198" s="4"/>
      <c r="AS198" s="4"/>
      <c r="AT198" s="6"/>
      <c r="AU198" s="5" t="str">
        <f t="shared" si="702"/>
        <v>NO APLICA</v>
      </c>
      <c r="AV198" s="4"/>
      <c r="AW198" s="4"/>
      <c r="AX198" s="4"/>
      <c r="AY198" s="6"/>
      <c r="AZ198" s="5" t="str">
        <f t="shared" si="703"/>
        <v>NO APLICA</v>
      </c>
      <c r="BA198" s="4"/>
      <c r="BB198" s="4"/>
      <c r="BC198" s="4"/>
      <c r="BD198" s="6"/>
      <c r="BE198" s="5" t="str">
        <f t="shared" si="704"/>
        <v>NO APLICA</v>
      </c>
      <c r="BF198" s="4"/>
      <c r="BG198" s="4"/>
      <c r="BH198" s="4"/>
      <c r="BI198" s="6"/>
      <c r="BJ198" s="5" t="str">
        <f t="shared" si="705"/>
        <v>NO APLICA</v>
      </c>
      <c r="BK198" s="4"/>
      <c r="BL198" s="4"/>
      <c r="BM198" s="4"/>
      <c r="BN198" s="6"/>
      <c r="BO198" s="5" t="str">
        <f t="shared" si="706"/>
        <v>NO APLICA</v>
      </c>
      <c r="BP198" s="4"/>
      <c r="BQ198" s="4"/>
      <c r="BR198" s="4"/>
      <c r="BS198" s="6"/>
      <c r="BT198" s="5" t="str">
        <f t="shared" si="707"/>
        <v>NO APLICA</v>
      </c>
      <c r="BU198" s="4"/>
      <c r="BV198" s="4"/>
      <c r="BW198" s="4"/>
      <c r="BX198" s="6"/>
      <c r="BY198" s="5" t="str">
        <f t="shared" si="708"/>
        <v>NO APLICA</v>
      </c>
      <c r="BZ198" s="4"/>
      <c r="CA198" s="4"/>
      <c r="CB198" s="4"/>
      <c r="CC198" s="6"/>
      <c r="CD198" s="5" t="str">
        <f t="shared" si="709"/>
        <v>NO APLICA</v>
      </c>
      <c r="CE198" s="6"/>
      <c r="CF198" s="6"/>
      <c r="CG198" s="6"/>
      <c r="CH198" s="6"/>
      <c r="CI198" s="5" t="str">
        <f t="shared" si="573"/>
        <v>NO APLICA</v>
      </c>
      <c r="CJ198" s="4"/>
      <c r="CK198" s="4"/>
      <c r="CL198" s="4"/>
      <c r="CM198" s="6"/>
      <c r="CN198" s="5" t="str">
        <f t="shared" si="710"/>
        <v>NO APLICA</v>
      </c>
      <c r="CO198" s="4"/>
      <c r="CP198" s="4"/>
      <c r="CQ198" s="4"/>
      <c r="CR198" s="6"/>
      <c r="CS198" s="5" t="str">
        <f t="shared" si="711"/>
        <v>NO APLICA</v>
      </c>
      <c r="CT198" s="4"/>
      <c r="CU198" s="4"/>
      <c r="CV198" s="4"/>
      <c r="CW198" s="6"/>
      <c r="CX198" s="5" t="str">
        <f t="shared" si="712"/>
        <v>NO APLICA</v>
      </c>
      <c r="CY198" s="4"/>
      <c r="CZ198" s="4"/>
      <c r="DA198" s="4"/>
      <c r="DB198" s="6"/>
      <c r="DC198" s="5" t="str">
        <f t="shared" si="713"/>
        <v>NO APLICA</v>
      </c>
      <c r="DD198" s="4"/>
      <c r="DE198" s="4"/>
      <c r="DF198" s="4"/>
      <c r="DG198" s="6"/>
      <c r="DH198" s="5" t="str">
        <f t="shared" si="714"/>
        <v>NO APLICA</v>
      </c>
      <c r="DI198" s="4"/>
      <c r="DJ198" s="4"/>
      <c r="DK198" s="4"/>
      <c r="DL198" s="6"/>
      <c r="DM198" s="5" t="str">
        <f t="shared" si="715"/>
        <v>NO APLICA</v>
      </c>
      <c r="DN198" s="4"/>
      <c r="DO198" s="4"/>
      <c r="DP198" s="4"/>
      <c r="DQ198" s="6"/>
      <c r="DR198" s="5" t="str">
        <f t="shared" si="716"/>
        <v>NO APLICA</v>
      </c>
      <c r="DS198" s="4"/>
      <c r="DT198" s="4"/>
      <c r="DU198" s="4"/>
      <c r="DV198" s="6"/>
      <c r="DW198" s="5" t="str">
        <f t="shared" si="717"/>
        <v>NO APLICA</v>
      </c>
      <c r="DX198" s="4"/>
      <c r="DY198" s="4"/>
      <c r="DZ198" s="4"/>
      <c r="EA198" s="6"/>
      <c r="EB198" s="5" t="str">
        <f t="shared" si="718"/>
        <v>NO APLICA</v>
      </c>
      <c r="EC198" s="4"/>
      <c r="ED198" s="4"/>
      <c r="EE198" s="4"/>
      <c r="EF198" s="6"/>
      <c r="EG198" s="5" t="str">
        <f t="shared" si="719"/>
        <v>NO APLICA</v>
      </c>
      <c r="EH198" s="4"/>
      <c r="EI198" s="4"/>
      <c r="EJ198" s="4"/>
      <c r="EK198" s="8"/>
      <c r="EL198" s="5" t="str">
        <f t="shared" si="720"/>
        <v>NO APLICA</v>
      </c>
      <c r="EM198" s="4"/>
      <c r="EN198" s="4"/>
      <c r="EO198" s="4"/>
      <c r="EP198" s="8"/>
      <c r="EQ198" s="5" t="str">
        <f t="shared" si="721"/>
        <v>NO APLICA</v>
      </c>
      <c r="ER198" s="4"/>
      <c r="ES198" s="4"/>
      <c r="ET198" s="4"/>
      <c r="EU198" s="8"/>
      <c r="EV198" s="5" t="str">
        <f t="shared" si="722"/>
        <v>NO APLICA</v>
      </c>
      <c r="EW198" s="4"/>
      <c r="EX198" s="4"/>
      <c r="EY198" s="4"/>
      <c r="EZ198" s="6"/>
      <c r="FA198" s="5" t="str">
        <f t="shared" si="723"/>
        <v>NO APLICA</v>
      </c>
      <c r="FB198" s="4"/>
      <c r="FC198" s="4"/>
      <c r="FD198" s="4"/>
      <c r="FE198" s="6"/>
      <c r="FF198" s="5" t="str">
        <f t="shared" si="724"/>
        <v>NO APLICA</v>
      </c>
      <c r="FG198" s="4"/>
      <c r="FH198" s="4"/>
      <c r="FI198" s="4"/>
      <c r="FJ198" s="6"/>
      <c r="FK198" s="5" t="str">
        <f t="shared" si="725"/>
        <v>NO APLICA</v>
      </c>
      <c r="FL198" s="4"/>
      <c r="FM198" s="4"/>
      <c r="FN198" s="4"/>
      <c r="FO198" s="6"/>
      <c r="FP198" s="5" t="str">
        <f t="shared" si="726"/>
        <v>NO APLICA</v>
      </c>
      <c r="FQ198" s="4"/>
      <c r="FR198" s="4"/>
      <c r="FS198" s="4"/>
      <c r="FT198" s="6"/>
      <c r="FU198" s="5" t="str">
        <f t="shared" si="727"/>
        <v>NO APLICA</v>
      </c>
      <c r="FV198" s="4"/>
      <c r="FW198" s="4"/>
      <c r="FX198" s="4"/>
      <c r="FY198" s="6"/>
      <c r="FZ198" s="5" t="str">
        <f t="shared" si="728"/>
        <v>NO APLICA</v>
      </c>
      <c r="GA198" s="4"/>
      <c r="GB198" s="4"/>
      <c r="GC198" s="4"/>
      <c r="GD198" s="6"/>
      <c r="GE198" s="5" t="str">
        <f t="shared" si="729"/>
        <v>NO APLICA</v>
      </c>
      <c r="GF198" s="4"/>
      <c r="GG198" s="4"/>
      <c r="GH198" s="4"/>
      <c r="GI198" s="8"/>
      <c r="GJ198" s="5" t="str">
        <f t="shared" si="730"/>
        <v>NO APLICA</v>
      </c>
      <c r="GK198" s="4"/>
      <c r="GL198" s="6"/>
      <c r="GM198" s="6"/>
      <c r="GN198" s="6"/>
      <c r="GO198" s="5" t="str">
        <f t="shared" si="731"/>
        <v>NO APLICA</v>
      </c>
      <c r="GP198" s="4"/>
      <c r="GQ198" s="6"/>
      <c r="GR198" s="6"/>
      <c r="GS198" s="6"/>
      <c r="GT198" s="5" t="str">
        <f t="shared" si="610"/>
        <v>NO APLICA</v>
      </c>
      <c r="GU198" s="4"/>
      <c r="GV198" s="6"/>
      <c r="GW198" s="6"/>
      <c r="GX198" s="6"/>
      <c r="GY198" s="5" t="str">
        <f t="shared" si="611"/>
        <v>NO APLICA</v>
      </c>
      <c r="GZ198" s="6"/>
      <c r="HA198" s="6"/>
      <c r="HB198" s="6"/>
      <c r="HC198" s="6"/>
      <c r="HD198" s="5" t="str">
        <f t="shared" si="612"/>
        <v>NO APLICA</v>
      </c>
      <c r="HE198" s="6"/>
      <c r="HF198" s="6"/>
      <c r="HG198" s="4"/>
      <c r="HH198" s="8"/>
      <c r="HI198" s="5" t="str">
        <f t="shared" si="698"/>
        <v>NO APLICA</v>
      </c>
      <c r="HJ198" s="6"/>
      <c r="HK198" s="6"/>
      <c r="HL198" s="6"/>
      <c r="HM198" s="6"/>
      <c r="HN198" s="5" t="str">
        <f t="shared" si="694"/>
        <v>NO APLICA</v>
      </c>
      <c r="HO198" s="6"/>
      <c r="HP198" s="6"/>
      <c r="HQ198" s="6"/>
      <c r="HR198" s="6"/>
      <c r="HS198" s="5" t="str">
        <f t="shared" si="732"/>
        <v>NO APLICA</v>
      </c>
      <c r="HT198" s="6"/>
      <c r="HU198" s="6"/>
      <c r="HV198" s="6"/>
      <c r="HW198" s="6"/>
      <c r="HX198" s="5" t="str">
        <f t="shared" si="733"/>
        <v>NO APLICA</v>
      </c>
      <c r="HY198" s="6"/>
      <c r="HZ198" s="6"/>
      <c r="IA198" s="6"/>
      <c r="IB198" s="6"/>
      <c r="IC198" s="5" t="str">
        <f t="shared" si="734"/>
        <v>NO APLICA</v>
      </c>
      <c r="ID198" s="6"/>
      <c r="IE198" s="6"/>
      <c r="IF198" s="6"/>
      <c r="IG198" s="6"/>
      <c r="IH198" s="5" t="str">
        <f t="shared" si="735"/>
        <v>NO APLICA</v>
      </c>
      <c r="II198" s="6"/>
      <c r="IJ198" s="6"/>
      <c r="IK198" s="6"/>
      <c r="IL198" s="6"/>
      <c r="IM198" s="5" t="str">
        <f t="shared" si="736"/>
        <v>NO APLICA</v>
      </c>
      <c r="IN198" s="6"/>
      <c r="IO198" s="6"/>
      <c r="IP198" s="6"/>
      <c r="IQ198" s="6"/>
      <c r="IR198" s="5" t="str">
        <f t="shared" si="737"/>
        <v>NO APLICA</v>
      </c>
      <c r="IS198" s="6"/>
      <c r="IT198" s="6"/>
      <c r="IU198" s="6"/>
      <c r="IV198" s="6"/>
      <c r="IW198" s="5" t="str">
        <f t="shared" si="738"/>
        <v>NO APLICA</v>
      </c>
      <c r="IX198" s="6"/>
      <c r="IY198" s="6"/>
      <c r="IZ198" s="6"/>
      <c r="JA198" s="6"/>
      <c r="JB198" s="5" t="str">
        <f t="shared" si="739"/>
        <v>NO APLICA</v>
      </c>
      <c r="JC198" s="3" t="s">
        <v>780</v>
      </c>
      <c r="JD198" s="6"/>
      <c r="JE198" s="6"/>
      <c r="JF198" s="6"/>
      <c r="JG198" s="5"/>
      <c r="JH198" s="3" t="s">
        <v>780</v>
      </c>
      <c r="JI198" s="6"/>
      <c r="JJ198" s="6"/>
      <c r="JK198" s="6"/>
      <c r="JL198" s="5"/>
      <c r="JM198" s="6" t="s">
        <v>780</v>
      </c>
      <c r="JN198" s="6"/>
      <c r="JO198" s="6"/>
      <c r="JP198" s="6"/>
      <c r="JQ198" s="5"/>
      <c r="JR198" s="6" t="s">
        <v>780</v>
      </c>
      <c r="JS198" s="6"/>
      <c r="JT198" s="6"/>
      <c r="JU198" s="6"/>
      <c r="JV198" s="5"/>
      <c r="JW198" s="6" t="s">
        <v>780</v>
      </c>
      <c r="JX198" s="5"/>
      <c r="JY198" s="5"/>
      <c r="JZ198" s="5"/>
      <c r="KA198" s="5"/>
      <c r="KB198" s="5"/>
      <c r="KC198" s="6"/>
      <c r="KD198" s="6"/>
      <c r="KE198" s="6"/>
      <c r="KF198" s="5" t="str">
        <f t="shared" si="740"/>
        <v>NO APLICA</v>
      </c>
      <c r="KG198" s="5"/>
      <c r="KH198" s="6"/>
      <c r="KI198" s="6"/>
      <c r="KJ198" s="6"/>
      <c r="KK198" s="5" t="str">
        <f t="shared" si="760"/>
        <v>NO APLICA</v>
      </c>
      <c r="KL198" s="5"/>
      <c r="KM198" s="6"/>
      <c r="KN198" s="6"/>
      <c r="KO198" s="6"/>
      <c r="KP198" s="5" t="str">
        <f t="shared" si="741"/>
        <v>NO APLICA</v>
      </c>
      <c r="KQ198" s="5"/>
      <c r="KR198" s="4">
        <v>45346</v>
      </c>
      <c r="KS198" s="4">
        <f>DATE(YEAR(KR198)+5,MONTH(KR198),DAY(KR198))</f>
        <v>47173</v>
      </c>
      <c r="KT198" s="8">
        <f ca="1">KS198-TODAY()</f>
        <v>1028</v>
      </c>
      <c r="KU198" s="5" t="str">
        <f ca="1">IF(KT198&gt;=61,"VIGENTE",IF(KT198&gt;=1,"POR VENCER",IF(KT198&lt;=-1,"VENCIDA",IF(KR198=0,"NO APLICA"))))</f>
        <v>VIGENTE</v>
      </c>
      <c r="KV198" s="6"/>
      <c r="KW198" s="6"/>
      <c r="KX198" s="6"/>
      <c r="KY198" s="6"/>
      <c r="KZ198" s="5" t="str">
        <f t="shared" ref="KZ198:KZ240" si="767">IF(KY198&gt;=61,"VIGENTE",IF(KY198&gt;=1,"POR VENCER",IF(KY198&lt;=-1,"VENCIDA",IF(KW198=0,"NO APLICA"))))</f>
        <v>NO APLICA</v>
      </c>
      <c r="LA198" s="5"/>
      <c r="LB198" s="6"/>
      <c r="LC198" s="6"/>
      <c r="LD198" s="6"/>
      <c r="LE198" s="5" t="str">
        <f t="shared" si="762"/>
        <v>NO APLICA</v>
      </c>
      <c r="LF198" s="6"/>
      <c r="LG198" s="6"/>
      <c r="LH198" s="6"/>
      <c r="LI198" s="6"/>
      <c r="LJ198" s="5" t="str">
        <f t="shared" si="600"/>
        <v>NO APLICA</v>
      </c>
      <c r="LK198" s="5"/>
      <c r="LL198" s="5"/>
      <c r="LM198" s="4"/>
      <c r="LN198" s="8"/>
      <c r="LO198" s="5" t="str">
        <f t="shared" ref="LO198:LO240" si="768">IF(LN198&gt;=61,"VIGENTE",IF(LN198&gt;=1,"POR VENCER",IF(LN198&lt;=-1,"VENCIDA",IF(LL198=0,"NO APLICA"))))</f>
        <v>NO APLICA</v>
      </c>
      <c r="LP198" s="6"/>
      <c r="LQ198" s="6"/>
      <c r="LR198" s="6"/>
      <c r="LS198" s="6"/>
      <c r="LT198" s="5" t="str">
        <f t="shared" si="763"/>
        <v>NO APLICA</v>
      </c>
      <c r="LU198" s="6"/>
      <c r="LV198" s="6"/>
      <c r="LW198" s="6"/>
      <c r="LX198" s="6"/>
      <c r="LY198" s="5" t="str">
        <f t="shared" si="764"/>
        <v>NO APLICA</v>
      </c>
      <c r="LZ198" s="6"/>
      <c r="MA198" s="6"/>
      <c r="MB198" s="6"/>
      <c r="MC198" s="6"/>
      <c r="MD198" s="5" t="str">
        <f t="shared" si="765"/>
        <v>NO APLICA</v>
      </c>
      <c r="ME198" s="6"/>
      <c r="MF198" s="6"/>
      <c r="MG198" s="6"/>
      <c r="MH198" s="6"/>
      <c r="MI198" s="5" t="str">
        <f t="shared" si="742"/>
        <v>NO APLICA</v>
      </c>
      <c r="MJ198" s="6"/>
      <c r="MK198" s="6"/>
      <c r="ML198" s="6"/>
      <c r="MM198" s="6"/>
      <c r="MN198" s="5" t="str">
        <f t="shared" si="743"/>
        <v>NO APLICA</v>
      </c>
      <c r="MO198" s="5"/>
      <c r="MP198" s="6"/>
      <c r="MQ198" s="6"/>
      <c r="MR198" s="6"/>
      <c r="MS198" s="5" t="str">
        <f t="shared" si="744"/>
        <v>NO APLICA</v>
      </c>
      <c r="MT198" s="5"/>
      <c r="MU198" s="6"/>
      <c r="MV198" s="6"/>
      <c r="MW198" s="6"/>
      <c r="MX198" s="5" t="str">
        <f t="shared" si="745"/>
        <v>NO APLICA</v>
      </c>
      <c r="MY198" s="6"/>
      <c r="MZ198" s="6"/>
      <c r="NA198" s="6"/>
      <c r="NB198" s="6"/>
      <c r="NC198" s="5" t="str">
        <f t="shared" si="746"/>
        <v>NO APLICA</v>
      </c>
      <c r="ND198" s="6"/>
      <c r="NE198" s="6"/>
      <c r="NF198" s="6"/>
      <c r="NG198" s="6"/>
      <c r="NH198" s="5" t="str">
        <f t="shared" si="747"/>
        <v>NO APLICA</v>
      </c>
      <c r="NI198" s="6"/>
      <c r="NJ198" s="6"/>
      <c r="NK198" s="6"/>
      <c r="NL198" s="6"/>
      <c r="NM198" s="5" t="str">
        <f t="shared" si="748"/>
        <v>NO APLICA</v>
      </c>
      <c r="NN198" s="6"/>
      <c r="NO198" s="6"/>
      <c r="NP198" s="6"/>
      <c r="NQ198" s="6"/>
      <c r="NR198" s="5" t="str">
        <f t="shared" si="749"/>
        <v>NO APLICA</v>
      </c>
      <c r="NS198" s="6"/>
      <c r="NT198" s="6"/>
      <c r="NU198" s="6"/>
      <c r="NV198" s="6"/>
      <c r="NW198" s="5" t="str">
        <f t="shared" si="750"/>
        <v>NO APLICA</v>
      </c>
      <c r="NX198" s="6"/>
      <c r="NY198" s="6"/>
      <c r="NZ198" s="6"/>
      <c r="OA198" s="6"/>
      <c r="OB198" s="5" t="str">
        <f t="shared" si="751"/>
        <v>NO APLICA</v>
      </c>
      <c r="OC198" s="6"/>
      <c r="OD198" s="6"/>
      <c r="OE198" s="6"/>
      <c r="OF198" s="6"/>
      <c r="OG198" s="5" t="str">
        <f t="shared" si="752"/>
        <v>NO APLICA</v>
      </c>
      <c r="OH198" s="6"/>
      <c r="OI198" s="6"/>
      <c r="OJ198" s="6"/>
      <c r="OK198" s="6"/>
      <c r="OL198" s="5" t="str">
        <f t="shared" si="753"/>
        <v>NO APLICA</v>
      </c>
      <c r="OM198" s="6"/>
      <c r="ON198" s="6"/>
      <c r="OO198" s="6"/>
      <c r="OP198" s="6"/>
      <c r="OQ198" s="5" t="str">
        <f t="shared" si="754"/>
        <v>NO APLICA</v>
      </c>
      <c r="OR198" s="6"/>
      <c r="OS198" s="6"/>
      <c r="OT198" s="6"/>
      <c r="OU198" s="6"/>
      <c r="OV198" s="5" t="str">
        <f t="shared" si="755"/>
        <v>NO APLICA</v>
      </c>
      <c r="OW198" s="6"/>
      <c r="OX198" s="6"/>
      <c r="OY198" s="6"/>
      <c r="OZ198" s="6"/>
      <c r="PA198" s="5" t="str">
        <f t="shared" ref="PA198:PA240" si="769">IF(OZ198&gt;=61,"VIGENTE",IF(OZ198&gt;=1,"POR VENCER",IF(OZ198&lt;=-1,"VENCIDA",IF(OX198=0,"NO APLICA"))))</f>
        <v>NO APLICA</v>
      </c>
      <c r="PB198" s="6"/>
      <c r="PC198" s="6"/>
      <c r="PD198" s="6"/>
      <c r="PE198" s="6"/>
      <c r="PF198" s="5" t="str">
        <f t="shared" si="756"/>
        <v>NO APLICA</v>
      </c>
      <c r="PG198" s="6"/>
      <c r="PH198" s="6"/>
      <c r="PI198" s="6"/>
      <c r="PJ198" s="6"/>
      <c r="PK198" s="5" t="str">
        <f t="shared" si="757"/>
        <v>NO APLICA</v>
      </c>
      <c r="PL198" s="5"/>
      <c r="PM198" s="6"/>
      <c r="PN198" s="6"/>
      <c r="PO198" s="6"/>
      <c r="PP198" s="5" t="str">
        <f t="shared" si="766"/>
        <v>NO APLICA</v>
      </c>
      <c r="PQ198" s="6"/>
      <c r="PR198" s="6"/>
      <c r="PS198" s="6"/>
      <c r="PT198" s="6"/>
      <c r="PU198" s="5" t="str">
        <f t="shared" si="758"/>
        <v>NO APLICA</v>
      </c>
      <c r="PV198" s="5"/>
      <c r="PW198" s="6"/>
      <c r="PX198" s="6"/>
      <c r="PY198" s="6"/>
      <c r="PZ198" s="5" t="str">
        <f t="shared" si="759"/>
        <v>NO APLICA</v>
      </c>
    </row>
    <row r="199" spans="1:442" ht="15.6" hidden="1" thickTop="1" thickBot="1" x14ac:dyDescent="0.35">
      <c r="A199" s="26">
        <v>196</v>
      </c>
      <c r="B199" s="31">
        <v>1359</v>
      </c>
      <c r="C199" s="28" t="s">
        <v>616</v>
      </c>
      <c r="D199" s="29" t="s">
        <v>113</v>
      </c>
      <c r="E199" s="30" t="s">
        <v>617</v>
      </c>
      <c r="F199" s="6"/>
      <c r="G199" s="6"/>
      <c r="H199" s="6"/>
      <c r="I199" s="6"/>
      <c r="J199" s="5" t="str">
        <f t="shared" si="696"/>
        <v>NO APLICA</v>
      </c>
      <c r="K199" s="6"/>
      <c r="L199" s="6"/>
      <c r="M199" s="6"/>
      <c r="N199" s="6"/>
      <c r="O199" s="5" t="str">
        <f t="shared" si="699"/>
        <v>NO APLICA</v>
      </c>
      <c r="P199" s="6"/>
      <c r="Q199" s="6"/>
      <c r="R199" s="6"/>
      <c r="S199" s="6"/>
      <c r="T199" s="5" t="str">
        <f t="shared" si="697"/>
        <v>NO APLICA</v>
      </c>
      <c r="U199" s="5"/>
      <c r="V199" s="6"/>
      <c r="W199" s="4"/>
      <c r="X199" s="4"/>
      <c r="Y199" s="8"/>
      <c r="Z199" s="5" t="str">
        <f t="shared" si="605"/>
        <v>NO APLICA</v>
      </c>
      <c r="AA199" s="5"/>
      <c r="AB199" s="6"/>
      <c r="AC199" s="6"/>
      <c r="AD199" s="6"/>
      <c r="AE199" s="6"/>
      <c r="AF199" s="5" t="str">
        <f t="shared" si="700"/>
        <v>NO APLICA</v>
      </c>
      <c r="AG199" s="4"/>
      <c r="AH199" s="4"/>
      <c r="AI199" s="4"/>
      <c r="AJ199" s="6"/>
      <c r="AK199" s="5" t="str">
        <f t="shared" si="602"/>
        <v>NO APLICA</v>
      </c>
      <c r="AL199" s="4"/>
      <c r="AM199" s="4"/>
      <c r="AN199" s="4"/>
      <c r="AO199" s="6"/>
      <c r="AP199" s="5" t="str">
        <f t="shared" si="701"/>
        <v>NO APLICA</v>
      </c>
      <c r="AQ199" s="4"/>
      <c r="AR199" s="4"/>
      <c r="AS199" s="4"/>
      <c r="AT199" s="6"/>
      <c r="AU199" s="5" t="str">
        <f t="shared" si="702"/>
        <v>NO APLICA</v>
      </c>
      <c r="AV199" s="4"/>
      <c r="AW199" s="4"/>
      <c r="AX199" s="4"/>
      <c r="AY199" s="6"/>
      <c r="AZ199" s="5" t="str">
        <f t="shared" si="703"/>
        <v>NO APLICA</v>
      </c>
      <c r="BA199" s="4"/>
      <c r="BB199" s="4"/>
      <c r="BC199" s="4"/>
      <c r="BD199" s="6"/>
      <c r="BE199" s="5" t="str">
        <f t="shared" si="704"/>
        <v>NO APLICA</v>
      </c>
      <c r="BF199" s="4"/>
      <c r="BG199" s="4"/>
      <c r="BH199" s="4"/>
      <c r="BI199" s="6"/>
      <c r="BJ199" s="5" t="str">
        <f t="shared" si="705"/>
        <v>NO APLICA</v>
      </c>
      <c r="BK199" s="4"/>
      <c r="BL199" s="4"/>
      <c r="BM199" s="4"/>
      <c r="BN199" s="6"/>
      <c r="BO199" s="5" t="str">
        <f t="shared" si="706"/>
        <v>NO APLICA</v>
      </c>
      <c r="BP199" s="4"/>
      <c r="BQ199" s="4"/>
      <c r="BR199" s="4"/>
      <c r="BS199" s="6"/>
      <c r="BT199" s="5" t="str">
        <f t="shared" si="707"/>
        <v>NO APLICA</v>
      </c>
      <c r="BU199" s="4"/>
      <c r="BV199" s="4"/>
      <c r="BW199" s="4"/>
      <c r="BX199" s="6"/>
      <c r="BY199" s="5" t="str">
        <f t="shared" si="708"/>
        <v>NO APLICA</v>
      </c>
      <c r="BZ199" s="4"/>
      <c r="CA199" s="4"/>
      <c r="CB199" s="4"/>
      <c r="CC199" s="6"/>
      <c r="CD199" s="5" t="str">
        <f t="shared" si="709"/>
        <v>NO APLICA</v>
      </c>
      <c r="CE199" s="6"/>
      <c r="CF199" s="6"/>
      <c r="CG199" s="6"/>
      <c r="CH199" s="6"/>
      <c r="CI199" s="5" t="str">
        <f t="shared" si="573"/>
        <v>NO APLICA</v>
      </c>
      <c r="CJ199" s="4"/>
      <c r="CK199" s="4"/>
      <c r="CL199" s="4"/>
      <c r="CM199" s="6"/>
      <c r="CN199" s="5" t="str">
        <f t="shared" si="710"/>
        <v>NO APLICA</v>
      </c>
      <c r="CO199" s="4"/>
      <c r="CP199" s="4"/>
      <c r="CQ199" s="4"/>
      <c r="CR199" s="6"/>
      <c r="CS199" s="5" t="str">
        <f t="shared" si="711"/>
        <v>NO APLICA</v>
      </c>
      <c r="CT199" s="4"/>
      <c r="CU199" s="4"/>
      <c r="CV199" s="4"/>
      <c r="CW199" s="6"/>
      <c r="CX199" s="5" t="str">
        <f t="shared" si="712"/>
        <v>NO APLICA</v>
      </c>
      <c r="CY199" s="4"/>
      <c r="CZ199" s="4"/>
      <c r="DA199" s="4"/>
      <c r="DB199" s="6"/>
      <c r="DC199" s="5" t="str">
        <f t="shared" si="713"/>
        <v>NO APLICA</v>
      </c>
      <c r="DD199" s="4"/>
      <c r="DE199" s="4"/>
      <c r="DF199" s="4"/>
      <c r="DG199" s="6"/>
      <c r="DH199" s="5" t="str">
        <f t="shared" si="714"/>
        <v>NO APLICA</v>
      </c>
      <c r="DI199" s="4"/>
      <c r="DJ199" s="4"/>
      <c r="DK199" s="4"/>
      <c r="DL199" s="6"/>
      <c r="DM199" s="5" t="str">
        <f t="shared" si="715"/>
        <v>NO APLICA</v>
      </c>
      <c r="DN199" s="4"/>
      <c r="DO199" s="4"/>
      <c r="DP199" s="4"/>
      <c r="DQ199" s="6"/>
      <c r="DR199" s="5" t="str">
        <f t="shared" si="716"/>
        <v>NO APLICA</v>
      </c>
      <c r="DS199" s="4"/>
      <c r="DT199" s="4"/>
      <c r="DU199" s="4"/>
      <c r="DV199" s="6"/>
      <c r="DW199" s="5" t="str">
        <f t="shared" si="717"/>
        <v>NO APLICA</v>
      </c>
      <c r="DX199" s="4"/>
      <c r="DY199" s="4"/>
      <c r="DZ199" s="4"/>
      <c r="EA199" s="6"/>
      <c r="EB199" s="5" t="str">
        <f t="shared" si="718"/>
        <v>NO APLICA</v>
      </c>
      <c r="EC199" s="4"/>
      <c r="ED199" s="4"/>
      <c r="EE199" s="4"/>
      <c r="EF199" s="6"/>
      <c r="EG199" s="5" t="str">
        <f t="shared" si="719"/>
        <v>NO APLICA</v>
      </c>
      <c r="EH199" s="4"/>
      <c r="EI199" s="4"/>
      <c r="EJ199" s="4"/>
      <c r="EK199" s="8"/>
      <c r="EL199" s="5" t="str">
        <f t="shared" si="720"/>
        <v>NO APLICA</v>
      </c>
      <c r="EM199" s="4"/>
      <c r="EN199" s="4"/>
      <c r="EO199" s="4"/>
      <c r="EP199" s="8"/>
      <c r="EQ199" s="5" t="str">
        <f t="shared" si="721"/>
        <v>NO APLICA</v>
      </c>
      <c r="ER199" s="4"/>
      <c r="ES199" s="4"/>
      <c r="ET199" s="4"/>
      <c r="EU199" s="8"/>
      <c r="EV199" s="5" t="str">
        <f t="shared" si="722"/>
        <v>NO APLICA</v>
      </c>
      <c r="EW199" s="4"/>
      <c r="EX199" s="4"/>
      <c r="EY199" s="4"/>
      <c r="EZ199" s="6"/>
      <c r="FA199" s="5" t="str">
        <f t="shared" si="723"/>
        <v>NO APLICA</v>
      </c>
      <c r="FB199" s="4"/>
      <c r="FC199" s="4"/>
      <c r="FD199" s="4"/>
      <c r="FE199" s="6"/>
      <c r="FF199" s="5" t="str">
        <f t="shared" si="724"/>
        <v>NO APLICA</v>
      </c>
      <c r="FG199" s="4"/>
      <c r="FH199" s="4"/>
      <c r="FI199" s="4"/>
      <c r="FJ199" s="6"/>
      <c r="FK199" s="5" t="str">
        <f t="shared" si="725"/>
        <v>NO APLICA</v>
      </c>
      <c r="FL199" s="4"/>
      <c r="FM199" s="4"/>
      <c r="FN199" s="4"/>
      <c r="FO199" s="6"/>
      <c r="FP199" s="5" t="str">
        <f t="shared" si="726"/>
        <v>NO APLICA</v>
      </c>
      <c r="FQ199" s="4"/>
      <c r="FR199" s="4"/>
      <c r="FS199" s="4"/>
      <c r="FT199" s="6"/>
      <c r="FU199" s="5" t="str">
        <f t="shared" si="727"/>
        <v>NO APLICA</v>
      </c>
      <c r="FV199" s="4"/>
      <c r="FW199" s="4"/>
      <c r="FX199" s="4"/>
      <c r="FY199" s="6"/>
      <c r="FZ199" s="5" t="str">
        <f t="shared" si="728"/>
        <v>NO APLICA</v>
      </c>
      <c r="GA199" s="4"/>
      <c r="GB199" s="4"/>
      <c r="GC199" s="4"/>
      <c r="GD199" s="6"/>
      <c r="GE199" s="5" t="str">
        <f t="shared" si="729"/>
        <v>NO APLICA</v>
      </c>
      <c r="GF199" s="4"/>
      <c r="GG199" s="4"/>
      <c r="GH199" s="4"/>
      <c r="GI199" s="8"/>
      <c r="GJ199" s="5" t="str">
        <f t="shared" si="730"/>
        <v>NO APLICA</v>
      </c>
      <c r="GK199" s="4"/>
      <c r="GL199" s="6"/>
      <c r="GM199" s="6"/>
      <c r="GN199" s="6"/>
      <c r="GO199" s="5" t="str">
        <f t="shared" si="731"/>
        <v>NO APLICA</v>
      </c>
      <c r="GP199" s="4"/>
      <c r="GQ199" s="6"/>
      <c r="GR199" s="6"/>
      <c r="GS199" s="6"/>
      <c r="GT199" s="5" t="str">
        <f t="shared" si="610"/>
        <v>NO APLICA</v>
      </c>
      <c r="GU199" s="4"/>
      <c r="GV199" s="6"/>
      <c r="GW199" s="6"/>
      <c r="GX199" s="6"/>
      <c r="GY199" s="5" t="str">
        <f t="shared" si="611"/>
        <v>NO APLICA</v>
      </c>
      <c r="GZ199" s="6"/>
      <c r="HA199" s="6"/>
      <c r="HB199" s="6"/>
      <c r="HC199" s="6"/>
      <c r="HD199" s="5" t="str">
        <f t="shared" si="612"/>
        <v>NO APLICA</v>
      </c>
      <c r="HE199" s="6"/>
      <c r="HF199" s="6"/>
      <c r="HG199" s="4"/>
      <c r="HH199" s="8"/>
      <c r="HI199" s="5" t="str">
        <f t="shared" si="698"/>
        <v>NO APLICA</v>
      </c>
      <c r="HJ199" s="6"/>
      <c r="HK199" s="6"/>
      <c r="HL199" s="6"/>
      <c r="HM199" s="6"/>
      <c r="HN199" s="5" t="str">
        <f t="shared" si="694"/>
        <v>NO APLICA</v>
      </c>
      <c r="HO199" s="6"/>
      <c r="HP199" s="6"/>
      <c r="HQ199" s="6"/>
      <c r="HR199" s="6"/>
      <c r="HS199" s="5" t="str">
        <f t="shared" si="732"/>
        <v>NO APLICA</v>
      </c>
      <c r="HT199" s="6"/>
      <c r="HU199" s="6"/>
      <c r="HV199" s="6"/>
      <c r="HW199" s="6"/>
      <c r="HX199" s="5" t="str">
        <f t="shared" si="733"/>
        <v>NO APLICA</v>
      </c>
      <c r="HY199" s="6"/>
      <c r="HZ199" s="6"/>
      <c r="IA199" s="6"/>
      <c r="IB199" s="6"/>
      <c r="IC199" s="5" t="str">
        <f t="shared" si="734"/>
        <v>NO APLICA</v>
      </c>
      <c r="ID199" s="6"/>
      <c r="IE199" s="6"/>
      <c r="IF199" s="6"/>
      <c r="IG199" s="6"/>
      <c r="IH199" s="5" t="str">
        <f t="shared" si="735"/>
        <v>NO APLICA</v>
      </c>
      <c r="II199" s="6"/>
      <c r="IJ199" s="6"/>
      <c r="IK199" s="6"/>
      <c r="IL199" s="6"/>
      <c r="IM199" s="5" t="str">
        <f t="shared" si="736"/>
        <v>NO APLICA</v>
      </c>
      <c r="IN199" s="6"/>
      <c r="IO199" s="6"/>
      <c r="IP199" s="6"/>
      <c r="IQ199" s="6"/>
      <c r="IR199" s="5" t="str">
        <f t="shared" si="737"/>
        <v>NO APLICA</v>
      </c>
      <c r="IS199" s="6"/>
      <c r="IT199" s="6"/>
      <c r="IU199" s="6"/>
      <c r="IV199" s="6"/>
      <c r="IW199" s="5" t="str">
        <f t="shared" si="738"/>
        <v>NO APLICA</v>
      </c>
      <c r="IX199" s="6"/>
      <c r="IY199" s="6"/>
      <c r="IZ199" s="6"/>
      <c r="JA199" s="6"/>
      <c r="JB199" s="5" t="str">
        <f t="shared" si="739"/>
        <v>NO APLICA</v>
      </c>
      <c r="JC199" s="3" t="s">
        <v>780</v>
      </c>
      <c r="JD199" s="6"/>
      <c r="JE199" s="6"/>
      <c r="JF199" s="6"/>
      <c r="JG199" s="5"/>
      <c r="JH199" s="3" t="s">
        <v>780</v>
      </c>
      <c r="JI199" s="6"/>
      <c r="JJ199" s="6"/>
      <c r="JK199" s="6"/>
      <c r="JL199" s="5"/>
      <c r="JM199" s="6" t="s">
        <v>780</v>
      </c>
      <c r="JN199" s="6"/>
      <c r="JO199" s="6"/>
      <c r="JP199" s="6"/>
      <c r="JQ199" s="5"/>
      <c r="JR199" s="6" t="s">
        <v>780</v>
      </c>
      <c r="JS199" s="6"/>
      <c r="JT199" s="6"/>
      <c r="JU199" s="6"/>
      <c r="JV199" s="5"/>
      <c r="JW199" s="6" t="s">
        <v>780</v>
      </c>
      <c r="JX199" s="6"/>
      <c r="JY199" s="6"/>
      <c r="JZ199" s="6"/>
      <c r="KA199" s="38"/>
      <c r="KB199" s="5"/>
      <c r="KC199" s="6"/>
      <c r="KD199" s="6"/>
      <c r="KE199" s="6"/>
      <c r="KF199" s="5" t="str">
        <f t="shared" si="740"/>
        <v>NO APLICA</v>
      </c>
      <c r="KG199" s="5"/>
      <c r="KH199" s="6"/>
      <c r="KI199" s="6"/>
      <c r="KJ199" s="6"/>
      <c r="KK199" s="5" t="str">
        <f t="shared" si="760"/>
        <v>NO APLICA</v>
      </c>
      <c r="KL199" s="5"/>
      <c r="KM199" s="6"/>
      <c r="KN199" s="6"/>
      <c r="KO199" s="6"/>
      <c r="KP199" s="5" t="str">
        <f t="shared" si="741"/>
        <v>NO APLICA</v>
      </c>
      <c r="KQ199" s="5"/>
      <c r="KR199" s="6"/>
      <c r="KS199" s="6"/>
      <c r="KT199" s="6"/>
      <c r="KU199" s="5" t="str">
        <f t="shared" si="761"/>
        <v>NO APLICA</v>
      </c>
      <c r="KV199" s="6"/>
      <c r="KW199" s="6"/>
      <c r="KX199" s="6"/>
      <c r="KY199" s="6"/>
      <c r="KZ199" s="5" t="str">
        <f t="shared" si="767"/>
        <v>NO APLICA</v>
      </c>
      <c r="LA199" s="5"/>
      <c r="LB199" s="6"/>
      <c r="LC199" s="6"/>
      <c r="LD199" s="6"/>
      <c r="LE199" s="5" t="str">
        <f t="shared" si="762"/>
        <v>NO APLICA</v>
      </c>
      <c r="LF199" s="6"/>
      <c r="LG199" s="6"/>
      <c r="LH199" s="6"/>
      <c r="LI199" s="6"/>
      <c r="LJ199" s="5" t="str">
        <f t="shared" si="600"/>
        <v>NO APLICA</v>
      </c>
      <c r="LK199" s="5"/>
      <c r="LL199" s="5"/>
      <c r="LM199" s="4"/>
      <c r="LN199" s="8"/>
      <c r="LO199" s="5" t="str">
        <f t="shared" si="768"/>
        <v>NO APLICA</v>
      </c>
      <c r="LP199" s="6"/>
      <c r="LQ199" s="6"/>
      <c r="LR199" s="6"/>
      <c r="LS199" s="6"/>
      <c r="LT199" s="5" t="str">
        <f t="shared" si="763"/>
        <v>NO APLICA</v>
      </c>
      <c r="LU199" s="6"/>
      <c r="LV199" s="6"/>
      <c r="LW199" s="6"/>
      <c r="LX199" s="6"/>
      <c r="LY199" s="5" t="str">
        <f t="shared" si="764"/>
        <v>NO APLICA</v>
      </c>
      <c r="LZ199" s="6"/>
      <c r="MA199" s="6"/>
      <c r="MB199" s="6"/>
      <c r="MC199" s="6"/>
      <c r="MD199" s="5" t="str">
        <f t="shared" si="765"/>
        <v>NO APLICA</v>
      </c>
      <c r="ME199" s="6"/>
      <c r="MF199" s="6"/>
      <c r="MG199" s="6"/>
      <c r="MH199" s="6"/>
      <c r="MI199" s="5" t="str">
        <f t="shared" si="742"/>
        <v>NO APLICA</v>
      </c>
      <c r="MJ199" s="6"/>
      <c r="MK199" s="6"/>
      <c r="ML199" s="6"/>
      <c r="MM199" s="6"/>
      <c r="MN199" s="5" t="str">
        <f t="shared" si="743"/>
        <v>NO APLICA</v>
      </c>
      <c r="MO199" s="5"/>
      <c r="MP199" s="6"/>
      <c r="MQ199" s="6"/>
      <c r="MR199" s="6"/>
      <c r="MS199" s="5" t="str">
        <f t="shared" si="744"/>
        <v>NO APLICA</v>
      </c>
      <c r="MT199" s="5"/>
      <c r="MU199" s="6"/>
      <c r="MV199" s="6"/>
      <c r="MW199" s="6"/>
      <c r="MX199" s="5" t="str">
        <f t="shared" si="745"/>
        <v>NO APLICA</v>
      </c>
      <c r="MY199" s="6"/>
      <c r="MZ199" s="6"/>
      <c r="NA199" s="6"/>
      <c r="NB199" s="6"/>
      <c r="NC199" s="5" t="str">
        <f t="shared" si="746"/>
        <v>NO APLICA</v>
      </c>
      <c r="ND199" s="6"/>
      <c r="NE199" s="6"/>
      <c r="NF199" s="6"/>
      <c r="NG199" s="6"/>
      <c r="NH199" s="5" t="str">
        <f t="shared" si="747"/>
        <v>NO APLICA</v>
      </c>
      <c r="NI199" s="6"/>
      <c r="NJ199" s="6"/>
      <c r="NK199" s="6"/>
      <c r="NL199" s="6"/>
      <c r="NM199" s="5" t="str">
        <f t="shared" si="748"/>
        <v>NO APLICA</v>
      </c>
      <c r="NN199" s="6"/>
      <c r="NO199" s="6"/>
      <c r="NP199" s="6"/>
      <c r="NQ199" s="6"/>
      <c r="NR199" s="5" t="str">
        <f t="shared" si="749"/>
        <v>NO APLICA</v>
      </c>
      <c r="NS199" s="6"/>
      <c r="NT199" s="6"/>
      <c r="NU199" s="6"/>
      <c r="NV199" s="6"/>
      <c r="NW199" s="5" t="str">
        <f t="shared" si="750"/>
        <v>NO APLICA</v>
      </c>
      <c r="NX199" s="6"/>
      <c r="NY199" s="6"/>
      <c r="NZ199" s="6"/>
      <c r="OA199" s="6"/>
      <c r="OB199" s="5" t="str">
        <f t="shared" si="751"/>
        <v>NO APLICA</v>
      </c>
      <c r="OC199" s="6"/>
      <c r="OD199" s="6"/>
      <c r="OE199" s="6"/>
      <c r="OF199" s="6"/>
      <c r="OG199" s="5" t="str">
        <f t="shared" si="752"/>
        <v>NO APLICA</v>
      </c>
      <c r="OH199" s="6"/>
      <c r="OI199" s="6"/>
      <c r="OJ199" s="6"/>
      <c r="OK199" s="6"/>
      <c r="OL199" s="5" t="str">
        <f t="shared" si="753"/>
        <v>NO APLICA</v>
      </c>
      <c r="OM199" s="6"/>
      <c r="ON199" s="6"/>
      <c r="OO199" s="6"/>
      <c r="OP199" s="6"/>
      <c r="OQ199" s="5" t="str">
        <f t="shared" si="754"/>
        <v>NO APLICA</v>
      </c>
      <c r="OR199" s="6"/>
      <c r="OS199" s="6"/>
      <c r="OT199" s="6"/>
      <c r="OU199" s="6"/>
      <c r="OV199" s="5" t="str">
        <f t="shared" si="755"/>
        <v>NO APLICA</v>
      </c>
      <c r="OW199" s="6"/>
      <c r="OX199" s="6"/>
      <c r="OY199" s="6"/>
      <c r="OZ199" s="6"/>
      <c r="PA199" s="5" t="str">
        <f t="shared" si="769"/>
        <v>NO APLICA</v>
      </c>
      <c r="PB199" s="6"/>
      <c r="PC199" s="6"/>
      <c r="PD199" s="6"/>
      <c r="PE199" s="6"/>
      <c r="PF199" s="5" t="str">
        <f t="shared" si="756"/>
        <v>NO APLICA</v>
      </c>
      <c r="PG199" s="6"/>
      <c r="PH199" s="6"/>
      <c r="PI199" s="6"/>
      <c r="PJ199" s="6"/>
      <c r="PK199" s="5" t="str">
        <f t="shared" si="757"/>
        <v>NO APLICA</v>
      </c>
      <c r="PL199" s="5"/>
      <c r="PM199" s="6"/>
      <c r="PN199" s="6"/>
      <c r="PO199" s="6"/>
      <c r="PP199" s="5" t="str">
        <f t="shared" si="766"/>
        <v>NO APLICA</v>
      </c>
      <c r="PQ199" s="6"/>
      <c r="PR199" s="6"/>
      <c r="PS199" s="6"/>
      <c r="PT199" s="6"/>
      <c r="PU199" s="5" t="str">
        <f t="shared" si="758"/>
        <v>NO APLICA</v>
      </c>
      <c r="PV199" s="5"/>
      <c r="PW199" s="6"/>
      <c r="PX199" s="6"/>
      <c r="PY199" s="6"/>
      <c r="PZ199" s="5" t="str">
        <f t="shared" si="759"/>
        <v>NO APLICA</v>
      </c>
    </row>
    <row r="200" spans="1:442" ht="15.6" hidden="1" thickTop="1" thickBot="1" x14ac:dyDescent="0.35">
      <c r="A200" s="26">
        <v>197</v>
      </c>
      <c r="B200" s="31">
        <v>1070</v>
      </c>
      <c r="C200" s="28" t="s">
        <v>618</v>
      </c>
      <c r="D200" s="29" t="s">
        <v>64</v>
      </c>
      <c r="E200" s="30" t="s">
        <v>619</v>
      </c>
      <c r="F200" s="6"/>
      <c r="G200" s="6"/>
      <c r="H200" s="6"/>
      <c r="I200" s="6"/>
      <c r="J200" s="5" t="str">
        <f t="shared" si="696"/>
        <v>NO APLICA</v>
      </c>
      <c r="K200" s="6"/>
      <c r="L200" s="6"/>
      <c r="M200" s="6"/>
      <c r="N200" s="6"/>
      <c r="O200" s="5" t="str">
        <f t="shared" si="699"/>
        <v>NO APLICA</v>
      </c>
      <c r="P200" s="4"/>
      <c r="Q200" s="4">
        <v>45822</v>
      </c>
      <c r="R200" s="4">
        <f>DATE(YEAR(Q200)+2,MONTH(Q200),DAY(Q200)-1)</f>
        <v>46551</v>
      </c>
      <c r="S200" s="8">
        <f ca="1">R200-TODAY()</f>
        <v>406</v>
      </c>
      <c r="T200" s="5" t="str">
        <f ca="1">IF(S200&gt;=61,"VIGENTE",IF(S200&gt;=1,"POR VENCER",IF(S200&lt;=-1,"VENCIDA",IF(S200=0,"NO APLICA"))))</f>
        <v>VIGENTE</v>
      </c>
      <c r="U200" s="5"/>
      <c r="V200" s="6"/>
      <c r="W200" s="4"/>
      <c r="X200" s="4"/>
      <c r="Y200" s="8"/>
      <c r="Z200" s="5" t="str">
        <f t="shared" si="605"/>
        <v>NO APLICA</v>
      </c>
      <c r="AA200" s="5"/>
      <c r="AB200" s="6"/>
      <c r="AC200" s="6"/>
      <c r="AD200" s="6"/>
      <c r="AE200" s="6"/>
      <c r="AF200" s="5" t="str">
        <f t="shared" si="700"/>
        <v>NO APLICA</v>
      </c>
      <c r="AG200" s="4"/>
      <c r="AH200" s="4"/>
      <c r="AI200" s="4"/>
      <c r="AJ200" s="6"/>
      <c r="AK200" s="5" t="str">
        <f t="shared" si="602"/>
        <v>NO APLICA</v>
      </c>
      <c r="AL200" s="4"/>
      <c r="AM200" s="4"/>
      <c r="AN200" s="4"/>
      <c r="AO200" s="6"/>
      <c r="AP200" s="5" t="str">
        <f t="shared" si="701"/>
        <v>NO APLICA</v>
      </c>
      <c r="AQ200" s="4"/>
      <c r="AR200" s="4"/>
      <c r="AS200" s="4"/>
      <c r="AT200" s="6"/>
      <c r="AU200" s="5" t="str">
        <f t="shared" si="702"/>
        <v>NO APLICA</v>
      </c>
      <c r="AV200" s="4"/>
      <c r="AW200" s="4"/>
      <c r="AX200" s="4"/>
      <c r="AY200" s="6"/>
      <c r="AZ200" s="5" t="str">
        <f t="shared" si="703"/>
        <v>NO APLICA</v>
      </c>
      <c r="BA200" s="4"/>
      <c r="BB200" s="4"/>
      <c r="BC200" s="4"/>
      <c r="BD200" s="6"/>
      <c r="BE200" s="5" t="str">
        <f t="shared" si="704"/>
        <v>NO APLICA</v>
      </c>
      <c r="BF200" s="4"/>
      <c r="BG200" s="4"/>
      <c r="BH200" s="4"/>
      <c r="BI200" s="6"/>
      <c r="BJ200" s="5" t="str">
        <f t="shared" si="705"/>
        <v>NO APLICA</v>
      </c>
      <c r="BK200" s="4"/>
      <c r="BL200" s="4"/>
      <c r="BM200" s="4"/>
      <c r="BN200" s="6"/>
      <c r="BO200" s="5" t="str">
        <f t="shared" si="706"/>
        <v>NO APLICA</v>
      </c>
      <c r="BP200" s="4"/>
      <c r="BQ200" s="4"/>
      <c r="BR200" s="4"/>
      <c r="BS200" s="6"/>
      <c r="BT200" s="5" t="str">
        <f t="shared" si="707"/>
        <v>NO APLICA</v>
      </c>
      <c r="BU200" s="4"/>
      <c r="BV200" s="4"/>
      <c r="BW200" s="4"/>
      <c r="BX200" s="6"/>
      <c r="BY200" s="5" t="str">
        <f t="shared" si="708"/>
        <v>NO APLICA</v>
      </c>
      <c r="BZ200" s="4"/>
      <c r="CA200" s="4"/>
      <c r="CB200" s="4"/>
      <c r="CC200" s="6"/>
      <c r="CD200" s="5" t="str">
        <f t="shared" si="709"/>
        <v>NO APLICA</v>
      </c>
      <c r="CE200" s="6"/>
      <c r="CF200" s="6"/>
      <c r="CG200" s="6"/>
      <c r="CH200" s="6"/>
      <c r="CI200" s="5" t="str">
        <f t="shared" si="573"/>
        <v>NO APLICA</v>
      </c>
      <c r="CJ200" s="4"/>
      <c r="CK200" s="4"/>
      <c r="CL200" s="4"/>
      <c r="CM200" s="6"/>
      <c r="CN200" s="5" t="str">
        <f t="shared" si="710"/>
        <v>NO APLICA</v>
      </c>
      <c r="CO200" s="4"/>
      <c r="CP200" s="4"/>
      <c r="CQ200" s="4"/>
      <c r="CR200" s="6"/>
      <c r="CS200" s="5" t="str">
        <f t="shared" si="711"/>
        <v>NO APLICA</v>
      </c>
      <c r="CT200" s="4"/>
      <c r="CU200" s="4"/>
      <c r="CV200" s="4"/>
      <c r="CW200" s="6"/>
      <c r="CX200" s="5" t="str">
        <f t="shared" si="712"/>
        <v>NO APLICA</v>
      </c>
      <c r="CY200" s="4"/>
      <c r="CZ200" s="4"/>
      <c r="DA200" s="4"/>
      <c r="DB200" s="6"/>
      <c r="DC200" s="5" t="str">
        <f t="shared" si="713"/>
        <v>NO APLICA</v>
      </c>
      <c r="DD200" s="4"/>
      <c r="DE200" s="4"/>
      <c r="DF200" s="4"/>
      <c r="DG200" s="6"/>
      <c r="DH200" s="5" t="str">
        <f t="shared" si="714"/>
        <v>NO APLICA</v>
      </c>
      <c r="DI200" s="4"/>
      <c r="DJ200" s="4"/>
      <c r="DK200" s="4"/>
      <c r="DL200" s="6"/>
      <c r="DM200" s="5" t="str">
        <f t="shared" si="715"/>
        <v>NO APLICA</v>
      </c>
      <c r="DN200" s="4"/>
      <c r="DO200" s="4"/>
      <c r="DP200" s="4"/>
      <c r="DQ200" s="6"/>
      <c r="DR200" s="5" t="str">
        <f t="shared" si="716"/>
        <v>NO APLICA</v>
      </c>
      <c r="DS200" s="4"/>
      <c r="DT200" s="4"/>
      <c r="DU200" s="4"/>
      <c r="DV200" s="6"/>
      <c r="DW200" s="5" t="str">
        <f t="shared" si="717"/>
        <v>NO APLICA</v>
      </c>
      <c r="DX200" s="4"/>
      <c r="DY200" s="4"/>
      <c r="DZ200" s="4"/>
      <c r="EA200" s="6"/>
      <c r="EB200" s="5" t="str">
        <f t="shared" si="718"/>
        <v>NO APLICA</v>
      </c>
      <c r="EC200" s="4"/>
      <c r="ED200" s="4"/>
      <c r="EE200" s="4"/>
      <c r="EF200" s="6"/>
      <c r="EG200" s="5" t="str">
        <f t="shared" si="719"/>
        <v>NO APLICA</v>
      </c>
      <c r="EH200" s="4"/>
      <c r="EI200" s="4"/>
      <c r="EJ200" s="4"/>
      <c r="EK200" s="8"/>
      <c r="EL200" s="5" t="str">
        <f t="shared" si="720"/>
        <v>NO APLICA</v>
      </c>
      <c r="EM200" s="4"/>
      <c r="EN200" s="4"/>
      <c r="EO200" s="4"/>
      <c r="EP200" s="8"/>
      <c r="EQ200" s="5" t="str">
        <f t="shared" si="721"/>
        <v>NO APLICA</v>
      </c>
      <c r="ER200" s="4"/>
      <c r="ES200" s="4"/>
      <c r="ET200" s="4"/>
      <c r="EU200" s="8"/>
      <c r="EV200" s="5" t="str">
        <f t="shared" si="722"/>
        <v>NO APLICA</v>
      </c>
      <c r="EW200" s="4"/>
      <c r="EX200" s="4"/>
      <c r="EY200" s="4"/>
      <c r="EZ200" s="6"/>
      <c r="FA200" s="5" t="str">
        <f t="shared" si="723"/>
        <v>NO APLICA</v>
      </c>
      <c r="FB200" s="4"/>
      <c r="FC200" s="4"/>
      <c r="FD200" s="4"/>
      <c r="FE200" s="6"/>
      <c r="FF200" s="5" t="str">
        <f t="shared" si="724"/>
        <v>NO APLICA</v>
      </c>
      <c r="FG200" s="4"/>
      <c r="FH200" s="4"/>
      <c r="FI200" s="4"/>
      <c r="FJ200" s="6"/>
      <c r="FK200" s="5" t="str">
        <f t="shared" si="725"/>
        <v>NO APLICA</v>
      </c>
      <c r="FL200" s="4"/>
      <c r="FM200" s="4"/>
      <c r="FN200" s="4"/>
      <c r="FO200" s="6"/>
      <c r="FP200" s="5" t="str">
        <f t="shared" si="726"/>
        <v>NO APLICA</v>
      </c>
      <c r="FQ200" s="4"/>
      <c r="FR200" s="4"/>
      <c r="FS200" s="4"/>
      <c r="FT200" s="6"/>
      <c r="FU200" s="5" t="str">
        <f t="shared" si="727"/>
        <v>NO APLICA</v>
      </c>
      <c r="FV200" s="4"/>
      <c r="FW200" s="4"/>
      <c r="FX200" s="4"/>
      <c r="FY200" s="6"/>
      <c r="FZ200" s="5" t="str">
        <f t="shared" si="728"/>
        <v>NO APLICA</v>
      </c>
      <c r="GA200" s="4"/>
      <c r="GB200" s="4"/>
      <c r="GC200" s="4"/>
      <c r="GD200" s="6"/>
      <c r="GE200" s="5" t="str">
        <f t="shared" si="729"/>
        <v>NO APLICA</v>
      </c>
      <c r="GF200" s="4"/>
      <c r="GG200" s="4"/>
      <c r="GH200" s="4"/>
      <c r="GI200" s="8"/>
      <c r="GJ200" s="5" t="str">
        <f t="shared" si="730"/>
        <v>NO APLICA</v>
      </c>
      <c r="GK200" s="4"/>
      <c r="GL200" s="6"/>
      <c r="GM200" s="6"/>
      <c r="GN200" s="6"/>
      <c r="GO200" s="5" t="str">
        <f t="shared" si="731"/>
        <v>NO APLICA</v>
      </c>
      <c r="GP200" s="4"/>
      <c r="GQ200" s="6"/>
      <c r="GR200" s="6"/>
      <c r="GS200" s="6"/>
      <c r="GT200" s="5" t="str">
        <f t="shared" si="610"/>
        <v>NO APLICA</v>
      </c>
      <c r="GU200" s="4"/>
      <c r="GV200" s="6"/>
      <c r="GW200" s="6"/>
      <c r="GX200" s="6"/>
      <c r="GY200" s="5" t="str">
        <f t="shared" si="611"/>
        <v>NO APLICA</v>
      </c>
      <c r="GZ200" s="6"/>
      <c r="HA200" s="6"/>
      <c r="HB200" s="6"/>
      <c r="HC200" s="6"/>
      <c r="HD200" s="5" t="str">
        <f t="shared" si="612"/>
        <v>NO APLICA</v>
      </c>
      <c r="HE200" s="6"/>
      <c r="HF200" s="6"/>
      <c r="HG200" s="4"/>
      <c r="HH200" s="8"/>
      <c r="HI200" s="5" t="str">
        <f t="shared" si="698"/>
        <v>NO APLICA</v>
      </c>
      <c r="HJ200" s="6"/>
      <c r="HK200" s="6"/>
      <c r="HL200" s="6"/>
      <c r="HM200" s="6"/>
      <c r="HN200" s="5" t="str">
        <f t="shared" si="694"/>
        <v>NO APLICA</v>
      </c>
      <c r="HO200" s="6"/>
      <c r="HP200" s="6"/>
      <c r="HQ200" s="6"/>
      <c r="HR200" s="6"/>
      <c r="HS200" s="5" t="str">
        <f t="shared" si="732"/>
        <v>NO APLICA</v>
      </c>
      <c r="HT200" s="6"/>
      <c r="HU200" s="6"/>
      <c r="HV200" s="6"/>
      <c r="HW200" s="6"/>
      <c r="HX200" s="5" t="str">
        <f t="shared" si="733"/>
        <v>NO APLICA</v>
      </c>
      <c r="HY200" s="6"/>
      <c r="HZ200" s="6"/>
      <c r="IA200" s="6"/>
      <c r="IB200" s="6"/>
      <c r="IC200" s="5" t="str">
        <f t="shared" si="734"/>
        <v>NO APLICA</v>
      </c>
      <c r="ID200" s="6"/>
      <c r="IE200" s="6"/>
      <c r="IF200" s="6"/>
      <c r="IG200" s="6"/>
      <c r="IH200" s="5" t="str">
        <f t="shared" si="735"/>
        <v>NO APLICA</v>
      </c>
      <c r="II200" s="6"/>
      <c r="IJ200" s="6"/>
      <c r="IK200" s="6"/>
      <c r="IL200" s="6"/>
      <c r="IM200" s="5" t="str">
        <f t="shared" si="736"/>
        <v>NO APLICA</v>
      </c>
      <c r="IN200" s="6"/>
      <c r="IO200" s="6"/>
      <c r="IP200" s="6"/>
      <c r="IQ200" s="6"/>
      <c r="IR200" s="5" t="str">
        <f t="shared" si="737"/>
        <v>NO APLICA</v>
      </c>
      <c r="IS200" s="6"/>
      <c r="IT200" s="6"/>
      <c r="IU200" s="6"/>
      <c r="IV200" s="6"/>
      <c r="IW200" s="5" t="str">
        <f t="shared" si="738"/>
        <v>NO APLICA</v>
      </c>
      <c r="IX200" s="6"/>
      <c r="IY200" s="6"/>
      <c r="IZ200" s="6"/>
      <c r="JA200" s="6"/>
      <c r="JB200" s="5" t="str">
        <f t="shared" si="739"/>
        <v>NO APLICA</v>
      </c>
      <c r="JC200" s="3" t="s">
        <v>780</v>
      </c>
      <c r="JD200" s="6"/>
      <c r="JE200" s="6"/>
      <c r="JF200" s="6"/>
      <c r="JG200" s="5"/>
      <c r="JH200" s="3" t="s">
        <v>780</v>
      </c>
      <c r="JI200" s="6"/>
      <c r="JJ200" s="6"/>
      <c r="JK200" s="6"/>
      <c r="JL200" s="5"/>
      <c r="JM200" s="6" t="s">
        <v>780</v>
      </c>
      <c r="JN200" s="6"/>
      <c r="JO200" s="6"/>
      <c r="JP200" s="6"/>
      <c r="JQ200" s="5"/>
      <c r="JR200" s="6" t="s">
        <v>780</v>
      </c>
      <c r="JS200" s="6"/>
      <c r="JT200" s="6"/>
      <c r="JU200" s="6"/>
      <c r="JV200" s="5"/>
      <c r="JW200" s="6" t="s">
        <v>780</v>
      </c>
      <c r="JX200" s="5"/>
      <c r="JY200" s="5"/>
      <c r="JZ200" s="5"/>
      <c r="KA200" s="5"/>
      <c r="KB200" s="5"/>
      <c r="KC200" s="6"/>
      <c r="KD200" s="6"/>
      <c r="KE200" s="6"/>
      <c r="KF200" s="5" t="str">
        <f t="shared" si="740"/>
        <v>NO APLICA</v>
      </c>
      <c r="KG200" s="5"/>
      <c r="KH200" s="6"/>
      <c r="KI200" s="6"/>
      <c r="KJ200" s="6"/>
      <c r="KK200" s="5" t="str">
        <f t="shared" si="760"/>
        <v>NO APLICA</v>
      </c>
      <c r="KL200" s="5"/>
      <c r="KM200" s="4">
        <v>45364</v>
      </c>
      <c r="KN200" s="4">
        <f>DATE(YEAR(KM200)+5,MONTH(KM200),DAY(KM200))</f>
        <v>47190</v>
      </c>
      <c r="KO200" s="8">
        <f ca="1">KN200-TODAY()</f>
        <v>1045</v>
      </c>
      <c r="KP200" s="5" t="str">
        <f ca="1">IF(KO200&gt;=61,"VIGENTE",IF(KO200&gt;=1,"POR VENCER",IF(KO200&lt;=-1,"VENCIDA",IF(KM200=0,"NO APLICA"))))</f>
        <v>VIGENTE</v>
      </c>
      <c r="KQ200" s="5"/>
      <c r="KR200" s="4">
        <v>45346</v>
      </c>
      <c r="KS200" s="4">
        <f>DATE(YEAR(KR200)+5,MONTH(KR200),DAY(KR200))</f>
        <v>47173</v>
      </c>
      <c r="KT200" s="8">
        <f ca="1">KS200-TODAY()</f>
        <v>1028</v>
      </c>
      <c r="KU200" s="5" t="str">
        <f ca="1">IF(KT200&gt;=61,"VIGENTE",IF(KT200&gt;=1,"POR VENCER",IF(KT200&lt;=-1,"VENCIDA",IF(KR200=0,"NO APLICA"))))</f>
        <v>VIGENTE</v>
      </c>
      <c r="KV200" s="6"/>
      <c r="KW200" s="6"/>
      <c r="KX200" s="6"/>
      <c r="KY200" s="6"/>
      <c r="KZ200" s="5" t="str">
        <f t="shared" si="767"/>
        <v>NO APLICA</v>
      </c>
      <c r="LA200" s="5"/>
      <c r="LB200" s="6"/>
      <c r="LC200" s="6"/>
      <c r="LD200" s="6"/>
      <c r="LE200" s="5" t="str">
        <f t="shared" si="762"/>
        <v>NO APLICA</v>
      </c>
      <c r="LF200" s="6"/>
      <c r="LG200" s="6"/>
      <c r="LH200" s="6"/>
      <c r="LI200" s="6"/>
      <c r="LJ200" s="5" t="str">
        <f t="shared" si="600"/>
        <v>NO APLICA</v>
      </c>
      <c r="LK200" s="5"/>
      <c r="LL200" s="5"/>
      <c r="LM200" s="4"/>
      <c r="LN200" s="8"/>
      <c r="LO200" s="5" t="str">
        <f t="shared" si="768"/>
        <v>NO APLICA</v>
      </c>
      <c r="LP200" s="6"/>
      <c r="LQ200" s="6"/>
      <c r="LR200" s="6"/>
      <c r="LS200" s="6"/>
      <c r="LT200" s="5" t="str">
        <f t="shared" si="763"/>
        <v>NO APLICA</v>
      </c>
      <c r="LU200" s="6"/>
      <c r="LV200" s="6"/>
      <c r="LW200" s="6"/>
      <c r="LX200" s="6"/>
      <c r="LY200" s="5" t="str">
        <f t="shared" si="764"/>
        <v>NO APLICA</v>
      </c>
      <c r="LZ200" s="6"/>
      <c r="MA200" s="6"/>
      <c r="MB200" s="6"/>
      <c r="MC200" s="6"/>
      <c r="MD200" s="5" t="str">
        <f t="shared" si="765"/>
        <v>NO APLICA</v>
      </c>
      <c r="ME200" s="6"/>
      <c r="MF200" s="6"/>
      <c r="MG200" s="6"/>
      <c r="MH200" s="6"/>
      <c r="MI200" s="5" t="str">
        <f t="shared" si="742"/>
        <v>NO APLICA</v>
      </c>
      <c r="MJ200" s="6"/>
      <c r="MK200" s="6"/>
      <c r="ML200" s="6"/>
      <c r="MM200" s="6"/>
      <c r="MN200" s="5" t="str">
        <f t="shared" si="743"/>
        <v>NO APLICA</v>
      </c>
      <c r="MO200" s="5"/>
      <c r="MP200" s="6"/>
      <c r="MQ200" s="6"/>
      <c r="MR200" s="6"/>
      <c r="MS200" s="5" t="str">
        <f t="shared" si="744"/>
        <v>NO APLICA</v>
      </c>
      <c r="MT200" s="5"/>
      <c r="MU200" s="6"/>
      <c r="MV200" s="6"/>
      <c r="MW200" s="6"/>
      <c r="MX200" s="5" t="str">
        <f t="shared" si="745"/>
        <v>NO APLICA</v>
      </c>
      <c r="MY200" s="6"/>
      <c r="MZ200" s="6"/>
      <c r="NA200" s="6"/>
      <c r="NB200" s="6"/>
      <c r="NC200" s="5" t="str">
        <f t="shared" si="746"/>
        <v>NO APLICA</v>
      </c>
      <c r="ND200" s="6"/>
      <c r="NE200" s="6"/>
      <c r="NF200" s="6"/>
      <c r="NG200" s="6"/>
      <c r="NH200" s="5" t="str">
        <f t="shared" si="747"/>
        <v>NO APLICA</v>
      </c>
      <c r="NI200" s="6"/>
      <c r="NJ200" s="6"/>
      <c r="NK200" s="6"/>
      <c r="NL200" s="6"/>
      <c r="NM200" s="5" t="str">
        <f t="shared" si="748"/>
        <v>NO APLICA</v>
      </c>
      <c r="NN200" s="6"/>
      <c r="NO200" s="6"/>
      <c r="NP200" s="6"/>
      <c r="NQ200" s="6"/>
      <c r="NR200" s="5" t="str">
        <f t="shared" si="749"/>
        <v>NO APLICA</v>
      </c>
      <c r="NS200" s="6"/>
      <c r="NT200" s="6"/>
      <c r="NU200" s="6"/>
      <c r="NV200" s="6"/>
      <c r="NW200" s="5" t="str">
        <f t="shared" si="750"/>
        <v>NO APLICA</v>
      </c>
      <c r="NX200" s="6"/>
      <c r="NY200" s="6"/>
      <c r="NZ200" s="6"/>
      <c r="OA200" s="6"/>
      <c r="OB200" s="5" t="str">
        <f t="shared" si="751"/>
        <v>NO APLICA</v>
      </c>
      <c r="OC200" s="6"/>
      <c r="OD200" s="6"/>
      <c r="OE200" s="6"/>
      <c r="OF200" s="6"/>
      <c r="OG200" s="5" t="str">
        <f t="shared" si="752"/>
        <v>NO APLICA</v>
      </c>
      <c r="OH200" s="6"/>
      <c r="OI200" s="6"/>
      <c r="OJ200" s="6"/>
      <c r="OK200" s="6"/>
      <c r="OL200" s="5" t="str">
        <f t="shared" si="753"/>
        <v>NO APLICA</v>
      </c>
      <c r="OM200" s="6"/>
      <c r="ON200" s="6"/>
      <c r="OO200" s="6"/>
      <c r="OP200" s="6"/>
      <c r="OQ200" s="5" t="str">
        <f t="shared" si="754"/>
        <v>NO APLICA</v>
      </c>
      <c r="OR200" s="6"/>
      <c r="OS200" s="6"/>
      <c r="OT200" s="6"/>
      <c r="OU200" s="6"/>
      <c r="OV200" s="5" t="str">
        <f t="shared" si="755"/>
        <v>NO APLICA</v>
      </c>
      <c r="OW200" s="6"/>
      <c r="OX200" s="6"/>
      <c r="OY200" s="6"/>
      <c r="OZ200" s="6"/>
      <c r="PA200" s="5" t="str">
        <f t="shared" si="769"/>
        <v>NO APLICA</v>
      </c>
      <c r="PB200" s="6"/>
      <c r="PC200" s="6"/>
      <c r="PD200" s="6"/>
      <c r="PE200" s="6"/>
      <c r="PF200" s="5" t="str">
        <f t="shared" si="756"/>
        <v>NO APLICA</v>
      </c>
      <c r="PG200" s="6"/>
      <c r="PH200" s="6"/>
      <c r="PI200" s="6"/>
      <c r="PJ200" s="6"/>
      <c r="PK200" s="5" t="str">
        <f t="shared" si="757"/>
        <v>NO APLICA</v>
      </c>
      <c r="PL200" s="5"/>
      <c r="PM200" s="6"/>
      <c r="PN200" s="6"/>
      <c r="PO200" s="6"/>
      <c r="PP200" s="5" t="str">
        <f t="shared" si="766"/>
        <v>NO APLICA</v>
      </c>
      <c r="PQ200" s="6"/>
      <c r="PR200" s="6"/>
      <c r="PS200" s="6"/>
      <c r="PT200" s="6"/>
      <c r="PU200" s="5" t="str">
        <f t="shared" si="758"/>
        <v>NO APLICA</v>
      </c>
      <c r="PV200" s="5"/>
      <c r="PW200" s="6"/>
      <c r="PX200" s="6"/>
      <c r="PY200" s="6"/>
      <c r="PZ200" s="5" t="str">
        <f t="shared" si="759"/>
        <v>NO APLICA</v>
      </c>
    </row>
    <row r="201" spans="1:442" ht="15.6" hidden="1" thickTop="1" thickBot="1" x14ac:dyDescent="0.35">
      <c r="A201" s="26">
        <v>198</v>
      </c>
      <c r="B201" s="31">
        <v>1734</v>
      </c>
      <c r="C201" s="28" t="s">
        <v>620</v>
      </c>
      <c r="D201" s="29" t="s">
        <v>621</v>
      </c>
      <c r="E201" s="30" t="s">
        <v>622</v>
      </c>
      <c r="F201" s="3"/>
      <c r="G201" s="4"/>
      <c r="H201" s="4"/>
      <c r="I201" s="8"/>
      <c r="J201" s="5" t="str">
        <f t="shared" si="696"/>
        <v>NO APLICA</v>
      </c>
      <c r="K201" s="2"/>
      <c r="L201" s="2"/>
      <c r="M201" s="2"/>
      <c r="N201" s="2"/>
      <c r="O201" s="5" t="str">
        <f t="shared" si="699"/>
        <v>NO APLICA</v>
      </c>
      <c r="P201" s="6"/>
      <c r="Q201" s="6"/>
      <c r="R201" s="4"/>
      <c r="S201" s="8"/>
      <c r="T201" s="5" t="str">
        <f t="shared" si="697"/>
        <v>NO APLICA</v>
      </c>
      <c r="U201" s="5"/>
      <c r="V201" s="2"/>
      <c r="W201" s="4"/>
      <c r="X201" s="4"/>
      <c r="Y201" s="8"/>
      <c r="Z201" s="5" t="str">
        <f t="shared" si="605"/>
        <v>NO APLICA</v>
      </c>
      <c r="AA201" s="5"/>
      <c r="AB201" s="2"/>
      <c r="AC201" s="6"/>
      <c r="AD201" s="4"/>
      <c r="AE201" s="8"/>
      <c r="AF201" s="5" t="str">
        <f t="shared" si="700"/>
        <v>NO APLICA</v>
      </c>
      <c r="AG201" s="2"/>
      <c r="AH201" s="4"/>
      <c r="AI201" s="4"/>
      <c r="AJ201" s="8"/>
      <c r="AK201" s="5" t="str">
        <f t="shared" si="602"/>
        <v>NO APLICA</v>
      </c>
      <c r="AL201" s="2"/>
      <c r="AM201" s="4"/>
      <c r="AN201" s="4"/>
      <c r="AO201" s="8"/>
      <c r="AP201" s="5" t="str">
        <f t="shared" si="701"/>
        <v>NO APLICA</v>
      </c>
      <c r="AQ201" s="2"/>
      <c r="AR201" s="4"/>
      <c r="AS201" s="4"/>
      <c r="AT201" s="8"/>
      <c r="AU201" s="5" t="str">
        <f t="shared" si="702"/>
        <v>NO APLICA</v>
      </c>
      <c r="AV201" s="2"/>
      <c r="AW201" s="4"/>
      <c r="AX201" s="4"/>
      <c r="AY201" s="8"/>
      <c r="AZ201" s="5" t="str">
        <f t="shared" si="703"/>
        <v>NO APLICA</v>
      </c>
      <c r="BA201" s="3"/>
      <c r="BB201" s="4"/>
      <c r="BC201" s="4"/>
      <c r="BD201" s="8"/>
      <c r="BE201" s="5" t="str">
        <f t="shared" si="704"/>
        <v>NO APLICA</v>
      </c>
      <c r="BF201" s="2"/>
      <c r="BG201" s="4"/>
      <c r="BH201" s="4"/>
      <c r="BI201" s="8"/>
      <c r="BJ201" s="5" t="str">
        <f t="shared" si="705"/>
        <v>NO APLICA</v>
      </c>
      <c r="BK201" s="3"/>
      <c r="BL201" s="4"/>
      <c r="BM201" s="4"/>
      <c r="BN201" s="8"/>
      <c r="BO201" s="5" t="str">
        <f t="shared" si="706"/>
        <v>NO APLICA</v>
      </c>
      <c r="BP201" s="3"/>
      <c r="BQ201" s="39"/>
      <c r="BR201" s="4"/>
      <c r="BS201" s="8"/>
      <c r="BT201" s="5" t="str">
        <f t="shared" si="707"/>
        <v>NO APLICA</v>
      </c>
      <c r="BU201" s="2"/>
      <c r="BV201" s="4"/>
      <c r="BW201" s="4"/>
      <c r="BX201" s="8"/>
      <c r="BY201" s="5" t="str">
        <f t="shared" si="708"/>
        <v>NO APLICA</v>
      </c>
      <c r="BZ201" s="2"/>
      <c r="CA201" s="4"/>
      <c r="CB201" s="4"/>
      <c r="CC201" s="8"/>
      <c r="CD201" s="5" t="str">
        <f t="shared" si="709"/>
        <v>NO APLICA</v>
      </c>
      <c r="CE201" s="6"/>
      <c r="CF201" s="4"/>
      <c r="CG201" s="4"/>
      <c r="CH201" s="8"/>
      <c r="CI201" s="5" t="str">
        <f t="shared" si="573"/>
        <v>NO APLICA</v>
      </c>
      <c r="CJ201" s="6"/>
      <c r="CK201" s="4"/>
      <c r="CL201" s="4"/>
      <c r="CM201" s="8"/>
      <c r="CN201" s="5" t="str">
        <f t="shared" si="710"/>
        <v>NO APLICA</v>
      </c>
      <c r="CO201" s="2"/>
      <c r="CP201" s="39"/>
      <c r="CQ201" s="4"/>
      <c r="CR201" s="8"/>
      <c r="CS201" s="5" t="str">
        <f t="shared" si="711"/>
        <v>NO APLICA</v>
      </c>
      <c r="CT201" s="2"/>
      <c r="CU201" s="4"/>
      <c r="CV201" s="4"/>
      <c r="CW201" s="8"/>
      <c r="CX201" s="5" t="str">
        <f t="shared" si="712"/>
        <v>NO APLICA</v>
      </c>
      <c r="CY201" s="3"/>
      <c r="CZ201" s="4"/>
      <c r="DA201" s="4"/>
      <c r="DB201" s="8"/>
      <c r="DC201" s="5" t="str">
        <f t="shared" si="713"/>
        <v>NO APLICA</v>
      </c>
      <c r="DD201" s="3"/>
      <c r="DE201" s="39"/>
      <c r="DF201" s="4"/>
      <c r="DG201" s="8"/>
      <c r="DH201" s="5" t="str">
        <f t="shared" si="714"/>
        <v>NO APLICA</v>
      </c>
      <c r="DI201" s="2"/>
      <c r="DJ201" s="39"/>
      <c r="DK201" s="4"/>
      <c r="DL201" s="8"/>
      <c r="DM201" s="5" t="str">
        <f t="shared" si="715"/>
        <v>NO APLICA</v>
      </c>
      <c r="DN201" s="3"/>
      <c r="DO201" s="4"/>
      <c r="DP201" s="4"/>
      <c r="DQ201" s="8"/>
      <c r="DR201" s="5" t="str">
        <f t="shared" si="716"/>
        <v>NO APLICA</v>
      </c>
      <c r="DS201" s="2"/>
      <c r="DT201" s="4"/>
      <c r="DU201" s="4"/>
      <c r="DV201" s="8"/>
      <c r="DW201" s="5" t="str">
        <f t="shared" si="717"/>
        <v>NO APLICA</v>
      </c>
      <c r="DX201" s="3"/>
      <c r="DY201" s="4"/>
      <c r="DZ201" s="4"/>
      <c r="EA201" s="8"/>
      <c r="EB201" s="5" t="str">
        <f t="shared" si="718"/>
        <v>NO APLICA</v>
      </c>
      <c r="EC201" s="3"/>
      <c r="ED201" s="39"/>
      <c r="EE201" s="4"/>
      <c r="EF201" s="8"/>
      <c r="EG201" s="5" t="str">
        <f t="shared" si="719"/>
        <v>NO APLICA</v>
      </c>
      <c r="EH201" s="2"/>
      <c r="EI201" s="4"/>
      <c r="EJ201" s="4"/>
      <c r="EK201" s="8"/>
      <c r="EL201" s="5" t="str">
        <f t="shared" si="720"/>
        <v>NO APLICA</v>
      </c>
      <c r="EM201" s="3"/>
      <c r="EN201" s="4"/>
      <c r="EO201" s="4"/>
      <c r="EP201" s="8"/>
      <c r="EQ201" s="5" t="str">
        <f t="shared" si="721"/>
        <v>NO APLICA</v>
      </c>
      <c r="ER201" s="2"/>
      <c r="ES201" s="39"/>
      <c r="ET201" s="4"/>
      <c r="EU201" s="8"/>
      <c r="EV201" s="5" t="str">
        <f t="shared" si="722"/>
        <v>NO APLICA</v>
      </c>
      <c r="EW201" s="2"/>
      <c r="EX201" s="4"/>
      <c r="EY201" s="4"/>
      <c r="EZ201" s="8"/>
      <c r="FA201" s="5" t="str">
        <f t="shared" si="723"/>
        <v>NO APLICA</v>
      </c>
      <c r="FB201" s="2"/>
      <c r="FC201" s="4"/>
      <c r="FD201" s="4"/>
      <c r="FE201" s="8"/>
      <c r="FF201" s="5" t="str">
        <f t="shared" si="724"/>
        <v>NO APLICA</v>
      </c>
      <c r="FG201" s="2"/>
      <c r="FH201" s="4"/>
      <c r="FI201" s="4"/>
      <c r="FJ201" s="8"/>
      <c r="FK201" s="5" t="str">
        <f t="shared" si="725"/>
        <v>NO APLICA</v>
      </c>
      <c r="FL201" s="3"/>
      <c r="FM201" s="39"/>
      <c r="FN201" s="4"/>
      <c r="FO201" s="8"/>
      <c r="FP201" s="5" t="str">
        <f t="shared" si="726"/>
        <v>NO APLICA</v>
      </c>
      <c r="FQ201" s="3"/>
      <c r="FR201" s="39"/>
      <c r="FS201" s="4"/>
      <c r="FT201" s="8"/>
      <c r="FU201" s="5" t="str">
        <f t="shared" si="727"/>
        <v>NO APLICA</v>
      </c>
      <c r="FV201" s="3"/>
      <c r="FW201" s="4"/>
      <c r="FX201" s="4"/>
      <c r="FY201" s="8"/>
      <c r="FZ201" s="5" t="str">
        <f t="shared" si="728"/>
        <v>NO APLICA</v>
      </c>
      <c r="GA201" s="3"/>
      <c r="GB201" s="4"/>
      <c r="GC201" s="4"/>
      <c r="GD201" s="8"/>
      <c r="GE201" s="5" t="str">
        <f t="shared" si="729"/>
        <v>NO APLICA</v>
      </c>
      <c r="GF201" s="3"/>
      <c r="GG201" s="4"/>
      <c r="GH201" s="4"/>
      <c r="GI201" s="8"/>
      <c r="GJ201" s="5" t="str">
        <f t="shared" si="730"/>
        <v>NO APLICA</v>
      </c>
      <c r="GK201" s="3"/>
      <c r="GL201" s="4"/>
      <c r="GM201" s="4"/>
      <c r="GN201" s="8"/>
      <c r="GO201" s="5" t="str">
        <f t="shared" si="731"/>
        <v>NO APLICA</v>
      </c>
      <c r="GP201" s="4"/>
      <c r="GQ201" s="4"/>
      <c r="GR201" s="4"/>
      <c r="GS201" s="8"/>
      <c r="GT201" s="5" t="str">
        <f t="shared" si="610"/>
        <v>NO APLICA</v>
      </c>
      <c r="GU201" s="3"/>
      <c r="GV201" s="4"/>
      <c r="GW201" s="4"/>
      <c r="GX201" s="8"/>
      <c r="GY201" s="5" t="str">
        <f t="shared" si="611"/>
        <v>NO APLICA</v>
      </c>
      <c r="GZ201" s="2"/>
      <c r="HA201" s="4"/>
      <c r="HB201" s="4"/>
      <c r="HC201" s="8"/>
      <c r="HD201" s="5" t="str">
        <f t="shared" si="612"/>
        <v>NO APLICA</v>
      </c>
      <c r="HE201" s="6"/>
      <c r="HF201" s="6"/>
      <c r="HG201" s="4"/>
      <c r="HH201" s="8"/>
      <c r="HI201" s="5" t="str">
        <f t="shared" si="698"/>
        <v>NO APLICA</v>
      </c>
      <c r="HJ201" s="2"/>
      <c r="HK201" s="6"/>
      <c r="HL201" s="4"/>
      <c r="HM201" s="8"/>
      <c r="HN201" s="5" t="str">
        <f t="shared" si="694"/>
        <v>NO APLICA</v>
      </c>
      <c r="HO201" s="2"/>
      <c r="HP201" s="2"/>
      <c r="HQ201" s="4"/>
      <c r="HR201" s="2"/>
      <c r="HS201" s="5" t="str">
        <f t="shared" si="732"/>
        <v>NO APLICA</v>
      </c>
      <c r="HT201" s="2"/>
      <c r="HU201" s="6"/>
      <c r="HV201" s="4"/>
      <c r="HW201" s="8"/>
      <c r="HX201" s="5" t="str">
        <f t="shared" si="733"/>
        <v>NO APLICA</v>
      </c>
      <c r="HY201" s="2"/>
      <c r="HZ201" s="6"/>
      <c r="IA201" s="4"/>
      <c r="IB201" s="8"/>
      <c r="IC201" s="5" t="str">
        <f t="shared" si="734"/>
        <v>NO APLICA</v>
      </c>
      <c r="ID201" s="2"/>
      <c r="IE201" s="6"/>
      <c r="IF201" s="4"/>
      <c r="IG201" s="8"/>
      <c r="IH201" s="5" t="str">
        <f t="shared" si="735"/>
        <v>NO APLICA</v>
      </c>
      <c r="II201" s="6"/>
      <c r="IJ201" s="6"/>
      <c r="IK201" s="4"/>
      <c r="IL201" s="8"/>
      <c r="IM201" s="5" t="str">
        <f t="shared" si="736"/>
        <v>NO APLICA</v>
      </c>
      <c r="IN201" s="2"/>
      <c r="IO201" s="6"/>
      <c r="IP201" s="4"/>
      <c r="IQ201" s="8"/>
      <c r="IR201" s="5" t="str">
        <f t="shared" si="737"/>
        <v>NO APLICA</v>
      </c>
      <c r="IS201" s="2"/>
      <c r="IT201" s="6"/>
      <c r="IU201" s="4"/>
      <c r="IV201" s="8"/>
      <c r="IW201" s="5" t="str">
        <f t="shared" si="738"/>
        <v>NO APLICA</v>
      </c>
      <c r="IX201" s="2"/>
      <c r="IY201" s="6"/>
      <c r="IZ201" s="4"/>
      <c r="JA201" s="8"/>
      <c r="JB201" s="5" t="str">
        <f t="shared" si="739"/>
        <v>NO APLICA</v>
      </c>
      <c r="JC201" s="3" t="s">
        <v>780</v>
      </c>
      <c r="JD201" s="3"/>
      <c r="JE201" s="4"/>
      <c r="JF201" s="8"/>
      <c r="JG201" s="5"/>
      <c r="JH201" s="3" t="s">
        <v>780</v>
      </c>
      <c r="JI201" s="6"/>
      <c r="JJ201" s="6"/>
      <c r="JK201" s="6"/>
      <c r="JL201" s="5"/>
      <c r="JM201" s="6" t="s">
        <v>780</v>
      </c>
      <c r="JN201" s="6"/>
      <c r="JO201" s="6"/>
      <c r="JP201" s="6"/>
      <c r="JQ201" s="5"/>
      <c r="JR201" s="6" t="s">
        <v>780</v>
      </c>
      <c r="JS201" s="6"/>
      <c r="JT201" s="6"/>
      <c r="JU201" s="6"/>
      <c r="JV201" s="5"/>
      <c r="JW201" s="6" t="s">
        <v>780</v>
      </c>
      <c r="JX201" s="3"/>
      <c r="JY201" s="4"/>
      <c r="JZ201" s="8"/>
      <c r="KA201" s="5"/>
      <c r="KB201" s="5"/>
      <c r="KC201" s="2"/>
      <c r="KD201" s="4"/>
      <c r="KE201" s="8"/>
      <c r="KF201" s="5" t="str">
        <f t="shared" si="740"/>
        <v>NO APLICA</v>
      </c>
      <c r="KG201" s="5"/>
      <c r="KH201" s="2"/>
      <c r="KI201" s="4"/>
      <c r="KJ201" s="8"/>
      <c r="KK201" s="5" t="str">
        <f t="shared" si="760"/>
        <v>NO APLICA</v>
      </c>
      <c r="KL201" s="5"/>
      <c r="KM201" s="2"/>
      <c r="KN201" s="4"/>
      <c r="KO201" s="8"/>
      <c r="KP201" s="5" t="str">
        <f t="shared" si="741"/>
        <v>NO APLICA</v>
      </c>
      <c r="KQ201" s="5"/>
      <c r="KR201" s="2"/>
      <c r="KS201" s="4"/>
      <c r="KT201" s="8"/>
      <c r="KU201" s="5" t="str">
        <f t="shared" si="761"/>
        <v>NO APLICA</v>
      </c>
      <c r="KV201" s="2"/>
      <c r="KW201" s="6"/>
      <c r="KX201" s="4"/>
      <c r="KY201" s="8"/>
      <c r="KZ201" s="5" t="str">
        <f t="shared" si="767"/>
        <v>NO APLICA</v>
      </c>
      <c r="LA201" s="5"/>
      <c r="LB201" s="6"/>
      <c r="LC201" s="4"/>
      <c r="LD201" s="8"/>
      <c r="LE201" s="5" t="str">
        <f t="shared" si="762"/>
        <v>NO APLICA</v>
      </c>
      <c r="LF201" s="6"/>
      <c r="LG201" s="6"/>
      <c r="LH201" s="4"/>
      <c r="LI201" s="8"/>
      <c r="LJ201" s="5" t="str">
        <f t="shared" si="600"/>
        <v>NO APLICA</v>
      </c>
      <c r="LK201" s="5"/>
      <c r="LL201" s="5"/>
      <c r="LM201" s="4"/>
      <c r="LN201" s="8"/>
      <c r="LO201" s="5" t="str">
        <f t="shared" si="768"/>
        <v>NO APLICA</v>
      </c>
      <c r="LP201" s="2"/>
      <c r="LQ201" s="6"/>
      <c r="LR201" s="4"/>
      <c r="LS201" s="8"/>
      <c r="LT201" s="5" t="str">
        <f t="shared" si="763"/>
        <v>NO APLICA</v>
      </c>
      <c r="LU201" s="6"/>
      <c r="LV201" s="6"/>
      <c r="LW201" s="4"/>
      <c r="LX201" s="8"/>
      <c r="LY201" s="5" t="str">
        <f t="shared" si="764"/>
        <v>NO APLICA</v>
      </c>
      <c r="LZ201" s="6"/>
      <c r="MA201" s="6"/>
      <c r="MB201" s="4"/>
      <c r="MC201" s="8"/>
      <c r="MD201" s="5" t="str">
        <f t="shared" si="765"/>
        <v>NO APLICA</v>
      </c>
      <c r="ME201" s="2"/>
      <c r="MF201" s="2"/>
      <c r="MG201" s="4"/>
      <c r="MH201" s="8"/>
      <c r="MI201" s="5" t="str">
        <f t="shared" si="742"/>
        <v>NO APLICA</v>
      </c>
      <c r="MJ201" s="2"/>
      <c r="MK201" s="2"/>
      <c r="ML201" s="4"/>
      <c r="MM201" s="8"/>
      <c r="MN201" s="5" t="str">
        <f t="shared" si="743"/>
        <v>NO APLICA</v>
      </c>
      <c r="MO201" s="5"/>
      <c r="MP201" s="2"/>
      <c r="MQ201" s="4"/>
      <c r="MR201" s="8"/>
      <c r="MS201" s="5" t="str">
        <f t="shared" si="744"/>
        <v>NO APLICA</v>
      </c>
      <c r="MT201" s="5"/>
      <c r="MU201" s="2"/>
      <c r="MV201" s="4"/>
      <c r="MW201" s="2"/>
      <c r="MX201" s="5" t="str">
        <f t="shared" si="745"/>
        <v>NO APLICA</v>
      </c>
      <c r="MY201" s="2"/>
      <c r="MZ201" s="6"/>
      <c r="NA201" s="4"/>
      <c r="NB201" s="8"/>
      <c r="NC201" s="5" t="str">
        <f t="shared" si="746"/>
        <v>NO APLICA</v>
      </c>
      <c r="ND201" s="2"/>
      <c r="NE201" s="6"/>
      <c r="NF201" s="4"/>
      <c r="NG201" s="8"/>
      <c r="NH201" s="5" t="str">
        <f t="shared" si="747"/>
        <v>NO APLICA</v>
      </c>
      <c r="NI201" s="2"/>
      <c r="NJ201" s="6"/>
      <c r="NK201" s="4"/>
      <c r="NL201" s="8"/>
      <c r="NM201" s="5" t="str">
        <f t="shared" si="748"/>
        <v>NO APLICA</v>
      </c>
      <c r="NN201" s="2"/>
      <c r="NO201" s="2"/>
      <c r="NP201" s="4"/>
      <c r="NQ201" s="8"/>
      <c r="NR201" s="5" t="str">
        <f t="shared" si="749"/>
        <v>NO APLICA</v>
      </c>
      <c r="NS201" s="2"/>
      <c r="NT201" s="2"/>
      <c r="NU201" s="4"/>
      <c r="NV201" s="2"/>
      <c r="NW201" s="5" t="str">
        <f t="shared" si="750"/>
        <v>NO APLICA</v>
      </c>
      <c r="NX201" s="6"/>
      <c r="NY201" s="6"/>
      <c r="NZ201" s="4"/>
      <c r="OA201" s="8"/>
      <c r="OB201" s="5" t="str">
        <f t="shared" si="751"/>
        <v>NO APLICA</v>
      </c>
      <c r="OC201" s="6"/>
      <c r="OD201" s="6"/>
      <c r="OE201" s="6"/>
      <c r="OF201" s="6"/>
      <c r="OG201" s="5" t="str">
        <f t="shared" si="752"/>
        <v>NO APLICA</v>
      </c>
      <c r="OH201" s="6"/>
      <c r="OI201" s="6"/>
      <c r="OJ201" s="4"/>
      <c r="OK201" s="8"/>
      <c r="OL201" s="5" t="str">
        <f t="shared" si="753"/>
        <v>NO APLICA</v>
      </c>
      <c r="OM201" s="6"/>
      <c r="ON201" s="6"/>
      <c r="OO201" s="6"/>
      <c r="OP201" s="6"/>
      <c r="OQ201" s="5" t="str">
        <f t="shared" si="754"/>
        <v>NO APLICA</v>
      </c>
      <c r="OR201" s="6"/>
      <c r="OS201" s="6"/>
      <c r="OT201" s="6"/>
      <c r="OU201" s="6"/>
      <c r="OV201" s="5" t="str">
        <f t="shared" si="755"/>
        <v>NO APLICA</v>
      </c>
      <c r="OW201" s="6"/>
      <c r="OX201" s="6"/>
      <c r="OY201" s="6"/>
      <c r="OZ201" s="6"/>
      <c r="PA201" s="5" t="str">
        <f t="shared" si="769"/>
        <v>NO APLICA</v>
      </c>
      <c r="PB201" s="6"/>
      <c r="PC201" s="6"/>
      <c r="PD201" s="6"/>
      <c r="PE201" s="6"/>
      <c r="PF201" s="5" t="str">
        <f t="shared" si="756"/>
        <v>NO APLICA</v>
      </c>
      <c r="PG201" s="6"/>
      <c r="PH201" s="6"/>
      <c r="PI201" s="6"/>
      <c r="PJ201" s="6"/>
      <c r="PK201" s="5" t="str">
        <f t="shared" si="757"/>
        <v>NO APLICA</v>
      </c>
      <c r="PL201" s="5"/>
      <c r="PM201" s="6"/>
      <c r="PN201" s="4"/>
      <c r="PO201" s="8"/>
      <c r="PP201" s="5" t="str">
        <f t="shared" si="766"/>
        <v>NO APLICA</v>
      </c>
      <c r="PQ201" s="6"/>
      <c r="PR201" s="6"/>
      <c r="PS201" s="6"/>
      <c r="PT201" s="6"/>
      <c r="PU201" s="5" t="str">
        <f t="shared" si="758"/>
        <v>NO APLICA</v>
      </c>
      <c r="PV201" s="5"/>
      <c r="PW201" s="6"/>
      <c r="PX201" s="6"/>
      <c r="PY201" s="6"/>
      <c r="PZ201" s="5" t="str">
        <f t="shared" si="759"/>
        <v>NO APLICA</v>
      </c>
    </row>
    <row r="202" spans="1:442" ht="15.6" hidden="1" thickTop="1" thickBot="1" x14ac:dyDescent="0.35">
      <c r="A202" s="26">
        <v>199</v>
      </c>
      <c r="B202" s="31">
        <v>1231</v>
      </c>
      <c r="C202" s="28" t="s">
        <v>623</v>
      </c>
      <c r="D202" s="29" t="s">
        <v>68</v>
      </c>
      <c r="E202" s="30" t="s">
        <v>624</v>
      </c>
      <c r="F202" s="6"/>
      <c r="G202" s="6"/>
      <c r="H202" s="6"/>
      <c r="I202" s="6"/>
      <c r="J202" s="5" t="str">
        <f t="shared" si="696"/>
        <v>NO APLICA</v>
      </c>
      <c r="K202" s="6"/>
      <c r="L202" s="6"/>
      <c r="M202" s="6"/>
      <c r="N202" s="6"/>
      <c r="O202" s="5" t="str">
        <f t="shared" si="699"/>
        <v>NO APLICA</v>
      </c>
      <c r="P202" s="6"/>
      <c r="Q202" s="6"/>
      <c r="R202" s="6"/>
      <c r="S202" s="6"/>
      <c r="T202" s="5" t="str">
        <f t="shared" si="697"/>
        <v>NO APLICA</v>
      </c>
      <c r="U202" s="5"/>
      <c r="V202" s="6" t="s">
        <v>625</v>
      </c>
      <c r="W202" s="4">
        <v>44884</v>
      </c>
      <c r="X202" s="4">
        <f>DATE(YEAR(W202)+5,MONTH(W202),DAY(W202))</f>
        <v>46710</v>
      </c>
      <c r="Y202" s="8">
        <f ca="1">X202-TODAY()</f>
        <v>565</v>
      </c>
      <c r="Z202" s="5" t="str">
        <f ca="1">IF(Y202&gt;=90,"VIGENTE",IF(Y202&gt;=1,"POR VENCER",IF(Y202&lt;=-1,"VENCIDA",IF(W202=0,"NO APLICA"))))</f>
        <v>VIGENTE</v>
      </c>
      <c r="AA202" s="5"/>
      <c r="AB202" s="6"/>
      <c r="AC202" s="6"/>
      <c r="AD202" s="6"/>
      <c r="AE202" s="6"/>
      <c r="AF202" s="5" t="str">
        <f t="shared" si="700"/>
        <v>NO APLICA</v>
      </c>
      <c r="AG202" s="4"/>
      <c r="AH202" s="4"/>
      <c r="AI202" s="4"/>
      <c r="AJ202" s="6"/>
      <c r="AK202" s="5" t="str">
        <f t="shared" si="602"/>
        <v>NO APLICA</v>
      </c>
      <c r="AL202" s="4"/>
      <c r="AM202" s="4"/>
      <c r="AN202" s="4"/>
      <c r="AO202" s="6"/>
      <c r="AP202" s="5" t="str">
        <f t="shared" si="701"/>
        <v>NO APLICA</v>
      </c>
      <c r="AQ202" s="4"/>
      <c r="AR202" s="4"/>
      <c r="AS202" s="4"/>
      <c r="AT202" s="6"/>
      <c r="AU202" s="5" t="str">
        <f t="shared" si="702"/>
        <v>NO APLICA</v>
      </c>
      <c r="AV202" s="4"/>
      <c r="AW202" s="4"/>
      <c r="AX202" s="4"/>
      <c r="AY202" s="6"/>
      <c r="AZ202" s="5" t="str">
        <f t="shared" si="703"/>
        <v>NO APLICA</v>
      </c>
      <c r="BA202" s="4"/>
      <c r="BB202" s="4"/>
      <c r="BC202" s="4"/>
      <c r="BD202" s="6"/>
      <c r="BE202" s="5" t="str">
        <f t="shared" si="704"/>
        <v>NO APLICA</v>
      </c>
      <c r="BF202" s="4"/>
      <c r="BG202" s="4"/>
      <c r="BH202" s="4"/>
      <c r="BI202" s="6"/>
      <c r="BJ202" s="5" t="str">
        <f t="shared" si="705"/>
        <v>NO APLICA</v>
      </c>
      <c r="BK202" s="4"/>
      <c r="BL202" s="4"/>
      <c r="BM202" s="4"/>
      <c r="BN202" s="6"/>
      <c r="BO202" s="5" t="str">
        <f t="shared" si="706"/>
        <v>NO APLICA</v>
      </c>
      <c r="BP202" s="4"/>
      <c r="BQ202" s="4"/>
      <c r="BR202" s="4"/>
      <c r="BS202" s="6"/>
      <c r="BT202" s="5" t="str">
        <f t="shared" si="707"/>
        <v>NO APLICA</v>
      </c>
      <c r="BU202" s="4"/>
      <c r="BV202" s="4"/>
      <c r="BW202" s="4"/>
      <c r="BX202" s="6"/>
      <c r="BY202" s="5" t="str">
        <f t="shared" si="708"/>
        <v>NO APLICA</v>
      </c>
      <c r="BZ202" s="4"/>
      <c r="CA202" s="4"/>
      <c r="CB202" s="4"/>
      <c r="CC202" s="6"/>
      <c r="CD202" s="5" t="str">
        <f t="shared" si="709"/>
        <v>NO APLICA</v>
      </c>
      <c r="CE202" s="6"/>
      <c r="CF202" s="6"/>
      <c r="CG202" s="6"/>
      <c r="CH202" s="6"/>
      <c r="CI202" s="5" t="str">
        <f t="shared" si="573"/>
        <v>NO APLICA</v>
      </c>
      <c r="CJ202" s="4"/>
      <c r="CK202" s="4"/>
      <c r="CL202" s="4"/>
      <c r="CM202" s="6"/>
      <c r="CN202" s="5" t="str">
        <f t="shared" si="710"/>
        <v>NO APLICA</v>
      </c>
      <c r="CO202" s="4"/>
      <c r="CP202" s="4"/>
      <c r="CQ202" s="4"/>
      <c r="CR202" s="6"/>
      <c r="CS202" s="5" t="str">
        <f t="shared" si="711"/>
        <v>NO APLICA</v>
      </c>
      <c r="CT202" s="4"/>
      <c r="CU202" s="4"/>
      <c r="CV202" s="4"/>
      <c r="CW202" s="6"/>
      <c r="CX202" s="5" t="str">
        <f t="shared" si="712"/>
        <v>NO APLICA</v>
      </c>
      <c r="CY202" s="4"/>
      <c r="CZ202" s="4"/>
      <c r="DA202" s="4"/>
      <c r="DB202" s="6"/>
      <c r="DC202" s="5" t="str">
        <f t="shared" si="713"/>
        <v>NO APLICA</v>
      </c>
      <c r="DD202" s="4"/>
      <c r="DE202" s="4"/>
      <c r="DF202" s="4"/>
      <c r="DG202" s="6"/>
      <c r="DH202" s="5" t="str">
        <f t="shared" si="714"/>
        <v>NO APLICA</v>
      </c>
      <c r="DI202" s="4"/>
      <c r="DJ202" s="4"/>
      <c r="DK202" s="4"/>
      <c r="DL202" s="6"/>
      <c r="DM202" s="5" t="str">
        <f t="shared" si="715"/>
        <v>NO APLICA</v>
      </c>
      <c r="DN202" s="4"/>
      <c r="DO202" s="4"/>
      <c r="DP202" s="4"/>
      <c r="DQ202" s="6"/>
      <c r="DR202" s="5" t="str">
        <f t="shared" si="716"/>
        <v>NO APLICA</v>
      </c>
      <c r="DS202" s="4"/>
      <c r="DT202" s="4"/>
      <c r="DU202" s="4"/>
      <c r="DV202" s="6"/>
      <c r="DW202" s="5" t="str">
        <f t="shared" si="717"/>
        <v>NO APLICA</v>
      </c>
      <c r="DX202" s="4"/>
      <c r="DY202" s="4"/>
      <c r="DZ202" s="4"/>
      <c r="EA202" s="6"/>
      <c r="EB202" s="5" t="str">
        <f t="shared" si="718"/>
        <v>NO APLICA</v>
      </c>
      <c r="EC202" s="4"/>
      <c r="ED202" s="4"/>
      <c r="EE202" s="4"/>
      <c r="EF202" s="6"/>
      <c r="EG202" s="5" t="str">
        <f t="shared" si="719"/>
        <v>NO APLICA</v>
      </c>
      <c r="EH202" s="4"/>
      <c r="EI202" s="4"/>
      <c r="EJ202" s="4"/>
      <c r="EK202" s="8"/>
      <c r="EL202" s="5" t="str">
        <f t="shared" si="720"/>
        <v>NO APLICA</v>
      </c>
      <c r="EM202" s="4"/>
      <c r="EN202" s="4"/>
      <c r="EO202" s="4"/>
      <c r="EP202" s="8"/>
      <c r="EQ202" s="5" t="str">
        <f t="shared" si="721"/>
        <v>NO APLICA</v>
      </c>
      <c r="ER202" s="4"/>
      <c r="ES202" s="4"/>
      <c r="ET202" s="4"/>
      <c r="EU202" s="8"/>
      <c r="EV202" s="5" t="str">
        <f t="shared" si="722"/>
        <v>NO APLICA</v>
      </c>
      <c r="EW202" s="4"/>
      <c r="EX202" s="4"/>
      <c r="EY202" s="4"/>
      <c r="EZ202" s="6"/>
      <c r="FA202" s="5" t="str">
        <f t="shared" si="723"/>
        <v>NO APLICA</v>
      </c>
      <c r="FB202" s="4"/>
      <c r="FC202" s="4"/>
      <c r="FD202" s="4"/>
      <c r="FE202" s="6"/>
      <c r="FF202" s="5" t="str">
        <f t="shared" si="724"/>
        <v>NO APLICA</v>
      </c>
      <c r="FG202" s="4"/>
      <c r="FH202" s="4"/>
      <c r="FI202" s="4"/>
      <c r="FJ202" s="6"/>
      <c r="FK202" s="5" t="str">
        <f t="shared" si="725"/>
        <v>NO APLICA</v>
      </c>
      <c r="FL202" s="4"/>
      <c r="FM202" s="4"/>
      <c r="FN202" s="4"/>
      <c r="FO202" s="6"/>
      <c r="FP202" s="5" t="str">
        <f t="shared" si="726"/>
        <v>NO APLICA</v>
      </c>
      <c r="FQ202" s="4"/>
      <c r="FR202" s="4"/>
      <c r="FS202" s="4"/>
      <c r="FT202" s="6"/>
      <c r="FU202" s="5" t="str">
        <f t="shared" si="727"/>
        <v>NO APLICA</v>
      </c>
      <c r="FV202" s="4"/>
      <c r="FW202" s="4"/>
      <c r="FX202" s="4"/>
      <c r="FY202" s="6"/>
      <c r="FZ202" s="5" t="str">
        <f t="shared" si="728"/>
        <v>NO APLICA</v>
      </c>
      <c r="GA202" s="4"/>
      <c r="GB202" s="4"/>
      <c r="GC202" s="4"/>
      <c r="GD202" s="6"/>
      <c r="GE202" s="5" t="str">
        <f t="shared" si="729"/>
        <v>NO APLICA</v>
      </c>
      <c r="GF202" s="4"/>
      <c r="GG202" s="4"/>
      <c r="GH202" s="4"/>
      <c r="GI202" s="8"/>
      <c r="GJ202" s="5" t="str">
        <f t="shared" si="730"/>
        <v>NO APLICA</v>
      </c>
      <c r="GK202" s="4"/>
      <c r="GL202" s="6"/>
      <c r="GM202" s="6"/>
      <c r="GN202" s="6"/>
      <c r="GO202" s="5" t="str">
        <f t="shared" si="731"/>
        <v>NO APLICA</v>
      </c>
      <c r="GP202" s="4"/>
      <c r="GQ202" s="6"/>
      <c r="GR202" s="6"/>
      <c r="GS202" s="6"/>
      <c r="GT202" s="5" t="str">
        <f t="shared" si="610"/>
        <v>NO APLICA</v>
      </c>
      <c r="GU202" s="4"/>
      <c r="GV202" s="6"/>
      <c r="GW202" s="6"/>
      <c r="GX202" s="6"/>
      <c r="GY202" s="5" t="str">
        <f t="shared" si="611"/>
        <v>NO APLICA</v>
      </c>
      <c r="GZ202" s="6"/>
      <c r="HA202" s="6"/>
      <c r="HB202" s="6"/>
      <c r="HC202" s="6"/>
      <c r="HD202" s="5" t="str">
        <f t="shared" si="612"/>
        <v>NO APLICA</v>
      </c>
      <c r="HE202" s="6"/>
      <c r="HF202" s="6"/>
      <c r="HG202" s="4"/>
      <c r="HH202" s="8"/>
      <c r="HI202" s="5" t="str">
        <f t="shared" si="698"/>
        <v>NO APLICA</v>
      </c>
      <c r="HJ202" s="6"/>
      <c r="HK202" s="6"/>
      <c r="HL202" s="6"/>
      <c r="HM202" s="6"/>
      <c r="HN202" s="5" t="str">
        <f t="shared" si="694"/>
        <v>NO APLICA</v>
      </c>
      <c r="HO202" s="6"/>
      <c r="HP202" s="6"/>
      <c r="HQ202" s="6"/>
      <c r="HR202" s="6"/>
      <c r="HS202" s="5" t="str">
        <f t="shared" si="732"/>
        <v>NO APLICA</v>
      </c>
      <c r="HT202" s="6"/>
      <c r="HU202" s="6"/>
      <c r="HV202" s="6"/>
      <c r="HW202" s="6"/>
      <c r="HX202" s="5" t="str">
        <f t="shared" si="733"/>
        <v>NO APLICA</v>
      </c>
      <c r="HY202" s="6"/>
      <c r="HZ202" s="6"/>
      <c r="IA202" s="6"/>
      <c r="IB202" s="6"/>
      <c r="IC202" s="5" t="str">
        <f t="shared" si="734"/>
        <v>NO APLICA</v>
      </c>
      <c r="ID202" s="6"/>
      <c r="IE202" s="6"/>
      <c r="IF202" s="6"/>
      <c r="IG202" s="6"/>
      <c r="IH202" s="5" t="str">
        <f t="shared" si="735"/>
        <v>NO APLICA</v>
      </c>
      <c r="II202" s="6"/>
      <c r="IJ202" s="6"/>
      <c r="IK202" s="6"/>
      <c r="IL202" s="6"/>
      <c r="IM202" s="5" t="str">
        <f t="shared" si="736"/>
        <v>NO APLICA</v>
      </c>
      <c r="IN202" s="6"/>
      <c r="IO202" s="6"/>
      <c r="IP202" s="6"/>
      <c r="IQ202" s="6"/>
      <c r="IR202" s="5" t="str">
        <f t="shared" si="737"/>
        <v>NO APLICA</v>
      </c>
      <c r="IS202" s="6"/>
      <c r="IT202" s="6"/>
      <c r="IU202" s="6"/>
      <c r="IV202" s="6"/>
      <c r="IW202" s="5" t="str">
        <f t="shared" si="738"/>
        <v>NO APLICA</v>
      </c>
      <c r="IX202" s="6"/>
      <c r="IY202" s="6"/>
      <c r="IZ202" s="6"/>
      <c r="JA202" s="6"/>
      <c r="JB202" s="5" t="str">
        <f t="shared" si="739"/>
        <v>NO APLICA</v>
      </c>
      <c r="JC202" s="3" t="s">
        <v>780</v>
      </c>
      <c r="JD202" s="6"/>
      <c r="JE202" s="6"/>
      <c r="JF202" s="6"/>
      <c r="JG202" s="5"/>
      <c r="JH202" s="3" t="s">
        <v>780</v>
      </c>
      <c r="JI202" s="6"/>
      <c r="JJ202" s="6"/>
      <c r="JK202" s="6"/>
      <c r="JL202" s="5"/>
      <c r="JM202" s="6" t="s">
        <v>780</v>
      </c>
      <c r="JN202" s="6"/>
      <c r="JO202" s="6"/>
      <c r="JP202" s="6"/>
      <c r="JQ202" s="5"/>
      <c r="JR202" s="6" t="s">
        <v>780</v>
      </c>
      <c r="JS202" s="6"/>
      <c r="JT202" s="6"/>
      <c r="JU202" s="6"/>
      <c r="JV202" s="5"/>
      <c r="JW202" s="6" t="s">
        <v>780</v>
      </c>
      <c r="JX202" s="5"/>
      <c r="JY202" s="5"/>
      <c r="JZ202" s="5"/>
      <c r="KA202" s="38"/>
      <c r="KB202" s="5"/>
      <c r="KC202" s="6"/>
      <c r="KD202" s="6"/>
      <c r="KE202" s="6"/>
      <c r="KF202" s="5" t="str">
        <f t="shared" si="740"/>
        <v>NO APLICA</v>
      </c>
      <c r="KG202" s="5"/>
      <c r="KH202" s="6"/>
      <c r="KI202" s="6"/>
      <c r="KJ202" s="6"/>
      <c r="KK202" s="5" t="str">
        <f t="shared" si="760"/>
        <v>NO APLICA</v>
      </c>
      <c r="KL202" s="5"/>
      <c r="KM202" s="6"/>
      <c r="KN202" s="6"/>
      <c r="KO202" s="6"/>
      <c r="KP202" s="5" t="str">
        <f t="shared" si="741"/>
        <v>NO APLICA</v>
      </c>
      <c r="KQ202" s="5"/>
      <c r="KR202" s="6"/>
      <c r="KS202" s="6"/>
      <c r="KT202" s="6"/>
      <c r="KU202" s="5" t="str">
        <f t="shared" si="761"/>
        <v>NO APLICA</v>
      </c>
      <c r="KV202" s="6"/>
      <c r="KW202" s="6"/>
      <c r="KX202" s="6"/>
      <c r="KY202" s="6"/>
      <c r="KZ202" s="5" t="str">
        <f t="shared" si="767"/>
        <v>NO APLICA</v>
      </c>
      <c r="LA202" s="5"/>
      <c r="LB202" s="6"/>
      <c r="LC202" s="6"/>
      <c r="LD202" s="6"/>
      <c r="LE202" s="5" t="str">
        <f t="shared" si="762"/>
        <v>NO APLICA</v>
      </c>
      <c r="LF202" s="6"/>
      <c r="LG202" s="6"/>
      <c r="LH202" s="6"/>
      <c r="LI202" s="6"/>
      <c r="LJ202" s="5" t="str">
        <f t="shared" si="600"/>
        <v>NO APLICA</v>
      </c>
      <c r="LK202" s="5"/>
      <c r="LL202" s="5"/>
      <c r="LM202" s="4"/>
      <c r="LN202" s="8"/>
      <c r="LO202" s="5" t="str">
        <f t="shared" si="768"/>
        <v>NO APLICA</v>
      </c>
      <c r="LP202" s="6"/>
      <c r="LQ202" s="6"/>
      <c r="LR202" s="6"/>
      <c r="LS202" s="6"/>
      <c r="LT202" s="5" t="str">
        <f t="shared" si="763"/>
        <v>NO APLICA</v>
      </c>
      <c r="LU202" s="6"/>
      <c r="LV202" s="6"/>
      <c r="LW202" s="6"/>
      <c r="LX202" s="6"/>
      <c r="LY202" s="5" t="str">
        <f t="shared" si="764"/>
        <v>NO APLICA</v>
      </c>
      <c r="LZ202" s="6"/>
      <c r="MA202" s="6"/>
      <c r="MB202" s="6"/>
      <c r="MC202" s="6"/>
      <c r="MD202" s="5" t="str">
        <f t="shared" si="765"/>
        <v>NO APLICA</v>
      </c>
      <c r="ME202" s="6"/>
      <c r="MF202" s="6"/>
      <c r="MG202" s="6"/>
      <c r="MH202" s="6"/>
      <c r="MI202" s="5" t="str">
        <f t="shared" si="742"/>
        <v>NO APLICA</v>
      </c>
      <c r="MJ202" s="6"/>
      <c r="MK202" s="6"/>
      <c r="ML202" s="6"/>
      <c r="MM202" s="6"/>
      <c r="MN202" s="5" t="str">
        <f t="shared" si="743"/>
        <v>NO APLICA</v>
      </c>
      <c r="MO202" s="5"/>
      <c r="MP202" s="6"/>
      <c r="MQ202" s="6"/>
      <c r="MR202" s="6"/>
      <c r="MS202" s="5" t="str">
        <f t="shared" si="744"/>
        <v>NO APLICA</v>
      </c>
      <c r="MT202" s="5"/>
      <c r="MU202" s="6"/>
      <c r="MV202" s="6"/>
      <c r="MW202" s="6"/>
      <c r="MX202" s="5" t="str">
        <f t="shared" si="745"/>
        <v>NO APLICA</v>
      </c>
      <c r="MY202" s="6"/>
      <c r="MZ202" s="6"/>
      <c r="NA202" s="6"/>
      <c r="NB202" s="6"/>
      <c r="NC202" s="5" t="str">
        <f t="shared" si="746"/>
        <v>NO APLICA</v>
      </c>
      <c r="ND202" s="6"/>
      <c r="NE202" s="6"/>
      <c r="NF202" s="6"/>
      <c r="NG202" s="6"/>
      <c r="NH202" s="5" t="str">
        <f t="shared" si="747"/>
        <v>NO APLICA</v>
      </c>
      <c r="NI202" s="6"/>
      <c r="NJ202" s="6"/>
      <c r="NK202" s="6"/>
      <c r="NL202" s="6"/>
      <c r="NM202" s="5" t="str">
        <f t="shared" si="748"/>
        <v>NO APLICA</v>
      </c>
      <c r="NN202" s="6"/>
      <c r="NO202" s="6"/>
      <c r="NP202" s="6"/>
      <c r="NQ202" s="6"/>
      <c r="NR202" s="5" t="str">
        <f t="shared" si="749"/>
        <v>NO APLICA</v>
      </c>
      <c r="NS202" s="6"/>
      <c r="NT202" s="6"/>
      <c r="NU202" s="6"/>
      <c r="NV202" s="6"/>
      <c r="NW202" s="5" t="str">
        <f t="shared" si="750"/>
        <v>NO APLICA</v>
      </c>
      <c r="NX202" s="6"/>
      <c r="NY202" s="6"/>
      <c r="NZ202" s="6"/>
      <c r="OA202" s="6"/>
      <c r="OB202" s="5" t="str">
        <f t="shared" si="751"/>
        <v>NO APLICA</v>
      </c>
      <c r="OC202" s="6"/>
      <c r="OD202" s="6"/>
      <c r="OE202" s="6"/>
      <c r="OF202" s="6"/>
      <c r="OG202" s="5" t="str">
        <f t="shared" si="752"/>
        <v>NO APLICA</v>
      </c>
      <c r="OH202" s="6"/>
      <c r="OI202" s="6"/>
      <c r="OJ202" s="6"/>
      <c r="OK202" s="6"/>
      <c r="OL202" s="5" t="str">
        <f t="shared" si="753"/>
        <v>NO APLICA</v>
      </c>
      <c r="OM202" s="6"/>
      <c r="ON202" s="6"/>
      <c r="OO202" s="6"/>
      <c r="OP202" s="6"/>
      <c r="OQ202" s="5" t="str">
        <f t="shared" si="754"/>
        <v>NO APLICA</v>
      </c>
      <c r="OR202" s="6"/>
      <c r="OS202" s="6"/>
      <c r="OT202" s="6"/>
      <c r="OU202" s="6"/>
      <c r="OV202" s="5" t="str">
        <f t="shared" si="755"/>
        <v>NO APLICA</v>
      </c>
      <c r="OW202" s="6"/>
      <c r="OX202" s="6"/>
      <c r="OY202" s="6"/>
      <c r="OZ202" s="6"/>
      <c r="PA202" s="5" t="str">
        <f t="shared" si="769"/>
        <v>NO APLICA</v>
      </c>
      <c r="PB202" s="6"/>
      <c r="PC202" s="6"/>
      <c r="PD202" s="6"/>
      <c r="PE202" s="6"/>
      <c r="PF202" s="5" t="str">
        <f t="shared" si="756"/>
        <v>NO APLICA</v>
      </c>
      <c r="PG202" s="6"/>
      <c r="PH202" s="6"/>
      <c r="PI202" s="6"/>
      <c r="PJ202" s="6"/>
      <c r="PK202" s="5" t="str">
        <f t="shared" si="757"/>
        <v>NO APLICA</v>
      </c>
      <c r="PL202" s="5"/>
      <c r="PM202" s="6"/>
      <c r="PN202" s="6"/>
      <c r="PO202" s="6"/>
      <c r="PP202" s="5" t="str">
        <f t="shared" si="766"/>
        <v>NO APLICA</v>
      </c>
      <c r="PQ202" s="6"/>
      <c r="PR202" s="6"/>
      <c r="PS202" s="6"/>
      <c r="PT202" s="6"/>
      <c r="PU202" s="5" t="str">
        <f t="shared" si="758"/>
        <v>NO APLICA</v>
      </c>
      <c r="PV202" s="5"/>
      <c r="PW202" s="6"/>
      <c r="PX202" s="6"/>
      <c r="PY202" s="6"/>
      <c r="PZ202" s="5" t="str">
        <f t="shared" si="759"/>
        <v>NO APLICA</v>
      </c>
    </row>
    <row r="203" spans="1:442" ht="15.6" hidden="1" thickTop="1" thickBot="1" x14ac:dyDescent="0.35">
      <c r="A203" s="26">
        <v>200</v>
      </c>
      <c r="B203" s="31">
        <v>1215</v>
      </c>
      <c r="C203" s="28" t="s">
        <v>626</v>
      </c>
      <c r="D203" s="29" t="s">
        <v>627</v>
      </c>
      <c r="E203" s="30" t="s">
        <v>628</v>
      </c>
      <c r="F203" s="3"/>
      <c r="G203" s="4"/>
      <c r="H203" s="4"/>
      <c r="I203" s="8"/>
      <c r="J203" s="5" t="str">
        <f t="shared" si="696"/>
        <v>NO APLICA</v>
      </c>
      <c r="K203" s="2"/>
      <c r="L203" s="2"/>
      <c r="M203" s="2"/>
      <c r="N203" s="2"/>
      <c r="O203" s="5" t="str">
        <f t="shared" si="699"/>
        <v>NO APLICA</v>
      </c>
      <c r="P203" s="6"/>
      <c r="Q203" s="6"/>
      <c r="R203" s="4"/>
      <c r="S203" s="8"/>
      <c r="T203" s="5" t="str">
        <f t="shared" si="697"/>
        <v>NO APLICA</v>
      </c>
      <c r="U203" s="5"/>
      <c r="V203" s="2"/>
      <c r="W203" s="4"/>
      <c r="X203" s="4"/>
      <c r="Y203" s="8"/>
      <c r="Z203" s="5" t="str">
        <f t="shared" si="605"/>
        <v>NO APLICA</v>
      </c>
      <c r="AA203" s="5"/>
      <c r="AB203" s="2"/>
      <c r="AC203" s="6"/>
      <c r="AD203" s="4"/>
      <c r="AE203" s="8"/>
      <c r="AF203" s="5" t="str">
        <f t="shared" si="700"/>
        <v>NO APLICA</v>
      </c>
      <c r="AG203" s="2"/>
      <c r="AH203" s="4"/>
      <c r="AI203" s="4"/>
      <c r="AJ203" s="8"/>
      <c r="AK203" s="5" t="str">
        <f t="shared" si="602"/>
        <v>NO APLICA</v>
      </c>
      <c r="AL203" s="2"/>
      <c r="AM203" s="4"/>
      <c r="AN203" s="4"/>
      <c r="AO203" s="8"/>
      <c r="AP203" s="5" t="str">
        <f t="shared" si="701"/>
        <v>NO APLICA</v>
      </c>
      <c r="AQ203" s="2"/>
      <c r="AR203" s="4"/>
      <c r="AS203" s="4"/>
      <c r="AT203" s="8"/>
      <c r="AU203" s="5" t="str">
        <f t="shared" si="702"/>
        <v>NO APLICA</v>
      </c>
      <c r="AV203" s="2"/>
      <c r="AW203" s="4"/>
      <c r="AX203" s="4"/>
      <c r="AY203" s="8"/>
      <c r="AZ203" s="5" t="str">
        <f t="shared" si="703"/>
        <v>NO APLICA</v>
      </c>
      <c r="BA203" s="3"/>
      <c r="BB203" s="4"/>
      <c r="BC203" s="4"/>
      <c r="BD203" s="8"/>
      <c r="BE203" s="5" t="str">
        <f t="shared" si="704"/>
        <v>NO APLICA</v>
      </c>
      <c r="BF203" s="2"/>
      <c r="BG203" s="4"/>
      <c r="BH203" s="4"/>
      <c r="BI203" s="8"/>
      <c r="BJ203" s="5" t="str">
        <f t="shared" si="705"/>
        <v>NO APLICA</v>
      </c>
      <c r="BK203" s="3"/>
      <c r="BL203" s="4"/>
      <c r="BM203" s="4"/>
      <c r="BN203" s="8"/>
      <c r="BO203" s="5" t="str">
        <f t="shared" si="706"/>
        <v>NO APLICA</v>
      </c>
      <c r="BP203" s="3"/>
      <c r="BQ203" s="39"/>
      <c r="BR203" s="4"/>
      <c r="BS203" s="8"/>
      <c r="BT203" s="5" t="str">
        <f t="shared" si="707"/>
        <v>NO APLICA</v>
      </c>
      <c r="BU203" s="2"/>
      <c r="BV203" s="4"/>
      <c r="BW203" s="4"/>
      <c r="BX203" s="8"/>
      <c r="BY203" s="5" t="str">
        <f t="shared" si="708"/>
        <v>NO APLICA</v>
      </c>
      <c r="BZ203" s="2"/>
      <c r="CA203" s="4"/>
      <c r="CB203" s="4"/>
      <c r="CC203" s="8"/>
      <c r="CD203" s="5" t="str">
        <f t="shared" si="709"/>
        <v>NO APLICA</v>
      </c>
      <c r="CE203" s="6"/>
      <c r="CF203" s="4"/>
      <c r="CG203" s="4"/>
      <c r="CH203" s="8"/>
      <c r="CI203" s="5" t="str">
        <f t="shared" si="573"/>
        <v>NO APLICA</v>
      </c>
      <c r="CJ203" s="6"/>
      <c r="CK203" s="4"/>
      <c r="CL203" s="4"/>
      <c r="CM203" s="8"/>
      <c r="CN203" s="5" t="str">
        <f t="shared" si="710"/>
        <v>NO APLICA</v>
      </c>
      <c r="CO203" s="2"/>
      <c r="CP203" s="39"/>
      <c r="CQ203" s="4"/>
      <c r="CR203" s="8"/>
      <c r="CS203" s="5" t="str">
        <f t="shared" si="711"/>
        <v>NO APLICA</v>
      </c>
      <c r="CT203" s="2"/>
      <c r="CU203" s="4"/>
      <c r="CV203" s="4"/>
      <c r="CW203" s="8"/>
      <c r="CX203" s="5" t="str">
        <f t="shared" si="712"/>
        <v>NO APLICA</v>
      </c>
      <c r="CY203" s="3"/>
      <c r="CZ203" s="4"/>
      <c r="DA203" s="4"/>
      <c r="DB203" s="8"/>
      <c r="DC203" s="5" t="str">
        <f t="shared" si="713"/>
        <v>NO APLICA</v>
      </c>
      <c r="DD203" s="3"/>
      <c r="DE203" s="39"/>
      <c r="DF203" s="4"/>
      <c r="DG203" s="8"/>
      <c r="DH203" s="5" t="str">
        <f t="shared" si="714"/>
        <v>NO APLICA</v>
      </c>
      <c r="DI203" s="2"/>
      <c r="DJ203" s="39"/>
      <c r="DK203" s="4"/>
      <c r="DL203" s="8"/>
      <c r="DM203" s="5" t="str">
        <f t="shared" si="715"/>
        <v>NO APLICA</v>
      </c>
      <c r="DN203" s="3"/>
      <c r="DO203" s="4"/>
      <c r="DP203" s="4"/>
      <c r="DQ203" s="8"/>
      <c r="DR203" s="5" t="str">
        <f t="shared" si="716"/>
        <v>NO APLICA</v>
      </c>
      <c r="DS203" s="2"/>
      <c r="DT203" s="4"/>
      <c r="DU203" s="4"/>
      <c r="DV203" s="8"/>
      <c r="DW203" s="5" t="str">
        <f t="shared" si="717"/>
        <v>NO APLICA</v>
      </c>
      <c r="DX203" s="3"/>
      <c r="DY203" s="4"/>
      <c r="DZ203" s="4"/>
      <c r="EA203" s="8"/>
      <c r="EB203" s="5" t="str">
        <f t="shared" si="718"/>
        <v>NO APLICA</v>
      </c>
      <c r="EC203" s="3"/>
      <c r="ED203" s="39"/>
      <c r="EE203" s="4"/>
      <c r="EF203" s="8"/>
      <c r="EG203" s="5" t="str">
        <f t="shared" si="719"/>
        <v>NO APLICA</v>
      </c>
      <c r="EH203" s="2"/>
      <c r="EI203" s="4"/>
      <c r="EJ203" s="4"/>
      <c r="EK203" s="8"/>
      <c r="EL203" s="5" t="str">
        <f t="shared" si="720"/>
        <v>NO APLICA</v>
      </c>
      <c r="EM203" s="3"/>
      <c r="EN203" s="4"/>
      <c r="EO203" s="4"/>
      <c r="EP203" s="8"/>
      <c r="EQ203" s="5" t="str">
        <f t="shared" si="721"/>
        <v>NO APLICA</v>
      </c>
      <c r="ER203" s="2"/>
      <c r="ES203" s="39"/>
      <c r="ET203" s="4"/>
      <c r="EU203" s="8"/>
      <c r="EV203" s="5" t="str">
        <f t="shared" si="722"/>
        <v>NO APLICA</v>
      </c>
      <c r="EW203" s="2"/>
      <c r="EX203" s="4"/>
      <c r="EY203" s="4"/>
      <c r="EZ203" s="8"/>
      <c r="FA203" s="5" t="str">
        <f t="shared" si="723"/>
        <v>NO APLICA</v>
      </c>
      <c r="FB203" s="2"/>
      <c r="FC203" s="4"/>
      <c r="FD203" s="4"/>
      <c r="FE203" s="8"/>
      <c r="FF203" s="5" t="str">
        <f t="shared" si="724"/>
        <v>NO APLICA</v>
      </c>
      <c r="FG203" s="2"/>
      <c r="FH203" s="4"/>
      <c r="FI203" s="4"/>
      <c r="FJ203" s="8"/>
      <c r="FK203" s="5" t="str">
        <f t="shared" si="725"/>
        <v>NO APLICA</v>
      </c>
      <c r="FL203" s="3"/>
      <c r="FM203" s="39"/>
      <c r="FN203" s="4"/>
      <c r="FO203" s="8"/>
      <c r="FP203" s="5" t="str">
        <f t="shared" si="726"/>
        <v>NO APLICA</v>
      </c>
      <c r="FQ203" s="3"/>
      <c r="FR203" s="39"/>
      <c r="FS203" s="4"/>
      <c r="FT203" s="8"/>
      <c r="FU203" s="5" t="str">
        <f t="shared" si="727"/>
        <v>NO APLICA</v>
      </c>
      <c r="FV203" s="3"/>
      <c r="FW203" s="4"/>
      <c r="FX203" s="4"/>
      <c r="FY203" s="8"/>
      <c r="FZ203" s="5" t="str">
        <f t="shared" si="728"/>
        <v>NO APLICA</v>
      </c>
      <c r="GA203" s="3"/>
      <c r="GB203" s="4"/>
      <c r="GC203" s="4"/>
      <c r="GD203" s="8"/>
      <c r="GE203" s="5" t="str">
        <f t="shared" si="729"/>
        <v>NO APLICA</v>
      </c>
      <c r="GF203" s="3"/>
      <c r="GG203" s="4"/>
      <c r="GH203" s="4"/>
      <c r="GI203" s="8"/>
      <c r="GJ203" s="5" t="str">
        <f t="shared" si="730"/>
        <v>NO APLICA</v>
      </c>
      <c r="GK203" s="3"/>
      <c r="GL203" s="4"/>
      <c r="GM203" s="4"/>
      <c r="GN203" s="8"/>
      <c r="GO203" s="5" t="str">
        <f t="shared" si="731"/>
        <v>NO APLICA</v>
      </c>
      <c r="GP203" s="4"/>
      <c r="GQ203" s="4"/>
      <c r="GR203" s="4"/>
      <c r="GS203" s="8"/>
      <c r="GT203" s="5" t="str">
        <f t="shared" si="610"/>
        <v>NO APLICA</v>
      </c>
      <c r="GU203" s="3"/>
      <c r="GV203" s="4"/>
      <c r="GW203" s="4"/>
      <c r="GX203" s="8"/>
      <c r="GY203" s="5" t="str">
        <f t="shared" si="611"/>
        <v>NO APLICA</v>
      </c>
      <c r="GZ203" s="2"/>
      <c r="HA203" s="4"/>
      <c r="HB203" s="4"/>
      <c r="HC203" s="8"/>
      <c r="HD203" s="5" t="str">
        <f t="shared" si="612"/>
        <v>NO APLICA</v>
      </c>
      <c r="HE203" s="6"/>
      <c r="HF203" s="6"/>
      <c r="HG203" s="4"/>
      <c r="HH203" s="8"/>
      <c r="HI203" s="5" t="str">
        <f t="shared" si="698"/>
        <v>NO APLICA</v>
      </c>
      <c r="HJ203" s="2"/>
      <c r="HK203" s="6"/>
      <c r="HL203" s="4"/>
      <c r="HM203" s="8"/>
      <c r="HN203" s="5" t="str">
        <f t="shared" si="694"/>
        <v>NO APLICA</v>
      </c>
      <c r="HO203" s="2"/>
      <c r="HP203" s="2"/>
      <c r="HQ203" s="4"/>
      <c r="HR203" s="2"/>
      <c r="HS203" s="5" t="str">
        <f t="shared" si="732"/>
        <v>NO APLICA</v>
      </c>
      <c r="HT203" s="2"/>
      <c r="HU203" s="6"/>
      <c r="HV203" s="4"/>
      <c r="HW203" s="8"/>
      <c r="HX203" s="5" t="str">
        <f t="shared" si="733"/>
        <v>NO APLICA</v>
      </c>
      <c r="HY203" s="2"/>
      <c r="HZ203" s="6"/>
      <c r="IA203" s="4"/>
      <c r="IB203" s="8"/>
      <c r="IC203" s="5" t="str">
        <f t="shared" si="734"/>
        <v>NO APLICA</v>
      </c>
      <c r="ID203" s="2"/>
      <c r="IE203" s="6"/>
      <c r="IF203" s="4"/>
      <c r="IG203" s="8"/>
      <c r="IH203" s="5" t="str">
        <f t="shared" si="735"/>
        <v>NO APLICA</v>
      </c>
      <c r="II203" s="6"/>
      <c r="IJ203" s="6"/>
      <c r="IK203" s="4"/>
      <c r="IL203" s="8"/>
      <c r="IM203" s="5" t="str">
        <f t="shared" si="736"/>
        <v>NO APLICA</v>
      </c>
      <c r="IN203" s="2"/>
      <c r="IO203" s="6"/>
      <c r="IP203" s="4"/>
      <c r="IQ203" s="8"/>
      <c r="IR203" s="5" t="str">
        <f t="shared" si="737"/>
        <v>NO APLICA</v>
      </c>
      <c r="IS203" s="2"/>
      <c r="IT203" s="6"/>
      <c r="IU203" s="4"/>
      <c r="IV203" s="8"/>
      <c r="IW203" s="5" t="str">
        <f t="shared" si="738"/>
        <v>NO APLICA</v>
      </c>
      <c r="IX203" s="2"/>
      <c r="IY203" s="6"/>
      <c r="IZ203" s="4"/>
      <c r="JA203" s="8"/>
      <c r="JB203" s="5" t="str">
        <f t="shared" si="739"/>
        <v>NO APLICA</v>
      </c>
      <c r="JC203" s="3" t="s">
        <v>780</v>
      </c>
      <c r="JD203" s="3"/>
      <c r="JE203" s="4"/>
      <c r="JF203" s="8"/>
      <c r="JG203" s="5"/>
      <c r="JH203" s="3" t="s">
        <v>780</v>
      </c>
      <c r="JI203" s="6"/>
      <c r="JJ203" s="6"/>
      <c r="JK203" s="6"/>
      <c r="JL203" s="5"/>
      <c r="JM203" s="6" t="s">
        <v>780</v>
      </c>
      <c r="JN203" s="6"/>
      <c r="JO203" s="6"/>
      <c r="JP203" s="6"/>
      <c r="JQ203" s="5"/>
      <c r="JR203" s="6" t="s">
        <v>780</v>
      </c>
      <c r="JS203" s="6"/>
      <c r="JT203" s="6"/>
      <c r="JU203" s="6"/>
      <c r="JV203" s="5"/>
      <c r="JW203" s="6" t="s">
        <v>780</v>
      </c>
      <c r="JX203" s="5"/>
      <c r="JY203" s="5"/>
      <c r="JZ203" s="5"/>
      <c r="KA203" s="5"/>
      <c r="KB203" s="5"/>
      <c r="KC203" s="2"/>
      <c r="KD203" s="4"/>
      <c r="KE203" s="8"/>
      <c r="KF203" s="5" t="str">
        <f t="shared" si="740"/>
        <v>NO APLICA</v>
      </c>
      <c r="KG203" s="5"/>
      <c r="KH203" s="2"/>
      <c r="KI203" s="4"/>
      <c r="KJ203" s="8"/>
      <c r="KK203" s="5" t="str">
        <f t="shared" si="760"/>
        <v>NO APLICA</v>
      </c>
      <c r="KL203" s="5"/>
      <c r="KM203" s="2"/>
      <c r="KN203" s="4"/>
      <c r="KO203" s="8"/>
      <c r="KP203" s="5" t="str">
        <f t="shared" si="741"/>
        <v>NO APLICA</v>
      </c>
      <c r="KQ203" s="5"/>
      <c r="KR203" s="2"/>
      <c r="KS203" s="4"/>
      <c r="KT203" s="8"/>
      <c r="KU203" s="5" t="str">
        <f t="shared" si="761"/>
        <v>NO APLICA</v>
      </c>
      <c r="KV203" s="2"/>
      <c r="KW203" s="6"/>
      <c r="KX203" s="4"/>
      <c r="KY203" s="8"/>
      <c r="KZ203" s="5" t="str">
        <f t="shared" si="767"/>
        <v>NO APLICA</v>
      </c>
      <c r="LA203" s="5"/>
      <c r="LB203" s="6"/>
      <c r="LC203" s="4"/>
      <c r="LD203" s="8"/>
      <c r="LE203" s="5" t="str">
        <f t="shared" si="762"/>
        <v>NO APLICA</v>
      </c>
      <c r="LF203" s="6"/>
      <c r="LG203" s="6"/>
      <c r="LH203" s="4"/>
      <c r="LI203" s="8"/>
      <c r="LJ203" s="5" t="str">
        <f t="shared" si="600"/>
        <v>NO APLICA</v>
      </c>
      <c r="LK203" s="5"/>
      <c r="LL203" s="5"/>
      <c r="LM203" s="4"/>
      <c r="LN203" s="8"/>
      <c r="LO203" s="5" t="str">
        <f t="shared" si="768"/>
        <v>NO APLICA</v>
      </c>
      <c r="LP203" s="2"/>
      <c r="LQ203" s="6"/>
      <c r="LR203" s="4"/>
      <c r="LS203" s="8"/>
      <c r="LT203" s="5" t="str">
        <f t="shared" si="763"/>
        <v>NO APLICA</v>
      </c>
      <c r="LU203" s="6"/>
      <c r="LV203" s="6"/>
      <c r="LW203" s="4"/>
      <c r="LX203" s="8"/>
      <c r="LY203" s="5" t="str">
        <f t="shared" si="764"/>
        <v>NO APLICA</v>
      </c>
      <c r="LZ203" s="6"/>
      <c r="MA203" s="6"/>
      <c r="MB203" s="4"/>
      <c r="MC203" s="8"/>
      <c r="MD203" s="5" t="str">
        <f t="shared" si="765"/>
        <v>NO APLICA</v>
      </c>
      <c r="ME203" s="2"/>
      <c r="MF203" s="2"/>
      <c r="MG203" s="4"/>
      <c r="MH203" s="8"/>
      <c r="MI203" s="5" t="str">
        <f t="shared" si="742"/>
        <v>NO APLICA</v>
      </c>
      <c r="MJ203" s="2"/>
      <c r="MK203" s="2"/>
      <c r="ML203" s="4"/>
      <c r="MM203" s="8"/>
      <c r="MN203" s="5" t="str">
        <f t="shared" si="743"/>
        <v>NO APLICA</v>
      </c>
      <c r="MO203" s="5"/>
      <c r="MP203" s="2"/>
      <c r="MQ203" s="4"/>
      <c r="MR203" s="8"/>
      <c r="MS203" s="5" t="str">
        <f t="shared" si="744"/>
        <v>NO APLICA</v>
      </c>
      <c r="MT203" s="5"/>
      <c r="MU203" s="2"/>
      <c r="MV203" s="4"/>
      <c r="MW203" s="2"/>
      <c r="MX203" s="5" t="str">
        <f t="shared" si="745"/>
        <v>NO APLICA</v>
      </c>
      <c r="MY203" s="2"/>
      <c r="MZ203" s="6"/>
      <c r="NA203" s="4"/>
      <c r="NB203" s="8"/>
      <c r="NC203" s="5" t="str">
        <f t="shared" si="746"/>
        <v>NO APLICA</v>
      </c>
      <c r="ND203" s="2"/>
      <c r="NE203" s="6"/>
      <c r="NF203" s="4"/>
      <c r="NG203" s="8"/>
      <c r="NH203" s="5" t="str">
        <f t="shared" si="747"/>
        <v>NO APLICA</v>
      </c>
      <c r="NI203" s="2"/>
      <c r="NJ203" s="6"/>
      <c r="NK203" s="4"/>
      <c r="NL203" s="8"/>
      <c r="NM203" s="5" t="str">
        <f t="shared" si="748"/>
        <v>NO APLICA</v>
      </c>
      <c r="NN203" s="2"/>
      <c r="NO203" s="2"/>
      <c r="NP203" s="4"/>
      <c r="NQ203" s="8"/>
      <c r="NR203" s="5" t="str">
        <f t="shared" si="749"/>
        <v>NO APLICA</v>
      </c>
      <c r="NS203" s="2"/>
      <c r="NT203" s="2"/>
      <c r="NU203" s="4"/>
      <c r="NV203" s="2"/>
      <c r="NW203" s="5" t="str">
        <f t="shared" si="750"/>
        <v>NO APLICA</v>
      </c>
      <c r="NX203" s="6"/>
      <c r="NY203" s="6"/>
      <c r="NZ203" s="4"/>
      <c r="OA203" s="8"/>
      <c r="OB203" s="5" t="str">
        <f t="shared" si="751"/>
        <v>NO APLICA</v>
      </c>
      <c r="OC203" s="6"/>
      <c r="OD203" s="6"/>
      <c r="OE203" s="6"/>
      <c r="OF203" s="6"/>
      <c r="OG203" s="5" t="str">
        <f t="shared" si="752"/>
        <v>NO APLICA</v>
      </c>
      <c r="OH203" s="6"/>
      <c r="OI203" s="6"/>
      <c r="OJ203" s="4"/>
      <c r="OK203" s="8"/>
      <c r="OL203" s="5" t="str">
        <f t="shared" si="753"/>
        <v>NO APLICA</v>
      </c>
      <c r="OM203" s="6"/>
      <c r="ON203" s="6"/>
      <c r="OO203" s="6"/>
      <c r="OP203" s="6"/>
      <c r="OQ203" s="5" t="str">
        <f t="shared" si="754"/>
        <v>NO APLICA</v>
      </c>
      <c r="OR203" s="6"/>
      <c r="OS203" s="6"/>
      <c r="OT203" s="6"/>
      <c r="OU203" s="6"/>
      <c r="OV203" s="5" t="str">
        <f t="shared" si="755"/>
        <v>NO APLICA</v>
      </c>
      <c r="OW203" s="6"/>
      <c r="OX203" s="6"/>
      <c r="OY203" s="6"/>
      <c r="OZ203" s="6"/>
      <c r="PA203" s="5" t="str">
        <f t="shared" si="769"/>
        <v>NO APLICA</v>
      </c>
      <c r="PB203" s="6"/>
      <c r="PC203" s="6"/>
      <c r="PD203" s="6"/>
      <c r="PE203" s="6"/>
      <c r="PF203" s="5" t="str">
        <f t="shared" si="756"/>
        <v>NO APLICA</v>
      </c>
      <c r="PG203" s="6"/>
      <c r="PH203" s="6"/>
      <c r="PI203" s="6"/>
      <c r="PJ203" s="6"/>
      <c r="PK203" s="5" t="str">
        <f t="shared" si="757"/>
        <v>NO APLICA</v>
      </c>
      <c r="PL203" s="5"/>
      <c r="PM203" s="6"/>
      <c r="PN203" s="4"/>
      <c r="PO203" s="8"/>
      <c r="PP203" s="5" t="str">
        <f t="shared" si="766"/>
        <v>NO APLICA</v>
      </c>
      <c r="PQ203" s="6"/>
      <c r="PR203" s="6"/>
      <c r="PS203" s="6"/>
      <c r="PT203" s="6"/>
      <c r="PU203" s="5" t="str">
        <f t="shared" si="758"/>
        <v>NO APLICA</v>
      </c>
      <c r="PV203" s="5"/>
      <c r="PW203" s="4">
        <v>46126</v>
      </c>
      <c r="PX203" s="4">
        <f>DATE(YEAR(PW203)+1,MONTH(PW203),DAY(PW203))</f>
        <v>46491</v>
      </c>
      <c r="PY203" s="8">
        <f ca="1">PX203-TODAY()</f>
        <v>346</v>
      </c>
      <c r="PZ203" s="5" t="str">
        <f t="shared" ca="1" si="759"/>
        <v>VIGENTE</v>
      </c>
    </row>
    <row r="204" spans="1:442" ht="15.6" hidden="1" thickTop="1" thickBot="1" x14ac:dyDescent="0.35">
      <c r="A204" s="26">
        <v>201</v>
      </c>
      <c r="B204" s="31">
        <v>13</v>
      </c>
      <c r="C204" s="28" t="s">
        <v>629</v>
      </c>
      <c r="D204" s="29" t="s">
        <v>630</v>
      </c>
      <c r="E204" s="30" t="s">
        <v>631</v>
      </c>
      <c r="F204" s="3"/>
      <c r="G204" s="4"/>
      <c r="H204" s="4"/>
      <c r="I204" s="8"/>
      <c r="J204" s="5" t="str">
        <f t="shared" si="696"/>
        <v>NO APLICA</v>
      </c>
      <c r="K204" s="2"/>
      <c r="L204" s="2"/>
      <c r="M204" s="2"/>
      <c r="N204" s="2"/>
      <c r="O204" s="5" t="str">
        <f t="shared" si="699"/>
        <v>NO APLICA</v>
      </c>
      <c r="P204" s="6"/>
      <c r="Q204" s="6"/>
      <c r="R204" s="4"/>
      <c r="S204" s="8"/>
      <c r="T204" s="5" t="str">
        <f t="shared" si="697"/>
        <v>NO APLICA</v>
      </c>
      <c r="U204" s="5"/>
      <c r="V204" s="2"/>
      <c r="W204" s="4"/>
      <c r="X204" s="4"/>
      <c r="Y204" s="8"/>
      <c r="Z204" s="5" t="str">
        <f t="shared" si="605"/>
        <v>NO APLICA</v>
      </c>
      <c r="AA204" s="5"/>
      <c r="AB204" s="2"/>
      <c r="AC204" s="6"/>
      <c r="AD204" s="4"/>
      <c r="AE204" s="8"/>
      <c r="AF204" s="5" t="str">
        <f t="shared" si="700"/>
        <v>NO APLICA</v>
      </c>
      <c r="AG204" s="2"/>
      <c r="AH204" s="4"/>
      <c r="AI204" s="4"/>
      <c r="AJ204" s="8"/>
      <c r="AK204" s="5" t="str">
        <f t="shared" si="602"/>
        <v>NO APLICA</v>
      </c>
      <c r="AL204" s="2"/>
      <c r="AM204" s="4"/>
      <c r="AN204" s="4"/>
      <c r="AO204" s="8"/>
      <c r="AP204" s="5" t="str">
        <f t="shared" si="701"/>
        <v>NO APLICA</v>
      </c>
      <c r="AQ204" s="2"/>
      <c r="AR204" s="4"/>
      <c r="AS204" s="4"/>
      <c r="AT204" s="8"/>
      <c r="AU204" s="5" t="str">
        <f t="shared" si="702"/>
        <v>NO APLICA</v>
      </c>
      <c r="AV204" s="2"/>
      <c r="AW204" s="4"/>
      <c r="AX204" s="4"/>
      <c r="AY204" s="8"/>
      <c r="AZ204" s="5" t="str">
        <f t="shared" si="703"/>
        <v>NO APLICA</v>
      </c>
      <c r="BA204" s="3"/>
      <c r="BB204" s="4"/>
      <c r="BC204" s="4"/>
      <c r="BD204" s="8"/>
      <c r="BE204" s="5" t="str">
        <f t="shared" si="704"/>
        <v>NO APLICA</v>
      </c>
      <c r="BF204" s="2"/>
      <c r="BG204" s="4"/>
      <c r="BH204" s="4"/>
      <c r="BI204" s="8"/>
      <c r="BJ204" s="5" t="str">
        <f t="shared" si="705"/>
        <v>NO APLICA</v>
      </c>
      <c r="BK204" s="3"/>
      <c r="BL204" s="4"/>
      <c r="BM204" s="4"/>
      <c r="BN204" s="8"/>
      <c r="BO204" s="5" t="str">
        <f t="shared" si="706"/>
        <v>NO APLICA</v>
      </c>
      <c r="BP204" s="3"/>
      <c r="BQ204" s="39"/>
      <c r="BR204" s="4"/>
      <c r="BS204" s="8"/>
      <c r="BT204" s="5" t="str">
        <f t="shared" si="707"/>
        <v>NO APLICA</v>
      </c>
      <c r="BU204" s="2"/>
      <c r="BV204" s="4"/>
      <c r="BW204" s="4"/>
      <c r="BX204" s="8"/>
      <c r="BY204" s="5" t="str">
        <f t="shared" si="708"/>
        <v>NO APLICA</v>
      </c>
      <c r="BZ204" s="2"/>
      <c r="CA204" s="4"/>
      <c r="CB204" s="4"/>
      <c r="CC204" s="8"/>
      <c r="CD204" s="5" t="str">
        <f t="shared" si="709"/>
        <v>NO APLICA</v>
      </c>
      <c r="CE204" s="6"/>
      <c r="CF204" s="4"/>
      <c r="CG204" s="4"/>
      <c r="CH204" s="8"/>
      <c r="CI204" s="5" t="str">
        <f t="shared" si="573"/>
        <v>NO APLICA</v>
      </c>
      <c r="CJ204" s="6"/>
      <c r="CK204" s="4"/>
      <c r="CL204" s="4"/>
      <c r="CM204" s="8"/>
      <c r="CN204" s="5" t="str">
        <f t="shared" si="710"/>
        <v>NO APLICA</v>
      </c>
      <c r="CO204" s="2"/>
      <c r="CP204" s="39"/>
      <c r="CQ204" s="4"/>
      <c r="CR204" s="8"/>
      <c r="CS204" s="5" t="str">
        <f t="shared" si="711"/>
        <v>NO APLICA</v>
      </c>
      <c r="CT204" s="2"/>
      <c r="CU204" s="4"/>
      <c r="CV204" s="4"/>
      <c r="CW204" s="8"/>
      <c r="CX204" s="5" t="str">
        <f t="shared" si="712"/>
        <v>NO APLICA</v>
      </c>
      <c r="CY204" s="3"/>
      <c r="CZ204" s="4"/>
      <c r="DA204" s="4"/>
      <c r="DB204" s="8"/>
      <c r="DC204" s="5" t="str">
        <f t="shared" si="713"/>
        <v>NO APLICA</v>
      </c>
      <c r="DD204" s="3"/>
      <c r="DE204" s="39"/>
      <c r="DF204" s="4"/>
      <c r="DG204" s="8"/>
      <c r="DH204" s="5" t="str">
        <f t="shared" si="714"/>
        <v>NO APLICA</v>
      </c>
      <c r="DI204" s="2"/>
      <c r="DJ204" s="39"/>
      <c r="DK204" s="4"/>
      <c r="DL204" s="8"/>
      <c r="DM204" s="5" t="str">
        <f t="shared" si="715"/>
        <v>NO APLICA</v>
      </c>
      <c r="DN204" s="3"/>
      <c r="DO204" s="4"/>
      <c r="DP204" s="4"/>
      <c r="DQ204" s="8"/>
      <c r="DR204" s="5" t="str">
        <f t="shared" si="716"/>
        <v>NO APLICA</v>
      </c>
      <c r="DS204" s="2"/>
      <c r="DT204" s="4"/>
      <c r="DU204" s="4"/>
      <c r="DV204" s="8"/>
      <c r="DW204" s="5" t="str">
        <f t="shared" si="717"/>
        <v>NO APLICA</v>
      </c>
      <c r="DX204" s="3"/>
      <c r="DY204" s="4"/>
      <c r="DZ204" s="4"/>
      <c r="EA204" s="8"/>
      <c r="EB204" s="5" t="str">
        <f t="shared" si="718"/>
        <v>NO APLICA</v>
      </c>
      <c r="EC204" s="3"/>
      <c r="ED204" s="39"/>
      <c r="EE204" s="4"/>
      <c r="EF204" s="8"/>
      <c r="EG204" s="5" t="str">
        <f t="shared" si="719"/>
        <v>NO APLICA</v>
      </c>
      <c r="EH204" s="2"/>
      <c r="EI204" s="4"/>
      <c r="EJ204" s="4"/>
      <c r="EK204" s="8"/>
      <c r="EL204" s="5" t="str">
        <f t="shared" si="720"/>
        <v>NO APLICA</v>
      </c>
      <c r="EM204" s="3"/>
      <c r="EN204" s="4"/>
      <c r="EO204" s="4"/>
      <c r="EP204" s="8"/>
      <c r="EQ204" s="5" t="str">
        <f t="shared" si="721"/>
        <v>NO APLICA</v>
      </c>
      <c r="ER204" s="2"/>
      <c r="ES204" s="39"/>
      <c r="ET204" s="4"/>
      <c r="EU204" s="8"/>
      <c r="EV204" s="5" t="str">
        <f t="shared" si="722"/>
        <v>NO APLICA</v>
      </c>
      <c r="EW204" s="2"/>
      <c r="EX204" s="4"/>
      <c r="EY204" s="4"/>
      <c r="EZ204" s="8"/>
      <c r="FA204" s="5" t="str">
        <f t="shared" si="723"/>
        <v>NO APLICA</v>
      </c>
      <c r="FB204" s="2"/>
      <c r="FC204" s="4"/>
      <c r="FD204" s="4"/>
      <c r="FE204" s="8"/>
      <c r="FF204" s="5" t="str">
        <f t="shared" si="724"/>
        <v>NO APLICA</v>
      </c>
      <c r="FG204" s="2"/>
      <c r="FH204" s="4"/>
      <c r="FI204" s="4"/>
      <c r="FJ204" s="8"/>
      <c r="FK204" s="5" t="str">
        <f t="shared" si="725"/>
        <v>NO APLICA</v>
      </c>
      <c r="FL204" s="3"/>
      <c r="FM204" s="39"/>
      <c r="FN204" s="4"/>
      <c r="FO204" s="8"/>
      <c r="FP204" s="5" t="str">
        <f t="shared" si="726"/>
        <v>NO APLICA</v>
      </c>
      <c r="FQ204" s="3"/>
      <c r="FR204" s="39"/>
      <c r="FS204" s="4"/>
      <c r="FT204" s="8"/>
      <c r="FU204" s="5" t="str">
        <f t="shared" si="727"/>
        <v>NO APLICA</v>
      </c>
      <c r="FV204" s="3"/>
      <c r="FW204" s="4"/>
      <c r="FX204" s="4"/>
      <c r="FY204" s="8"/>
      <c r="FZ204" s="5" t="str">
        <f t="shared" si="728"/>
        <v>NO APLICA</v>
      </c>
      <c r="GA204" s="3"/>
      <c r="GB204" s="4"/>
      <c r="GC204" s="4"/>
      <c r="GD204" s="8"/>
      <c r="GE204" s="5" t="str">
        <f t="shared" si="729"/>
        <v>NO APLICA</v>
      </c>
      <c r="GF204" s="3"/>
      <c r="GG204" s="4"/>
      <c r="GH204" s="4"/>
      <c r="GI204" s="8"/>
      <c r="GJ204" s="5" t="str">
        <f t="shared" si="730"/>
        <v>NO APLICA</v>
      </c>
      <c r="GK204" s="3"/>
      <c r="GL204" s="4"/>
      <c r="GM204" s="4"/>
      <c r="GN204" s="8"/>
      <c r="GO204" s="5" t="str">
        <f t="shared" si="731"/>
        <v>NO APLICA</v>
      </c>
      <c r="GP204" s="4"/>
      <c r="GQ204" s="4"/>
      <c r="GR204" s="4"/>
      <c r="GS204" s="8"/>
      <c r="GT204" s="5" t="str">
        <f t="shared" si="610"/>
        <v>NO APLICA</v>
      </c>
      <c r="GU204" s="3"/>
      <c r="GV204" s="4"/>
      <c r="GW204" s="4"/>
      <c r="GX204" s="8"/>
      <c r="GY204" s="5" t="str">
        <f t="shared" si="611"/>
        <v>NO APLICA</v>
      </c>
      <c r="GZ204" s="2"/>
      <c r="HA204" s="4"/>
      <c r="HB204" s="4"/>
      <c r="HC204" s="8"/>
      <c r="HD204" s="5" t="str">
        <f t="shared" si="612"/>
        <v>NO APLICA</v>
      </c>
      <c r="HE204" s="6"/>
      <c r="HF204" s="6"/>
      <c r="HG204" s="4"/>
      <c r="HH204" s="8"/>
      <c r="HI204" s="5" t="str">
        <f t="shared" si="698"/>
        <v>NO APLICA</v>
      </c>
      <c r="HJ204" s="2"/>
      <c r="HK204" s="6"/>
      <c r="HL204" s="4"/>
      <c r="HM204" s="8"/>
      <c r="HN204" s="5" t="str">
        <f t="shared" si="694"/>
        <v>NO APLICA</v>
      </c>
      <c r="HO204" s="2"/>
      <c r="HP204" s="2"/>
      <c r="HQ204" s="4"/>
      <c r="HR204" s="2"/>
      <c r="HS204" s="5" t="str">
        <f t="shared" si="732"/>
        <v>NO APLICA</v>
      </c>
      <c r="HT204" s="2"/>
      <c r="HU204" s="6"/>
      <c r="HV204" s="4"/>
      <c r="HW204" s="8"/>
      <c r="HX204" s="5" t="str">
        <f t="shared" si="733"/>
        <v>NO APLICA</v>
      </c>
      <c r="HY204" s="2"/>
      <c r="HZ204" s="6"/>
      <c r="IA204" s="4"/>
      <c r="IB204" s="8"/>
      <c r="IC204" s="5" t="str">
        <f t="shared" si="734"/>
        <v>NO APLICA</v>
      </c>
      <c r="ID204" s="2"/>
      <c r="IE204" s="6"/>
      <c r="IF204" s="4"/>
      <c r="IG204" s="8"/>
      <c r="IH204" s="5" t="str">
        <f t="shared" si="735"/>
        <v>NO APLICA</v>
      </c>
      <c r="II204" s="6"/>
      <c r="IJ204" s="6"/>
      <c r="IK204" s="4"/>
      <c r="IL204" s="8"/>
      <c r="IM204" s="5" t="str">
        <f t="shared" si="736"/>
        <v>NO APLICA</v>
      </c>
      <c r="IN204" s="2"/>
      <c r="IO204" s="6"/>
      <c r="IP204" s="4"/>
      <c r="IQ204" s="8"/>
      <c r="IR204" s="5" t="str">
        <f t="shared" si="737"/>
        <v>NO APLICA</v>
      </c>
      <c r="IS204" s="2"/>
      <c r="IT204" s="6"/>
      <c r="IU204" s="4"/>
      <c r="IV204" s="8"/>
      <c r="IW204" s="5" t="str">
        <f t="shared" si="738"/>
        <v>NO APLICA</v>
      </c>
      <c r="IX204" s="2"/>
      <c r="IY204" s="6"/>
      <c r="IZ204" s="4"/>
      <c r="JA204" s="8"/>
      <c r="JB204" s="5" t="str">
        <f t="shared" si="739"/>
        <v>NO APLICA</v>
      </c>
      <c r="JC204" s="3" t="s">
        <v>780</v>
      </c>
      <c r="JD204" s="3"/>
      <c r="JE204" s="4"/>
      <c r="JF204" s="8"/>
      <c r="JG204" s="5"/>
      <c r="JH204" s="3" t="s">
        <v>780</v>
      </c>
      <c r="JI204" s="6"/>
      <c r="JJ204" s="6"/>
      <c r="JK204" s="6"/>
      <c r="JL204" s="5"/>
      <c r="JM204" s="6" t="s">
        <v>780</v>
      </c>
      <c r="JN204" s="6"/>
      <c r="JO204" s="6"/>
      <c r="JP204" s="6"/>
      <c r="JQ204" s="5"/>
      <c r="JR204" s="6" t="s">
        <v>780</v>
      </c>
      <c r="JS204" s="6"/>
      <c r="JT204" s="6"/>
      <c r="JU204" s="6"/>
      <c r="JV204" s="5"/>
      <c r="JW204" s="6" t="s">
        <v>780</v>
      </c>
      <c r="JX204" s="5"/>
      <c r="JY204" s="5"/>
      <c r="JZ204" s="5"/>
      <c r="KA204" s="38"/>
      <c r="KB204" s="5"/>
      <c r="KC204" s="2"/>
      <c r="KD204" s="4"/>
      <c r="KE204" s="8"/>
      <c r="KF204" s="5" t="str">
        <f t="shared" si="740"/>
        <v>NO APLICA</v>
      </c>
      <c r="KG204" s="5"/>
      <c r="KH204" s="2"/>
      <c r="KI204" s="4"/>
      <c r="KJ204" s="8"/>
      <c r="KK204" s="5" t="str">
        <f t="shared" si="760"/>
        <v>NO APLICA</v>
      </c>
      <c r="KL204" s="5"/>
      <c r="KM204" s="2"/>
      <c r="KN204" s="4"/>
      <c r="KO204" s="8"/>
      <c r="KP204" s="5" t="str">
        <f t="shared" si="741"/>
        <v>NO APLICA</v>
      </c>
      <c r="KQ204" s="5"/>
      <c r="KR204" s="2"/>
      <c r="KS204" s="4"/>
      <c r="KT204" s="8"/>
      <c r="KU204" s="5" t="str">
        <f t="shared" si="761"/>
        <v>NO APLICA</v>
      </c>
      <c r="KV204" s="2"/>
      <c r="KW204" s="6"/>
      <c r="KX204" s="4"/>
      <c r="KY204" s="8"/>
      <c r="KZ204" s="5" t="str">
        <f t="shared" si="767"/>
        <v>NO APLICA</v>
      </c>
      <c r="LA204" s="5"/>
      <c r="LB204" s="6"/>
      <c r="LC204" s="4"/>
      <c r="LD204" s="8"/>
      <c r="LE204" s="5" t="str">
        <f t="shared" si="762"/>
        <v>NO APLICA</v>
      </c>
      <c r="LF204" s="6"/>
      <c r="LG204" s="6"/>
      <c r="LH204" s="4"/>
      <c r="LI204" s="8"/>
      <c r="LJ204" s="5" t="str">
        <f t="shared" si="600"/>
        <v>NO APLICA</v>
      </c>
      <c r="LK204" s="5"/>
      <c r="LL204" s="5"/>
      <c r="LM204" s="4"/>
      <c r="LN204" s="8"/>
      <c r="LO204" s="5" t="str">
        <f t="shared" si="768"/>
        <v>NO APLICA</v>
      </c>
      <c r="LP204" s="2"/>
      <c r="LQ204" s="6"/>
      <c r="LR204" s="4"/>
      <c r="LS204" s="8"/>
      <c r="LT204" s="5" t="str">
        <f t="shared" si="763"/>
        <v>NO APLICA</v>
      </c>
      <c r="LU204" s="6"/>
      <c r="LV204" s="6"/>
      <c r="LW204" s="4"/>
      <c r="LX204" s="8"/>
      <c r="LY204" s="5" t="str">
        <f t="shared" si="764"/>
        <v>NO APLICA</v>
      </c>
      <c r="LZ204" s="6"/>
      <c r="MA204" s="6"/>
      <c r="MB204" s="4"/>
      <c r="MC204" s="8"/>
      <c r="MD204" s="5" t="str">
        <f t="shared" si="765"/>
        <v>NO APLICA</v>
      </c>
      <c r="ME204" s="2"/>
      <c r="MF204" s="2"/>
      <c r="MG204" s="4"/>
      <c r="MH204" s="8"/>
      <c r="MI204" s="5" t="str">
        <f t="shared" si="742"/>
        <v>NO APLICA</v>
      </c>
      <c r="MJ204" s="2"/>
      <c r="MK204" s="2"/>
      <c r="ML204" s="4"/>
      <c r="MM204" s="8"/>
      <c r="MN204" s="5" t="str">
        <f t="shared" si="743"/>
        <v>NO APLICA</v>
      </c>
      <c r="MO204" s="5"/>
      <c r="MP204" s="2"/>
      <c r="MQ204" s="4"/>
      <c r="MR204" s="8"/>
      <c r="MS204" s="5" t="str">
        <f t="shared" si="744"/>
        <v>NO APLICA</v>
      </c>
      <c r="MT204" s="5"/>
      <c r="MU204" s="2"/>
      <c r="MV204" s="4"/>
      <c r="MW204" s="2"/>
      <c r="MX204" s="5" t="str">
        <f t="shared" si="745"/>
        <v>NO APLICA</v>
      </c>
      <c r="MY204" s="2"/>
      <c r="MZ204" s="6"/>
      <c r="NA204" s="4"/>
      <c r="NB204" s="8"/>
      <c r="NC204" s="5" t="str">
        <f t="shared" si="746"/>
        <v>NO APLICA</v>
      </c>
      <c r="ND204" s="2"/>
      <c r="NE204" s="6"/>
      <c r="NF204" s="4"/>
      <c r="NG204" s="8"/>
      <c r="NH204" s="5" t="str">
        <f t="shared" si="747"/>
        <v>NO APLICA</v>
      </c>
      <c r="NI204" s="2"/>
      <c r="NJ204" s="6"/>
      <c r="NK204" s="4"/>
      <c r="NL204" s="8"/>
      <c r="NM204" s="5" t="str">
        <f t="shared" si="748"/>
        <v>NO APLICA</v>
      </c>
      <c r="NN204" s="2"/>
      <c r="NO204" s="2"/>
      <c r="NP204" s="4"/>
      <c r="NQ204" s="8"/>
      <c r="NR204" s="5" t="str">
        <f t="shared" si="749"/>
        <v>NO APLICA</v>
      </c>
      <c r="NS204" s="2"/>
      <c r="NT204" s="2"/>
      <c r="NU204" s="4"/>
      <c r="NV204" s="2"/>
      <c r="NW204" s="5" t="str">
        <f t="shared" si="750"/>
        <v>NO APLICA</v>
      </c>
      <c r="NX204" s="6"/>
      <c r="NY204" s="6"/>
      <c r="NZ204" s="4"/>
      <c r="OA204" s="8"/>
      <c r="OB204" s="5" t="str">
        <f t="shared" si="751"/>
        <v>NO APLICA</v>
      </c>
      <c r="OC204" s="6"/>
      <c r="OD204" s="6"/>
      <c r="OE204" s="6"/>
      <c r="OF204" s="6"/>
      <c r="OG204" s="5" t="str">
        <f t="shared" si="752"/>
        <v>NO APLICA</v>
      </c>
      <c r="OH204" s="6"/>
      <c r="OI204" s="6"/>
      <c r="OJ204" s="4"/>
      <c r="OK204" s="8"/>
      <c r="OL204" s="5" t="str">
        <f t="shared" si="753"/>
        <v>NO APLICA</v>
      </c>
      <c r="OM204" s="6"/>
      <c r="ON204" s="6"/>
      <c r="OO204" s="6"/>
      <c r="OP204" s="6"/>
      <c r="OQ204" s="5" t="str">
        <f t="shared" si="754"/>
        <v>NO APLICA</v>
      </c>
      <c r="OR204" s="6"/>
      <c r="OS204" s="6"/>
      <c r="OT204" s="6"/>
      <c r="OU204" s="6"/>
      <c r="OV204" s="5" t="str">
        <f t="shared" si="755"/>
        <v>NO APLICA</v>
      </c>
      <c r="OW204" s="4"/>
      <c r="OX204" s="4">
        <v>44770</v>
      </c>
      <c r="OY204" s="4">
        <f>DATE(YEAR(OX204)+5,MONTH(OX204),DAY(OX204))</f>
        <v>46596</v>
      </c>
      <c r="OZ204" s="8">
        <f ca="1">OY204-TODAY()</f>
        <v>451</v>
      </c>
      <c r="PA204" s="5" t="str">
        <f ca="1">IF(OZ204&gt;=61,"VIGENTE",IF(OZ204&gt;=1,"POR VENCER",IF(OZ204&lt;=-1,"VENCIDA",IF(OX204=0,"NO APLICA"))))</f>
        <v>VIGENTE</v>
      </c>
      <c r="PB204" s="6"/>
      <c r="PC204" s="6"/>
      <c r="PD204" s="6"/>
      <c r="PE204" s="6"/>
      <c r="PF204" s="5" t="str">
        <f t="shared" si="756"/>
        <v>NO APLICA</v>
      </c>
      <c r="PG204" s="6"/>
      <c r="PH204" s="6"/>
      <c r="PI204" s="6"/>
      <c r="PJ204" s="6"/>
      <c r="PK204" s="5" t="str">
        <f t="shared" si="757"/>
        <v>NO APLICA</v>
      </c>
      <c r="PL204" s="5"/>
      <c r="PM204" s="6"/>
      <c r="PN204" s="4"/>
      <c r="PO204" s="8"/>
      <c r="PP204" s="5" t="str">
        <f t="shared" si="766"/>
        <v>NO APLICA</v>
      </c>
      <c r="PQ204" s="6"/>
      <c r="PR204" s="6"/>
      <c r="PS204" s="6"/>
      <c r="PT204" s="6"/>
      <c r="PU204" s="5" t="str">
        <f t="shared" si="758"/>
        <v>NO APLICA</v>
      </c>
      <c r="PV204" s="5"/>
      <c r="PW204" s="6"/>
      <c r="PX204" s="6"/>
      <c r="PY204" s="6"/>
      <c r="PZ204" s="5" t="str">
        <f t="shared" si="759"/>
        <v>NO APLICA</v>
      </c>
    </row>
    <row r="205" spans="1:442" ht="15.6" hidden="1" thickTop="1" thickBot="1" x14ac:dyDescent="0.35">
      <c r="A205" s="26">
        <v>202</v>
      </c>
      <c r="B205" s="31">
        <v>1733</v>
      </c>
      <c r="C205" s="28" t="s">
        <v>632</v>
      </c>
      <c r="D205" s="29" t="s">
        <v>633</v>
      </c>
      <c r="E205" s="30" t="s">
        <v>634</v>
      </c>
      <c r="F205" s="3"/>
      <c r="G205" s="4"/>
      <c r="H205" s="4"/>
      <c r="I205" s="8"/>
      <c r="J205" s="5" t="str">
        <f t="shared" si="696"/>
        <v>NO APLICA</v>
      </c>
      <c r="K205" s="2"/>
      <c r="L205" s="2"/>
      <c r="M205" s="2"/>
      <c r="N205" s="2"/>
      <c r="O205" s="5" t="str">
        <f t="shared" si="699"/>
        <v>NO APLICA</v>
      </c>
      <c r="P205" s="6"/>
      <c r="Q205" s="6"/>
      <c r="R205" s="4"/>
      <c r="S205" s="8"/>
      <c r="T205" s="5" t="str">
        <f t="shared" si="697"/>
        <v>NO APLICA</v>
      </c>
      <c r="U205" s="5"/>
      <c r="V205" s="2"/>
      <c r="W205" s="4"/>
      <c r="X205" s="4"/>
      <c r="Y205" s="8"/>
      <c r="Z205" s="5" t="str">
        <f t="shared" si="605"/>
        <v>NO APLICA</v>
      </c>
      <c r="AA205" s="5"/>
      <c r="AB205" s="2"/>
      <c r="AC205" s="6"/>
      <c r="AD205" s="4"/>
      <c r="AE205" s="8"/>
      <c r="AF205" s="5" t="str">
        <f t="shared" si="700"/>
        <v>NO APLICA</v>
      </c>
      <c r="AG205" s="2"/>
      <c r="AH205" s="4"/>
      <c r="AI205" s="4"/>
      <c r="AJ205" s="8"/>
      <c r="AK205" s="5" t="str">
        <f t="shared" si="602"/>
        <v>NO APLICA</v>
      </c>
      <c r="AL205" s="2"/>
      <c r="AM205" s="4"/>
      <c r="AN205" s="4"/>
      <c r="AO205" s="8"/>
      <c r="AP205" s="5" t="str">
        <f t="shared" si="701"/>
        <v>NO APLICA</v>
      </c>
      <c r="AQ205" s="2"/>
      <c r="AR205" s="4"/>
      <c r="AS205" s="4"/>
      <c r="AT205" s="8"/>
      <c r="AU205" s="5" t="str">
        <f t="shared" si="702"/>
        <v>NO APLICA</v>
      </c>
      <c r="AV205" s="2"/>
      <c r="AW205" s="4"/>
      <c r="AX205" s="4"/>
      <c r="AY205" s="8"/>
      <c r="AZ205" s="5" t="str">
        <f t="shared" si="703"/>
        <v>NO APLICA</v>
      </c>
      <c r="BA205" s="3"/>
      <c r="BB205" s="4"/>
      <c r="BC205" s="4"/>
      <c r="BD205" s="8"/>
      <c r="BE205" s="5" t="str">
        <f t="shared" si="704"/>
        <v>NO APLICA</v>
      </c>
      <c r="BF205" s="2"/>
      <c r="BG205" s="4"/>
      <c r="BH205" s="4"/>
      <c r="BI205" s="8"/>
      <c r="BJ205" s="5" t="str">
        <f t="shared" si="705"/>
        <v>NO APLICA</v>
      </c>
      <c r="BK205" s="3"/>
      <c r="BL205" s="4"/>
      <c r="BM205" s="4"/>
      <c r="BN205" s="8"/>
      <c r="BO205" s="5" t="str">
        <f t="shared" si="706"/>
        <v>NO APLICA</v>
      </c>
      <c r="BP205" s="3"/>
      <c r="BQ205" s="39"/>
      <c r="BR205" s="4"/>
      <c r="BS205" s="8"/>
      <c r="BT205" s="5" t="str">
        <f t="shared" si="707"/>
        <v>NO APLICA</v>
      </c>
      <c r="BU205" s="2"/>
      <c r="BV205" s="4"/>
      <c r="BW205" s="4"/>
      <c r="BX205" s="8"/>
      <c r="BY205" s="5" t="str">
        <f t="shared" si="708"/>
        <v>NO APLICA</v>
      </c>
      <c r="BZ205" s="2"/>
      <c r="CA205" s="4"/>
      <c r="CB205" s="4"/>
      <c r="CC205" s="8"/>
      <c r="CD205" s="5" t="str">
        <f t="shared" si="709"/>
        <v>NO APLICA</v>
      </c>
      <c r="CE205" s="6"/>
      <c r="CF205" s="4"/>
      <c r="CG205" s="4"/>
      <c r="CH205" s="8"/>
      <c r="CI205" s="5" t="str">
        <f t="shared" si="573"/>
        <v>NO APLICA</v>
      </c>
      <c r="CJ205" s="6"/>
      <c r="CK205" s="4"/>
      <c r="CL205" s="4"/>
      <c r="CM205" s="8"/>
      <c r="CN205" s="5" t="str">
        <f t="shared" si="710"/>
        <v>NO APLICA</v>
      </c>
      <c r="CO205" s="2"/>
      <c r="CP205" s="39"/>
      <c r="CQ205" s="4"/>
      <c r="CR205" s="8"/>
      <c r="CS205" s="5" t="str">
        <f t="shared" si="711"/>
        <v>NO APLICA</v>
      </c>
      <c r="CT205" s="2"/>
      <c r="CU205" s="4"/>
      <c r="CV205" s="4"/>
      <c r="CW205" s="8"/>
      <c r="CX205" s="5" t="str">
        <f t="shared" si="712"/>
        <v>NO APLICA</v>
      </c>
      <c r="CY205" s="3"/>
      <c r="CZ205" s="4"/>
      <c r="DA205" s="4"/>
      <c r="DB205" s="8"/>
      <c r="DC205" s="5" t="str">
        <f t="shared" si="713"/>
        <v>NO APLICA</v>
      </c>
      <c r="DD205" s="3"/>
      <c r="DE205" s="39"/>
      <c r="DF205" s="4"/>
      <c r="DG205" s="8"/>
      <c r="DH205" s="5" t="str">
        <f t="shared" si="714"/>
        <v>NO APLICA</v>
      </c>
      <c r="DI205" s="2"/>
      <c r="DJ205" s="39"/>
      <c r="DK205" s="4"/>
      <c r="DL205" s="8"/>
      <c r="DM205" s="5" t="str">
        <f t="shared" si="715"/>
        <v>NO APLICA</v>
      </c>
      <c r="DN205" s="3"/>
      <c r="DO205" s="4"/>
      <c r="DP205" s="4"/>
      <c r="DQ205" s="8"/>
      <c r="DR205" s="5" t="str">
        <f t="shared" si="716"/>
        <v>NO APLICA</v>
      </c>
      <c r="DS205" s="2"/>
      <c r="DT205" s="4"/>
      <c r="DU205" s="4"/>
      <c r="DV205" s="8"/>
      <c r="DW205" s="5" t="str">
        <f t="shared" si="717"/>
        <v>NO APLICA</v>
      </c>
      <c r="DX205" s="3"/>
      <c r="DY205" s="4"/>
      <c r="DZ205" s="4"/>
      <c r="EA205" s="8"/>
      <c r="EB205" s="5" t="str">
        <f t="shared" si="718"/>
        <v>NO APLICA</v>
      </c>
      <c r="EC205" s="3"/>
      <c r="ED205" s="39"/>
      <c r="EE205" s="4"/>
      <c r="EF205" s="8"/>
      <c r="EG205" s="5" t="str">
        <f t="shared" si="719"/>
        <v>NO APLICA</v>
      </c>
      <c r="EH205" s="2"/>
      <c r="EI205" s="4"/>
      <c r="EJ205" s="4"/>
      <c r="EK205" s="8"/>
      <c r="EL205" s="5" t="str">
        <f t="shared" si="720"/>
        <v>NO APLICA</v>
      </c>
      <c r="EM205" s="3"/>
      <c r="EN205" s="4"/>
      <c r="EO205" s="4"/>
      <c r="EP205" s="8"/>
      <c r="EQ205" s="5" t="str">
        <f t="shared" si="721"/>
        <v>NO APLICA</v>
      </c>
      <c r="ER205" s="2"/>
      <c r="ES205" s="39"/>
      <c r="ET205" s="4"/>
      <c r="EU205" s="8"/>
      <c r="EV205" s="5" t="str">
        <f t="shared" si="722"/>
        <v>NO APLICA</v>
      </c>
      <c r="EW205" s="2"/>
      <c r="EX205" s="4"/>
      <c r="EY205" s="4"/>
      <c r="EZ205" s="8"/>
      <c r="FA205" s="5" t="str">
        <f t="shared" si="723"/>
        <v>NO APLICA</v>
      </c>
      <c r="FB205" s="2"/>
      <c r="FC205" s="4"/>
      <c r="FD205" s="4"/>
      <c r="FE205" s="8"/>
      <c r="FF205" s="5" t="str">
        <f t="shared" si="724"/>
        <v>NO APLICA</v>
      </c>
      <c r="FG205" s="2"/>
      <c r="FH205" s="4"/>
      <c r="FI205" s="4"/>
      <c r="FJ205" s="8"/>
      <c r="FK205" s="5" t="str">
        <f t="shared" si="725"/>
        <v>NO APLICA</v>
      </c>
      <c r="FL205" s="3"/>
      <c r="FM205" s="39"/>
      <c r="FN205" s="4"/>
      <c r="FO205" s="8"/>
      <c r="FP205" s="5" t="str">
        <f t="shared" si="726"/>
        <v>NO APLICA</v>
      </c>
      <c r="FQ205" s="3"/>
      <c r="FR205" s="39"/>
      <c r="FS205" s="4"/>
      <c r="FT205" s="8"/>
      <c r="FU205" s="5" t="str">
        <f t="shared" si="727"/>
        <v>NO APLICA</v>
      </c>
      <c r="FV205" s="3"/>
      <c r="FW205" s="4"/>
      <c r="FX205" s="4"/>
      <c r="FY205" s="8"/>
      <c r="FZ205" s="5" t="str">
        <f t="shared" si="728"/>
        <v>NO APLICA</v>
      </c>
      <c r="GA205" s="3"/>
      <c r="GB205" s="4"/>
      <c r="GC205" s="4"/>
      <c r="GD205" s="8"/>
      <c r="GE205" s="5" t="str">
        <f t="shared" si="729"/>
        <v>NO APLICA</v>
      </c>
      <c r="GF205" s="3"/>
      <c r="GG205" s="4"/>
      <c r="GH205" s="4"/>
      <c r="GI205" s="8"/>
      <c r="GJ205" s="5" t="str">
        <f t="shared" si="730"/>
        <v>NO APLICA</v>
      </c>
      <c r="GK205" s="3"/>
      <c r="GL205" s="4"/>
      <c r="GM205" s="4"/>
      <c r="GN205" s="8"/>
      <c r="GO205" s="5" t="str">
        <f t="shared" si="731"/>
        <v>NO APLICA</v>
      </c>
      <c r="GP205" s="4"/>
      <c r="GQ205" s="4"/>
      <c r="GR205" s="4"/>
      <c r="GS205" s="8"/>
      <c r="GT205" s="5" t="str">
        <f t="shared" si="610"/>
        <v>NO APLICA</v>
      </c>
      <c r="GU205" s="3"/>
      <c r="GV205" s="4"/>
      <c r="GW205" s="4"/>
      <c r="GX205" s="8"/>
      <c r="GY205" s="5" t="str">
        <f t="shared" si="611"/>
        <v>NO APLICA</v>
      </c>
      <c r="GZ205" s="2"/>
      <c r="HA205" s="4"/>
      <c r="HB205" s="4"/>
      <c r="HC205" s="8"/>
      <c r="HD205" s="5" t="str">
        <f t="shared" si="612"/>
        <v>NO APLICA</v>
      </c>
      <c r="HE205" s="6"/>
      <c r="HF205" s="6"/>
      <c r="HG205" s="4"/>
      <c r="HH205" s="8"/>
      <c r="HI205" s="5" t="str">
        <f t="shared" si="698"/>
        <v>NO APLICA</v>
      </c>
      <c r="HJ205" s="2"/>
      <c r="HK205" s="6"/>
      <c r="HL205" s="4"/>
      <c r="HM205" s="8"/>
      <c r="HN205" s="5" t="str">
        <f t="shared" si="694"/>
        <v>NO APLICA</v>
      </c>
      <c r="HO205" s="2"/>
      <c r="HP205" s="2"/>
      <c r="HQ205" s="4"/>
      <c r="HR205" s="2"/>
      <c r="HS205" s="5" t="str">
        <f t="shared" si="732"/>
        <v>NO APLICA</v>
      </c>
      <c r="HT205" s="2"/>
      <c r="HU205" s="6"/>
      <c r="HV205" s="4"/>
      <c r="HW205" s="8"/>
      <c r="HX205" s="5" t="str">
        <f t="shared" si="733"/>
        <v>NO APLICA</v>
      </c>
      <c r="HY205" s="2"/>
      <c r="HZ205" s="6"/>
      <c r="IA205" s="4"/>
      <c r="IB205" s="8"/>
      <c r="IC205" s="5" t="str">
        <f t="shared" si="734"/>
        <v>NO APLICA</v>
      </c>
      <c r="ID205" s="2"/>
      <c r="IE205" s="6"/>
      <c r="IF205" s="4"/>
      <c r="IG205" s="8"/>
      <c r="IH205" s="5" t="str">
        <f t="shared" si="735"/>
        <v>NO APLICA</v>
      </c>
      <c r="II205" s="6"/>
      <c r="IJ205" s="6"/>
      <c r="IK205" s="4"/>
      <c r="IL205" s="8"/>
      <c r="IM205" s="5" t="str">
        <f t="shared" si="736"/>
        <v>NO APLICA</v>
      </c>
      <c r="IN205" s="2"/>
      <c r="IO205" s="6"/>
      <c r="IP205" s="4"/>
      <c r="IQ205" s="8"/>
      <c r="IR205" s="5" t="str">
        <f t="shared" si="737"/>
        <v>NO APLICA</v>
      </c>
      <c r="IS205" s="2"/>
      <c r="IT205" s="6"/>
      <c r="IU205" s="4"/>
      <c r="IV205" s="8"/>
      <c r="IW205" s="5" t="str">
        <f t="shared" si="738"/>
        <v>NO APLICA</v>
      </c>
      <c r="IX205" s="2"/>
      <c r="IY205" s="6"/>
      <c r="IZ205" s="4"/>
      <c r="JA205" s="8"/>
      <c r="JB205" s="5" t="str">
        <f t="shared" si="739"/>
        <v>NO APLICA</v>
      </c>
      <c r="JC205" s="3" t="s">
        <v>780</v>
      </c>
      <c r="JD205" s="3"/>
      <c r="JE205" s="4"/>
      <c r="JF205" s="8"/>
      <c r="JG205" s="5"/>
      <c r="JH205" s="3" t="s">
        <v>780</v>
      </c>
      <c r="JI205" s="4"/>
      <c r="JJ205" s="6"/>
      <c r="JK205" s="6"/>
      <c r="JL205" s="5"/>
      <c r="JM205" s="6" t="s">
        <v>780</v>
      </c>
      <c r="JN205" s="6"/>
      <c r="JO205" s="6"/>
      <c r="JP205" s="6"/>
      <c r="JQ205" s="5"/>
      <c r="JR205" s="6" t="s">
        <v>780</v>
      </c>
      <c r="JS205" s="4"/>
      <c r="JT205" s="6"/>
      <c r="JU205" s="6"/>
      <c r="JV205" s="5"/>
      <c r="JW205" s="6" t="s">
        <v>780</v>
      </c>
      <c r="JX205" s="3"/>
      <c r="JY205" s="4"/>
      <c r="JZ205" s="8"/>
      <c r="KA205" s="5"/>
      <c r="KB205" s="5"/>
      <c r="KC205" s="2"/>
      <c r="KD205" s="4"/>
      <c r="KE205" s="8"/>
      <c r="KF205" s="5" t="str">
        <f t="shared" si="740"/>
        <v>NO APLICA</v>
      </c>
      <c r="KG205" s="5"/>
      <c r="KH205" s="2"/>
      <c r="KI205" s="4"/>
      <c r="KJ205" s="8"/>
      <c r="KK205" s="5" t="str">
        <f t="shared" si="760"/>
        <v>NO APLICA</v>
      </c>
      <c r="KL205" s="5"/>
      <c r="KM205" s="2"/>
      <c r="KN205" s="4"/>
      <c r="KO205" s="8"/>
      <c r="KP205" s="5" t="str">
        <f t="shared" si="741"/>
        <v>NO APLICA</v>
      </c>
      <c r="KQ205" s="5"/>
      <c r="KR205" s="2"/>
      <c r="KS205" s="4"/>
      <c r="KT205" s="8"/>
      <c r="KU205" s="5" t="str">
        <f t="shared" si="761"/>
        <v>NO APLICA</v>
      </c>
      <c r="KV205" s="2"/>
      <c r="KW205" s="6"/>
      <c r="KX205" s="4"/>
      <c r="KY205" s="8"/>
      <c r="KZ205" s="5" t="str">
        <f t="shared" si="767"/>
        <v>NO APLICA</v>
      </c>
      <c r="LA205" s="5"/>
      <c r="LB205" s="6"/>
      <c r="LC205" s="4"/>
      <c r="LD205" s="8"/>
      <c r="LE205" s="5" t="str">
        <f t="shared" si="762"/>
        <v>NO APLICA</v>
      </c>
      <c r="LF205" s="6"/>
      <c r="LG205" s="6"/>
      <c r="LH205" s="4"/>
      <c r="LI205" s="8"/>
      <c r="LJ205" s="5" t="str">
        <f t="shared" si="600"/>
        <v>NO APLICA</v>
      </c>
      <c r="LK205" s="5"/>
      <c r="LL205" s="5"/>
      <c r="LM205" s="4"/>
      <c r="LN205" s="8"/>
      <c r="LO205" s="5" t="str">
        <f t="shared" si="768"/>
        <v>NO APLICA</v>
      </c>
      <c r="LP205" s="2"/>
      <c r="LQ205" s="6"/>
      <c r="LR205" s="4"/>
      <c r="LS205" s="8"/>
      <c r="LT205" s="5" t="str">
        <f t="shared" si="763"/>
        <v>NO APLICA</v>
      </c>
      <c r="LU205" s="6"/>
      <c r="LV205" s="6"/>
      <c r="LW205" s="4"/>
      <c r="LX205" s="8"/>
      <c r="LY205" s="5" t="str">
        <f t="shared" si="764"/>
        <v>NO APLICA</v>
      </c>
      <c r="LZ205" s="6"/>
      <c r="MA205" s="6"/>
      <c r="MB205" s="4"/>
      <c r="MC205" s="8"/>
      <c r="MD205" s="5" t="str">
        <f t="shared" si="765"/>
        <v>NO APLICA</v>
      </c>
      <c r="ME205" s="2"/>
      <c r="MF205" s="2"/>
      <c r="MG205" s="4"/>
      <c r="MH205" s="8"/>
      <c r="MI205" s="5" t="str">
        <f t="shared" si="742"/>
        <v>NO APLICA</v>
      </c>
      <c r="MJ205" s="2"/>
      <c r="MK205" s="2"/>
      <c r="ML205" s="4"/>
      <c r="MM205" s="8"/>
      <c r="MN205" s="5" t="str">
        <f t="shared" si="743"/>
        <v>NO APLICA</v>
      </c>
      <c r="MO205" s="5"/>
      <c r="MP205" s="2"/>
      <c r="MQ205" s="4"/>
      <c r="MR205" s="8"/>
      <c r="MS205" s="5" t="str">
        <f t="shared" si="744"/>
        <v>NO APLICA</v>
      </c>
      <c r="MT205" s="5"/>
      <c r="MU205" s="2"/>
      <c r="MV205" s="4"/>
      <c r="MW205" s="2"/>
      <c r="MX205" s="5" t="str">
        <f t="shared" si="745"/>
        <v>NO APLICA</v>
      </c>
      <c r="MY205" s="2"/>
      <c r="MZ205" s="6"/>
      <c r="NA205" s="4"/>
      <c r="NB205" s="8"/>
      <c r="NC205" s="5" t="str">
        <f t="shared" si="746"/>
        <v>NO APLICA</v>
      </c>
      <c r="ND205" s="2"/>
      <c r="NE205" s="6"/>
      <c r="NF205" s="4"/>
      <c r="NG205" s="8"/>
      <c r="NH205" s="5" t="str">
        <f t="shared" si="747"/>
        <v>NO APLICA</v>
      </c>
      <c r="NI205" s="2"/>
      <c r="NJ205" s="6"/>
      <c r="NK205" s="4"/>
      <c r="NL205" s="8"/>
      <c r="NM205" s="5" t="str">
        <f t="shared" si="748"/>
        <v>NO APLICA</v>
      </c>
      <c r="NN205" s="2"/>
      <c r="NO205" s="2"/>
      <c r="NP205" s="4"/>
      <c r="NQ205" s="8"/>
      <c r="NR205" s="5" t="str">
        <f t="shared" si="749"/>
        <v>NO APLICA</v>
      </c>
      <c r="NS205" s="2"/>
      <c r="NT205" s="2"/>
      <c r="NU205" s="4"/>
      <c r="NV205" s="2"/>
      <c r="NW205" s="5" t="str">
        <f t="shared" si="750"/>
        <v>NO APLICA</v>
      </c>
      <c r="NX205" s="6"/>
      <c r="NY205" s="6"/>
      <c r="NZ205" s="4"/>
      <c r="OA205" s="8"/>
      <c r="OB205" s="5" t="str">
        <f t="shared" si="751"/>
        <v>NO APLICA</v>
      </c>
      <c r="OC205" s="6"/>
      <c r="OD205" s="6"/>
      <c r="OE205" s="6"/>
      <c r="OF205" s="6"/>
      <c r="OG205" s="5" t="str">
        <f t="shared" si="752"/>
        <v>NO APLICA</v>
      </c>
      <c r="OH205" s="6"/>
      <c r="OI205" s="6"/>
      <c r="OJ205" s="4"/>
      <c r="OK205" s="8"/>
      <c r="OL205" s="5" t="str">
        <f t="shared" si="753"/>
        <v>NO APLICA</v>
      </c>
      <c r="OM205" s="6"/>
      <c r="ON205" s="6"/>
      <c r="OO205" s="6"/>
      <c r="OP205" s="6"/>
      <c r="OQ205" s="5" t="str">
        <f t="shared" si="754"/>
        <v>NO APLICA</v>
      </c>
      <c r="OR205" s="6"/>
      <c r="OS205" s="6"/>
      <c r="OT205" s="6"/>
      <c r="OU205" s="6"/>
      <c r="OV205" s="5" t="str">
        <f t="shared" si="755"/>
        <v>NO APLICA</v>
      </c>
      <c r="OW205" s="6"/>
      <c r="OX205" s="6"/>
      <c r="OY205" s="6"/>
      <c r="OZ205" s="6"/>
      <c r="PA205" s="5" t="str">
        <f t="shared" si="769"/>
        <v>NO APLICA</v>
      </c>
      <c r="PB205" s="6"/>
      <c r="PC205" s="6"/>
      <c r="PD205" s="6"/>
      <c r="PE205" s="6"/>
      <c r="PF205" s="5" t="str">
        <f t="shared" si="756"/>
        <v>NO APLICA</v>
      </c>
      <c r="PG205" s="6"/>
      <c r="PH205" s="6"/>
      <c r="PI205" s="6"/>
      <c r="PJ205" s="6"/>
      <c r="PK205" s="5" t="str">
        <f t="shared" si="757"/>
        <v>NO APLICA</v>
      </c>
      <c r="PL205" s="5"/>
      <c r="PM205" s="6"/>
      <c r="PN205" s="4"/>
      <c r="PO205" s="8"/>
      <c r="PP205" s="5" t="str">
        <f t="shared" si="766"/>
        <v>NO APLICA</v>
      </c>
      <c r="PQ205" s="6"/>
      <c r="PR205" s="6"/>
      <c r="PS205" s="6"/>
      <c r="PT205" s="6"/>
      <c r="PU205" s="5" t="str">
        <f t="shared" si="758"/>
        <v>NO APLICA</v>
      </c>
      <c r="PV205" s="5"/>
      <c r="PW205" s="4">
        <v>46126</v>
      </c>
      <c r="PX205" s="4">
        <f>DATE(YEAR(PW205)+1,MONTH(PW205),DAY(PW205))</f>
        <v>46491</v>
      </c>
      <c r="PY205" s="8">
        <f ca="1">PX205-TODAY()</f>
        <v>346</v>
      </c>
      <c r="PZ205" s="5" t="str">
        <f t="shared" ca="1" si="759"/>
        <v>VIGENTE</v>
      </c>
    </row>
    <row r="206" spans="1:442" ht="15.6" hidden="1" thickTop="1" thickBot="1" x14ac:dyDescent="0.35">
      <c r="A206" s="26">
        <v>203</v>
      </c>
      <c r="B206" s="31">
        <v>1595</v>
      </c>
      <c r="C206" s="28" t="s">
        <v>635</v>
      </c>
      <c r="D206" s="29" t="s">
        <v>636</v>
      </c>
      <c r="E206" s="30" t="s">
        <v>637</v>
      </c>
      <c r="F206" s="6"/>
      <c r="G206" s="6"/>
      <c r="H206" s="6"/>
      <c r="I206" s="6"/>
      <c r="J206" s="5" t="str">
        <f t="shared" si="696"/>
        <v>NO APLICA</v>
      </c>
      <c r="K206" s="6"/>
      <c r="L206" s="6"/>
      <c r="M206" s="6"/>
      <c r="N206" s="6"/>
      <c r="O206" s="5" t="str">
        <f t="shared" si="699"/>
        <v>NO APLICA</v>
      </c>
      <c r="P206" s="6"/>
      <c r="Q206" s="6"/>
      <c r="R206" s="6"/>
      <c r="S206" s="6"/>
      <c r="T206" s="5" t="str">
        <f t="shared" si="697"/>
        <v>NO APLICA</v>
      </c>
      <c r="U206" s="5"/>
      <c r="V206" s="6"/>
      <c r="W206" s="4"/>
      <c r="X206" s="4"/>
      <c r="Y206" s="8"/>
      <c r="Z206" s="5" t="str">
        <f t="shared" si="605"/>
        <v>NO APLICA</v>
      </c>
      <c r="AA206" s="5"/>
      <c r="AB206" s="6"/>
      <c r="AC206" s="6"/>
      <c r="AD206" s="6"/>
      <c r="AE206" s="6"/>
      <c r="AF206" s="5" t="str">
        <f t="shared" si="700"/>
        <v>NO APLICA</v>
      </c>
      <c r="AG206" s="4"/>
      <c r="AH206" s="4"/>
      <c r="AI206" s="4"/>
      <c r="AJ206" s="6"/>
      <c r="AK206" s="5" t="str">
        <f t="shared" si="602"/>
        <v>NO APLICA</v>
      </c>
      <c r="AL206" s="4"/>
      <c r="AM206" s="4"/>
      <c r="AN206" s="4"/>
      <c r="AO206" s="6"/>
      <c r="AP206" s="5" t="str">
        <f t="shared" si="701"/>
        <v>NO APLICA</v>
      </c>
      <c r="AQ206" s="4"/>
      <c r="AR206" s="4"/>
      <c r="AS206" s="4"/>
      <c r="AT206" s="6"/>
      <c r="AU206" s="5" t="str">
        <f t="shared" si="702"/>
        <v>NO APLICA</v>
      </c>
      <c r="AV206" s="4"/>
      <c r="AW206" s="4"/>
      <c r="AX206" s="4"/>
      <c r="AY206" s="6"/>
      <c r="AZ206" s="5" t="str">
        <f t="shared" si="703"/>
        <v>NO APLICA</v>
      </c>
      <c r="BA206" s="4"/>
      <c r="BB206" s="4"/>
      <c r="BC206" s="4"/>
      <c r="BD206" s="6"/>
      <c r="BE206" s="5" t="str">
        <f t="shared" si="704"/>
        <v>NO APLICA</v>
      </c>
      <c r="BF206" s="4"/>
      <c r="BG206" s="4"/>
      <c r="BH206" s="4"/>
      <c r="BI206" s="6"/>
      <c r="BJ206" s="5" t="str">
        <f t="shared" si="705"/>
        <v>NO APLICA</v>
      </c>
      <c r="BK206" s="4"/>
      <c r="BL206" s="4"/>
      <c r="BM206" s="4"/>
      <c r="BN206" s="6"/>
      <c r="BO206" s="5" t="str">
        <f t="shared" si="706"/>
        <v>NO APLICA</v>
      </c>
      <c r="BP206" s="4"/>
      <c r="BQ206" s="4"/>
      <c r="BR206" s="4"/>
      <c r="BS206" s="6"/>
      <c r="BT206" s="5" t="str">
        <f t="shared" si="707"/>
        <v>NO APLICA</v>
      </c>
      <c r="BU206" s="4"/>
      <c r="BV206" s="4"/>
      <c r="BW206" s="4"/>
      <c r="BX206" s="6"/>
      <c r="BY206" s="5" t="str">
        <f t="shared" si="708"/>
        <v>NO APLICA</v>
      </c>
      <c r="BZ206" s="4"/>
      <c r="CA206" s="4"/>
      <c r="CB206" s="4"/>
      <c r="CC206" s="6"/>
      <c r="CD206" s="5" t="str">
        <f t="shared" si="709"/>
        <v>NO APLICA</v>
      </c>
      <c r="CE206" s="6"/>
      <c r="CF206" s="4">
        <v>46134</v>
      </c>
      <c r="CG206" s="4">
        <f>DATE(YEAR(CF206)+4,MONTH(CF206),DAY(CF206))</f>
        <v>47595</v>
      </c>
      <c r="CH206" s="8">
        <f ca="1">CG206-TODAY()</f>
        <v>1450</v>
      </c>
      <c r="CI206" s="5" t="str">
        <f ca="1">IF(CH206&gt;=90,"VIGENTE",IF(CH206&gt;=1,"POR VENCER",IF(CH206&lt;=-1,"VENCIDA",IF(CH206=0,"NO APLICA"))))</f>
        <v>VIGENTE</v>
      </c>
      <c r="CJ206" s="4"/>
      <c r="CK206" s="4"/>
      <c r="CL206" s="4"/>
      <c r="CM206" s="6"/>
      <c r="CN206" s="5" t="str">
        <f t="shared" si="710"/>
        <v>NO APLICA</v>
      </c>
      <c r="CO206" s="4"/>
      <c r="CP206" s="4"/>
      <c r="CQ206" s="4"/>
      <c r="CR206" s="6"/>
      <c r="CS206" s="5" t="str">
        <f t="shared" si="711"/>
        <v>NO APLICA</v>
      </c>
      <c r="CT206" s="4"/>
      <c r="CU206" s="4"/>
      <c r="CV206" s="4"/>
      <c r="CW206" s="6"/>
      <c r="CX206" s="5" t="str">
        <f t="shared" si="712"/>
        <v>NO APLICA</v>
      </c>
      <c r="CY206" s="4"/>
      <c r="CZ206" s="4"/>
      <c r="DA206" s="4"/>
      <c r="DB206" s="6"/>
      <c r="DC206" s="5" t="str">
        <f t="shared" si="713"/>
        <v>NO APLICA</v>
      </c>
      <c r="DD206" s="4"/>
      <c r="DE206" s="4"/>
      <c r="DF206" s="4"/>
      <c r="DG206" s="6"/>
      <c r="DH206" s="5" t="str">
        <f t="shared" si="714"/>
        <v>NO APLICA</v>
      </c>
      <c r="DI206" s="4"/>
      <c r="DJ206" s="4"/>
      <c r="DK206" s="4"/>
      <c r="DL206" s="6"/>
      <c r="DM206" s="5" t="str">
        <f t="shared" si="715"/>
        <v>NO APLICA</v>
      </c>
      <c r="DN206" s="4"/>
      <c r="DO206" s="4"/>
      <c r="DP206" s="4"/>
      <c r="DQ206" s="6"/>
      <c r="DR206" s="5" t="str">
        <f t="shared" si="716"/>
        <v>NO APLICA</v>
      </c>
      <c r="DS206" s="4"/>
      <c r="DT206" s="4"/>
      <c r="DU206" s="4"/>
      <c r="DV206" s="6"/>
      <c r="DW206" s="5" t="str">
        <f t="shared" si="717"/>
        <v>NO APLICA</v>
      </c>
      <c r="DX206" s="4"/>
      <c r="DY206" s="4"/>
      <c r="DZ206" s="4"/>
      <c r="EA206" s="6"/>
      <c r="EB206" s="5" t="str">
        <f t="shared" si="718"/>
        <v>NO APLICA</v>
      </c>
      <c r="EC206" s="4"/>
      <c r="ED206" s="4"/>
      <c r="EE206" s="4"/>
      <c r="EF206" s="6"/>
      <c r="EG206" s="5" t="str">
        <f t="shared" si="719"/>
        <v>NO APLICA</v>
      </c>
      <c r="EH206" s="4"/>
      <c r="EI206" s="4"/>
      <c r="EJ206" s="4"/>
      <c r="EK206" s="8"/>
      <c r="EL206" s="5" t="str">
        <f t="shared" si="720"/>
        <v>NO APLICA</v>
      </c>
      <c r="EM206" s="4"/>
      <c r="EN206" s="4"/>
      <c r="EO206" s="4"/>
      <c r="EP206" s="8"/>
      <c r="EQ206" s="5" t="str">
        <f t="shared" si="721"/>
        <v>NO APLICA</v>
      </c>
      <c r="ER206" s="4"/>
      <c r="ES206" s="4"/>
      <c r="ET206" s="4"/>
      <c r="EU206" s="8"/>
      <c r="EV206" s="5" t="str">
        <f t="shared" si="722"/>
        <v>NO APLICA</v>
      </c>
      <c r="EW206" s="4"/>
      <c r="EX206" s="4"/>
      <c r="EY206" s="4"/>
      <c r="EZ206" s="6"/>
      <c r="FA206" s="5" t="str">
        <f t="shared" si="723"/>
        <v>NO APLICA</v>
      </c>
      <c r="FB206" s="4"/>
      <c r="FC206" s="4"/>
      <c r="FD206" s="4"/>
      <c r="FE206" s="6"/>
      <c r="FF206" s="5" t="str">
        <f t="shared" si="724"/>
        <v>NO APLICA</v>
      </c>
      <c r="FG206" s="4"/>
      <c r="FH206" s="4"/>
      <c r="FI206" s="4"/>
      <c r="FJ206" s="6"/>
      <c r="FK206" s="5" t="str">
        <f t="shared" si="725"/>
        <v>NO APLICA</v>
      </c>
      <c r="FL206" s="4"/>
      <c r="FM206" s="4"/>
      <c r="FN206" s="4"/>
      <c r="FO206" s="6"/>
      <c r="FP206" s="5" t="str">
        <f t="shared" si="726"/>
        <v>NO APLICA</v>
      </c>
      <c r="FQ206" s="4"/>
      <c r="FR206" s="4"/>
      <c r="FS206" s="4"/>
      <c r="FT206" s="6"/>
      <c r="FU206" s="5" t="str">
        <f t="shared" si="727"/>
        <v>NO APLICA</v>
      </c>
      <c r="FV206" s="4"/>
      <c r="FW206" s="4"/>
      <c r="FX206" s="4"/>
      <c r="FY206" s="6"/>
      <c r="FZ206" s="5" t="str">
        <f t="shared" si="728"/>
        <v>NO APLICA</v>
      </c>
      <c r="GA206" s="4"/>
      <c r="GB206" s="4"/>
      <c r="GC206" s="4"/>
      <c r="GD206" s="6"/>
      <c r="GE206" s="5" t="str">
        <f t="shared" si="729"/>
        <v>NO APLICA</v>
      </c>
      <c r="GF206" s="4"/>
      <c r="GG206" s="4"/>
      <c r="GH206" s="4"/>
      <c r="GI206" s="8"/>
      <c r="GJ206" s="5" t="str">
        <f t="shared" si="730"/>
        <v>NO APLICA</v>
      </c>
      <c r="GK206" s="4"/>
      <c r="GL206" s="6"/>
      <c r="GM206" s="6"/>
      <c r="GN206" s="6"/>
      <c r="GO206" s="5" t="str">
        <f t="shared" si="731"/>
        <v>NO APLICA</v>
      </c>
      <c r="GP206" s="4"/>
      <c r="GQ206" s="6"/>
      <c r="GR206" s="6"/>
      <c r="GS206" s="6"/>
      <c r="GT206" s="5" t="str">
        <f t="shared" si="610"/>
        <v>NO APLICA</v>
      </c>
      <c r="GU206" s="4"/>
      <c r="GV206" s="6"/>
      <c r="GW206" s="6"/>
      <c r="GX206" s="6"/>
      <c r="GY206" s="5" t="str">
        <f t="shared" si="611"/>
        <v>NO APLICA</v>
      </c>
      <c r="GZ206" s="6"/>
      <c r="HA206" s="6"/>
      <c r="HB206" s="6"/>
      <c r="HC206" s="6"/>
      <c r="HD206" s="5" t="str">
        <f t="shared" si="612"/>
        <v>NO APLICA</v>
      </c>
      <c r="HE206" s="6"/>
      <c r="HF206" s="6"/>
      <c r="HG206" s="4"/>
      <c r="HH206" s="8"/>
      <c r="HI206" s="5" t="str">
        <f t="shared" si="698"/>
        <v>NO APLICA</v>
      </c>
      <c r="HJ206" s="6"/>
      <c r="HK206" s="6"/>
      <c r="HL206" s="6"/>
      <c r="HM206" s="6"/>
      <c r="HN206" s="5" t="str">
        <f t="shared" si="694"/>
        <v>NO APLICA</v>
      </c>
      <c r="HO206" s="6"/>
      <c r="HP206" s="6"/>
      <c r="HQ206" s="6"/>
      <c r="HR206" s="6"/>
      <c r="HS206" s="5" t="str">
        <f t="shared" si="732"/>
        <v>NO APLICA</v>
      </c>
      <c r="HT206" s="6"/>
      <c r="HU206" s="6"/>
      <c r="HV206" s="6"/>
      <c r="HW206" s="6"/>
      <c r="HX206" s="5" t="str">
        <f t="shared" si="733"/>
        <v>NO APLICA</v>
      </c>
      <c r="HY206" s="6"/>
      <c r="HZ206" s="6"/>
      <c r="IA206" s="6"/>
      <c r="IB206" s="6"/>
      <c r="IC206" s="5" t="str">
        <f t="shared" si="734"/>
        <v>NO APLICA</v>
      </c>
      <c r="ID206" s="6"/>
      <c r="IE206" s="6"/>
      <c r="IF206" s="6"/>
      <c r="IG206" s="6"/>
      <c r="IH206" s="5" t="str">
        <f t="shared" si="735"/>
        <v>NO APLICA</v>
      </c>
      <c r="II206" s="6"/>
      <c r="IJ206" s="6"/>
      <c r="IK206" s="6"/>
      <c r="IL206" s="6"/>
      <c r="IM206" s="5" t="str">
        <f t="shared" si="736"/>
        <v>NO APLICA</v>
      </c>
      <c r="IN206" s="6"/>
      <c r="IO206" s="6"/>
      <c r="IP206" s="6"/>
      <c r="IQ206" s="6"/>
      <c r="IR206" s="5" t="str">
        <f t="shared" si="737"/>
        <v>NO APLICA</v>
      </c>
      <c r="IS206" s="6"/>
      <c r="IT206" s="6"/>
      <c r="IU206" s="6"/>
      <c r="IV206" s="6"/>
      <c r="IW206" s="5" t="str">
        <f t="shared" si="738"/>
        <v>NO APLICA</v>
      </c>
      <c r="IX206" s="6"/>
      <c r="IY206" s="6"/>
      <c r="IZ206" s="6"/>
      <c r="JA206" s="6"/>
      <c r="JB206" s="5" t="str">
        <f t="shared" si="739"/>
        <v>NO APLICA</v>
      </c>
      <c r="JC206" s="3" t="s">
        <v>780</v>
      </c>
      <c r="JD206" s="6"/>
      <c r="JE206" s="6"/>
      <c r="JF206" s="6"/>
      <c r="JG206" s="5"/>
      <c r="JH206" s="3" t="s">
        <v>780</v>
      </c>
      <c r="JI206" s="6"/>
      <c r="JJ206" s="6"/>
      <c r="JK206" s="6"/>
      <c r="JL206" s="5"/>
      <c r="JM206" s="6" t="s">
        <v>780</v>
      </c>
      <c r="JN206" s="6"/>
      <c r="JO206" s="6"/>
      <c r="JP206" s="6"/>
      <c r="JQ206" s="5"/>
      <c r="JR206" s="6" t="s">
        <v>780</v>
      </c>
      <c r="JS206" s="6"/>
      <c r="JT206" s="6"/>
      <c r="JU206" s="6"/>
      <c r="JV206" s="5"/>
      <c r="JW206" s="6" t="s">
        <v>780</v>
      </c>
      <c r="JX206" s="3"/>
      <c r="JY206" s="4"/>
      <c r="JZ206" s="8"/>
      <c r="KA206" s="5"/>
      <c r="KB206" s="5"/>
      <c r="KC206" s="6"/>
      <c r="KD206" s="6"/>
      <c r="KE206" s="6"/>
      <c r="KF206" s="5" t="str">
        <f t="shared" si="740"/>
        <v>NO APLICA</v>
      </c>
      <c r="KG206" s="5"/>
      <c r="KH206" s="6"/>
      <c r="KI206" s="6"/>
      <c r="KJ206" s="6"/>
      <c r="KK206" s="5" t="str">
        <f t="shared" si="760"/>
        <v>NO APLICA</v>
      </c>
      <c r="KL206" s="5"/>
      <c r="KM206" s="6"/>
      <c r="KN206" s="6"/>
      <c r="KO206" s="6"/>
      <c r="KP206" s="5" t="str">
        <f t="shared" si="741"/>
        <v>NO APLICA</v>
      </c>
      <c r="KQ206" s="5"/>
      <c r="KR206" s="6"/>
      <c r="KS206" s="6"/>
      <c r="KT206" s="6"/>
      <c r="KU206" s="5" t="str">
        <f t="shared" si="761"/>
        <v>NO APLICA</v>
      </c>
      <c r="KV206" s="6"/>
      <c r="KW206" s="6"/>
      <c r="KX206" s="6"/>
      <c r="KY206" s="6"/>
      <c r="KZ206" s="5" t="str">
        <f t="shared" si="767"/>
        <v>NO APLICA</v>
      </c>
      <c r="LA206" s="5"/>
      <c r="LB206" s="6"/>
      <c r="LC206" s="6"/>
      <c r="LD206" s="6"/>
      <c r="LE206" s="5" t="str">
        <f t="shared" si="762"/>
        <v>NO APLICA</v>
      </c>
      <c r="LF206" s="6"/>
      <c r="LG206" s="6"/>
      <c r="LH206" s="6"/>
      <c r="LI206" s="6"/>
      <c r="LJ206" s="5" t="str">
        <f t="shared" si="600"/>
        <v>NO APLICA</v>
      </c>
      <c r="LK206" s="5"/>
      <c r="LL206" s="5"/>
      <c r="LM206" s="4"/>
      <c r="LN206" s="8"/>
      <c r="LO206" s="5" t="str">
        <f t="shared" si="768"/>
        <v>NO APLICA</v>
      </c>
      <c r="LP206" s="6"/>
      <c r="LQ206" s="6"/>
      <c r="LR206" s="6"/>
      <c r="LS206" s="6"/>
      <c r="LT206" s="5" t="str">
        <f t="shared" si="763"/>
        <v>NO APLICA</v>
      </c>
      <c r="LU206" s="6"/>
      <c r="LV206" s="6"/>
      <c r="LW206" s="6"/>
      <c r="LX206" s="6"/>
      <c r="LY206" s="5" t="str">
        <f t="shared" si="764"/>
        <v>NO APLICA</v>
      </c>
      <c r="LZ206" s="6"/>
      <c r="MA206" s="6"/>
      <c r="MB206" s="6"/>
      <c r="MC206" s="6"/>
      <c r="MD206" s="5" t="str">
        <f t="shared" si="765"/>
        <v>NO APLICA</v>
      </c>
      <c r="ME206" s="6"/>
      <c r="MF206" s="6"/>
      <c r="MG206" s="6"/>
      <c r="MH206" s="6"/>
      <c r="MI206" s="5" t="str">
        <f t="shared" si="742"/>
        <v>NO APLICA</v>
      </c>
      <c r="MJ206" s="6"/>
      <c r="MK206" s="6"/>
      <c r="ML206" s="6"/>
      <c r="MM206" s="6"/>
      <c r="MN206" s="5" t="str">
        <f t="shared" si="743"/>
        <v>NO APLICA</v>
      </c>
      <c r="MO206" s="5"/>
      <c r="MP206" s="6"/>
      <c r="MQ206" s="6"/>
      <c r="MR206" s="6"/>
      <c r="MS206" s="5" t="str">
        <f t="shared" si="744"/>
        <v>NO APLICA</v>
      </c>
      <c r="MT206" s="5"/>
      <c r="MU206" s="6"/>
      <c r="MV206" s="6"/>
      <c r="MW206" s="6"/>
      <c r="MX206" s="5" t="str">
        <f t="shared" si="745"/>
        <v>NO APLICA</v>
      </c>
      <c r="MY206" s="6"/>
      <c r="MZ206" s="6"/>
      <c r="NA206" s="6"/>
      <c r="NB206" s="6"/>
      <c r="NC206" s="5" t="str">
        <f t="shared" si="746"/>
        <v>NO APLICA</v>
      </c>
      <c r="ND206" s="6"/>
      <c r="NE206" s="6"/>
      <c r="NF206" s="6"/>
      <c r="NG206" s="6"/>
      <c r="NH206" s="5" t="str">
        <f t="shared" si="747"/>
        <v>NO APLICA</v>
      </c>
      <c r="NI206" s="6"/>
      <c r="NJ206" s="4">
        <v>44751</v>
      </c>
      <c r="NK206" s="4">
        <f>DATE(YEAR(NJ206)+5,MONTH(NJ206),DAY(NJ206))</f>
        <v>46577</v>
      </c>
      <c r="NL206" s="8">
        <f ca="1">NK206-TODAY()</f>
        <v>432</v>
      </c>
      <c r="NM206" s="5" t="str">
        <f ca="1">IF(NL206&gt;=61,"VIGENTE",IF(NL206&gt;=1,"POR VENCER",IF(NL206&lt;=-1,"VENCIDA",IF(NJ206=0,"NO APLICA"))))</f>
        <v>VIGENTE</v>
      </c>
      <c r="NN206" s="6"/>
      <c r="NO206" s="6"/>
      <c r="NP206" s="6"/>
      <c r="NQ206" s="6"/>
      <c r="NR206" s="5" t="str">
        <f t="shared" si="749"/>
        <v>NO APLICA</v>
      </c>
      <c r="NS206" s="6"/>
      <c r="NT206" s="6"/>
      <c r="NU206" s="6"/>
      <c r="NV206" s="6"/>
      <c r="NW206" s="5" t="str">
        <f t="shared" si="750"/>
        <v>NO APLICA</v>
      </c>
      <c r="NX206" s="6"/>
      <c r="NY206" s="6"/>
      <c r="NZ206" s="6"/>
      <c r="OA206" s="6"/>
      <c r="OB206" s="5" t="str">
        <f t="shared" si="751"/>
        <v>NO APLICA</v>
      </c>
      <c r="OC206" s="6"/>
      <c r="OD206" s="6"/>
      <c r="OE206" s="6"/>
      <c r="OF206" s="6"/>
      <c r="OG206" s="5" t="str">
        <f t="shared" si="752"/>
        <v>NO APLICA</v>
      </c>
      <c r="OH206" s="6"/>
      <c r="OI206" s="6"/>
      <c r="OJ206" s="6"/>
      <c r="OK206" s="6"/>
      <c r="OL206" s="5" t="str">
        <f t="shared" si="753"/>
        <v>NO APLICA</v>
      </c>
      <c r="OM206" s="6"/>
      <c r="ON206" s="6"/>
      <c r="OO206" s="6"/>
      <c r="OP206" s="6"/>
      <c r="OQ206" s="5" t="str">
        <f t="shared" si="754"/>
        <v>NO APLICA</v>
      </c>
      <c r="OR206" s="6"/>
      <c r="OS206" s="6"/>
      <c r="OT206" s="6"/>
      <c r="OU206" s="6"/>
      <c r="OV206" s="5" t="str">
        <f t="shared" si="755"/>
        <v>NO APLICA</v>
      </c>
      <c r="OW206" s="6"/>
      <c r="OX206" s="6"/>
      <c r="OY206" s="6"/>
      <c r="OZ206" s="6"/>
      <c r="PA206" s="5" t="str">
        <f t="shared" si="769"/>
        <v>NO APLICA</v>
      </c>
      <c r="PB206" s="6"/>
      <c r="PC206" s="6"/>
      <c r="PD206" s="6"/>
      <c r="PE206" s="6"/>
      <c r="PF206" s="5" t="str">
        <f t="shared" si="756"/>
        <v>NO APLICA</v>
      </c>
      <c r="PG206" s="6"/>
      <c r="PH206" s="6"/>
      <c r="PI206" s="6"/>
      <c r="PJ206" s="6"/>
      <c r="PK206" s="5" t="str">
        <f t="shared" si="757"/>
        <v>NO APLICA</v>
      </c>
      <c r="PL206" s="5"/>
      <c r="PM206" s="6"/>
      <c r="PN206" s="6"/>
      <c r="PO206" s="6"/>
      <c r="PP206" s="5" t="str">
        <f t="shared" si="766"/>
        <v>NO APLICA</v>
      </c>
      <c r="PQ206" s="6"/>
      <c r="PR206" s="6"/>
      <c r="PS206" s="6"/>
      <c r="PT206" s="6"/>
      <c r="PU206" s="5" t="str">
        <f t="shared" si="758"/>
        <v>NO APLICA</v>
      </c>
      <c r="PV206" s="5"/>
      <c r="PW206" s="6"/>
      <c r="PX206" s="6"/>
      <c r="PY206" s="6"/>
      <c r="PZ206" s="5" t="str">
        <f t="shared" si="759"/>
        <v>NO APLICA</v>
      </c>
    </row>
    <row r="207" spans="1:442" ht="15.6" hidden="1" thickTop="1" thickBot="1" x14ac:dyDescent="0.35">
      <c r="A207" s="26">
        <v>204</v>
      </c>
      <c r="B207" s="31">
        <v>1561</v>
      </c>
      <c r="C207" s="28" t="s">
        <v>638</v>
      </c>
      <c r="D207" s="29" t="s">
        <v>64</v>
      </c>
      <c r="E207" s="30" t="s">
        <v>639</v>
      </c>
      <c r="F207" s="6"/>
      <c r="G207" s="6"/>
      <c r="H207" s="6"/>
      <c r="I207" s="6"/>
      <c r="J207" s="5" t="str">
        <f t="shared" si="696"/>
        <v>NO APLICA</v>
      </c>
      <c r="K207" s="6"/>
      <c r="L207" s="6"/>
      <c r="M207" s="6"/>
      <c r="N207" s="6"/>
      <c r="O207" s="5" t="str">
        <f t="shared" si="699"/>
        <v>NO APLICA</v>
      </c>
      <c r="P207" s="6"/>
      <c r="Q207" s="6"/>
      <c r="R207" s="6"/>
      <c r="S207" s="6"/>
      <c r="T207" s="5" t="str">
        <f t="shared" si="697"/>
        <v>NO APLICA</v>
      </c>
      <c r="U207" s="5"/>
      <c r="V207" s="6"/>
      <c r="W207" s="4"/>
      <c r="X207" s="4"/>
      <c r="Y207" s="8"/>
      <c r="Z207" s="5" t="str">
        <f t="shared" si="605"/>
        <v>NO APLICA</v>
      </c>
      <c r="AA207" s="5"/>
      <c r="AB207" s="6"/>
      <c r="AC207" s="6"/>
      <c r="AD207" s="6"/>
      <c r="AE207" s="6"/>
      <c r="AF207" s="5" t="str">
        <f t="shared" si="700"/>
        <v>NO APLICA</v>
      </c>
      <c r="AG207" s="4"/>
      <c r="AH207" s="4"/>
      <c r="AI207" s="4"/>
      <c r="AJ207" s="6"/>
      <c r="AK207" s="5" t="str">
        <f t="shared" si="602"/>
        <v>NO APLICA</v>
      </c>
      <c r="AL207" s="4"/>
      <c r="AM207" s="4"/>
      <c r="AN207" s="4"/>
      <c r="AO207" s="6"/>
      <c r="AP207" s="5" t="str">
        <f t="shared" si="701"/>
        <v>NO APLICA</v>
      </c>
      <c r="AQ207" s="4"/>
      <c r="AR207" s="4"/>
      <c r="AS207" s="4"/>
      <c r="AT207" s="6"/>
      <c r="AU207" s="5" t="str">
        <f t="shared" si="702"/>
        <v>NO APLICA</v>
      </c>
      <c r="AV207" s="4"/>
      <c r="AW207" s="4"/>
      <c r="AX207" s="4"/>
      <c r="AY207" s="6"/>
      <c r="AZ207" s="5" t="str">
        <f t="shared" si="703"/>
        <v>NO APLICA</v>
      </c>
      <c r="BA207" s="4"/>
      <c r="BB207" s="4"/>
      <c r="BC207" s="4"/>
      <c r="BD207" s="6"/>
      <c r="BE207" s="5" t="str">
        <f t="shared" si="704"/>
        <v>NO APLICA</v>
      </c>
      <c r="BF207" s="4"/>
      <c r="BG207" s="4"/>
      <c r="BH207" s="4"/>
      <c r="BI207" s="6"/>
      <c r="BJ207" s="5" t="str">
        <f t="shared" si="705"/>
        <v>NO APLICA</v>
      </c>
      <c r="BK207" s="4"/>
      <c r="BL207" s="4"/>
      <c r="BM207" s="4"/>
      <c r="BN207" s="6"/>
      <c r="BO207" s="5" t="str">
        <f t="shared" si="706"/>
        <v>NO APLICA</v>
      </c>
      <c r="BP207" s="4"/>
      <c r="BQ207" s="4"/>
      <c r="BR207" s="4"/>
      <c r="BS207" s="6"/>
      <c r="BT207" s="5" t="str">
        <f t="shared" si="707"/>
        <v>NO APLICA</v>
      </c>
      <c r="BU207" s="4"/>
      <c r="BV207" s="4"/>
      <c r="BW207" s="4"/>
      <c r="BX207" s="6"/>
      <c r="BY207" s="5" t="str">
        <f t="shared" si="708"/>
        <v>NO APLICA</v>
      </c>
      <c r="BZ207" s="4"/>
      <c r="CA207" s="4"/>
      <c r="CB207" s="4"/>
      <c r="CC207" s="6"/>
      <c r="CD207" s="5" t="str">
        <f t="shared" si="709"/>
        <v>NO APLICA</v>
      </c>
      <c r="CE207" s="6"/>
      <c r="CF207" s="6"/>
      <c r="CG207" s="6"/>
      <c r="CH207" s="6"/>
      <c r="CI207" s="5" t="str">
        <f t="shared" si="573"/>
        <v>NO APLICA</v>
      </c>
      <c r="CJ207" s="4"/>
      <c r="CK207" s="4"/>
      <c r="CL207" s="4"/>
      <c r="CM207" s="6"/>
      <c r="CN207" s="5" t="str">
        <f t="shared" si="710"/>
        <v>NO APLICA</v>
      </c>
      <c r="CO207" s="4"/>
      <c r="CP207" s="4"/>
      <c r="CQ207" s="4"/>
      <c r="CR207" s="6"/>
      <c r="CS207" s="5" t="str">
        <f t="shared" si="711"/>
        <v>NO APLICA</v>
      </c>
      <c r="CT207" s="4"/>
      <c r="CU207" s="4"/>
      <c r="CV207" s="4"/>
      <c r="CW207" s="6"/>
      <c r="CX207" s="5" t="str">
        <f t="shared" si="712"/>
        <v>NO APLICA</v>
      </c>
      <c r="CY207" s="4"/>
      <c r="CZ207" s="4"/>
      <c r="DA207" s="4"/>
      <c r="DB207" s="6"/>
      <c r="DC207" s="5" t="str">
        <f t="shared" si="713"/>
        <v>NO APLICA</v>
      </c>
      <c r="DD207" s="4"/>
      <c r="DE207" s="4"/>
      <c r="DF207" s="4"/>
      <c r="DG207" s="6"/>
      <c r="DH207" s="5" t="str">
        <f t="shared" si="714"/>
        <v>NO APLICA</v>
      </c>
      <c r="DI207" s="4"/>
      <c r="DJ207" s="4"/>
      <c r="DK207" s="4"/>
      <c r="DL207" s="6"/>
      <c r="DM207" s="5" t="str">
        <f t="shared" si="715"/>
        <v>NO APLICA</v>
      </c>
      <c r="DN207" s="4"/>
      <c r="DO207" s="4"/>
      <c r="DP207" s="4"/>
      <c r="DQ207" s="6"/>
      <c r="DR207" s="5" t="str">
        <f t="shared" si="716"/>
        <v>NO APLICA</v>
      </c>
      <c r="DS207" s="4"/>
      <c r="DT207" s="4"/>
      <c r="DU207" s="4"/>
      <c r="DV207" s="6"/>
      <c r="DW207" s="5" t="str">
        <f t="shared" si="717"/>
        <v>NO APLICA</v>
      </c>
      <c r="DX207" s="4"/>
      <c r="DY207" s="4"/>
      <c r="DZ207" s="4"/>
      <c r="EA207" s="6"/>
      <c r="EB207" s="5" t="str">
        <f t="shared" si="718"/>
        <v>NO APLICA</v>
      </c>
      <c r="EC207" s="4"/>
      <c r="ED207" s="4"/>
      <c r="EE207" s="4"/>
      <c r="EF207" s="6"/>
      <c r="EG207" s="5" t="str">
        <f t="shared" si="719"/>
        <v>NO APLICA</v>
      </c>
      <c r="EH207" s="4"/>
      <c r="EI207" s="4"/>
      <c r="EJ207" s="4"/>
      <c r="EK207" s="8"/>
      <c r="EL207" s="5" t="str">
        <f t="shared" si="720"/>
        <v>NO APLICA</v>
      </c>
      <c r="EM207" s="4"/>
      <c r="EN207" s="4"/>
      <c r="EO207" s="4"/>
      <c r="EP207" s="8"/>
      <c r="EQ207" s="5" t="str">
        <f t="shared" si="721"/>
        <v>NO APLICA</v>
      </c>
      <c r="ER207" s="4"/>
      <c r="ES207" s="4"/>
      <c r="ET207" s="4"/>
      <c r="EU207" s="8"/>
      <c r="EV207" s="5" t="str">
        <f t="shared" si="722"/>
        <v>NO APLICA</v>
      </c>
      <c r="EW207" s="4"/>
      <c r="EX207" s="4"/>
      <c r="EY207" s="4"/>
      <c r="EZ207" s="6"/>
      <c r="FA207" s="5" t="str">
        <f t="shared" si="723"/>
        <v>NO APLICA</v>
      </c>
      <c r="FB207" s="4"/>
      <c r="FC207" s="4"/>
      <c r="FD207" s="4"/>
      <c r="FE207" s="6"/>
      <c r="FF207" s="5" t="str">
        <f t="shared" si="724"/>
        <v>NO APLICA</v>
      </c>
      <c r="FG207" s="4"/>
      <c r="FH207" s="4"/>
      <c r="FI207" s="4"/>
      <c r="FJ207" s="6"/>
      <c r="FK207" s="5" t="str">
        <f t="shared" si="725"/>
        <v>NO APLICA</v>
      </c>
      <c r="FL207" s="4"/>
      <c r="FM207" s="4"/>
      <c r="FN207" s="4"/>
      <c r="FO207" s="6"/>
      <c r="FP207" s="5" t="str">
        <f t="shared" si="726"/>
        <v>NO APLICA</v>
      </c>
      <c r="FQ207" s="4"/>
      <c r="FR207" s="4"/>
      <c r="FS207" s="4"/>
      <c r="FT207" s="6"/>
      <c r="FU207" s="5" t="str">
        <f t="shared" si="727"/>
        <v>NO APLICA</v>
      </c>
      <c r="FV207" s="4"/>
      <c r="FW207" s="4"/>
      <c r="FX207" s="4"/>
      <c r="FY207" s="6"/>
      <c r="FZ207" s="5" t="str">
        <f t="shared" si="728"/>
        <v>NO APLICA</v>
      </c>
      <c r="GA207" s="4"/>
      <c r="GB207" s="4"/>
      <c r="GC207" s="4"/>
      <c r="GD207" s="6"/>
      <c r="GE207" s="5" t="str">
        <f t="shared" si="729"/>
        <v>NO APLICA</v>
      </c>
      <c r="GF207" s="4"/>
      <c r="GG207" s="4"/>
      <c r="GH207" s="4"/>
      <c r="GI207" s="8"/>
      <c r="GJ207" s="5" t="str">
        <f t="shared" si="730"/>
        <v>NO APLICA</v>
      </c>
      <c r="GK207" s="4"/>
      <c r="GL207" s="6"/>
      <c r="GM207" s="6"/>
      <c r="GN207" s="6"/>
      <c r="GO207" s="5" t="str">
        <f t="shared" si="731"/>
        <v>NO APLICA</v>
      </c>
      <c r="GP207" s="4"/>
      <c r="GQ207" s="6"/>
      <c r="GR207" s="6"/>
      <c r="GS207" s="6"/>
      <c r="GT207" s="5" t="str">
        <f t="shared" si="610"/>
        <v>NO APLICA</v>
      </c>
      <c r="GU207" s="4"/>
      <c r="GV207" s="6"/>
      <c r="GW207" s="6"/>
      <c r="GX207" s="6"/>
      <c r="GY207" s="5" t="str">
        <f t="shared" si="611"/>
        <v>NO APLICA</v>
      </c>
      <c r="GZ207" s="6"/>
      <c r="HA207" s="6"/>
      <c r="HB207" s="6"/>
      <c r="HC207" s="6"/>
      <c r="HD207" s="5" t="str">
        <f t="shared" si="612"/>
        <v>NO APLICA</v>
      </c>
      <c r="HE207" s="6"/>
      <c r="HF207" s="6"/>
      <c r="HG207" s="4"/>
      <c r="HH207" s="8"/>
      <c r="HI207" s="5" t="str">
        <f t="shared" si="698"/>
        <v>NO APLICA</v>
      </c>
      <c r="HJ207" s="6"/>
      <c r="HK207" s="6"/>
      <c r="HL207" s="6"/>
      <c r="HM207" s="6"/>
      <c r="HN207" s="5" t="str">
        <f t="shared" si="694"/>
        <v>NO APLICA</v>
      </c>
      <c r="HO207" s="6"/>
      <c r="HP207" s="6"/>
      <c r="HQ207" s="6"/>
      <c r="HR207" s="6"/>
      <c r="HS207" s="5" t="str">
        <f t="shared" si="732"/>
        <v>NO APLICA</v>
      </c>
      <c r="HT207" s="6"/>
      <c r="HU207" s="6"/>
      <c r="HV207" s="6"/>
      <c r="HW207" s="6"/>
      <c r="HX207" s="5" t="str">
        <f t="shared" si="733"/>
        <v>NO APLICA</v>
      </c>
      <c r="HY207" s="6"/>
      <c r="HZ207" s="6"/>
      <c r="IA207" s="6"/>
      <c r="IB207" s="6"/>
      <c r="IC207" s="5" t="str">
        <f t="shared" si="734"/>
        <v>NO APLICA</v>
      </c>
      <c r="ID207" s="6"/>
      <c r="IE207" s="6"/>
      <c r="IF207" s="6"/>
      <c r="IG207" s="6"/>
      <c r="IH207" s="5" t="str">
        <f t="shared" si="735"/>
        <v>NO APLICA</v>
      </c>
      <c r="II207" s="6"/>
      <c r="IJ207" s="6"/>
      <c r="IK207" s="6"/>
      <c r="IL207" s="6"/>
      <c r="IM207" s="5" t="str">
        <f t="shared" si="736"/>
        <v>NO APLICA</v>
      </c>
      <c r="IN207" s="6"/>
      <c r="IO207" s="6"/>
      <c r="IP207" s="6"/>
      <c r="IQ207" s="6"/>
      <c r="IR207" s="5" t="str">
        <f t="shared" si="737"/>
        <v>NO APLICA</v>
      </c>
      <c r="IS207" s="6"/>
      <c r="IT207" s="6"/>
      <c r="IU207" s="6"/>
      <c r="IV207" s="6"/>
      <c r="IW207" s="5" t="str">
        <f t="shared" si="738"/>
        <v>NO APLICA</v>
      </c>
      <c r="IX207" s="6"/>
      <c r="IY207" s="6"/>
      <c r="IZ207" s="6"/>
      <c r="JA207" s="6"/>
      <c r="JB207" s="5" t="str">
        <f t="shared" si="739"/>
        <v>NO APLICA</v>
      </c>
      <c r="JC207" s="3" t="s">
        <v>780</v>
      </c>
      <c r="JD207" s="6"/>
      <c r="JE207" s="6"/>
      <c r="JF207" s="6"/>
      <c r="JG207" s="5"/>
      <c r="JH207" s="3" t="s">
        <v>780</v>
      </c>
      <c r="JI207" s="6"/>
      <c r="JJ207" s="6"/>
      <c r="JK207" s="6"/>
      <c r="JL207" s="5"/>
      <c r="JM207" s="6" t="s">
        <v>780</v>
      </c>
      <c r="JN207" s="6"/>
      <c r="JO207" s="6"/>
      <c r="JP207" s="6"/>
      <c r="JQ207" s="5"/>
      <c r="JR207" s="6" t="s">
        <v>780</v>
      </c>
      <c r="JS207" s="6"/>
      <c r="JT207" s="6"/>
      <c r="JU207" s="6"/>
      <c r="JV207" s="5"/>
      <c r="JW207" s="6" t="s">
        <v>780</v>
      </c>
      <c r="JX207" s="5"/>
      <c r="JY207" s="5"/>
      <c r="JZ207" s="5"/>
      <c r="KA207" s="38"/>
      <c r="KB207" s="5"/>
      <c r="KC207" s="6"/>
      <c r="KD207" s="6"/>
      <c r="KE207" s="6"/>
      <c r="KF207" s="5" t="str">
        <f t="shared" si="740"/>
        <v>NO APLICA</v>
      </c>
      <c r="KG207" s="5"/>
      <c r="KH207" s="6"/>
      <c r="KI207" s="6"/>
      <c r="KJ207" s="6"/>
      <c r="KK207" s="5" t="str">
        <f t="shared" si="760"/>
        <v>NO APLICA</v>
      </c>
      <c r="KL207" s="5"/>
      <c r="KM207" s="6"/>
      <c r="KN207" s="6"/>
      <c r="KO207" s="6"/>
      <c r="KP207" s="5" t="str">
        <f t="shared" si="741"/>
        <v>NO APLICA</v>
      </c>
      <c r="KQ207" s="5"/>
      <c r="KR207" s="6"/>
      <c r="KS207" s="6"/>
      <c r="KT207" s="6"/>
      <c r="KU207" s="5" t="str">
        <f t="shared" si="761"/>
        <v>NO APLICA</v>
      </c>
      <c r="KV207" s="6"/>
      <c r="KW207" s="6"/>
      <c r="KX207" s="6"/>
      <c r="KY207" s="6"/>
      <c r="KZ207" s="5" t="str">
        <f t="shared" si="767"/>
        <v>NO APLICA</v>
      </c>
      <c r="LA207" s="5"/>
      <c r="LB207" s="6"/>
      <c r="LC207" s="6"/>
      <c r="LD207" s="6"/>
      <c r="LE207" s="5" t="str">
        <f t="shared" si="762"/>
        <v>NO APLICA</v>
      </c>
      <c r="LF207" s="6"/>
      <c r="LG207" s="6"/>
      <c r="LH207" s="6"/>
      <c r="LI207" s="6"/>
      <c r="LJ207" s="5" t="str">
        <f t="shared" si="600"/>
        <v>NO APLICA</v>
      </c>
      <c r="LK207" s="5"/>
      <c r="LL207" s="5"/>
      <c r="LM207" s="4"/>
      <c r="LN207" s="8"/>
      <c r="LO207" s="5" t="str">
        <f t="shared" si="768"/>
        <v>NO APLICA</v>
      </c>
      <c r="LP207" s="6"/>
      <c r="LQ207" s="6"/>
      <c r="LR207" s="6"/>
      <c r="LS207" s="6"/>
      <c r="LT207" s="5" t="str">
        <f t="shared" si="763"/>
        <v>NO APLICA</v>
      </c>
      <c r="LU207" s="6"/>
      <c r="LV207" s="6"/>
      <c r="LW207" s="6"/>
      <c r="LX207" s="6"/>
      <c r="LY207" s="5" t="str">
        <f t="shared" si="764"/>
        <v>NO APLICA</v>
      </c>
      <c r="LZ207" s="6"/>
      <c r="MA207" s="6"/>
      <c r="MB207" s="6"/>
      <c r="MC207" s="6"/>
      <c r="MD207" s="5" t="str">
        <f t="shared" si="765"/>
        <v>NO APLICA</v>
      </c>
      <c r="ME207" s="6"/>
      <c r="MF207" s="6"/>
      <c r="MG207" s="6"/>
      <c r="MH207" s="6"/>
      <c r="MI207" s="5" t="str">
        <f t="shared" si="742"/>
        <v>NO APLICA</v>
      </c>
      <c r="MJ207" s="6"/>
      <c r="MK207" s="6"/>
      <c r="ML207" s="6"/>
      <c r="MM207" s="6"/>
      <c r="MN207" s="5" t="str">
        <f t="shared" si="743"/>
        <v>NO APLICA</v>
      </c>
      <c r="MO207" s="5"/>
      <c r="MP207" s="6"/>
      <c r="MQ207" s="6"/>
      <c r="MR207" s="6"/>
      <c r="MS207" s="5" t="str">
        <f t="shared" si="744"/>
        <v>NO APLICA</v>
      </c>
      <c r="MT207" s="5"/>
      <c r="MU207" s="6"/>
      <c r="MV207" s="6"/>
      <c r="MW207" s="6"/>
      <c r="MX207" s="5" t="str">
        <f t="shared" si="745"/>
        <v>NO APLICA</v>
      </c>
      <c r="MY207" s="6"/>
      <c r="MZ207" s="6"/>
      <c r="NA207" s="6"/>
      <c r="NB207" s="6"/>
      <c r="NC207" s="5" t="str">
        <f t="shared" si="746"/>
        <v>NO APLICA</v>
      </c>
      <c r="ND207" s="6"/>
      <c r="NE207" s="6"/>
      <c r="NF207" s="6"/>
      <c r="NG207" s="6"/>
      <c r="NH207" s="5" t="str">
        <f t="shared" si="747"/>
        <v>NO APLICA</v>
      </c>
      <c r="NI207" s="6"/>
      <c r="NJ207" s="6"/>
      <c r="NK207" s="6"/>
      <c r="NL207" s="6"/>
      <c r="NM207" s="5" t="str">
        <f t="shared" si="748"/>
        <v>NO APLICA</v>
      </c>
      <c r="NN207" s="6"/>
      <c r="NO207" s="6"/>
      <c r="NP207" s="6"/>
      <c r="NQ207" s="6"/>
      <c r="NR207" s="5" t="str">
        <f t="shared" si="749"/>
        <v>NO APLICA</v>
      </c>
      <c r="NS207" s="6"/>
      <c r="NT207" s="6"/>
      <c r="NU207" s="6"/>
      <c r="NV207" s="6"/>
      <c r="NW207" s="5" t="str">
        <f t="shared" si="750"/>
        <v>NO APLICA</v>
      </c>
      <c r="NX207" s="6"/>
      <c r="NY207" s="6"/>
      <c r="NZ207" s="6"/>
      <c r="OA207" s="6"/>
      <c r="OB207" s="5" t="str">
        <f t="shared" si="751"/>
        <v>NO APLICA</v>
      </c>
      <c r="OC207" s="6"/>
      <c r="OD207" s="6"/>
      <c r="OE207" s="6"/>
      <c r="OF207" s="6"/>
      <c r="OG207" s="5" t="str">
        <f t="shared" si="752"/>
        <v>NO APLICA</v>
      </c>
      <c r="OH207" s="6"/>
      <c r="OI207" s="6"/>
      <c r="OJ207" s="6"/>
      <c r="OK207" s="6"/>
      <c r="OL207" s="5" t="str">
        <f t="shared" si="753"/>
        <v>NO APLICA</v>
      </c>
      <c r="OM207" s="6"/>
      <c r="ON207" s="6"/>
      <c r="OO207" s="6"/>
      <c r="OP207" s="6"/>
      <c r="OQ207" s="5" t="str">
        <f t="shared" si="754"/>
        <v>NO APLICA</v>
      </c>
      <c r="OR207" s="6"/>
      <c r="OS207" s="6"/>
      <c r="OT207" s="6"/>
      <c r="OU207" s="6"/>
      <c r="OV207" s="5" t="str">
        <f t="shared" si="755"/>
        <v>NO APLICA</v>
      </c>
      <c r="OW207" s="6"/>
      <c r="OX207" s="6"/>
      <c r="OY207" s="6"/>
      <c r="OZ207" s="6"/>
      <c r="PA207" s="5" t="str">
        <f t="shared" si="769"/>
        <v>NO APLICA</v>
      </c>
      <c r="PB207" s="6"/>
      <c r="PC207" s="6"/>
      <c r="PD207" s="6"/>
      <c r="PE207" s="6"/>
      <c r="PF207" s="5" t="str">
        <f t="shared" si="756"/>
        <v>NO APLICA</v>
      </c>
      <c r="PG207" s="6"/>
      <c r="PH207" s="6"/>
      <c r="PI207" s="6"/>
      <c r="PJ207" s="6"/>
      <c r="PK207" s="5" t="str">
        <f t="shared" si="757"/>
        <v>NO APLICA</v>
      </c>
      <c r="PL207" s="5"/>
      <c r="PM207" s="6"/>
      <c r="PN207" s="6"/>
      <c r="PO207" s="6"/>
      <c r="PP207" s="5" t="str">
        <f t="shared" si="766"/>
        <v>NO APLICA</v>
      </c>
      <c r="PQ207" s="6"/>
      <c r="PR207" s="6"/>
      <c r="PS207" s="6"/>
      <c r="PT207" s="6"/>
      <c r="PU207" s="5" t="str">
        <f t="shared" si="758"/>
        <v>NO APLICA</v>
      </c>
      <c r="PV207" s="5"/>
      <c r="PW207" s="6"/>
      <c r="PX207" s="6"/>
      <c r="PY207" s="6"/>
      <c r="PZ207" s="5" t="str">
        <f t="shared" si="759"/>
        <v>NO APLICA</v>
      </c>
    </row>
    <row r="208" spans="1:442" ht="15.6" hidden="1" thickTop="1" thickBot="1" x14ac:dyDescent="0.35">
      <c r="A208" s="26">
        <v>205</v>
      </c>
      <c r="B208" s="27">
        <v>1656</v>
      </c>
      <c r="C208" s="28" t="s">
        <v>640</v>
      </c>
      <c r="D208" s="29" t="s">
        <v>633</v>
      </c>
      <c r="E208" s="30" t="s">
        <v>634</v>
      </c>
      <c r="F208" s="6"/>
      <c r="G208" s="6"/>
      <c r="H208" s="6"/>
      <c r="I208" s="6"/>
      <c r="J208" s="5" t="str">
        <f t="shared" si="696"/>
        <v>NO APLICA</v>
      </c>
      <c r="K208" s="6"/>
      <c r="L208" s="6"/>
      <c r="M208" s="6"/>
      <c r="N208" s="6"/>
      <c r="O208" s="5" t="str">
        <f t="shared" si="699"/>
        <v>NO APLICA</v>
      </c>
      <c r="P208" s="6"/>
      <c r="Q208" s="6"/>
      <c r="R208" s="6"/>
      <c r="S208" s="6"/>
      <c r="T208" s="5" t="str">
        <f t="shared" si="697"/>
        <v>NO APLICA</v>
      </c>
      <c r="U208" s="5"/>
      <c r="V208" s="6"/>
      <c r="W208" s="4"/>
      <c r="X208" s="4"/>
      <c r="Y208" s="8"/>
      <c r="Z208" s="5" t="str">
        <f t="shared" si="605"/>
        <v>NO APLICA</v>
      </c>
      <c r="AA208" s="5"/>
      <c r="AB208" s="2"/>
      <c r="AC208" s="2"/>
      <c r="AD208" s="2"/>
      <c r="AE208" s="2"/>
      <c r="AF208" s="5" t="str">
        <f t="shared" si="700"/>
        <v>NO APLICA</v>
      </c>
      <c r="AG208" s="4"/>
      <c r="AH208" s="4"/>
      <c r="AI208" s="4"/>
      <c r="AJ208" s="8"/>
      <c r="AK208" s="5" t="str">
        <f t="shared" si="602"/>
        <v>NO APLICA</v>
      </c>
      <c r="AL208" s="4"/>
      <c r="AM208" s="4"/>
      <c r="AN208" s="4"/>
      <c r="AO208" s="8"/>
      <c r="AP208" s="5" t="str">
        <f t="shared" si="701"/>
        <v>NO APLICA</v>
      </c>
      <c r="AQ208" s="4"/>
      <c r="AR208" s="4"/>
      <c r="AS208" s="4"/>
      <c r="AT208" s="8"/>
      <c r="AU208" s="5" t="str">
        <f t="shared" si="702"/>
        <v>NO APLICA</v>
      </c>
      <c r="AV208" s="4"/>
      <c r="AW208" s="4"/>
      <c r="AX208" s="4"/>
      <c r="AY208" s="8"/>
      <c r="AZ208" s="5" t="str">
        <f t="shared" si="703"/>
        <v>NO APLICA</v>
      </c>
      <c r="BA208" s="4"/>
      <c r="BB208" s="4"/>
      <c r="BC208" s="4"/>
      <c r="BD208" s="8"/>
      <c r="BE208" s="5" t="str">
        <f t="shared" si="704"/>
        <v>NO APLICA</v>
      </c>
      <c r="BF208" s="4"/>
      <c r="BG208" s="4"/>
      <c r="BH208" s="4"/>
      <c r="BI208" s="8"/>
      <c r="BJ208" s="5" t="str">
        <f t="shared" si="705"/>
        <v>NO APLICA</v>
      </c>
      <c r="BK208" s="4"/>
      <c r="BL208" s="4"/>
      <c r="BM208" s="4"/>
      <c r="BN208" s="8"/>
      <c r="BO208" s="5" t="str">
        <f t="shared" si="706"/>
        <v>NO APLICA</v>
      </c>
      <c r="BP208" s="4"/>
      <c r="BQ208" s="4"/>
      <c r="BR208" s="4"/>
      <c r="BS208" s="8"/>
      <c r="BT208" s="5" t="str">
        <f t="shared" si="707"/>
        <v>NO APLICA</v>
      </c>
      <c r="BU208" s="4"/>
      <c r="BV208" s="4"/>
      <c r="BW208" s="4"/>
      <c r="BX208" s="8"/>
      <c r="BY208" s="5" t="str">
        <f t="shared" si="708"/>
        <v>NO APLICA</v>
      </c>
      <c r="BZ208" s="4"/>
      <c r="CA208" s="4"/>
      <c r="CB208" s="4"/>
      <c r="CC208" s="8"/>
      <c r="CD208" s="5" t="str">
        <f t="shared" si="709"/>
        <v>NO APLICA</v>
      </c>
      <c r="CE208" s="2"/>
      <c r="CF208" s="2"/>
      <c r="CG208" s="2"/>
      <c r="CH208" s="2"/>
      <c r="CI208" s="5" t="str">
        <f t="shared" ref="CI208:CI237" si="770">IF(CH208&gt;=90,"VIGENTE",IF(CH208&gt;=1,"POR VENCER",IF(CH208&lt;=-1,"VENCIDA",IF(CH208=0,"NO APLICA"))))</f>
        <v>NO APLICA</v>
      </c>
      <c r="CJ208" s="4"/>
      <c r="CK208" s="4"/>
      <c r="CL208" s="4"/>
      <c r="CM208" s="8"/>
      <c r="CN208" s="5" t="str">
        <f t="shared" si="710"/>
        <v>NO APLICA</v>
      </c>
      <c r="CO208" s="4"/>
      <c r="CP208" s="4"/>
      <c r="CQ208" s="4"/>
      <c r="CR208" s="8"/>
      <c r="CS208" s="5" t="str">
        <f t="shared" si="711"/>
        <v>NO APLICA</v>
      </c>
      <c r="CT208" s="4"/>
      <c r="CU208" s="4"/>
      <c r="CV208" s="4"/>
      <c r="CW208" s="8"/>
      <c r="CX208" s="5" t="str">
        <f t="shared" si="712"/>
        <v>NO APLICA</v>
      </c>
      <c r="CY208" s="4"/>
      <c r="CZ208" s="4"/>
      <c r="DA208" s="4"/>
      <c r="DB208" s="8"/>
      <c r="DC208" s="5" t="str">
        <f t="shared" si="713"/>
        <v>NO APLICA</v>
      </c>
      <c r="DD208" s="4"/>
      <c r="DE208" s="4"/>
      <c r="DF208" s="4"/>
      <c r="DG208" s="8"/>
      <c r="DH208" s="5" t="str">
        <f t="shared" si="714"/>
        <v>NO APLICA</v>
      </c>
      <c r="DI208" s="4"/>
      <c r="DJ208" s="4"/>
      <c r="DK208" s="4"/>
      <c r="DL208" s="8"/>
      <c r="DM208" s="5" t="str">
        <f t="shared" si="715"/>
        <v>NO APLICA</v>
      </c>
      <c r="DN208" s="4"/>
      <c r="DO208" s="4"/>
      <c r="DP208" s="4"/>
      <c r="DQ208" s="8"/>
      <c r="DR208" s="5" t="str">
        <f t="shared" si="716"/>
        <v>NO APLICA</v>
      </c>
      <c r="DS208" s="4"/>
      <c r="DT208" s="4"/>
      <c r="DU208" s="4"/>
      <c r="DV208" s="8"/>
      <c r="DW208" s="5" t="str">
        <f t="shared" si="717"/>
        <v>NO APLICA</v>
      </c>
      <c r="DX208" s="4"/>
      <c r="DY208" s="4"/>
      <c r="DZ208" s="4"/>
      <c r="EA208" s="8"/>
      <c r="EB208" s="5" t="str">
        <f t="shared" si="718"/>
        <v>NO APLICA</v>
      </c>
      <c r="EC208" s="4"/>
      <c r="ED208" s="4"/>
      <c r="EE208" s="4"/>
      <c r="EF208" s="8"/>
      <c r="EG208" s="5" t="str">
        <f t="shared" si="719"/>
        <v>NO APLICA</v>
      </c>
      <c r="EH208" s="4"/>
      <c r="EI208" s="4"/>
      <c r="EJ208" s="4"/>
      <c r="EK208" s="8"/>
      <c r="EL208" s="5" t="str">
        <f t="shared" si="720"/>
        <v>NO APLICA</v>
      </c>
      <c r="EM208" s="4"/>
      <c r="EN208" s="6"/>
      <c r="EO208" s="4"/>
      <c r="EP208" s="8"/>
      <c r="EQ208" s="5" t="str">
        <f t="shared" si="721"/>
        <v>NO APLICA</v>
      </c>
      <c r="ER208" s="4"/>
      <c r="ES208" s="4"/>
      <c r="ET208" s="4"/>
      <c r="EU208" s="8"/>
      <c r="EV208" s="5" t="str">
        <f t="shared" si="722"/>
        <v>NO APLICA</v>
      </c>
      <c r="EW208" s="4"/>
      <c r="EX208" s="4"/>
      <c r="EY208" s="4"/>
      <c r="EZ208" s="8"/>
      <c r="FA208" s="5" t="str">
        <f t="shared" si="723"/>
        <v>NO APLICA</v>
      </c>
      <c r="FB208" s="6"/>
      <c r="FC208" s="6"/>
      <c r="FD208" s="4"/>
      <c r="FE208" s="8"/>
      <c r="FF208" s="5" t="str">
        <f t="shared" si="724"/>
        <v>NO APLICA</v>
      </c>
      <c r="FG208" s="4"/>
      <c r="FH208" s="4"/>
      <c r="FI208" s="4"/>
      <c r="FJ208" s="8"/>
      <c r="FK208" s="5" t="str">
        <f t="shared" si="725"/>
        <v>NO APLICA</v>
      </c>
      <c r="FL208" s="4"/>
      <c r="FM208" s="6"/>
      <c r="FN208" s="4"/>
      <c r="FO208" s="8"/>
      <c r="FP208" s="5" t="str">
        <f t="shared" si="726"/>
        <v>NO APLICA</v>
      </c>
      <c r="FQ208" s="4"/>
      <c r="FR208" s="4"/>
      <c r="FS208" s="4"/>
      <c r="FT208" s="8"/>
      <c r="FU208" s="5" t="str">
        <f t="shared" si="727"/>
        <v>NO APLICA</v>
      </c>
      <c r="FV208" s="4"/>
      <c r="FW208" s="4"/>
      <c r="FX208" s="4"/>
      <c r="FY208" s="8"/>
      <c r="FZ208" s="5" t="str">
        <f t="shared" si="728"/>
        <v>NO APLICA</v>
      </c>
      <c r="GA208" s="4"/>
      <c r="GB208" s="4"/>
      <c r="GC208" s="4"/>
      <c r="GD208" s="8"/>
      <c r="GE208" s="5" t="str">
        <f t="shared" si="729"/>
        <v>NO APLICA</v>
      </c>
      <c r="GF208" s="4"/>
      <c r="GG208" s="4"/>
      <c r="GH208" s="4"/>
      <c r="GI208" s="8"/>
      <c r="GJ208" s="5" t="str">
        <f t="shared" si="730"/>
        <v>NO APLICA</v>
      </c>
      <c r="GK208" s="4"/>
      <c r="GL208" s="6"/>
      <c r="GM208" s="4"/>
      <c r="GN208" s="8"/>
      <c r="GO208" s="5" t="str">
        <f t="shared" si="731"/>
        <v>NO APLICA</v>
      </c>
      <c r="GP208" s="4"/>
      <c r="GQ208" s="6"/>
      <c r="GR208" s="4"/>
      <c r="GS208" s="8"/>
      <c r="GT208" s="5" t="str">
        <f t="shared" si="610"/>
        <v>NO APLICA</v>
      </c>
      <c r="GU208" s="4"/>
      <c r="GV208" s="6"/>
      <c r="GW208" s="4"/>
      <c r="GX208" s="8"/>
      <c r="GY208" s="5" t="str">
        <f t="shared" si="611"/>
        <v>NO APLICA</v>
      </c>
      <c r="GZ208" s="6"/>
      <c r="HA208" s="6"/>
      <c r="HB208" s="4"/>
      <c r="HC208" s="8"/>
      <c r="HD208" s="5" t="str">
        <f t="shared" si="612"/>
        <v>NO APLICA</v>
      </c>
      <c r="HE208" s="6"/>
      <c r="HF208" s="6"/>
      <c r="HG208" s="4"/>
      <c r="HH208" s="8"/>
      <c r="HI208" s="5" t="str">
        <f t="shared" si="698"/>
        <v>NO APLICA</v>
      </c>
      <c r="HJ208" s="6"/>
      <c r="HK208" s="6"/>
      <c r="HL208" s="6"/>
      <c r="HM208" s="6"/>
      <c r="HN208" s="5" t="str">
        <f t="shared" si="694"/>
        <v>NO APLICA</v>
      </c>
      <c r="HO208" s="6"/>
      <c r="HP208" s="6"/>
      <c r="HQ208" s="6"/>
      <c r="HR208" s="6"/>
      <c r="HS208" s="5" t="str">
        <f t="shared" si="732"/>
        <v>NO APLICA</v>
      </c>
      <c r="HT208" s="6"/>
      <c r="HU208" s="6"/>
      <c r="HV208" s="6"/>
      <c r="HW208" s="6"/>
      <c r="HX208" s="5" t="str">
        <f t="shared" si="733"/>
        <v>NO APLICA</v>
      </c>
      <c r="HY208" s="6"/>
      <c r="HZ208" s="6"/>
      <c r="IA208" s="6"/>
      <c r="IB208" s="6"/>
      <c r="IC208" s="5" t="str">
        <f t="shared" si="734"/>
        <v>NO APLICA</v>
      </c>
      <c r="ID208" s="6"/>
      <c r="IE208" s="6"/>
      <c r="IF208" s="6"/>
      <c r="IG208" s="6"/>
      <c r="IH208" s="5" t="str">
        <f t="shared" si="735"/>
        <v>NO APLICA</v>
      </c>
      <c r="II208" s="6"/>
      <c r="IJ208" s="6"/>
      <c r="IK208" s="6"/>
      <c r="IL208" s="6"/>
      <c r="IM208" s="5" t="str">
        <f t="shared" si="736"/>
        <v>NO APLICA</v>
      </c>
      <c r="IN208" s="6"/>
      <c r="IO208" s="6"/>
      <c r="IP208" s="6"/>
      <c r="IQ208" s="6"/>
      <c r="IR208" s="5" t="str">
        <f t="shared" si="737"/>
        <v>NO APLICA</v>
      </c>
      <c r="IS208" s="6"/>
      <c r="IT208" s="6"/>
      <c r="IU208" s="6"/>
      <c r="IV208" s="6"/>
      <c r="IW208" s="5" t="str">
        <f t="shared" si="738"/>
        <v>NO APLICA</v>
      </c>
      <c r="IX208" s="6"/>
      <c r="IY208" s="6"/>
      <c r="IZ208" s="6"/>
      <c r="JA208" s="6"/>
      <c r="JB208" s="5" t="str">
        <f t="shared" si="739"/>
        <v>NO APLICA</v>
      </c>
      <c r="JC208" s="3" t="s">
        <v>780</v>
      </c>
      <c r="JD208" s="3"/>
      <c r="JE208" s="4"/>
      <c r="JF208" s="8"/>
      <c r="JG208" s="5"/>
      <c r="JH208" s="3" t="s">
        <v>780</v>
      </c>
      <c r="JI208" s="4"/>
      <c r="JJ208" s="6"/>
      <c r="JK208" s="6"/>
      <c r="JL208" s="5"/>
      <c r="JM208" s="6" t="s">
        <v>780</v>
      </c>
      <c r="JN208" s="6"/>
      <c r="JO208" s="6"/>
      <c r="JP208" s="6"/>
      <c r="JQ208" s="5"/>
      <c r="JR208" s="6" t="s">
        <v>780</v>
      </c>
      <c r="JS208" s="4"/>
      <c r="JT208" s="6"/>
      <c r="JU208" s="6"/>
      <c r="JV208" s="5"/>
      <c r="JW208" s="6" t="s">
        <v>780</v>
      </c>
      <c r="JX208" s="3"/>
      <c r="JY208" s="4"/>
      <c r="JZ208" s="8"/>
      <c r="KA208" s="5"/>
      <c r="KB208" s="5"/>
      <c r="KC208" s="6"/>
      <c r="KD208" s="6"/>
      <c r="KE208" s="6"/>
      <c r="KF208" s="5" t="str">
        <f t="shared" si="740"/>
        <v>NO APLICA</v>
      </c>
      <c r="KG208" s="5"/>
      <c r="KH208" s="6"/>
      <c r="KI208" s="6"/>
      <c r="KJ208" s="6"/>
      <c r="KK208" s="5" t="str">
        <f t="shared" si="760"/>
        <v>NO APLICA</v>
      </c>
      <c r="KL208" s="5"/>
      <c r="KM208" s="6"/>
      <c r="KN208" s="6"/>
      <c r="KO208" s="6"/>
      <c r="KP208" s="5" t="str">
        <f t="shared" si="741"/>
        <v>NO APLICA</v>
      </c>
      <c r="KQ208" s="5"/>
      <c r="KR208" s="3">
        <v>45346</v>
      </c>
      <c r="KS208" s="4">
        <f>DATE(YEAR(KR208)+5,MONTH(KR208),DAY(KR208))</f>
        <v>47173</v>
      </c>
      <c r="KT208" s="8">
        <f ca="1">KS208-TODAY()</f>
        <v>1028</v>
      </c>
      <c r="KU208" s="5" t="str">
        <f ca="1">IF(KT208&gt;=61,"VIGENTE",IF(KT208&gt;=1,"POR VENCER",IF(KT208&lt;=-1,"VENCIDA",IF(KR208=0,"NO APLICA"))))</f>
        <v>VIGENTE</v>
      </c>
      <c r="KV208" s="6"/>
      <c r="KW208" s="6"/>
      <c r="KX208" s="6"/>
      <c r="KY208" s="6"/>
      <c r="KZ208" s="5" t="str">
        <f t="shared" si="767"/>
        <v>NO APLICA</v>
      </c>
      <c r="LA208" s="5"/>
      <c r="LB208" s="6"/>
      <c r="LC208" s="6"/>
      <c r="LD208" s="6"/>
      <c r="LE208" s="5" t="str">
        <f t="shared" si="762"/>
        <v>NO APLICA</v>
      </c>
      <c r="LF208" s="6"/>
      <c r="LG208" s="6"/>
      <c r="LH208" s="6"/>
      <c r="LI208" s="6"/>
      <c r="LJ208" s="5" t="str">
        <f t="shared" si="600"/>
        <v>NO APLICA</v>
      </c>
      <c r="LK208" s="5"/>
      <c r="LL208" s="5"/>
      <c r="LM208" s="4"/>
      <c r="LN208" s="8"/>
      <c r="LO208" s="5" t="str">
        <f t="shared" si="768"/>
        <v>NO APLICA</v>
      </c>
      <c r="LP208" s="6"/>
      <c r="LQ208" s="6"/>
      <c r="LR208" s="6"/>
      <c r="LS208" s="6"/>
      <c r="LT208" s="5" t="str">
        <f t="shared" si="763"/>
        <v>NO APLICA</v>
      </c>
      <c r="LU208" s="6"/>
      <c r="LV208" s="6"/>
      <c r="LW208" s="6"/>
      <c r="LX208" s="6"/>
      <c r="LY208" s="5" t="str">
        <f t="shared" si="764"/>
        <v>NO APLICA</v>
      </c>
      <c r="LZ208" s="6"/>
      <c r="MA208" s="6"/>
      <c r="MB208" s="6"/>
      <c r="MC208" s="6"/>
      <c r="MD208" s="5" t="str">
        <f t="shared" si="765"/>
        <v>NO APLICA</v>
      </c>
      <c r="ME208" s="6"/>
      <c r="MF208" s="6"/>
      <c r="MG208" s="6"/>
      <c r="MH208" s="6"/>
      <c r="MI208" s="5" t="str">
        <f t="shared" si="742"/>
        <v>NO APLICA</v>
      </c>
      <c r="MJ208" s="6"/>
      <c r="MK208" s="6"/>
      <c r="ML208" s="6"/>
      <c r="MM208" s="6"/>
      <c r="MN208" s="5" t="str">
        <f t="shared" si="743"/>
        <v>NO APLICA</v>
      </c>
      <c r="MO208" s="5"/>
      <c r="MP208" s="6"/>
      <c r="MQ208" s="6"/>
      <c r="MR208" s="6"/>
      <c r="MS208" s="5" t="str">
        <f t="shared" si="744"/>
        <v>NO APLICA</v>
      </c>
      <c r="MT208" s="5"/>
      <c r="MU208" s="6"/>
      <c r="MV208" s="6"/>
      <c r="MW208" s="6"/>
      <c r="MX208" s="5" t="str">
        <f t="shared" si="745"/>
        <v>NO APLICA</v>
      </c>
      <c r="MY208" s="6"/>
      <c r="MZ208" s="6"/>
      <c r="NA208" s="6"/>
      <c r="NB208" s="6"/>
      <c r="NC208" s="5" t="str">
        <f t="shared" si="746"/>
        <v>NO APLICA</v>
      </c>
      <c r="ND208" s="6"/>
      <c r="NE208" s="6"/>
      <c r="NF208" s="6"/>
      <c r="NG208" s="6"/>
      <c r="NH208" s="5" t="str">
        <f t="shared" si="747"/>
        <v>NO APLICA</v>
      </c>
      <c r="NI208" s="6"/>
      <c r="NJ208" s="6"/>
      <c r="NK208" s="6"/>
      <c r="NL208" s="6"/>
      <c r="NM208" s="5" t="str">
        <f t="shared" si="748"/>
        <v>NO APLICA</v>
      </c>
      <c r="NN208" s="6"/>
      <c r="NO208" s="6"/>
      <c r="NP208" s="6"/>
      <c r="NQ208" s="6"/>
      <c r="NR208" s="5" t="str">
        <f t="shared" si="749"/>
        <v>NO APLICA</v>
      </c>
      <c r="NS208" s="6"/>
      <c r="NT208" s="6"/>
      <c r="NU208" s="6"/>
      <c r="NV208" s="6"/>
      <c r="NW208" s="5" t="str">
        <f t="shared" si="750"/>
        <v>NO APLICA</v>
      </c>
      <c r="NX208" s="6"/>
      <c r="NY208" s="6"/>
      <c r="NZ208" s="6"/>
      <c r="OA208" s="6"/>
      <c r="OB208" s="5" t="str">
        <f t="shared" si="751"/>
        <v>NO APLICA</v>
      </c>
      <c r="OC208" s="6"/>
      <c r="OD208" s="6"/>
      <c r="OE208" s="6"/>
      <c r="OF208" s="6"/>
      <c r="OG208" s="5" t="str">
        <f t="shared" si="752"/>
        <v>NO APLICA</v>
      </c>
      <c r="OH208" s="6"/>
      <c r="OI208" s="6"/>
      <c r="OJ208" s="6"/>
      <c r="OK208" s="6"/>
      <c r="OL208" s="5" t="str">
        <f t="shared" si="753"/>
        <v>NO APLICA</v>
      </c>
      <c r="OM208" s="6"/>
      <c r="ON208" s="6"/>
      <c r="OO208" s="6"/>
      <c r="OP208" s="6"/>
      <c r="OQ208" s="5" t="str">
        <f t="shared" si="754"/>
        <v>NO APLICA</v>
      </c>
      <c r="OR208" s="6"/>
      <c r="OS208" s="6"/>
      <c r="OT208" s="6"/>
      <c r="OU208" s="6"/>
      <c r="OV208" s="5" t="str">
        <f t="shared" si="755"/>
        <v>NO APLICA</v>
      </c>
      <c r="OW208" s="6"/>
      <c r="OX208" s="6"/>
      <c r="OY208" s="6"/>
      <c r="OZ208" s="6"/>
      <c r="PA208" s="5" t="str">
        <f t="shared" si="769"/>
        <v>NO APLICA</v>
      </c>
      <c r="PB208" s="6"/>
      <c r="PC208" s="6"/>
      <c r="PD208" s="6"/>
      <c r="PE208" s="6"/>
      <c r="PF208" s="5" t="str">
        <f t="shared" si="756"/>
        <v>NO APLICA</v>
      </c>
      <c r="PG208" s="6"/>
      <c r="PH208" s="6"/>
      <c r="PI208" s="6"/>
      <c r="PJ208" s="6"/>
      <c r="PK208" s="5" t="str">
        <f t="shared" si="757"/>
        <v>NO APLICA</v>
      </c>
      <c r="PL208" s="5"/>
      <c r="PM208" s="6"/>
      <c r="PN208" s="6"/>
      <c r="PO208" s="6"/>
      <c r="PP208" s="5" t="str">
        <f t="shared" si="766"/>
        <v>NO APLICA</v>
      </c>
      <c r="PQ208" s="6"/>
      <c r="PR208" s="6"/>
      <c r="PS208" s="6"/>
      <c r="PT208" s="6"/>
      <c r="PU208" s="5" t="str">
        <f t="shared" si="758"/>
        <v>NO APLICA</v>
      </c>
      <c r="PV208" s="5"/>
      <c r="PW208" s="4">
        <v>46126</v>
      </c>
      <c r="PX208" s="4">
        <f>DATE(YEAR(PW208)+1,MONTH(PW208),DAY(PW208))</f>
        <v>46491</v>
      </c>
      <c r="PY208" s="8">
        <f ca="1">PX208-TODAY()</f>
        <v>346</v>
      </c>
      <c r="PZ208" s="5" t="str">
        <f t="shared" ca="1" si="759"/>
        <v>VIGENTE</v>
      </c>
    </row>
    <row r="209" spans="1:442" ht="15.6" hidden="1" thickTop="1" thickBot="1" x14ac:dyDescent="0.35">
      <c r="A209" s="26">
        <v>206</v>
      </c>
      <c r="B209" s="31">
        <v>1476</v>
      </c>
      <c r="C209" s="28" t="s">
        <v>641</v>
      </c>
      <c r="D209" s="29" t="s">
        <v>633</v>
      </c>
      <c r="E209" s="30" t="s">
        <v>642</v>
      </c>
      <c r="F209" s="6"/>
      <c r="G209" s="6"/>
      <c r="H209" s="6"/>
      <c r="I209" s="6"/>
      <c r="J209" s="5" t="str">
        <f t="shared" si="696"/>
        <v>NO APLICA</v>
      </c>
      <c r="K209" s="6"/>
      <c r="L209" s="6"/>
      <c r="M209" s="6"/>
      <c r="N209" s="6"/>
      <c r="O209" s="5" t="str">
        <f t="shared" si="699"/>
        <v>NO APLICA</v>
      </c>
      <c r="P209" s="6"/>
      <c r="Q209" s="6"/>
      <c r="R209" s="6"/>
      <c r="S209" s="6"/>
      <c r="T209" s="5" t="str">
        <f t="shared" si="697"/>
        <v>NO APLICA</v>
      </c>
      <c r="U209" s="5"/>
      <c r="V209" s="6"/>
      <c r="W209" s="4"/>
      <c r="X209" s="4"/>
      <c r="Y209" s="8"/>
      <c r="Z209" s="5" t="str">
        <f t="shared" si="605"/>
        <v>NO APLICA</v>
      </c>
      <c r="AA209" s="5"/>
      <c r="AB209" s="6"/>
      <c r="AC209" s="6"/>
      <c r="AD209" s="6"/>
      <c r="AE209" s="6"/>
      <c r="AF209" s="5" t="str">
        <f t="shared" si="700"/>
        <v>NO APLICA</v>
      </c>
      <c r="AG209" s="4"/>
      <c r="AH209" s="4"/>
      <c r="AI209" s="4"/>
      <c r="AJ209" s="6"/>
      <c r="AK209" s="5" t="str">
        <f t="shared" si="602"/>
        <v>NO APLICA</v>
      </c>
      <c r="AL209" s="4"/>
      <c r="AM209" s="4"/>
      <c r="AN209" s="4"/>
      <c r="AO209" s="6"/>
      <c r="AP209" s="5" t="str">
        <f t="shared" si="701"/>
        <v>NO APLICA</v>
      </c>
      <c r="AQ209" s="4"/>
      <c r="AR209" s="4"/>
      <c r="AS209" s="4"/>
      <c r="AT209" s="6"/>
      <c r="AU209" s="5" t="str">
        <f t="shared" si="702"/>
        <v>NO APLICA</v>
      </c>
      <c r="AV209" s="4"/>
      <c r="AW209" s="4"/>
      <c r="AX209" s="4"/>
      <c r="AY209" s="6"/>
      <c r="AZ209" s="5" t="str">
        <f t="shared" si="703"/>
        <v>NO APLICA</v>
      </c>
      <c r="BA209" s="4"/>
      <c r="BB209" s="4"/>
      <c r="BC209" s="4"/>
      <c r="BD209" s="6"/>
      <c r="BE209" s="5" t="str">
        <f t="shared" si="704"/>
        <v>NO APLICA</v>
      </c>
      <c r="BF209" s="4"/>
      <c r="BG209" s="4"/>
      <c r="BH209" s="4"/>
      <c r="BI209" s="6"/>
      <c r="BJ209" s="5" t="str">
        <f t="shared" si="705"/>
        <v>NO APLICA</v>
      </c>
      <c r="BK209" s="4"/>
      <c r="BL209" s="4"/>
      <c r="BM209" s="4"/>
      <c r="BN209" s="6"/>
      <c r="BO209" s="5" t="str">
        <f t="shared" si="706"/>
        <v>NO APLICA</v>
      </c>
      <c r="BP209" s="4"/>
      <c r="BQ209" s="4"/>
      <c r="BR209" s="4"/>
      <c r="BS209" s="6"/>
      <c r="BT209" s="5" t="str">
        <f t="shared" si="707"/>
        <v>NO APLICA</v>
      </c>
      <c r="BU209" s="4"/>
      <c r="BV209" s="4"/>
      <c r="BW209" s="4"/>
      <c r="BX209" s="6"/>
      <c r="BY209" s="5" t="str">
        <f t="shared" si="708"/>
        <v>NO APLICA</v>
      </c>
      <c r="BZ209" s="4"/>
      <c r="CA209" s="4"/>
      <c r="CB209" s="4"/>
      <c r="CC209" s="6"/>
      <c r="CD209" s="5" t="str">
        <f t="shared" si="709"/>
        <v>NO APLICA</v>
      </c>
      <c r="CE209" s="6"/>
      <c r="CF209" s="6"/>
      <c r="CG209" s="6"/>
      <c r="CH209" s="6"/>
      <c r="CI209" s="5" t="str">
        <f t="shared" si="770"/>
        <v>NO APLICA</v>
      </c>
      <c r="CJ209" s="4"/>
      <c r="CK209" s="4"/>
      <c r="CL209" s="4"/>
      <c r="CM209" s="6"/>
      <c r="CN209" s="5" t="str">
        <f t="shared" si="710"/>
        <v>NO APLICA</v>
      </c>
      <c r="CO209" s="4"/>
      <c r="CP209" s="4"/>
      <c r="CQ209" s="4"/>
      <c r="CR209" s="6"/>
      <c r="CS209" s="5" t="str">
        <f t="shared" si="711"/>
        <v>NO APLICA</v>
      </c>
      <c r="CT209" s="4"/>
      <c r="CU209" s="4"/>
      <c r="CV209" s="4"/>
      <c r="CW209" s="6"/>
      <c r="CX209" s="5" t="str">
        <f t="shared" si="712"/>
        <v>NO APLICA</v>
      </c>
      <c r="CY209" s="4"/>
      <c r="CZ209" s="4"/>
      <c r="DA209" s="4"/>
      <c r="DB209" s="6"/>
      <c r="DC209" s="5" t="str">
        <f t="shared" si="713"/>
        <v>NO APLICA</v>
      </c>
      <c r="DD209" s="4"/>
      <c r="DE209" s="4"/>
      <c r="DF209" s="4"/>
      <c r="DG209" s="6"/>
      <c r="DH209" s="5" t="str">
        <f t="shared" si="714"/>
        <v>NO APLICA</v>
      </c>
      <c r="DI209" s="4"/>
      <c r="DJ209" s="4"/>
      <c r="DK209" s="4"/>
      <c r="DL209" s="6"/>
      <c r="DM209" s="5" t="str">
        <f t="shared" si="715"/>
        <v>NO APLICA</v>
      </c>
      <c r="DN209" s="4"/>
      <c r="DO209" s="4"/>
      <c r="DP209" s="4"/>
      <c r="DQ209" s="6"/>
      <c r="DR209" s="5" t="str">
        <f t="shared" si="716"/>
        <v>NO APLICA</v>
      </c>
      <c r="DS209" s="4"/>
      <c r="DT209" s="4"/>
      <c r="DU209" s="4"/>
      <c r="DV209" s="6"/>
      <c r="DW209" s="5" t="str">
        <f t="shared" si="717"/>
        <v>NO APLICA</v>
      </c>
      <c r="DX209" s="4"/>
      <c r="DY209" s="4"/>
      <c r="DZ209" s="4"/>
      <c r="EA209" s="6"/>
      <c r="EB209" s="5" t="str">
        <f t="shared" si="718"/>
        <v>NO APLICA</v>
      </c>
      <c r="EC209" s="4"/>
      <c r="ED209" s="4"/>
      <c r="EE209" s="4"/>
      <c r="EF209" s="6"/>
      <c r="EG209" s="5" t="str">
        <f t="shared" si="719"/>
        <v>NO APLICA</v>
      </c>
      <c r="EH209" s="4"/>
      <c r="EI209" s="4"/>
      <c r="EJ209" s="4"/>
      <c r="EK209" s="8"/>
      <c r="EL209" s="5" t="str">
        <f t="shared" si="720"/>
        <v>NO APLICA</v>
      </c>
      <c r="EM209" s="4"/>
      <c r="EN209" s="4"/>
      <c r="EO209" s="4"/>
      <c r="EP209" s="8"/>
      <c r="EQ209" s="5" t="str">
        <f t="shared" si="721"/>
        <v>NO APLICA</v>
      </c>
      <c r="ER209" s="4"/>
      <c r="ES209" s="4"/>
      <c r="ET209" s="4"/>
      <c r="EU209" s="8"/>
      <c r="EV209" s="5" t="str">
        <f t="shared" si="722"/>
        <v>NO APLICA</v>
      </c>
      <c r="EW209" s="4"/>
      <c r="EX209" s="4"/>
      <c r="EY209" s="4"/>
      <c r="EZ209" s="6"/>
      <c r="FA209" s="5" t="str">
        <f t="shared" si="723"/>
        <v>NO APLICA</v>
      </c>
      <c r="FB209" s="4"/>
      <c r="FC209" s="4"/>
      <c r="FD209" s="4"/>
      <c r="FE209" s="6"/>
      <c r="FF209" s="5" t="str">
        <f t="shared" si="724"/>
        <v>NO APLICA</v>
      </c>
      <c r="FG209" s="4"/>
      <c r="FH209" s="4"/>
      <c r="FI209" s="4"/>
      <c r="FJ209" s="6"/>
      <c r="FK209" s="5" t="str">
        <f t="shared" si="725"/>
        <v>NO APLICA</v>
      </c>
      <c r="FL209" s="4"/>
      <c r="FM209" s="4"/>
      <c r="FN209" s="4"/>
      <c r="FO209" s="6"/>
      <c r="FP209" s="5" t="str">
        <f t="shared" si="726"/>
        <v>NO APLICA</v>
      </c>
      <c r="FQ209" s="4"/>
      <c r="FR209" s="4"/>
      <c r="FS209" s="4"/>
      <c r="FT209" s="6"/>
      <c r="FU209" s="5" t="str">
        <f t="shared" si="727"/>
        <v>NO APLICA</v>
      </c>
      <c r="FV209" s="4"/>
      <c r="FW209" s="4"/>
      <c r="FX209" s="4"/>
      <c r="FY209" s="6"/>
      <c r="FZ209" s="5" t="str">
        <f t="shared" si="728"/>
        <v>NO APLICA</v>
      </c>
      <c r="GA209" s="4"/>
      <c r="GB209" s="4"/>
      <c r="GC209" s="4"/>
      <c r="GD209" s="6"/>
      <c r="GE209" s="5" t="str">
        <f t="shared" si="729"/>
        <v>NO APLICA</v>
      </c>
      <c r="GF209" s="4"/>
      <c r="GG209" s="4"/>
      <c r="GH209" s="4"/>
      <c r="GI209" s="8"/>
      <c r="GJ209" s="5" t="str">
        <f t="shared" si="730"/>
        <v>NO APLICA</v>
      </c>
      <c r="GK209" s="4"/>
      <c r="GL209" s="6"/>
      <c r="GM209" s="6"/>
      <c r="GN209" s="6"/>
      <c r="GO209" s="5" t="str">
        <f t="shared" si="731"/>
        <v>NO APLICA</v>
      </c>
      <c r="GP209" s="4"/>
      <c r="GQ209" s="6"/>
      <c r="GR209" s="6"/>
      <c r="GS209" s="6"/>
      <c r="GT209" s="5" t="str">
        <f t="shared" si="610"/>
        <v>NO APLICA</v>
      </c>
      <c r="GU209" s="4"/>
      <c r="GV209" s="6"/>
      <c r="GW209" s="6"/>
      <c r="GX209" s="6"/>
      <c r="GY209" s="5" t="str">
        <f t="shared" si="611"/>
        <v>NO APLICA</v>
      </c>
      <c r="GZ209" s="6"/>
      <c r="HA209" s="6"/>
      <c r="HB209" s="6"/>
      <c r="HC209" s="6"/>
      <c r="HD209" s="5" t="str">
        <f t="shared" si="612"/>
        <v>NO APLICA</v>
      </c>
      <c r="HE209" s="6"/>
      <c r="HF209" s="6"/>
      <c r="HG209" s="4"/>
      <c r="HH209" s="8"/>
      <c r="HI209" s="5" t="str">
        <f t="shared" si="698"/>
        <v>NO APLICA</v>
      </c>
      <c r="HJ209" s="6"/>
      <c r="HK209" s="6"/>
      <c r="HL209" s="6"/>
      <c r="HM209" s="6"/>
      <c r="HN209" s="5" t="str">
        <f t="shared" si="694"/>
        <v>NO APLICA</v>
      </c>
      <c r="HO209" s="6"/>
      <c r="HP209" s="6"/>
      <c r="HQ209" s="6"/>
      <c r="HR209" s="6"/>
      <c r="HS209" s="5" t="str">
        <f t="shared" si="732"/>
        <v>NO APLICA</v>
      </c>
      <c r="HT209" s="6"/>
      <c r="HU209" s="6"/>
      <c r="HV209" s="6"/>
      <c r="HW209" s="6"/>
      <c r="HX209" s="5" t="str">
        <f t="shared" si="733"/>
        <v>NO APLICA</v>
      </c>
      <c r="HY209" s="6"/>
      <c r="HZ209" s="6"/>
      <c r="IA209" s="6"/>
      <c r="IB209" s="6"/>
      <c r="IC209" s="5" t="str">
        <f t="shared" si="734"/>
        <v>NO APLICA</v>
      </c>
      <c r="ID209" s="6"/>
      <c r="IE209" s="6"/>
      <c r="IF209" s="6"/>
      <c r="IG209" s="6"/>
      <c r="IH209" s="5" t="str">
        <f t="shared" si="735"/>
        <v>NO APLICA</v>
      </c>
      <c r="II209" s="6"/>
      <c r="IJ209" s="6"/>
      <c r="IK209" s="6"/>
      <c r="IL209" s="6"/>
      <c r="IM209" s="5" t="str">
        <f t="shared" si="736"/>
        <v>NO APLICA</v>
      </c>
      <c r="IN209" s="6"/>
      <c r="IO209" s="6"/>
      <c r="IP209" s="6"/>
      <c r="IQ209" s="6"/>
      <c r="IR209" s="5" t="str">
        <f t="shared" si="737"/>
        <v>NO APLICA</v>
      </c>
      <c r="IS209" s="6"/>
      <c r="IT209" s="6"/>
      <c r="IU209" s="6"/>
      <c r="IV209" s="6"/>
      <c r="IW209" s="5" t="str">
        <f t="shared" si="738"/>
        <v>NO APLICA</v>
      </c>
      <c r="IX209" s="6"/>
      <c r="IY209" s="6"/>
      <c r="IZ209" s="6"/>
      <c r="JA209" s="6"/>
      <c r="JB209" s="5" t="str">
        <f t="shared" si="739"/>
        <v>NO APLICA</v>
      </c>
      <c r="JC209" s="3" t="s">
        <v>780</v>
      </c>
      <c r="JD209" s="3"/>
      <c r="JE209" s="4"/>
      <c r="JF209" s="8"/>
      <c r="JG209" s="5"/>
      <c r="JH209" s="3" t="s">
        <v>780</v>
      </c>
      <c r="JI209" s="4"/>
      <c r="JJ209" s="6"/>
      <c r="JK209" s="6"/>
      <c r="JL209" s="5"/>
      <c r="JM209" s="6" t="s">
        <v>780</v>
      </c>
      <c r="JN209" s="6"/>
      <c r="JO209" s="6"/>
      <c r="JP209" s="6"/>
      <c r="JQ209" s="5"/>
      <c r="JR209" s="6" t="s">
        <v>780</v>
      </c>
      <c r="JS209" s="4"/>
      <c r="JT209" s="6"/>
      <c r="JU209" s="6"/>
      <c r="JV209" s="5"/>
      <c r="JW209" s="6" t="s">
        <v>780</v>
      </c>
      <c r="JX209" s="3"/>
      <c r="JY209" s="4"/>
      <c r="JZ209" s="8"/>
      <c r="KA209" s="38"/>
      <c r="KB209" s="5"/>
      <c r="KC209" s="6"/>
      <c r="KD209" s="6"/>
      <c r="KE209" s="6"/>
      <c r="KF209" s="5" t="str">
        <f t="shared" si="740"/>
        <v>NO APLICA</v>
      </c>
      <c r="KG209" s="5"/>
      <c r="KH209" s="6"/>
      <c r="KI209" s="6"/>
      <c r="KJ209" s="6"/>
      <c r="KK209" s="5" t="str">
        <f t="shared" si="760"/>
        <v>NO APLICA</v>
      </c>
      <c r="KL209" s="5"/>
      <c r="KM209" s="6"/>
      <c r="KN209" s="6"/>
      <c r="KO209" s="6"/>
      <c r="KP209" s="5" t="str">
        <f t="shared" si="741"/>
        <v>NO APLICA</v>
      </c>
      <c r="KQ209" s="5"/>
      <c r="KR209" s="6"/>
      <c r="KS209" s="6"/>
      <c r="KT209" s="6"/>
      <c r="KU209" s="5" t="str">
        <f t="shared" si="761"/>
        <v>NO APLICA</v>
      </c>
      <c r="KV209" s="6"/>
      <c r="KW209" s="6"/>
      <c r="KX209" s="6"/>
      <c r="KY209" s="6"/>
      <c r="KZ209" s="5" t="str">
        <f t="shared" si="767"/>
        <v>NO APLICA</v>
      </c>
      <c r="LA209" s="5"/>
      <c r="LB209" s="6"/>
      <c r="LC209" s="6"/>
      <c r="LD209" s="6"/>
      <c r="LE209" s="5" t="str">
        <f t="shared" si="762"/>
        <v>NO APLICA</v>
      </c>
      <c r="LF209" s="6"/>
      <c r="LG209" s="6"/>
      <c r="LH209" s="6"/>
      <c r="LI209" s="6"/>
      <c r="LJ209" s="5" t="str">
        <f t="shared" si="600"/>
        <v>NO APLICA</v>
      </c>
      <c r="LK209" s="5"/>
      <c r="LL209" s="5"/>
      <c r="LM209" s="4"/>
      <c r="LN209" s="8"/>
      <c r="LO209" s="5" t="str">
        <f t="shared" si="768"/>
        <v>NO APLICA</v>
      </c>
      <c r="LP209" s="6"/>
      <c r="LQ209" s="6"/>
      <c r="LR209" s="6"/>
      <c r="LS209" s="6"/>
      <c r="LT209" s="5" t="str">
        <f t="shared" si="763"/>
        <v>NO APLICA</v>
      </c>
      <c r="LU209" s="6"/>
      <c r="LV209" s="6"/>
      <c r="LW209" s="6"/>
      <c r="LX209" s="6"/>
      <c r="LY209" s="5" t="str">
        <f t="shared" si="764"/>
        <v>NO APLICA</v>
      </c>
      <c r="LZ209" s="6"/>
      <c r="MA209" s="6"/>
      <c r="MB209" s="6"/>
      <c r="MC209" s="6"/>
      <c r="MD209" s="5" t="str">
        <f t="shared" si="765"/>
        <v>NO APLICA</v>
      </c>
      <c r="ME209" s="6"/>
      <c r="MF209" s="6"/>
      <c r="MG209" s="6"/>
      <c r="MH209" s="6"/>
      <c r="MI209" s="5" t="str">
        <f t="shared" si="742"/>
        <v>NO APLICA</v>
      </c>
      <c r="MJ209" s="6"/>
      <c r="MK209" s="6"/>
      <c r="ML209" s="6"/>
      <c r="MM209" s="6"/>
      <c r="MN209" s="5" t="str">
        <f t="shared" si="743"/>
        <v>NO APLICA</v>
      </c>
      <c r="MO209" s="5"/>
      <c r="MP209" s="6"/>
      <c r="MQ209" s="6"/>
      <c r="MR209" s="6"/>
      <c r="MS209" s="5" t="str">
        <f t="shared" si="744"/>
        <v>NO APLICA</v>
      </c>
      <c r="MT209" s="5"/>
      <c r="MU209" s="6"/>
      <c r="MV209" s="6"/>
      <c r="MW209" s="6"/>
      <c r="MX209" s="5" t="str">
        <f t="shared" si="745"/>
        <v>NO APLICA</v>
      </c>
      <c r="MY209" s="6"/>
      <c r="MZ209" s="6"/>
      <c r="NA209" s="6"/>
      <c r="NB209" s="6"/>
      <c r="NC209" s="5" t="str">
        <f t="shared" si="746"/>
        <v>NO APLICA</v>
      </c>
      <c r="ND209" s="6"/>
      <c r="NE209" s="6"/>
      <c r="NF209" s="6"/>
      <c r="NG209" s="6"/>
      <c r="NH209" s="5" t="str">
        <f t="shared" si="747"/>
        <v>NO APLICA</v>
      </c>
      <c r="NI209" s="6"/>
      <c r="NJ209" s="6"/>
      <c r="NK209" s="6"/>
      <c r="NL209" s="6"/>
      <c r="NM209" s="5" t="str">
        <f t="shared" si="748"/>
        <v>NO APLICA</v>
      </c>
      <c r="NN209" s="6"/>
      <c r="NO209" s="6"/>
      <c r="NP209" s="6"/>
      <c r="NQ209" s="6"/>
      <c r="NR209" s="5" t="str">
        <f t="shared" si="749"/>
        <v>NO APLICA</v>
      </c>
      <c r="NS209" s="6"/>
      <c r="NT209" s="6"/>
      <c r="NU209" s="6"/>
      <c r="NV209" s="6"/>
      <c r="NW209" s="5" t="str">
        <f t="shared" si="750"/>
        <v>NO APLICA</v>
      </c>
      <c r="NX209" s="6"/>
      <c r="NY209" s="6"/>
      <c r="NZ209" s="6"/>
      <c r="OA209" s="6"/>
      <c r="OB209" s="5" t="str">
        <f t="shared" si="751"/>
        <v>NO APLICA</v>
      </c>
      <c r="OC209" s="6"/>
      <c r="OD209" s="6"/>
      <c r="OE209" s="6"/>
      <c r="OF209" s="6"/>
      <c r="OG209" s="5" t="str">
        <f t="shared" si="752"/>
        <v>NO APLICA</v>
      </c>
      <c r="OH209" s="6"/>
      <c r="OI209" s="6"/>
      <c r="OJ209" s="6"/>
      <c r="OK209" s="6"/>
      <c r="OL209" s="5" t="str">
        <f t="shared" si="753"/>
        <v>NO APLICA</v>
      </c>
      <c r="OM209" s="6"/>
      <c r="ON209" s="6"/>
      <c r="OO209" s="6"/>
      <c r="OP209" s="6"/>
      <c r="OQ209" s="5" t="str">
        <f t="shared" si="754"/>
        <v>NO APLICA</v>
      </c>
      <c r="OR209" s="6"/>
      <c r="OS209" s="6"/>
      <c r="OT209" s="6"/>
      <c r="OU209" s="6"/>
      <c r="OV209" s="5" t="str">
        <f t="shared" si="755"/>
        <v>NO APLICA</v>
      </c>
      <c r="OW209" s="6"/>
      <c r="OX209" s="6"/>
      <c r="OY209" s="6"/>
      <c r="OZ209" s="6"/>
      <c r="PA209" s="5" t="str">
        <f t="shared" si="769"/>
        <v>NO APLICA</v>
      </c>
      <c r="PB209" s="6"/>
      <c r="PC209" s="6"/>
      <c r="PD209" s="6"/>
      <c r="PE209" s="6"/>
      <c r="PF209" s="5" t="str">
        <f t="shared" si="756"/>
        <v>NO APLICA</v>
      </c>
      <c r="PG209" s="6"/>
      <c r="PH209" s="6"/>
      <c r="PI209" s="6"/>
      <c r="PJ209" s="6"/>
      <c r="PK209" s="5" t="str">
        <f t="shared" si="757"/>
        <v>NO APLICA</v>
      </c>
      <c r="PL209" s="5"/>
      <c r="PM209" s="6"/>
      <c r="PN209" s="6"/>
      <c r="PO209" s="6"/>
      <c r="PP209" s="5" t="str">
        <f t="shared" si="766"/>
        <v>NO APLICA</v>
      </c>
      <c r="PQ209" s="6"/>
      <c r="PR209" s="6"/>
      <c r="PS209" s="6"/>
      <c r="PT209" s="6"/>
      <c r="PU209" s="5" t="str">
        <f t="shared" si="758"/>
        <v>NO APLICA</v>
      </c>
      <c r="PV209" s="5"/>
      <c r="PW209" s="6"/>
      <c r="PX209" s="6"/>
      <c r="PY209" s="6"/>
      <c r="PZ209" s="5" t="str">
        <f t="shared" si="759"/>
        <v>NO APLICA</v>
      </c>
    </row>
    <row r="210" spans="1:442" ht="15.6" hidden="1" thickTop="1" thickBot="1" x14ac:dyDescent="0.35">
      <c r="A210" s="26">
        <v>207</v>
      </c>
      <c r="B210" s="31">
        <v>1665</v>
      </c>
      <c r="C210" s="28" t="s">
        <v>770</v>
      </c>
      <c r="D210" s="29" t="s">
        <v>113</v>
      </c>
      <c r="E210" s="30" t="s">
        <v>643</v>
      </c>
      <c r="F210" s="6"/>
      <c r="G210" s="6"/>
      <c r="H210" s="6"/>
      <c r="I210" s="6"/>
      <c r="J210" s="5" t="str">
        <f t="shared" si="696"/>
        <v>NO APLICA</v>
      </c>
      <c r="K210" s="6"/>
      <c r="L210" s="6"/>
      <c r="M210" s="6"/>
      <c r="N210" s="6"/>
      <c r="O210" s="5" t="str">
        <f t="shared" si="699"/>
        <v>NO APLICA</v>
      </c>
      <c r="P210" s="6"/>
      <c r="Q210" s="6"/>
      <c r="R210" s="6"/>
      <c r="S210" s="6"/>
      <c r="T210" s="5" t="str">
        <f t="shared" si="697"/>
        <v>NO APLICA</v>
      </c>
      <c r="U210" s="5"/>
      <c r="V210" s="6"/>
      <c r="W210" s="4"/>
      <c r="X210" s="4"/>
      <c r="Y210" s="8"/>
      <c r="Z210" s="5" t="str">
        <f t="shared" si="605"/>
        <v>NO APLICA</v>
      </c>
      <c r="AA210" s="5"/>
      <c r="AB210" s="6"/>
      <c r="AC210" s="6"/>
      <c r="AD210" s="6"/>
      <c r="AE210" s="6"/>
      <c r="AF210" s="5" t="str">
        <f t="shared" si="700"/>
        <v>NO APLICA</v>
      </c>
      <c r="AG210" s="4"/>
      <c r="AH210" s="4"/>
      <c r="AI210" s="4"/>
      <c r="AJ210" s="6"/>
      <c r="AK210" s="5" t="str">
        <f t="shared" si="602"/>
        <v>NO APLICA</v>
      </c>
      <c r="AL210" s="4"/>
      <c r="AM210" s="4"/>
      <c r="AN210" s="4"/>
      <c r="AO210" s="6"/>
      <c r="AP210" s="5" t="str">
        <f t="shared" si="701"/>
        <v>NO APLICA</v>
      </c>
      <c r="AQ210" s="4"/>
      <c r="AR210" s="4"/>
      <c r="AS210" s="4"/>
      <c r="AT210" s="6"/>
      <c r="AU210" s="5" t="str">
        <f t="shared" si="702"/>
        <v>NO APLICA</v>
      </c>
      <c r="AV210" s="4"/>
      <c r="AW210" s="4"/>
      <c r="AX210" s="4"/>
      <c r="AY210" s="6"/>
      <c r="AZ210" s="5" t="str">
        <f t="shared" si="703"/>
        <v>NO APLICA</v>
      </c>
      <c r="BA210" s="4"/>
      <c r="BB210" s="4"/>
      <c r="BC210" s="4"/>
      <c r="BD210" s="6"/>
      <c r="BE210" s="5" t="str">
        <f t="shared" si="704"/>
        <v>NO APLICA</v>
      </c>
      <c r="BF210" s="4"/>
      <c r="BG210" s="4"/>
      <c r="BH210" s="4"/>
      <c r="BI210" s="6"/>
      <c r="BJ210" s="5" t="str">
        <f t="shared" si="705"/>
        <v>NO APLICA</v>
      </c>
      <c r="BK210" s="4"/>
      <c r="BL210" s="4"/>
      <c r="BM210" s="4"/>
      <c r="BN210" s="6"/>
      <c r="BO210" s="5" t="str">
        <f t="shared" si="706"/>
        <v>NO APLICA</v>
      </c>
      <c r="BP210" s="4"/>
      <c r="BQ210" s="4"/>
      <c r="BR210" s="4"/>
      <c r="BS210" s="6"/>
      <c r="BT210" s="5" t="str">
        <f t="shared" si="707"/>
        <v>NO APLICA</v>
      </c>
      <c r="BU210" s="4"/>
      <c r="BV210" s="4"/>
      <c r="BW210" s="4"/>
      <c r="BX210" s="6"/>
      <c r="BY210" s="5" t="str">
        <f t="shared" si="708"/>
        <v>NO APLICA</v>
      </c>
      <c r="BZ210" s="4"/>
      <c r="CA210" s="4"/>
      <c r="CB210" s="4"/>
      <c r="CC210" s="6"/>
      <c r="CD210" s="5" t="str">
        <f t="shared" si="709"/>
        <v>NO APLICA</v>
      </c>
      <c r="CE210" s="6"/>
      <c r="CF210" s="6"/>
      <c r="CG210" s="6"/>
      <c r="CH210" s="6"/>
      <c r="CI210" s="5" t="str">
        <f t="shared" si="770"/>
        <v>NO APLICA</v>
      </c>
      <c r="CJ210" s="4"/>
      <c r="CK210" s="4"/>
      <c r="CL210" s="4"/>
      <c r="CM210" s="6"/>
      <c r="CN210" s="5" t="str">
        <f t="shared" si="710"/>
        <v>NO APLICA</v>
      </c>
      <c r="CO210" s="4"/>
      <c r="CP210" s="4"/>
      <c r="CQ210" s="4"/>
      <c r="CR210" s="6"/>
      <c r="CS210" s="5" t="str">
        <f t="shared" si="711"/>
        <v>NO APLICA</v>
      </c>
      <c r="CT210" s="4"/>
      <c r="CU210" s="4"/>
      <c r="CV210" s="4"/>
      <c r="CW210" s="6"/>
      <c r="CX210" s="5" t="str">
        <f t="shared" si="712"/>
        <v>NO APLICA</v>
      </c>
      <c r="CY210" s="4"/>
      <c r="CZ210" s="4"/>
      <c r="DA210" s="4"/>
      <c r="DB210" s="6"/>
      <c r="DC210" s="5" t="str">
        <f t="shared" si="713"/>
        <v>NO APLICA</v>
      </c>
      <c r="DD210" s="4"/>
      <c r="DE210" s="4"/>
      <c r="DF210" s="4"/>
      <c r="DG210" s="6"/>
      <c r="DH210" s="5" t="str">
        <f t="shared" si="714"/>
        <v>NO APLICA</v>
      </c>
      <c r="DI210" s="4"/>
      <c r="DJ210" s="4"/>
      <c r="DK210" s="4"/>
      <c r="DL210" s="6"/>
      <c r="DM210" s="5" t="str">
        <f t="shared" si="715"/>
        <v>NO APLICA</v>
      </c>
      <c r="DN210" s="4"/>
      <c r="DO210" s="4"/>
      <c r="DP210" s="4"/>
      <c r="DQ210" s="6"/>
      <c r="DR210" s="5" t="str">
        <f t="shared" si="716"/>
        <v>NO APLICA</v>
      </c>
      <c r="DS210" s="4"/>
      <c r="DT210" s="4"/>
      <c r="DU210" s="4"/>
      <c r="DV210" s="6"/>
      <c r="DW210" s="5" t="str">
        <f t="shared" si="717"/>
        <v>NO APLICA</v>
      </c>
      <c r="DX210" s="4"/>
      <c r="DY210" s="4"/>
      <c r="DZ210" s="4"/>
      <c r="EA210" s="6"/>
      <c r="EB210" s="5" t="str">
        <f t="shared" si="718"/>
        <v>NO APLICA</v>
      </c>
      <c r="EC210" s="4"/>
      <c r="ED210" s="4"/>
      <c r="EE210" s="4"/>
      <c r="EF210" s="6"/>
      <c r="EG210" s="5" t="str">
        <f t="shared" si="719"/>
        <v>NO APLICA</v>
      </c>
      <c r="EH210" s="4"/>
      <c r="EI210" s="4"/>
      <c r="EJ210" s="4"/>
      <c r="EK210" s="8"/>
      <c r="EL210" s="5" t="str">
        <f t="shared" si="720"/>
        <v>NO APLICA</v>
      </c>
      <c r="EM210" s="4"/>
      <c r="EN210" s="4"/>
      <c r="EO210" s="4"/>
      <c r="EP210" s="8"/>
      <c r="EQ210" s="5" t="str">
        <f t="shared" si="721"/>
        <v>NO APLICA</v>
      </c>
      <c r="ER210" s="4"/>
      <c r="ES210" s="4"/>
      <c r="ET210" s="4"/>
      <c r="EU210" s="8"/>
      <c r="EV210" s="5" t="str">
        <f t="shared" si="722"/>
        <v>NO APLICA</v>
      </c>
      <c r="EW210" s="4"/>
      <c r="EX210" s="4"/>
      <c r="EY210" s="4"/>
      <c r="EZ210" s="6"/>
      <c r="FA210" s="5" t="str">
        <f t="shared" si="723"/>
        <v>NO APLICA</v>
      </c>
      <c r="FB210" s="4"/>
      <c r="FC210" s="4"/>
      <c r="FD210" s="4"/>
      <c r="FE210" s="6"/>
      <c r="FF210" s="5" t="str">
        <f t="shared" si="724"/>
        <v>NO APLICA</v>
      </c>
      <c r="FG210" s="4"/>
      <c r="FH210" s="4"/>
      <c r="FI210" s="4"/>
      <c r="FJ210" s="6"/>
      <c r="FK210" s="5" t="str">
        <f t="shared" si="725"/>
        <v>NO APLICA</v>
      </c>
      <c r="FL210" s="4"/>
      <c r="FM210" s="4"/>
      <c r="FN210" s="4"/>
      <c r="FO210" s="6"/>
      <c r="FP210" s="5" t="str">
        <f t="shared" si="726"/>
        <v>NO APLICA</v>
      </c>
      <c r="FQ210" s="4"/>
      <c r="FR210" s="4"/>
      <c r="FS210" s="4"/>
      <c r="FT210" s="6"/>
      <c r="FU210" s="5" t="str">
        <f t="shared" si="727"/>
        <v>NO APLICA</v>
      </c>
      <c r="FV210" s="4"/>
      <c r="FW210" s="4"/>
      <c r="FX210" s="4"/>
      <c r="FY210" s="6"/>
      <c r="FZ210" s="5" t="str">
        <f t="shared" si="728"/>
        <v>NO APLICA</v>
      </c>
      <c r="GA210" s="4"/>
      <c r="GB210" s="4"/>
      <c r="GC210" s="4"/>
      <c r="GD210" s="6"/>
      <c r="GE210" s="5" t="str">
        <f t="shared" si="729"/>
        <v>NO APLICA</v>
      </c>
      <c r="GF210" s="4"/>
      <c r="GG210" s="4"/>
      <c r="GH210" s="4"/>
      <c r="GI210" s="8"/>
      <c r="GJ210" s="5" t="str">
        <f t="shared" si="730"/>
        <v>NO APLICA</v>
      </c>
      <c r="GK210" s="4"/>
      <c r="GL210" s="6"/>
      <c r="GM210" s="6"/>
      <c r="GN210" s="6"/>
      <c r="GO210" s="5" t="str">
        <f t="shared" si="731"/>
        <v>NO APLICA</v>
      </c>
      <c r="GP210" s="4"/>
      <c r="GQ210" s="6"/>
      <c r="GR210" s="6"/>
      <c r="GS210" s="6"/>
      <c r="GT210" s="5" t="str">
        <f t="shared" si="610"/>
        <v>NO APLICA</v>
      </c>
      <c r="GU210" s="4"/>
      <c r="GV210" s="6"/>
      <c r="GW210" s="6"/>
      <c r="GX210" s="6"/>
      <c r="GY210" s="5" t="str">
        <f t="shared" si="611"/>
        <v>NO APLICA</v>
      </c>
      <c r="GZ210" s="6"/>
      <c r="HA210" s="6"/>
      <c r="HB210" s="6"/>
      <c r="HC210" s="6"/>
      <c r="HD210" s="5" t="str">
        <f t="shared" si="612"/>
        <v>NO APLICA</v>
      </c>
      <c r="HE210" s="6"/>
      <c r="HF210" s="6"/>
      <c r="HG210" s="4"/>
      <c r="HH210" s="8"/>
      <c r="HI210" s="5" t="str">
        <f t="shared" si="698"/>
        <v>NO APLICA</v>
      </c>
      <c r="HJ210" s="6"/>
      <c r="HK210" s="6"/>
      <c r="HL210" s="6"/>
      <c r="HM210" s="6"/>
      <c r="HN210" s="5" t="str">
        <f t="shared" si="694"/>
        <v>NO APLICA</v>
      </c>
      <c r="HO210" s="6"/>
      <c r="HP210" s="6"/>
      <c r="HQ210" s="6"/>
      <c r="HR210" s="6"/>
      <c r="HS210" s="5" t="str">
        <f t="shared" si="732"/>
        <v>NO APLICA</v>
      </c>
      <c r="HT210" s="6"/>
      <c r="HU210" s="6"/>
      <c r="HV210" s="6"/>
      <c r="HW210" s="6"/>
      <c r="HX210" s="5" t="str">
        <f t="shared" si="733"/>
        <v>NO APLICA</v>
      </c>
      <c r="HY210" s="6"/>
      <c r="HZ210" s="6"/>
      <c r="IA210" s="6"/>
      <c r="IB210" s="6"/>
      <c r="IC210" s="5" t="str">
        <f t="shared" si="734"/>
        <v>NO APLICA</v>
      </c>
      <c r="ID210" s="6"/>
      <c r="IE210" s="6"/>
      <c r="IF210" s="6"/>
      <c r="IG210" s="6"/>
      <c r="IH210" s="5" t="str">
        <f t="shared" si="735"/>
        <v>NO APLICA</v>
      </c>
      <c r="II210" s="6"/>
      <c r="IJ210" s="6"/>
      <c r="IK210" s="6"/>
      <c r="IL210" s="6"/>
      <c r="IM210" s="5" t="str">
        <f t="shared" si="736"/>
        <v>NO APLICA</v>
      </c>
      <c r="IN210" s="6"/>
      <c r="IO210" s="6"/>
      <c r="IP210" s="6"/>
      <c r="IQ210" s="6"/>
      <c r="IR210" s="5" t="str">
        <f t="shared" si="737"/>
        <v>NO APLICA</v>
      </c>
      <c r="IS210" s="6"/>
      <c r="IT210" s="6"/>
      <c r="IU210" s="6"/>
      <c r="IV210" s="6"/>
      <c r="IW210" s="5" t="str">
        <f t="shared" si="738"/>
        <v>NO APLICA</v>
      </c>
      <c r="IX210" s="6"/>
      <c r="IY210" s="6"/>
      <c r="IZ210" s="6"/>
      <c r="JA210" s="6"/>
      <c r="JB210" s="5" t="str">
        <f t="shared" si="739"/>
        <v>NO APLICA</v>
      </c>
      <c r="JC210" s="3" t="s">
        <v>780</v>
      </c>
      <c r="JD210" s="6"/>
      <c r="JE210" s="6"/>
      <c r="JF210" s="6"/>
      <c r="JG210" s="5"/>
      <c r="JH210" s="3" t="s">
        <v>780</v>
      </c>
      <c r="JI210" s="6"/>
      <c r="JJ210" s="6"/>
      <c r="JK210" s="6"/>
      <c r="JL210" s="5"/>
      <c r="JM210" s="6" t="s">
        <v>780</v>
      </c>
      <c r="JN210" s="6"/>
      <c r="JO210" s="6"/>
      <c r="JP210" s="6"/>
      <c r="JQ210" s="5"/>
      <c r="JR210" s="6" t="s">
        <v>780</v>
      </c>
      <c r="JS210" s="6"/>
      <c r="JT210" s="6"/>
      <c r="JU210" s="6"/>
      <c r="JV210" s="5"/>
      <c r="JW210" s="6" t="s">
        <v>780</v>
      </c>
      <c r="JX210" s="5"/>
      <c r="JY210" s="5"/>
      <c r="JZ210" s="5"/>
      <c r="KA210" s="5"/>
      <c r="KB210" s="5"/>
      <c r="KC210" s="6"/>
      <c r="KD210" s="6"/>
      <c r="KE210" s="6"/>
      <c r="KF210" s="5" t="str">
        <f t="shared" si="740"/>
        <v>NO APLICA</v>
      </c>
      <c r="KG210" s="5"/>
      <c r="KH210" s="6"/>
      <c r="KI210" s="6"/>
      <c r="KJ210" s="6"/>
      <c r="KK210" s="5" t="str">
        <f t="shared" si="760"/>
        <v>NO APLICA</v>
      </c>
      <c r="KL210" s="5"/>
      <c r="KM210" s="6"/>
      <c r="KN210" s="6"/>
      <c r="KO210" s="6"/>
      <c r="KP210" s="5" t="str">
        <f t="shared" si="741"/>
        <v>NO APLICA</v>
      </c>
      <c r="KQ210" s="5"/>
      <c r="KR210" s="6"/>
      <c r="KS210" s="6"/>
      <c r="KT210" s="6"/>
      <c r="KU210" s="5" t="str">
        <f t="shared" si="761"/>
        <v>NO APLICA</v>
      </c>
      <c r="KV210" s="6"/>
      <c r="KW210" s="6"/>
      <c r="KX210" s="6"/>
      <c r="KY210" s="6"/>
      <c r="KZ210" s="5" t="str">
        <f t="shared" si="767"/>
        <v>NO APLICA</v>
      </c>
      <c r="LA210" s="5"/>
      <c r="LB210" s="6"/>
      <c r="LC210" s="6"/>
      <c r="LD210" s="6"/>
      <c r="LE210" s="5" t="str">
        <f t="shared" si="762"/>
        <v>NO APLICA</v>
      </c>
      <c r="LF210" s="6"/>
      <c r="LG210" s="6"/>
      <c r="LH210" s="6"/>
      <c r="LI210" s="6"/>
      <c r="LJ210" s="5" t="str">
        <f t="shared" si="600"/>
        <v>NO APLICA</v>
      </c>
      <c r="LK210" s="5"/>
      <c r="LL210" s="5"/>
      <c r="LM210" s="4"/>
      <c r="LN210" s="8"/>
      <c r="LO210" s="5" t="str">
        <f t="shared" si="768"/>
        <v>NO APLICA</v>
      </c>
      <c r="LP210" s="6"/>
      <c r="LQ210" s="6"/>
      <c r="LR210" s="6"/>
      <c r="LS210" s="6"/>
      <c r="LT210" s="5" t="str">
        <f t="shared" si="763"/>
        <v>NO APLICA</v>
      </c>
      <c r="LU210" s="6"/>
      <c r="LV210" s="6"/>
      <c r="LW210" s="6"/>
      <c r="LX210" s="6"/>
      <c r="LY210" s="5" t="str">
        <f t="shared" si="764"/>
        <v>NO APLICA</v>
      </c>
      <c r="LZ210" s="6"/>
      <c r="MA210" s="6"/>
      <c r="MB210" s="6"/>
      <c r="MC210" s="6"/>
      <c r="MD210" s="5" t="str">
        <f t="shared" si="765"/>
        <v>NO APLICA</v>
      </c>
      <c r="ME210" s="6"/>
      <c r="MF210" s="6"/>
      <c r="MG210" s="6"/>
      <c r="MH210" s="6"/>
      <c r="MI210" s="5" t="str">
        <f t="shared" si="742"/>
        <v>NO APLICA</v>
      </c>
      <c r="MJ210" s="6"/>
      <c r="MK210" s="6"/>
      <c r="ML210" s="6"/>
      <c r="MM210" s="6"/>
      <c r="MN210" s="5" t="str">
        <f t="shared" si="743"/>
        <v>NO APLICA</v>
      </c>
      <c r="MO210" s="5"/>
      <c r="MP210" s="6"/>
      <c r="MQ210" s="6"/>
      <c r="MR210" s="6"/>
      <c r="MS210" s="5" t="str">
        <f t="shared" si="744"/>
        <v>NO APLICA</v>
      </c>
      <c r="MT210" s="5"/>
      <c r="MU210" s="6"/>
      <c r="MV210" s="6"/>
      <c r="MW210" s="6"/>
      <c r="MX210" s="5" t="str">
        <f t="shared" si="745"/>
        <v>NO APLICA</v>
      </c>
      <c r="MY210" s="6"/>
      <c r="MZ210" s="6"/>
      <c r="NA210" s="6"/>
      <c r="NB210" s="6"/>
      <c r="NC210" s="5" t="str">
        <f t="shared" si="746"/>
        <v>NO APLICA</v>
      </c>
      <c r="ND210" s="6"/>
      <c r="NE210" s="6"/>
      <c r="NF210" s="6"/>
      <c r="NG210" s="6"/>
      <c r="NH210" s="5" t="str">
        <f t="shared" si="747"/>
        <v>NO APLICA</v>
      </c>
      <c r="NI210" s="6"/>
      <c r="NJ210" s="6"/>
      <c r="NK210" s="6"/>
      <c r="NL210" s="6"/>
      <c r="NM210" s="5" t="str">
        <f t="shared" si="748"/>
        <v>NO APLICA</v>
      </c>
      <c r="NN210" s="6"/>
      <c r="NO210" s="6"/>
      <c r="NP210" s="6"/>
      <c r="NQ210" s="6"/>
      <c r="NR210" s="5" t="str">
        <f t="shared" si="749"/>
        <v>NO APLICA</v>
      </c>
      <c r="NS210" s="6"/>
      <c r="NT210" s="6"/>
      <c r="NU210" s="6"/>
      <c r="NV210" s="6"/>
      <c r="NW210" s="5" t="str">
        <f t="shared" si="750"/>
        <v>NO APLICA</v>
      </c>
      <c r="NX210" s="6"/>
      <c r="NY210" s="6"/>
      <c r="NZ210" s="6"/>
      <c r="OA210" s="6"/>
      <c r="OB210" s="5" t="str">
        <f t="shared" si="751"/>
        <v>NO APLICA</v>
      </c>
      <c r="OC210" s="6"/>
      <c r="OD210" s="6"/>
      <c r="OE210" s="6"/>
      <c r="OF210" s="6"/>
      <c r="OG210" s="5" t="str">
        <f t="shared" si="752"/>
        <v>NO APLICA</v>
      </c>
      <c r="OH210" s="6"/>
      <c r="OI210" s="6"/>
      <c r="OJ210" s="6"/>
      <c r="OK210" s="6"/>
      <c r="OL210" s="5" t="str">
        <f t="shared" si="753"/>
        <v>NO APLICA</v>
      </c>
      <c r="OM210" s="6"/>
      <c r="ON210" s="6"/>
      <c r="OO210" s="6"/>
      <c r="OP210" s="6"/>
      <c r="OQ210" s="5" t="str">
        <f t="shared" si="754"/>
        <v>NO APLICA</v>
      </c>
      <c r="OR210" s="6"/>
      <c r="OS210" s="6"/>
      <c r="OT210" s="6"/>
      <c r="OU210" s="6"/>
      <c r="OV210" s="5" t="str">
        <f t="shared" si="755"/>
        <v>NO APLICA</v>
      </c>
      <c r="OW210" s="6"/>
      <c r="OX210" s="6"/>
      <c r="OY210" s="6"/>
      <c r="OZ210" s="6"/>
      <c r="PA210" s="5" t="str">
        <f t="shared" si="769"/>
        <v>NO APLICA</v>
      </c>
      <c r="PB210" s="6"/>
      <c r="PC210" s="6"/>
      <c r="PD210" s="6"/>
      <c r="PE210" s="6"/>
      <c r="PF210" s="5" t="str">
        <f t="shared" si="756"/>
        <v>NO APLICA</v>
      </c>
      <c r="PG210" s="6"/>
      <c r="PH210" s="6"/>
      <c r="PI210" s="6"/>
      <c r="PJ210" s="6"/>
      <c r="PK210" s="5" t="str">
        <f t="shared" si="757"/>
        <v>NO APLICA</v>
      </c>
      <c r="PL210" s="5"/>
      <c r="PM210" s="6"/>
      <c r="PN210" s="6"/>
      <c r="PO210" s="6"/>
      <c r="PP210" s="5" t="str">
        <f t="shared" si="766"/>
        <v>NO APLICA</v>
      </c>
      <c r="PQ210" s="6"/>
      <c r="PR210" s="6"/>
      <c r="PS210" s="6"/>
      <c r="PT210" s="6"/>
      <c r="PU210" s="5" t="str">
        <f t="shared" si="758"/>
        <v>NO APLICA</v>
      </c>
      <c r="PV210" s="5"/>
      <c r="PW210" s="6"/>
      <c r="PX210" s="6"/>
      <c r="PY210" s="6"/>
      <c r="PZ210" s="5" t="str">
        <f t="shared" si="759"/>
        <v>NO APLICA</v>
      </c>
    </row>
    <row r="211" spans="1:442" ht="15.6" hidden="1" thickTop="1" thickBot="1" x14ac:dyDescent="0.35">
      <c r="A211" s="26">
        <v>208</v>
      </c>
      <c r="B211" s="31">
        <v>1738</v>
      </c>
      <c r="C211" s="28" t="s">
        <v>644</v>
      </c>
      <c r="D211" s="29" t="s">
        <v>113</v>
      </c>
      <c r="E211" s="30" t="s">
        <v>602</v>
      </c>
      <c r="F211" s="3"/>
      <c r="G211" s="4"/>
      <c r="H211" s="4"/>
      <c r="I211" s="8"/>
      <c r="J211" s="5" t="str">
        <f t="shared" si="696"/>
        <v>NO APLICA</v>
      </c>
      <c r="K211" s="2"/>
      <c r="L211" s="2"/>
      <c r="M211" s="2"/>
      <c r="N211" s="2"/>
      <c r="O211" s="5" t="str">
        <f t="shared" si="699"/>
        <v>NO APLICA</v>
      </c>
      <c r="P211" s="6"/>
      <c r="Q211" s="6"/>
      <c r="R211" s="4"/>
      <c r="S211" s="8"/>
      <c r="T211" s="5" t="str">
        <f t="shared" si="697"/>
        <v>NO APLICA</v>
      </c>
      <c r="U211" s="5"/>
      <c r="V211" s="2"/>
      <c r="W211" s="4"/>
      <c r="X211" s="4"/>
      <c r="Y211" s="8"/>
      <c r="Z211" s="5" t="str">
        <f t="shared" si="605"/>
        <v>NO APLICA</v>
      </c>
      <c r="AA211" s="5"/>
      <c r="AB211" s="2"/>
      <c r="AC211" s="6"/>
      <c r="AD211" s="4"/>
      <c r="AE211" s="8"/>
      <c r="AF211" s="5" t="str">
        <f t="shared" si="700"/>
        <v>NO APLICA</v>
      </c>
      <c r="AG211" s="2"/>
      <c r="AH211" s="4"/>
      <c r="AI211" s="4"/>
      <c r="AJ211" s="8"/>
      <c r="AK211" s="5" t="str">
        <f t="shared" si="602"/>
        <v>NO APLICA</v>
      </c>
      <c r="AL211" s="2"/>
      <c r="AM211" s="4"/>
      <c r="AN211" s="4"/>
      <c r="AO211" s="8"/>
      <c r="AP211" s="5" t="str">
        <f t="shared" si="701"/>
        <v>NO APLICA</v>
      </c>
      <c r="AQ211" s="2"/>
      <c r="AR211" s="4"/>
      <c r="AS211" s="4"/>
      <c r="AT211" s="8"/>
      <c r="AU211" s="5" t="str">
        <f t="shared" si="702"/>
        <v>NO APLICA</v>
      </c>
      <c r="AV211" s="2"/>
      <c r="AW211" s="4"/>
      <c r="AX211" s="4"/>
      <c r="AY211" s="8"/>
      <c r="AZ211" s="5" t="str">
        <f t="shared" si="703"/>
        <v>NO APLICA</v>
      </c>
      <c r="BA211" s="3"/>
      <c r="BB211" s="4"/>
      <c r="BC211" s="4"/>
      <c r="BD211" s="8"/>
      <c r="BE211" s="5" t="str">
        <f t="shared" si="704"/>
        <v>NO APLICA</v>
      </c>
      <c r="BF211" s="2"/>
      <c r="BG211" s="4"/>
      <c r="BH211" s="4"/>
      <c r="BI211" s="8"/>
      <c r="BJ211" s="5" t="str">
        <f t="shared" si="705"/>
        <v>NO APLICA</v>
      </c>
      <c r="BK211" s="3"/>
      <c r="BL211" s="4"/>
      <c r="BM211" s="4"/>
      <c r="BN211" s="8"/>
      <c r="BO211" s="5" t="str">
        <f t="shared" si="706"/>
        <v>NO APLICA</v>
      </c>
      <c r="BP211" s="3"/>
      <c r="BQ211" s="39"/>
      <c r="BR211" s="4"/>
      <c r="BS211" s="8"/>
      <c r="BT211" s="5" t="str">
        <f t="shared" si="707"/>
        <v>NO APLICA</v>
      </c>
      <c r="BU211" s="2"/>
      <c r="BV211" s="4"/>
      <c r="BW211" s="4"/>
      <c r="BX211" s="8"/>
      <c r="BY211" s="5" t="str">
        <f t="shared" si="708"/>
        <v>NO APLICA</v>
      </c>
      <c r="BZ211" s="2"/>
      <c r="CA211" s="4"/>
      <c r="CB211" s="4"/>
      <c r="CC211" s="8"/>
      <c r="CD211" s="5" t="str">
        <f t="shared" si="709"/>
        <v>NO APLICA</v>
      </c>
      <c r="CE211" s="6"/>
      <c r="CF211" s="4"/>
      <c r="CG211" s="4"/>
      <c r="CH211" s="8"/>
      <c r="CI211" s="5" t="str">
        <f t="shared" si="770"/>
        <v>NO APLICA</v>
      </c>
      <c r="CJ211" s="6"/>
      <c r="CK211" s="4"/>
      <c r="CL211" s="4"/>
      <c r="CM211" s="8"/>
      <c r="CN211" s="5" t="str">
        <f t="shared" si="710"/>
        <v>NO APLICA</v>
      </c>
      <c r="CO211" s="2"/>
      <c r="CP211" s="39"/>
      <c r="CQ211" s="4"/>
      <c r="CR211" s="8"/>
      <c r="CS211" s="5" t="str">
        <f t="shared" si="711"/>
        <v>NO APLICA</v>
      </c>
      <c r="CT211" s="2"/>
      <c r="CU211" s="4"/>
      <c r="CV211" s="4"/>
      <c r="CW211" s="8"/>
      <c r="CX211" s="5" t="str">
        <f t="shared" si="712"/>
        <v>NO APLICA</v>
      </c>
      <c r="CY211" s="3"/>
      <c r="CZ211" s="4"/>
      <c r="DA211" s="4"/>
      <c r="DB211" s="8"/>
      <c r="DC211" s="5" t="str">
        <f t="shared" si="713"/>
        <v>NO APLICA</v>
      </c>
      <c r="DD211" s="3"/>
      <c r="DE211" s="39"/>
      <c r="DF211" s="4"/>
      <c r="DG211" s="8"/>
      <c r="DH211" s="5" t="str">
        <f t="shared" si="714"/>
        <v>NO APLICA</v>
      </c>
      <c r="DI211" s="2"/>
      <c r="DJ211" s="39"/>
      <c r="DK211" s="4"/>
      <c r="DL211" s="8"/>
      <c r="DM211" s="5" t="str">
        <f t="shared" si="715"/>
        <v>NO APLICA</v>
      </c>
      <c r="DN211" s="3"/>
      <c r="DO211" s="4"/>
      <c r="DP211" s="4"/>
      <c r="DQ211" s="8"/>
      <c r="DR211" s="5" t="str">
        <f t="shared" si="716"/>
        <v>NO APLICA</v>
      </c>
      <c r="DS211" s="2"/>
      <c r="DT211" s="4"/>
      <c r="DU211" s="4"/>
      <c r="DV211" s="8"/>
      <c r="DW211" s="5" t="str">
        <f t="shared" si="717"/>
        <v>NO APLICA</v>
      </c>
      <c r="DX211" s="3"/>
      <c r="DY211" s="4"/>
      <c r="DZ211" s="4"/>
      <c r="EA211" s="8"/>
      <c r="EB211" s="5" t="str">
        <f t="shared" si="718"/>
        <v>NO APLICA</v>
      </c>
      <c r="EC211" s="3"/>
      <c r="ED211" s="39"/>
      <c r="EE211" s="4"/>
      <c r="EF211" s="8"/>
      <c r="EG211" s="5" t="str">
        <f t="shared" si="719"/>
        <v>NO APLICA</v>
      </c>
      <c r="EH211" s="2"/>
      <c r="EI211" s="4"/>
      <c r="EJ211" s="4"/>
      <c r="EK211" s="8"/>
      <c r="EL211" s="5" t="str">
        <f t="shared" si="720"/>
        <v>NO APLICA</v>
      </c>
      <c r="EM211" s="3"/>
      <c r="EN211" s="4"/>
      <c r="EO211" s="4"/>
      <c r="EP211" s="8"/>
      <c r="EQ211" s="5" t="str">
        <f t="shared" si="721"/>
        <v>NO APLICA</v>
      </c>
      <c r="ER211" s="2"/>
      <c r="ES211" s="39"/>
      <c r="ET211" s="4"/>
      <c r="EU211" s="8"/>
      <c r="EV211" s="5" t="str">
        <f t="shared" si="722"/>
        <v>NO APLICA</v>
      </c>
      <c r="EW211" s="2"/>
      <c r="EX211" s="4"/>
      <c r="EY211" s="4"/>
      <c r="EZ211" s="8"/>
      <c r="FA211" s="5" t="str">
        <f t="shared" si="723"/>
        <v>NO APLICA</v>
      </c>
      <c r="FB211" s="2"/>
      <c r="FC211" s="4"/>
      <c r="FD211" s="4"/>
      <c r="FE211" s="8"/>
      <c r="FF211" s="5" t="str">
        <f t="shared" si="724"/>
        <v>NO APLICA</v>
      </c>
      <c r="FG211" s="2"/>
      <c r="FH211" s="4"/>
      <c r="FI211" s="4"/>
      <c r="FJ211" s="8"/>
      <c r="FK211" s="5" t="str">
        <f t="shared" si="725"/>
        <v>NO APLICA</v>
      </c>
      <c r="FL211" s="3"/>
      <c r="FM211" s="39"/>
      <c r="FN211" s="4"/>
      <c r="FO211" s="8"/>
      <c r="FP211" s="5" t="str">
        <f t="shared" si="726"/>
        <v>NO APLICA</v>
      </c>
      <c r="FQ211" s="3"/>
      <c r="FR211" s="39"/>
      <c r="FS211" s="4"/>
      <c r="FT211" s="8"/>
      <c r="FU211" s="5" t="str">
        <f t="shared" si="727"/>
        <v>NO APLICA</v>
      </c>
      <c r="FV211" s="3"/>
      <c r="FW211" s="4"/>
      <c r="FX211" s="4"/>
      <c r="FY211" s="8"/>
      <c r="FZ211" s="5" t="str">
        <f t="shared" si="728"/>
        <v>NO APLICA</v>
      </c>
      <c r="GA211" s="3"/>
      <c r="GB211" s="4"/>
      <c r="GC211" s="4"/>
      <c r="GD211" s="8"/>
      <c r="GE211" s="5" t="str">
        <f t="shared" si="729"/>
        <v>NO APLICA</v>
      </c>
      <c r="GF211" s="3"/>
      <c r="GG211" s="4"/>
      <c r="GH211" s="4"/>
      <c r="GI211" s="8"/>
      <c r="GJ211" s="5" t="str">
        <f t="shared" si="730"/>
        <v>NO APLICA</v>
      </c>
      <c r="GK211" s="3"/>
      <c r="GL211" s="4"/>
      <c r="GM211" s="4"/>
      <c r="GN211" s="8"/>
      <c r="GO211" s="5" t="str">
        <f t="shared" si="731"/>
        <v>NO APLICA</v>
      </c>
      <c r="GP211" s="4"/>
      <c r="GQ211" s="4"/>
      <c r="GR211" s="4"/>
      <c r="GS211" s="8"/>
      <c r="GT211" s="5" t="str">
        <f t="shared" si="610"/>
        <v>NO APLICA</v>
      </c>
      <c r="GU211" s="3"/>
      <c r="GV211" s="4"/>
      <c r="GW211" s="4"/>
      <c r="GX211" s="8"/>
      <c r="GY211" s="5" t="str">
        <f t="shared" si="611"/>
        <v>NO APLICA</v>
      </c>
      <c r="GZ211" s="2"/>
      <c r="HA211" s="4"/>
      <c r="HB211" s="4"/>
      <c r="HC211" s="8"/>
      <c r="HD211" s="5" t="str">
        <f t="shared" si="612"/>
        <v>NO APLICA</v>
      </c>
      <c r="HE211" s="6"/>
      <c r="HF211" s="6"/>
      <c r="HG211" s="4"/>
      <c r="HH211" s="8"/>
      <c r="HI211" s="5" t="str">
        <f t="shared" si="698"/>
        <v>NO APLICA</v>
      </c>
      <c r="HJ211" s="2"/>
      <c r="HK211" s="6"/>
      <c r="HL211" s="4"/>
      <c r="HM211" s="8"/>
      <c r="HN211" s="5" t="str">
        <f t="shared" si="694"/>
        <v>NO APLICA</v>
      </c>
      <c r="HO211" s="2"/>
      <c r="HP211" s="2"/>
      <c r="HQ211" s="4"/>
      <c r="HR211" s="2"/>
      <c r="HS211" s="5" t="str">
        <f t="shared" si="732"/>
        <v>NO APLICA</v>
      </c>
      <c r="HT211" s="2"/>
      <c r="HU211" s="6"/>
      <c r="HV211" s="4"/>
      <c r="HW211" s="8"/>
      <c r="HX211" s="5" t="str">
        <f t="shared" si="733"/>
        <v>NO APLICA</v>
      </c>
      <c r="HY211" s="2"/>
      <c r="HZ211" s="6"/>
      <c r="IA211" s="4"/>
      <c r="IB211" s="8"/>
      <c r="IC211" s="5" t="str">
        <f t="shared" si="734"/>
        <v>NO APLICA</v>
      </c>
      <c r="ID211" s="2"/>
      <c r="IE211" s="6"/>
      <c r="IF211" s="4"/>
      <c r="IG211" s="8"/>
      <c r="IH211" s="5" t="str">
        <f t="shared" si="735"/>
        <v>NO APLICA</v>
      </c>
      <c r="II211" s="6"/>
      <c r="IJ211" s="6"/>
      <c r="IK211" s="4"/>
      <c r="IL211" s="8"/>
      <c r="IM211" s="5" t="str">
        <f t="shared" si="736"/>
        <v>NO APLICA</v>
      </c>
      <c r="IN211" s="2"/>
      <c r="IO211" s="6"/>
      <c r="IP211" s="4"/>
      <c r="IQ211" s="8"/>
      <c r="IR211" s="5" t="str">
        <f t="shared" si="737"/>
        <v>NO APLICA</v>
      </c>
      <c r="IS211" s="2"/>
      <c r="IT211" s="6"/>
      <c r="IU211" s="4"/>
      <c r="IV211" s="8"/>
      <c r="IW211" s="5" t="str">
        <f t="shared" si="738"/>
        <v>NO APLICA</v>
      </c>
      <c r="IX211" s="2"/>
      <c r="IY211" s="6"/>
      <c r="IZ211" s="4"/>
      <c r="JA211" s="8"/>
      <c r="JB211" s="5" t="str">
        <f t="shared" si="739"/>
        <v>NO APLICA</v>
      </c>
      <c r="JC211" s="3" t="s">
        <v>780</v>
      </c>
      <c r="JD211" s="3"/>
      <c r="JE211" s="4"/>
      <c r="JF211" s="8"/>
      <c r="JG211" s="5"/>
      <c r="JH211" s="3" t="s">
        <v>780</v>
      </c>
      <c r="JI211" s="6"/>
      <c r="JJ211" s="6"/>
      <c r="JK211" s="6"/>
      <c r="JL211" s="5"/>
      <c r="JM211" s="6" t="s">
        <v>780</v>
      </c>
      <c r="JN211" s="6"/>
      <c r="JO211" s="6"/>
      <c r="JP211" s="6"/>
      <c r="JQ211" s="5"/>
      <c r="JR211" s="6" t="s">
        <v>780</v>
      </c>
      <c r="JS211" s="6"/>
      <c r="JT211" s="6"/>
      <c r="JU211" s="6"/>
      <c r="JV211" s="5"/>
      <c r="JW211" s="6" t="s">
        <v>780</v>
      </c>
      <c r="JX211" s="5"/>
      <c r="JY211" s="5"/>
      <c r="JZ211" s="5"/>
      <c r="KA211" s="5"/>
      <c r="KB211" s="5"/>
      <c r="KC211" s="2"/>
      <c r="KD211" s="4"/>
      <c r="KE211" s="8"/>
      <c r="KF211" s="5" t="str">
        <f t="shared" si="740"/>
        <v>NO APLICA</v>
      </c>
      <c r="KG211" s="5"/>
      <c r="KH211" s="2"/>
      <c r="KI211" s="4"/>
      <c r="KJ211" s="8"/>
      <c r="KK211" s="5" t="str">
        <f t="shared" si="760"/>
        <v>NO APLICA</v>
      </c>
      <c r="KL211" s="5"/>
      <c r="KM211" s="2"/>
      <c r="KN211" s="4"/>
      <c r="KO211" s="8"/>
      <c r="KP211" s="5" t="str">
        <f t="shared" si="741"/>
        <v>NO APLICA</v>
      </c>
      <c r="KQ211" s="5"/>
      <c r="KR211" s="2"/>
      <c r="KS211" s="4"/>
      <c r="KT211" s="8"/>
      <c r="KU211" s="5" t="str">
        <f t="shared" si="761"/>
        <v>NO APLICA</v>
      </c>
      <c r="KV211" s="2"/>
      <c r="KW211" s="6"/>
      <c r="KX211" s="4"/>
      <c r="KY211" s="8"/>
      <c r="KZ211" s="5" t="str">
        <f t="shared" si="767"/>
        <v>NO APLICA</v>
      </c>
      <c r="LA211" s="5"/>
      <c r="LB211" s="6"/>
      <c r="LC211" s="4"/>
      <c r="LD211" s="8"/>
      <c r="LE211" s="5" t="str">
        <f t="shared" si="762"/>
        <v>NO APLICA</v>
      </c>
      <c r="LF211" s="6"/>
      <c r="LG211" s="6"/>
      <c r="LH211" s="4"/>
      <c r="LI211" s="8"/>
      <c r="LJ211" s="5" t="str">
        <f t="shared" si="600"/>
        <v>NO APLICA</v>
      </c>
      <c r="LK211" s="5"/>
      <c r="LL211" s="5"/>
      <c r="LM211" s="4"/>
      <c r="LN211" s="8"/>
      <c r="LO211" s="5" t="str">
        <f t="shared" si="768"/>
        <v>NO APLICA</v>
      </c>
      <c r="LP211" s="2"/>
      <c r="LQ211" s="6"/>
      <c r="LR211" s="4"/>
      <c r="LS211" s="8"/>
      <c r="LT211" s="5" t="str">
        <f t="shared" si="763"/>
        <v>NO APLICA</v>
      </c>
      <c r="LU211" s="6"/>
      <c r="LV211" s="6"/>
      <c r="LW211" s="4"/>
      <c r="LX211" s="8"/>
      <c r="LY211" s="5" t="str">
        <f t="shared" si="764"/>
        <v>NO APLICA</v>
      </c>
      <c r="LZ211" s="6"/>
      <c r="MA211" s="6"/>
      <c r="MB211" s="4"/>
      <c r="MC211" s="8"/>
      <c r="MD211" s="5" t="str">
        <f t="shared" si="765"/>
        <v>NO APLICA</v>
      </c>
      <c r="ME211" s="2"/>
      <c r="MF211" s="2"/>
      <c r="MG211" s="4"/>
      <c r="MH211" s="8"/>
      <c r="MI211" s="5" t="str">
        <f t="shared" si="742"/>
        <v>NO APLICA</v>
      </c>
      <c r="MJ211" s="2"/>
      <c r="MK211" s="2"/>
      <c r="ML211" s="4"/>
      <c r="MM211" s="8"/>
      <c r="MN211" s="5" t="str">
        <f t="shared" si="743"/>
        <v>NO APLICA</v>
      </c>
      <c r="MO211" s="5"/>
      <c r="MP211" s="2"/>
      <c r="MQ211" s="4"/>
      <c r="MR211" s="8"/>
      <c r="MS211" s="5" t="str">
        <f t="shared" si="744"/>
        <v>NO APLICA</v>
      </c>
      <c r="MT211" s="5"/>
      <c r="MU211" s="2"/>
      <c r="MV211" s="4"/>
      <c r="MW211" s="2"/>
      <c r="MX211" s="5" t="str">
        <f t="shared" si="745"/>
        <v>NO APLICA</v>
      </c>
      <c r="MY211" s="2"/>
      <c r="MZ211" s="6"/>
      <c r="NA211" s="4"/>
      <c r="NB211" s="8"/>
      <c r="NC211" s="5" t="str">
        <f t="shared" si="746"/>
        <v>NO APLICA</v>
      </c>
      <c r="ND211" s="2"/>
      <c r="NE211" s="6"/>
      <c r="NF211" s="4"/>
      <c r="NG211" s="8"/>
      <c r="NH211" s="5" t="str">
        <f t="shared" si="747"/>
        <v>NO APLICA</v>
      </c>
      <c r="NI211" s="2"/>
      <c r="NJ211" s="6"/>
      <c r="NK211" s="4"/>
      <c r="NL211" s="8"/>
      <c r="NM211" s="5" t="str">
        <f t="shared" si="748"/>
        <v>NO APLICA</v>
      </c>
      <c r="NN211" s="2"/>
      <c r="NO211" s="2"/>
      <c r="NP211" s="4"/>
      <c r="NQ211" s="8"/>
      <c r="NR211" s="5" t="str">
        <f t="shared" si="749"/>
        <v>NO APLICA</v>
      </c>
      <c r="NS211" s="2"/>
      <c r="NT211" s="2"/>
      <c r="NU211" s="4"/>
      <c r="NV211" s="2"/>
      <c r="NW211" s="5" t="str">
        <f t="shared" si="750"/>
        <v>NO APLICA</v>
      </c>
      <c r="NX211" s="6"/>
      <c r="NY211" s="6"/>
      <c r="NZ211" s="4"/>
      <c r="OA211" s="8"/>
      <c r="OB211" s="5" t="str">
        <f t="shared" si="751"/>
        <v>NO APLICA</v>
      </c>
      <c r="OC211" s="6"/>
      <c r="OD211" s="6"/>
      <c r="OE211" s="6"/>
      <c r="OF211" s="6"/>
      <c r="OG211" s="5" t="str">
        <f t="shared" si="752"/>
        <v>NO APLICA</v>
      </c>
      <c r="OH211" s="6"/>
      <c r="OI211" s="6"/>
      <c r="OJ211" s="4"/>
      <c r="OK211" s="8"/>
      <c r="OL211" s="5" t="str">
        <f t="shared" si="753"/>
        <v>NO APLICA</v>
      </c>
      <c r="OM211" s="6"/>
      <c r="ON211" s="6"/>
      <c r="OO211" s="6"/>
      <c r="OP211" s="6"/>
      <c r="OQ211" s="5" t="str">
        <f t="shared" si="754"/>
        <v>NO APLICA</v>
      </c>
      <c r="OR211" s="6"/>
      <c r="OS211" s="6"/>
      <c r="OT211" s="6"/>
      <c r="OU211" s="6"/>
      <c r="OV211" s="5" t="str">
        <f t="shared" si="755"/>
        <v>NO APLICA</v>
      </c>
      <c r="OW211" s="6"/>
      <c r="OX211" s="6"/>
      <c r="OY211" s="6"/>
      <c r="OZ211" s="6"/>
      <c r="PA211" s="5" t="str">
        <f t="shared" si="769"/>
        <v>NO APLICA</v>
      </c>
      <c r="PB211" s="6"/>
      <c r="PC211" s="6"/>
      <c r="PD211" s="6"/>
      <c r="PE211" s="6"/>
      <c r="PF211" s="5" t="str">
        <f t="shared" si="756"/>
        <v>NO APLICA</v>
      </c>
      <c r="PG211" s="6"/>
      <c r="PH211" s="6"/>
      <c r="PI211" s="6"/>
      <c r="PJ211" s="6"/>
      <c r="PK211" s="5" t="str">
        <f t="shared" si="757"/>
        <v>NO APLICA</v>
      </c>
      <c r="PL211" s="5"/>
      <c r="PM211" s="6"/>
      <c r="PN211" s="4"/>
      <c r="PO211" s="8"/>
      <c r="PP211" s="5" t="str">
        <f t="shared" si="766"/>
        <v>NO APLICA</v>
      </c>
      <c r="PQ211" s="6"/>
      <c r="PR211" s="6"/>
      <c r="PS211" s="6"/>
      <c r="PT211" s="6"/>
      <c r="PU211" s="5" t="str">
        <f t="shared" si="758"/>
        <v>NO APLICA</v>
      </c>
      <c r="PV211" s="5"/>
      <c r="PW211" s="4">
        <v>46126</v>
      </c>
      <c r="PX211" s="4">
        <f>DATE(YEAR(PW211)+1,MONTH(PW211),DAY(PW211))</f>
        <v>46491</v>
      </c>
      <c r="PY211" s="8">
        <f ca="1">PX211-TODAY()</f>
        <v>346</v>
      </c>
      <c r="PZ211" s="5" t="str">
        <f t="shared" ca="1" si="759"/>
        <v>VIGENTE</v>
      </c>
    </row>
    <row r="212" spans="1:442" ht="15.6" hidden="1" thickTop="1" thickBot="1" x14ac:dyDescent="0.35">
      <c r="A212" s="26">
        <v>209</v>
      </c>
      <c r="B212" s="31">
        <v>855</v>
      </c>
      <c r="C212" s="28" t="s">
        <v>645</v>
      </c>
      <c r="D212" s="29" t="s">
        <v>68</v>
      </c>
      <c r="E212" s="30" t="s">
        <v>185</v>
      </c>
      <c r="F212" s="6"/>
      <c r="G212" s="6"/>
      <c r="H212" s="6"/>
      <c r="I212" s="6"/>
      <c r="J212" s="5" t="str">
        <f t="shared" si="696"/>
        <v>NO APLICA</v>
      </c>
      <c r="K212" s="6"/>
      <c r="L212" s="6"/>
      <c r="M212" s="6"/>
      <c r="N212" s="6"/>
      <c r="O212" s="5" t="str">
        <f t="shared" si="699"/>
        <v>NO APLICA</v>
      </c>
      <c r="P212" s="6"/>
      <c r="Q212" s="6"/>
      <c r="R212" s="6"/>
      <c r="S212" s="6"/>
      <c r="T212" s="5" t="str">
        <f t="shared" si="697"/>
        <v>NO APLICA</v>
      </c>
      <c r="U212" s="5"/>
      <c r="V212" s="6" t="s">
        <v>646</v>
      </c>
      <c r="W212" s="4">
        <v>44918</v>
      </c>
      <c r="X212" s="4">
        <f>DATE(YEAR(W212)+5,MONTH(W212),DAY(W212))</f>
        <v>46744</v>
      </c>
      <c r="Y212" s="8">
        <f ca="1">X212-TODAY()</f>
        <v>599</v>
      </c>
      <c r="Z212" s="5" t="str">
        <f ca="1">IF(Y212&gt;=90,"VIGENTE",IF(Y212&gt;=1,"POR VENCER",IF(Y212&lt;=-1,"VENCIDA",IF(W212=0,"NO APLICA"))))</f>
        <v>VIGENTE</v>
      </c>
      <c r="AA212" s="5"/>
      <c r="AB212" s="6" t="s">
        <v>647</v>
      </c>
      <c r="AC212" s="4">
        <v>44988</v>
      </c>
      <c r="AD212" s="4">
        <f>DATE(YEAR(AC212)+5,MONTH(AC212),DAY(AC212))</f>
        <v>46815</v>
      </c>
      <c r="AE212" s="8">
        <f ca="1">AD212-TODAY()</f>
        <v>670</v>
      </c>
      <c r="AF212" s="5" t="str">
        <f t="shared" ca="1" si="700"/>
        <v>VIGENTE</v>
      </c>
      <c r="AG212" s="4"/>
      <c r="AH212" s="4"/>
      <c r="AI212" s="4"/>
      <c r="AJ212" s="6"/>
      <c r="AK212" s="5" t="str">
        <f t="shared" si="602"/>
        <v>NO APLICA</v>
      </c>
      <c r="AL212" s="4"/>
      <c r="AM212" s="4"/>
      <c r="AN212" s="4"/>
      <c r="AO212" s="6"/>
      <c r="AP212" s="5" t="str">
        <f t="shared" si="701"/>
        <v>NO APLICA</v>
      </c>
      <c r="AQ212" s="4"/>
      <c r="AR212" s="4"/>
      <c r="AS212" s="4"/>
      <c r="AT212" s="6"/>
      <c r="AU212" s="5" t="str">
        <f t="shared" si="702"/>
        <v>NO APLICA</v>
      </c>
      <c r="AV212" s="4"/>
      <c r="AW212" s="4"/>
      <c r="AX212" s="4"/>
      <c r="AY212" s="6"/>
      <c r="AZ212" s="5" t="str">
        <f t="shared" si="703"/>
        <v>NO APLICA</v>
      </c>
      <c r="BA212" s="4"/>
      <c r="BB212" s="4"/>
      <c r="BC212" s="4"/>
      <c r="BD212" s="6"/>
      <c r="BE212" s="5" t="str">
        <f t="shared" si="704"/>
        <v>NO APLICA</v>
      </c>
      <c r="BF212" s="4"/>
      <c r="BG212" s="4"/>
      <c r="BH212" s="4"/>
      <c r="BI212" s="6"/>
      <c r="BJ212" s="5" t="str">
        <f t="shared" si="705"/>
        <v>NO APLICA</v>
      </c>
      <c r="BK212" s="4"/>
      <c r="BL212" s="4"/>
      <c r="BM212" s="4"/>
      <c r="BN212" s="6"/>
      <c r="BO212" s="5" t="str">
        <f t="shared" si="706"/>
        <v>NO APLICA</v>
      </c>
      <c r="BP212" s="4"/>
      <c r="BQ212" s="4"/>
      <c r="BR212" s="4"/>
      <c r="BS212" s="6"/>
      <c r="BT212" s="5" t="str">
        <f t="shared" si="707"/>
        <v>NO APLICA</v>
      </c>
      <c r="BU212" s="4"/>
      <c r="BV212" s="4"/>
      <c r="BW212" s="4"/>
      <c r="BX212" s="6"/>
      <c r="BY212" s="5" t="str">
        <f t="shared" si="708"/>
        <v>NO APLICA</v>
      </c>
      <c r="BZ212" s="4"/>
      <c r="CA212" s="4"/>
      <c r="CB212" s="4"/>
      <c r="CC212" s="6"/>
      <c r="CD212" s="5" t="str">
        <f t="shared" si="709"/>
        <v>NO APLICA</v>
      </c>
      <c r="CE212" s="6"/>
      <c r="CF212" s="4">
        <v>44901</v>
      </c>
      <c r="CG212" s="4">
        <f>DATE(YEAR(CF212)+4,MONTH(CF212),DAY(CF212))</f>
        <v>46362</v>
      </c>
      <c r="CH212" s="8">
        <f ca="1">CG212-TODAY()</f>
        <v>217</v>
      </c>
      <c r="CI212" s="5" t="str">
        <f ca="1">IF(CH212&gt;=90,"VIGENTE",IF(CH212&gt;=1,"POR VENCER",IF(CH212&lt;=-1,"VENCIDA",IF(CH212=0,"NO APLICA"))))</f>
        <v>VIGENTE</v>
      </c>
      <c r="CJ212" s="4"/>
      <c r="CK212" s="4"/>
      <c r="CL212" s="4"/>
      <c r="CM212" s="6"/>
      <c r="CN212" s="5" t="str">
        <f t="shared" si="710"/>
        <v>NO APLICA</v>
      </c>
      <c r="CO212" s="4"/>
      <c r="CP212" s="4"/>
      <c r="CQ212" s="4"/>
      <c r="CR212" s="6"/>
      <c r="CS212" s="5" t="str">
        <f t="shared" si="711"/>
        <v>NO APLICA</v>
      </c>
      <c r="CT212" s="4"/>
      <c r="CU212" s="4"/>
      <c r="CV212" s="4"/>
      <c r="CW212" s="6"/>
      <c r="CX212" s="5" t="str">
        <f t="shared" si="712"/>
        <v>NO APLICA</v>
      </c>
      <c r="CY212" s="4"/>
      <c r="CZ212" s="4"/>
      <c r="DA212" s="4"/>
      <c r="DB212" s="6"/>
      <c r="DC212" s="5" t="str">
        <f t="shared" si="713"/>
        <v>NO APLICA</v>
      </c>
      <c r="DD212" s="4"/>
      <c r="DE212" s="4"/>
      <c r="DF212" s="4"/>
      <c r="DG212" s="6"/>
      <c r="DH212" s="5" t="str">
        <f t="shared" si="714"/>
        <v>NO APLICA</v>
      </c>
      <c r="DI212" s="4"/>
      <c r="DJ212" s="4"/>
      <c r="DK212" s="4"/>
      <c r="DL212" s="6"/>
      <c r="DM212" s="5" t="str">
        <f t="shared" si="715"/>
        <v>NO APLICA</v>
      </c>
      <c r="DN212" s="4"/>
      <c r="DO212" s="4"/>
      <c r="DP212" s="4"/>
      <c r="DQ212" s="6"/>
      <c r="DR212" s="5" t="str">
        <f t="shared" si="716"/>
        <v>NO APLICA</v>
      </c>
      <c r="DS212" s="4"/>
      <c r="DT212" s="4"/>
      <c r="DU212" s="4"/>
      <c r="DV212" s="6"/>
      <c r="DW212" s="5" t="str">
        <f t="shared" si="717"/>
        <v>NO APLICA</v>
      </c>
      <c r="DX212" s="4"/>
      <c r="DY212" s="4"/>
      <c r="DZ212" s="4"/>
      <c r="EA212" s="6"/>
      <c r="EB212" s="5" t="str">
        <f t="shared" si="718"/>
        <v>NO APLICA</v>
      </c>
      <c r="EC212" s="4"/>
      <c r="ED212" s="4"/>
      <c r="EE212" s="4"/>
      <c r="EF212" s="6"/>
      <c r="EG212" s="5" t="str">
        <f t="shared" si="719"/>
        <v>NO APLICA</v>
      </c>
      <c r="EH212" s="4"/>
      <c r="EI212" s="4"/>
      <c r="EJ212" s="4"/>
      <c r="EK212" s="8"/>
      <c r="EL212" s="5" t="str">
        <f t="shared" si="720"/>
        <v>NO APLICA</v>
      </c>
      <c r="EM212" s="4"/>
      <c r="EN212" s="4"/>
      <c r="EO212" s="4"/>
      <c r="EP212" s="8"/>
      <c r="EQ212" s="5" t="str">
        <f t="shared" si="721"/>
        <v>NO APLICA</v>
      </c>
      <c r="ER212" s="4"/>
      <c r="ES212" s="4"/>
      <c r="ET212" s="4"/>
      <c r="EU212" s="8"/>
      <c r="EV212" s="5" t="str">
        <f t="shared" si="722"/>
        <v>NO APLICA</v>
      </c>
      <c r="EW212" s="4"/>
      <c r="EX212" s="4"/>
      <c r="EY212" s="4"/>
      <c r="EZ212" s="6"/>
      <c r="FA212" s="5" t="str">
        <f t="shared" si="723"/>
        <v>NO APLICA</v>
      </c>
      <c r="FB212" s="4"/>
      <c r="FC212" s="4"/>
      <c r="FD212" s="4"/>
      <c r="FE212" s="6"/>
      <c r="FF212" s="5" t="str">
        <f t="shared" si="724"/>
        <v>NO APLICA</v>
      </c>
      <c r="FG212" s="4"/>
      <c r="FH212" s="4"/>
      <c r="FI212" s="4"/>
      <c r="FJ212" s="6"/>
      <c r="FK212" s="5" t="str">
        <f t="shared" si="725"/>
        <v>NO APLICA</v>
      </c>
      <c r="FL212" s="4"/>
      <c r="FM212" s="4"/>
      <c r="FN212" s="4"/>
      <c r="FO212" s="6"/>
      <c r="FP212" s="5" t="str">
        <f t="shared" si="726"/>
        <v>NO APLICA</v>
      </c>
      <c r="FQ212" s="4"/>
      <c r="FR212" s="4"/>
      <c r="FS212" s="4"/>
      <c r="FT212" s="6"/>
      <c r="FU212" s="5" t="str">
        <f t="shared" si="727"/>
        <v>NO APLICA</v>
      </c>
      <c r="FV212" s="4"/>
      <c r="FW212" s="4"/>
      <c r="FX212" s="4"/>
      <c r="FY212" s="6"/>
      <c r="FZ212" s="5" t="str">
        <f t="shared" si="728"/>
        <v>NO APLICA</v>
      </c>
      <c r="GA212" s="4"/>
      <c r="GB212" s="4"/>
      <c r="GC212" s="4"/>
      <c r="GD212" s="6"/>
      <c r="GE212" s="5" t="str">
        <f t="shared" si="729"/>
        <v>NO APLICA</v>
      </c>
      <c r="GF212" s="4"/>
      <c r="GG212" s="4"/>
      <c r="GH212" s="4"/>
      <c r="GI212" s="8"/>
      <c r="GJ212" s="5" t="str">
        <f t="shared" si="730"/>
        <v>NO APLICA</v>
      </c>
      <c r="GK212" s="4"/>
      <c r="GL212" s="6"/>
      <c r="GM212" s="6"/>
      <c r="GN212" s="6"/>
      <c r="GO212" s="5" t="str">
        <f t="shared" si="731"/>
        <v>NO APLICA</v>
      </c>
      <c r="GP212" s="4"/>
      <c r="GQ212" s="6"/>
      <c r="GR212" s="6"/>
      <c r="GS212" s="6"/>
      <c r="GT212" s="5" t="str">
        <f t="shared" si="610"/>
        <v>NO APLICA</v>
      </c>
      <c r="GU212" s="4"/>
      <c r="GV212" s="6"/>
      <c r="GW212" s="6"/>
      <c r="GX212" s="6"/>
      <c r="GY212" s="5" t="str">
        <f t="shared" si="611"/>
        <v>NO APLICA</v>
      </c>
      <c r="GZ212" s="6"/>
      <c r="HA212" s="6"/>
      <c r="HB212" s="6"/>
      <c r="HC212" s="6"/>
      <c r="HD212" s="5" t="str">
        <f t="shared" si="612"/>
        <v>NO APLICA</v>
      </c>
      <c r="HE212" s="6"/>
      <c r="HF212" s="6"/>
      <c r="HG212" s="4"/>
      <c r="HH212" s="8"/>
      <c r="HI212" s="5" t="str">
        <f t="shared" si="698"/>
        <v>NO APLICA</v>
      </c>
      <c r="HJ212" s="6"/>
      <c r="HK212" s="6"/>
      <c r="HL212" s="6"/>
      <c r="HM212" s="6"/>
      <c r="HN212" s="5" t="str">
        <f t="shared" si="694"/>
        <v>NO APLICA</v>
      </c>
      <c r="HO212" s="6"/>
      <c r="HP212" s="6"/>
      <c r="HQ212" s="6"/>
      <c r="HR212" s="6"/>
      <c r="HS212" s="5" t="str">
        <f t="shared" si="732"/>
        <v>NO APLICA</v>
      </c>
      <c r="HT212" s="6"/>
      <c r="HU212" s="6"/>
      <c r="HV212" s="6"/>
      <c r="HW212" s="6"/>
      <c r="HX212" s="5" t="str">
        <f t="shared" si="733"/>
        <v>NO APLICA</v>
      </c>
      <c r="HY212" s="6"/>
      <c r="HZ212" s="6"/>
      <c r="IA212" s="6"/>
      <c r="IB212" s="6"/>
      <c r="IC212" s="5" t="str">
        <f t="shared" si="734"/>
        <v>NO APLICA</v>
      </c>
      <c r="ID212" s="6"/>
      <c r="IE212" s="6"/>
      <c r="IF212" s="6"/>
      <c r="IG212" s="6"/>
      <c r="IH212" s="5" t="str">
        <f t="shared" si="735"/>
        <v>NO APLICA</v>
      </c>
      <c r="II212" s="6"/>
      <c r="IJ212" s="6"/>
      <c r="IK212" s="6"/>
      <c r="IL212" s="6"/>
      <c r="IM212" s="5" t="str">
        <f t="shared" si="736"/>
        <v>NO APLICA</v>
      </c>
      <c r="IN212" s="6"/>
      <c r="IO212" s="6"/>
      <c r="IP212" s="6"/>
      <c r="IQ212" s="6"/>
      <c r="IR212" s="5" t="str">
        <f t="shared" si="737"/>
        <v>NO APLICA</v>
      </c>
      <c r="IS212" s="6"/>
      <c r="IT212" s="6"/>
      <c r="IU212" s="6"/>
      <c r="IV212" s="6"/>
      <c r="IW212" s="5" t="str">
        <f t="shared" si="738"/>
        <v>NO APLICA</v>
      </c>
      <c r="IX212" s="6"/>
      <c r="IY212" s="6"/>
      <c r="IZ212" s="6"/>
      <c r="JA212" s="6"/>
      <c r="JB212" s="5" t="str">
        <f t="shared" si="739"/>
        <v>NO APLICA</v>
      </c>
      <c r="JC212" s="3" t="s">
        <v>780</v>
      </c>
      <c r="JD212" s="6"/>
      <c r="JE212" s="6"/>
      <c r="JF212" s="6"/>
      <c r="JG212" s="5"/>
      <c r="JH212" s="3" t="s">
        <v>780</v>
      </c>
      <c r="JI212" s="6"/>
      <c r="JJ212" s="6"/>
      <c r="JK212" s="6"/>
      <c r="JL212" s="5"/>
      <c r="JM212" s="6" t="s">
        <v>780</v>
      </c>
      <c r="JN212" s="6"/>
      <c r="JO212" s="6"/>
      <c r="JP212" s="6"/>
      <c r="JQ212" s="5"/>
      <c r="JR212" s="6" t="s">
        <v>780</v>
      </c>
      <c r="JS212" s="6"/>
      <c r="JT212" s="6"/>
      <c r="JU212" s="6"/>
      <c r="JV212" s="5"/>
      <c r="JW212" s="6" t="s">
        <v>780</v>
      </c>
      <c r="JX212" s="5"/>
      <c r="JY212" s="5"/>
      <c r="JZ212" s="5"/>
      <c r="KA212" s="5"/>
      <c r="KB212" s="5"/>
      <c r="KC212" s="6"/>
      <c r="KD212" s="6"/>
      <c r="KE212" s="6"/>
      <c r="KF212" s="5" t="str">
        <f t="shared" si="740"/>
        <v>NO APLICA</v>
      </c>
      <c r="KG212" s="5"/>
      <c r="KH212" s="6"/>
      <c r="KI212" s="6"/>
      <c r="KJ212" s="6"/>
      <c r="KK212" s="5" t="str">
        <f t="shared" si="760"/>
        <v>NO APLICA</v>
      </c>
      <c r="KL212" s="5"/>
      <c r="KM212" s="6"/>
      <c r="KN212" s="6"/>
      <c r="KO212" s="6"/>
      <c r="KP212" s="5" t="str">
        <f t="shared" si="741"/>
        <v>NO APLICA</v>
      </c>
      <c r="KQ212" s="5"/>
      <c r="KR212" s="4">
        <v>45346</v>
      </c>
      <c r="KS212" s="4">
        <f>DATE(YEAR(KR212)+5,MONTH(KR212),DAY(KR212))</f>
        <v>47173</v>
      </c>
      <c r="KT212" s="8">
        <f ca="1">KS212-TODAY()</f>
        <v>1028</v>
      </c>
      <c r="KU212" s="5" t="str">
        <f ca="1">IF(KT212&gt;=61,"VIGENTE",IF(KT212&gt;=1,"POR VENCER",IF(KT212&lt;=-1,"VENCIDA",IF(KR212=0,"NO APLICA"))))</f>
        <v>VIGENTE</v>
      </c>
      <c r="KV212" s="6"/>
      <c r="KW212" s="6"/>
      <c r="KX212" s="6"/>
      <c r="KY212" s="6"/>
      <c r="KZ212" s="5" t="str">
        <f t="shared" si="767"/>
        <v>NO APLICA</v>
      </c>
      <c r="LA212" s="5"/>
      <c r="LB212" s="6"/>
      <c r="LC212" s="6"/>
      <c r="LD212" s="6"/>
      <c r="LE212" s="5" t="str">
        <f t="shared" si="762"/>
        <v>NO APLICA</v>
      </c>
      <c r="LF212" s="6"/>
      <c r="LG212" s="6"/>
      <c r="LH212" s="6"/>
      <c r="LI212" s="6"/>
      <c r="LJ212" s="5" t="str">
        <f t="shared" si="600"/>
        <v>NO APLICA</v>
      </c>
      <c r="LK212" s="5"/>
      <c r="LL212" s="5"/>
      <c r="LM212" s="4"/>
      <c r="LN212" s="8"/>
      <c r="LO212" s="5" t="str">
        <f t="shared" si="768"/>
        <v>NO APLICA</v>
      </c>
      <c r="LP212" s="6"/>
      <c r="LQ212" s="6"/>
      <c r="LR212" s="6"/>
      <c r="LS212" s="6"/>
      <c r="LT212" s="5" t="str">
        <f t="shared" si="763"/>
        <v>NO APLICA</v>
      </c>
      <c r="LU212" s="6"/>
      <c r="LV212" s="6"/>
      <c r="LW212" s="6"/>
      <c r="LX212" s="6"/>
      <c r="LY212" s="5" t="str">
        <f t="shared" si="764"/>
        <v>NO APLICA</v>
      </c>
      <c r="LZ212" s="6"/>
      <c r="MA212" s="6"/>
      <c r="MB212" s="6"/>
      <c r="MC212" s="6"/>
      <c r="MD212" s="5" t="str">
        <f t="shared" si="765"/>
        <v>NO APLICA</v>
      </c>
      <c r="ME212" s="6"/>
      <c r="MF212" s="6"/>
      <c r="MG212" s="6"/>
      <c r="MH212" s="6"/>
      <c r="MI212" s="5" t="str">
        <f t="shared" si="742"/>
        <v>NO APLICA</v>
      </c>
      <c r="MJ212" s="6"/>
      <c r="MK212" s="6"/>
      <c r="ML212" s="6"/>
      <c r="MM212" s="6"/>
      <c r="MN212" s="5" t="str">
        <f t="shared" si="743"/>
        <v>NO APLICA</v>
      </c>
      <c r="MO212" s="5"/>
      <c r="MP212" s="6"/>
      <c r="MQ212" s="6"/>
      <c r="MR212" s="6"/>
      <c r="MS212" s="5" t="str">
        <f t="shared" si="744"/>
        <v>NO APLICA</v>
      </c>
      <c r="MT212" s="5"/>
      <c r="MU212" s="6"/>
      <c r="MV212" s="6"/>
      <c r="MW212" s="6"/>
      <c r="MX212" s="5" t="str">
        <f t="shared" si="745"/>
        <v>NO APLICA</v>
      </c>
      <c r="MY212" s="6"/>
      <c r="MZ212" s="6"/>
      <c r="NA212" s="6"/>
      <c r="NB212" s="6"/>
      <c r="NC212" s="5" t="str">
        <f t="shared" si="746"/>
        <v>NO APLICA</v>
      </c>
      <c r="ND212" s="6"/>
      <c r="NE212" s="6"/>
      <c r="NF212" s="6"/>
      <c r="NG212" s="6"/>
      <c r="NH212" s="5" t="str">
        <f t="shared" si="747"/>
        <v>NO APLICA</v>
      </c>
      <c r="NI212" s="6"/>
      <c r="NJ212" s="6"/>
      <c r="NK212" s="6"/>
      <c r="NL212" s="6"/>
      <c r="NM212" s="5" t="str">
        <f t="shared" si="748"/>
        <v>NO APLICA</v>
      </c>
      <c r="NN212" s="6"/>
      <c r="NO212" s="6"/>
      <c r="NP212" s="6"/>
      <c r="NQ212" s="6"/>
      <c r="NR212" s="5" t="str">
        <f t="shared" si="749"/>
        <v>NO APLICA</v>
      </c>
      <c r="NS212" s="6"/>
      <c r="NT212" s="6"/>
      <c r="NU212" s="6"/>
      <c r="NV212" s="6"/>
      <c r="NW212" s="5" t="str">
        <f t="shared" si="750"/>
        <v>NO APLICA</v>
      </c>
      <c r="NX212" s="6"/>
      <c r="NY212" s="6"/>
      <c r="NZ212" s="6"/>
      <c r="OA212" s="6"/>
      <c r="OB212" s="5" t="str">
        <f t="shared" si="751"/>
        <v>NO APLICA</v>
      </c>
      <c r="OC212" s="6"/>
      <c r="OD212" s="6"/>
      <c r="OE212" s="6"/>
      <c r="OF212" s="6"/>
      <c r="OG212" s="5" t="str">
        <f t="shared" si="752"/>
        <v>NO APLICA</v>
      </c>
      <c r="OH212" s="6"/>
      <c r="OI212" s="6"/>
      <c r="OJ212" s="6"/>
      <c r="OK212" s="6"/>
      <c r="OL212" s="5" t="str">
        <f t="shared" si="753"/>
        <v>NO APLICA</v>
      </c>
      <c r="OM212" s="6"/>
      <c r="ON212" s="6"/>
      <c r="OO212" s="6"/>
      <c r="OP212" s="6"/>
      <c r="OQ212" s="5" t="str">
        <f t="shared" si="754"/>
        <v>NO APLICA</v>
      </c>
      <c r="OR212" s="6"/>
      <c r="OS212" s="6"/>
      <c r="OT212" s="6"/>
      <c r="OU212" s="6"/>
      <c r="OV212" s="5" t="str">
        <f t="shared" si="755"/>
        <v>NO APLICA</v>
      </c>
      <c r="OW212" s="6"/>
      <c r="OX212" s="6"/>
      <c r="OY212" s="6"/>
      <c r="OZ212" s="6"/>
      <c r="PA212" s="5" t="str">
        <f t="shared" si="769"/>
        <v>NO APLICA</v>
      </c>
      <c r="PB212" s="6"/>
      <c r="PC212" s="6"/>
      <c r="PD212" s="6"/>
      <c r="PE212" s="6"/>
      <c r="PF212" s="5" t="str">
        <f t="shared" si="756"/>
        <v>NO APLICA</v>
      </c>
      <c r="PG212" s="6"/>
      <c r="PH212" s="6"/>
      <c r="PI212" s="6"/>
      <c r="PJ212" s="6"/>
      <c r="PK212" s="5" t="str">
        <f t="shared" si="757"/>
        <v>NO APLICA</v>
      </c>
      <c r="PL212" s="5"/>
      <c r="PM212" s="6"/>
      <c r="PN212" s="6"/>
      <c r="PO212" s="6"/>
      <c r="PP212" s="5" t="str">
        <f t="shared" si="766"/>
        <v>NO APLICA</v>
      </c>
      <c r="PQ212" s="6"/>
      <c r="PR212" s="6"/>
      <c r="PS212" s="6"/>
      <c r="PT212" s="6"/>
      <c r="PU212" s="5" t="str">
        <f t="shared" si="758"/>
        <v>NO APLICA</v>
      </c>
      <c r="PV212" s="5"/>
      <c r="PW212" s="6"/>
      <c r="PX212" s="6"/>
      <c r="PY212" s="6"/>
      <c r="PZ212" s="5" t="str">
        <f t="shared" si="759"/>
        <v>NO APLICA</v>
      </c>
    </row>
    <row r="213" spans="1:442" ht="15.6" hidden="1" thickTop="1" thickBot="1" x14ac:dyDescent="0.35">
      <c r="A213" s="26">
        <v>210</v>
      </c>
      <c r="B213" s="31">
        <v>2</v>
      </c>
      <c r="C213" s="28" t="s">
        <v>648</v>
      </c>
      <c r="D213" s="29" t="s">
        <v>636</v>
      </c>
      <c r="E213" s="30" t="s">
        <v>649</v>
      </c>
      <c r="F213" s="3"/>
      <c r="G213" s="4"/>
      <c r="H213" s="4"/>
      <c r="I213" s="8"/>
      <c r="J213" s="5" t="str">
        <f t="shared" si="696"/>
        <v>NO APLICA</v>
      </c>
      <c r="K213" s="2"/>
      <c r="L213" s="2"/>
      <c r="M213" s="2"/>
      <c r="N213" s="2"/>
      <c r="O213" s="5" t="str">
        <f t="shared" si="699"/>
        <v>NO APLICA</v>
      </c>
      <c r="P213" s="6"/>
      <c r="Q213" s="6"/>
      <c r="R213" s="4"/>
      <c r="S213" s="8"/>
      <c r="T213" s="5" t="str">
        <f t="shared" si="697"/>
        <v>NO APLICA</v>
      </c>
      <c r="U213" s="5"/>
      <c r="V213" s="2"/>
      <c r="W213" s="4"/>
      <c r="X213" s="4"/>
      <c r="Y213" s="8"/>
      <c r="Z213" s="5" t="str">
        <f t="shared" si="605"/>
        <v>NO APLICA</v>
      </c>
      <c r="AA213" s="5"/>
      <c r="AB213" s="2"/>
      <c r="AC213" s="6"/>
      <c r="AD213" s="4"/>
      <c r="AE213" s="8"/>
      <c r="AF213" s="5" t="str">
        <f t="shared" si="700"/>
        <v>NO APLICA</v>
      </c>
      <c r="AG213" s="2"/>
      <c r="AH213" s="4"/>
      <c r="AI213" s="4"/>
      <c r="AJ213" s="8"/>
      <c r="AK213" s="5" t="str">
        <f t="shared" si="602"/>
        <v>NO APLICA</v>
      </c>
      <c r="AL213" s="2"/>
      <c r="AM213" s="4"/>
      <c r="AN213" s="4"/>
      <c r="AO213" s="8"/>
      <c r="AP213" s="5" t="str">
        <f t="shared" si="701"/>
        <v>NO APLICA</v>
      </c>
      <c r="AQ213" s="2"/>
      <c r="AR213" s="4"/>
      <c r="AS213" s="4"/>
      <c r="AT213" s="8"/>
      <c r="AU213" s="5" t="str">
        <f t="shared" si="702"/>
        <v>NO APLICA</v>
      </c>
      <c r="AV213" s="2"/>
      <c r="AW213" s="4"/>
      <c r="AX213" s="4"/>
      <c r="AY213" s="8"/>
      <c r="AZ213" s="5" t="str">
        <f t="shared" si="703"/>
        <v>NO APLICA</v>
      </c>
      <c r="BA213" s="3"/>
      <c r="BB213" s="4"/>
      <c r="BC213" s="4"/>
      <c r="BD213" s="8"/>
      <c r="BE213" s="5" t="str">
        <f t="shared" si="704"/>
        <v>NO APLICA</v>
      </c>
      <c r="BF213" s="2"/>
      <c r="BG213" s="4"/>
      <c r="BH213" s="4"/>
      <c r="BI213" s="8"/>
      <c r="BJ213" s="5" t="str">
        <f t="shared" si="705"/>
        <v>NO APLICA</v>
      </c>
      <c r="BK213" s="3"/>
      <c r="BL213" s="4"/>
      <c r="BM213" s="4"/>
      <c r="BN213" s="8"/>
      <c r="BO213" s="5" t="str">
        <f t="shared" si="706"/>
        <v>NO APLICA</v>
      </c>
      <c r="BP213" s="3"/>
      <c r="BQ213" s="39"/>
      <c r="BR213" s="4"/>
      <c r="BS213" s="8"/>
      <c r="BT213" s="5" t="str">
        <f t="shared" si="707"/>
        <v>NO APLICA</v>
      </c>
      <c r="BU213" s="2"/>
      <c r="BV213" s="4"/>
      <c r="BW213" s="4"/>
      <c r="BX213" s="8"/>
      <c r="BY213" s="5" t="str">
        <f t="shared" si="708"/>
        <v>NO APLICA</v>
      </c>
      <c r="BZ213" s="2"/>
      <c r="CA213" s="4"/>
      <c r="CB213" s="4"/>
      <c r="CC213" s="8"/>
      <c r="CD213" s="5" t="str">
        <f t="shared" si="709"/>
        <v>NO APLICA</v>
      </c>
      <c r="CE213" s="6"/>
      <c r="CF213" s="4"/>
      <c r="CG213" s="4"/>
      <c r="CH213" s="8"/>
      <c r="CI213" s="5" t="str">
        <f t="shared" si="770"/>
        <v>NO APLICA</v>
      </c>
      <c r="CJ213" s="6"/>
      <c r="CK213" s="4"/>
      <c r="CL213" s="4"/>
      <c r="CM213" s="8"/>
      <c r="CN213" s="5" t="str">
        <f t="shared" si="710"/>
        <v>NO APLICA</v>
      </c>
      <c r="CO213" s="2"/>
      <c r="CP213" s="39"/>
      <c r="CQ213" s="4"/>
      <c r="CR213" s="8"/>
      <c r="CS213" s="5" t="str">
        <f t="shared" si="711"/>
        <v>NO APLICA</v>
      </c>
      <c r="CT213" s="2"/>
      <c r="CU213" s="4"/>
      <c r="CV213" s="4"/>
      <c r="CW213" s="8"/>
      <c r="CX213" s="5" t="str">
        <f t="shared" si="712"/>
        <v>NO APLICA</v>
      </c>
      <c r="CY213" s="3"/>
      <c r="CZ213" s="4"/>
      <c r="DA213" s="4"/>
      <c r="DB213" s="8"/>
      <c r="DC213" s="5" t="str">
        <f t="shared" si="713"/>
        <v>NO APLICA</v>
      </c>
      <c r="DD213" s="3"/>
      <c r="DE213" s="39"/>
      <c r="DF213" s="4"/>
      <c r="DG213" s="8"/>
      <c r="DH213" s="5" t="str">
        <f t="shared" si="714"/>
        <v>NO APLICA</v>
      </c>
      <c r="DI213" s="2"/>
      <c r="DJ213" s="39"/>
      <c r="DK213" s="4"/>
      <c r="DL213" s="8"/>
      <c r="DM213" s="5" t="str">
        <f t="shared" si="715"/>
        <v>NO APLICA</v>
      </c>
      <c r="DN213" s="3"/>
      <c r="DO213" s="4"/>
      <c r="DP213" s="4"/>
      <c r="DQ213" s="8"/>
      <c r="DR213" s="5" t="str">
        <f t="shared" si="716"/>
        <v>NO APLICA</v>
      </c>
      <c r="DS213" s="2"/>
      <c r="DT213" s="4"/>
      <c r="DU213" s="4"/>
      <c r="DV213" s="8"/>
      <c r="DW213" s="5" t="str">
        <f t="shared" si="717"/>
        <v>NO APLICA</v>
      </c>
      <c r="DX213" s="3"/>
      <c r="DY213" s="4"/>
      <c r="DZ213" s="4"/>
      <c r="EA213" s="8"/>
      <c r="EB213" s="5" t="str">
        <f t="shared" si="718"/>
        <v>NO APLICA</v>
      </c>
      <c r="EC213" s="3"/>
      <c r="ED213" s="39"/>
      <c r="EE213" s="4"/>
      <c r="EF213" s="8"/>
      <c r="EG213" s="5" t="str">
        <f t="shared" si="719"/>
        <v>NO APLICA</v>
      </c>
      <c r="EH213" s="2"/>
      <c r="EI213" s="4"/>
      <c r="EJ213" s="4"/>
      <c r="EK213" s="8"/>
      <c r="EL213" s="5" t="str">
        <f t="shared" si="720"/>
        <v>NO APLICA</v>
      </c>
      <c r="EM213" s="3"/>
      <c r="EN213" s="4"/>
      <c r="EO213" s="4"/>
      <c r="EP213" s="8"/>
      <c r="EQ213" s="5" t="str">
        <f t="shared" si="721"/>
        <v>NO APLICA</v>
      </c>
      <c r="ER213" s="2"/>
      <c r="ES213" s="39"/>
      <c r="ET213" s="4"/>
      <c r="EU213" s="8"/>
      <c r="EV213" s="5" t="str">
        <f t="shared" si="722"/>
        <v>NO APLICA</v>
      </c>
      <c r="EW213" s="2"/>
      <c r="EX213" s="4"/>
      <c r="EY213" s="4"/>
      <c r="EZ213" s="8"/>
      <c r="FA213" s="5" t="str">
        <f t="shared" si="723"/>
        <v>NO APLICA</v>
      </c>
      <c r="FB213" s="2"/>
      <c r="FC213" s="4"/>
      <c r="FD213" s="4"/>
      <c r="FE213" s="8"/>
      <c r="FF213" s="5" t="str">
        <f t="shared" si="724"/>
        <v>NO APLICA</v>
      </c>
      <c r="FG213" s="2"/>
      <c r="FH213" s="4"/>
      <c r="FI213" s="4"/>
      <c r="FJ213" s="8"/>
      <c r="FK213" s="5" t="str">
        <f t="shared" si="725"/>
        <v>NO APLICA</v>
      </c>
      <c r="FL213" s="3"/>
      <c r="FM213" s="39"/>
      <c r="FN213" s="4"/>
      <c r="FO213" s="8"/>
      <c r="FP213" s="5" t="str">
        <f t="shared" si="726"/>
        <v>NO APLICA</v>
      </c>
      <c r="FQ213" s="3"/>
      <c r="FR213" s="39"/>
      <c r="FS213" s="4"/>
      <c r="FT213" s="8"/>
      <c r="FU213" s="5" t="str">
        <f t="shared" si="727"/>
        <v>NO APLICA</v>
      </c>
      <c r="FV213" s="3"/>
      <c r="FW213" s="4"/>
      <c r="FX213" s="4"/>
      <c r="FY213" s="8"/>
      <c r="FZ213" s="5" t="str">
        <f t="shared" si="728"/>
        <v>NO APLICA</v>
      </c>
      <c r="GA213" s="3"/>
      <c r="GB213" s="4"/>
      <c r="GC213" s="4"/>
      <c r="GD213" s="8"/>
      <c r="GE213" s="5" t="str">
        <f t="shared" si="729"/>
        <v>NO APLICA</v>
      </c>
      <c r="GF213" s="3"/>
      <c r="GG213" s="4"/>
      <c r="GH213" s="4"/>
      <c r="GI213" s="8"/>
      <c r="GJ213" s="5" t="str">
        <f t="shared" si="730"/>
        <v>NO APLICA</v>
      </c>
      <c r="GK213" s="3"/>
      <c r="GL213" s="4"/>
      <c r="GM213" s="4"/>
      <c r="GN213" s="8"/>
      <c r="GO213" s="5" t="str">
        <f t="shared" si="731"/>
        <v>NO APLICA</v>
      </c>
      <c r="GP213" s="4"/>
      <c r="GQ213" s="4"/>
      <c r="GR213" s="4"/>
      <c r="GS213" s="8"/>
      <c r="GT213" s="5" t="str">
        <f t="shared" si="610"/>
        <v>NO APLICA</v>
      </c>
      <c r="GU213" s="3"/>
      <c r="GV213" s="4"/>
      <c r="GW213" s="4"/>
      <c r="GX213" s="8"/>
      <c r="GY213" s="5" t="str">
        <f t="shared" si="611"/>
        <v>NO APLICA</v>
      </c>
      <c r="GZ213" s="2"/>
      <c r="HA213" s="4"/>
      <c r="HB213" s="4"/>
      <c r="HC213" s="8"/>
      <c r="HD213" s="5" t="str">
        <f t="shared" si="612"/>
        <v>NO APLICA</v>
      </c>
      <c r="HE213" s="6"/>
      <c r="HF213" s="6"/>
      <c r="HG213" s="4"/>
      <c r="HH213" s="8"/>
      <c r="HI213" s="5" t="str">
        <f t="shared" si="698"/>
        <v>NO APLICA</v>
      </c>
      <c r="HJ213" s="2"/>
      <c r="HK213" s="6"/>
      <c r="HL213" s="4"/>
      <c r="HM213" s="8"/>
      <c r="HN213" s="5" t="str">
        <f t="shared" si="694"/>
        <v>NO APLICA</v>
      </c>
      <c r="HO213" s="2"/>
      <c r="HP213" s="2"/>
      <c r="HQ213" s="4"/>
      <c r="HR213" s="2"/>
      <c r="HS213" s="5" t="str">
        <f t="shared" si="732"/>
        <v>NO APLICA</v>
      </c>
      <c r="HT213" s="2"/>
      <c r="HU213" s="6"/>
      <c r="HV213" s="4"/>
      <c r="HW213" s="8"/>
      <c r="HX213" s="5" t="str">
        <f t="shared" si="733"/>
        <v>NO APLICA</v>
      </c>
      <c r="HY213" s="2"/>
      <c r="HZ213" s="6"/>
      <c r="IA213" s="4"/>
      <c r="IB213" s="8"/>
      <c r="IC213" s="5" t="str">
        <f t="shared" si="734"/>
        <v>NO APLICA</v>
      </c>
      <c r="ID213" s="2"/>
      <c r="IE213" s="6"/>
      <c r="IF213" s="4"/>
      <c r="IG213" s="8"/>
      <c r="IH213" s="5" t="str">
        <f t="shared" si="735"/>
        <v>NO APLICA</v>
      </c>
      <c r="II213" s="6"/>
      <c r="IJ213" s="6"/>
      <c r="IK213" s="4"/>
      <c r="IL213" s="8"/>
      <c r="IM213" s="5" t="str">
        <f t="shared" si="736"/>
        <v>NO APLICA</v>
      </c>
      <c r="IN213" s="2"/>
      <c r="IO213" s="6"/>
      <c r="IP213" s="4"/>
      <c r="IQ213" s="8"/>
      <c r="IR213" s="5" t="str">
        <f t="shared" si="737"/>
        <v>NO APLICA</v>
      </c>
      <c r="IS213" s="2"/>
      <c r="IT213" s="6"/>
      <c r="IU213" s="4"/>
      <c r="IV213" s="8"/>
      <c r="IW213" s="5" t="str">
        <f t="shared" si="738"/>
        <v>NO APLICA</v>
      </c>
      <c r="IX213" s="2"/>
      <c r="IY213" s="6"/>
      <c r="IZ213" s="4"/>
      <c r="JA213" s="8"/>
      <c r="JB213" s="5" t="str">
        <f t="shared" si="739"/>
        <v>NO APLICA</v>
      </c>
      <c r="JC213" s="3" t="s">
        <v>780</v>
      </c>
      <c r="JD213" s="3"/>
      <c r="JE213" s="4"/>
      <c r="JF213" s="8"/>
      <c r="JG213" s="5"/>
      <c r="JH213" s="3" t="s">
        <v>780</v>
      </c>
      <c r="JI213" s="6"/>
      <c r="JJ213" s="6"/>
      <c r="JK213" s="6"/>
      <c r="JL213" s="5"/>
      <c r="JM213" s="6" t="s">
        <v>780</v>
      </c>
      <c r="JN213" s="6"/>
      <c r="JO213" s="6"/>
      <c r="JP213" s="6"/>
      <c r="JQ213" s="5"/>
      <c r="JR213" s="6" t="s">
        <v>780</v>
      </c>
      <c r="JS213" s="6"/>
      <c r="JT213" s="6"/>
      <c r="JU213" s="6"/>
      <c r="JV213" s="5"/>
      <c r="JW213" s="6" t="s">
        <v>780</v>
      </c>
      <c r="JX213" s="5"/>
      <c r="JY213" s="5"/>
      <c r="JZ213" s="5"/>
      <c r="KA213" s="5"/>
      <c r="KB213" s="5"/>
      <c r="KC213" s="2"/>
      <c r="KD213" s="4"/>
      <c r="KE213" s="8"/>
      <c r="KF213" s="5" t="str">
        <f t="shared" si="740"/>
        <v>NO APLICA</v>
      </c>
      <c r="KG213" s="5"/>
      <c r="KH213" s="2"/>
      <c r="KI213" s="4"/>
      <c r="KJ213" s="8"/>
      <c r="KK213" s="5" t="str">
        <f t="shared" si="760"/>
        <v>NO APLICA</v>
      </c>
      <c r="KL213" s="5"/>
      <c r="KM213" s="2"/>
      <c r="KN213" s="4"/>
      <c r="KO213" s="8"/>
      <c r="KP213" s="5" t="str">
        <f t="shared" si="741"/>
        <v>NO APLICA</v>
      </c>
      <c r="KQ213" s="5"/>
      <c r="KR213" s="2"/>
      <c r="KS213" s="4"/>
      <c r="KT213" s="8"/>
      <c r="KU213" s="5" t="str">
        <f t="shared" si="761"/>
        <v>NO APLICA</v>
      </c>
      <c r="KV213" s="2"/>
      <c r="KW213" s="6"/>
      <c r="KX213" s="4"/>
      <c r="KY213" s="8"/>
      <c r="KZ213" s="5" t="str">
        <f t="shared" si="767"/>
        <v>NO APLICA</v>
      </c>
      <c r="LA213" s="5"/>
      <c r="LB213" s="6"/>
      <c r="LC213" s="4"/>
      <c r="LD213" s="8"/>
      <c r="LE213" s="5" t="str">
        <f t="shared" si="762"/>
        <v>NO APLICA</v>
      </c>
      <c r="LF213" s="6"/>
      <c r="LG213" s="6"/>
      <c r="LH213" s="4"/>
      <c r="LI213" s="8"/>
      <c r="LJ213" s="5" t="str">
        <f t="shared" si="600"/>
        <v>NO APLICA</v>
      </c>
      <c r="LK213" s="5"/>
      <c r="LL213" s="5"/>
      <c r="LM213" s="4"/>
      <c r="LN213" s="8"/>
      <c r="LO213" s="5" t="str">
        <f t="shared" si="768"/>
        <v>NO APLICA</v>
      </c>
      <c r="LP213" s="2"/>
      <c r="LQ213" s="6"/>
      <c r="LR213" s="4"/>
      <c r="LS213" s="8"/>
      <c r="LT213" s="5" t="str">
        <f t="shared" si="763"/>
        <v>NO APLICA</v>
      </c>
      <c r="LU213" s="6"/>
      <c r="LV213" s="6"/>
      <c r="LW213" s="4"/>
      <c r="LX213" s="8"/>
      <c r="LY213" s="5" t="str">
        <f t="shared" si="764"/>
        <v>NO APLICA</v>
      </c>
      <c r="LZ213" s="6"/>
      <c r="MA213" s="6"/>
      <c r="MB213" s="4"/>
      <c r="MC213" s="8"/>
      <c r="MD213" s="5" t="str">
        <f t="shared" si="765"/>
        <v>NO APLICA</v>
      </c>
      <c r="ME213" s="2"/>
      <c r="MF213" s="2"/>
      <c r="MG213" s="4"/>
      <c r="MH213" s="8"/>
      <c r="MI213" s="5" t="str">
        <f t="shared" si="742"/>
        <v>NO APLICA</v>
      </c>
      <c r="MJ213" s="2"/>
      <c r="MK213" s="2"/>
      <c r="ML213" s="4"/>
      <c r="MM213" s="8"/>
      <c r="MN213" s="5" t="str">
        <f t="shared" si="743"/>
        <v>NO APLICA</v>
      </c>
      <c r="MO213" s="5"/>
      <c r="MP213" s="2"/>
      <c r="MQ213" s="4"/>
      <c r="MR213" s="8"/>
      <c r="MS213" s="5" t="str">
        <f t="shared" si="744"/>
        <v>NO APLICA</v>
      </c>
      <c r="MT213" s="5"/>
      <c r="MU213" s="2"/>
      <c r="MV213" s="4"/>
      <c r="MW213" s="2"/>
      <c r="MX213" s="5" t="str">
        <f t="shared" si="745"/>
        <v>NO APLICA</v>
      </c>
      <c r="MY213" s="2"/>
      <c r="MZ213" s="6"/>
      <c r="NA213" s="4"/>
      <c r="NB213" s="8"/>
      <c r="NC213" s="5" t="str">
        <f t="shared" si="746"/>
        <v>NO APLICA</v>
      </c>
      <c r="ND213" s="2"/>
      <c r="NE213" s="6"/>
      <c r="NF213" s="4"/>
      <c r="NG213" s="8"/>
      <c r="NH213" s="5" t="str">
        <f t="shared" si="747"/>
        <v>NO APLICA</v>
      </c>
      <c r="NI213" s="2"/>
      <c r="NJ213" s="6"/>
      <c r="NK213" s="4"/>
      <c r="NL213" s="8"/>
      <c r="NM213" s="5" t="str">
        <f t="shared" si="748"/>
        <v>NO APLICA</v>
      </c>
      <c r="NN213" s="2"/>
      <c r="NO213" s="2"/>
      <c r="NP213" s="4"/>
      <c r="NQ213" s="8"/>
      <c r="NR213" s="5" t="str">
        <f t="shared" si="749"/>
        <v>NO APLICA</v>
      </c>
      <c r="NS213" s="2"/>
      <c r="NT213" s="2"/>
      <c r="NU213" s="4"/>
      <c r="NV213" s="2"/>
      <c r="NW213" s="5" t="str">
        <f t="shared" si="750"/>
        <v>NO APLICA</v>
      </c>
      <c r="NX213" s="6"/>
      <c r="NY213" s="6"/>
      <c r="NZ213" s="4"/>
      <c r="OA213" s="8"/>
      <c r="OB213" s="5" t="str">
        <f t="shared" si="751"/>
        <v>NO APLICA</v>
      </c>
      <c r="OC213" s="6"/>
      <c r="OD213" s="6"/>
      <c r="OE213" s="6"/>
      <c r="OF213" s="6"/>
      <c r="OG213" s="5" t="str">
        <f t="shared" si="752"/>
        <v>NO APLICA</v>
      </c>
      <c r="OH213" s="6"/>
      <c r="OI213" s="6"/>
      <c r="OJ213" s="4"/>
      <c r="OK213" s="8"/>
      <c r="OL213" s="5" t="str">
        <f t="shared" si="753"/>
        <v>NO APLICA</v>
      </c>
      <c r="OM213" s="6"/>
      <c r="ON213" s="6"/>
      <c r="OO213" s="6"/>
      <c r="OP213" s="6"/>
      <c r="OQ213" s="5" t="str">
        <f t="shared" si="754"/>
        <v>NO APLICA</v>
      </c>
      <c r="OR213" s="6"/>
      <c r="OS213" s="6"/>
      <c r="OT213" s="6"/>
      <c r="OU213" s="6"/>
      <c r="OV213" s="5" t="str">
        <f t="shared" si="755"/>
        <v>NO APLICA</v>
      </c>
      <c r="OW213" s="6"/>
      <c r="OX213" s="6"/>
      <c r="OY213" s="6"/>
      <c r="OZ213" s="6"/>
      <c r="PA213" s="5" t="str">
        <f t="shared" si="769"/>
        <v>NO APLICA</v>
      </c>
      <c r="PB213" s="6"/>
      <c r="PC213" s="6"/>
      <c r="PD213" s="6"/>
      <c r="PE213" s="6"/>
      <c r="PF213" s="5" t="str">
        <f t="shared" si="756"/>
        <v>NO APLICA</v>
      </c>
      <c r="PG213" s="6"/>
      <c r="PH213" s="6"/>
      <c r="PI213" s="6"/>
      <c r="PJ213" s="6"/>
      <c r="PK213" s="5" t="str">
        <f t="shared" si="757"/>
        <v>NO APLICA</v>
      </c>
      <c r="PL213" s="5"/>
      <c r="PM213" s="4">
        <v>44627</v>
      </c>
      <c r="PN213" s="4">
        <f>DATE(YEAR(PM213)+5,MONTH(PM213),DAY(PM213))</f>
        <v>46453</v>
      </c>
      <c r="PO213" s="8">
        <f ca="1">PN213-TODAY()</f>
        <v>308</v>
      </c>
      <c r="PP213" s="5" t="str">
        <f ca="1">IF(PO213&gt;=61,"VIGENTE",IF(PO213&gt;=1,"POR VENCER",IF(PO213&lt;=-1,"VENCIDA",IF(PM213=0,"NO APLICA"))))</f>
        <v>VIGENTE</v>
      </c>
      <c r="PQ213" s="6"/>
      <c r="PR213" s="6"/>
      <c r="PS213" s="6"/>
      <c r="PT213" s="6"/>
      <c r="PU213" s="5" t="str">
        <f t="shared" si="758"/>
        <v>NO APLICA</v>
      </c>
      <c r="PV213" s="5"/>
      <c r="PW213" s="6"/>
      <c r="PX213" s="6"/>
      <c r="PY213" s="6"/>
      <c r="PZ213" s="5" t="str">
        <f t="shared" si="759"/>
        <v>NO APLICA</v>
      </c>
    </row>
    <row r="214" spans="1:442" ht="15.6" hidden="1" thickTop="1" thickBot="1" x14ac:dyDescent="0.35">
      <c r="A214" s="26">
        <v>211</v>
      </c>
      <c r="B214" s="31">
        <v>1104</v>
      </c>
      <c r="C214" s="28" t="s">
        <v>650</v>
      </c>
      <c r="D214" s="29" t="s">
        <v>113</v>
      </c>
      <c r="E214" s="30" t="s">
        <v>643</v>
      </c>
      <c r="F214" s="6"/>
      <c r="G214" s="6"/>
      <c r="H214" s="6"/>
      <c r="I214" s="6"/>
      <c r="J214" s="5" t="str">
        <f t="shared" si="696"/>
        <v>NO APLICA</v>
      </c>
      <c r="K214" s="6"/>
      <c r="L214" s="6"/>
      <c r="M214" s="6"/>
      <c r="N214" s="6"/>
      <c r="O214" s="5" t="str">
        <f t="shared" si="699"/>
        <v>NO APLICA</v>
      </c>
      <c r="P214" s="6"/>
      <c r="Q214" s="6"/>
      <c r="R214" s="6"/>
      <c r="S214" s="6"/>
      <c r="T214" s="5" t="str">
        <f t="shared" si="697"/>
        <v>NO APLICA</v>
      </c>
      <c r="U214" s="5"/>
      <c r="V214" s="6"/>
      <c r="W214" s="4"/>
      <c r="X214" s="4"/>
      <c r="Y214" s="8"/>
      <c r="Z214" s="5" t="str">
        <f t="shared" si="605"/>
        <v>NO APLICA</v>
      </c>
      <c r="AA214" s="5"/>
      <c r="AB214" s="6"/>
      <c r="AC214" s="6"/>
      <c r="AD214" s="6"/>
      <c r="AE214" s="6"/>
      <c r="AF214" s="5" t="str">
        <f t="shared" si="700"/>
        <v>NO APLICA</v>
      </c>
      <c r="AG214" s="4"/>
      <c r="AH214" s="4"/>
      <c r="AI214" s="4"/>
      <c r="AJ214" s="6"/>
      <c r="AK214" s="5" t="str">
        <f t="shared" si="602"/>
        <v>NO APLICA</v>
      </c>
      <c r="AL214" s="4"/>
      <c r="AM214" s="4"/>
      <c r="AN214" s="4"/>
      <c r="AO214" s="6"/>
      <c r="AP214" s="5" t="str">
        <f t="shared" si="701"/>
        <v>NO APLICA</v>
      </c>
      <c r="AQ214" s="4"/>
      <c r="AR214" s="4"/>
      <c r="AS214" s="4"/>
      <c r="AT214" s="6"/>
      <c r="AU214" s="5" t="str">
        <f t="shared" si="702"/>
        <v>NO APLICA</v>
      </c>
      <c r="AV214" s="4"/>
      <c r="AW214" s="4"/>
      <c r="AX214" s="4"/>
      <c r="AY214" s="6"/>
      <c r="AZ214" s="5" t="str">
        <f t="shared" si="703"/>
        <v>NO APLICA</v>
      </c>
      <c r="BA214" s="4"/>
      <c r="BB214" s="4"/>
      <c r="BC214" s="4"/>
      <c r="BD214" s="6"/>
      <c r="BE214" s="5" t="str">
        <f t="shared" si="704"/>
        <v>NO APLICA</v>
      </c>
      <c r="BF214" s="4"/>
      <c r="BG214" s="4"/>
      <c r="BH214" s="4"/>
      <c r="BI214" s="6"/>
      <c r="BJ214" s="5" t="str">
        <f t="shared" si="705"/>
        <v>NO APLICA</v>
      </c>
      <c r="BK214" s="4"/>
      <c r="BL214" s="4"/>
      <c r="BM214" s="4"/>
      <c r="BN214" s="6"/>
      <c r="BO214" s="5" t="str">
        <f t="shared" si="706"/>
        <v>NO APLICA</v>
      </c>
      <c r="BP214" s="4"/>
      <c r="BQ214" s="4"/>
      <c r="BR214" s="4"/>
      <c r="BS214" s="6"/>
      <c r="BT214" s="5" t="str">
        <f t="shared" si="707"/>
        <v>NO APLICA</v>
      </c>
      <c r="BU214" s="4"/>
      <c r="BV214" s="4"/>
      <c r="BW214" s="4"/>
      <c r="BX214" s="6"/>
      <c r="BY214" s="5" t="str">
        <f t="shared" si="708"/>
        <v>NO APLICA</v>
      </c>
      <c r="BZ214" s="4"/>
      <c r="CA214" s="4"/>
      <c r="CB214" s="4"/>
      <c r="CC214" s="6"/>
      <c r="CD214" s="5" t="str">
        <f t="shared" si="709"/>
        <v>NO APLICA</v>
      </c>
      <c r="CE214" s="6"/>
      <c r="CF214" s="6"/>
      <c r="CG214" s="6"/>
      <c r="CH214" s="6"/>
      <c r="CI214" s="5" t="str">
        <f t="shared" si="770"/>
        <v>NO APLICA</v>
      </c>
      <c r="CJ214" s="4"/>
      <c r="CK214" s="4"/>
      <c r="CL214" s="4"/>
      <c r="CM214" s="6"/>
      <c r="CN214" s="5" t="str">
        <f t="shared" si="710"/>
        <v>NO APLICA</v>
      </c>
      <c r="CO214" s="4"/>
      <c r="CP214" s="4"/>
      <c r="CQ214" s="4"/>
      <c r="CR214" s="6"/>
      <c r="CS214" s="5" t="str">
        <f t="shared" si="711"/>
        <v>NO APLICA</v>
      </c>
      <c r="CT214" s="4"/>
      <c r="CU214" s="4"/>
      <c r="CV214" s="4"/>
      <c r="CW214" s="6"/>
      <c r="CX214" s="5" t="str">
        <f t="shared" si="712"/>
        <v>NO APLICA</v>
      </c>
      <c r="CY214" s="4"/>
      <c r="CZ214" s="4"/>
      <c r="DA214" s="4"/>
      <c r="DB214" s="6"/>
      <c r="DC214" s="5" t="str">
        <f t="shared" si="713"/>
        <v>NO APLICA</v>
      </c>
      <c r="DD214" s="4"/>
      <c r="DE214" s="4"/>
      <c r="DF214" s="4"/>
      <c r="DG214" s="6"/>
      <c r="DH214" s="5" t="str">
        <f t="shared" si="714"/>
        <v>NO APLICA</v>
      </c>
      <c r="DI214" s="4"/>
      <c r="DJ214" s="4"/>
      <c r="DK214" s="4"/>
      <c r="DL214" s="6"/>
      <c r="DM214" s="5" t="str">
        <f t="shared" si="715"/>
        <v>NO APLICA</v>
      </c>
      <c r="DN214" s="4"/>
      <c r="DO214" s="4"/>
      <c r="DP214" s="4"/>
      <c r="DQ214" s="6"/>
      <c r="DR214" s="5" t="str">
        <f t="shared" si="716"/>
        <v>NO APLICA</v>
      </c>
      <c r="DS214" s="4"/>
      <c r="DT214" s="4"/>
      <c r="DU214" s="4"/>
      <c r="DV214" s="6"/>
      <c r="DW214" s="5" t="str">
        <f t="shared" si="717"/>
        <v>NO APLICA</v>
      </c>
      <c r="DX214" s="4"/>
      <c r="DY214" s="4"/>
      <c r="DZ214" s="4"/>
      <c r="EA214" s="6"/>
      <c r="EB214" s="5" t="str">
        <f t="shared" si="718"/>
        <v>NO APLICA</v>
      </c>
      <c r="EC214" s="4"/>
      <c r="ED214" s="4"/>
      <c r="EE214" s="4"/>
      <c r="EF214" s="6"/>
      <c r="EG214" s="5" t="str">
        <f t="shared" si="719"/>
        <v>NO APLICA</v>
      </c>
      <c r="EH214" s="4"/>
      <c r="EI214" s="4"/>
      <c r="EJ214" s="4"/>
      <c r="EK214" s="8"/>
      <c r="EL214" s="5" t="str">
        <f t="shared" si="720"/>
        <v>NO APLICA</v>
      </c>
      <c r="EM214" s="4"/>
      <c r="EN214" s="4"/>
      <c r="EO214" s="4"/>
      <c r="EP214" s="8"/>
      <c r="EQ214" s="5" t="str">
        <f t="shared" si="721"/>
        <v>NO APLICA</v>
      </c>
      <c r="ER214" s="4"/>
      <c r="ES214" s="4"/>
      <c r="ET214" s="4"/>
      <c r="EU214" s="8"/>
      <c r="EV214" s="5" t="str">
        <f t="shared" si="722"/>
        <v>NO APLICA</v>
      </c>
      <c r="EW214" s="4"/>
      <c r="EX214" s="4"/>
      <c r="EY214" s="4"/>
      <c r="EZ214" s="6"/>
      <c r="FA214" s="5" t="str">
        <f t="shared" si="723"/>
        <v>NO APLICA</v>
      </c>
      <c r="FB214" s="4"/>
      <c r="FC214" s="4"/>
      <c r="FD214" s="4"/>
      <c r="FE214" s="6"/>
      <c r="FF214" s="5" t="str">
        <f t="shared" si="724"/>
        <v>NO APLICA</v>
      </c>
      <c r="FG214" s="4"/>
      <c r="FH214" s="4"/>
      <c r="FI214" s="4"/>
      <c r="FJ214" s="6"/>
      <c r="FK214" s="5" t="str">
        <f t="shared" si="725"/>
        <v>NO APLICA</v>
      </c>
      <c r="FL214" s="4"/>
      <c r="FM214" s="4"/>
      <c r="FN214" s="4"/>
      <c r="FO214" s="6"/>
      <c r="FP214" s="5" t="str">
        <f t="shared" si="726"/>
        <v>NO APLICA</v>
      </c>
      <c r="FQ214" s="4"/>
      <c r="FR214" s="4"/>
      <c r="FS214" s="4"/>
      <c r="FT214" s="6"/>
      <c r="FU214" s="5" t="str">
        <f t="shared" si="727"/>
        <v>NO APLICA</v>
      </c>
      <c r="FV214" s="4"/>
      <c r="FW214" s="4"/>
      <c r="FX214" s="4"/>
      <c r="FY214" s="6"/>
      <c r="FZ214" s="5" t="str">
        <f t="shared" si="728"/>
        <v>NO APLICA</v>
      </c>
      <c r="GA214" s="4"/>
      <c r="GB214" s="4"/>
      <c r="GC214" s="4"/>
      <c r="GD214" s="6"/>
      <c r="GE214" s="5" t="str">
        <f t="shared" si="729"/>
        <v>NO APLICA</v>
      </c>
      <c r="GF214" s="4"/>
      <c r="GG214" s="4"/>
      <c r="GH214" s="4"/>
      <c r="GI214" s="8"/>
      <c r="GJ214" s="5" t="str">
        <f t="shared" si="730"/>
        <v>NO APLICA</v>
      </c>
      <c r="GK214" s="4"/>
      <c r="GL214" s="6"/>
      <c r="GM214" s="6"/>
      <c r="GN214" s="6"/>
      <c r="GO214" s="5" t="str">
        <f t="shared" si="731"/>
        <v>NO APLICA</v>
      </c>
      <c r="GP214" s="4"/>
      <c r="GQ214" s="6"/>
      <c r="GR214" s="6"/>
      <c r="GS214" s="6"/>
      <c r="GT214" s="5" t="str">
        <f t="shared" si="610"/>
        <v>NO APLICA</v>
      </c>
      <c r="GU214" s="4"/>
      <c r="GV214" s="6"/>
      <c r="GW214" s="6"/>
      <c r="GX214" s="6"/>
      <c r="GY214" s="5" t="str">
        <f t="shared" si="611"/>
        <v>NO APLICA</v>
      </c>
      <c r="GZ214" s="6"/>
      <c r="HA214" s="6"/>
      <c r="HB214" s="6"/>
      <c r="HC214" s="6"/>
      <c r="HD214" s="5" t="str">
        <f t="shared" si="612"/>
        <v>NO APLICA</v>
      </c>
      <c r="HE214" s="6"/>
      <c r="HF214" s="6"/>
      <c r="HG214" s="4"/>
      <c r="HH214" s="8"/>
      <c r="HI214" s="5" t="str">
        <f t="shared" si="698"/>
        <v>NO APLICA</v>
      </c>
      <c r="HJ214" s="6"/>
      <c r="HK214" s="6"/>
      <c r="HL214" s="6"/>
      <c r="HM214" s="6"/>
      <c r="HN214" s="5" t="str">
        <f t="shared" si="694"/>
        <v>NO APLICA</v>
      </c>
      <c r="HO214" s="6"/>
      <c r="HP214" s="6"/>
      <c r="HQ214" s="6"/>
      <c r="HR214" s="6"/>
      <c r="HS214" s="5" t="str">
        <f t="shared" si="732"/>
        <v>NO APLICA</v>
      </c>
      <c r="HT214" s="6"/>
      <c r="HU214" s="6"/>
      <c r="HV214" s="6"/>
      <c r="HW214" s="6"/>
      <c r="HX214" s="5" t="str">
        <f t="shared" si="733"/>
        <v>NO APLICA</v>
      </c>
      <c r="HY214" s="6"/>
      <c r="HZ214" s="6"/>
      <c r="IA214" s="6"/>
      <c r="IB214" s="6"/>
      <c r="IC214" s="5" t="str">
        <f t="shared" si="734"/>
        <v>NO APLICA</v>
      </c>
      <c r="ID214" s="6"/>
      <c r="IE214" s="6"/>
      <c r="IF214" s="6"/>
      <c r="IG214" s="6"/>
      <c r="IH214" s="5" t="str">
        <f t="shared" si="735"/>
        <v>NO APLICA</v>
      </c>
      <c r="II214" s="6"/>
      <c r="IJ214" s="6"/>
      <c r="IK214" s="6"/>
      <c r="IL214" s="6"/>
      <c r="IM214" s="5" t="str">
        <f t="shared" si="736"/>
        <v>NO APLICA</v>
      </c>
      <c r="IN214" s="6"/>
      <c r="IO214" s="6"/>
      <c r="IP214" s="6"/>
      <c r="IQ214" s="6"/>
      <c r="IR214" s="5" t="str">
        <f t="shared" si="737"/>
        <v>NO APLICA</v>
      </c>
      <c r="IS214" s="6"/>
      <c r="IT214" s="6"/>
      <c r="IU214" s="6"/>
      <c r="IV214" s="6"/>
      <c r="IW214" s="5" t="str">
        <f t="shared" si="738"/>
        <v>NO APLICA</v>
      </c>
      <c r="IX214" s="6"/>
      <c r="IY214" s="6"/>
      <c r="IZ214" s="6"/>
      <c r="JA214" s="6"/>
      <c r="JB214" s="5" t="str">
        <f t="shared" si="739"/>
        <v>NO APLICA</v>
      </c>
      <c r="JC214" s="3" t="s">
        <v>780</v>
      </c>
      <c r="JD214" s="6"/>
      <c r="JE214" s="6"/>
      <c r="JF214" s="6"/>
      <c r="JG214" s="5"/>
      <c r="JH214" s="3" t="s">
        <v>780</v>
      </c>
      <c r="JI214" s="6"/>
      <c r="JJ214" s="6"/>
      <c r="JK214" s="6"/>
      <c r="JL214" s="5"/>
      <c r="JM214" s="6" t="s">
        <v>780</v>
      </c>
      <c r="JN214" s="6"/>
      <c r="JO214" s="6"/>
      <c r="JP214" s="6"/>
      <c r="JQ214" s="5"/>
      <c r="JR214" s="6" t="s">
        <v>780</v>
      </c>
      <c r="JS214" s="6"/>
      <c r="JT214" s="6"/>
      <c r="JU214" s="6"/>
      <c r="JV214" s="5"/>
      <c r="JW214" s="6" t="s">
        <v>780</v>
      </c>
      <c r="JX214" s="5"/>
      <c r="JY214" s="5"/>
      <c r="JZ214" s="5"/>
      <c r="KA214" s="5"/>
      <c r="KB214" s="5"/>
      <c r="KC214" s="6"/>
      <c r="KD214" s="6"/>
      <c r="KE214" s="6"/>
      <c r="KF214" s="5" t="str">
        <f t="shared" si="740"/>
        <v>NO APLICA</v>
      </c>
      <c r="KG214" s="5"/>
      <c r="KH214" s="6"/>
      <c r="KI214" s="6"/>
      <c r="KJ214" s="6"/>
      <c r="KK214" s="5" t="str">
        <f t="shared" si="760"/>
        <v>NO APLICA</v>
      </c>
      <c r="KL214" s="5"/>
      <c r="KM214" s="6"/>
      <c r="KN214" s="6"/>
      <c r="KO214" s="6"/>
      <c r="KP214" s="5" t="str">
        <f t="shared" si="741"/>
        <v>NO APLICA</v>
      </c>
      <c r="KQ214" s="5"/>
      <c r="KR214" s="6"/>
      <c r="KS214" s="6"/>
      <c r="KT214" s="6"/>
      <c r="KU214" s="5" t="str">
        <f t="shared" si="761"/>
        <v>NO APLICA</v>
      </c>
      <c r="KV214" s="6"/>
      <c r="KW214" s="6"/>
      <c r="KX214" s="6"/>
      <c r="KY214" s="6"/>
      <c r="KZ214" s="5" t="str">
        <f t="shared" si="767"/>
        <v>NO APLICA</v>
      </c>
      <c r="LA214" s="5"/>
      <c r="LB214" s="6"/>
      <c r="LC214" s="6"/>
      <c r="LD214" s="6"/>
      <c r="LE214" s="5" t="str">
        <f t="shared" si="762"/>
        <v>NO APLICA</v>
      </c>
      <c r="LF214" s="6"/>
      <c r="LG214" s="6"/>
      <c r="LH214" s="6"/>
      <c r="LI214" s="6"/>
      <c r="LJ214" s="5" t="str">
        <f t="shared" si="600"/>
        <v>NO APLICA</v>
      </c>
      <c r="LK214" s="5"/>
      <c r="LL214" s="5"/>
      <c r="LM214" s="4"/>
      <c r="LN214" s="8"/>
      <c r="LO214" s="5" t="str">
        <f t="shared" si="768"/>
        <v>NO APLICA</v>
      </c>
      <c r="LP214" s="6"/>
      <c r="LQ214" s="6"/>
      <c r="LR214" s="6"/>
      <c r="LS214" s="6"/>
      <c r="LT214" s="5" t="str">
        <f t="shared" si="763"/>
        <v>NO APLICA</v>
      </c>
      <c r="LU214" s="6"/>
      <c r="LV214" s="6"/>
      <c r="LW214" s="6"/>
      <c r="LX214" s="6"/>
      <c r="LY214" s="5" t="str">
        <f t="shared" si="764"/>
        <v>NO APLICA</v>
      </c>
      <c r="LZ214" s="6"/>
      <c r="MA214" s="6"/>
      <c r="MB214" s="6"/>
      <c r="MC214" s="6"/>
      <c r="MD214" s="5" t="str">
        <f t="shared" si="765"/>
        <v>NO APLICA</v>
      </c>
      <c r="ME214" s="6"/>
      <c r="MF214" s="6"/>
      <c r="MG214" s="6"/>
      <c r="MH214" s="6"/>
      <c r="MI214" s="5" t="str">
        <f t="shared" si="742"/>
        <v>NO APLICA</v>
      </c>
      <c r="MJ214" s="6"/>
      <c r="MK214" s="6"/>
      <c r="ML214" s="6"/>
      <c r="MM214" s="6"/>
      <c r="MN214" s="5" t="str">
        <f t="shared" si="743"/>
        <v>NO APLICA</v>
      </c>
      <c r="MO214" s="5"/>
      <c r="MP214" s="6"/>
      <c r="MQ214" s="6"/>
      <c r="MR214" s="6"/>
      <c r="MS214" s="5" t="str">
        <f t="shared" si="744"/>
        <v>NO APLICA</v>
      </c>
      <c r="MT214" s="5"/>
      <c r="MU214" s="6"/>
      <c r="MV214" s="6"/>
      <c r="MW214" s="6"/>
      <c r="MX214" s="5" t="str">
        <f t="shared" si="745"/>
        <v>NO APLICA</v>
      </c>
      <c r="MY214" s="6"/>
      <c r="MZ214" s="6"/>
      <c r="NA214" s="6"/>
      <c r="NB214" s="6"/>
      <c r="NC214" s="5" t="str">
        <f t="shared" si="746"/>
        <v>NO APLICA</v>
      </c>
      <c r="ND214" s="6"/>
      <c r="NE214" s="6"/>
      <c r="NF214" s="6"/>
      <c r="NG214" s="6"/>
      <c r="NH214" s="5" t="str">
        <f t="shared" si="747"/>
        <v>NO APLICA</v>
      </c>
      <c r="NI214" s="6"/>
      <c r="NJ214" s="6"/>
      <c r="NK214" s="6"/>
      <c r="NL214" s="6"/>
      <c r="NM214" s="5" t="str">
        <f t="shared" si="748"/>
        <v>NO APLICA</v>
      </c>
      <c r="NN214" s="6"/>
      <c r="NO214" s="6"/>
      <c r="NP214" s="6"/>
      <c r="NQ214" s="6"/>
      <c r="NR214" s="5" t="str">
        <f t="shared" si="749"/>
        <v>NO APLICA</v>
      </c>
      <c r="NS214" s="6"/>
      <c r="NT214" s="6"/>
      <c r="NU214" s="6"/>
      <c r="NV214" s="6"/>
      <c r="NW214" s="5" t="str">
        <f t="shared" si="750"/>
        <v>NO APLICA</v>
      </c>
      <c r="NX214" s="6"/>
      <c r="NY214" s="6"/>
      <c r="NZ214" s="6"/>
      <c r="OA214" s="6"/>
      <c r="OB214" s="5" t="str">
        <f t="shared" si="751"/>
        <v>NO APLICA</v>
      </c>
      <c r="OC214" s="6"/>
      <c r="OD214" s="6"/>
      <c r="OE214" s="6"/>
      <c r="OF214" s="6"/>
      <c r="OG214" s="5" t="str">
        <f t="shared" si="752"/>
        <v>NO APLICA</v>
      </c>
      <c r="OH214" s="6"/>
      <c r="OI214" s="6"/>
      <c r="OJ214" s="6"/>
      <c r="OK214" s="6"/>
      <c r="OL214" s="5" t="str">
        <f t="shared" si="753"/>
        <v>NO APLICA</v>
      </c>
      <c r="OM214" s="6"/>
      <c r="ON214" s="6"/>
      <c r="OO214" s="6"/>
      <c r="OP214" s="6"/>
      <c r="OQ214" s="5" t="str">
        <f t="shared" si="754"/>
        <v>NO APLICA</v>
      </c>
      <c r="OR214" s="6"/>
      <c r="OS214" s="6"/>
      <c r="OT214" s="6"/>
      <c r="OU214" s="6"/>
      <c r="OV214" s="5" t="str">
        <f t="shared" si="755"/>
        <v>NO APLICA</v>
      </c>
      <c r="OW214" s="6"/>
      <c r="OX214" s="6"/>
      <c r="OY214" s="6"/>
      <c r="OZ214" s="6"/>
      <c r="PA214" s="5" t="str">
        <f t="shared" si="769"/>
        <v>NO APLICA</v>
      </c>
      <c r="PB214" s="6"/>
      <c r="PC214" s="6"/>
      <c r="PD214" s="6"/>
      <c r="PE214" s="6"/>
      <c r="PF214" s="5" t="str">
        <f t="shared" si="756"/>
        <v>NO APLICA</v>
      </c>
      <c r="PG214" s="6"/>
      <c r="PH214" s="6"/>
      <c r="PI214" s="6"/>
      <c r="PJ214" s="6"/>
      <c r="PK214" s="5" t="str">
        <f t="shared" si="757"/>
        <v>NO APLICA</v>
      </c>
      <c r="PL214" s="5"/>
      <c r="PM214" s="6"/>
      <c r="PN214" s="6"/>
      <c r="PO214" s="6"/>
      <c r="PP214" s="5" t="str">
        <f t="shared" si="766"/>
        <v>NO APLICA</v>
      </c>
      <c r="PQ214" s="6"/>
      <c r="PR214" s="6"/>
      <c r="PS214" s="6"/>
      <c r="PT214" s="6"/>
      <c r="PU214" s="5" t="str">
        <f t="shared" si="758"/>
        <v>NO APLICA</v>
      </c>
      <c r="PV214" s="5"/>
      <c r="PW214" s="6"/>
      <c r="PX214" s="6"/>
      <c r="PY214" s="6"/>
      <c r="PZ214" s="5" t="str">
        <f t="shared" si="759"/>
        <v>NO APLICA</v>
      </c>
    </row>
    <row r="215" spans="1:442" ht="15.6" hidden="1" thickTop="1" thickBot="1" x14ac:dyDescent="0.35">
      <c r="A215" s="26">
        <v>212</v>
      </c>
      <c r="B215" s="31">
        <v>1620</v>
      </c>
      <c r="C215" s="28" t="s">
        <v>651</v>
      </c>
      <c r="D215" s="29" t="s">
        <v>68</v>
      </c>
      <c r="E215" s="30" t="s">
        <v>615</v>
      </c>
      <c r="F215" s="6"/>
      <c r="G215" s="6"/>
      <c r="H215" s="6"/>
      <c r="I215" s="6"/>
      <c r="J215" s="5" t="str">
        <f t="shared" si="696"/>
        <v>NO APLICA</v>
      </c>
      <c r="K215" s="6"/>
      <c r="L215" s="6"/>
      <c r="M215" s="6"/>
      <c r="N215" s="6"/>
      <c r="O215" s="5" t="str">
        <f t="shared" si="699"/>
        <v>NO APLICA</v>
      </c>
      <c r="P215" s="6"/>
      <c r="Q215" s="6"/>
      <c r="R215" s="6"/>
      <c r="S215" s="6"/>
      <c r="T215" s="5" t="str">
        <f t="shared" si="697"/>
        <v>NO APLICA</v>
      </c>
      <c r="U215" s="5"/>
      <c r="V215" s="6"/>
      <c r="W215" s="4">
        <v>44772</v>
      </c>
      <c r="X215" s="4">
        <f>DATE(YEAR(W215)+5,MONTH(W215),DAY(W215))</f>
        <v>46598</v>
      </c>
      <c r="Y215" s="8">
        <f ca="1">X215-TODAY()</f>
        <v>453</v>
      </c>
      <c r="Z215" s="5" t="str">
        <f t="shared" ca="1" si="605"/>
        <v>VIGENTE</v>
      </c>
      <c r="AA215" s="5"/>
      <c r="AB215" s="6" t="s">
        <v>652</v>
      </c>
      <c r="AC215" s="4">
        <v>44988</v>
      </c>
      <c r="AD215" s="4">
        <f>DATE(YEAR(AC215)+5,MONTH(AC215),DAY(AC215))</f>
        <v>46815</v>
      </c>
      <c r="AE215" s="8">
        <f ca="1">AD215-TODAY()</f>
        <v>670</v>
      </c>
      <c r="AF215" s="5" t="str">
        <f t="shared" ca="1" si="700"/>
        <v>VIGENTE</v>
      </c>
      <c r="AG215" s="4"/>
      <c r="AH215" s="4"/>
      <c r="AI215" s="4"/>
      <c r="AJ215" s="6"/>
      <c r="AK215" s="5" t="str">
        <f t="shared" si="602"/>
        <v>NO APLICA</v>
      </c>
      <c r="AL215" s="4"/>
      <c r="AM215" s="4"/>
      <c r="AN215" s="4"/>
      <c r="AO215" s="6"/>
      <c r="AP215" s="5" t="str">
        <f t="shared" si="701"/>
        <v>NO APLICA</v>
      </c>
      <c r="AQ215" s="4"/>
      <c r="AR215" s="4"/>
      <c r="AS215" s="4"/>
      <c r="AT215" s="6"/>
      <c r="AU215" s="5" t="str">
        <f t="shared" si="702"/>
        <v>NO APLICA</v>
      </c>
      <c r="AV215" s="4"/>
      <c r="AW215" s="4"/>
      <c r="AX215" s="4"/>
      <c r="AY215" s="6"/>
      <c r="AZ215" s="5" t="str">
        <f t="shared" si="703"/>
        <v>NO APLICA</v>
      </c>
      <c r="BA215" s="4"/>
      <c r="BB215" s="4"/>
      <c r="BC215" s="4"/>
      <c r="BD215" s="6"/>
      <c r="BE215" s="5" t="str">
        <f t="shared" si="704"/>
        <v>NO APLICA</v>
      </c>
      <c r="BF215" s="4"/>
      <c r="BG215" s="4"/>
      <c r="BH215" s="4"/>
      <c r="BI215" s="6"/>
      <c r="BJ215" s="5" t="str">
        <f t="shared" si="705"/>
        <v>NO APLICA</v>
      </c>
      <c r="BK215" s="4"/>
      <c r="BL215" s="4"/>
      <c r="BM215" s="4"/>
      <c r="BN215" s="6"/>
      <c r="BO215" s="5" t="str">
        <f t="shared" si="706"/>
        <v>NO APLICA</v>
      </c>
      <c r="BP215" s="4"/>
      <c r="BQ215" s="4"/>
      <c r="BR215" s="4"/>
      <c r="BS215" s="6"/>
      <c r="BT215" s="5" t="str">
        <f t="shared" si="707"/>
        <v>NO APLICA</v>
      </c>
      <c r="BU215" s="4"/>
      <c r="BV215" s="4"/>
      <c r="BW215" s="4"/>
      <c r="BX215" s="6"/>
      <c r="BY215" s="5" t="str">
        <f t="shared" si="708"/>
        <v>NO APLICA</v>
      </c>
      <c r="BZ215" s="4"/>
      <c r="CA215" s="4"/>
      <c r="CB215" s="4"/>
      <c r="CC215" s="6"/>
      <c r="CD215" s="5" t="str">
        <f t="shared" si="709"/>
        <v>NO APLICA</v>
      </c>
      <c r="CE215" s="6"/>
      <c r="CF215" s="4">
        <v>44775</v>
      </c>
      <c r="CG215" s="4">
        <f>DATE(YEAR(CF215)+4,MONTH(CF215),DAY(CF215))</f>
        <v>46236</v>
      </c>
      <c r="CH215" s="8">
        <f ca="1">CG215-TODAY()</f>
        <v>91</v>
      </c>
      <c r="CI215" s="5" t="str">
        <f ca="1">IF(CH215&gt;=90,"VIGENTE",IF(CH215&gt;=1,"POR VENCER",IF(CH215&lt;=-1,"VENCIDA",IF(CH215=0,"NO APLICA"))))</f>
        <v>VIGENTE</v>
      </c>
      <c r="CJ215" s="4"/>
      <c r="CK215" s="4"/>
      <c r="CL215" s="4"/>
      <c r="CM215" s="6"/>
      <c r="CN215" s="5" t="str">
        <f t="shared" si="710"/>
        <v>NO APLICA</v>
      </c>
      <c r="CO215" s="4"/>
      <c r="CP215" s="4"/>
      <c r="CQ215" s="4"/>
      <c r="CR215" s="6"/>
      <c r="CS215" s="5" t="str">
        <f t="shared" si="711"/>
        <v>NO APLICA</v>
      </c>
      <c r="CT215" s="4"/>
      <c r="CU215" s="4"/>
      <c r="CV215" s="4"/>
      <c r="CW215" s="6"/>
      <c r="CX215" s="5" t="str">
        <f t="shared" si="712"/>
        <v>NO APLICA</v>
      </c>
      <c r="CY215" s="4"/>
      <c r="CZ215" s="4"/>
      <c r="DA215" s="4"/>
      <c r="DB215" s="6"/>
      <c r="DC215" s="5" t="str">
        <f t="shared" si="713"/>
        <v>NO APLICA</v>
      </c>
      <c r="DD215" s="4"/>
      <c r="DE215" s="4"/>
      <c r="DF215" s="4"/>
      <c r="DG215" s="6"/>
      <c r="DH215" s="5" t="str">
        <f t="shared" si="714"/>
        <v>NO APLICA</v>
      </c>
      <c r="DI215" s="4"/>
      <c r="DJ215" s="4"/>
      <c r="DK215" s="4"/>
      <c r="DL215" s="6"/>
      <c r="DM215" s="5" t="str">
        <f t="shared" si="715"/>
        <v>NO APLICA</v>
      </c>
      <c r="DN215" s="4"/>
      <c r="DO215" s="4"/>
      <c r="DP215" s="4"/>
      <c r="DQ215" s="6"/>
      <c r="DR215" s="5" t="str">
        <f t="shared" si="716"/>
        <v>NO APLICA</v>
      </c>
      <c r="DS215" s="4"/>
      <c r="DT215" s="4"/>
      <c r="DU215" s="4"/>
      <c r="DV215" s="6"/>
      <c r="DW215" s="5" t="str">
        <f t="shared" si="717"/>
        <v>NO APLICA</v>
      </c>
      <c r="DX215" s="4"/>
      <c r="DY215" s="4"/>
      <c r="DZ215" s="4"/>
      <c r="EA215" s="6"/>
      <c r="EB215" s="5" t="str">
        <f t="shared" si="718"/>
        <v>NO APLICA</v>
      </c>
      <c r="EC215" s="4"/>
      <c r="ED215" s="4"/>
      <c r="EE215" s="4"/>
      <c r="EF215" s="6"/>
      <c r="EG215" s="5" t="str">
        <f t="shared" si="719"/>
        <v>NO APLICA</v>
      </c>
      <c r="EH215" s="4"/>
      <c r="EI215" s="4"/>
      <c r="EJ215" s="4"/>
      <c r="EK215" s="8"/>
      <c r="EL215" s="5" t="str">
        <f t="shared" si="720"/>
        <v>NO APLICA</v>
      </c>
      <c r="EM215" s="4"/>
      <c r="EN215" s="4"/>
      <c r="EO215" s="4"/>
      <c r="EP215" s="8"/>
      <c r="EQ215" s="5" t="str">
        <f t="shared" si="721"/>
        <v>NO APLICA</v>
      </c>
      <c r="ER215" s="4"/>
      <c r="ES215" s="4"/>
      <c r="ET215" s="4"/>
      <c r="EU215" s="8"/>
      <c r="EV215" s="5" t="str">
        <f t="shared" si="722"/>
        <v>NO APLICA</v>
      </c>
      <c r="EW215" s="4"/>
      <c r="EX215" s="4"/>
      <c r="EY215" s="4"/>
      <c r="EZ215" s="6"/>
      <c r="FA215" s="5" t="str">
        <f t="shared" si="723"/>
        <v>NO APLICA</v>
      </c>
      <c r="FB215" s="4"/>
      <c r="FC215" s="4"/>
      <c r="FD215" s="4"/>
      <c r="FE215" s="6"/>
      <c r="FF215" s="5" t="str">
        <f t="shared" si="724"/>
        <v>NO APLICA</v>
      </c>
      <c r="FG215" s="4"/>
      <c r="FH215" s="4"/>
      <c r="FI215" s="4"/>
      <c r="FJ215" s="6"/>
      <c r="FK215" s="5" t="str">
        <f t="shared" si="725"/>
        <v>NO APLICA</v>
      </c>
      <c r="FL215" s="4"/>
      <c r="FM215" s="4"/>
      <c r="FN215" s="4"/>
      <c r="FO215" s="6"/>
      <c r="FP215" s="5" t="str">
        <f t="shared" si="726"/>
        <v>NO APLICA</v>
      </c>
      <c r="FQ215" s="4"/>
      <c r="FR215" s="4"/>
      <c r="FS215" s="4"/>
      <c r="FT215" s="6"/>
      <c r="FU215" s="5" t="str">
        <f t="shared" si="727"/>
        <v>NO APLICA</v>
      </c>
      <c r="FV215" s="4"/>
      <c r="FW215" s="4"/>
      <c r="FX215" s="4"/>
      <c r="FY215" s="6"/>
      <c r="FZ215" s="5" t="str">
        <f t="shared" si="728"/>
        <v>NO APLICA</v>
      </c>
      <c r="GA215" s="4"/>
      <c r="GB215" s="4"/>
      <c r="GC215" s="4"/>
      <c r="GD215" s="6"/>
      <c r="GE215" s="5" t="str">
        <f t="shared" si="729"/>
        <v>NO APLICA</v>
      </c>
      <c r="GF215" s="4"/>
      <c r="GG215" s="4"/>
      <c r="GH215" s="4"/>
      <c r="GI215" s="8"/>
      <c r="GJ215" s="5" t="str">
        <f t="shared" si="730"/>
        <v>NO APLICA</v>
      </c>
      <c r="GK215" s="4"/>
      <c r="GL215" s="6"/>
      <c r="GM215" s="6"/>
      <c r="GN215" s="6"/>
      <c r="GO215" s="5" t="str">
        <f t="shared" si="731"/>
        <v>NO APLICA</v>
      </c>
      <c r="GP215" s="4"/>
      <c r="GQ215" s="6"/>
      <c r="GR215" s="6"/>
      <c r="GS215" s="6"/>
      <c r="GT215" s="5" t="str">
        <f t="shared" si="610"/>
        <v>NO APLICA</v>
      </c>
      <c r="GU215" s="4"/>
      <c r="GV215" s="6"/>
      <c r="GW215" s="6"/>
      <c r="GX215" s="6"/>
      <c r="GY215" s="5" t="str">
        <f t="shared" si="611"/>
        <v>NO APLICA</v>
      </c>
      <c r="GZ215" s="6"/>
      <c r="HA215" s="6"/>
      <c r="HB215" s="6"/>
      <c r="HC215" s="6"/>
      <c r="HD215" s="5" t="str">
        <f t="shared" si="612"/>
        <v>NO APLICA</v>
      </c>
      <c r="HE215" s="6"/>
      <c r="HF215" s="6"/>
      <c r="HG215" s="4"/>
      <c r="HH215" s="8"/>
      <c r="HI215" s="5" t="str">
        <f t="shared" si="698"/>
        <v>NO APLICA</v>
      </c>
      <c r="HJ215" s="6"/>
      <c r="HK215" s="6"/>
      <c r="HL215" s="6"/>
      <c r="HM215" s="6"/>
      <c r="HN215" s="5" t="str">
        <f t="shared" si="694"/>
        <v>NO APLICA</v>
      </c>
      <c r="HO215" s="6"/>
      <c r="HP215" s="6"/>
      <c r="HQ215" s="6"/>
      <c r="HR215" s="6"/>
      <c r="HS215" s="5" t="str">
        <f t="shared" si="732"/>
        <v>NO APLICA</v>
      </c>
      <c r="HT215" s="6"/>
      <c r="HU215" s="6"/>
      <c r="HV215" s="6"/>
      <c r="HW215" s="6"/>
      <c r="HX215" s="5" t="str">
        <f t="shared" si="733"/>
        <v>NO APLICA</v>
      </c>
      <c r="HY215" s="6"/>
      <c r="HZ215" s="6"/>
      <c r="IA215" s="6"/>
      <c r="IB215" s="6"/>
      <c r="IC215" s="5" t="str">
        <f t="shared" si="734"/>
        <v>NO APLICA</v>
      </c>
      <c r="ID215" s="6"/>
      <c r="IE215" s="6"/>
      <c r="IF215" s="6"/>
      <c r="IG215" s="6"/>
      <c r="IH215" s="5" t="str">
        <f t="shared" si="735"/>
        <v>NO APLICA</v>
      </c>
      <c r="II215" s="6"/>
      <c r="IJ215" s="6"/>
      <c r="IK215" s="6"/>
      <c r="IL215" s="6"/>
      <c r="IM215" s="5" t="str">
        <f t="shared" si="736"/>
        <v>NO APLICA</v>
      </c>
      <c r="IN215" s="6"/>
      <c r="IO215" s="6"/>
      <c r="IP215" s="6"/>
      <c r="IQ215" s="6"/>
      <c r="IR215" s="5" t="str">
        <f t="shared" si="737"/>
        <v>NO APLICA</v>
      </c>
      <c r="IS215" s="6"/>
      <c r="IT215" s="6"/>
      <c r="IU215" s="6"/>
      <c r="IV215" s="6"/>
      <c r="IW215" s="5" t="str">
        <f t="shared" si="738"/>
        <v>NO APLICA</v>
      </c>
      <c r="IX215" s="6"/>
      <c r="IY215" s="6"/>
      <c r="IZ215" s="6"/>
      <c r="JA215" s="6"/>
      <c r="JB215" s="5" t="str">
        <f t="shared" si="739"/>
        <v>NO APLICA</v>
      </c>
      <c r="JC215" s="3" t="s">
        <v>780</v>
      </c>
      <c r="JD215" s="6"/>
      <c r="JE215" s="6"/>
      <c r="JF215" s="6"/>
      <c r="JG215" s="5"/>
      <c r="JH215" s="3" t="s">
        <v>780</v>
      </c>
      <c r="JI215" s="6"/>
      <c r="JJ215" s="6"/>
      <c r="JK215" s="6"/>
      <c r="JL215" s="5"/>
      <c r="JM215" s="6" t="s">
        <v>780</v>
      </c>
      <c r="JN215" s="6"/>
      <c r="JO215" s="6"/>
      <c r="JP215" s="6"/>
      <c r="JQ215" s="5"/>
      <c r="JR215" s="6" t="s">
        <v>780</v>
      </c>
      <c r="JS215" s="6"/>
      <c r="JT215" s="6"/>
      <c r="JU215" s="6"/>
      <c r="JV215" s="5"/>
      <c r="JW215" s="6" t="s">
        <v>780</v>
      </c>
      <c r="JX215" s="5"/>
      <c r="JY215" s="5"/>
      <c r="JZ215" s="5"/>
      <c r="KA215" s="5"/>
      <c r="KB215" s="5"/>
      <c r="KC215" s="6"/>
      <c r="KD215" s="6"/>
      <c r="KE215" s="6"/>
      <c r="KF215" s="5" t="str">
        <f t="shared" si="740"/>
        <v>NO APLICA</v>
      </c>
      <c r="KG215" s="5"/>
      <c r="KH215" s="6"/>
      <c r="KI215" s="6"/>
      <c r="KJ215" s="6"/>
      <c r="KK215" s="5" t="str">
        <f t="shared" si="760"/>
        <v>NO APLICA</v>
      </c>
      <c r="KL215" s="5"/>
      <c r="KM215" s="6"/>
      <c r="KN215" s="6"/>
      <c r="KO215" s="6"/>
      <c r="KP215" s="5" t="str">
        <f t="shared" si="741"/>
        <v>NO APLICA</v>
      </c>
      <c r="KQ215" s="5"/>
      <c r="KR215" s="6"/>
      <c r="KS215" s="6"/>
      <c r="KT215" s="6"/>
      <c r="KU215" s="5" t="str">
        <f t="shared" si="761"/>
        <v>NO APLICA</v>
      </c>
      <c r="KV215" s="6"/>
      <c r="KW215" s="6"/>
      <c r="KX215" s="6"/>
      <c r="KY215" s="6"/>
      <c r="KZ215" s="5" t="str">
        <f t="shared" si="767"/>
        <v>NO APLICA</v>
      </c>
      <c r="LA215" s="5"/>
      <c r="LB215" s="6"/>
      <c r="LC215" s="6"/>
      <c r="LD215" s="6"/>
      <c r="LE215" s="5" t="str">
        <f t="shared" si="762"/>
        <v>NO APLICA</v>
      </c>
      <c r="LF215" s="6"/>
      <c r="LG215" s="6"/>
      <c r="LH215" s="6"/>
      <c r="LI215" s="6"/>
      <c r="LJ215" s="5" t="str">
        <f t="shared" si="600"/>
        <v>NO APLICA</v>
      </c>
      <c r="LK215" s="5"/>
      <c r="LL215" s="5"/>
      <c r="LM215" s="4"/>
      <c r="LN215" s="8"/>
      <c r="LO215" s="5" t="str">
        <f t="shared" si="768"/>
        <v>NO APLICA</v>
      </c>
      <c r="LP215" s="6"/>
      <c r="LQ215" s="6"/>
      <c r="LR215" s="6"/>
      <c r="LS215" s="6"/>
      <c r="LT215" s="5" t="str">
        <f t="shared" si="763"/>
        <v>NO APLICA</v>
      </c>
      <c r="LU215" s="6"/>
      <c r="LV215" s="6"/>
      <c r="LW215" s="6"/>
      <c r="LX215" s="6"/>
      <c r="LY215" s="5" t="str">
        <f t="shared" si="764"/>
        <v>NO APLICA</v>
      </c>
      <c r="LZ215" s="6"/>
      <c r="MA215" s="6"/>
      <c r="MB215" s="6"/>
      <c r="MC215" s="6"/>
      <c r="MD215" s="5" t="str">
        <f t="shared" si="765"/>
        <v>NO APLICA</v>
      </c>
      <c r="ME215" s="6"/>
      <c r="MF215" s="6"/>
      <c r="MG215" s="6"/>
      <c r="MH215" s="6"/>
      <c r="MI215" s="5" t="str">
        <f t="shared" si="742"/>
        <v>NO APLICA</v>
      </c>
      <c r="MJ215" s="6"/>
      <c r="MK215" s="6"/>
      <c r="ML215" s="6"/>
      <c r="MM215" s="6"/>
      <c r="MN215" s="5" t="str">
        <f t="shared" si="743"/>
        <v>NO APLICA</v>
      </c>
      <c r="MO215" s="5"/>
      <c r="MP215" s="6"/>
      <c r="MQ215" s="6"/>
      <c r="MR215" s="6"/>
      <c r="MS215" s="5" t="str">
        <f t="shared" si="744"/>
        <v>NO APLICA</v>
      </c>
      <c r="MT215" s="5"/>
      <c r="MU215" s="6"/>
      <c r="MV215" s="6"/>
      <c r="MW215" s="6"/>
      <c r="MX215" s="5" t="str">
        <f t="shared" si="745"/>
        <v>NO APLICA</v>
      </c>
      <c r="MY215" s="6"/>
      <c r="MZ215" s="6"/>
      <c r="NA215" s="6"/>
      <c r="NB215" s="6"/>
      <c r="NC215" s="5" t="str">
        <f t="shared" si="746"/>
        <v>NO APLICA</v>
      </c>
      <c r="ND215" s="6"/>
      <c r="NE215" s="6"/>
      <c r="NF215" s="6"/>
      <c r="NG215" s="6"/>
      <c r="NH215" s="5" t="str">
        <f t="shared" si="747"/>
        <v>NO APLICA</v>
      </c>
      <c r="NI215" s="6"/>
      <c r="NJ215" s="6"/>
      <c r="NK215" s="6"/>
      <c r="NL215" s="6"/>
      <c r="NM215" s="5" t="str">
        <f t="shared" si="748"/>
        <v>NO APLICA</v>
      </c>
      <c r="NN215" s="6"/>
      <c r="NO215" s="6"/>
      <c r="NP215" s="6"/>
      <c r="NQ215" s="6"/>
      <c r="NR215" s="5" t="str">
        <f t="shared" si="749"/>
        <v>NO APLICA</v>
      </c>
      <c r="NS215" s="6"/>
      <c r="NT215" s="6"/>
      <c r="NU215" s="6"/>
      <c r="NV215" s="6"/>
      <c r="NW215" s="5" t="str">
        <f t="shared" si="750"/>
        <v>NO APLICA</v>
      </c>
      <c r="NX215" s="6"/>
      <c r="NY215" s="6"/>
      <c r="NZ215" s="6"/>
      <c r="OA215" s="6"/>
      <c r="OB215" s="5" t="str">
        <f t="shared" si="751"/>
        <v>NO APLICA</v>
      </c>
      <c r="OC215" s="6"/>
      <c r="OD215" s="6"/>
      <c r="OE215" s="6"/>
      <c r="OF215" s="6"/>
      <c r="OG215" s="5" t="str">
        <f t="shared" si="752"/>
        <v>NO APLICA</v>
      </c>
      <c r="OH215" s="6"/>
      <c r="OI215" s="6"/>
      <c r="OJ215" s="6"/>
      <c r="OK215" s="6"/>
      <c r="OL215" s="5" t="str">
        <f t="shared" si="753"/>
        <v>NO APLICA</v>
      </c>
      <c r="OM215" s="6"/>
      <c r="ON215" s="6"/>
      <c r="OO215" s="6"/>
      <c r="OP215" s="6"/>
      <c r="OQ215" s="5" t="str">
        <f t="shared" si="754"/>
        <v>NO APLICA</v>
      </c>
      <c r="OR215" s="6"/>
      <c r="OS215" s="6"/>
      <c r="OT215" s="6"/>
      <c r="OU215" s="6"/>
      <c r="OV215" s="5" t="str">
        <f t="shared" si="755"/>
        <v>NO APLICA</v>
      </c>
      <c r="OW215" s="6"/>
      <c r="OX215" s="6"/>
      <c r="OY215" s="6"/>
      <c r="OZ215" s="6"/>
      <c r="PA215" s="5" t="str">
        <f t="shared" si="769"/>
        <v>NO APLICA</v>
      </c>
      <c r="PB215" s="6"/>
      <c r="PC215" s="6"/>
      <c r="PD215" s="6"/>
      <c r="PE215" s="6"/>
      <c r="PF215" s="5" t="str">
        <f t="shared" si="756"/>
        <v>NO APLICA</v>
      </c>
      <c r="PG215" s="6"/>
      <c r="PH215" s="6"/>
      <c r="PI215" s="6"/>
      <c r="PJ215" s="6"/>
      <c r="PK215" s="5" t="str">
        <f t="shared" si="757"/>
        <v>NO APLICA</v>
      </c>
      <c r="PL215" s="5"/>
      <c r="PM215" s="6"/>
      <c r="PN215" s="6"/>
      <c r="PO215" s="6"/>
      <c r="PP215" s="5" t="str">
        <f t="shared" si="766"/>
        <v>NO APLICA</v>
      </c>
      <c r="PQ215" s="6"/>
      <c r="PR215" s="6"/>
      <c r="PS215" s="6"/>
      <c r="PT215" s="6"/>
      <c r="PU215" s="5" t="str">
        <f t="shared" si="758"/>
        <v>NO APLICA</v>
      </c>
      <c r="PV215" s="5"/>
      <c r="PW215" s="6"/>
      <c r="PX215" s="6"/>
      <c r="PY215" s="6"/>
      <c r="PZ215" s="5" t="str">
        <f t="shared" si="759"/>
        <v>NO APLICA</v>
      </c>
    </row>
    <row r="216" spans="1:442" ht="15.6" hidden="1" thickTop="1" thickBot="1" x14ac:dyDescent="0.35">
      <c r="A216" s="26">
        <v>213</v>
      </c>
      <c r="B216" s="31">
        <v>1563</v>
      </c>
      <c r="C216" s="28" t="s">
        <v>653</v>
      </c>
      <c r="D216" s="29" t="s">
        <v>113</v>
      </c>
      <c r="E216" s="30" t="s">
        <v>643</v>
      </c>
      <c r="F216" s="6"/>
      <c r="G216" s="6"/>
      <c r="H216" s="6"/>
      <c r="I216" s="6"/>
      <c r="J216" s="5" t="str">
        <f t="shared" si="696"/>
        <v>NO APLICA</v>
      </c>
      <c r="K216" s="6"/>
      <c r="L216" s="6"/>
      <c r="M216" s="6"/>
      <c r="N216" s="6"/>
      <c r="O216" s="5" t="str">
        <f t="shared" si="699"/>
        <v>NO APLICA</v>
      </c>
      <c r="P216" s="6"/>
      <c r="Q216" s="6"/>
      <c r="R216" s="6"/>
      <c r="S216" s="6"/>
      <c r="T216" s="5" t="str">
        <f t="shared" si="697"/>
        <v>NO APLICA</v>
      </c>
      <c r="U216" s="5"/>
      <c r="V216" s="6"/>
      <c r="W216" s="4"/>
      <c r="X216" s="4"/>
      <c r="Y216" s="8"/>
      <c r="Z216" s="5" t="str">
        <f t="shared" si="605"/>
        <v>NO APLICA</v>
      </c>
      <c r="AA216" s="5"/>
      <c r="AB216" s="6"/>
      <c r="AC216" s="6"/>
      <c r="AD216" s="6"/>
      <c r="AE216" s="6"/>
      <c r="AF216" s="5" t="str">
        <f t="shared" si="700"/>
        <v>NO APLICA</v>
      </c>
      <c r="AG216" s="4"/>
      <c r="AH216" s="4"/>
      <c r="AI216" s="4"/>
      <c r="AJ216" s="6"/>
      <c r="AK216" s="5" t="str">
        <f t="shared" si="602"/>
        <v>NO APLICA</v>
      </c>
      <c r="AL216" s="4"/>
      <c r="AM216" s="4"/>
      <c r="AN216" s="4"/>
      <c r="AO216" s="6"/>
      <c r="AP216" s="5" t="str">
        <f t="shared" si="701"/>
        <v>NO APLICA</v>
      </c>
      <c r="AQ216" s="4"/>
      <c r="AR216" s="4"/>
      <c r="AS216" s="4"/>
      <c r="AT216" s="6"/>
      <c r="AU216" s="5" t="str">
        <f t="shared" si="702"/>
        <v>NO APLICA</v>
      </c>
      <c r="AV216" s="4"/>
      <c r="AW216" s="4"/>
      <c r="AX216" s="4"/>
      <c r="AY216" s="6"/>
      <c r="AZ216" s="5" t="str">
        <f t="shared" si="703"/>
        <v>NO APLICA</v>
      </c>
      <c r="BA216" s="4"/>
      <c r="BB216" s="4"/>
      <c r="BC216" s="4"/>
      <c r="BD216" s="6"/>
      <c r="BE216" s="5" t="str">
        <f t="shared" si="704"/>
        <v>NO APLICA</v>
      </c>
      <c r="BF216" s="4"/>
      <c r="BG216" s="4"/>
      <c r="BH216" s="4"/>
      <c r="BI216" s="6"/>
      <c r="BJ216" s="5" t="str">
        <f t="shared" si="705"/>
        <v>NO APLICA</v>
      </c>
      <c r="BK216" s="4"/>
      <c r="BL216" s="4"/>
      <c r="BM216" s="4"/>
      <c r="BN216" s="6"/>
      <c r="BO216" s="5" t="str">
        <f t="shared" si="706"/>
        <v>NO APLICA</v>
      </c>
      <c r="BP216" s="4"/>
      <c r="BQ216" s="4"/>
      <c r="BR216" s="4"/>
      <c r="BS216" s="6"/>
      <c r="BT216" s="5" t="str">
        <f t="shared" si="707"/>
        <v>NO APLICA</v>
      </c>
      <c r="BU216" s="4"/>
      <c r="BV216" s="4"/>
      <c r="BW216" s="4"/>
      <c r="BX216" s="6"/>
      <c r="BY216" s="5" t="str">
        <f t="shared" si="708"/>
        <v>NO APLICA</v>
      </c>
      <c r="BZ216" s="4"/>
      <c r="CA216" s="4"/>
      <c r="CB216" s="4"/>
      <c r="CC216" s="6"/>
      <c r="CD216" s="5" t="str">
        <f t="shared" si="709"/>
        <v>NO APLICA</v>
      </c>
      <c r="CE216" s="6"/>
      <c r="CF216" s="6"/>
      <c r="CG216" s="6"/>
      <c r="CH216" s="6"/>
      <c r="CI216" s="5" t="str">
        <f t="shared" si="770"/>
        <v>NO APLICA</v>
      </c>
      <c r="CJ216" s="4"/>
      <c r="CK216" s="4"/>
      <c r="CL216" s="4"/>
      <c r="CM216" s="6"/>
      <c r="CN216" s="5" t="str">
        <f t="shared" si="710"/>
        <v>NO APLICA</v>
      </c>
      <c r="CO216" s="4"/>
      <c r="CP216" s="4"/>
      <c r="CQ216" s="4"/>
      <c r="CR216" s="6"/>
      <c r="CS216" s="5" t="str">
        <f t="shared" si="711"/>
        <v>NO APLICA</v>
      </c>
      <c r="CT216" s="4"/>
      <c r="CU216" s="4"/>
      <c r="CV216" s="4"/>
      <c r="CW216" s="6"/>
      <c r="CX216" s="5" t="str">
        <f t="shared" si="712"/>
        <v>NO APLICA</v>
      </c>
      <c r="CY216" s="4"/>
      <c r="CZ216" s="4"/>
      <c r="DA216" s="4"/>
      <c r="DB216" s="6"/>
      <c r="DC216" s="5" t="str">
        <f t="shared" si="713"/>
        <v>NO APLICA</v>
      </c>
      <c r="DD216" s="4"/>
      <c r="DE216" s="4"/>
      <c r="DF216" s="4"/>
      <c r="DG216" s="6"/>
      <c r="DH216" s="5" t="str">
        <f t="shared" si="714"/>
        <v>NO APLICA</v>
      </c>
      <c r="DI216" s="4"/>
      <c r="DJ216" s="4"/>
      <c r="DK216" s="4"/>
      <c r="DL216" s="6"/>
      <c r="DM216" s="5" t="str">
        <f t="shared" si="715"/>
        <v>NO APLICA</v>
      </c>
      <c r="DN216" s="4"/>
      <c r="DO216" s="4"/>
      <c r="DP216" s="4"/>
      <c r="DQ216" s="6"/>
      <c r="DR216" s="5" t="str">
        <f t="shared" si="716"/>
        <v>NO APLICA</v>
      </c>
      <c r="DS216" s="4"/>
      <c r="DT216" s="4"/>
      <c r="DU216" s="4"/>
      <c r="DV216" s="6"/>
      <c r="DW216" s="5" t="str">
        <f t="shared" si="717"/>
        <v>NO APLICA</v>
      </c>
      <c r="DX216" s="4"/>
      <c r="DY216" s="4"/>
      <c r="DZ216" s="4"/>
      <c r="EA216" s="6"/>
      <c r="EB216" s="5" t="str">
        <f t="shared" si="718"/>
        <v>NO APLICA</v>
      </c>
      <c r="EC216" s="4"/>
      <c r="ED216" s="4"/>
      <c r="EE216" s="4"/>
      <c r="EF216" s="6"/>
      <c r="EG216" s="5" t="str">
        <f t="shared" si="719"/>
        <v>NO APLICA</v>
      </c>
      <c r="EH216" s="4"/>
      <c r="EI216" s="4"/>
      <c r="EJ216" s="4"/>
      <c r="EK216" s="8"/>
      <c r="EL216" s="5" t="str">
        <f t="shared" si="720"/>
        <v>NO APLICA</v>
      </c>
      <c r="EM216" s="4"/>
      <c r="EN216" s="4"/>
      <c r="EO216" s="4"/>
      <c r="EP216" s="8"/>
      <c r="EQ216" s="5" t="str">
        <f t="shared" si="721"/>
        <v>NO APLICA</v>
      </c>
      <c r="ER216" s="4"/>
      <c r="ES216" s="4"/>
      <c r="ET216" s="4"/>
      <c r="EU216" s="8"/>
      <c r="EV216" s="5" t="str">
        <f t="shared" si="722"/>
        <v>NO APLICA</v>
      </c>
      <c r="EW216" s="4"/>
      <c r="EX216" s="4"/>
      <c r="EY216" s="4"/>
      <c r="EZ216" s="6"/>
      <c r="FA216" s="5" t="str">
        <f t="shared" si="723"/>
        <v>NO APLICA</v>
      </c>
      <c r="FB216" s="4"/>
      <c r="FC216" s="4"/>
      <c r="FD216" s="4"/>
      <c r="FE216" s="6"/>
      <c r="FF216" s="5" t="str">
        <f t="shared" si="724"/>
        <v>NO APLICA</v>
      </c>
      <c r="FG216" s="4"/>
      <c r="FH216" s="4"/>
      <c r="FI216" s="4"/>
      <c r="FJ216" s="6"/>
      <c r="FK216" s="5" t="str">
        <f t="shared" si="725"/>
        <v>NO APLICA</v>
      </c>
      <c r="FL216" s="4"/>
      <c r="FM216" s="4"/>
      <c r="FN216" s="4"/>
      <c r="FO216" s="6"/>
      <c r="FP216" s="5" t="str">
        <f t="shared" si="726"/>
        <v>NO APLICA</v>
      </c>
      <c r="FQ216" s="4"/>
      <c r="FR216" s="4"/>
      <c r="FS216" s="4"/>
      <c r="FT216" s="6"/>
      <c r="FU216" s="5" t="str">
        <f t="shared" si="727"/>
        <v>NO APLICA</v>
      </c>
      <c r="FV216" s="4"/>
      <c r="FW216" s="4"/>
      <c r="FX216" s="4"/>
      <c r="FY216" s="6"/>
      <c r="FZ216" s="5" t="str">
        <f t="shared" si="728"/>
        <v>NO APLICA</v>
      </c>
      <c r="GA216" s="4"/>
      <c r="GB216" s="4"/>
      <c r="GC216" s="4"/>
      <c r="GD216" s="6"/>
      <c r="GE216" s="5" t="str">
        <f t="shared" si="729"/>
        <v>NO APLICA</v>
      </c>
      <c r="GF216" s="4"/>
      <c r="GG216" s="4"/>
      <c r="GH216" s="4"/>
      <c r="GI216" s="8"/>
      <c r="GJ216" s="5" t="str">
        <f t="shared" si="730"/>
        <v>NO APLICA</v>
      </c>
      <c r="GK216" s="4"/>
      <c r="GL216" s="6"/>
      <c r="GM216" s="6"/>
      <c r="GN216" s="6"/>
      <c r="GO216" s="5" t="str">
        <f t="shared" si="731"/>
        <v>NO APLICA</v>
      </c>
      <c r="GP216" s="4"/>
      <c r="GQ216" s="6"/>
      <c r="GR216" s="6"/>
      <c r="GS216" s="6"/>
      <c r="GT216" s="5" t="str">
        <f t="shared" si="610"/>
        <v>NO APLICA</v>
      </c>
      <c r="GU216" s="4"/>
      <c r="GV216" s="6"/>
      <c r="GW216" s="6"/>
      <c r="GX216" s="6"/>
      <c r="GY216" s="5" t="str">
        <f t="shared" si="611"/>
        <v>NO APLICA</v>
      </c>
      <c r="GZ216" s="6"/>
      <c r="HA216" s="6"/>
      <c r="HB216" s="6"/>
      <c r="HC216" s="6"/>
      <c r="HD216" s="5" t="str">
        <f t="shared" si="612"/>
        <v>NO APLICA</v>
      </c>
      <c r="HE216" s="6"/>
      <c r="HF216" s="6"/>
      <c r="HG216" s="4"/>
      <c r="HH216" s="8"/>
      <c r="HI216" s="5" t="str">
        <f t="shared" si="698"/>
        <v>NO APLICA</v>
      </c>
      <c r="HJ216" s="6"/>
      <c r="HK216" s="6"/>
      <c r="HL216" s="6"/>
      <c r="HM216" s="6"/>
      <c r="HN216" s="5" t="str">
        <f t="shared" si="694"/>
        <v>NO APLICA</v>
      </c>
      <c r="HO216" s="6"/>
      <c r="HP216" s="6"/>
      <c r="HQ216" s="6"/>
      <c r="HR216" s="6"/>
      <c r="HS216" s="5" t="str">
        <f t="shared" si="732"/>
        <v>NO APLICA</v>
      </c>
      <c r="HT216" s="6"/>
      <c r="HU216" s="6"/>
      <c r="HV216" s="6"/>
      <c r="HW216" s="6"/>
      <c r="HX216" s="5" t="str">
        <f t="shared" si="733"/>
        <v>NO APLICA</v>
      </c>
      <c r="HY216" s="6"/>
      <c r="HZ216" s="6"/>
      <c r="IA216" s="6"/>
      <c r="IB216" s="6"/>
      <c r="IC216" s="5" t="str">
        <f t="shared" si="734"/>
        <v>NO APLICA</v>
      </c>
      <c r="ID216" s="6"/>
      <c r="IE216" s="6"/>
      <c r="IF216" s="6"/>
      <c r="IG216" s="6"/>
      <c r="IH216" s="5" t="str">
        <f t="shared" si="735"/>
        <v>NO APLICA</v>
      </c>
      <c r="II216" s="6"/>
      <c r="IJ216" s="6"/>
      <c r="IK216" s="6"/>
      <c r="IL216" s="6"/>
      <c r="IM216" s="5" t="str">
        <f t="shared" si="736"/>
        <v>NO APLICA</v>
      </c>
      <c r="IN216" s="6"/>
      <c r="IO216" s="6"/>
      <c r="IP216" s="6"/>
      <c r="IQ216" s="6"/>
      <c r="IR216" s="5" t="str">
        <f t="shared" si="737"/>
        <v>NO APLICA</v>
      </c>
      <c r="IS216" s="6"/>
      <c r="IT216" s="6"/>
      <c r="IU216" s="6"/>
      <c r="IV216" s="6"/>
      <c r="IW216" s="5" t="str">
        <f t="shared" si="738"/>
        <v>NO APLICA</v>
      </c>
      <c r="IX216" s="6"/>
      <c r="IY216" s="6"/>
      <c r="IZ216" s="6"/>
      <c r="JA216" s="6"/>
      <c r="JB216" s="5" t="str">
        <f t="shared" si="739"/>
        <v>NO APLICA</v>
      </c>
      <c r="JC216" s="3" t="s">
        <v>780</v>
      </c>
      <c r="JD216" s="6"/>
      <c r="JE216" s="6"/>
      <c r="JF216" s="6"/>
      <c r="JG216" s="5"/>
      <c r="JH216" s="3" t="s">
        <v>780</v>
      </c>
      <c r="JI216" s="6"/>
      <c r="JJ216" s="6"/>
      <c r="JK216" s="6"/>
      <c r="JL216" s="5"/>
      <c r="JM216" s="6" t="s">
        <v>780</v>
      </c>
      <c r="JN216" s="6"/>
      <c r="JO216" s="6"/>
      <c r="JP216" s="6"/>
      <c r="JQ216" s="5"/>
      <c r="JR216" s="6" t="s">
        <v>780</v>
      </c>
      <c r="JS216" s="6"/>
      <c r="JT216" s="6"/>
      <c r="JU216" s="6"/>
      <c r="JV216" s="5"/>
      <c r="JW216" s="6" t="s">
        <v>780</v>
      </c>
      <c r="JX216" s="5"/>
      <c r="JY216" s="5"/>
      <c r="JZ216" s="5"/>
      <c r="KA216" s="5"/>
      <c r="KB216" s="5"/>
      <c r="KC216" s="6"/>
      <c r="KD216" s="6"/>
      <c r="KE216" s="6"/>
      <c r="KF216" s="5" t="str">
        <f t="shared" si="740"/>
        <v>NO APLICA</v>
      </c>
      <c r="KG216" s="5"/>
      <c r="KH216" s="6"/>
      <c r="KI216" s="6"/>
      <c r="KJ216" s="6"/>
      <c r="KK216" s="5" t="str">
        <f t="shared" si="760"/>
        <v>NO APLICA</v>
      </c>
      <c r="KL216" s="5"/>
      <c r="KM216" s="6"/>
      <c r="KN216" s="6"/>
      <c r="KO216" s="6"/>
      <c r="KP216" s="5" t="str">
        <f t="shared" si="741"/>
        <v>NO APLICA</v>
      </c>
      <c r="KQ216" s="5"/>
      <c r="KR216" s="6"/>
      <c r="KS216" s="6"/>
      <c r="KT216" s="6"/>
      <c r="KU216" s="5" t="str">
        <f t="shared" si="761"/>
        <v>NO APLICA</v>
      </c>
      <c r="KV216" s="6"/>
      <c r="KW216" s="6"/>
      <c r="KX216" s="6"/>
      <c r="KY216" s="6"/>
      <c r="KZ216" s="5" t="str">
        <f t="shared" si="767"/>
        <v>NO APLICA</v>
      </c>
      <c r="LA216" s="5"/>
      <c r="LB216" s="6"/>
      <c r="LC216" s="6"/>
      <c r="LD216" s="6"/>
      <c r="LE216" s="5" t="str">
        <f t="shared" si="762"/>
        <v>NO APLICA</v>
      </c>
      <c r="LF216" s="6"/>
      <c r="LG216" s="6"/>
      <c r="LH216" s="6"/>
      <c r="LI216" s="6"/>
      <c r="LJ216" s="5" t="str">
        <f t="shared" si="600"/>
        <v>NO APLICA</v>
      </c>
      <c r="LK216" s="5"/>
      <c r="LL216" s="5"/>
      <c r="LM216" s="4"/>
      <c r="LN216" s="8"/>
      <c r="LO216" s="5" t="str">
        <f t="shared" si="768"/>
        <v>NO APLICA</v>
      </c>
      <c r="LP216" s="6"/>
      <c r="LQ216" s="6"/>
      <c r="LR216" s="6"/>
      <c r="LS216" s="6"/>
      <c r="LT216" s="5" t="str">
        <f t="shared" si="763"/>
        <v>NO APLICA</v>
      </c>
      <c r="LU216" s="6"/>
      <c r="LV216" s="6"/>
      <c r="LW216" s="6"/>
      <c r="LX216" s="6"/>
      <c r="LY216" s="5" t="str">
        <f t="shared" si="764"/>
        <v>NO APLICA</v>
      </c>
      <c r="LZ216" s="6"/>
      <c r="MA216" s="6"/>
      <c r="MB216" s="6"/>
      <c r="MC216" s="6"/>
      <c r="MD216" s="5" t="str">
        <f t="shared" si="765"/>
        <v>NO APLICA</v>
      </c>
      <c r="ME216" s="6"/>
      <c r="MF216" s="6"/>
      <c r="MG216" s="6"/>
      <c r="MH216" s="6"/>
      <c r="MI216" s="5" t="str">
        <f t="shared" si="742"/>
        <v>NO APLICA</v>
      </c>
      <c r="MJ216" s="6"/>
      <c r="MK216" s="6"/>
      <c r="ML216" s="6"/>
      <c r="MM216" s="6"/>
      <c r="MN216" s="5" t="str">
        <f t="shared" si="743"/>
        <v>NO APLICA</v>
      </c>
      <c r="MO216" s="5"/>
      <c r="MP216" s="6"/>
      <c r="MQ216" s="6"/>
      <c r="MR216" s="6"/>
      <c r="MS216" s="5" t="str">
        <f t="shared" si="744"/>
        <v>NO APLICA</v>
      </c>
      <c r="MT216" s="5"/>
      <c r="MU216" s="6"/>
      <c r="MV216" s="6"/>
      <c r="MW216" s="6"/>
      <c r="MX216" s="5" t="str">
        <f t="shared" si="745"/>
        <v>NO APLICA</v>
      </c>
      <c r="MY216" s="6"/>
      <c r="MZ216" s="6"/>
      <c r="NA216" s="6"/>
      <c r="NB216" s="6"/>
      <c r="NC216" s="5" t="str">
        <f t="shared" si="746"/>
        <v>NO APLICA</v>
      </c>
      <c r="ND216" s="6"/>
      <c r="NE216" s="6"/>
      <c r="NF216" s="6"/>
      <c r="NG216" s="6"/>
      <c r="NH216" s="5" t="str">
        <f t="shared" si="747"/>
        <v>NO APLICA</v>
      </c>
      <c r="NI216" s="6"/>
      <c r="NJ216" s="6"/>
      <c r="NK216" s="6"/>
      <c r="NL216" s="6"/>
      <c r="NM216" s="5" t="str">
        <f t="shared" si="748"/>
        <v>NO APLICA</v>
      </c>
      <c r="NN216" s="6"/>
      <c r="NO216" s="6"/>
      <c r="NP216" s="6"/>
      <c r="NQ216" s="6"/>
      <c r="NR216" s="5" t="str">
        <f t="shared" si="749"/>
        <v>NO APLICA</v>
      </c>
      <c r="NS216" s="6"/>
      <c r="NT216" s="6"/>
      <c r="NU216" s="6"/>
      <c r="NV216" s="6"/>
      <c r="NW216" s="5" t="str">
        <f t="shared" si="750"/>
        <v>NO APLICA</v>
      </c>
      <c r="NX216" s="6"/>
      <c r="NY216" s="6"/>
      <c r="NZ216" s="6"/>
      <c r="OA216" s="6"/>
      <c r="OB216" s="5" t="str">
        <f t="shared" si="751"/>
        <v>NO APLICA</v>
      </c>
      <c r="OC216" s="6"/>
      <c r="OD216" s="6"/>
      <c r="OE216" s="6"/>
      <c r="OF216" s="6"/>
      <c r="OG216" s="5" t="str">
        <f t="shared" si="752"/>
        <v>NO APLICA</v>
      </c>
      <c r="OH216" s="6"/>
      <c r="OI216" s="6"/>
      <c r="OJ216" s="6"/>
      <c r="OK216" s="6"/>
      <c r="OL216" s="5" t="str">
        <f t="shared" si="753"/>
        <v>NO APLICA</v>
      </c>
      <c r="OM216" s="6"/>
      <c r="ON216" s="6"/>
      <c r="OO216" s="6"/>
      <c r="OP216" s="6"/>
      <c r="OQ216" s="5" t="str">
        <f t="shared" si="754"/>
        <v>NO APLICA</v>
      </c>
      <c r="OR216" s="6"/>
      <c r="OS216" s="6"/>
      <c r="OT216" s="6"/>
      <c r="OU216" s="6"/>
      <c r="OV216" s="5" t="str">
        <f t="shared" si="755"/>
        <v>NO APLICA</v>
      </c>
      <c r="OW216" s="6"/>
      <c r="OX216" s="6"/>
      <c r="OY216" s="6"/>
      <c r="OZ216" s="6"/>
      <c r="PA216" s="5" t="str">
        <f t="shared" si="769"/>
        <v>NO APLICA</v>
      </c>
      <c r="PB216" s="6"/>
      <c r="PC216" s="6"/>
      <c r="PD216" s="6"/>
      <c r="PE216" s="6"/>
      <c r="PF216" s="5" t="str">
        <f t="shared" si="756"/>
        <v>NO APLICA</v>
      </c>
      <c r="PG216" s="6"/>
      <c r="PH216" s="6"/>
      <c r="PI216" s="6"/>
      <c r="PJ216" s="6"/>
      <c r="PK216" s="5" t="str">
        <f t="shared" si="757"/>
        <v>NO APLICA</v>
      </c>
      <c r="PL216" s="5"/>
      <c r="PM216" s="6"/>
      <c r="PN216" s="6"/>
      <c r="PO216" s="6"/>
      <c r="PP216" s="5" t="str">
        <f t="shared" si="766"/>
        <v>NO APLICA</v>
      </c>
      <c r="PQ216" s="6"/>
      <c r="PR216" s="6"/>
      <c r="PS216" s="6"/>
      <c r="PT216" s="6"/>
      <c r="PU216" s="5" t="str">
        <f t="shared" si="758"/>
        <v>NO APLICA</v>
      </c>
      <c r="PV216" s="5"/>
      <c r="PW216" s="6"/>
      <c r="PX216" s="6"/>
      <c r="PY216" s="6"/>
      <c r="PZ216" s="5" t="str">
        <f t="shared" si="759"/>
        <v>NO APLICA</v>
      </c>
    </row>
    <row r="217" spans="1:442" ht="15.6" hidden="1" thickTop="1" thickBot="1" x14ac:dyDescent="0.35">
      <c r="A217" s="26">
        <v>214</v>
      </c>
      <c r="B217" s="31">
        <v>610</v>
      </c>
      <c r="C217" s="28" t="s">
        <v>654</v>
      </c>
      <c r="D217" s="29" t="s">
        <v>633</v>
      </c>
      <c r="E217" s="30" t="s">
        <v>655</v>
      </c>
      <c r="F217" s="6"/>
      <c r="G217" s="6"/>
      <c r="H217" s="6"/>
      <c r="I217" s="6"/>
      <c r="J217" s="5" t="str">
        <f t="shared" si="696"/>
        <v>NO APLICA</v>
      </c>
      <c r="K217" s="6"/>
      <c r="L217" s="6"/>
      <c r="M217" s="6"/>
      <c r="N217" s="6"/>
      <c r="O217" s="5" t="str">
        <f t="shared" si="699"/>
        <v>NO APLICA</v>
      </c>
      <c r="P217" s="6"/>
      <c r="Q217" s="6"/>
      <c r="R217" s="6"/>
      <c r="S217" s="6"/>
      <c r="T217" s="5" t="str">
        <f t="shared" si="697"/>
        <v>NO APLICA</v>
      </c>
      <c r="U217" s="5"/>
      <c r="V217" s="6"/>
      <c r="W217" s="4"/>
      <c r="X217" s="4"/>
      <c r="Y217" s="8"/>
      <c r="Z217" s="5" t="str">
        <f t="shared" si="605"/>
        <v>NO APLICA</v>
      </c>
      <c r="AA217" s="5"/>
      <c r="AB217" s="6"/>
      <c r="AC217" s="6"/>
      <c r="AD217" s="6"/>
      <c r="AE217" s="6"/>
      <c r="AF217" s="5" t="str">
        <f t="shared" si="700"/>
        <v>NO APLICA</v>
      </c>
      <c r="AG217" s="4"/>
      <c r="AH217" s="4"/>
      <c r="AI217" s="4"/>
      <c r="AJ217" s="6"/>
      <c r="AK217" s="5" t="str">
        <f t="shared" si="602"/>
        <v>NO APLICA</v>
      </c>
      <c r="AL217" s="4"/>
      <c r="AM217" s="4"/>
      <c r="AN217" s="4"/>
      <c r="AO217" s="6"/>
      <c r="AP217" s="5" t="str">
        <f t="shared" si="701"/>
        <v>NO APLICA</v>
      </c>
      <c r="AQ217" s="4"/>
      <c r="AR217" s="4"/>
      <c r="AS217" s="4"/>
      <c r="AT217" s="6"/>
      <c r="AU217" s="5" t="str">
        <f t="shared" si="702"/>
        <v>NO APLICA</v>
      </c>
      <c r="AV217" s="4"/>
      <c r="AW217" s="4"/>
      <c r="AX217" s="4"/>
      <c r="AY217" s="6"/>
      <c r="AZ217" s="5" t="str">
        <f t="shared" si="703"/>
        <v>NO APLICA</v>
      </c>
      <c r="BA217" s="4"/>
      <c r="BB217" s="4"/>
      <c r="BC217" s="4"/>
      <c r="BD217" s="6"/>
      <c r="BE217" s="5" t="str">
        <f t="shared" si="704"/>
        <v>NO APLICA</v>
      </c>
      <c r="BF217" s="4"/>
      <c r="BG217" s="4"/>
      <c r="BH217" s="4"/>
      <c r="BI217" s="6"/>
      <c r="BJ217" s="5" t="str">
        <f t="shared" si="705"/>
        <v>NO APLICA</v>
      </c>
      <c r="BK217" s="4"/>
      <c r="BL217" s="4"/>
      <c r="BM217" s="4"/>
      <c r="BN217" s="6"/>
      <c r="BO217" s="5" t="str">
        <f t="shared" si="706"/>
        <v>NO APLICA</v>
      </c>
      <c r="BP217" s="4"/>
      <c r="BQ217" s="4"/>
      <c r="BR217" s="4"/>
      <c r="BS217" s="6"/>
      <c r="BT217" s="5" t="str">
        <f t="shared" si="707"/>
        <v>NO APLICA</v>
      </c>
      <c r="BU217" s="4"/>
      <c r="BV217" s="4"/>
      <c r="BW217" s="4"/>
      <c r="BX217" s="6"/>
      <c r="BY217" s="5" t="str">
        <f t="shared" si="708"/>
        <v>NO APLICA</v>
      </c>
      <c r="BZ217" s="4"/>
      <c r="CA217" s="4"/>
      <c r="CB217" s="4"/>
      <c r="CC217" s="6"/>
      <c r="CD217" s="5" t="str">
        <f t="shared" si="709"/>
        <v>NO APLICA</v>
      </c>
      <c r="CE217" s="6"/>
      <c r="CF217" s="6"/>
      <c r="CG217" s="6"/>
      <c r="CH217" s="6"/>
      <c r="CI217" s="5" t="str">
        <f t="shared" si="770"/>
        <v>NO APLICA</v>
      </c>
      <c r="CJ217" s="4"/>
      <c r="CK217" s="4"/>
      <c r="CL217" s="4"/>
      <c r="CM217" s="6"/>
      <c r="CN217" s="5" t="str">
        <f t="shared" si="710"/>
        <v>NO APLICA</v>
      </c>
      <c r="CO217" s="4"/>
      <c r="CP217" s="4"/>
      <c r="CQ217" s="4"/>
      <c r="CR217" s="6"/>
      <c r="CS217" s="5" t="str">
        <f t="shared" si="711"/>
        <v>NO APLICA</v>
      </c>
      <c r="CT217" s="4"/>
      <c r="CU217" s="4"/>
      <c r="CV217" s="4"/>
      <c r="CW217" s="6"/>
      <c r="CX217" s="5" t="str">
        <f t="shared" si="712"/>
        <v>NO APLICA</v>
      </c>
      <c r="CY217" s="4"/>
      <c r="CZ217" s="4"/>
      <c r="DA217" s="4"/>
      <c r="DB217" s="6"/>
      <c r="DC217" s="5" t="str">
        <f t="shared" si="713"/>
        <v>NO APLICA</v>
      </c>
      <c r="DD217" s="4"/>
      <c r="DE217" s="4"/>
      <c r="DF217" s="4"/>
      <c r="DG217" s="6"/>
      <c r="DH217" s="5" t="str">
        <f t="shared" si="714"/>
        <v>NO APLICA</v>
      </c>
      <c r="DI217" s="4"/>
      <c r="DJ217" s="4"/>
      <c r="DK217" s="4"/>
      <c r="DL217" s="6"/>
      <c r="DM217" s="5" t="str">
        <f t="shared" si="715"/>
        <v>NO APLICA</v>
      </c>
      <c r="DN217" s="4"/>
      <c r="DO217" s="4"/>
      <c r="DP217" s="4"/>
      <c r="DQ217" s="6"/>
      <c r="DR217" s="5" t="str">
        <f t="shared" si="716"/>
        <v>NO APLICA</v>
      </c>
      <c r="DS217" s="4"/>
      <c r="DT217" s="4"/>
      <c r="DU217" s="4"/>
      <c r="DV217" s="6"/>
      <c r="DW217" s="5" t="str">
        <f t="shared" si="717"/>
        <v>NO APLICA</v>
      </c>
      <c r="DX217" s="4"/>
      <c r="DY217" s="4"/>
      <c r="DZ217" s="4"/>
      <c r="EA217" s="6"/>
      <c r="EB217" s="5" t="str">
        <f t="shared" si="718"/>
        <v>NO APLICA</v>
      </c>
      <c r="EC217" s="4"/>
      <c r="ED217" s="4"/>
      <c r="EE217" s="4"/>
      <c r="EF217" s="6"/>
      <c r="EG217" s="5" t="str">
        <f t="shared" si="719"/>
        <v>NO APLICA</v>
      </c>
      <c r="EH217" s="4"/>
      <c r="EI217" s="4"/>
      <c r="EJ217" s="4"/>
      <c r="EK217" s="8"/>
      <c r="EL217" s="5" t="str">
        <f t="shared" si="720"/>
        <v>NO APLICA</v>
      </c>
      <c r="EM217" s="4"/>
      <c r="EN217" s="4"/>
      <c r="EO217" s="4"/>
      <c r="EP217" s="8"/>
      <c r="EQ217" s="5" t="str">
        <f t="shared" si="721"/>
        <v>NO APLICA</v>
      </c>
      <c r="ER217" s="4"/>
      <c r="ES217" s="4"/>
      <c r="ET217" s="4"/>
      <c r="EU217" s="8"/>
      <c r="EV217" s="5" t="str">
        <f t="shared" si="722"/>
        <v>NO APLICA</v>
      </c>
      <c r="EW217" s="4"/>
      <c r="EX217" s="4"/>
      <c r="EY217" s="4"/>
      <c r="EZ217" s="6"/>
      <c r="FA217" s="5" t="str">
        <f t="shared" si="723"/>
        <v>NO APLICA</v>
      </c>
      <c r="FB217" s="4"/>
      <c r="FC217" s="4"/>
      <c r="FD217" s="4"/>
      <c r="FE217" s="6"/>
      <c r="FF217" s="5" t="str">
        <f t="shared" si="724"/>
        <v>NO APLICA</v>
      </c>
      <c r="FG217" s="4"/>
      <c r="FH217" s="4"/>
      <c r="FI217" s="4"/>
      <c r="FJ217" s="6"/>
      <c r="FK217" s="5" t="str">
        <f t="shared" si="725"/>
        <v>NO APLICA</v>
      </c>
      <c r="FL217" s="4"/>
      <c r="FM217" s="4"/>
      <c r="FN217" s="4"/>
      <c r="FO217" s="6"/>
      <c r="FP217" s="5" t="str">
        <f t="shared" si="726"/>
        <v>NO APLICA</v>
      </c>
      <c r="FQ217" s="4"/>
      <c r="FR217" s="4"/>
      <c r="FS217" s="4"/>
      <c r="FT217" s="6"/>
      <c r="FU217" s="5" t="str">
        <f t="shared" si="727"/>
        <v>NO APLICA</v>
      </c>
      <c r="FV217" s="4"/>
      <c r="FW217" s="4"/>
      <c r="FX217" s="4"/>
      <c r="FY217" s="6"/>
      <c r="FZ217" s="5" t="str">
        <f t="shared" si="728"/>
        <v>NO APLICA</v>
      </c>
      <c r="GA217" s="4"/>
      <c r="GB217" s="4"/>
      <c r="GC217" s="4"/>
      <c r="GD217" s="6"/>
      <c r="GE217" s="5" t="str">
        <f t="shared" si="729"/>
        <v>NO APLICA</v>
      </c>
      <c r="GF217" s="4"/>
      <c r="GG217" s="4"/>
      <c r="GH217" s="4"/>
      <c r="GI217" s="8"/>
      <c r="GJ217" s="5" t="str">
        <f t="shared" si="730"/>
        <v>NO APLICA</v>
      </c>
      <c r="GK217" s="4"/>
      <c r="GL217" s="6"/>
      <c r="GM217" s="6"/>
      <c r="GN217" s="6"/>
      <c r="GO217" s="5" t="str">
        <f t="shared" si="731"/>
        <v>NO APLICA</v>
      </c>
      <c r="GP217" s="4"/>
      <c r="GQ217" s="6"/>
      <c r="GR217" s="6"/>
      <c r="GS217" s="6"/>
      <c r="GT217" s="5" t="str">
        <f t="shared" si="610"/>
        <v>NO APLICA</v>
      </c>
      <c r="GU217" s="4"/>
      <c r="GV217" s="6"/>
      <c r="GW217" s="6"/>
      <c r="GX217" s="6"/>
      <c r="GY217" s="5" t="str">
        <f t="shared" si="611"/>
        <v>NO APLICA</v>
      </c>
      <c r="GZ217" s="6"/>
      <c r="HA217" s="6"/>
      <c r="HB217" s="6"/>
      <c r="HC217" s="6"/>
      <c r="HD217" s="5" t="str">
        <f t="shared" si="612"/>
        <v>NO APLICA</v>
      </c>
      <c r="HE217" s="6"/>
      <c r="HF217" s="6"/>
      <c r="HG217" s="4"/>
      <c r="HH217" s="8"/>
      <c r="HI217" s="5" t="str">
        <f t="shared" si="698"/>
        <v>NO APLICA</v>
      </c>
      <c r="HJ217" s="6"/>
      <c r="HK217" s="6"/>
      <c r="HL217" s="6"/>
      <c r="HM217" s="6"/>
      <c r="HN217" s="5" t="str">
        <f t="shared" si="694"/>
        <v>NO APLICA</v>
      </c>
      <c r="HO217" s="6"/>
      <c r="HP217" s="6"/>
      <c r="HQ217" s="6"/>
      <c r="HR217" s="6"/>
      <c r="HS217" s="5" t="str">
        <f t="shared" si="732"/>
        <v>NO APLICA</v>
      </c>
      <c r="HT217" s="6"/>
      <c r="HU217" s="6"/>
      <c r="HV217" s="6"/>
      <c r="HW217" s="6"/>
      <c r="HX217" s="5" t="str">
        <f t="shared" si="733"/>
        <v>NO APLICA</v>
      </c>
      <c r="HY217" s="6"/>
      <c r="HZ217" s="6"/>
      <c r="IA217" s="6"/>
      <c r="IB217" s="6"/>
      <c r="IC217" s="5" t="str">
        <f t="shared" si="734"/>
        <v>NO APLICA</v>
      </c>
      <c r="ID217" s="6"/>
      <c r="IE217" s="6"/>
      <c r="IF217" s="6"/>
      <c r="IG217" s="6"/>
      <c r="IH217" s="5" t="str">
        <f t="shared" si="735"/>
        <v>NO APLICA</v>
      </c>
      <c r="II217" s="6"/>
      <c r="IJ217" s="6"/>
      <c r="IK217" s="6"/>
      <c r="IL217" s="6"/>
      <c r="IM217" s="5" t="str">
        <f t="shared" si="736"/>
        <v>NO APLICA</v>
      </c>
      <c r="IN217" s="6"/>
      <c r="IO217" s="6"/>
      <c r="IP217" s="6"/>
      <c r="IQ217" s="6"/>
      <c r="IR217" s="5" t="str">
        <f t="shared" si="737"/>
        <v>NO APLICA</v>
      </c>
      <c r="IS217" s="6"/>
      <c r="IT217" s="6"/>
      <c r="IU217" s="6"/>
      <c r="IV217" s="6"/>
      <c r="IW217" s="5" t="str">
        <f t="shared" si="738"/>
        <v>NO APLICA</v>
      </c>
      <c r="IX217" s="6"/>
      <c r="IY217" s="6"/>
      <c r="IZ217" s="6"/>
      <c r="JA217" s="6"/>
      <c r="JB217" s="5" t="str">
        <f t="shared" si="739"/>
        <v>NO APLICA</v>
      </c>
      <c r="JC217" s="3" t="s">
        <v>780</v>
      </c>
      <c r="JD217" s="3"/>
      <c r="JE217" s="6"/>
      <c r="JF217" s="6"/>
      <c r="JG217" s="5"/>
      <c r="JH217" s="3" t="s">
        <v>780</v>
      </c>
      <c r="JI217" s="6"/>
      <c r="JJ217" s="6"/>
      <c r="JK217" s="6"/>
      <c r="JL217" s="5"/>
      <c r="JM217" s="6" t="s">
        <v>780</v>
      </c>
      <c r="JN217" s="6"/>
      <c r="JO217" s="6"/>
      <c r="JP217" s="6"/>
      <c r="JQ217" s="5"/>
      <c r="JR217" s="6" t="s">
        <v>780</v>
      </c>
      <c r="JS217" s="4"/>
      <c r="JT217" s="6"/>
      <c r="JU217" s="6"/>
      <c r="JV217" s="5"/>
      <c r="JW217" s="6" t="s">
        <v>780</v>
      </c>
      <c r="JX217" s="3"/>
      <c r="JY217" s="4"/>
      <c r="JZ217" s="8"/>
      <c r="KA217" s="5"/>
      <c r="KB217" s="5"/>
      <c r="KC217" s="6"/>
      <c r="KD217" s="6"/>
      <c r="KE217" s="6"/>
      <c r="KF217" s="5" t="str">
        <f t="shared" si="740"/>
        <v>NO APLICA</v>
      </c>
      <c r="KG217" s="5"/>
      <c r="KH217" s="6"/>
      <c r="KI217" s="6"/>
      <c r="KJ217" s="6"/>
      <c r="KK217" s="5" t="str">
        <f t="shared" si="760"/>
        <v>NO APLICA</v>
      </c>
      <c r="KL217" s="5"/>
      <c r="KM217" s="6"/>
      <c r="KN217" s="6"/>
      <c r="KO217" s="6"/>
      <c r="KP217" s="5" t="str">
        <f t="shared" si="741"/>
        <v>NO APLICA</v>
      </c>
      <c r="KQ217" s="5"/>
      <c r="KR217" s="6"/>
      <c r="KS217" s="6"/>
      <c r="KT217" s="6"/>
      <c r="KU217" s="5" t="str">
        <f t="shared" si="761"/>
        <v>NO APLICA</v>
      </c>
      <c r="KV217" s="6"/>
      <c r="KW217" s="6"/>
      <c r="KX217" s="6"/>
      <c r="KY217" s="6"/>
      <c r="KZ217" s="5" t="str">
        <f t="shared" si="767"/>
        <v>NO APLICA</v>
      </c>
      <c r="LA217" s="5"/>
      <c r="LB217" s="6"/>
      <c r="LC217" s="6"/>
      <c r="LD217" s="6"/>
      <c r="LE217" s="5" t="str">
        <f t="shared" si="762"/>
        <v>NO APLICA</v>
      </c>
      <c r="LF217" s="6"/>
      <c r="LG217" s="6"/>
      <c r="LH217" s="6"/>
      <c r="LI217" s="6"/>
      <c r="LJ217" s="5" t="str">
        <f t="shared" si="600"/>
        <v>NO APLICA</v>
      </c>
      <c r="LK217" s="5"/>
      <c r="LL217" s="5"/>
      <c r="LM217" s="4"/>
      <c r="LN217" s="8"/>
      <c r="LO217" s="5" t="str">
        <f t="shared" si="768"/>
        <v>NO APLICA</v>
      </c>
      <c r="LP217" s="6"/>
      <c r="LQ217" s="6"/>
      <c r="LR217" s="6"/>
      <c r="LS217" s="6"/>
      <c r="LT217" s="5" t="str">
        <f t="shared" si="763"/>
        <v>NO APLICA</v>
      </c>
      <c r="LU217" s="6"/>
      <c r="LV217" s="6"/>
      <c r="LW217" s="6"/>
      <c r="LX217" s="6"/>
      <c r="LY217" s="5" t="str">
        <f t="shared" si="764"/>
        <v>NO APLICA</v>
      </c>
      <c r="LZ217" s="6"/>
      <c r="MA217" s="6"/>
      <c r="MB217" s="6"/>
      <c r="MC217" s="6"/>
      <c r="MD217" s="5" t="str">
        <f t="shared" si="765"/>
        <v>NO APLICA</v>
      </c>
      <c r="ME217" s="6"/>
      <c r="MF217" s="6"/>
      <c r="MG217" s="6"/>
      <c r="MH217" s="6"/>
      <c r="MI217" s="5" t="str">
        <f t="shared" si="742"/>
        <v>NO APLICA</v>
      </c>
      <c r="MJ217" s="6"/>
      <c r="MK217" s="6"/>
      <c r="ML217" s="6"/>
      <c r="MM217" s="6"/>
      <c r="MN217" s="5" t="str">
        <f t="shared" si="743"/>
        <v>NO APLICA</v>
      </c>
      <c r="MO217" s="5"/>
      <c r="MP217" s="6"/>
      <c r="MQ217" s="6"/>
      <c r="MR217" s="6"/>
      <c r="MS217" s="5" t="str">
        <f t="shared" si="744"/>
        <v>NO APLICA</v>
      </c>
      <c r="MT217" s="5"/>
      <c r="MU217" s="6"/>
      <c r="MV217" s="6"/>
      <c r="MW217" s="6"/>
      <c r="MX217" s="5" t="str">
        <f t="shared" si="745"/>
        <v>NO APLICA</v>
      </c>
      <c r="MY217" s="6"/>
      <c r="MZ217" s="6"/>
      <c r="NA217" s="6"/>
      <c r="NB217" s="6"/>
      <c r="NC217" s="5" t="str">
        <f t="shared" si="746"/>
        <v>NO APLICA</v>
      </c>
      <c r="ND217" s="6"/>
      <c r="NE217" s="6"/>
      <c r="NF217" s="6"/>
      <c r="NG217" s="6"/>
      <c r="NH217" s="5" t="str">
        <f t="shared" si="747"/>
        <v>NO APLICA</v>
      </c>
      <c r="NI217" s="6"/>
      <c r="NJ217" s="6"/>
      <c r="NK217" s="6"/>
      <c r="NL217" s="6"/>
      <c r="NM217" s="5" t="str">
        <f t="shared" si="748"/>
        <v>NO APLICA</v>
      </c>
      <c r="NN217" s="6"/>
      <c r="NO217" s="6"/>
      <c r="NP217" s="6"/>
      <c r="NQ217" s="6"/>
      <c r="NR217" s="5" t="str">
        <f t="shared" si="749"/>
        <v>NO APLICA</v>
      </c>
      <c r="NS217" s="6"/>
      <c r="NT217" s="6"/>
      <c r="NU217" s="6"/>
      <c r="NV217" s="6"/>
      <c r="NW217" s="5" t="str">
        <f t="shared" si="750"/>
        <v>NO APLICA</v>
      </c>
      <c r="NX217" s="6"/>
      <c r="NY217" s="6"/>
      <c r="NZ217" s="6"/>
      <c r="OA217" s="6"/>
      <c r="OB217" s="5" t="str">
        <f t="shared" si="751"/>
        <v>NO APLICA</v>
      </c>
      <c r="OC217" s="6"/>
      <c r="OD217" s="6"/>
      <c r="OE217" s="6"/>
      <c r="OF217" s="6"/>
      <c r="OG217" s="5" t="str">
        <f t="shared" si="752"/>
        <v>NO APLICA</v>
      </c>
      <c r="OH217" s="6"/>
      <c r="OI217" s="6"/>
      <c r="OJ217" s="6"/>
      <c r="OK217" s="6"/>
      <c r="OL217" s="5" t="str">
        <f t="shared" si="753"/>
        <v>NO APLICA</v>
      </c>
      <c r="OM217" s="6"/>
      <c r="ON217" s="6"/>
      <c r="OO217" s="6"/>
      <c r="OP217" s="6"/>
      <c r="OQ217" s="5" t="str">
        <f t="shared" si="754"/>
        <v>NO APLICA</v>
      </c>
      <c r="OR217" s="6"/>
      <c r="OS217" s="6"/>
      <c r="OT217" s="6"/>
      <c r="OU217" s="6"/>
      <c r="OV217" s="5" t="str">
        <f t="shared" si="755"/>
        <v>NO APLICA</v>
      </c>
      <c r="OW217" s="6"/>
      <c r="OX217" s="6"/>
      <c r="OY217" s="6"/>
      <c r="OZ217" s="6"/>
      <c r="PA217" s="5" t="str">
        <f t="shared" si="769"/>
        <v>NO APLICA</v>
      </c>
      <c r="PB217" s="6"/>
      <c r="PC217" s="6"/>
      <c r="PD217" s="6"/>
      <c r="PE217" s="6"/>
      <c r="PF217" s="5" t="str">
        <f t="shared" si="756"/>
        <v>NO APLICA</v>
      </c>
      <c r="PG217" s="6"/>
      <c r="PH217" s="6"/>
      <c r="PI217" s="6"/>
      <c r="PJ217" s="6"/>
      <c r="PK217" s="5" t="str">
        <f t="shared" si="757"/>
        <v>NO APLICA</v>
      </c>
      <c r="PL217" s="5"/>
      <c r="PM217" s="6"/>
      <c r="PN217" s="6"/>
      <c r="PO217" s="6"/>
      <c r="PP217" s="5" t="str">
        <f t="shared" si="766"/>
        <v>NO APLICA</v>
      </c>
      <c r="PQ217" s="6"/>
      <c r="PR217" s="6"/>
      <c r="PS217" s="6"/>
      <c r="PT217" s="6"/>
      <c r="PU217" s="5" t="str">
        <f t="shared" si="758"/>
        <v>NO APLICA</v>
      </c>
      <c r="PV217" s="5"/>
      <c r="PW217" s="6"/>
      <c r="PX217" s="6"/>
      <c r="PY217" s="6"/>
      <c r="PZ217" s="5" t="str">
        <f t="shared" si="759"/>
        <v>NO APLICA</v>
      </c>
    </row>
    <row r="218" spans="1:442" ht="15.6" hidden="1" thickTop="1" thickBot="1" x14ac:dyDescent="0.35">
      <c r="A218" s="26">
        <v>215</v>
      </c>
      <c r="B218" s="31">
        <v>1635</v>
      </c>
      <c r="C218" s="28" t="s">
        <v>656</v>
      </c>
      <c r="D218" s="29" t="s">
        <v>113</v>
      </c>
      <c r="E218" s="30" t="s">
        <v>657</v>
      </c>
      <c r="F218" s="6"/>
      <c r="G218" s="6"/>
      <c r="H218" s="6"/>
      <c r="I218" s="6"/>
      <c r="J218" s="5" t="str">
        <f t="shared" si="696"/>
        <v>NO APLICA</v>
      </c>
      <c r="K218" s="6"/>
      <c r="L218" s="6"/>
      <c r="M218" s="6"/>
      <c r="N218" s="6"/>
      <c r="O218" s="5" t="str">
        <f t="shared" si="699"/>
        <v>NO APLICA</v>
      </c>
      <c r="P218" s="6"/>
      <c r="Q218" s="6"/>
      <c r="R218" s="6"/>
      <c r="S218" s="6"/>
      <c r="T218" s="5" t="str">
        <f t="shared" si="697"/>
        <v>NO APLICA</v>
      </c>
      <c r="U218" s="5"/>
      <c r="V218" s="6"/>
      <c r="W218" s="4"/>
      <c r="X218" s="4"/>
      <c r="Y218" s="8"/>
      <c r="Z218" s="5" t="str">
        <f t="shared" si="605"/>
        <v>NO APLICA</v>
      </c>
      <c r="AA218" s="5"/>
      <c r="AB218" s="6"/>
      <c r="AC218" s="6"/>
      <c r="AD218" s="6"/>
      <c r="AE218" s="6"/>
      <c r="AF218" s="5" t="str">
        <f t="shared" si="700"/>
        <v>NO APLICA</v>
      </c>
      <c r="AG218" s="4"/>
      <c r="AH218" s="4"/>
      <c r="AI218" s="4"/>
      <c r="AJ218" s="6"/>
      <c r="AK218" s="5" t="str">
        <f t="shared" si="602"/>
        <v>NO APLICA</v>
      </c>
      <c r="AL218" s="4"/>
      <c r="AM218" s="4"/>
      <c r="AN218" s="4"/>
      <c r="AO218" s="6"/>
      <c r="AP218" s="5" t="str">
        <f t="shared" si="701"/>
        <v>NO APLICA</v>
      </c>
      <c r="AQ218" s="4"/>
      <c r="AR218" s="4"/>
      <c r="AS218" s="4"/>
      <c r="AT218" s="6"/>
      <c r="AU218" s="5" t="str">
        <f t="shared" si="702"/>
        <v>NO APLICA</v>
      </c>
      <c r="AV218" s="4"/>
      <c r="AW218" s="4"/>
      <c r="AX218" s="4"/>
      <c r="AY218" s="6"/>
      <c r="AZ218" s="5" t="str">
        <f t="shared" si="703"/>
        <v>NO APLICA</v>
      </c>
      <c r="BA218" s="4"/>
      <c r="BB218" s="4"/>
      <c r="BC218" s="4"/>
      <c r="BD218" s="6"/>
      <c r="BE218" s="5" t="str">
        <f t="shared" si="704"/>
        <v>NO APLICA</v>
      </c>
      <c r="BF218" s="4"/>
      <c r="BG218" s="4"/>
      <c r="BH218" s="4"/>
      <c r="BI218" s="6"/>
      <c r="BJ218" s="5" t="str">
        <f t="shared" si="705"/>
        <v>NO APLICA</v>
      </c>
      <c r="BK218" s="4"/>
      <c r="BL218" s="4"/>
      <c r="BM218" s="4"/>
      <c r="BN218" s="6"/>
      <c r="BO218" s="5" t="str">
        <f t="shared" si="706"/>
        <v>NO APLICA</v>
      </c>
      <c r="BP218" s="4"/>
      <c r="BQ218" s="4"/>
      <c r="BR218" s="4"/>
      <c r="BS218" s="6"/>
      <c r="BT218" s="5" t="str">
        <f t="shared" si="707"/>
        <v>NO APLICA</v>
      </c>
      <c r="BU218" s="4"/>
      <c r="BV218" s="4"/>
      <c r="BW218" s="4"/>
      <c r="BX218" s="6"/>
      <c r="BY218" s="5" t="str">
        <f t="shared" si="708"/>
        <v>NO APLICA</v>
      </c>
      <c r="BZ218" s="4"/>
      <c r="CA218" s="4"/>
      <c r="CB218" s="4"/>
      <c r="CC218" s="6"/>
      <c r="CD218" s="5" t="str">
        <f t="shared" si="709"/>
        <v>NO APLICA</v>
      </c>
      <c r="CE218" s="6"/>
      <c r="CF218" s="6"/>
      <c r="CG218" s="6"/>
      <c r="CH218" s="6"/>
      <c r="CI218" s="5" t="str">
        <f t="shared" si="770"/>
        <v>NO APLICA</v>
      </c>
      <c r="CJ218" s="4"/>
      <c r="CK218" s="4"/>
      <c r="CL218" s="4"/>
      <c r="CM218" s="6"/>
      <c r="CN218" s="5" t="str">
        <f t="shared" si="710"/>
        <v>NO APLICA</v>
      </c>
      <c r="CO218" s="4"/>
      <c r="CP218" s="4"/>
      <c r="CQ218" s="4"/>
      <c r="CR218" s="6"/>
      <c r="CS218" s="5" t="str">
        <f t="shared" si="711"/>
        <v>NO APLICA</v>
      </c>
      <c r="CT218" s="4"/>
      <c r="CU218" s="4"/>
      <c r="CV218" s="4"/>
      <c r="CW218" s="6"/>
      <c r="CX218" s="5" t="str">
        <f t="shared" si="712"/>
        <v>NO APLICA</v>
      </c>
      <c r="CY218" s="4"/>
      <c r="CZ218" s="4"/>
      <c r="DA218" s="4"/>
      <c r="DB218" s="6"/>
      <c r="DC218" s="5" t="str">
        <f t="shared" si="713"/>
        <v>NO APLICA</v>
      </c>
      <c r="DD218" s="4"/>
      <c r="DE218" s="4"/>
      <c r="DF218" s="4"/>
      <c r="DG218" s="6"/>
      <c r="DH218" s="5" t="str">
        <f t="shared" si="714"/>
        <v>NO APLICA</v>
      </c>
      <c r="DI218" s="4"/>
      <c r="DJ218" s="4"/>
      <c r="DK218" s="4"/>
      <c r="DL218" s="6"/>
      <c r="DM218" s="5" t="str">
        <f t="shared" si="715"/>
        <v>NO APLICA</v>
      </c>
      <c r="DN218" s="4"/>
      <c r="DO218" s="4"/>
      <c r="DP218" s="4"/>
      <c r="DQ218" s="6"/>
      <c r="DR218" s="5" t="str">
        <f t="shared" si="716"/>
        <v>NO APLICA</v>
      </c>
      <c r="DS218" s="4"/>
      <c r="DT218" s="4"/>
      <c r="DU218" s="4"/>
      <c r="DV218" s="6"/>
      <c r="DW218" s="5" t="str">
        <f t="shared" si="717"/>
        <v>NO APLICA</v>
      </c>
      <c r="DX218" s="4"/>
      <c r="DY218" s="4"/>
      <c r="DZ218" s="4"/>
      <c r="EA218" s="6"/>
      <c r="EB218" s="5" t="str">
        <f t="shared" si="718"/>
        <v>NO APLICA</v>
      </c>
      <c r="EC218" s="4"/>
      <c r="ED218" s="4"/>
      <c r="EE218" s="4"/>
      <c r="EF218" s="6"/>
      <c r="EG218" s="5" t="str">
        <f t="shared" si="719"/>
        <v>NO APLICA</v>
      </c>
      <c r="EH218" s="4"/>
      <c r="EI218" s="4"/>
      <c r="EJ218" s="4"/>
      <c r="EK218" s="8"/>
      <c r="EL218" s="5" t="str">
        <f t="shared" si="720"/>
        <v>NO APLICA</v>
      </c>
      <c r="EM218" s="4"/>
      <c r="EN218" s="4"/>
      <c r="EO218" s="4"/>
      <c r="EP218" s="8"/>
      <c r="EQ218" s="5" t="str">
        <f t="shared" si="721"/>
        <v>NO APLICA</v>
      </c>
      <c r="ER218" s="4"/>
      <c r="ES218" s="4"/>
      <c r="ET218" s="4"/>
      <c r="EU218" s="8"/>
      <c r="EV218" s="5" t="str">
        <f t="shared" si="722"/>
        <v>NO APLICA</v>
      </c>
      <c r="EW218" s="4"/>
      <c r="EX218" s="4"/>
      <c r="EY218" s="4"/>
      <c r="EZ218" s="6"/>
      <c r="FA218" s="5" t="str">
        <f t="shared" si="723"/>
        <v>NO APLICA</v>
      </c>
      <c r="FB218" s="4"/>
      <c r="FC218" s="4"/>
      <c r="FD218" s="4"/>
      <c r="FE218" s="6"/>
      <c r="FF218" s="5" t="str">
        <f t="shared" si="724"/>
        <v>NO APLICA</v>
      </c>
      <c r="FG218" s="4"/>
      <c r="FH218" s="4"/>
      <c r="FI218" s="4"/>
      <c r="FJ218" s="6"/>
      <c r="FK218" s="5" t="str">
        <f t="shared" si="725"/>
        <v>NO APLICA</v>
      </c>
      <c r="FL218" s="4"/>
      <c r="FM218" s="4"/>
      <c r="FN218" s="4"/>
      <c r="FO218" s="6"/>
      <c r="FP218" s="5" t="str">
        <f t="shared" si="726"/>
        <v>NO APLICA</v>
      </c>
      <c r="FQ218" s="4"/>
      <c r="FR218" s="4"/>
      <c r="FS218" s="4"/>
      <c r="FT218" s="6"/>
      <c r="FU218" s="5" t="str">
        <f t="shared" si="727"/>
        <v>NO APLICA</v>
      </c>
      <c r="FV218" s="4"/>
      <c r="FW218" s="4"/>
      <c r="FX218" s="4"/>
      <c r="FY218" s="6"/>
      <c r="FZ218" s="5" t="str">
        <f t="shared" si="728"/>
        <v>NO APLICA</v>
      </c>
      <c r="GA218" s="4"/>
      <c r="GB218" s="4"/>
      <c r="GC218" s="4"/>
      <c r="GD218" s="6"/>
      <c r="GE218" s="5" t="str">
        <f t="shared" si="729"/>
        <v>NO APLICA</v>
      </c>
      <c r="GF218" s="4"/>
      <c r="GG218" s="4"/>
      <c r="GH218" s="4"/>
      <c r="GI218" s="8"/>
      <c r="GJ218" s="5" t="str">
        <f t="shared" si="730"/>
        <v>NO APLICA</v>
      </c>
      <c r="GK218" s="4"/>
      <c r="GL218" s="6"/>
      <c r="GM218" s="6"/>
      <c r="GN218" s="6"/>
      <c r="GO218" s="5" t="str">
        <f t="shared" si="731"/>
        <v>NO APLICA</v>
      </c>
      <c r="GP218" s="4"/>
      <c r="GQ218" s="6"/>
      <c r="GR218" s="6"/>
      <c r="GS218" s="6"/>
      <c r="GT218" s="5" t="str">
        <f t="shared" si="610"/>
        <v>NO APLICA</v>
      </c>
      <c r="GU218" s="4"/>
      <c r="GV218" s="6"/>
      <c r="GW218" s="6"/>
      <c r="GX218" s="6"/>
      <c r="GY218" s="5" t="str">
        <f t="shared" si="611"/>
        <v>NO APLICA</v>
      </c>
      <c r="GZ218" s="6"/>
      <c r="HA218" s="6"/>
      <c r="HB218" s="6"/>
      <c r="HC218" s="6"/>
      <c r="HD218" s="5" t="str">
        <f t="shared" si="612"/>
        <v>NO APLICA</v>
      </c>
      <c r="HE218" s="6"/>
      <c r="HF218" s="6"/>
      <c r="HG218" s="4"/>
      <c r="HH218" s="8"/>
      <c r="HI218" s="5" t="str">
        <f t="shared" si="698"/>
        <v>NO APLICA</v>
      </c>
      <c r="HJ218" s="6"/>
      <c r="HK218" s="6"/>
      <c r="HL218" s="6"/>
      <c r="HM218" s="6"/>
      <c r="HN218" s="5" t="str">
        <f t="shared" si="694"/>
        <v>NO APLICA</v>
      </c>
      <c r="HO218" s="6"/>
      <c r="HP218" s="6"/>
      <c r="HQ218" s="6"/>
      <c r="HR218" s="6"/>
      <c r="HS218" s="5" t="str">
        <f t="shared" si="732"/>
        <v>NO APLICA</v>
      </c>
      <c r="HT218" s="6"/>
      <c r="HU218" s="6"/>
      <c r="HV218" s="6"/>
      <c r="HW218" s="6"/>
      <c r="HX218" s="5" t="str">
        <f t="shared" si="733"/>
        <v>NO APLICA</v>
      </c>
      <c r="HY218" s="6"/>
      <c r="HZ218" s="6"/>
      <c r="IA218" s="6"/>
      <c r="IB218" s="6"/>
      <c r="IC218" s="5" t="str">
        <f t="shared" si="734"/>
        <v>NO APLICA</v>
      </c>
      <c r="ID218" s="6"/>
      <c r="IE218" s="6"/>
      <c r="IF218" s="6"/>
      <c r="IG218" s="6"/>
      <c r="IH218" s="5" t="str">
        <f t="shared" si="735"/>
        <v>NO APLICA</v>
      </c>
      <c r="II218" s="6"/>
      <c r="IJ218" s="6"/>
      <c r="IK218" s="6"/>
      <c r="IL218" s="6"/>
      <c r="IM218" s="5" t="str">
        <f t="shared" si="736"/>
        <v>NO APLICA</v>
      </c>
      <c r="IN218" s="6"/>
      <c r="IO218" s="6"/>
      <c r="IP218" s="6"/>
      <c r="IQ218" s="6"/>
      <c r="IR218" s="5" t="str">
        <f t="shared" si="737"/>
        <v>NO APLICA</v>
      </c>
      <c r="IS218" s="6"/>
      <c r="IT218" s="6"/>
      <c r="IU218" s="6"/>
      <c r="IV218" s="6"/>
      <c r="IW218" s="5" t="str">
        <f t="shared" si="738"/>
        <v>NO APLICA</v>
      </c>
      <c r="IX218" s="6"/>
      <c r="IY218" s="6"/>
      <c r="IZ218" s="6"/>
      <c r="JA218" s="6"/>
      <c r="JB218" s="5" t="str">
        <f t="shared" si="739"/>
        <v>NO APLICA</v>
      </c>
      <c r="JC218" s="3" t="s">
        <v>780</v>
      </c>
      <c r="JD218" s="6"/>
      <c r="JE218" s="6"/>
      <c r="JF218" s="6"/>
      <c r="JG218" s="5"/>
      <c r="JH218" s="3" t="s">
        <v>780</v>
      </c>
      <c r="JI218" s="6"/>
      <c r="JJ218" s="6"/>
      <c r="JK218" s="6"/>
      <c r="JL218" s="5"/>
      <c r="JM218" s="6" t="s">
        <v>780</v>
      </c>
      <c r="JN218" s="6"/>
      <c r="JO218" s="6"/>
      <c r="JP218" s="6"/>
      <c r="JQ218" s="5"/>
      <c r="JR218" s="6" t="s">
        <v>780</v>
      </c>
      <c r="JS218" s="6"/>
      <c r="JT218" s="6"/>
      <c r="JU218" s="6"/>
      <c r="JV218" s="5"/>
      <c r="JW218" s="6" t="s">
        <v>780</v>
      </c>
      <c r="JX218" s="5"/>
      <c r="JY218" s="5"/>
      <c r="JZ218" s="5"/>
      <c r="KA218" s="5"/>
      <c r="KB218" s="5"/>
      <c r="KC218" s="6"/>
      <c r="KD218" s="6"/>
      <c r="KE218" s="6"/>
      <c r="KF218" s="5" t="str">
        <f t="shared" si="740"/>
        <v>NO APLICA</v>
      </c>
      <c r="KG218" s="5"/>
      <c r="KH218" s="6"/>
      <c r="KI218" s="6"/>
      <c r="KJ218" s="6"/>
      <c r="KK218" s="5" t="str">
        <f t="shared" si="760"/>
        <v>NO APLICA</v>
      </c>
      <c r="KL218" s="5"/>
      <c r="KM218" s="6"/>
      <c r="KN218" s="6"/>
      <c r="KO218" s="6"/>
      <c r="KP218" s="5" t="str">
        <f t="shared" si="741"/>
        <v>NO APLICA</v>
      </c>
      <c r="KQ218" s="5"/>
      <c r="KR218" s="6"/>
      <c r="KS218" s="6"/>
      <c r="KT218" s="6"/>
      <c r="KU218" s="5" t="str">
        <f t="shared" si="761"/>
        <v>NO APLICA</v>
      </c>
      <c r="KV218" s="6"/>
      <c r="KW218" s="6"/>
      <c r="KX218" s="6"/>
      <c r="KY218" s="6"/>
      <c r="KZ218" s="5" t="str">
        <f t="shared" si="767"/>
        <v>NO APLICA</v>
      </c>
      <c r="LA218" s="5"/>
      <c r="LB218" s="6"/>
      <c r="LC218" s="6"/>
      <c r="LD218" s="6"/>
      <c r="LE218" s="5" t="str">
        <f t="shared" si="762"/>
        <v>NO APLICA</v>
      </c>
      <c r="LF218" s="6"/>
      <c r="LG218" s="6"/>
      <c r="LH218" s="6"/>
      <c r="LI218" s="6"/>
      <c r="LJ218" s="5" t="str">
        <f t="shared" si="600"/>
        <v>NO APLICA</v>
      </c>
      <c r="LK218" s="5"/>
      <c r="LL218" s="5"/>
      <c r="LM218" s="4"/>
      <c r="LN218" s="8"/>
      <c r="LO218" s="5" t="str">
        <f t="shared" si="768"/>
        <v>NO APLICA</v>
      </c>
      <c r="LP218" s="6"/>
      <c r="LQ218" s="6"/>
      <c r="LR218" s="6"/>
      <c r="LS218" s="6"/>
      <c r="LT218" s="5" t="str">
        <f t="shared" si="763"/>
        <v>NO APLICA</v>
      </c>
      <c r="LU218" s="6"/>
      <c r="LV218" s="6"/>
      <c r="LW218" s="6"/>
      <c r="LX218" s="6"/>
      <c r="LY218" s="5" t="str">
        <f t="shared" si="764"/>
        <v>NO APLICA</v>
      </c>
      <c r="LZ218" s="6"/>
      <c r="MA218" s="6"/>
      <c r="MB218" s="6"/>
      <c r="MC218" s="6"/>
      <c r="MD218" s="5" t="str">
        <f t="shared" si="765"/>
        <v>NO APLICA</v>
      </c>
      <c r="ME218" s="6"/>
      <c r="MF218" s="6"/>
      <c r="MG218" s="6"/>
      <c r="MH218" s="6"/>
      <c r="MI218" s="5" t="str">
        <f t="shared" si="742"/>
        <v>NO APLICA</v>
      </c>
      <c r="MJ218" s="6"/>
      <c r="MK218" s="6"/>
      <c r="ML218" s="6"/>
      <c r="MM218" s="6"/>
      <c r="MN218" s="5" t="str">
        <f t="shared" si="743"/>
        <v>NO APLICA</v>
      </c>
      <c r="MO218" s="5"/>
      <c r="MP218" s="6"/>
      <c r="MQ218" s="6"/>
      <c r="MR218" s="6"/>
      <c r="MS218" s="5" t="str">
        <f t="shared" si="744"/>
        <v>NO APLICA</v>
      </c>
      <c r="MT218" s="5"/>
      <c r="MU218" s="6"/>
      <c r="MV218" s="6"/>
      <c r="MW218" s="6"/>
      <c r="MX218" s="5" t="str">
        <f t="shared" si="745"/>
        <v>NO APLICA</v>
      </c>
      <c r="MY218" s="6"/>
      <c r="MZ218" s="6"/>
      <c r="NA218" s="6"/>
      <c r="NB218" s="6"/>
      <c r="NC218" s="5" t="str">
        <f t="shared" si="746"/>
        <v>NO APLICA</v>
      </c>
      <c r="ND218" s="6"/>
      <c r="NE218" s="6"/>
      <c r="NF218" s="6"/>
      <c r="NG218" s="6"/>
      <c r="NH218" s="5" t="str">
        <f t="shared" si="747"/>
        <v>NO APLICA</v>
      </c>
      <c r="NI218" s="6"/>
      <c r="NJ218" s="6"/>
      <c r="NK218" s="6"/>
      <c r="NL218" s="6"/>
      <c r="NM218" s="5" t="str">
        <f t="shared" si="748"/>
        <v>NO APLICA</v>
      </c>
      <c r="NN218" s="6"/>
      <c r="NO218" s="6"/>
      <c r="NP218" s="6"/>
      <c r="NQ218" s="6"/>
      <c r="NR218" s="5" t="str">
        <f t="shared" si="749"/>
        <v>NO APLICA</v>
      </c>
      <c r="NS218" s="6"/>
      <c r="NT218" s="6"/>
      <c r="NU218" s="6"/>
      <c r="NV218" s="6"/>
      <c r="NW218" s="5" t="str">
        <f t="shared" si="750"/>
        <v>NO APLICA</v>
      </c>
      <c r="NX218" s="6"/>
      <c r="NY218" s="6"/>
      <c r="NZ218" s="6"/>
      <c r="OA218" s="6"/>
      <c r="OB218" s="5" t="str">
        <f t="shared" si="751"/>
        <v>NO APLICA</v>
      </c>
      <c r="OC218" s="6"/>
      <c r="OD218" s="6"/>
      <c r="OE218" s="6"/>
      <c r="OF218" s="6"/>
      <c r="OG218" s="5" t="str">
        <f t="shared" si="752"/>
        <v>NO APLICA</v>
      </c>
      <c r="OH218" s="6"/>
      <c r="OI218" s="6"/>
      <c r="OJ218" s="6"/>
      <c r="OK218" s="6"/>
      <c r="OL218" s="5" t="str">
        <f t="shared" si="753"/>
        <v>NO APLICA</v>
      </c>
      <c r="OM218" s="6"/>
      <c r="ON218" s="6"/>
      <c r="OO218" s="6"/>
      <c r="OP218" s="6"/>
      <c r="OQ218" s="5" t="str">
        <f t="shared" si="754"/>
        <v>NO APLICA</v>
      </c>
      <c r="OR218" s="6"/>
      <c r="OS218" s="6"/>
      <c r="OT218" s="6"/>
      <c r="OU218" s="6"/>
      <c r="OV218" s="5" t="str">
        <f t="shared" si="755"/>
        <v>NO APLICA</v>
      </c>
      <c r="OW218" s="6"/>
      <c r="OX218" s="6"/>
      <c r="OY218" s="6"/>
      <c r="OZ218" s="6"/>
      <c r="PA218" s="5" t="str">
        <f t="shared" si="769"/>
        <v>NO APLICA</v>
      </c>
      <c r="PB218" s="6"/>
      <c r="PC218" s="6"/>
      <c r="PD218" s="6"/>
      <c r="PE218" s="6"/>
      <c r="PF218" s="5" t="str">
        <f t="shared" si="756"/>
        <v>NO APLICA</v>
      </c>
      <c r="PG218" s="6"/>
      <c r="PH218" s="6"/>
      <c r="PI218" s="6"/>
      <c r="PJ218" s="6"/>
      <c r="PK218" s="5" t="str">
        <f t="shared" si="757"/>
        <v>NO APLICA</v>
      </c>
      <c r="PL218" s="5"/>
      <c r="PM218" s="6"/>
      <c r="PN218" s="6"/>
      <c r="PO218" s="6"/>
      <c r="PP218" s="5" t="str">
        <f t="shared" si="766"/>
        <v>NO APLICA</v>
      </c>
      <c r="PQ218" s="6"/>
      <c r="PR218" s="6"/>
      <c r="PS218" s="6"/>
      <c r="PT218" s="6"/>
      <c r="PU218" s="5" t="str">
        <f t="shared" si="758"/>
        <v>NO APLICA</v>
      </c>
      <c r="PV218" s="5"/>
      <c r="PW218" s="6"/>
      <c r="PX218" s="6"/>
      <c r="PY218" s="6"/>
      <c r="PZ218" s="5" t="str">
        <f t="shared" si="759"/>
        <v>NO APLICA</v>
      </c>
    </row>
    <row r="219" spans="1:442" ht="15.6" hidden="1" thickTop="1" thickBot="1" x14ac:dyDescent="0.35">
      <c r="A219" s="26">
        <v>216</v>
      </c>
      <c r="B219" s="31">
        <v>1533</v>
      </c>
      <c r="C219" s="28" t="s">
        <v>774</v>
      </c>
      <c r="D219" s="29" t="s">
        <v>621</v>
      </c>
      <c r="E219" s="30" t="s">
        <v>622</v>
      </c>
      <c r="F219" s="6"/>
      <c r="G219" s="6"/>
      <c r="H219" s="6"/>
      <c r="I219" s="6"/>
      <c r="J219" s="5" t="str">
        <f t="shared" si="696"/>
        <v>NO APLICA</v>
      </c>
      <c r="K219" s="6"/>
      <c r="L219" s="6"/>
      <c r="M219" s="6"/>
      <c r="N219" s="6"/>
      <c r="O219" s="5" t="str">
        <f t="shared" si="699"/>
        <v>NO APLICA</v>
      </c>
      <c r="P219" s="6"/>
      <c r="Q219" s="6"/>
      <c r="R219" s="6"/>
      <c r="S219" s="6"/>
      <c r="T219" s="5" t="str">
        <f t="shared" si="697"/>
        <v>NO APLICA</v>
      </c>
      <c r="U219" s="5"/>
      <c r="V219" s="6"/>
      <c r="W219" s="4"/>
      <c r="X219" s="4"/>
      <c r="Y219" s="8"/>
      <c r="Z219" s="5" t="str">
        <f t="shared" si="605"/>
        <v>NO APLICA</v>
      </c>
      <c r="AA219" s="5"/>
      <c r="AB219" s="6"/>
      <c r="AC219" s="6"/>
      <c r="AD219" s="6"/>
      <c r="AE219" s="6"/>
      <c r="AF219" s="5" t="str">
        <f t="shared" si="700"/>
        <v>NO APLICA</v>
      </c>
      <c r="AG219" s="4"/>
      <c r="AH219" s="4"/>
      <c r="AI219" s="4"/>
      <c r="AJ219" s="6"/>
      <c r="AK219" s="5" t="str">
        <f t="shared" si="602"/>
        <v>NO APLICA</v>
      </c>
      <c r="AL219" s="4"/>
      <c r="AM219" s="4"/>
      <c r="AN219" s="4"/>
      <c r="AO219" s="6"/>
      <c r="AP219" s="5" t="str">
        <f t="shared" si="701"/>
        <v>NO APLICA</v>
      </c>
      <c r="AQ219" s="4"/>
      <c r="AR219" s="4"/>
      <c r="AS219" s="4"/>
      <c r="AT219" s="6"/>
      <c r="AU219" s="5" t="str">
        <f t="shared" si="702"/>
        <v>NO APLICA</v>
      </c>
      <c r="AV219" s="4"/>
      <c r="AW219" s="4"/>
      <c r="AX219" s="4"/>
      <c r="AY219" s="6"/>
      <c r="AZ219" s="5" t="str">
        <f t="shared" si="703"/>
        <v>NO APLICA</v>
      </c>
      <c r="BA219" s="4"/>
      <c r="BB219" s="4"/>
      <c r="BC219" s="4"/>
      <c r="BD219" s="6"/>
      <c r="BE219" s="5" t="str">
        <f t="shared" si="704"/>
        <v>NO APLICA</v>
      </c>
      <c r="BF219" s="4"/>
      <c r="BG219" s="4"/>
      <c r="BH219" s="4"/>
      <c r="BI219" s="6"/>
      <c r="BJ219" s="5" t="str">
        <f t="shared" si="705"/>
        <v>NO APLICA</v>
      </c>
      <c r="BK219" s="4"/>
      <c r="BL219" s="4"/>
      <c r="BM219" s="4"/>
      <c r="BN219" s="6"/>
      <c r="BO219" s="5" t="str">
        <f t="shared" si="706"/>
        <v>NO APLICA</v>
      </c>
      <c r="BP219" s="4"/>
      <c r="BQ219" s="4"/>
      <c r="BR219" s="4"/>
      <c r="BS219" s="6"/>
      <c r="BT219" s="5" t="str">
        <f t="shared" si="707"/>
        <v>NO APLICA</v>
      </c>
      <c r="BU219" s="4"/>
      <c r="BV219" s="4"/>
      <c r="BW219" s="4"/>
      <c r="BX219" s="6"/>
      <c r="BY219" s="5" t="str">
        <f t="shared" si="708"/>
        <v>NO APLICA</v>
      </c>
      <c r="BZ219" s="4"/>
      <c r="CA219" s="4"/>
      <c r="CB219" s="4"/>
      <c r="CC219" s="6"/>
      <c r="CD219" s="5" t="str">
        <f t="shared" si="709"/>
        <v>NO APLICA</v>
      </c>
      <c r="CE219" s="6"/>
      <c r="CF219" s="6"/>
      <c r="CG219" s="6"/>
      <c r="CH219" s="6"/>
      <c r="CI219" s="5" t="str">
        <f t="shared" si="770"/>
        <v>NO APLICA</v>
      </c>
      <c r="CJ219" s="4"/>
      <c r="CK219" s="4"/>
      <c r="CL219" s="4"/>
      <c r="CM219" s="6"/>
      <c r="CN219" s="5" t="str">
        <f t="shared" si="710"/>
        <v>NO APLICA</v>
      </c>
      <c r="CO219" s="4"/>
      <c r="CP219" s="4"/>
      <c r="CQ219" s="4"/>
      <c r="CR219" s="6"/>
      <c r="CS219" s="5" t="str">
        <f t="shared" si="711"/>
        <v>NO APLICA</v>
      </c>
      <c r="CT219" s="4"/>
      <c r="CU219" s="4"/>
      <c r="CV219" s="4"/>
      <c r="CW219" s="6"/>
      <c r="CX219" s="5" t="str">
        <f t="shared" si="712"/>
        <v>NO APLICA</v>
      </c>
      <c r="CY219" s="4"/>
      <c r="CZ219" s="4"/>
      <c r="DA219" s="4"/>
      <c r="DB219" s="6"/>
      <c r="DC219" s="5" t="str">
        <f t="shared" si="713"/>
        <v>NO APLICA</v>
      </c>
      <c r="DD219" s="4"/>
      <c r="DE219" s="4"/>
      <c r="DF219" s="4"/>
      <c r="DG219" s="6"/>
      <c r="DH219" s="5" t="str">
        <f t="shared" si="714"/>
        <v>NO APLICA</v>
      </c>
      <c r="DI219" s="4"/>
      <c r="DJ219" s="4"/>
      <c r="DK219" s="4"/>
      <c r="DL219" s="6"/>
      <c r="DM219" s="5" t="str">
        <f t="shared" si="715"/>
        <v>NO APLICA</v>
      </c>
      <c r="DN219" s="4"/>
      <c r="DO219" s="4"/>
      <c r="DP219" s="4"/>
      <c r="DQ219" s="6"/>
      <c r="DR219" s="5" t="str">
        <f t="shared" si="716"/>
        <v>NO APLICA</v>
      </c>
      <c r="DS219" s="4"/>
      <c r="DT219" s="4"/>
      <c r="DU219" s="4"/>
      <c r="DV219" s="6"/>
      <c r="DW219" s="5" t="str">
        <f t="shared" si="717"/>
        <v>NO APLICA</v>
      </c>
      <c r="DX219" s="4"/>
      <c r="DY219" s="4"/>
      <c r="DZ219" s="4"/>
      <c r="EA219" s="6"/>
      <c r="EB219" s="5" t="str">
        <f t="shared" si="718"/>
        <v>NO APLICA</v>
      </c>
      <c r="EC219" s="4"/>
      <c r="ED219" s="4"/>
      <c r="EE219" s="4"/>
      <c r="EF219" s="6"/>
      <c r="EG219" s="5" t="str">
        <f t="shared" si="719"/>
        <v>NO APLICA</v>
      </c>
      <c r="EH219" s="4"/>
      <c r="EI219" s="4"/>
      <c r="EJ219" s="4"/>
      <c r="EK219" s="8"/>
      <c r="EL219" s="5" t="str">
        <f t="shared" si="720"/>
        <v>NO APLICA</v>
      </c>
      <c r="EM219" s="4"/>
      <c r="EN219" s="4"/>
      <c r="EO219" s="4"/>
      <c r="EP219" s="8"/>
      <c r="EQ219" s="5" t="str">
        <f t="shared" si="721"/>
        <v>NO APLICA</v>
      </c>
      <c r="ER219" s="4"/>
      <c r="ES219" s="4"/>
      <c r="ET219" s="4"/>
      <c r="EU219" s="8"/>
      <c r="EV219" s="5" t="str">
        <f t="shared" si="722"/>
        <v>NO APLICA</v>
      </c>
      <c r="EW219" s="4"/>
      <c r="EX219" s="4"/>
      <c r="EY219" s="4"/>
      <c r="EZ219" s="6"/>
      <c r="FA219" s="5" t="str">
        <f t="shared" si="723"/>
        <v>NO APLICA</v>
      </c>
      <c r="FB219" s="4"/>
      <c r="FC219" s="4"/>
      <c r="FD219" s="4"/>
      <c r="FE219" s="6"/>
      <c r="FF219" s="5" t="str">
        <f t="shared" si="724"/>
        <v>NO APLICA</v>
      </c>
      <c r="FG219" s="4"/>
      <c r="FH219" s="4"/>
      <c r="FI219" s="4"/>
      <c r="FJ219" s="6"/>
      <c r="FK219" s="5" t="str">
        <f t="shared" si="725"/>
        <v>NO APLICA</v>
      </c>
      <c r="FL219" s="4"/>
      <c r="FM219" s="4"/>
      <c r="FN219" s="4"/>
      <c r="FO219" s="6"/>
      <c r="FP219" s="5" t="str">
        <f t="shared" si="726"/>
        <v>NO APLICA</v>
      </c>
      <c r="FQ219" s="4"/>
      <c r="FR219" s="4"/>
      <c r="FS219" s="4"/>
      <c r="FT219" s="6"/>
      <c r="FU219" s="5" t="str">
        <f t="shared" si="727"/>
        <v>NO APLICA</v>
      </c>
      <c r="FV219" s="4"/>
      <c r="FW219" s="4"/>
      <c r="FX219" s="4"/>
      <c r="FY219" s="6"/>
      <c r="FZ219" s="5" t="str">
        <f t="shared" si="728"/>
        <v>NO APLICA</v>
      </c>
      <c r="GA219" s="4"/>
      <c r="GB219" s="4"/>
      <c r="GC219" s="4"/>
      <c r="GD219" s="6"/>
      <c r="GE219" s="5" t="str">
        <f t="shared" si="729"/>
        <v>NO APLICA</v>
      </c>
      <c r="GF219" s="4"/>
      <c r="GG219" s="4"/>
      <c r="GH219" s="4"/>
      <c r="GI219" s="8"/>
      <c r="GJ219" s="5" t="str">
        <f t="shared" si="730"/>
        <v>NO APLICA</v>
      </c>
      <c r="GK219" s="4"/>
      <c r="GL219" s="6"/>
      <c r="GM219" s="6"/>
      <c r="GN219" s="6"/>
      <c r="GO219" s="5" t="str">
        <f t="shared" si="731"/>
        <v>NO APLICA</v>
      </c>
      <c r="GP219" s="4"/>
      <c r="GQ219" s="6"/>
      <c r="GR219" s="6"/>
      <c r="GS219" s="6"/>
      <c r="GT219" s="5" t="str">
        <f t="shared" si="610"/>
        <v>NO APLICA</v>
      </c>
      <c r="GU219" s="4"/>
      <c r="GV219" s="6"/>
      <c r="GW219" s="6"/>
      <c r="GX219" s="6"/>
      <c r="GY219" s="5" t="str">
        <f t="shared" si="611"/>
        <v>NO APLICA</v>
      </c>
      <c r="GZ219" s="6"/>
      <c r="HA219" s="6"/>
      <c r="HB219" s="6"/>
      <c r="HC219" s="6"/>
      <c r="HD219" s="5" t="str">
        <f t="shared" si="612"/>
        <v>NO APLICA</v>
      </c>
      <c r="HE219" s="6"/>
      <c r="HF219" s="6"/>
      <c r="HG219" s="4"/>
      <c r="HH219" s="8"/>
      <c r="HI219" s="5" t="str">
        <f t="shared" si="698"/>
        <v>NO APLICA</v>
      </c>
      <c r="HJ219" s="6"/>
      <c r="HK219" s="6"/>
      <c r="HL219" s="6"/>
      <c r="HM219" s="6"/>
      <c r="HN219" s="5" t="str">
        <f t="shared" si="694"/>
        <v>NO APLICA</v>
      </c>
      <c r="HO219" s="6"/>
      <c r="HP219" s="6"/>
      <c r="HQ219" s="6"/>
      <c r="HR219" s="6"/>
      <c r="HS219" s="5" t="str">
        <f t="shared" si="732"/>
        <v>NO APLICA</v>
      </c>
      <c r="HT219" s="6"/>
      <c r="HU219" s="6"/>
      <c r="HV219" s="6"/>
      <c r="HW219" s="6"/>
      <c r="HX219" s="5" t="str">
        <f t="shared" si="733"/>
        <v>NO APLICA</v>
      </c>
      <c r="HY219" s="6"/>
      <c r="HZ219" s="6"/>
      <c r="IA219" s="6"/>
      <c r="IB219" s="6"/>
      <c r="IC219" s="5" t="str">
        <f t="shared" si="734"/>
        <v>NO APLICA</v>
      </c>
      <c r="ID219" s="6"/>
      <c r="IE219" s="6"/>
      <c r="IF219" s="6"/>
      <c r="IG219" s="6"/>
      <c r="IH219" s="5" t="str">
        <f t="shared" si="735"/>
        <v>NO APLICA</v>
      </c>
      <c r="II219" s="6"/>
      <c r="IJ219" s="6"/>
      <c r="IK219" s="6"/>
      <c r="IL219" s="6"/>
      <c r="IM219" s="5" t="str">
        <f t="shared" si="736"/>
        <v>NO APLICA</v>
      </c>
      <c r="IN219" s="6"/>
      <c r="IO219" s="6"/>
      <c r="IP219" s="6"/>
      <c r="IQ219" s="6"/>
      <c r="IR219" s="5" t="str">
        <f t="shared" si="737"/>
        <v>NO APLICA</v>
      </c>
      <c r="IS219" s="6"/>
      <c r="IT219" s="6"/>
      <c r="IU219" s="6"/>
      <c r="IV219" s="6"/>
      <c r="IW219" s="5" t="str">
        <f t="shared" si="738"/>
        <v>NO APLICA</v>
      </c>
      <c r="IX219" s="6"/>
      <c r="IY219" s="6"/>
      <c r="IZ219" s="6"/>
      <c r="JA219" s="6"/>
      <c r="JB219" s="5" t="str">
        <f t="shared" si="739"/>
        <v>NO APLICA</v>
      </c>
      <c r="JC219" s="3" t="s">
        <v>780</v>
      </c>
      <c r="JD219" s="6"/>
      <c r="JE219" s="6"/>
      <c r="JF219" s="6"/>
      <c r="JG219" s="5"/>
      <c r="JH219" s="3" t="s">
        <v>780</v>
      </c>
      <c r="JI219" s="6"/>
      <c r="JJ219" s="6"/>
      <c r="JK219" s="6"/>
      <c r="JL219" s="5"/>
      <c r="JM219" s="6" t="s">
        <v>780</v>
      </c>
      <c r="JN219" s="6"/>
      <c r="JO219" s="6"/>
      <c r="JP219" s="6"/>
      <c r="JQ219" s="5"/>
      <c r="JR219" s="6" t="s">
        <v>780</v>
      </c>
      <c r="JS219" s="6"/>
      <c r="JT219" s="6"/>
      <c r="JU219" s="6"/>
      <c r="JV219" s="5"/>
      <c r="JW219" s="6" t="s">
        <v>780</v>
      </c>
      <c r="JX219" s="3"/>
      <c r="JY219" s="4"/>
      <c r="JZ219" s="8"/>
      <c r="KA219" s="5"/>
      <c r="KB219" s="5"/>
      <c r="KC219" s="6"/>
      <c r="KD219" s="6"/>
      <c r="KE219" s="6"/>
      <c r="KF219" s="5" t="str">
        <f t="shared" si="740"/>
        <v>NO APLICA</v>
      </c>
      <c r="KG219" s="5"/>
      <c r="KH219" s="6"/>
      <c r="KI219" s="6"/>
      <c r="KJ219" s="6"/>
      <c r="KK219" s="5" t="str">
        <f t="shared" si="760"/>
        <v>NO APLICA</v>
      </c>
      <c r="KL219" s="5"/>
      <c r="KM219" s="6"/>
      <c r="KN219" s="6"/>
      <c r="KO219" s="6"/>
      <c r="KP219" s="5" t="str">
        <f t="shared" si="741"/>
        <v>NO APLICA</v>
      </c>
      <c r="KQ219" s="5"/>
      <c r="KR219" s="6"/>
      <c r="KS219" s="6"/>
      <c r="KT219" s="6"/>
      <c r="KU219" s="5" t="str">
        <f t="shared" si="761"/>
        <v>NO APLICA</v>
      </c>
      <c r="KV219" s="6"/>
      <c r="KW219" s="6"/>
      <c r="KX219" s="6"/>
      <c r="KY219" s="6"/>
      <c r="KZ219" s="5" t="str">
        <f t="shared" si="767"/>
        <v>NO APLICA</v>
      </c>
      <c r="LA219" s="5"/>
      <c r="LB219" s="6"/>
      <c r="LC219" s="6"/>
      <c r="LD219" s="6"/>
      <c r="LE219" s="5" t="str">
        <f t="shared" si="762"/>
        <v>NO APLICA</v>
      </c>
      <c r="LF219" s="6"/>
      <c r="LG219" s="6"/>
      <c r="LH219" s="6"/>
      <c r="LI219" s="6"/>
      <c r="LJ219" s="5" t="str">
        <f t="shared" si="600"/>
        <v>NO APLICA</v>
      </c>
      <c r="LK219" s="5"/>
      <c r="LL219" s="5"/>
      <c r="LM219" s="4"/>
      <c r="LN219" s="8"/>
      <c r="LO219" s="5" t="str">
        <f t="shared" si="768"/>
        <v>NO APLICA</v>
      </c>
      <c r="LP219" s="6"/>
      <c r="LQ219" s="6"/>
      <c r="LR219" s="6"/>
      <c r="LS219" s="6"/>
      <c r="LT219" s="5" t="str">
        <f t="shared" si="763"/>
        <v>NO APLICA</v>
      </c>
      <c r="LU219" s="6"/>
      <c r="LV219" s="6"/>
      <c r="LW219" s="6"/>
      <c r="LX219" s="6"/>
      <c r="LY219" s="5" t="str">
        <f t="shared" si="764"/>
        <v>NO APLICA</v>
      </c>
      <c r="LZ219" s="6"/>
      <c r="MA219" s="6"/>
      <c r="MB219" s="6"/>
      <c r="MC219" s="6"/>
      <c r="MD219" s="5" t="str">
        <f t="shared" si="765"/>
        <v>NO APLICA</v>
      </c>
      <c r="ME219" s="6"/>
      <c r="MF219" s="6"/>
      <c r="MG219" s="6"/>
      <c r="MH219" s="6"/>
      <c r="MI219" s="5" t="str">
        <f t="shared" si="742"/>
        <v>NO APLICA</v>
      </c>
      <c r="MJ219" s="6"/>
      <c r="MK219" s="6"/>
      <c r="ML219" s="6"/>
      <c r="MM219" s="6"/>
      <c r="MN219" s="5" t="str">
        <f t="shared" si="743"/>
        <v>NO APLICA</v>
      </c>
      <c r="MO219" s="5"/>
      <c r="MP219" s="6"/>
      <c r="MQ219" s="6"/>
      <c r="MR219" s="6"/>
      <c r="MS219" s="5" t="str">
        <f t="shared" si="744"/>
        <v>NO APLICA</v>
      </c>
      <c r="MT219" s="5"/>
      <c r="MU219" s="6"/>
      <c r="MV219" s="6"/>
      <c r="MW219" s="6"/>
      <c r="MX219" s="5" t="str">
        <f t="shared" si="745"/>
        <v>NO APLICA</v>
      </c>
      <c r="MY219" s="6"/>
      <c r="MZ219" s="6"/>
      <c r="NA219" s="6"/>
      <c r="NB219" s="6"/>
      <c r="NC219" s="5" t="str">
        <f t="shared" si="746"/>
        <v>NO APLICA</v>
      </c>
      <c r="ND219" s="6"/>
      <c r="NE219" s="6"/>
      <c r="NF219" s="6"/>
      <c r="NG219" s="6"/>
      <c r="NH219" s="5" t="str">
        <f t="shared" si="747"/>
        <v>NO APLICA</v>
      </c>
      <c r="NI219" s="6"/>
      <c r="NJ219" s="6"/>
      <c r="NK219" s="6"/>
      <c r="NL219" s="6"/>
      <c r="NM219" s="5" t="str">
        <f t="shared" si="748"/>
        <v>NO APLICA</v>
      </c>
      <c r="NN219" s="6"/>
      <c r="NO219" s="6"/>
      <c r="NP219" s="6"/>
      <c r="NQ219" s="6"/>
      <c r="NR219" s="5" t="str">
        <f t="shared" si="749"/>
        <v>NO APLICA</v>
      </c>
      <c r="NS219" s="6"/>
      <c r="NT219" s="6"/>
      <c r="NU219" s="6"/>
      <c r="NV219" s="6"/>
      <c r="NW219" s="5" t="str">
        <f t="shared" si="750"/>
        <v>NO APLICA</v>
      </c>
      <c r="NX219" s="6"/>
      <c r="NY219" s="6"/>
      <c r="NZ219" s="6"/>
      <c r="OA219" s="6"/>
      <c r="OB219" s="5" t="str">
        <f t="shared" si="751"/>
        <v>NO APLICA</v>
      </c>
      <c r="OC219" s="6"/>
      <c r="OD219" s="6"/>
      <c r="OE219" s="6"/>
      <c r="OF219" s="6"/>
      <c r="OG219" s="5" t="str">
        <f t="shared" si="752"/>
        <v>NO APLICA</v>
      </c>
      <c r="OH219" s="6"/>
      <c r="OI219" s="6"/>
      <c r="OJ219" s="6"/>
      <c r="OK219" s="6"/>
      <c r="OL219" s="5" t="str">
        <f t="shared" si="753"/>
        <v>NO APLICA</v>
      </c>
      <c r="OM219" s="6"/>
      <c r="ON219" s="6"/>
      <c r="OO219" s="6"/>
      <c r="OP219" s="6"/>
      <c r="OQ219" s="5" t="str">
        <f t="shared" si="754"/>
        <v>NO APLICA</v>
      </c>
      <c r="OR219" s="6"/>
      <c r="OS219" s="6"/>
      <c r="OT219" s="6"/>
      <c r="OU219" s="6"/>
      <c r="OV219" s="5" t="str">
        <f t="shared" si="755"/>
        <v>NO APLICA</v>
      </c>
      <c r="OW219" s="6"/>
      <c r="OX219" s="6"/>
      <c r="OY219" s="6"/>
      <c r="OZ219" s="6"/>
      <c r="PA219" s="5" t="str">
        <f t="shared" si="769"/>
        <v>NO APLICA</v>
      </c>
      <c r="PB219" s="6"/>
      <c r="PC219" s="6"/>
      <c r="PD219" s="6"/>
      <c r="PE219" s="6"/>
      <c r="PF219" s="5" t="str">
        <f t="shared" si="756"/>
        <v>NO APLICA</v>
      </c>
      <c r="PG219" s="6"/>
      <c r="PH219" s="6"/>
      <c r="PI219" s="6"/>
      <c r="PJ219" s="6"/>
      <c r="PK219" s="5" t="str">
        <f t="shared" si="757"/>
        <v>NO APLICA</v>
      </c>
      <c r="PL219" s="5"/>
      <c r="PM219" s="6"/>
      <c r="PN219" s="6"/>
      <c r="PO219" s="6"/>
      <c r="PP219" s="5" t="str">
        <f t="shared" si="766"/>
        <v>NO APLICA</v>
      </c>
      <c r="PQ219" s="6"/>
      <c r="PR219" s="6"/>
      <c r="PS219" s="6"/>
      <c r="PT219" s="6"/>
      <c r="PU219" s="5" t="str">
        <f t="shared" si="758"/>
        <v>NO APLICA</v>
      </c>
      <c r="PV219" s="5"/>
      <c r="PW219" s="6"/>
      <c r="PX219" s="6"/>
      <c r="PY219" s="6"/>
      <c r="PZ219" s="5" t="str">
        <f t="shared" si="759"/>
        <v>NO APLICA</v>
      </c>
    </row>
    <row r="220" spans="1:442" ht="15.6" hidden="1" thickTop="1" thickBot="1" x14ac:dyDescent="0.35">
      <c r="A220" s="26">
        <v>217</v>
      </c>
      <c r="B220" s="31">
        <v>644</v>
      </c>
      <c r="C220" s="28" t="s">
        <v>658</v>
      </c>
      <c r="D220" s="29" t="s">
        <v>621</v>
      </c>
      <c r="E220" s="30" t="s">
        <v>659</v>
      </c>
      <c r="F220" s="6"/>
      <c r="G220" s="6"/>
      <c r="H220" s="6"/>
      <c r="I220" s="6"/>
      <c r="J220" s="5" t="str">
        <f t="shared" si="696"/>
        <v>NO APLICA</v>
      </c>
      <c r="K220" s="6"/>
      <c r="L220" s="6"/>
      <c r="M220" s="6"/>
      <c r="N220" s="6"/>
      <c r="O220" s="5" t="str">
        <f t="shared" si="699"/>
        <v>NO APLICA</v>
      </c>
      <c r="P220" s="6"/>
      <c r="Q220" s="6"/>
      <c r="R220" s="6"/>
      <c r="S220" s="6"/>
      <c r="T220" s="5" t="str">
        <f t="shared" si="697"/>
        <v>NO APLICA</v>
      </c>
      <c r="U220" s="5"/>
      <c r="V220" s="6"/>
      <c r="W220" s="4"/>
      <c r="X220" s="4"/>
      <c r="Y220" s="8"/>
      <c r="Z220" s="5" t="str">
        <f t="shared" si="605"/>
        <v>NO APLICA</v>
      </c>
      <c r="AA220" s="5"/>
      <c r="AB220" s="6"/>
      <c r="AC220" s="6"/>
      <c r="AD220" s="6"/>
      <c r="AE220" s="6"/>
      <c r="AF220" s="5" t="str">
        <f t="shared" si="700"/>
        <v>NO APLICA</v>
      </c>
      <c r="AG220" s="4"/>
      <c r="AH220" s="4"/>
      <c r="AI220" s="4"/>
      <c r="AJ220" s="6"/>
      <c r="AK220" s="5" t="str">
        <f t="shared" si="602"/>
        <v>NO APLICA</v>
      </c>
      <c r="AL220" s="4"/>
      <c r="AM220" s="4"/>
      <c r="AN220" s="4"/>
      <c r="AO220" s="6"/>
      <c r="AP220" s="5" t="str">
        <f t="shared" si="701"/>
        <v>NO APLICA</v>
      </c>
      <c r="AQ220" s="4"/>
      <c r="AR220" s="4"/>
      <c r="AS220" s="4"/>
      <c r="AT220" s="6"/>
      <c r="AU220" s="5" t="str">
        <f t="shared" si="702"/>
        <v>NO APLICA</v>
      </c>
      <c r="AV220" s="4"/>
      <c r="AW220" s="4"/>
      <c r="AX220" s="4"/>
      <c r="AY220" s="6"/>
      <c r="AZ220" s="5" t="str">
        <f t="shared" si="703"/>
        <v>NO APLICA</v>
      </c>
      <c r="BA220" s="4"/>
      <c r="BB220" s="4"/>
      <c r="BC220" s="4"/>
      <c r="BD220" s="6"/>
      <c r="BE220" s="5" t="str">
        <f t="shared" si="704"/>
        <v>NO APLICA</v>
      </c>
      <c r="BF220" s="4"/>
      <c r="BG220" s="4"/>
      <c r="BH220" s="4"/>
      <c r="BI220" s="6"/>
      <c r="BJ220" s="5" t="str">
        <f t="shared" si="705"/>
        <v>NO APLICA</v>
      </c>
      <c r="BK220" s="4"/>
      <c r="BL220" s="4"/>
      <c r="BM220" s="4"/>
      <c r="BN220" s="6"/>
      <c r="BO220" s="5" t="str">
        <f t="shared" si="706"/>
        <v>NO APLICA</v>
      </c>
      <c r="BP220" s="4"/>
      <c r="BQ220" s="4"/>
      <c r="BR220" s="4"/>
      <c r="BS220" s="6"/>
      <c r="BT220" s="5" t="str">
        <f t="shared" si="707"/>
        <v>NO APLICA</v>
      </c>
      <c r="BU220" s="4"/>
      <c r="BV220" s="4"/>
      <c r="BW220" s="4"/>
      <c r="BX220" s="6"/>
      <c r="BY220" s="5" t="str">
        <f t="shared" si="708"/>
        <v>NO APLICA</v>
      </c>
      <c r="BZ220" s="4"/>
      <c r="CA220" s="4"/>
      <c r="CB220" s="4"/>
      <c r="CC220" s="6"/>
      <c r="CD220" s="5" t="str">
        <f t="shared" si="709"/>
        <v>NO APLICA</v>
      </c>
      <c r="CE220" s="6"/>
      <c r="CF220" s="6"/>
      <c r="CG220" s="6"/>
      <c r="CH220" s="6"/>
      <c r="CI220" s="5" t="str">
        <f t="shared" si="770"/>
        <v>NO APLICA</v>
      </c>
      <c r="CJ220" s="4"/>
      <c r="CK220" s="4"/>
      <c r="CL220" s="4"/>
      <c r="CM220" s="6"/>
      <c r="CN220" s="5" t="str">
        <f t="shared" si="710"/>
        <v>NO APLICA</v>
      </c>
      <c r="CO220" s="4"/>
      <c r="CP220" s="4"/>
      <c r="CQ220" s="4"/>
      <c r="CR220" s="6"/>
      <c r="CS220" s="5" t="str">
        <f t="shared" si="711"/>
        <v>NO APLICA</v>
      </c>
      <c r="CT220" s="4"/>
      <c r="CU220" s="4"/>
      <c r="CV220" s="4"/>
      <c r="CW220" s="6"/>
      <c r="CX220" s="5" t="str">
        <f t="shared" si="712"/>
        <v>NO APLICA</v>
      </c>
      <c r="CY220" s="4"/>
      <c r="CZ220" s="4"/>
      <c r="DA220" s="4"/>
      <c r="DB220" s="6"/>
      <c r="DC220" s="5" t="str">
        <f t="shared" si="713"/>
        <v>NO APLICA</v>
      </c>
      <c r="DD220" s="4"/>
      <c r="DE220" s="4"/>
      <c r="DF220" s="4"/>
      <c r="DG220" s="6"/>
      <c r="DH220" s="5" t="str">
        <f t="shared" si="714"/>
        <v>NO APLICA</v>
      </c>
      <c r="DI220" s="4"/>
      <c r="DJ220" s="4"/>
      <c r="DK220" s="4"/>
      <c r="DL220" s="6"/>
      <c r="DM220" s="5" t="str">
        <f t="shared" si="715"/>
        <v>NO APLICA</v>
      </c>
      <c r="DN220" s="4"/>
      <c r="DO220" s="4"/>
      <c r="DP220" s="4"/>
      <c r="DQ220" s="6"/>
      <c r="DR220" s="5" t="str">
        <f t="shared" si="716"/>
        <v>NO APLICA</v>
      </c>
      <c r="DS220" s="4"/>
      <c r="DT220" s="4"/>
      <c r="DU220" s="4"/>
      <c r="DV220" s="6"/>
      <c r="DW220" s="5" t="str">
        <f t="shared" si="717"/>
        <v>NO APLICA</v>
      </c>
      <c r="DX220" s="4"/>
      <c r="DY220" s="4"/>
      <c r="DZ220" s="4"/>
      <c r="EA220" s="6"/>
      <c r="EB220" s="5" t="str">
        <f t="shared" si="718"/>
        <v>NO APLICA</v>
      </c>
      <c r="EC220" s="4"/>
      <c r="ED220" s="4"/>
      <c r="EE220" s="4"/>
      <c r="EF220" s="6"/>
      <c r="EG220" s="5" t="str">
        <f t="shared" si="719"/>
        <v>NO APLICA</v>
      </c>
      <c r="EH220" s="4"/>
      <c r="EI220" s="4"/>
      <c r="EJ220" s="4"/>
      <c r="EK220" s="8"/>
      <c r="EL220" s="5" t="str">
        <f t="shared" si="720"/>
        <v>NO APLICA</v>
      </c>
      <c r="EM220" s="4"/>
      <c r="EN220" s="4"/>
      <c r="EO220" s="4"/>
      <c r="EP220" s="8"/>
      <c r="EQ220" s="5" t="str">
        <f t="shared" si="721"/>
        <v>NO APLICA</v>
      </c>
      <c r="ER220" s="4"/>
      <c r="ES220" s="4"/>
      <c r="ET220" s="4"/>
      <c r="EU220" s="8"/>
      <c r="EV220" s="5" t="str">
        <f t="shared" si="722"/>
        <v>NO APLICA</v>
      </c>
      <c r="EW220" s="4"/>
      <c r="EX220" s="4"/>
      <c r="EY220" s="4"/>
      <c r="EZ220" s="6"/>
      <c r="FA220" s="5" t="str">
        <f t="shared" si="723"/>
        <v>NO APLICA</v>
      </c>
      <c r="FB220" s="4"/>
      <c r="FC220" s="4"/>
      <c r="FD220" s="4"/>
      <c r="FE220" s="6"/>
      <c r="FF220" s="5" t="str">
        <f t="shared" si="724"/>
        <v>NO APLICA</v>
      </c>
      <c r="FG220" s="4"/>
      <c r="FH220" s="4"/>
      <c r="FI220" s="4"/>
      <c r="FJ220" s="6"/>
      <c r="FK220" s="5" t="str">
        <f t="shared" si="725"/>
        <v>NO APLICA</v>
      </c>
      <c r="FL220" s="4"/>
      <c r="FM220" s="4"/>
      <c r="FN220" s="4"/>
      <c r="FO220" s="6"/>
      <c r="FP220" s="5" t="str">
        <f t="shared" si="726"/>
        <v>NO APLICA</v>
      </c>
      <c r="FQ220" s="4"/>
      <c r="FR220" s="4"/>
      <c r="FS220" s="4"/>
      <c r="FT220" s="6"/>
      <c r="FU220" s="5" t="str">
        <f t="shared" si="727"/>
        <v>NO APLICA</v>
      </c>
      <c r="FV220" s="4"/>
      <c r="FW220" s="4"/>
      <c r="FX220" s="4"/>
      <c r="FY220" s="6"/>
      <c r="FZ220" s="5" t="str">
        <f t="shared" si="728"/>
        <v>NO APLICA</v>
      </c>
      <c r="GA220" s="4"/>
      <c r="GB220" s="4"/>
      <c r="GC220" s="4"/>
      <c r="GD220" s="6"/>
      <c r="GE220" s="5" t="str">
        <f t="shared" si="729"/>
        <v>NO APLICA</v>
      </c>
      <c r="GF220" s="4"/>
      <c r="GG220" s="4"/>
      <c r="GH220" s="4"/>
      <c r="GI220" s="8"/>
      <c r="GJ220" s="5" t="str">
        <f t="shared" si="730"/>
        <v>NO APLICA</v>
      </c>
      <c r="GK220" s="4"/>
      <c r="GL220" s="6"/>
      <c r="GM220" s="6"/>
      <c r="GN220" s="6"/>
      <c r="GO220" s="5" t="str">
        <f t="shared" si="731"/>
        <v>NO APLICA</v>
      </c>
      <c r="GP220" s="4"/>
      <c r="GQ220" s="6"/>
      <c r="GR220" s="6"/>
      <c r="GS220" s="6"/>
      <c r="GT220" s="5" t="str">
        <f t="shared" si="610"/>
        <v>NO APLICA</v>
      </c>
      <c r="GU220" s="4"/>
      <c r="GV220" s="6"/>
      <c r="GW220" s="6"/>
      <c r="GX220" s="6"/>
      <c r="GY220" s="5" t="str">
        <f t="shared" si="611"/>
        <v>NO APLICA</v>
      </c>
      <c r="GZ220" s="6"/>
      <c r="HA220" s="6"/>
      <c r="HB220" s="6"/>
      <c r="HC220" s="6"/>
      <c r="HD220" s="5" t="str">
        <f t="shared" si="612"/>
        <v>NO APLICA</v>
      </c>
      <c r="HE220" s="6"/>
      <c r="HF220" s="6"/>
      <c r="HG220" s="4"/>
      <c r="HH220" s="8"/>
      <c r="HI220" s="5" t="str">
        <f t="shared" si="698"/>
        <v>NO APLICA</v>
      </c>
      <c r="HJ220" s="6"/>
      <c r="HK220" s="6"/>
      <c r="HL220" s="6"/>
      <c r="HM220" s="6"/>
      <c r="HN220" s="5" t="str">
        <f t="shared" si="694"/>
        <v>NO APLICA</v>
      </c>
      <c r="HO220" s="6"/>
      <c r="HP220" s="6"/>
      <c r="HQ220" s="6"/>
      <c r="HR220" s="6"/>
      <c r="HS220" s="5" t="str">
        <f t="shared" si="732"/>
        <v>NO APLICA</v>
      </c>
      <c r="HT220" s="6"/>
      <c r="HU220" s="6"/>
      <c r="HV220" s="6"/>
      <c r="HW220" s="6"/>
      <c r="HX220" s="5" t="str">
        <f t="shared" si="733"/>
        <v>NO APLICA</v>
      </c>
      <c r="HY220" s="6"/>
      <c r="HZ220" s="6"/>
      <c r="IA220" s="6"/>
      <c r="IB220" s="6"/>
      <c r="IC220" s="5" t="str">
        <f t="shared" si="734"/>
        <v>NO APLICA</v>
      </c>
      <c r="ID220" s="6"/>
      <c r="IE220" s="6"/>
      <c r="IF220" s="6"/>
      <c r="IG220" s="6"/>
      <c r="IH220" s="5" t="str">
        <f t="shared" si="735"/>
        <v>NO APLICA</v>
      </c>
      <c r="II220" s="6"/>
      <c r="IJ220" s="6"/>
      <c r="IK220" s="6"/>
      <c r="IL220" s="6"/>
      <c r="IM220" s="5" t="str">
        <f t="shared" si="736"/>
        <v>NO APLICA</v>
      </c>
      <c r="IN220" s="6"/>
      <c r="IO220" s="6"/>
      <c r="IP220" s="6"/>
      <c r="IQ220" s="6"/>
      <c r="IR220" s="5" t="str">
        <f t="shared" si="737"/>
        <v>NO APLICA</v>
      </c>
      <c r="IS220" s="6"/>
      <c r="IT220" s="6"/>
      <c r="IU220" s="6"/>
      <c r="IV220" s="6"/>
      <c r="IW220" s="5" t="str">
        <f t="shared" si="738"/>
        <v>NO APLICA</v>
      </c>
      <c r="IX220" s="6"/>
      <c r="IY220" s="6"/>
      <c r="IZ220" s="6"/>
      <c r="JA220" s="6"/>
      <c r="JB220" s="5" t="str">
        <f t="shared" si="739"/>
        <v>NO APLICA</v>
      </c>
      <c r="JC220" s="3" t="s">
        <v>780</v>
      </c>
      <c r="JD220" s="6"/>
      <c r="JE220" s="6"/>
      <c r="JF220" s="6"/>
      <c r="JG220" s="5"/>
      <c r="JH220" s="3" t="s">
        <v>780</v>
      </c>
      <c r="JI220" s="6"/>
      <c r="JJ220" s="6"/>
      <c r="JK220" s="6"/>
      <c r="JL220" s="5"/>
      <c r="JM220" s="6" t="s">
        <v>780</v>
      </c>
      <c r="JN220" s="6"/>
      <c r="JO220" s="6"/>
      <c r="JP220" s="6"/>
      <c r="JQ220" s="5"/>
      <c r="JR220" s="6" t="s">
        <v>780</v>
      </c>
      <c r="JS220" s="6"/>
      <c r="JT220" s="6"/>
      <c r="JU220" s="6"/>
      <c r="JV220" s="5"/>
      <c r="JW220" s="6" t="s">
        <v>780</v>
      </c>
      <c r="JX220" s="5"/>
      <c r="JY220" s="5"/>
      <c r="JZ220" s="5"/>
      <c r="KA220" s="5"/>
      <c r="KB220" s="5"/>
      <c r="KC220" s="6"/>
      <c r="KD220" s="6"/>
      <c r="KE220" s="6"/>
      <c r="KF220" s="5" t="str">
        <f t="shared" si="740"/>
        <v>NO APLICA</v>
      </c>
      <c r="KG220" s="5"/>
      <c r="KH220" s="6"/>
      <c r="KI220" s="6"/>
      <c r="KJ220" s="6"/>
      <c r="KK220" s="5" t="str">
        <f t="shared" si="760"/>
        <v>NO APLICA</v>
      </c>
      <c r="KL220" s="5"/>
      <c r="KM220" s="6"/>
      <c r="KN220" s="6"/>
      <c r="KO220" s="6"/>
      <c r="KP220" s="5" t="str">
        <f t="shared" si="741"/>
        <v>NO APLICA</v>
      </c>
      <c r="KQ220" s="5"/>
      <c r="KR220" s="6"/>
      <c r="KS220" s="6"/>
      <c r="KT220" s="6"/>
      <c r="KU220" s="5" t="str">
        <f t="shared" si="761"/>
        <v>NO APLICA</v>
      </c>
      <c r="KV220" s="6"/>
      <c r="KW220" s="6"/>
      <c r="KX220" s="6"/>
      <c r="KY220" s="6"/>
      <c r="KZ220" s="5" t="str">
        <f t="shared" si="767"/>
        <v>NO APLICA</v>
      </c>
      <c r="LA220" s="5"/>
      <c r="LB220" s="6"/>
      <c r="LC220" s="6"/>
      <c r="LD220" s="6"/>
      <c r="LE220" s="5" t="str">
        <f t="shared" si="762"/>
        <v>NO APLICA</v>
      </c>
      <c r="LF220" s="6"/>
      <c r="LG220" s="6"/>
      <c r="LH220" s="6"/>
      <c r="LI220" s="6"/>
      <c r="LJ220" s="5" t="str">
        <f t="shared" si="600"/>
        <v>NO APLICA</v>
      </c>
      <c r="LK220" s="5"/>
      <c r="LL220" s="5"/>
      <c r="LM220" s="4"/>
      <c r="LN220" s="8"/>
      <c r="LO220" s="5" t="str">
        <f t="shared" si="768"/>
        <v>NO APLICA</v>
      </c>
      <c r="LP220" s="6"/>
      <c r="LQ220" s="6"/>
      <c r="LR220" s="6"/>
      <c r="LS220" s="6"/>
      <c r="LT220" s="5" t="str">
        <f t="shared" si="763"/>
        <v>NO APLICA</v>
      </c>
      <c r="LU220" s="6"/>
      <c r="LV220" s="6"/>
      <c r="LW220" s="6"/>
      <c r="LX220" s="6"/>
      <c r="LY220" s="5" t="str">
        <f t="shared" si="764"/>
        <v>NO APLICA</v>
      </c>
      <c r="LZ220" s="6"/>
      <c r="MA220" s="6"/>
      <c r="MB220" s="6"/>
      <c r="MC220" s="6"/>
      <c r="MD220" s="5" t="str">
        <f t="shared" si="765"/>
        <v>NO APLICA</v>
      </c>
      <c r="ME220" s="6"/>
      <c r="MF220" s="6"/>
      <c r="MG220" s="6"/>
      <c r="MH220" s="6"/>
      <c r="MI220" s="5" t="str">
        <f t="shared" si="742"/>
        <v>NO APLICA</v>
      </c>
      <c r="MJ220" s="6"/>
      <c r="MK220" s="6"/>
      <c r="ML220" s="6"/>
      <c r="MM220" s="6"/>
      <c r="MN220" s="5" t="str">
        <f t="shared" si="743"/>
        <v>NO APLICA</v>
      </c>
      <c r="MO220" s="5"/>
      <c r="MP220" s="6"/>
      <c r="MQ220" s="6"/>
      <c r="MR220" s="6"/>
      <c r="MS220" s="5" t="str">
        <f t="shared" si="744"/>
        <v>NO APLICA</v>
      </c>
      <c r="MT220" s="5"/>
      <c r="MU220" s="6"/>
      <c r="MV220" s="6"/>
      <c r="MW220" s="6"/>
      <c r="MX220" s="5" t="str">
        <f t="shared" si="745"/>
        <v>NO APLICA</v>
      </c>
      <c r="MY220" s="6"/>
      <c r="MZ220" s="6"/>
      <c r="NA220" s="6"/>
      <c r="NB220" s="6"/>
      <c r="NC220" s="5" t="str">
        <f t="shared" si="746"/>
        <v>NO APLICA</v>
      </c>
      <c r="ND220" s="6"/>
      <c r="NE220" s="6"/>
      <c r="NF220" s="6"/>
      <c r="NG220" s="6"/>
      <c r="NH220" s="5" t="str">
        <f t="shared" si="747"/>
        <v>NO APLICA</v>
      </c>
      <c r="NI220" s="6"/>
      <c r="NJ220" s="6"/>
      <c r="NK220" s="6"/>
      <c r="NL220" s="6"/>
      <c r="NM220" s="5" t="str">
        <f t="shared" si="748"/>
        <v>NO APLICA</v>
      </c>
      <c r="NN220" s="6"/>
      <c r="NO220" s="6"/>
      <c r="NP220" s="6"/>
      <c r="NQ220" s="6"/>
      <c r="NR220" s="5" t="str">
        <f t="shared" si="749"/>
        <v>NO APLICA</v>
      </c>
      <c r="NS220" s="6"/>
      <c r="NT220" s="6"/>
      <c r="NU220" s="6"/>
      <c r="NV220" s="6"/>
      <c r="NW220" s="5" t="str">
        <f t="shared" si="750"/>
        <v>NO APLICA</v>
      </c>
      <c r="NX220" s="6"/>
      <c r="NY220" s="6"/>
      <c r="NZ220" s="6"/>
      <c r="OA220" s="6"/>
      <c r="OB220" s="5" t="str">
        <f t="shared" si="751"/>
        <v>NO APLICA</v>
      </c>
      <c r="OC220" s="6"/>
      <c r="OD220" s="6"/>
      <c r="OE220" s="6"/>
      <c r="OF220" s="6"/>
      <c r="OG220" s="5" t="str">
        <f t="shared" si="752"/>
        <v>NO APLICA</v>
      </c>
      <c r="OH220" s="6"/>
      <c r="OI220" s="6"/>
      <c r="OJ220" s="6"/>
      <c r="OK220" s="6"/>
      <c r="OL220" s="5" t="str">
        <f t="shared" si="753"/>
        <v>NO APLICA</v>
      </c>
      <c r="OM220" s="6"/>
      <c r="ON220" s="6"/>
      <c r="OO220" s="6"/>
      <c r="OP220" s="6"/>
      <c r="OQ220" s="5" t="str">
        <f t="shared" si="754"/>
        <v>NO APLICA</v>
      </c>
      <c r="OR220" s="6"/>
      <c r="OS220" s="6"/>
      <c r="OT220" s="6"/>
      <c r="OU220" s="6"/>
      <c r="OV220" s="5" t="str">
        <f t="shared" si="755"/>
        <v>NO APLICA</v>
      </c>
      <c r="OW220" s="4"/>
      <c r="OX220" s="4">
        <v>44770</v>
      </c>
      <c r="OY220" s="4">
        <f>DATE(YEAR(OX220)+5,MONTH(OX220),DAY(OX220))</f>
        <v>46596</v>
      </c>
      <c r="OZ220" s="8">
        <f ca="1">OY220-TODAY()</f>
        <v>451</v>
      </c>
      <c r="PA220" s="5" t="str">
        <f ca="1">IF(OZ220&gt;=61,"VIGENTE",IF(OZ220&gt;=1,"POR VENCER",IF(OZ220&lt;=-1,"VENCIDA",IF(OX220=0,"NO APLICA"))))</f>
        <v>VIGENTE</v>
      </c>
      <c r="PB220" s="6"/>
      <c r="PC220" s="6"/>
      <c r="PD220" s="6"/>
      <c r="PE220" s="6"/>
      <c r="PF220" s="5" t="str">
        <f t="shared" si="756"/>
        <v>NO APLICA</v>
      </c>
      <c r="PG220" s="6"/>
      <c r="PH220" s="6"/>
      <c r="PI220" s="6"/>
      <c r="PJ220" s="6"/>
      <c r="PK220" s="5" t="str">
        <f t="shared" si="757"/>
        <v>NO APLICA</v>
      </c>
      <c r="PL220" s="5"/>
      <c r="PM220" s="6"/>
      <c r="PN220" s="6"/>
      <c r="PO220" s="6"/>
      <c r="PP220" s="5" t="str">
        <f t="shared" si="766"/>
        <v>NO APLICA</v>
      </c>
      <c r="PQ220" s="6"/>
      <c r="PR220" s="6"/>
      <c r="PS220" s="6"/>
      <c r="PT220" s="6"/>
      <c r="PU220" s="5" t="str">
        <f t="shared" si="758"/>
        <v>NO APLICA</v>
      </c>
      <c r="PV220" s="5"/>
      <c r="PW220" s="6"/>
      <c r="PX220" s="6"/>
      <c r="PY220" s="6"/>
      <c r="PZ220" s="5" t="str">
        <f t="shared" si="759"/>
        <v>NO APLICA</v>
      </c>
    </row>
    <row r="221" spans="1:442" ht="15.6" hidden="1" thickTop="1" thickBot="1" x14ac:dyDescent="0.35">
      <c r="A221" s="26">
        <v>218</v>
      </c>
      <c r="B221" s="31">
        <v>1537</v>
      </c>
      <c r="C221" s="28" t="s">
        <v>660</v>
      </c>
      <c r="D221" s="29" t="s">
        <v>609</v>
      </c>
      <c r="E221" s="30" t="s">
        <v>661</v>
      </c>
      <c r="F221" s="6"/>
      <c r="G221" s="6"/>
      <c r="H221" s="6"/>
      <c r="I221" s="6"/>
      <c r="J221" s="5" t="str">
        <f t="shared" si="696"/>
        <v>NO APLICA</v>
      </c>
      <c r="K221" s="3"/>
      <c r="L221" s="4"/>
      <c r="M221" s="6"/>
      <c r="N221" s="6"/>
      <c r="O221" s="5" t="str">
        <f t="shared" si="699"/>
        <v>NO APLICA</v>
      </c>
      <c r="P221" s="6"/>
      <c r="Q221" s="6"/>
      <c r="R221" s="6"/>
      <c r="S221" s="6"/>
      <c r="T221" s="5" t="str">
        <f t="shared" si="697"/>
        <v>NO APLICA</v>
      </c>
      <c r="U221" s="5"/>
      <c r="V221" s="6" t="s">
        <v>662</v>
      </c>
      <c r="W221" s="4">
        <v>46069</v>
      </c>
      <c r="X221" s="4">
        <f>DATE(YEAR(W221)+5,MONTH(W221),DAY(W221))</f>
        <v>47895</v>
      </c>
      <c r="Y221" s="8">
        <f ca="1">X221-TODAY()</f>
        <v>1750</v>
      </c>
      <c r="Z221" s="5" t="str">
        <f ca="1">IF(Y221&gt;=90,"VIGENTE",IF(Y221&gt;=1,"POR VENCER",IF(Y221&lt;=-1,"VENCIDA",IF(W221=0,"NO APLICA"))))</f>
        <v>VIGENTE</v>
      </c>
      <c r="AA221" s="5"/>
      <c r="AB221" s="6"/>
      <c r="AC221" s="6"/>
      <c r="AD221" s="6"/>
      <c r="AE221" s="6"/>
      <c r="AF221" s="5" t="str">
        <f t="shared" si="700"/>
        <v>NO APLICA</v>
      </c>
      <c r="AG221" s="4"/>
      <c r="AH221" s="4">
        <v>46006</v>
      </c>
      <c r="AI221" s="4">
        <f>DATE(YEAR(AH221)+2,MONTH(AH221),DAY(AH221))</f>
        <v>46736</v>
      </c>
      <c r="AJ221" s="8">
        <f ca="1">AI221-TODAY()</f>
        <v>591</v>
      </c>
      <c r="AK221" s="5" t="str">
        <f ca="1">IF(AJ221&gt;=91,"VIGENTE",IF(AJ221&gt;=1,"POR VENCER",IF(AJ221&lt;=-1,"VENCIDA",IF(AH221=0,"NO APLICA"))))</f>
        <v>VIGENTE</v>
      </c>
      <c r="AL221" s="4"/>
      <c r="AM221" s="4">
        <v>45959</v>
      </c>
      <c r="AN221" s="4">
        <f>DATE(YEAR(AM221)+2,MONTH(AM221),DAY(AM221))</f>
        <v>46689</v>
      </c>
      <c r="AO221" s="8">
        <f ca="1">AN221-TODAY()</f>
        <v>544</v>
      </c>
      <c r="AP221" s="5" t="str">
        <f ca="1">IF(AO221&gt;=91,"VIGENTE",IF(AO221&gt;=1,"POR VENCER",IF(AO221&lt;=-1,"VENCIDA",IF(AM221=0,"NO APLICA"))))</f>
        <v>VIGENTE</v>
      </c>
      <c r="AQ221" s="4"/>
      <c r="AR221" s="4">
        <v>45989</v>
      </c>
      <c r="AS221" s="4">
        <f>DATE(YEAR(AR221)+2,MONTH(AR221),DAY(AR221))</f>
        <v>46719</v>
      </c>
      <c r="AT221" s="8">
        <f ca="1">AS221-TODAY()</f>
        <v>574</v>
      </c>
      <c r="AU221" s="5" t="str">
        <f ca="1">IF(AT221&gt;=91,"VIGENTE",IF(AT221&gt;=1,"POR VENCER",IF(AT221&lt;=-1,"VENCIDA",IF(AR221=0,"NO APLICA"))))</f>
        <v>VIGENTE</v>
      </c>
      <c r="AV221" s="4"/>
      <c r="AW221" s="4">
        <v>45927</v>
      </c>
      <c r="AX221" s="4">
        <f>DATE(YEAR(AW221)+2,MONTH(AW221),DAY(AW221))</f>
        <v>46657</v>
      </c>
      <c r="AY221" s="8">
        <f ca="1">AX221-TODAY()</f>
        <v>512</v>
      </c>
      <c r="AZ221" s="5" t="str">
        <f ca="1">IF(AY221&gt;=91,"VIGENTE",IF(AY221&gt;=1,"POR VENCER",IF(AY221&lt;=-1,"VENCIDA",IF(AW221=0,"NO APLICA"))))</f>
        <v>VIGENTE</v>
      </c>
      <c r="BA221" s="4"/>
      <c r="BB221" s="4">
        <v>45980</v>
      </c>
      <c r="BC221" s="4">
        <f>DATE(YEAR(BB221)+2,MONTH(BB221),DAY(BB221))</f>
        <v>46710</v>
      </c>
      <c r="BD221" s="8">
        <f ca="1">BC221-TODAY()</f>
        <v>565</v>
      </c>
      <c r="BE221" s="5" t="str">
        <f ca="1">IF(BD221&gt;=91,"VIGENTE",IF(BD221&gt;=1,"POR VENCER",IF(BD221&lt;=-1,"VENCIDA",IF(BB221=0,"NO APLICA"))))</f>
        <v>VIGENTE</v>
      </c>
      <c r="BF221" s="4"/>
      <c r="BG221" s="4">
        <v>45997</v>
      </c>
      <c r="BH221" s="4">
        <f>DATE(YEAR(BG221)+2,MONTH(BG221),DAY(BG221))</f>
        <v>46727</v>
      </c>
      <c r="BI221" s="8">
        <f ca="1">BH221-TODAY()</f>
        <v>582</v>
      </c>
      <c r="BJ221" s="5" t="str">
        <f ca="1">IF(BI221&gt;=91,"VIGENTE",IF(BI221&gt;=1,"POR VENCER",IF(BI221&lt;=-1,"VENCIDA",IF(BG221=0,"NO APLICA"))))</f>
        <v>VIGENTE</v>
      </c>
      <c r="BK221" s="4"/>
      <c r="BL221" s="4">
        <v>46017</v>
      </c>
      <c r="BM221" s="4">
        <f>DATE(YEAR(BL221)+2,MONTH(BL221),DAY(BL221))</f>
        <v>46747</v>
      </c>
      <c r="BN221" s="8">
        <f ca="1">BM221-TODAY()</f>
        <v>602</v>
      </c>
      <c r="BO221" s="5" t="str">
        <f ca="1">IF(BN221&gt;=91,"VIGENTE",IF(BN221&gt;=1,"POR VENCER",IF(BN221&lt;=-1,"VENCIDA",IF(BL221=0,"NO APLICA"))))</f>
        <v>VIGENTE</v>
      </c>
      <c r="BP221" s="4"/>
      <c r="BQ221" s="39">
        <v>45988</v>
      </c>
      <c r="BR221" s="4">
        <f>DATE(YEAR(BQ221)+2,MONTH(BQ221),DAY(BQ221))</f>
        <v>46718</v>
      </c>
      <c r="BS221" s="8">
        <f ca="1">BR221-TODAY()</f>
        <v>573</v>
      </c>
      <c r="BT221" s="5" t="str">
        <f ca="1">IF(BS221&gt;=91,"VIGENTE",IF(BS221&gt;=1,"POR VENCER",IF(BS221&lt;=-1,"VENCIDA",IF(BQ221=0,"NO APLICA"))))</f>
        <v>VIGENTE</v>
      </c>
      <c r="BU221" s="4"/>
      <c r="BV221" s="4">
        <v>45961</v>
      </c>
      <c r="BW221" s="4">
        <f>DATE(YEAR(BV221)+2,MONTH(BV221),DAY(BV221))</f>
        <v>46691</v>
      </c>
      <c r="BX221" s="8">
        <f ca="1">BW221-TODAY()</f>
        <v>546</v>
      </c>
      <c r="BY221" s="5" t="str">
        <f ca="1">IF(BX221&gt;=91,"VIGENTE",IF(BX221&gt;=1,"POR VENCER",IF(BX221&lt;=-1,"VENCIDA",IF(BV221=0,"NO APLICA"))))</f>
        <v>VIGENTE</v>
      </c>
      <c r="BZ221" s="4"/>
      <c r="CA221" s="4">
        <v>45986</v>
      </c>
      <c r="CB221" s="4">
        <f>DATE(YEAR(CA221)+2,MONTH(CA221),DAY(CA221))</f>
        <v>46716</v>
      </c>
      <c r="CC221" s="8">
        <f ca="1">CB221-TODAY()</f>
        <v>571</v>
      </c>
      <c r="CD221" s="5" t="str">
        <f ca="1">IF(CC221&gt;=91,"VIGENTE",IF(CC221&gt;=1,"POR VENCER",IF(CC221&lt;=-1,"VENCIDA",IF(CA221=0,"NO APLICA"))))</f>
        <v>VIGENTE</v>
      </c>
      <c r="CE221" s="6"/>
      <c r="CF221" s="6"/>
      <c r="CG221" s="6"/>
      <c r="CH221" s="6"/>
      <c r="CI221" s="5" t="str">
        <f t="shared" si="770"/>
        <v>NO APLICA</v>
      </c>
      <c r="CJ221" s="4"/>
      <c r="CK221" s="4">
        <v>46018</v>
      </c>
      <c r="CL221" s="4">
        <f>DATE(YEAR(CK221)+2,MONTH(CK221),DAY(CK221))</f>
        <v>46748</v>
      </c>
      <c r="CM221" s="8">
        <f ca="1">CL221-TODAY()</f>
        <v>603</v>
      </c>
      <c r="CN221" s="5" t="str">
        <f ca="1">IF(CM221&gt;=91,"VIGENTE",IF(CM221&gt;=1,"POR VENCER",IF(CM221&lt;=-1,"VENCIDA",IF(CK221=0,"NO APLICA"))))</f>
        <v>VIGENTE</v>
      </c>
      <c r="CO221" s="4"/>
      <c r="CP221" s="4">
        <v>45979</v>
      </c>
      <c r="CQ221" s="4">
        <f>DATE(YEAR(CP221)+2,MONTH(CP221),DAY(CP221))</f>
        <v>46709</v>
      </c>
      <c r="CR221" s="8">
        <f ca="1">CQ221-TODAY()</f>
        <v>564</v>
      </c>
      <c r="CS221" s="5" t="str">
        <f ca="1">IF(CR221&gt;=91,"VIGENTE",IF(CR221&gt;=1,"POR VENCER",IF(CR221&lt;=-1,"VENCIDA",IF(CP221=0,"NO APLICA"))))</f>
        <v>VIGENTE</v>
      </c>
      <c r="CT221" s="4"/>
      <c r="CU221" s="4">
        <v>45965</v>
      </c>
      <c r="CV221" s="4">
        <f>DATE(YEAR(CU221)+2,MONTH(CU221),DAY(CU221))</f>
        <v>46695</v>
      </c>
      <c r="CW221" s="8">
        <f ca="1">CV221-TODAY()</f>
        <v>550</v>
      </c>
      <c r="CX221" s="5" t="str">
        <f ca="1">IF(CW221&gt;=91,"VIGENTE",IF(CW221&gt;=1,"POR VENCER",IF(CW221&lt;=-1,"VENCIDA",IF(CU221=0,"NO APLICA"))))</f>
        <v>VIGENTE</v>
      </c>
      <c r="CY221" s="4"/>
      <c r="CZ221" s="4">
        <v>46000</v>
      </c>
      <c r="DA221" s="4">
        <f>DATE(YEAR(CZ221)+2,MONTH(CZ221),DAY(CZ221))</f>
        <v>46730</v>
      </c>
      <c r="DB221" s="8">
        <f ca="1">DA221-TODAY()</f>
        <v>585</v>
      </c>
      <c r="DC221" s="5" t="str">
        <f ca="1">IF(DB221&gt;=91,"VIGENTE",IF(DB221&gt;=1,"POR VENCER",IF(DB221&lt;=-1,"VENCIDA",IF(CZ221=0,"NO APLICA"))))</f>
        <v>VIGENTE</v>
      </c>
      <c r="DD221" s="4"/>
      <c r="DE221" s="4">
        <v>45996</v>
      </c>
      <c r="DF221" s="4">
        <f>DATE(YEAR(DE221)+2,MONTH(DE221),DAY(DE221))</f>
        <v>46726</v>
      </c>
      <c r="DG221" s="8">
        <f ca="1">DF221-TODAY()</f>
        <v>581</v>
      </c>
      <c r="DH221" s="5" t="str">
        <f ca="1">IF(DG221&gt;=91,"VIGENTE",IF(DG221&gt;=1,"POR VENCER",IF(DG221&lt;=-1,"VENCIDA",IF(DE221=0,"NO APLICA"))))</f>
        <v>VIGENTE</v>
      </c>
      <c r="DI221" s="4"/>
      <c r="DJ221" s="39">
        <v>45955</v>
      </c>
      <c r="DK221" s="4">
        <f>DATE(YEAR(DJ221)+2,MONTH(DJ221),DAY(DJ221))</f>
        <v>46685</v>
      </c>
      <c r="DL221" s="8">
        <f ca="1">DK221-TODAY()</f>
        <v>540</v>
      </c>
      <c r="DM221" s="5" t="str">
        <f ca="1">IF(DL221&gt;=91,"VIGENTE",IF(DL221&gt;=1,"POR VENCER",IF(DL221&lt;=-1,"VENCIDA",IF(DJ221=0,"NO APLICA"))))</f>
        <v>VIGENTE</v>
      </c>
      <c r="DN221" s="4"/>
      <c r="DO221" s="4">
        <v>46008</v>
      </c>
      <c r="DP221" s="4">
        <f>DATE(YEAR(DO221)+2,MONTH(DO221),DAY(DO221))</f>
        <v>46738</v>
      </c>
      <c r="DQ221" s="8">
        <f ca="1">DP221-TODAY()</f>
        <v>593</v>
      </c>
      <c r="DR221" s="5" t="str">
        <f ca="1">IF(DQ221&gt;=91,"VIGENTE",IF(DQ221&gt;=1,"POR VENCER",IF(DQ221&lt;=-1,"VENCIDA",IF(DO221=0,"NO APLICA"))))</f>
        <v>VIGENTE</v>
      </c>
      <c r="DS221" s="4"/>
      <c r="DT221" s="3">
        <v>46009</v>
      </c>
      <c r="DU221" s="4">
        <f>DATE(YEAR(DT221)+2,MONTH(DT221),DAY(DT221))</f>
        <v>46739</v>
      </c>
      <c r="DV221" s="8">
        <f ca="1">DU221-TODAY()</f>
        <v>594</v>
      </c>
      <c r="DW221" s="5" t="str">
        <f ca="1">IF(DV221&gt;=91,"VIGENTE",IF(DV221&gt;=1,"POR VENCER",IF(DV221&lt;=-1,"VENCIDA",IF(DT221=0,"NO APLICA"))))</f>
        <v>VIGENTE</v>
      </c>
      <c r="DX221" s="4"/>
      <c r="DY221" s="4">
        <v>46020</v>
      </c>
      <c r="DZ221" s="4">
        <f>DATE(YEAR(DY221)+2,MONTH(DY221),DAY(DY221))</f>
        <v>46750</v>
      </c>
      <c r="EA221" s="8">
        <f ca="1">DZ221-TODAY()</f>
        <v>605</v>
      </c>
      <c r="EB221" s="5" t="str">
        <f ca="1">IF(EA221&gt;=91,"VIGENTE",IF(EA221&gt;=1,"POR VENCER",IF(EA221&lt;=-1,"VENCIDA",IF(DY221=0,"NO APLICA"))))</f>
        <v>VIGENTE</v>
      </c>
      <c r="EC221" s="4"/>
      <c r="ED221" s="39">
        <v>45994</v>
      </c>
      <c r="EE221" s="4">
        <f>DATE(YEAR(ED221)+2,MONTH(ED221),DAY(ED221))</f>
        <v>46724</v>
      </c>
      <c r="EF221" s="8">
        <f ca="1">EE221-TODAY()</f>
        <v>579</v>
      </c>
      <c r="EG221" s="5" t="str">
        <f ca="1">IF(EF221&gt;=91,"VIGENTE",IF(EF221&gt;=1,"POR VENCER",IF(EF221&lt;=-1,"VENCIDA",IF(ED221=0,"NO APLICA"))))</f>
        <v>VIGENTE</v>
      </c>
      <c r="EH221" s="3"/>
      <c r="EI221" s="3">
        <v>46015</v>
      </c>
      <c r="EJ221" s="4">
        <f t="shared" ref="EJ221:EJ238" si="771">DATE(YEAR(EI221)+1,MONTH(EI221),DAY(EI221))</f>
        <v>46380</v>
      </c>
      <c r="EK221" s="8">
        <f ca="1">EJ221-TODAY()</f>
        <v>235</v>
      </c>
      <c r="EL221" s="5" t="str">
        <f ca="1">IF(EK221&gt;=91,"VIGENTE",IF(EK221&gt;=1,"POR VENCER",IF(EK221&lt;=-1,"VENCIDA",IF(EI221=0,"NO APLICA"))))</f>
        <v>VIGENTE</v>
      </c>
      <c r="EM221" s="3"/>
      <c r="EN221" s="4">
        <v>45983</v>
      </c>
      <c r="EO221" s="4">
        <f>DATE(YEAR(EN221)+2,MONTH(EN221),DAY(EN221))</f>
        <v>46713</v>
      </c>
      <c r="EP221" s="8">
        <f ca="1">EO221-TODAY()</f>
        <v>568</v>
      </c>
      <c r="EQ221" s="5" t="str">
        <f ca="1">IF(EP221&gt;=91,"VIGENTE",IF(EP221&gt;=1,"POR VENCER",IF(EP221&lt;=-1,"VENCIDA",IF(EN221=0,"NO APLICA"))))</f>
        <v>VIGENTE</v>
      </c>
      <c r="ER221" s="4"/>
      <c r="ES221" s="39">
        <v>45999</v>
      </c>
      <c r="ET221" s="4">
        <f>DATE(YEAR(ES221)+2,MONTH(ES221),DAY(ES221))</f>
        <v>46729</v>
      </c>
      <c r="EU221" s="8">
        <f ca="1">ET221-TODAY()</f>
        <v>584</v>
      </c>
      <c r="EV221" s="5" t="str">
        <f ca="1">IF(EU221&gt;=91,"VIGENTE",IF(EU221&gt;=1,"POR VENCER",IF(EU221&lt;=-1,"VENCIDA",IF(ES221=0,"NO APLICA"))))</f>
        <v>VIGENTE</v>
      </c>
      <c r="EW221" s="4"/>
      <c r="EX221" s="4">
        <v>45964</v>
      </c>
      <c r="EY221" s="4">
        <f>DATE(YEAR(EX221)+2,MONTH(EX221),DAY(EX221))</f>
        <v>46694</v>
      </c>
      <c r="EZ221" s="8">
        <f ca="1">EY221-TODAY()</f>
        <v>549</v>
      </c>
      <c r="FA221" s="5" t="str">
        <f ca="1">IF(EZ221&gt;=91,"VIGENTE",IF(EZ221&gt;=1,"POR VENCER",IF(EZ221&lt;=-1,"VENCIDA",IF(EX221=0,"NO APLICA"))))</f>
        <v>VIGENTE</v>
      </c>
      <c r="FB221" s="4"/>
      <c r="FC221" s="4">
        <v>46010</v>
      </c>
      <c r="FD221" s="4">
        <f>DATE(YEAR(FC221)+2,MONTH(FC221),DAY(FC221))</f>
        <v>46740</v>
      </c>
      <c r="FE221" s="8">
        <f ca="1">FD221-TODAY()</f>
        <v>595</v>
      </c>
      <c r="FF221" s="5" t="str">
        <f ca="1">IF(FE221&gt;=91,"VIGENTE",IF(FE221&gt;=1,"POR VENCER",IF(FE221&lt;=-1,"VENCIDA",IF(FC221=0,"NO APLICA"))))</f>
        <v>VIGENTE</v>
      </c>
      <c r="FG221" s="4"/>
      <c r="FH221" s="4">
        <v>45992</v>
      </c>
      <c r="FI221" s="4">
        <f>DATE(YEAR(FH221)+2,MONTH(FH221),DAY(FH221))</f>
        <v>46722</v>
      </c>
      <c r="FJ221" s="8">
        <f ca="1">FI221-TODAY()</f>
        <v>577</v>
      </c>
      <c r="FK221" s="5" t="str">
        <f ca="1">IF(FJ221&gt;=91,"VIGENTE",IF(FJ221&gt;=1,"POR VENCER",IF(FJ221&lt;=-1,"VENCIDA",IF(FH221=0,"NO APLICA"))))</f>
        <v>VIGENTE</v>
      </c>
      <c r="FL221" s="4"/>
      <c r="FM221" s="4">
        <v>45933</v>
      </c>
      <c r="FN221" s="4">
        <f>DATE(YEAR(FM221)+2,MONTH(FM221),DAY(FM221))</f>
        <v>46663</v>
      </c>
      <c r="FO221" s="8">
        <f ca="1">FN221-TODAY()</f>
        <v>518</v>
      </c>
      <c r="FP221" s="5" t="str">
        <f ca="1">IF(FO221&gt;=91,"VIGENTE",IF(FO221&gt;=1,"POR VENCER",IF(FO221&lt;=-1,"VENCIDA",IF(FM221=0,"NO APLICA"))))</f>
        <v>VIGENTE</v>
      </c>
      <c r="FQ221" s="4"/>
      <c r="FR221" s="4">
        <v>45957</v>
      </c>
      <c r="FS221" s="4">
        <f>DATE(YEAR(FR221)+2,MONTH(FR221),DAY(FR221))</f>
        <v>46687</v>
      </c>
      <c r="FT221" s="8">
        <f ca="1">FS221-TODAY()</f>
        <v>542</v>
      </c>
      <c r="FU221" s="5" t="str">
        <f ca="1">IF(FT221&gt;=91,"VIGENTE",IF(FT221&gt;=1,"POR VENCER",IF(FT221&lt;=-1,"VENCIDA",IF(FR221=0,"NO APLICA"))))</f>
        <v>VIGENTE</v>
      </c>
      <c r="FV221" s="4"/>
      <c r="FW221" s="4">
        <v>46004</v>
      </c>
      <c r="FX221" s="4">
        <f>DATE(YEAR(FW221)+2,MONTH(FW221),DAY(FW221))</f>
        <v>46734</v>
      </c>
      <c r="FY221" s="8">
        <f ca="1">FX221-TODAY()</f>
        <v>589</v>
      </c>
      <c r="FZ221" s="5" t="str">
        <f ca="1">IF(FY221&gt;=91,"VIGENTE",IF(FY221&gt;=1,"POR VENCER",IF(FY221&lt;=-1,"VENCIDA",IF(FW221=0,"NO APLICA"))))</f>
        <v>VIGENTE</v>
      </c>
      <c r="GA221" s="4"/>
      <c r="GB221" s="4">
        <v>46003</v>
      </c>
      <c r="GC221" s="4">
        <f>DATE(YEAR(GB221)+2,MONTH(GB221),DAY(GB221))</f>
        <v>46733</v>
      </c>
      <c r="GD221" s="8">
        <f ca="1">GC221-TODAY()</f>
        <v>588</v>
      </c>
      <c r="GE221" s="5" t="str">
        <f ca="1">IF(GD221&gt;=91,"VIGENTE",IF(GD221&gt;=1,"POR VENCER",IF(GD221&lt;=-1,"VENCIDA",IF(GB221=0,"NO APLICA"))))</f>
        <v>VIGENTE</v>
      </c>
      <c r="GF221" s="4"/>
      <c r="GG221" s="4">
        <v>45985</v>
      </c>
      <c r="GH221" s="4">
        <f>DATE(YEAR(GG221)+2,MONTH(GG221),DAY(GG221))</f>
        <v>46715</v>
      </c>
      <c r="GI221" s="8">
        <f ca="1">GH221-TODAY()</f>
        <v>570</v>
      </c>
      <c r="GJ221" s="5" t="str">
        <f ca="1">IF(GI221&gt;=91,"VIGENTE",IF(GI221&gt;=1,"POR VENCER",IF(GI221&lt;=-1,"VENCIDA",IF(GG221=0,"NO APLICA"))))</f>
        <v>VIGENTE</v>
      </c>
      <c r="GK221" s="4"/>
      <c r="GL221" s="4">
        <v>45958</v>
      </c>
      <c r="GM221" s="4">
        <f>DATE(YEAR(GL221)+2,MONTH(GL221),DAY(GL221))</f>
        <v>46688</v>
      </c>
      <c r="GN221" s="8">
        <f ca="1">GM221-TODAY()</f>
        <v>543</v>
      </c>
      <c r="GO221" s="5" t="str">
        <f ca="1">IF(GN221&gt;=61,"VIGENTE",IF(GN221&gt;=1,"POR VENCER",IF(GN221&lt;=-1,"VENCIDA",IF(GL221=0,"NO APLICA"))))</f>
        <v>VIGENTE</v>
      </c>
      <c r="GP221" s="4"/>
      <c r="GQ221" s="6"/>
      <c r="GR221" s="6"/>
      <c r="GS221" s="6"/>
      <c r="GT221" s="5" t="str">
        <f t="shared" si="610"/>
        <v>NO APLICA</v>
      </c>
      <c r="GU221" s="4"/>
      <c r="GV221" s="6"/>
      <c r="GW221" s="6"/>
      <c r="GX221" s="6"/>
      <c r="GY221" s="5" t="str">
        <f t="shared" si="611"/>
        <v>NO APLICA</v>
      </c>
      <c r="GZ221" s="6"/>
      <c r="HA221" s="6"/>
      <c r="HB221" s="6"/>
      <c r="HC221" s="6"/>
      <c r="HD221" s="5" t="str">
        <f t="shared" si="612"/>
        <v>NO APLICA</v>
      </c>
      <c r="HE221" s="6"/>
      <c r="HF221" s="6"/>
      <c r="HG221" s="4"/>
      <c r="HH221" s="8"/>
      <c r="HI221" s="5" t="str">
        <f t="shared" si="698"/>
        <v>NO APLICA</v>
      </c>
      <c r="HJ221" s="6"/>
      <c r="HK221" s="6"/>
      <c r="HL221" s="6"/>
      <c r="HM221" s="6"/>
      <c r="HN221" s="5" t="str">
        <f t="shared" si="694"/>
        <v>NO APLICA</v>
      </c>
      <c r="HO221" s="6"/>
      <c r="HP221" s="6"/>
      <c r="HQ221" s="6"/>
      <c r="HR221" s="6"/>
      <c r="HS221" s="5" t="str">
        <f t="shared" si="732"/>
        <v>NO APLICA</v>
      </c>
      <c r="HT221" s="6"/>
      <c r="HU221" s="6"/>
      <c r="HV221" s="6"/>
      <c r="HW221" s="6"/>
      <c r="HX221" s="5" t="str">
        <f t="shared" si="733"/>
        <v>NO APLICA</v>
      </c>
      <c r="HY221" s="6"/>
      <c r="HZ221" s="6"/>
      <c r="IA221" s="6"/>
      <c r="IB221" s="6"/>
      <c r="IC221" s="5" t="str">
        <f t="shared" si="734"/>
        <v>NO APLICA</v>
      </c>
      <c r="ID221" s="6"/>
      <c r="IE221" s="6"/>
      <c r="IF221" s="6"/>
      <c r="IG221" s="6"/>
      <c r="IH221" s="5" t="str">
        <f t="shared" si="735"/>
        <v>NO APLICA</v>
      </c>
      <c r="II221" s="6"/>
      <c r="IJ221" s="6"/>
      <c r="IK221" s="6"/>
      <c r="IL221" s="6"/>
      <c r="IM221" s="5" t="str">
        <f t="shared" si="736"/>
        <v>NO APLICA</v>
      </c>
      <c r="IN221" s="6"/>
      <c r="IO221" s="6"/>
      <c r="IP221" s="6"/>
      <c r="IQ221" s="6"/>
      <c r="IR221" s="5" t="str">
        <f t="shared" si="737"/>
        <v>NO APLICA</v>
      </c>
      <c r="IS221" s="6"/>
      <c r="IT221" s="6"/>
      <c r="IU221" s="6"/>
      <c r="IV221" s="6"/>
      <c r="IW221" s="5" t="str">
        <f t="shared" si="738"/>
        <v>NO APLICA</v>
      </c>
      <c r="IX221" s="6"/>
      <c r="IY221" s="6"/>
      <c r="IZ221" s="6"/>
      <c r="JA221" s="6"/>
      <c r="JB221" s="5" t="str">
        <f t="shared" si="739"/>
        <v>NO APLICA</v>
      </c>
      <c r="JC221" s="3" t="s">
        <v>780</v>
      </c>
      <c r="JD221" s="6"/>
      <c r="JE221" s="6"/>
      <c r="JF221" s="6"/>
      <c r="JG221" s="5"/>
      <c r="JH221" s="3" t="s">
        <v>780</v>
      </c>
      <c r="JI221" s="6"/>
      <c r="JJ221" s="6"/>
      <c r="JK221" s="6"/>
      <c r="JL221" s="5"/>
      <c r="JM221" s="6" t="s">
        <v>780</v>
      </c>
      <c r="JN221" s="6"/>
      <c r="JO221" s="6"/>
      <c r="JP221" s="6"/>
      <c r="JQ221" s="5"/>
      <c r="JR221" s="6" t="s">
        <v>780</v>
      </c>
      <c r="JS221" s="6"/>
      <c r="JT221" s="6"/>
      <c r="JU221" s="6"/>
      <c r="JV221" s="5"/>
      <c r="JW221" s="6" t="s">
        <v>780</v>
      </c>
      <c r="JX221" s="3"/>
      <c r="JY221" s="4"/>
      <c r="JZ221" s="8"/>
      <c r="KA221" s="5"/>
      <c r="KB221" s="5"/>
      <c r="KC221" s="6"/>
      <c r="KD221" s="6"/>
      <c r="KE221" s="6"/>
      <c r="KF221" s="5" t="str">
        <f t="shared" si="740"/>
        <v>NO APLICA</v>
      </c>
      <c r="KG221" s="5"/>
      <c r="KH221" s="6"/>
      <c r="KI221" s="6"/>
      <c r="KJ221" s="6"/>
      <c r="KK221" s="5" t="str">
        <f t="shared" si="760"/>
        <v>NO APLICA</v>
      </c>
      <c r="KL221" s="5"/>
      <c r="KM221" s="6"/>
      <c r="KN221" s="6"/>
      <c r="KO221" s="6"/>
      <c r="KP221" s="5" t="str">
        <f t="shared" si="741"/>
        <v>NO APLICA</v>
      </c>
      <c r="KQ221" s="5"/>
      <c r="KR221" s="6"/>
      <c r="KS221" s="6"/>
      <c r="KT221" s="6"/>
      <c r="KU221" s="5" t="str">
        <f t="shared" si="761"/>
        <v>NO APLICA</v>
      </c>
      <c r="KV221" s="6"/>
      <c r="KW221" s="6"/>
      <c r="KX221" s="6"/>
      <c r="KY221" s="6"/>
      <c r="KZ221" s="5" t="str">
        <f t="shared" si="767"/>
        <v>NO APLICA</v>
      </c>
      <c r="LA221" s="5"/>
      <c r="LB221" s="6"/>
      <c r="LC221" s="6"/>
      <c r="LD221" s="6"/>
      <c r="LE221" s="5" t="str">
        <f t="shared" si="762"/>
        <v>NO APLICA</v>
      </c>
      <c r="LF221" s="6"/>
      <c r="LG221" s="6"/>
      <c r="LH221" s="6"/>
      <c r="LI221" s="6"/>
      <c r="LJ221" s="5" t="str">
        <f t="shared" si="600"/>
        <v>NO APLICA</v>
      </c>
      <c r="LK221" s="5"/>
      <c r="LL221" s="5"/>
      <c r="LM221" s="4"/>
      <c r="LN221" s="8"/>
      <c r="LO221" s="5" t="str">
        <f t="shared" si="768"/>
        <v>NO APLICA</v>
      </c>
      <c r="LP221" s="6"/>
      <c r="LQ221" s="6"/>
      <c r="LR221" s="6"/>
      <c r="LS221" s="6"/>
      <c r="LT221" s="5" t="str">
        <f t="shared" si="763"/>
        <v>NO APLICA</v>
      </c>
      <c r="LU221" s="6"/>
      <c r="LV221" s="6"/>
      <c r="LW221" s="6"/>
      <c r="LX221" s="6"/>
      <c r="LY221" s="5" t="str">
        <f t="shared" si="764"/>
        <v>NO APLICA</v>
      </c>
      <c r="LZ221" s="6"/>
      <c r="MA221" s="6"/>
      <c r="MB221" s="6"/>
      <c r="MC221" s="6"/>
      <c r="MD221" s="5" t="str">
        <f t="shared" si="765"/>
        <v>NO APLICA</v>
      </c>
      <c r="ME221" s="6"/>
      <c r="MF221" s="6"/>
      <c r="MG221" s="6"/>
      <c r="MH221" s="6"/>
      <c r="MI221" s="5" t="str">
        <f t="shared" si="742"/>
        <v>NO APLICA</v>
      </c>
      <c r="MJ221" s="6"/>
      <c r="MK221" s="6"/>
      <c r="ML221" s="6"/>
      <c r="MM221" s="6"/>
      <c r="MN221" s="5" t="str">
        <f t="shared" si="743"/>
        <v>NO APLICA</v>
      </c>
      <c r="MO221" s="5"/>
      <c r="MP221" s="6"/>
      <c r="MQ221" s="6"/>
      <c r="MR221" s="6"/>
      <c r="MS221" s="5" t="str">
        <f t="shared" si="744"/>
        <v>NO APLICA</v>
      </c>
      <c r="MT221" s="5"/>
      <c r="MU221" s="6"/>
      <c r="MV221" s="6"/>
      <c r="MW221" s="6"/>
      <c r="MX221" s="5" t="str">
        <f t="shared" si="745"/>
        <v>NO APLICA</v>
      </c>
      <c r="MY221" s="6"/>
      <c r="MZ221" s="6"/>
      <c r="NA221" s="6"/>
      <c r="NB221" s="6"/>
      <c r="NC221" s="5" t="str">
        <f t="shared" si="746"/>
        <v>NO APLICA</v>
      </c>
      <c r="ND221" s="6"/>
      <c r="NE221" s="6"/>
      <c r="NF221" s="6"/>
      <c r="NG221" s="6"/>
      <c r="NH221" s="5" t="str">
        <f t="shared" si="747"/>
        <v>NO APLICA</v>
      </c>
      <c r="NI221" s="6"/>
      <c r="NJ221" s="6"/>
      <c r="NK221" s="6"/>
      <c r="NL221" s="6"/>
      <c r="NM221" s="5" t="str">
        <f t="shared" si="748"/>
        <v>NO APLICA</v>
      </c>
      <c r="NN221" s="6"/>
      <c r="NO221" s="6"/>
      <c r="NP221" s="6"/>
      <c r="NQ221" s="6"/>
      <c r="NR221" s="5" t="str">
        <f t="shared" si="749"/>
        <v>NO APLICA</v>
      </c>
      <c r="NS221" s="6"/>
      <c r="NT221" s="6"/>
      <c r="NU221" s="6"/>
      <c r="NV221" s="6"/>
      <c r="NW221" s="5" t="str">
        <f t="shared" si="750"/>
        <v>NO APLICA</v>
      </c>
      <c r="NX221" s="6"/>
      <c r="NY221" s="6"/>
      <c r="NZ221" s="6"/>
      <c r="OA221" s="6"/>
      <c r="OB221" s="5" t="str">
        <f t="shared" si="751"/>
        <v>NO APLICA</v>
      </c>
      <c r="OC221" s="6"/>
      <c r="OD221" s="6"/>
      <c r="OE221" s="6"/>
      <c r="OF221" s="6"/>
      <c r="OG221" s="5" t="str">
        <f t="shared" si="752"/>
        <v>NO APLICA</v>
      </c>
      <c r="OH221" s="6"/>
      <c r="OI221" s="6"/>
      <c r="OJ221" s="6"/>
      <c r="OK221" s="6"/>
      <c r="OL221" s="5" t="str">
        <f t="shared" si="753"/>
        <v>NO APLICA</v>
      </c>
      <c r="OM221" s="6"/>
      <c r="ON221" s="6"/>
      <c r="OO221" s="6"/>
      <c r="OP221" s="6"/>
      <c r="OQ221" s="5" t="str">
        <f t="shared" si="754"/>
        <v>NO APLICA</v>
      </c>
      <c r="OR221" s="4"/>
      <c r="OS221" s="4"/>
      <c r="OT221" s="4"/>
      <c r="OU221" s="8"/>
      <c r="OV221" s="5" t="str">
        <f t="shared" si="755"/>
        <v>NO APLICA</v>
      </c>
      <c r="OW221" s="4"/>
      <c r="OX221" s="4">
        <v>44770</v>
      </c>
      <c r="OY221" s="4">
        <f>DATE(YEAR(OX221)+5,MONTH(OX221),DAY(OX221))</f>
        <v>46596</v>
      </c>
      <c r="OZ221" s="8">
        <f ca="1">OY221-TODAY()</f>
        <v>451</v>
      </c>
      <c r="PA221" s="5" t="str">
        <f ca="1">IF(OZ221&gt;=61,"VIGENTE",IF(OZ221&gt;=1,"POR VENCER",IF(OZ221&lt;=-1,"VENCIDA",IF(OX221=0,"NO APLICA"))))</f>
        <v>VIGENTE</v>
      </c>
      <c r="PB221" s="4"/>
      <c r="PC221" s="4">
        <v>45009</v>
      </c>
      <c r="PD221" s="4">
        <f>DATE(YEAR(PC221)+5,MONTH(PC221),DAY(PC221))</f>
        <v>46836</v>
      </c>
      <c r="PE221" s="8">
        <f ca="1">PD221-TODAY()</f>
        <v>691</v>
      </c>
      <c r="PF221" s="5" t="str">
        <f ca="1">IF(PE221&gt;=61,"VIGENTE",IF(PE221&gt;=1,"POR VENCER",IF(PE221&lt;=-1,"VENCIDA",IF(PC221=0,"NO APLICA"))))</f>
        <v>VIGENTE</v>
      </c>
      <c r="PG221" s="4"/>
      <c r="PH221" s="4">
        <v>44979</v>
      </c>
      <c r="PI221" s="4">
        <f>DATE(YEAR(PH221)+5,MONTH(PH221),DAY(PH221))</f>
        <v>46805</v>
      </c>
      <c r="PJ221" s="8">
        <f ca="1">PI221-TODAY()</f>
        <v>660</v>
      </c>
      <c r="PK221" s="5" t="str">
        <f ca="1">IF(PJ221&gt;=61,"VIGENTE",IF(PJ221&gt;=1,"POR VENCER",IF(PJ221&lt;=-1,"VENCIDA",IF(PH221=0,"NO APLICA"))))</f>
        <v>VIGENTE</v>
      </c>
      <c r="PL221" s="5"/>
      <c r="PM221" s="4">
        <v>44627</v>
      </c>
      <c r="PN221" s="4">
        <f>DATE(YEAR(PM221)+5,MONTH(PM221),DAY(PM221))</f>
        <v>46453</v>
      </c>
      <c r="PO221" s="8">
        <f ca="1">PN221-TODAY()</f>
        <v>308</v>
      </c>
      <c r="PP221" s="5" t="str">
        <f ca="1">IF(PO221&gt;=61,"VIGENTE",IF(PO221&gt;=1,"POR VENCER",IF(PO221&lt;=-1,"VENCIDA",IF(PM221=0,"NO APLICA"))))</f>
        <v>VIGENTE</v>
      </c>
      <c r="PQ221" s="4"/>
      <c r="PR221" s="4">
        <v>44981</v>
      </c>
      <c r="PS221" s="4">
        <f>DATE(YEAR(PR221)+5,MONTH(PR221),DAY(PR221))</f>
        <v>46807</v>
      </c>
      <c r="PT221" s="8">
        <f ca="1">PS221-TODAY()</f>
        <v>662</v>
      </c>
      <c r="PU221" s="5" t="str">
        <f ca="1">IF(PT221&gt;=61,"VIGENTE",IF(PT221&gt;=1,"POR VENCER",IF(PT221&lt;=-1,"VENCIDA",IF(PR221=0,"NO APLICA"))))</f>
        <v>VIGENTE</v>
      </c>
      <c r="PV221" s="5"/>
      <c r="PW221" s="6"/>
      <c r="PX221" s="6"/>
      <c r="PY221" s="6"/>
      <c r="PZ221" s="5" t="str">
        <f t="shared" si="759"/>
        <v>NO APLICA</v>
      </c>
    </row>
    <row r="222" spans="1:442" ht="15.6" hidden="1" thickTop="1" thickBot="1" x14ac:dyDescent="0.35">
      <c r="A222" s="26">
        <v>219</v>
      </c>
      <c r="B222" s="31">
        <v>1525</v>
      </c>
      <c r="C222" s="28" t="s">
        <v>663</v>
      </c>
      <c r="D222" s="29" t="s">
        <v>621</v>
      </c>
      <c r="E222" s="30" t="s">
        <v>622</v>
      </c>
      <c r="F222" s="6"/>
      <c r="G222" s="6"/>
      <c r="H222" s="6"/>
      <c r="I222" s="6"/>
      <c r="J222" s="5" t="str">
        <f t="shared" si="696"/>
        <v>NO APLICA</v>
      </c>
      <c r="K222" s="6"/>
      <c r="L222" s="6"/>
      <c r="M222" s="6"/>
      <c r="N222" s="6"/>
      <c r="O222" s="5" t="str">
        <f t="shared" si="699"/>
        <v>NO APLICA</v>
      </c>
      <c r="P222" s="6"/>
      <c r="Q222" s="6"/>
      <c r="R222" s="6"/>
      <c r="S222" s="6"/>
      <c r="T222" s="5" t="str">
        <f t="shared" si="697"/>
        <v>NO APLICA</v>
      </c>
      <c r="U222" s="5"/>
      <c r="V222" s="6"/>
      <c r="W222" s="4"/>
      <c r="X222" s="4"/>
      <c r="Y222" s="8"/>
      <c r="Z222" s="5" t="str">
        <f t="shared" si="605"/>
        <v>NO APLICA</v>
      </c>
      <c r="AA222" s="5"/>
      <c r="AB222" s="6"/>
      <c r="AC222" s="6"/>
      <c r="AD222" s="6"/>
      <c r="AE222" s="6"/>
      <c r="AF222" s="5" t="str">
        <f t="shared" si="700"/>
        <v>NO APLICA</v>
      </c>
      <c r="AG222" s="4"/>
      <c r="AH222" s="4"/>
      <c r="AI222" s="4"/>
      <c r="AJ222" s="6"/>
      <c r="AK222" s="5" t="str">
        <f t="shared" si="602"/>
        <v>NO APLICA</v>
      </c>
      <c r="AL222" s="4"/>
      <c r="AM222" s="4"/>
      <c r="AN222" s="4"/>
      <c r="AO222" s="6"/>
      <c r="AP222" s="5" t="str">
        <f t="shared" si="701"/>
        <v>NO APLICA</v>
      </c>
      <c r="AQ222" s="4"/>
      <c r="AR222" s="4"/>
      <c r="AS222" s="4"/>
      <c r="AT222" s="6"/>
      <c r="AU222" s="5" t="str">
        <f t="shared" si="702"/>
        <v>NO APLICA</v>
      </c>
      <c r="AV222" s="4"/>
      <c r="AW222" s="4"/>
      <c r="AX222" s="4"/>
      <c r="AY222" s="6"/>
      <c r="AZ222" s="5" t="str">
        <f t="shared" si="703"/>
        <v>NO APLICA</v>
      </c>
      <c r="BA222" s="4"/>
      <c r="BB222" s="4"/>
      <c r="BC222" s="4"/>
      <c r="BD222" s="6"/>
      <c r="BE222" s="5" t="str">
        <f t="shared" si="704"/>
        <v>NO APLICA</v>
      </c>
      <c r="BF222" s="4"/>
      <c r="BG222" s="4"/>
      <c r="BH222" s="4"/>
      <c r="BI222" s="6"/>
      <c r="BJ222" s="5" t="str">
        <f t="shared" si="705"/>
        <v>NO APLICA</v>
      </c>
      <c r="BK222" s="4"/>
      <c r="BL222" s="4"/>
      <c r="BM222" s="4"/>
      <c r="BN222" s="6"/>
      <c r="BO222" s="5" t="str">
        <f t="shared" si="706"/>
        <v>NO APLICA</v>
      </c>
      <c r="BP222" s="4"/>
      <c r="BQ222" s="4"/>
      <c r="BR222" s="4"/>
      <c r="BS222" s="6"/>
      <c r="BT222" s="5" t="str">
        <f t="shared" si="707"/>
        <v>NO APLICA</v>
      </c>
      <c r="BU222" s="4"/>
      <c r="BV222" s="4"/>
      <c r="BW222" s="4"/>
      <c r="BX222" s="6"/>
      <c r="BY222" s="5" t="str">
        <f t="shared" si="708"/>
        <v>NO APLICA</v>
      </c>
      <c r="BZ222" s="4"/>
      <c r="CA222" s="4"/>
      <c r="CB222" s="4"/>
      <c r="CC222" s="6"/>
      <c r="CD222" s="5" t="str">
        <f t="shared" si="709"/>
        <v>NO APLICA</v>
      </c>
      <c r="CE222" s="6"/>
      <c r="CF222" s="6"/>
      <c r="CG222" s="6"/>
      <c r="CH222" s="6"/>
      <c r="CI222" s="5" t="str">
        <f t="shared" si="770"/>
        <v>NO APLICA</v>
      </c>
      <c r="CJ222" s="4"/>
      <c r="CK222" s="4"/>
      <c r="CL222" s="4"/>
      <c r="CM222" s="6"/>
      <c r="CN222" s="5" t="str">
        <f t="shared" si="710"/>
        <v>NO APLICA</v>
      </c>
      <c r="CO222" s="4"/>
      <c r="CP222" s="4"/>
      <c r="CQ222" s="4"/>
      <c r="CR222" s="6"/>
      <c r="CS222" s="5" t="str">
        <f t="shared" si="711"/>
        <v>NO APLICA</v>
      </c>
      <c r="CT222" s="4"/>
      <c r="CU222" s="4"/>
      <c r="CV222" s="4"/>
      <c r="CW222" s="6"/>
      <c r="CX222" s="5" t="str">
        <f t="shared" si="712"/>
        <v>NO APLICA</v>
      </c>
      <c r="CY222" s="4"/>
      <c r="CZ222" s="4"/>
      <c r="DA222" s="4"/>
      <c r="DB222" s="6"/>
      <c r="DC222" s="5" t="str">
        <f t="shared" si="713"/>
        <v>NO APLICA</v>
      </c>
      <c r="DD222" s="4"/>
      <c r="DE222" s="4"/>
      <c r="DF222" s="4"/>
      <c r="DG222" s="6"/>
      <c r="DH222" s="5" t="str">
        <f t="shared" si="714"/>
        <v>NO APLICA</v>
      </c>
      <c r="DI222" s="4"/>
      <c r="DJ222" s="4"/>
      <c r="DK222" s="4"/>
      <c r="DL222" s="6"/>
      <c r="DM222" s="5" t="str">
        <f t="shared" si="715"/>
        <v>NO APLICA</v>
      </c>
      <c r="DN222" s="4"/>
      <c r="DO222" s="4"/>
      <c r="DP222" s="4"/>
      <c r="DQ222" s="6"/>
      <c r="DR222" s="5" t="str">
        <f t="shared" si="716"/>
        <v>NO APLICA</v>
      </c>
      <c r="DS222" s="4"/>
      <c r="DT222" s="4"/>
      <c r="DU222" s="4"/>
      <c r="DV222" s="6"/>
      <c r="DW222" s="5" t="str">
        <f t="shared" si="717"/>
        <v>NO APLICA</v>
      </c>
      <c r="DX222" s="4"/>
      <c r="DY222" s="4"/>
      <c r="DZ222" s="4"/>
      <c r="EA222" s="6"/>
      <c r="EB222" s="5" t="str">
        <f t="shared" si="718"/>
        <v>NO APLICA</v>
      </c>
      <c r="EC222" s="4"/>
      <c r="ED222" s="4"/>
      <c r="EE222" s="4"/>
      <c r="EF222" s="6"/>
      <c r="EG222" s="5" t="str">
        <f t="shared" si="719"/>
        <v>NO APLICA</v>
      </c>
      <c r="EH222" s="4"/>
      <c r="EI222" s="4"/>
      <c r="EJ222" s="4"/>
      <c r="EK222" s="8"/>
      <c r="EL222" s="5" t="str">
        <f t="shared" si="720"/>
        <v>NO APLICA</v>
      </c>
      <c r="EM222" s="4"/>
      <c r="EN222" s="4"/>
      <c r="EO222" s="4"/>
      <c r="EP222" s="8"/>
      <c r="EQ222" s="5" t="str">
        <f t="shared" si="721"/>
        <v>NO APLICA</v>
      </c>
      <c r="ER222" s="4"/>
      <c r="ES222" s="4"/>
      <c r="ET222" s="4"/>
      <c r="EU222" s="8"/>
      <c r="EV222" s="5" t="str">
        <f t="shared" si="722"/>
        <v>NO APLICA</v>
      </c>
      <c r="EW222" s="4"/>
      <c r="EX222" s="4"/>
      <c r="EY222" s="4"/>
      <c r="EZ222" s="6"/>
      <c r="FA222" s="5" t="str">
        <f t="shared" si="723"/>
        <v>NO APLICA</v>
      </c>
      <c r="FB222" s="4"/>
      <c r="FC222" s="4"/>
      <c r="FD222" s="4"/>
      <c r="FE222" s="6"/>
      <c r="FF222" s="5" t="str">
        <f t="shared" si="724"/>
        <v>NO APLICA</v>
      </c>
      <c r="FG222" s="4"/>
      <c r="FH222" s="4"/>
      <c r="FI222" s="4"/>
      <c r="FJ222" s="6"/>
      <c r="FK222" s="5" t="str">
        <f t="shared" si="725"/>
        <v>NO APLICA</v>
      </c>
      <c r="FL222" s="4"/>
      <c r="FM222" s="4"/>
      <c r="FN222" s="4"/>
      <c r="FO222" s="6"/>
      <c r="FP222" s="5" t="str">
        <f t="shared" si="726"/>
        <v>NO APLICA</v>
      </c>
      <c r="FQ222" s="4"/>
      <c r="FR222" s="4"/>
      <c r="FS222" s="4"/>
      <c r="FT222" s="6"/>
      <c r="FU222" s="5" t="str">
        <f t="shared" si="727"/>
        <v>NO APLICA</v>
      </c>
      <c r="FV222" s="4"/>
      <c r="FW222" s="4"/>
      <c r="FX222" s="4"/>
      <c r="FY222" s="6"/>
      <c r="FZ222" s="5" t="str">
        <f t="shared" si="728"/>
        <v>NO APLICA</v>
      </c>
      <c r="GA222" s="4"/>
      <c r="GB222" s="4"/>
      <c r="GC222" s="4"/>
      <c r="GD222" s="6"/>
      <c r="GE222" s="5" t="str">
        <f t="shared" si="729"/>
        <v>NO APLICA</v>
      </c>
      <c r="GF222" s="4"/>
      <c r="GG222" s="4"/>
      <c r="GH222" s="4"/>
      <c r="GI222" s="8"/>
      <c r="GJ222" s="5" t="str">
        <f t="shared" si="730"/>
        <v>NO APLICA</v>
      </c>
      <c r="GK222" s="4"/>
      <c r="GL222" s="6"/>
      <c r="GM222" s="6"/>
      <c r="GN222" s="6"/>
      <c r="GO222" s="5" t="str">
        <f t="shared" si="731"/>
        <v>NO APLICA</v>
      </c>
      <c r="GP222" s="4"/>
      <c r="GQ222" s="6"/>
      <c r="GR222" s="6"/>
      <c r="GS222" s="6"/>
      <c r="GT222" s="5" t="str">
        <f t="shared" si="610"/>
        <v>NO APLICA</v>
      </c>
      <c r="GU222" s="4"/>
      <c r="GV222" s="6"/>
      <c r="GW222" s="6"/>
      <c r="GX222" s="6"/>
      <c r="GY222" s="5" t="str">
        <f t="shared" si="611"/>
        <v>NO APLICA</v>
      </c>
      <c r="GZ222" s="6"/>
      <c r="HA222" s="6"/>
      <c r="HB222" s="6"/>
      <c r="HC222" s="6"/>
      <c r="HD222" s="5" t="str">
        <f t="shared" si="612"/>
        <v>NO APLICA</v>
      </c>
      <c r="HE222" s="6"/>
      <c r="HF222" s="6"/>
      <c r="HG222" s="4"/>
      <c r="HH222" s="8"/>
      <c r="HI222" s="5" t="str">
        <f t="shared" si="698"/>
        <v>NO APLICA</v>
      </c>
      <c r="HJ222" s="6"/>
      <c r="HK222" s="6"/>
      <c r="HL222" s="6"/>
      <c r="HM222" s="6"/>
      <c r="HN222" s="5" t="str">
        <f t="shared" si="694"/>
        <v>NO APLICA</v>
      </c>
      <c r="HO222" s="6"/>
      <c r="HP222" s="6"/>
      <c r="HQ222" s="6"/>
      <c r="HR222" s="6"/>
      <c r="HS222" s="5" t="str">
        <f t="shared" si="732"/>
        <v>NO APLICA</v>
      </c>
      <c r="HT222" s="6"/>
      <c r="HU222" s="6"/>
      <c r="HV222" s="6"/>
      <c r="HW222" s="6"/>
      <c r="HX222" s="5" t="str">
        <f t="shared" si="733"/>
        <v>NO APLICA</v>
      </c>
      <c r="HY222" s="6"/>
      <c r="HZ222" s="6"/>
      <c r="IA222" s="6"/>
      <c r="IB222" s="6"/>
      <c r="IC222" s="5" t="str">
        <f t="shared" si="734"/>
        <v>NO APLICA</v>
      </c>
      <c r="ID222" s="6"/>
      <c r="IE222" s="6"/>
      <c r="IF222" s="6"/>
      <c r="IG222" s="6"/>
      <c r="IH222" s="5" t="str">
        <f t="shared" si="735"/>
        <v>NO APLICA</v>
      </c>
      <c r="II222" s="6"/>
      <c r="IJ222" s="6"/>
      <c r="IK222" s="6"/>
      <c r="IL222" s="6"/>
      <c r="IM222" s="5" t="str">
        <f t="shared" si="736"/>
        <v>NO APLICA</v>
      </c>
      <c r="IN222" s="6"/>
      <c r="IO222" s="6"/>
      <c r="IP222" s="6"/>
      <c r="IQ222" s="6"/>
      <c r="IR222" s="5" t="str">
        <f t="shared" si="737"/>
        <v>NO APLICA</v>
      </c>
      <c r="IS222" s="6"/>
      <c r="IT222" s="6"/>
      <c r="IU222" s="6"/>
      <c r="IV222" s="6"/>
      <c r="IW222" s="5" t="str">
        <f t="shared" si="738"/>
        <v>NO APLICA</v>
      </c>
      <c r="IX222" s="6"/>
      <c r="IY222" s="6"/>
      <c r="IZ222" s="6"/>
      <c r="JA222" s="6"/>
      <c r="JB222" s="5" t="str">
        <f t="shared" si="739"/>
        <v>NO APLICA</v>
      </c>
      <c r="JC222" s="3" t="s">
        <v>780</v>
      </c>
      <c r="JD222" s="6"/>
      <c r="JE222" s="6"/>
      <c r="JF222" s="6"/>
      <c r="JG222" s="5"/>
      <c r="JH222" s="3" t="s">
        <v>780</v>
      </c>
      <c r="JI222" s="6"/>
      <c r="JJ222" s="6"/>
      <c r="JK222" s="6"/>
      <c r="JL222" s="5"/>
      <c r="JM222" s="6" t="s">
        <v>780</v>
      </c>
      <c r="JN222" s="6"/>
      <c r="JO222" s="6"/>
      <c r="JP222" s="6"/>
      <c r="JQ222" s="5"/>
      <c r="JR222" s="6" t="s">
        <v>780</v>
      </c>
      <c r="JS222" s="6"/>
      <c r="JT222" s="6"/>
      <c r="JU222" s="6"/>
      <c r="JV222" s="5"/>
      <c r="JW222" s="6" t="s">
        <v>780</v>
      </c>
      <c r="JX222" s="3"/>
      <c r="JY222" s="4"/>
      <c r="JZ222" s="8"/>
      <c r="KA222" s="5"/>
      <c r="KB222" s="5"/>
      <c r="KC222" s="6"/>
      <c r="KD222" s="6"/>
      <c r="KE222" s="6"/>
      <c r="KF222" s="5" t="str">
        <f t="shared" si="740"/>
        <v>NO APLICA</v>
      </c>
      <c r="KG222" s="5"/>
      <c r="KH222" s="6"/>
      <c r="KI222" s="6"/>
      <c r="KJ222" s="6"/>
      <c r="KK222" s="5" t="str">
        <f t="shared" si="760"/>
        <v>NO APLICA</v>
      </c>
      <c r="KL222" s="5"/>
      <c r="KM222" s="6"/>
      <c r="KN222" s="6"/>
      <c r="KO222" s="6"/>
      <c r="KP222" s="5" t="str">
        <f t="shared" si="741"/>
        <v>NO APLICA</v>
      </c>
      <c r="KQ222" s="5"/>
      <c r="KR222" s="6"/>
      <c r="KS222" s="6"/>
      <c r="KT222" s="6"/>
      <c r="KU222" s="5" t="str">
        <f t="shared" si="761"/>
        <v>NO APLICA</v>
      </c>
      <c r="KV222" s="6"/>
      <c r="KW222" s="6"/>
      <c r="KX222" s="6"/>
      <c r="KY222" s="6"/>
      <c r="KZ222" s="5" t="str">
        <f t="shared" si="767"/>
        <v>NO APLICA</v>
      </c>
      <c r="LA222" s="5"/>
      <c r="LB222" s="6"/>
      <c r="LC222" s="6"/>
      <c r="LD222" s="6"/>
      <c r="LE222" s="5" t="str">
        <f t="shared" si="762"/>
        <v>NO APLICA</v>
      </c>
      <c r="LF222" s="6"/>
      <c r="LG222" s="6"/>
      <c r="LH222" s="6"/>
      <c r="LI222" s="6"/>
      <c r="LJ222" s="5" t="str">
        <f t="shared" si="600"/>
        <v>NO APLICA</v>
      </c>
      <c r="LK222" s="5"/>
      <c r="LL222" s="5"/>
      <c r="LM222" s="4"/>
      <c r="LN222" s="8"/>
      <c r="LO222" s="5" t="str">
        <f t="shared" si="768"/>
        <v>NO APLICA</v>
      </c>
      <c r="LP222" s="6"/>
      <c r="LQ222" s="6"/>
      <c r="LR222" s="6"/>
      <c r="LS222" s="6"/>
      <c r="LT222" s="5" t="str">
        <f t="shared" si="763"/>
        <v>NO APLICA</v>
      </c>
      <c r="LU222" s="6"/>
      <c r="LV222" s="6"/>
      <c r="LW222" s="6"/>
      <c r="LX222" s="6"/>
      <c r="LY222" s="5" t="str">
        <f t="shared" si="764"/>
        <v>NO APLICA</v>
      </c>
      <c r="LZ222" s="6"/>
      <c r="MA222" s="6"/>
      <c r="MB222" s="6"/>
      <c r="MC222" s="6"/>
      <c r="MD222" s="5" t="str">
        <f t="shared" si="765"/>
        <v>NO APLICA</v>
      </c>
      <c r="ME222" s="6"/>
      <c r="MF222" s="6"/>
      <c r="MG222" s="6"/>
      <c r="MH222" s="6"/>
      <c r="MI222" s="5" t="str">
        <f t="shared" si="742"/>
        <v>NO APLICA</v>
      </c>
      <c r="MJ222" s="6"/>
      <c r="MK222" s="6"/>
      <c r="ML222" s="6"/>
      <c r="MM222" s="6"/>
      <c r="MN222" s="5" t="str">
        <f t="shared" si="743"/>
        <v>NO APLICA</v>
      </c>
      <c r="MO222" s="5"/>
      <c r="MP222" s="6"/>
      <c r="MQ222" s="6"/>
      <c r="MR222" s="6"/>
      <c r="MS222" s="5" t="str">
        <f t="shared" si="744"/>
        <v>NO APLICA</v>
      </c>
      <c r="MT222" s="5"/>
      <c r="MU222" s="6"/>
      <c r="MV222" s="6"/>
      <c r="MW222" s="6"/>
      <c r="MX222" s="5" t="str">
        <f t="shared" si="745"/>
        <v>NO APLICA</v>
      </c>
      <c r="MY222" s="6"/>
      <c r="MZ222" s="6"/>
      <c r="NA222" s="6"/>
      <c r="NB222" s="6"/>
      <c r="NC222" s="5" t="str">
        <f t="shared" si="746"/>
        <v>NO APLICA</v>
      </c>
      <c r="ND222" s="6"/>
      <c r="NE222" s="6"/>
      <c r="NF222" s="6"/>
      <c r="NG222" s="6"/>
      <c r="NH222" s="5" t="str">
        <f t="shared" si="747"/>
        <v>NO APLICA</v>
      </c>
      <c r="NI222" s="6"/>
      <c r="NJ222" s="6"/>
      <c r="NK222" s="6"/>
      <c r="NL222" s="6"/>
      <c r="NM222" s="5" t="str">
        <f t="shared" si="748"/>
        <v>NO APLICA</v>
      </c>
      <c r="NN222" s="6"/>
      <c r="NO222" s="6"/>
      <c r="NP222" s="6"/>
      <c r="NQ222" s="6"/>
      <c r="NR222" s="5" t="str">
        <f t="shared" si="749"/>
        <v>NO APLICA</v>
      </c>
      <c r="NS222" s="6"/>
      <c r="NT222" s="6"/>
      <c r="NU222" s="6"/>
      <c r="NV222" s="6"/>
      <c r="NW222" s="5" t="str">
        <f t="shared" si="750"/>
        <v>NO APLICA</v>
      </c>
      <c r="NX222" s="6"/>
      <c r="NY222" s="6"/>
      <c r="NZ222" s="6"/>
      <c r="OA222" s="6"/>
      <c r="OB222" s="5" t="str">
        <f t="shared" si="751"/>
        <v>NO APLICA</v>
      </c>
      <c r="OC222" s="6"/>
      <c r="OD222" s="6"/>
      <c r="OE222" s="6"/>
      <c r="OF222" s="6"/>
      <c r="OG222" s="5" t="str">
        <f t="shared" si="752"/>
        <v>NO APLICA</v>
      </c>
      <c r="OH222" s="6"/>
      <c r="OI222" s="6"/>
      <c r="OJ222" s="6"/>
      <c r="OK222" s="6"/>
      <c r="OL222" s="5" t="str">
        <f t="shared" si="753"/>
        <v>NO APLICA</v>
      </c>
      <c r="OM222" s="6"/>
      <c r="ON222" s="6"/>
      <c r="OO222" s="6"/>
      <c r="OP222" s="6"/>
      <c r="OQ222" s="5" t="str">
        <f t="shared" si="754"/>
        <v>NO APLICA</v>
      </c>
      <c r="OR222" s="6"/>
      <c r="OS222" s="6"/>
      <c r="OT222" s="6"/>
      <c r="OU222" s="6"/>
      <c r="OV222" s="5" t="str">
        <f t="shared" si="755"/>
        <v>NO APLICA</v>
      </c>
      <c r="OW222" s="6"/>
      <c r="OX222" s="6"/>
      <c r="OY222" s="6"/>
      <c r="OZ222" s="6"/>
      <c r="PA222" s="5" t="str">
        <f t="shared" si="769"/>
        <v>NO APLICA</v>
      </c>
      <c r="PB222" s="6"/>
      <c r="PC222" s="6"/>
      <c r="PD222" s="6"/>
      <c r="PE222" s="6"/>
      <c r="PF222" s="5" t="str">
        <f t="shared" si="756"/>
        <v>NO APLICA</v>
      </c>
      <c r="PG222" s="6"/>
      <c r="PH222" s="6"/>
      <c r="PI222" s="6"/>
      <c r="PJ222" s="6"/>
      <c r="PK222" s="5" t="str">
        <f t="shared" si="757"/>
        <v>NO APLICA</v>
      </c>
      <c r="PL222" s="5"/>
      <c r="PM222" s="6"/>
      <c r="PN222" s="6"/>
      <c r="PO222" s="6"/>
      <c r="PP222" s="5" t="str">
        <f t="shared" si="766"/>
        <v>NO APLICA</v>
      </c>
      <c r="PQ222" s="6"/>
      <c r="PR222" s="6"/>
      <c r="PS222" s="6"/>
      <c r="PT222" s="6"/>
      <c r="PU222" s="5" t="str">
        <f t="shared" si="758"/>
        <v>NO APLICA</v>
      </c>
      <c r="PV222" s="5"/>
      <c r="PW222" s="6"/>
      <c r="PX222" s="6"/>
      <c r="PY222" s="6"/>
      <c r="PZ222" s="5" t="str">
        <f t="shared" si="759"/>
        <v>NO APLICA</v>
      </c>
    </row>
    <row r="223" spans="1:442" ht="15.6" hidden="1" thickTop="1" thickBot="1" x14ac:dyDescent="0.35">
      <c r="A223" s="26">
        <v>220</v>
      </c>
      <c r="B223" s="31">
        <v>603</v>
      </c>
      <c r="C223" s="28" t="s">
        <v>664</v>
      </c>
      <c r="D223" s="29" t="s">
        <v>627</v>
      </c>
      <c r="E223" s="30" t="s">
        <v>665</v>
      </c>
      <c r="F223" s="6"/>
      <c r="G223" s="6"/>
      <c r="H223" s="6"/>
      <c r="I223" s="6"/>
      <c r="J223" s="5" t="str">
        <f t="shared" si="696"/>
        <v>NO APLICA</v>
      </c>
      <c r="K223" s="6"/>
      <c r="L223" s="6"/>
      <c r="M223" s="6"/>
      <c r="N223" s="6"/>
      <c r="O223" s="5" t="str">
        <f t="shared" si="699"/>
        <v>NO APLICA</v>
      </c>
      <c r="P223" s="6"/>
      <c r="Q223" s="6"/>
      <c r="R223" s="6"/>
      <c r="S223" s="6"/>
      <c r="T223" s="5" t="str">
        <f t="shared" si="697"/>
        <v>NO APLICA</v>
      </c>
      <c r="U223" s="5"/>
      <c r="V223" s="6"/>
      <c r="W223" s="4"/>
      <c r="X223" s="4"/>
      <c r="Y223" s="8"/>
      <c r="Z223" s="5" t="str">
        <f t="shared" si="605"/>
        <v>NO APLICA</v>
      </c>
      <c r="AA223" s="5"/>
      <c r="AB223" s="6"/>
      <c r="AC223" s="6"/>
      <c r="AD223" s="6"/>
      <c r="AE223" s="6"/>
      <c r="AF223" s="5" t="str">
        <f t="shared" si="700"/>
        <v>NO APLICA</v>
      </c>
      <c r="AG223" s="4"/>
      <c r="AH223" s="4"/>
      <c r="AI223" s="4"/>
      <c r="AJ223" s="6"/>
      <c r="AK223" s="5" t="str">
        <f t="shared" si="602"/>
        <v>NO APLICA</v>
      </c>
      <c r="AL223" s="4"/>
      <c r="AM223" s="4"/>
      <c r="AN223" s="4"/>
      <c r="AO223" s="6"/>
      <c r="AP223" s="5" t="str">
        <f t="shared" si="701"/>
        <v>NO APLICA</v>
      </c>
      <c r="AQ223" s="4"/>
      <c r="AR223" s="4"/>
      <c r="AS223" s="4"/>
      <c r="AT223" s="6"/>
      <c r="AU223" s="5" t="str">
        <f t="shared" si="702"/>
        <v>NO APLICA</v>
      </c>
      <c r="AV223" s="4"/>
      <c r="AW223" s="4"/>
      <c r="AX223" s="4"/>
      <c r="AY223" s="6"/>
      <c r="AZ223" s="5" t="str">
        <f t="shared" si="703"/>
        <v>NO APLICA</v>
      </c>
      <c r="BA223" s="4"/>
      <c r="BB223" s="4"/>
      <c r="BC223" s="4"/>
      <c r="BD223" s="6"/>
      <c r="BE223" s="5" t="str">
        <f t="shared" si="704"/>
        <v>NO APLICA</v>
      </c>
      <c r="BF223" s="4"/>
      <c r="BG223" s="4"/>
      <c r="BH223" s="4"/>
      <c r="BI223" s="6"/>
      <c r="BJ223" s="5" t="str">
        <f t="shared" si="705"/>
        <v>NO APLICA</v>
      </c>
      <c r="BK223" s="4"/>
      <c r="BL223" s="4"/>
      <c r="BM223" s="4"/>
      <c r="BN223" s="6"/>
      <c r="BO223" s="5" t="str">
        <f t="shared" si="706"/>
        <v>NO APLICA</v>
      </c>
      <c r="BP223" s="4"/>
      <c r="BQ223" s="4"/>
      <c r="BR223" s="4"/>
      <c r="BS223" s="6"/>
      <c r="BT223" s="5" t="str">
        <f t="shared" si="707"/>
        <v>NO APLICA</v>
      </c>
      <c r="BU223" s="4"/>
      <c r="BV223" s="4"/>
      <c r="BW223" s="4"/>
      <c r="BX223" s="6"/>
      <c r="BY223" s="5" t="str">
        <f t="shared" si="708"/>
        <v>NO APLICA</v>
      </c>
      <c r="BZ223" s="4"/>
      <c r="CA223" s="4"/>
      <c r="CB223" s="4"/>
      <c r="CC223" s="6"/>
      <c r="CD223" s="5" t="str">
        <f t="shared" si="709"/>
        <v>NO APLICA</v>
      </c>
      <c r="CE223" s="6"/>
      <c r="CF223" s="6"/>
      <c r="CG223" s="6"/>
      <c r="CH223" s="6"/>
      <c r="CI223" s="5" t="str">
        <f t="shared" si="770"/>
        <v>NO APLICA</v>
      </c>
      <c r="CJ223" s="4"/>
      <c r="CK223" s="4"/>
      <c r="CL223" s="4"/>
      <c r="CM223" s="6"/>
      <c r="CN223" s="5" t="str">
        <f t="shared" si="710"/>
        <v>NO APLICA</v>
      </c>
      <c r="CO223" s="4"/>
      <c r="CP223" s="4"/>
      <c r="CQ223" s="4"/>
      <c r="CR223" s="6"/>
      <c r="CS223" s="5" t="str">
        <f t="shared" si="711"/>
        <v>NO APLICA</v>
      </c>
      <c r="CT223" s="4"/>
      <c r="CU223" s="4"/>
      <c r="CV223" s="4"/>
      <c r="CW223" s="6"/>
      <c r="CX223" s="5" t="str">
        <f t="shared" si="712"/>
        <v>NO APLICA</v>
      </c>
      <c r="CY223" s="4"/>
      <c r="CZ223" s="4"/>
      <c r="DA223" s="4"/>
      <c r="DB223" s="6"/>
      <c r="DC223" s="5" t="str">
        <f t="shared" si="713"/>
        <v>NO APLICA</v>
      </c>
      <c r="DD223" s="4"/>
      <c r="DE223" s="4"/>
      <c r="DF223" s="4"/>
      <c r="DG223" s="6"/>
      <c r="DH223" s="5" t="str">
        <f t="shared" si="714"/>
        <v>NO APLICA</v>
      </c>
      <c r="DI223" s="4"/>
      <c r="DJ223" s="4"/>
      <c r="DK223" s="4"/>
      <c r="DL223" s="6"/>
      <c r="DM223" s="5" t="str">
        <f t="shared" si="715"/>
        <v>NO APLICA</v>
      </c>
      <c r="DN223" s="4"/>
      <c r="DO223" s="4"/>
      <c r="DP223" s="4"/>
      <c r="DQ223" s="6"/>
      <c r="DR223" s="5" t="str">
        <f t="shared" si="716"/>
        <v>NO APLICA</v>
      </c>
      <c r="DS223" s="4"/>
      <c r="DT223" s="4"/>
      <c r="DU223" s="4"/>
      <c r="DV223" s="6"/>
      <c r="DW223" s="5" t="str">
        <f t="shared" si="717"/>
        <v>NO APLICA</v>
      </c>
      <c r="DX223" s="4"/>
      <c r="DY223" s="4"/>
      <c r="DZ223" s="4"/>
      <c r="EA223" s="6"/>
      <c r="EB223" s="5" t="str">
        <f t="shared" si="718"/>
        <v>NO APLICA</v>
      </c>
      <c r="EC223" s="4"/>
      <c r="ED223" s="4"/>
      <c r="EE223" s="4"/>
      <c r="EF223" s="6"/>
      <c r="EG223" s="5" t="str">
        <f t="shared" si="719"/>
        <v>NO APLICA</v>
      </c>
      <c r="EH223" s="4"/>
      <c r="EI223" s="4"/>
      <c r="EJ223" s="4"/>
      <c r="EK223" s="8"/>
      <c r="EL223" s="5" t="str">
        <f t="shared" si="720"/>
        <v>NO APLICA</v>
      </c>
      <c r="EM223" s="4"/>
      <c r="EN223" s="4"/>
      <c r="EO223" s="4"/>
      <c r="EP223" s="8"/>
      <c r="EQ223" s="5" t="str">
        <f t="shared" si="721"/>
        <v>NO APLICA</v>
      </c>
      <c r="ER223" s="4"/>
      <c r="ES223" s="4"/>
      <c r="ET223" s="4"/>
      <c r="EU223" s="8"/>
      <c r="EV223" s="5" t="str">
        <f t="shared" si="722"/>
        <v>NO APLICA</v>
      </c>
      <c r="EW223" s="4"/>
      <c r="EX223" s="4"/>
      <c r="EY223" s="4"/>
      <c r="EZ223" s="6"/>
      <c r="FA223" s="5" t="str">
        <f t="shared" si="723"/>
        <v>NO APLICA</v>
      </c>
      <c r="FB223" s="4"/>
      <c r="FC223" s="4"/>
      <c r="FD223" s="4"/>
      <c r="FE223" s="6"/>
      <c r="FF223" s="5" t="str">
        <f t="shared" si="724"/>
        <v>NO APLICA</v>
      </c>
      <c r="FG223" s="4"/>
      <c r="FH223" s="4"/>
      <c r="FI223" s="4"/>
      <c r="FJ223" s="6"/>
      <c r="FK223" s="5" t="str">
        <f t="shared" si="725"/>
        <v>NO APLICA</v>
      </c>
      <c r="FL223" s="4"/>
      <c r="FM223" s="4"/>
      <c r="FN223" s="4"/>
      <c r="FO223" s="6"/>
      <c r="FP223" s="5" t="str">
        <f t="shared" si="726"/>
        <v>NO APLICA</v>
      </c>
      <c r="FQ223" s="4"/>
      <c r="FR223" s="4"/>
      <c r="FS223" s="4"/>
      <c r="FT223" s="6"/>
      <c r="FU223" s="5" t="str">
        <f t="shared" si="727"/>
        <v>NO APLICA</v>
      </c>
      <c r="FV223" s="4"/>
      <c r="FW223" s="4"/>
      <c r="FX223" s="4"/>
      <c r="FY223" s="6"/>
      <c r="FZ223" s="5" t="str">
        <f t="shared" si="728"/>
        <v>NO APLICA</v>
      </c>
      <c r="GA223" s="4"/>
      <c r="GB223" s="4"/>
      <c r="GC223" s="4"/>
      <c r="GD223" s="6"/>
      <c r="GE223" s="5" t="str">
        <f t="shared" si="729"/>
        <v>NO APLICA</v>
      </c>
      <c r="GF223" s="4"/>
      <c r="GG223" s="4"/>
      <c r="GH223" s="4"/>
      <c r="GI223" s="8"/>
      <c r="GJ223" s="5" t="str">
        <f t="shared" si="730"/>
        <v>NO APLICA</v>
      </c>
      <c r="GK223" s="4"/>
      <c r="GL223" s="6"/>
      <c r="GM223" s="6"/>
      <c r="GN223" s="6"/>
      <c r="GO223" s="5" t="str">
        <f t="shared" si="731"/>
        <v>NO APLICA</v>
      </c>
      <c r="GP223" s="4"/>
      <c r="GQ223" s="6"/>
      <c r="GR223" s="6"/>
      <c r="GS223" s="6"/>
      <c r="GT223" s="5" t="str">
        <f t="shared" si="610"/>
        <v>NO APLICA</v>
      </c>
      <c r="GU223" s="4"/>
      <c r="GV223" s="6"/>
      <c r="GW223" s="6"/>
      <c r="GX223" s="6"/>
      <c r="GY223" s="5" t="str">
        <f t="shared" si="611"/>
        <v>NO APLICA</v>
      </c>
      <c r="GZ223" s="6"/>
      <c r="HA223" s="6"/>
      <c r="HB223" s="6"/>
      <c r="HC223" s="6"/>
      <c r="HD223" s="5" t="str">
        <f t="shared" si="612"/>
        <v>NO APLICA</v>
      </c>
      <c r="HE223" s="6"/>
      <c r="HF223" s="6"/>
      <c r="HG223" s="4"/>
      <c r="HH223" s="8"/>
      <c r="HI223" s="5" t="str">
        <f t="shared" si="698"/>
        <v>NO APLICA</v>
      </c>
      <c r="HJ223" s="6"/>
      <c r="HK223" s="6"/>
      <c r="HL223" s="6"/>
      <c r="HM223" s="6"/>
      <c r="HN223" s="5" t="str">
        <f t="shared" si="694"/>
        <v>NO APLICA</v>
      </c>
      <c r="HO223" s="6"/>
      <c r="HP223" s="6"/>
      <c r="HQ223" s="6"/>
      <c r="HR223" s="6"/>
      <c r="HS223" s="5" t="str">
        <f t="shared" si="732"/>
        <v>NO APLICA</v>
      </c>
      <c r="HT223" s="6"/>
      <c r="HU223" s="6"/>
      <c r="HV223" s="6"/>
      <c r="HW223" s="6"/>
      <c r="HX223" s="5" t="str">
        <f t="shared" si="733"/>
        <v>NO APLICA</v>
      </c>
      <c r="HY223" s="6"/>
      <c r="HZ223" s="6"/>
      <c r="IA223" s="6"/>
      <c r="IB223" s="6"/>
      <c r="IC223" s="5" t="str">
        <f t="shared" si="734"/>
        <v>NO APLICA</v>
      </c>
      <c r="ID223" s="6"/>
      <c r="IE223" s="6"/>
      <c r="IF223" s="6"/>
      <c r="IG223" s="6"/>
      <c r="IH223" s="5" t="str">
        <f t="shared" si="735"/>
        <v>NO APLICA</v>
      </c>
      <c r="II223" s="6"/>
      <c r="IJ223" s="6"/>
      <c r="IK223" s="6"/>
      <c r="IL223" s="6"/>
      <c r="IM223" s="5" t="str">
        <f t="shared" si="736"/>
        <v>NO APLICA</v>
      </c>
      <c r="IN223" s="6"/>
      <c r="IO223" s="6"/>
      <c r="IP223" s="6"/>
      <c r="IQ223" s="6"/>
      <c r="IR223" s="5" t="str">
        <f t="shared" si="737"/>
        <v>NO APLICA</v>
      </c>
      <c r="IS223" s="6"/>
      <c r="IT223" s="6"/>
      <c r="IU223" s="6"/>
      <c r="IV223" s="6"/>
      <c r="IW223" s="5" t="str">
        <f t="shared" si="738"/>
        <v>NO APLICA</v>
      </c>
      <c r="IX223" s="6"/>
      <c r="IY223" s="6"/>
      <c r="IZ223" s="6"/>
      <c r="JA223" s="6"/>
      <c r="JB223" s="5" t="str">
        <f t="shared" si="739"/>
        <v>NO APLICA</v>
      </c>
      <c r="JC223" s="3" t="s">
        <v>780</v>
      </c>
      <c r="JD223" s="6"/>
      <c r="JE223" s="6"/>
      <c r="JF223" s="6"/>
      <c r="JG223" s="5"/>
      <c r="JH223" s="3" t="s">
        <v>780</v>
      </c>
      <c r="JI223" s="6"/>
      <c r="JJ223" s="6"/>
      <c r="JK223" s="6"/>
      <c r="JL223" s="5"/>
      <c r="JM223" s="6" t="s">
        <v>780</v>
      </c>
      <c r="JN223" s="6"/>
      <c r="JO223" s="6"/>
      <c r="JP223" s="6"/>
      <c r="JQ223" s="5"/>
      <c r="JR223" s="6" t="s">
        <v>780</v>
      </c>
      <c r="JS223" s="6"/>
      <c r="JT223" s="6"/>
      <c r="JU223" s="6"/>
      <c r="JV223" s="5"/>
      <c r="JW223" s="6" t="s">
        <v>780</v>
      </c>
      <c r="JX223" s="5"/>
      <c r="JY223" s="5"/>
      <c r="JZ223" s="5"/>
      <c r="KA223" s="5"/>
      <c r="KB223" s="5"/>
      <c r="KC223" s="6"/>
      <c r="KD223" s="6"/>
      <c r="KE223" s="6"/>
      <c r="KF223" s="5" t="str">
        <f t="shared" si="740"/>
        <v>NO APLICA</v>
      </c>
      <c r="KG223" s="5"/>
      <c r="KH223" s="6"/>
      <c r="KI223" s="6"/>
      <c r="KJ223" s="6"/>
      <c r="KK223" s="5" t="str">
        <f t="shared" si="760"/>
        <v>NO APLICA</v>
      </c>
      <c r="KL223" s="5"/>
      <c r="KM223" s="6"/>
      <c r="KN223" s="6"/>
      <c r="KO223" s="6"/>
      <c r="KP223" s="5" t="str">
        <f t="shared" si="741"/>
        <v>NO APLICA</v>
      </c>
      <c r="KQ223" s="5"/>
      <c r="KR223" s="6"/>
      <c r="KS223" s="6"/>
      <c r="KT223" s="6"/>
      <c r="KU223" s="5" t="str">
        <f t="shared" si="761"/>
        <v>NO APLICA</v>
      </c>
      <c r="KV223" s="6"/>
      <c r="KW223" s="6"/>
      <c r="KX223" s="6"/>
      <c r="KY223" s="6"/>
      <c r="KZ223" s="5" t="str">
        <f t="shared" si="767"/>
        <v>NO APLICA</v>
      </c>
      <c r="LA223" s="5"/>
      <c r="LB223" s="6"/>
      <c r="LC223" s="6"/>
      <c r="LD223" s="6"/>
      <c r="LE223" s="5" t="str">
        <f t="shared" si="762"/>
        <v>NO APLICA</v>
      </c>
      <c r="LF223" s="6"/>
      <c r="LG223" s="6"/>
      <c r="LH223" s="6"/>
      <c r="LI223" s="6"/>
      <c r="LJ223" s="5" t="str">
        <f t="shared" si="600"/>
        <v>NO APLICA</v>
      </c>
      <c r="LK223" s="5"/>
      <c r="LL223" s="5"/>
      <c r="LM223" s="4"/>
      <c r="LN223" s="8"/>
      <c r="LO223" s="5" t="str">
        <f t="shared" si="768"/>
        <v>NO APLICA</v>
      </c>
      <c r="LP223" s="6"/>
      <c r="LQ223" s="6"/>
      <c r="LR223" s="6"/>
      <c r="LS223" s="6"/>
      <c r="LT223" s="5" t="str">
        <f t="shared" si="763"/>
        <v>NO APLICA</v>
      </c>
      <c r="LU223" s="6"/>
      <c r="LV223" s="6"/>
      <c r="LW223" s="6"/>
      <c r="LX223" s="6"/>
      <c r="LY223" s="5" t="str">
        <f t="shared" si="764"/>
        <v>NO APLICA</v>
      </c>
      <c r="LZ223" s="6"/>
      <c r="MA223" s="6"/>
      <c r="MB223" s="6"/>
      <c r="MC223" s="6"/>
      <c r="MD223" s="5" t="str">
        <f t="shared" si="765"/>
        <v>NO APLICA</v>
      </c>
      <c r="ME223" s="6"/>
      <c r="MF223" s="6"/>
      <c r="MG223" s="6"/>
      <c r="MH223" s="6"/>
      <c r="MI223" s="5" t="str">
        <f t="shared" si="742"/>
        <v>NO APLICA</v>
      </c>
      <c r="MJ223" s="6"/>
      <c r="MK223" s="6"/>
      <c r="ML223" s="6"/>
      <c r="MM223" s="6"/>
      <c r="MN223" s="5" t="str">
        <f t="shared" si="743"/>
        <v>NO APLICA</v>
      </c>
      <c r="MO223" s="5"/>
      <c r="MP223" s="6"/>
      <c r="MQ223" s="6"/>
      <c r="MR223" s="6"/>
      <c r="MS223" s="5" t="str">
        <f t="shared" si="744"/>
        <v>NO APLICA</v>
      </c>
      <c r="MT223" s="5"/>
      <c r="MU223" s="6"/>
      <c r="MV223" s="6"/>
      <c r="MW223" s="6"/>
      <c r="MX223" s="5" t="str">
        <f t="shared" si="745"/>
        <v>NO APLICA</v>
      </c>
      <c r="MY223" s="6"/>
      <c r="MZ223" s="6"/>
      <c r="NA223" s="6"/>
      <c r="NB223" s="6"/>
      <c r="NC223" s="5" t="str">
        <f t="shared" si="746"/>
        <v>NO APLICA</v>
      </c>
      <c r="ND223" s="6"/>
      <c r="NE223" s="6"/>
      <c r="NF223" s="6"/>
      <c r="NG223" s="6"/>
      <c r="NH223" s="5" t="str">
        <f t="shared" si="747"/>
        <v>NO APLICA</v>
      </c>
      <c r="NI223" s="6"/>
      <c r="NJ223" s="6"/>
      <c r="NK223" s="6"/>
      <c r="NL223" s="6"/>
      <c r="NM223" s="5" t="str">
        <f t="shared" si="748"/>
        <v>NO APLICA</v>
      </c>
      <c r="NN223" s="6"/>
      <c r="NO223" s="6"/>
      <c r="NP223" s="6"/>
      <c r="NQ223" s="6"/>
      <c r="NR223" s="5" t="str">
        <f t="shared" si="749"/>
        <v>NO APLICA</v>
      </c>
      <c r="NS223" s="6"/>
      <c r="NT223" s="6"/>
      <c r="NU223" s="6"/>
      <c r="NV223" s="6"/>
      <c r="NW223" s="5" t="str">
        <f t="shared" si="750"/>
        <v>NO APLICA</v>
      </c>
      <c r="NX223" s="6"/>
      <c r="NY223" s="6"/>
      <c r="NZ223" s="6"/>
      <c r="OA223" s="6"/>
      <c r="OB223" s="5" t="str">
        <f t="shared" si="751"/>
        <v>NO APLICA</v>
      </c>
      <c r="OC223" s="6"/>
      <c r="OD223" s="6"/>
      <c r="OE223" s="6"/>
      <c r="OF223" s="6"/>
      <c r="OG223" s="5" t="str">
        <f t="shared" si="752"/>
        <v>NO APLICA</v>
      </c>
      <c r="OH223" s="6"/>
      <c r="OI223" s="6"/>
      <c r="OJ223" s="6"/>
      <c r="OK223" s="6"/>
      <c r="OL223" s="5" t="str">
        <f t="shared" si="753"/>
        <v>NO APLICA</v>
      </c>
      <c r="OM223" s="6"/>
      <c r="ON223" s="6"/>
      <c r="OO223" s="6"/>
      <c r="OP223" s="6"/>
      <c r="OQ223" s="5" t="str">
        <f t="shared" si="754"/>
        <v>NO APLICA</v>
      </c>
      <c r="OR223" s="6"/>
      <c r="OS223" s="6"/>
      <c r="OT223" s="6"/>
      <c r="OU223" s="6"/>
      <c r="OV223" s="5" t="str">
        <f t="shared" si="755"/>
        <v>NO APLICA</v>
      </c>
      <c r="OW223" s="4"/>
      <c r="OX223" s="4">
        <v>44770</v>
      </c>
      <c r="OY223" s="4">
        <f>DATE(YEAR(OX223)+5,MONTH(OX223),DAY(OX223))</f>
        <v>46596</v>
      </c>
      <c r="OZ223" s="8">
        <f ca="1">OY223-TODAY()</f>
        <v>451</v>
      </c>
      <c r="PA223" s="5" t="str">
        <f ca="1">IF(OZ223&gt;=61,"VIGENTE",IF(OZ223&gt;=1,"POR VENCER",IF(OZ223&lt;=-1,"VENCIDA",IF(OX223=0,"NO APLICA"))))</f>
        <v>VIGENTE</v>
      </c>
      <c r="PB223" s="6"/>
      <c r="PC223" s="6"/>
      <c r="PD223" s="6"/>
      <c r="PE223" s="6"/>
      <c r="PF223" s="5" t="str">
        <f t="shared" si="756"/>
        <v>NO APLICA</v>
      </c>
      <c r="PG223" s="6"/>
      <c r="PH223" s="6"/>
      <c r="PI223" s="6"/>
      <c r="PJ223" s="6"/>
      <c r="PK223" s="5" t="str">
        <f t="shared" si="757"/>
        <v>NO APLICA</v>
      </c>
      <c r="PL223" s="5"/>
      <c r="PM223" s="6"/>
      <c r="PN223" s="6"/>
      <c r="PO223" s="6"/>
      <c r="PP223" s="5" t="str">
        <f t="shared" si="766"/>
        <v>NO APLICA</v>
      </c>
      <c r="PQ223" s="6"/>
      <c r="PR223" s="6"/>
      <c r="PS223" s="6"/>
      <c r="PT223" s="6"/>
      <c r="PU223" s="5" t="str">
        <f t="shared" si="758"/>
        <v>NO APLICA</v>
      </c>
      <c r="PV223" s="5"/>
      <c r="PW223" s="4">
        <v>46126</v>
      </c>
      <c r="PX223" s="4">
        <f>DATE(YEAR(PW223)+1,MONTH(PW223),DAY(PW223))</f>
        <v>46491</v>
      </c>
      <c r="PY223" s="8">
        <f ca="1">PX223-TODAY()</f>
        <v>346</v>
      </c>
      <c r="PZ223" s="5" t="str">
        <f t="shared" ca="1" si="759"/>
        <v>VIGENTE</v>
      </c>
    </row>
    <row r="224" spans="1:442" ht="15.6" hidden="1" thickTop="1" thickBot="1" x14ac:dyDescent="0.35">
      <c r="A224" s="26">
        <v>221</v>
      </c>
      <c r="B224" s="31">
        <v>1657</v>
      </c>
      <c r="C224" s="28" t="s">
        <v>666</v>
      </c>
      <c r="D224" s="29" t="s">
        <v>667</v>
      </c>
      <c r="E224" s="30" t="s">
        <v>668</v>
      </c>
      <c r="F224" s="6"/>
      <c r="G224" s="6"/>
      <c r="H224" s="6"/>
      <c r="I224" s="6"/>
      <c r="J224" s="5" t="str">
        <f t="shared" si="696"/>
        <v>NO APLICA</v>
      </c>
      <c r="K224" s="6"/>
      <c r="L224" s="6"/>
      <c r="M224" s="6"/>
      <c r="N224" s="6"/>
      <c r="O224" s="5" t="str">
        <f t="shared" si="699"/>
        <v>NO APLICA</v>
      </c>
      <c r="P224" s="6"/>
      <c r="Q224" s="6"/>
      <c r="R224" s="6"/>
      <c r="S224" s="6"/>
      <c r="T224" s="5" t="str">
        <f t="shared" si="697"/>
        <v>NO APLICA</v>
      </c>
      <c r="U224" s="5"/>
      <c r="V224" s="6"/>
      <c r="W224" s="4"/>
      <c r="X224" s="4"/>
      <c r="Y224" s="8"/>
      <c r="Z224" s="5" t="str">
        <f t="shared" si="605"/>
        <v>NO APLICA</v>
      </c>
      <c r="AA224" s="5"/>
      <c r="AB224" s="6"/>
      <c r="AC224" s="6"/>
      <c r="AD224" s="6"/>
      <c r="AE224" s="6"/>
      <c r="AF224" s="5" t="str">
        <f t="shared" si="700"/>
        <v>NO APLICA</v>
      </c>
      <c r="AG224" s="4"/>
      <c r="AH224" s="4"/>
      <c r="AI224" s="4"/>
      <c r="AJ224" s="6"/>
      <c r="AK224" s="5" t="str">
        <f t="shared" si="602"/>
        <v>NO APLICA</v>
      </c>
      <c r="AL224" s="4"/>
      <c r="AM224" s="4"/>
      <c r="AN224" s="4"/>
      <c r="AO224" s="6"/>
      <c r="AP224" s="5" t="str">
        <f t="shared" si="701"/>
        <v>NO APLICA</v>
      </c>
      <c r="AQ224" s="4"/>
      <c r="AR224" s="4"/>
      <c r="AS224" s="4"/>
      <c r="AT224" s="6"/>
      <c r="AU224" s="5" t="str">
        <f t="shared" si="702"/>
        <v>NO APLICA</v>
      </c>
      <c r="AV224" s="4"/>
      <c r="AW224" s="4"/>
      <c r="AX224" s="4"/>
      <c r="AY224" s="6"/>
      <c r="AZ224" s="5" t="str">
        <f t="shared" si="703"/>
        <v>NO APLICA</v>
      </c>
      <c r="BA224" s="4"/>
      <c r="BB224" s="4"/>
      <c r="BC224" s="4"/>
      <c r="BD224" s="6"/>
      <c r="BE224" s="5" t="str">
        <f t="shared" si="704"/>
        <v>NO APLICA</v>
      </c>
      <c r="BF224" s="4"/>
      <c r="BG224" s="4"/>
      <c r="BH224" s="4"/>
      <c r="BI224" s="6"/>
      <c r="BJ224" s="5" t="str">
        <f t="shared" si="705"/>
        <v>NO APLICA</v>
      </c>
      <c r="BK224" s="4"/>
      <c r="BL224" s="4"/>
      <c r="BM224" s="4"/>
      <c r="BN224" s="6"/>
      <c r="BO224" s="5" t="str">
        <f t="shared" si="706"/>
        <v>NO APLICA</v>
      </c>
      <c r="BP224" s="4"/>
      <c r="BQ224" s="4"/>
      <c r="BR224" s="4"/>
      <c r="BS224" s="6"/>
      <c r="BT224" s="5" t="str">
        <f t="shared" si="707"/>
        <v>NO APLICA</v>
      </c>
      <c r="BU224" s="4"/>
      <c r="BV224" s="4"/>
      <c r="BW224" s="4"/>
      <c r="BX224" s="6"/>
      <c r="BY224" s="5" t="str">
        <f t="shared" si="708"/>
        <v>NO APLICA</v>
      </c>
      <c r="BZ224" s="4"/>
      <c r="CA224" s="4"/>
      <c r="CB224" s="4"/>
      <c r="CC224" s="6"/>
      <c r="CD224" s="5" t="str">
        <f t="shared" si="709"/>
        <v>NO APLICA</v>
      </c>
      <c r="CE224" s="6"/>
      <c r="CF224" s="6"/>
      <c r="CG224" s="6"/>
      <c r="CH224" s="6"/>
      <c r="CI224" s="5" t="str">
        <f t="shared" si="770"/>
        <v>NO APLICA</v>
      </c>
      <c r="CJ224" s="4"/>
      <c r="CK224" s="4"/>
      <c r="CL224" s="4"/>
      <c r="CM224" s="6"/>
      <c r="CN224" s="5" t="str">
        <f t="shared" si="710"/>
        <v>NO APLICA</v>
      </c>
      <c r="CO224" s="4"/>
      <c r="CP224" s="4"/>
      <c r="CQ224" s="4"/>
      <c r="CR224" s="6"/>
      <c r="CS224" s="5" t="str">
        <f t="shared" si="711"/>
        <v>NO APLICA</v>
      </c>
      <c r="CT224" s="4"/>
      <c r="CU224" s="4"/>
      <c r="CV224" s="4"/>
      <c r="CW224" s="6"/>
      <c r="CX224" s="5" t="str">
        <f t="shared" si="712"/>
        <v>NO APLICA</v>
      </c>
      <c r="CY224" s="4"/>
      <c r="CZ224" s="4"/>
      <c r="DA224" s="4"/>
      <c r="DB224" s="6"/>
      <c r="DC224" s="5" t="str">
        <f t="shared" si="713"/>
        <v>NO APLICA</v>
      </c>
      <c r="DD224" s="4"/>
      <c r="DE224" s="4"/>
      <c r="DF224" s="4"/>
      <c r="DG224" s="6"/>
      <c r="DH224" s="5" t="str">
        <f t="shared" si="714"/>
        <v>NO APLICA</v>
      </c>
      <c r="DI224" s="4"/>
      <c r="DJ224" s="4"/>
      <c r="DK224" s="4"/>
      <c r="DL224" s="6"/>
      <c r="DM224" s="5" t="str">
        <f t="shared" si="715"/>
        <v>NO APLICA</v>
      </c>
      <c r="DN224" s="4"/>
      <c r="DO224" s="4"/>
      <c r="DP224" s="4"/>
      <c r="DQ224" s="6"/>
      <c r="DR224" s="5" t="str">
        <f t="shared" si="716"/>
        <v>NO APLICA</v>
      </c>
      <c r="DS224" s="4"/>
      <c r="DT224" s="4"/>
      <c r="DU224" s="4"/>
      <c r="DV224" s="6"/>
      <c r="DW224" s="5" t="str">
        <f t="shared" si="717"/>
        <v>NO APLICA</v>
      </c>
      <c r="DX224" s="4"/>
      <c r="DY224" s="4"/>
      <c r="DZ224" s="4"/>
      <c r="EA224" s="6"/>
      <c r="EB224" s="5" t="str">
        <f t="shared" si="718"/>
        <v>NO APLICA</v>
      </c>
      <c r="EC224" s="4"/>
      <c r="ED224" s="4"/>
      <c r="EE224" s="4"/>
      <c r="EF224" s="6"/>
      <c r="EG224" s="5" t="str">
        <f t="shared" si="719"/>
        <v>NO APLICA</v>
      </c>
      <c r="EH224" s="4"/>
      <c r="EI224" s="4"/>
      <c r="EJ224" s="4"/>
      <c r="EK224" s="8"/>
      <c r="EL224" s="5" t="str">
        <f t="shared" si="720"/>
        <v>NO APLICA</v>
      </c>
      <c r="EM224" s="4"/>
      <c r="EN224" s="4"/>
      <c r="EO224" s="4"/>
      <c r="EP224" s="8"/>
      <c r="EQ224" s="5" t="str">
        <f t="shared" si="721"/>
        <v>NO APLICA</v>
      </c>
      <c r="ER224" s="4"/>
      <c r="ES224" s="4"/>
      <c r="ET224" s="4"/>
      <c r="EU224" s="8"/>
      <c r="EV224" s="5" t="str">
        <f t="shared" si="722"/>
        <v>NO APLICA</v>
      </c>
      <c r="EW224" s="4"/>
      <c r="EX224" s="4"/>
      <c r="EY224" s="4"/>
      <c r="EZ224" s="6"/>
      <c r="FA224" s="5" t="str">
        <f t="shared" si="723"/>
        <v>NO APLICA</v>
      </c>
      <c r="FB224" s="4"/>
      <c r="FC224" s="4"/>
      <c r="FD224" s="4"/>
      <c r="FE224" s="6"/>
      <c r="FF224" s="5" t="str">
        <f t="shared" si="724"/>
        <v>NO APLICA</v>
      </c>
      <c r="FG224" s="4"/>
      <c r="FH224" s="4"/>
      <c r="FI224" s="4"/>
      <c r="FJ224" s="6"/>
      <c r="FK224" s="5" t="str">
        <f t="shared" si="725"/>
        <v>NO APLICA</v>
      </c>
      <c r="FL224" s="4"/>
      <c r="FM224" s="4"/>
      <c r="FN224" s="4"/>
      <c r="FO224" s="6"/>
      <c r="FP224" s="5" t="str">
        <f t="shared" si="726"/>
        <v>NO APLICA</v>
      </c>
      <c r="FQ224" s="4"/>
      <c r="FR224" s="4"/>
      <c r="FS224" s="4"/>
      <c r="FT224" s="6"/>
      <c r="FU224" s="5" t="str">
        <f t="shared" si="727"/>
        <v>NO APLICA</v>
      </c>
      <c r="FV224" s="4"/>
      <c r="FW224" s="4"/>
      <c r="FX224" s="4"/>
      <c r="FY224" s="6"/>
      <c r="FZ224" s="5" t="str">
        <f t="shared" si="728"/>
        <v>NO APLICA</v>
      </c>
      <c r="GA224" s="4"/>
      <c r="GB224" s="4"/>
      <c r="GC224" s="4"/>
      <c r="GD224" s="6"/>
      <c r="GE224" s="5" t="str">
        <f t="shared" si="729"/>
        <v>NO APLICA</v>
      </c>
      <c r="GF224" s="4"/>
      <c r="GG224" s="4"/>
      <c r="GH224" s="4"/>
      <c r="GI224" s="8"/>
      <c r="GJ224" s="5" t="str">
        <f t="shared" si="730"/>
        <v>NO APLICA</v>
      </c>
      <c r="GK224" s="4"/>
      <c r="GL224" s="6"/>
      <c r="GM224" s="6"/>
      <c r="GN224" s="6"/>
      <c r="GO224" s="5" t="str">
        <f t="shared" si="731"/>
        <v>NO APLICA</v>
      </c>
      <c r="GP224" s="4"/>
      <c r="GQ224" s="6"/>
      <c r="GR224" s="6"/>
      <c r="GS224" s="6"/>
      <c r="GT224" s="5" t="str">
        <f t="shared" si="610"/>
        <v>NO APLICA</v>
      </c>
      <c r="GU224" s="4"/>
      <c r="GV224" s="6"/>
      <c r="GW224" s="6"/>
      <c r="GX224" s="6"/>
      <c r="GY224" s="5" t="str">
        <f t="shared" si="611"/>
        <v>NO APLICA</v>
      </c>
      <c r="GZ224" s="6"/>
      <c r="HA224" s="6"/>
      <c r="HB224" s="6"/>
      <c r="HC224" s="6"/>
      <c r="HD224" s="5" t="str">
        <f t="shared" si="612"/>
        <v>NO APLICA</v>
      </c>
      <c r="HE224" s="6"/>
      <c r="HF224" s="6"/>
      <c r="HG224" s="4"/>
      <c r="HH224" s="8"/>
      <c r="HI224" s="5" t="str">
        <f t="shared" si="698"/>
        <v>NO APLICA</v>
      </c>
      <c r="HJ224" s="6"/>
      <c r="HK224" s="6"/>
      <c r="HL224" s="6"/>
      <c r="HM224" s="6"/>
      <c r="HN224" s="5" t="str">
        <f t="shared" si="694"/>
        <v>NO APLICA</v>
      </c>
      <c r="HO224" s="6"/>
      <c r="HP224" s="6"/>
      <c r="HQ224" s="6"/>
      <c r="HR224" s="6"/>
      <c r="HS224" s="5" t="str">
        <f t="shared" si="732"/>
        <v>NO APLICA</v>
      </c>
      <c r="HT224" s="6"/>
      <c r="HU224" s="6"/>
      <c r="HV224" s="6"/>
      <c r="HW224" s="6"/>
      <c r="HX224" s="5" t="str">
        <f t="shared" si="733"/>
        <v>NO APLICA</v>
      </c>
      <c r="HY224" s="6"/>
      <c r="HZ224" s="6"/>
      <c r="IA224" s="6"/>
      <c r="IB224" s="6"/>
      <c r="IC224" s="5" t="str">
        <f t="shared" si="734"/>
        <v>NO APLICA</v>
      </c>
      <c r="ID224" s="6"/>
      <c r="IE224" s="6"/>
      <c r="IF224" s="6"/>
      <c r="IG224" s="6"/>
      <c r="IH224" s="5" t="str">
        <f t="shared" si="735"/>
        <v>NO APLICA</v>
      </c>
      <c r="II224" s="6"/>
      <c r="IJ224" s="6"/>
      <c r="IK224" s="6"/>
      <c r="IL224" s="6"/>
      <c r="IM224" s="5" t="str">
        <f t="shared" si="736"/>
        <v>NO APLICA</v>
      </c>
      <c r="IN224" s="6"/>
      <c r="IO224" s="6"/>
      <c r="IP224" s="6"/>
      <c r="IQ224" s="6"/>
      <c r="IR224" s="5" t="str">
        <f t="shared" si="737"/>
        <v>NO APLICA</v>
      </c>
      <c r="IS224" s="6"/>
      <c r="IT224" s="6"/>
      <c r="IU224" s="6"/>
      <c r="IV224" s="6"/>
      <c r="IW224" s="5" t="str">
        <f t="shared" si="738"/>
        <v>NO APLICA</v>
      </c>
      <c r="IX224" s="6"/>
      <c r="IY224" s="6"/>
      <c r="IZ224" s="6"/>
      <c r="JA224" s="6"/>
      <c r="JB224" s="5" t="str">
        <f t="shared" si="739"/>
        <v>NO APLICA</v>
      </c>
      <c r="JC224" s="3" t="s">
        <v>780</v>
      </c>
      <c r="JD224" s="10"/>
      <c r="JE224" s="4"/>
      <c r="JF224" s="8"/>
      <c r="JG224" s="5"/>
      <c r="JH224" s="3" t="s">
        <v>780</v>
      </c>
      <c r="JI224" s="10"/>
      <c r="JJ224" s="4"/>
      <c r="JK224" s="8"/>
      <c r="JL224" s="5"/>
      <c r="JM224" s="6" t="s">
        <v>780</v>
      </c>
      <c r="JN224" s="6"/>
      <c r="JO224" s="6"/>
      <c r="JP224" s="6"/>
      <c r="JQ224" s="5"/>
      <c r="JR224" s="6" t="s">
        <v>780</v>
      </c>
      <c r="JS224" s="10"/>
      <c r="JT224" s="4"/>
      <c r="JU224" s="8"/>
      <c r="JV224" s="5"/>
      <c r="JW224" s="6" t="s">
        <v>780</v>
      </c>
      <c r="JX224" s="25"/>
      <c r="JY224" s="4"/>
      <c r="JZ224" s="8"/>
      <c r="KA224" s="5"/>
      <c r="KB224" s="5"/>
      <c r="KC224" s="6"/>
      <c r="KD224" s="6"/>
      <c r="KE224" s="6"/>
      <c r="KF224" s="5" t="str">
        <f t="shared" si="740"/>
        <v>NO APLICA</v>
      </c>
      <c r="KG224" s="5"/>
      <c r="KH224" s="6"/>
      <c r="KI224" s="6"/>
      <c r="KJ224" s="6"/>
      <c r="KK224" s="5" t="str">
        <f t="shared" si="760"/>
        <v>NO APLICA</v>
      </c>
      <c r="KL224" s="5"/>
      <c r="KM224" s="6"/>
      <c r="KN224" s="6"/>
      <c r="KO224" s="6"/>
      <c r="KP224" s="5" t="str">
        <f t="shared" si="741"/>
        <v>NO APLICA</v>
      </c>
      <c r="KQ224" s="5"/>
      <c r="KR224" s="6"/>
      <c r="KS224" s="6"/>
      <c r="KT224" s="6"/>
      <c r="KU224" s="5" t="str">
        <f t="shared" si="761"/>
        <v>NO APLICA</v>
      </c>
      <c r="KV224" s="6"/>
      <c r="KW224" s="6"/>
      <c r="KX224" s="6"/>
      <c r="KY224" s="6"/>
      <c r="KZ224" s="5" t="str">
        <f t="shared" si="767"/>
        <v>NO APLICA</v>
      </c>
      <c r="LA224" s="5"/>
      <c r="LB224" s="6"/>
      <c r="LC224" s="6"/>
      <c r="LD224" s="6"/>
      <c r="LE224" s="5" t="str">
        <f t="shared" si="762"/>
        <v>NO APLICA</v>
      </c>
      <c r="LF224" s="6"/>
      <c r="LG224" s="6"/>
      <c r="LH224" s="6"/>
      <c r="LI224" s="6"/>
      <c r="LJ224" s="5" t="str">
        <f t="shared" si="600"/>
        <v>NO APLICA</v>
      </c>
      <c r="LK224" s="5"/>
      <c r="LL224" s="5"/>
      <c r="LM224" s="4"/>
      <c r="LN224" s="8"/>
      <c r="LO224" s="5" t="str">
        <f t="shared" si="768"/>
        <v>NO APLICA</v>
      </c>
      <c r="LP224" s="6"/>
      <c r="LQ224" s="6"/>
      <c r="LR224" s="6"/>
      <c r="LS224" s="6"/>
      <c r="LT224" s="5" t="str">
        <f t="shared" si="763"/>
        <v>NO APLICA</v>
      </c>
      <c r="LU224" s="6"/>
      <c r="LV224" s="6"/>
      <c r="LW224" s="6"/>
      <c r="LX224" s="6"/>
      <c r="LY224" s="5" t="str">
        <f t="shared" si="764"/>
        <v>NO APLICA</v>
      </c>
      <c r="LZ224" s="6"/>
      <c r="MA224" s="6"/>
      <c r="MB224" s="6"/>
      <c r="MC224" s="6"/>
      <c r="MD224" s="5" t="str">
        <f t="shared" si="765"/>
        <v>NO APLICA</v>
      </c>
      <c r="ME224" s="6"/>
      <c r="MF224" s="6"/>
      <c r="MG224" s="6"/>
      <c r="MH224" s="6"/>
      <c r="MI224" s="5" t="str">
        <f t="shared" si="742"/>
        <v>NO APLICA</v>
      </c>
      <c r="MJ224" s="6"/>
      <c r="MK224" s="6"/>
      <c r="ML224" s="6"/>
      <c r="MM224" s="6"/>
      <c r="MN224" s="5" t="str">
        <f t="shared" si="743"/>
        <v>NO APLICA</v>
      </c>
      <c r="MO224" s="5"/>
      <c r="MP224" s="6"/>
      <c r="MQ224" s="6"/>
      <c r="MR224" s="6"/>
      <c r="MS224" s="5" t="str">
        <f t="shared" si="744"/>
        <v>NO APLICA</v>
      </c>
      <c r="MT224" s="5"/>
      <c r="MU224" s="6"/>
      <c r="MV224" s="6"/>
      <c r="MW224" s="6"/>
      <c r="MX224" s="5" t="str">
        <f t="shared" si="745"/>
        <v>NO APLICA</v>
      </c>
      <c r="MY224" s="6"/>
      <c r="MZ224" s="6"/>
      <c r="NA224" s="6"/>
      <c r="NB224" s="6"/>
      <c r="NC224" s="5" t="str">
        <f t="shared" si="746"/>
        <v>NO APLICA</v>
      </c>
      <c r="ND224" s="6"/>
      <c r="NE224" s="6"/>
      <c r="NF224" s="6"/>
      <c r="NG224" s="6"/>
      <c r="NH224" s="5" t="str">
        <f t="shared" si="747"/>
        <v>NO APLICA</v>
      </c>
      <c r="NI224" s="6"/>
      <c r="NJ224" s="6"/>
      <c r="NK224" s="6"/>
      <c r="NL224" s="6"/>
      <c r="NM224" s="5" t="str">
        <f t="shared" si="748"/>
        <v>NO APLICA</v>
      </c>
      <c r="NN224" s="6"/>
      <c r="NO224" s="6"/>
      <c r="NP224" s="6"/>
      <c r="NQ224" s="6"/>
      <c r="NR224" s="5" t="str">
        <f t="shared" si="749"/>
        <v>NO APLICA</v>
      </c>
      <c r="NS224" s="6"/>
      <c r="NT224" s="6"/>
      <c r="NU224" s="6"/>
      <c r="NV224" s="6"/>
      <c r="NW224" s="5" t="str">
        <f t="shared" si="750"/>
        <v>NO APLICA</v>
      </c>
      <c r="NX224" s="6"/>
      <c r="NY224" s="6"/>
      <c r="NZ224" s="6"/>
      <c r="OA224" s="6"/>
      <c r="OB224" s="5" t="str">
        <f t="shared" si="751"/>
        <v>NO APLICA</v>
      </c>
      <c r="OC224" s="6"/>
      <c r="OD224" s="6"/>
      <c r="OE224" s="6"/>
      <c r="OF224" s="6"/>
      <c r="OG224" s="5" t="str">
        <f t="shared" si="752"/>
        <v>NO APLICA</v>
      </c>
      <c r="OH224" s="6"/>
      <c r="OI224" s="6"/>
      <c r="OJ224" s="6"/>
      <c r="OK224" s="6"/>
      <c r="OL224" s="5" t="str">
        <f t="shared" si="753"/>
        <v>NO APLICA</v>
      </c>
      <c r="OM224" s="6"/>
      <c r="ON224" s="6"/>
      <c r="OO224" s="6"/>
      <c r="OP224" s="6"/>
      <c r="OQ224" s="5" t="str">
        <f t="shared" si="754"/>
        <v>NO APLICA</v>
      </c>
      <c r="OR224" s="6"/>
      <c r="OS224" s="6"/>
      <c r="OT224" s="6"/>
      <c r="OU224" s="6"/>
      <c r="OV224" s="5" t="str">
        <f t="shared" si="755"/>
        <v>NO APLICA</v>
      </c>
      <c r="OW224" s="6"/>
      <c r="OX224" s="6"/>
      <c r="OY224" s="6"/>
      <c r="OZ224" s="6"/>
      <c r="PA224" s="5" t="str">
        <f t="shared" si="769"/>
        <v>NO APLICA</v>
      </c>
      <c r="PB224" s="6"/>
      <c r="PC224" s="6"/>
      <c r="PD224" s="6"/>
      <c r="PE224" s="6"/>
      <c r="PF224" s="5" t="str">
        <f t="shared" si="756"/>
        <v>NO APLICA</v>
      </c>
      <c r="PG224" s="6"/>
      <c r="PH224" s="6"/>
      <c r="PI224" s="6"/>
      <c r="PJ224" s="6"/>
      <c r="PK224" s="5" t="str">
        <f t="shared" si="757"/>
        <v>NO APLICA</v>
      </c>
      <c r="PL224" s="5"/>
      <c r="PM224" s="6"/>
      <c r="PN224" s="6"/>
      <c r="PO224" s="6"/>
      <c r="PP224" s="5" t="str">
        <f t="shared" si="766"/>
        <v>NO APLICA</v>
      </c>
      <c r="PQ224" s="6"/>
      <c r="PR224" s="6"/>
      <c r="PS224" s="6"/>
      <c r="PT224" s="6"/>
      <c r="PU224" s="5" t="str">
        <f t="shared" si="758"/>
        <v>NO APLICA</v>
      </c>
      <c r="PV224" s="5"/>
      <c r="PW224" s="6"/>
      <c r="PX224" s="6"/>
      <c r="PY224" s="6"/>
      <c r="PZ224" s="5" t="str">
        <f t="shared" si="759"/>
        <v>NO APLICA</v>
      </c>
    </row>
    <row r="225" spans="1:442" ht="15.6" hidden="1" thickTop="1" thickBot="1" x14ac:dyDescent="0.35">
      <c r="A225" s="26">
        <v>222</v>
      </c>
      <c r="B225" s="31">
        <v>201</v>
      </c>
      <c r="C225" s="28" t="s">
        <v>669</v>
      </c>
      <c r="D225" s="29" t="s">
        <v>604</v>
      </c>
      <c r="E225" s="30" t="s">
        <v>605</v>
      </c>
      <c r="F225" s="3"/>
      <c r="G225" s="4"/>
      <c r="H225" s="4"/>
      <c r="I225" s="8"/>
      <c r="J225" s="5" t="str">
        <f t="shared" si="696"/>
        <v>NO APLICA</v>
      </c>
      <c r="K225" s="2"/>
      <c r="L225" s="2"/>
      <c r="M225" s="2"/>
      <c r="N225" s="2"/>
      <c r="O225" s="5" t="str">
        <f t="shared" si="699"/>
        <v>NO APLICA</v>
      </c>
      <c r="P225" s="6"/>
      <c r="Q225" s="6"/>
      <c r="R225" s="4"/>
      <c r="S225" s="8"/>
      <c r="T225" s="5" t="str">
        <f t="shared" si="697"/>
        <v>NO APLICA</v>
      </c>
      <c r="U225" s="5"/>
      <c r="V225" s="2"/>
      <c r="W225" s="4"/>
      <c r="X225" s="4"/>
      <c r="Y225" s="8"/>
      <c r="Z225" s="5" t="str">
        <f t="shared" si="605"/>
        <v>NO APLICA</v>
      </c>
      <c r="AA225" s="5"/>
      <c r="AB225" s="2"/>
      <c r="AC225" s="6"/>
      <c r="AD225" s="4"/>
      <c r="AE225" s="8"/>
      <c r="AF225" s="5" t="str">
        <f t="shared" si="700"/>
        <v>NO APLICA</v>
      </c>
      <c r="AG225" s="2"/>
      <c r="AH225" s="4"/>
      <c r="AI225" s="4"/>
      <c r="AJ225" s="8"/>
      <c r="AK225" s="5" t="str">
        <f t="shared" si="602"/>
        <v>NO APLICA</v>
      </c>
      <c r="AL225" s="2"/>
      <c r="AM225" s="4"/>
      <c r="AN225" s="4"/>
      <c r="AO225" s="8"/>
      <c r="AP225" s="5" t="str">
        <f t="shared" si="701"/>
        <v>NO APLICA</v>
      </c>
      <c r="AQ225" s="2"/>
      <c r="AR225" s="4"/>
      <c r="AS225" s="4"/>
      <c r="AT225" s="8"/>
      <c r="AU225" s="5" t="str">
        <f t="shared" si="702"/>
        <v>NO APLICA</v>
      </c>
      <c r="AV225" s="2"/>
      <c r="AW225" s="4"/>
      <c r="AX225" s="4"/>
      <c r="AY225" s="8"/>
      <c r="AZ225" s="5" t="str">
        <f t="shared" si="703"/>
        <v>NO APLICA</v>
      </c>
      <c r="BA225" s="3"/>
      <c r="BB225" s="4"/>
      <c r="BC225" s="4"/>
      <c r="BD225" s="8"/>
      <c r="BE225" s="5" t="str">
        <f t="shared" si="704"/>
        <v>NO APLICA</v>
      </c>
      <c r="BF225" s="2"/>
      <c r="BG225" s="4"/>
      <c r="BH225" s="4"/>
      <c r="BI225" s="8"/>
      <c r="BJ225" s="5" t="str">
        <f t="shared" si="705"/>
        <v>NO APLICA</v>
      </c>
      <c r="BK225" s="3"/>
      <c r="BL225" s="4"/>
      <c r="BM225" s="4"/>
      <c r="BN225" s="8"/>
      <c r="BO225" s="5" t="str">
        <f t="shared" si="706"/>
        <v>NO APLICA</v>
      </c>
      <c r="BP225" s="3"/>
      <c r="BQ225" s="39"/>
      <c r="BR225" s="4"/>
      <c r="BS225" s="8"/>
      <c r="BT225" s="5" t="str">
        <f t="shared" si="707"/>
        <v>NO APLICA</v>
      </c>
      <c r="BU225" s="2"/>
      <c r="BV225" s="4"/>
      <c r="BW225" s="4"/>
      <c r="BX225" s="8"/>
      <c r="BY225" s="5" t="str">
        <f t="shared" si="708"/>
        <v>NO APLICA</v>
      </c>
      <c r="BZ225" s="2"/>
      <c r="CA225" s="4"/>
      <c r="CB225" s="4"/>
      <c r="CC225" s="8"/>
      <c r="CD225" s="5" t="str">
        <f t="shared" si="709"/>
        <v>NO APLICA</v>
      </c>
      <c r="CE225" s="6"/>
      <c r="CF225" s="4"/>
      <c r="CG225" s="4"/>
      <c r="CH225" s="8"/>
      <c r="CI225" s="5" t="str">
        <f t="shared" si="770"/>
        <v>NO APLICA</v>
      </c>
      <c r="CJ225" s="6"/>
      <c r="CK225" s="4"/>
      <c r="CL225" s="4"/>
      <c r="CM225" s="8"/>
      <c r="CN225" s="5" t="str">
        <f t="shared" si="710"/>
        <v>NO APLICA</v>
      </c>
      <c r="CO225" s="2"/>
      <c r="CP225" s="39"/>
      <c r="CQ225" s="4"/>
      <c r="CR225" s="8"/>
      <c r="CS225" s="5" t="str">
        <f t="shared" si="711"/>
        <v>NO APLICA</v>
      </c>
      <c r="CT225" s="2"/>
      <c r="CU225" s="4"/>
      <c r="CV225" s="4"/>
      <c r="CW225" s="8"/>
      <c r="CX225" s="5" t="str">
        <f t="shared" si="712"/>
        <v>NO APLICA</v>
      </c>
      <c r="CY225" s="3"/>
      <c r="CZ225" s="4"/>
      <c r="DA225" s="4"/>
      <c r="DB225" s="8"/>
      <c r="DC225" s="5" t="str">
        <f t="shared" si="713"/>
        <v>NO APLICA</v>
      </c>
      <c r="DD225" s="3"/>
      <c r="DE225" s="39"/>
      <c r="DF225" s="4"/>
      <c r="DG225" s="8"/>
      <c r="DH225" s="5" t="str">
        <f t="shared" si="714"/>
        <v>NO APLICA</v>
      </c>
      <c r="DI225" s="2"/>
      <c r="DJ225" s="39"/>
      <c r="DK225" s="4"/>
      <c r="DL225" s="8"/>
      <c r="DM225" s="5" t="str">
        <f t="shared" si="715"/>
        <v>NO APLICA</v>
      </c>
      <c r="DN225" s="3"/>
      <c r="DO225" s="4"/>
      <c r="DP225" s="4"/>
      <c r="DQ225" s="8"/>
      <c r="DR225" s="5" t="str">
        <f t="shared" si="716"/>
        <v>NO APLICA</v>
      </c>
      <c r="DS225" s="2"/>
      <c r="DT225" s="4"/>
      <c r="DU225" s="4"/>
      <c r="DV225" s="8"/>
      <c r="DW225" s="5" t="str">
        <f t="shared" si="717"/>
        <v>NO APLICA</v>
      </c>
      <c r="DX225" s="3"/>
      <c r="DY225" s="4"/>
      <c r="DZ225" s="4"/>
      <c r="EA225" s="8"/>
      <c r="EB225" s="5" t="str">
        <f t="shared" si="718"/>
        <v>NO APLICA</v>
      </c>
      <c r="EC225" s="3"/>
      <c r="ED225" s="39"/>
      <c r="EE225" s="4"/>
      <c r="EF225" s="8"/>
      <c r="EG225" s="5" t="str">
        <f t="shared" si="719"/>
        <v>NO APLICA</v>
      </c>
      <c r="EH225" s="2"/>
      <c r="EI225" s="4"/>
      <c r="EJ225" s="4"/>
      <c r="EK225" s="8"/>
      <c r="EL225" s="5" t="str">
        <f t="shared" si="720"/>
        <v>NO APLICA</v>
      </c>
      <c r="EM225" s="3"/>
      <c r="EN225" s="4"/>
      <c r="EO225" s="4"/>
      <c r="EP225" s="8"/>
      <c r="EQ225" s="5" t="str">
        <f t="shared" si="721"/>
        <v>NO APLICA</v>
      </c>
      <c r="ER225" s="2"/>
      <c r="ES225" s="39"/>
      <c r="ET225" s="4"/>
      <c r="EU225" s="8"/>
      <c r="EV225" s="5" t="str">
        <f t="shared" si="722"/>
        <v>NO APLICA</v>
      </c>
      <c r="EW225" s="2"/>
      <c r="EX225" s="4"/>
      <c r="EY225" s="4"/>
      <c r="EZ225" s="8"/>
      <c r="FA225" s="5" t="str">
        <f t="shared" si="723"/>
        <v>NO APLICA</v>
      </c>
      <c r="FB225" s="2"/>
      <c r="FC225" s="4"/>
      <c r="FD225" s="4"/>
      <c r="FE225" s="8"/>
      <c r="FF225" s="5" t="str">
        <f t="shared" si="724"/>
        <v>NO APLICA</v>
      </c>
      <c r="FG225" s="2"/>
      <c r="FH225" s="4"/>
      <c r="FI225" s="4"/>
      <c r="FJ225" s="8"/>
      <c r="FK225" s="5" t="str">
        <f t="shared" si="725"/>
        <v>NO APLICA</v>
      </c>
      <c r="FL225" s="3"/>
      <c r="FM225" s="39"/>
      <c r="FN225" s="4"/>
      <c r="FO225" s="8"/>
      <c r="FP225" s="5" t="str">
        <f t="shared" si="726"/>
        <v>NO APLICA</v>
      </c>
      <c r="FQ225" s="3"/>
      <c r="FR225" s="39"/>
      <c r="FS225" s="4"/>
      <c r="FT225" s="8"/>
      <c r="FU225" s="5" t="str">
        <f t="shared" si="727"/>
        <v>NO APLICA</v>
      </c>
      <c r="FV225" s="3"/>
      <c r="FW225" s="4"/>
      <c r="FX225" s="4"/>
      <c r="FY225" s="8"/>
      <c r="FZ225" s="5" t="str">
        <f t="shared" si="728"/>
        <v>NO APLICA</v>
      </c>
      <c r="GA225" s="3"/>
      <c r="GB225" s="4"/>
      <c r="GC225" s="4"/>
      <c r="GD225" s="8"/>
      <c r="GE225" s="5" t="str">
        <f t="shared" si="729"/>
        <v>NO APLICA</v>
      </c>
      <c r="GF225" s="3"/>
      <c r="GG225" s="4"/>
      <c r="GH225" s="4"/>
      <c r="GI225" s="8"/>
      <c r="GJ225" s="5" t="str">
        <f t="shared" si="730"/>
        <v>NO APLICA</v>
      </c>
      <c r="GK225" s="3"/>
      <c r="GL225" s="4"/>
      <c r="GM225" s="4"/>
      <c r="GN225" s="8"/>
      <c r="GO225" s="5" t="str">
        <f t="shared" si="731"/>
        <v>NO APLICA</v>
      </c>
      <c r="GP225" s="4"/>
      <c r="GQ225" s="4"/>
      <c r="GR225" s="4"/>
      <c r="GS225" s="8"/>
      <c r="GT225" s="5" t="str">
        <f t="shared" si="610"/>
        <v>NO APLICA</v>
      </c>
      <c r="GU225" s="3"/>
      <c r="GV225" s="4"/>
      <c r="GW225" s="4"/>
      <c r="GX225" s="8"/>
      <c r="GY225" s="5" t="str">
        <f t="shared" si="611"/>
        <v>NO APLICA</v>
      </c>
      <c r="GZ225" s="2"/>
      <c r="HA225" s="4"/>
      <c r="HB225" s="4"/>
      <c r="HC225" s="8"/>
      <c r="HD225" s="5" t="str">
        <f t="shared" si="612"/>
        <v>NO APLICA</v>
      </c>
      <c r="HE225" s="6"/>
      <c r="HF225" s="6"/>
      <c r="HG225" s="4"/>
      <c r="HH225" s="8"/>
      <c r="HI225" s="5" t="str">
        <f t="shared" si="698"/>
        <v>NO APLICA</v>
      </c>
      <c r="HJ225" s="2"/>
      <c r="HK225" s="6"/>
      <c r="HL225" s="4"/>
      <c r="HM225" s="8"/>
      <c r="HN225" s="5" t="str">
        <f t="shared" si="694"/>
        <v>NO APLICA</v>
      </c>
      <c r="HO225" s="2"/>
      <c r="HP225" s="2"/>
      <c r="HQ225" s="4"/>
      <c r="HR225" s="2"/>
      <c r="HS225" s="5" t="str">
        <f t="shared" si="732"/>
        <v>NO APLICA</v>
      </c>
      <c r="HT225" s="2"/>
      <c r="HU225" s="6"/>
      <c r="HV225" s="4"/>
      <c r="HW225" s="8"/>
      <c r="HX225" s="5" t="str">
        <f t="shared" si="733"/>
        <v>NO APLICA</v>
      </c>
      <c r="HY225" s="2"/>
      <c r="HZ225" s="6"/>
      <c r="IA225" s="4"/>
      <c r="IB225" s="8"/>
      <c r="IC225" s="5" t="str">
        <f t="shared" si="734"/>
        <v>NO APLICA</v>
      </c>
      <c r="ID225" s="2"/>
      <c r="IE225" s="6"/>
      <c r="IF225" s="4"/>
      <c r="IG225" s="8"/>
      <c r="IH225" s="5" t="str">
        <f t="shared" si="735"/>
        <v>NO APLICA</v>
      </c>
      <c r="II225" s="6"/>
      <c r="IJ225" s="6"/>
      <c r="IK225" s="4"/>
      <c r="IL225" s="8"/>
      <c r="IM225" s="5" t="str">
        <f t="shared" si="736"/>
        <v>NO APLICA</v>
      </c>
      <c r="IN225" s="2"/>
      <c r="IO225" s="6"/>
      <c r="IP225" s="4"/>
      <c r="IQ225" s="8"/>
      <c r="IR225" s="5" t="str">
        <f t="shared" si="737"/>
        <v>NO APLICA</v>
      </c>
      <c r="IS225" s="2"/>
      <c r="IT225" s="6"/>
      <c r="IU225" s="4"/>
      <c r="IV225" s="8"/>
      <c r="IW225" s="5" t="str">
        <f t="shared" si="738"/>
        <v>NO APLICA</v>
      </c>
      <c r="IX225" s="2"/>
      <c r="IY225" s="6"/>
      <c r="IZ225" s="4"/>
      <c r="JA225" s="8"/>
      <c r="JB225" s="5" t="str">
        <f t="shared" si="739"/>
        <v>NO APLICA</v>
      </c>
      <c r="JC225" s="3" t="s">
        <v>780</v>
      </c>
      <c r="JD225" s="3"/>
      <c r="JE225" s="4"/>
      <c r="JF225" s="8"/>
      <c r="JG225" s="5"/>
      <c r="JH225" s="3" t="s">
        <v>780</v>
      </c>
      <c r="JI225" s="6"/>
      <c r="JJ225" s="6"/>
      <c r="JK225" s="6"/>
      <c r="JL225" s="5"/>
      <c r="JM225" s="6" t="s">
        <v>780</v>
      </c>
      <c r="JN225" s="6"/>
      <c r="JO225" s="6"/>
      <c r="JP225" s="6"/>
      <c r="JQ225" s="5"/>
      <c r="JR225" s="6" t="s">
        <v>780</v>
      </c>
      <c r="JS225" s="6"/>
      <c r="JT225" s="6"/>
      <c r="JU225" s="6"/>
      <c r="JV225" s="5"/>
      <c r="JW225" s="6" t="s">
        <v>780</v>
      </c>
      <c r="JX225" s="5"/>
      <c r="JY225" s="5"/>
      <c r="JZ225" s="5"/>
      <c r="KA225" s="5"/>
      <c r="KB225" s="5"/>
      <c r="KC225" s="2"/>
      <c r="KD225" s="4"/>
      <c r="KE225" s="8"/>
      <c r="KF225" s="5" t="str">
        <f t="shared" si="740"/>
        <v>NO APLICA</v>
      </c>
      <c r="KG225" s="5"/>
      <c r="KH225" s="2"/>
      <c r="KI225" s="4"/>
      <c r="KJ225" s="8"/>
      <c r="KK225" s="5" t="str">
        <f t="shared" si="760"/>
        <v>NO APLICA</v>
      </c>
      <c r="KL225" s="5"/>
      <c r="KM225" s="2"/>
      <c r="KN225" s="4"/>
      <c r="KO225" s="8"/>
      <c r="KP225" s="5" t="str">
        <f t="shared" si="741"/>
        <v>NO APLICA</v>
      </c>
      <c r="KQ225" s="5"/>
      <c r="KR225" s="2"/>
      <c r="KS225" s="4"/>
      <c r="KT225" s="8"/>
      <c r="KU225" s="5" t="str">
        <f t="shared" si="761"/>
        <v>NO APLICA</v>
      </c>
      <c r="KV225" s="2"/>
      <c r="KW225" s="6"/>
      <c r="KX225" s="4"/>
      <c r="KY225" s="8"/>
      <c r="KZ225" s="5" t="str">
        <f t="shared" si="767"/>
        <v>NO APLICA</v>
      </c>
      <c r="LA225" s="5"/>
      <c r="LB225" s="6"/>
      <c r="LC225" s="4"/>
      <c r="LD225" s="8"/>
      <c r="LE225" s="5" t="str">
        <f t="shared" si="762"/>
        <v>NO APLICA</v>
      </c>
      <c r="LF225" s="6"/>
      <c r="LG225" s="6"/>
      <c r="LH225" s="4"/>
      <c r="LI225" s="8"/>
      <c r="LJ225" s="5" t="str">
        <f t="shared" si="600"/>
        <v>NO APLICA</v>
      </c>
      <c r="LK225" s="5"/>
      <c r="LL225" s="5"/>
      <c r="LM225" s="4"/>
      <c r="LN225" s="8"/>
      <c r="LO225" s="5" t="str">
        <f t="shared" si="768"/>
        <v>NO APLICA</v>
      </c>
      <c r="LP225" s="2"/>
      <c r="LQ225" s="6"/>
      <c r="LR225" s="4"/>
      <c r="LS225" s="8"/>
      <c r="LT225" s="5" t="str">
        <f t="shared" si="763"/>
        <v>NO APLICA</v>
      </c>
      <c r="LU225" s="6"/>
      <c r="LV225" s="6"/>
      <c r="LW225" s="4"/>
      <c r="LX225" s="8"/>
      <c r="LY225" s="5" t="str">
        <f t="shared" si="764"/>
        <v>NO APLICA</v>
      </c>
      <c r="LZ225" s="6"/>
      <c r="MA225" s="6"/>
      <c r="MB225" s="4"/>
      <c r="MC225" s="8"/>
      <c r="MD225" s="5" t="str">
        <f t="shared" si="765"/>
        <v>NO APLICA</v>
      </c>
      <c r="ME225" s="2"/>
      <c r="MF225" s="2"/>
      <c r="MG225" s="4"/>
      <c r="MH225" s="8"/>
      <c r="MI225" s="5" t="str">
        <f t="shared" si="742"/>
        <v>NO APLICA</v>
      </c>
      <c r="MJ225" s="2"/>
      <c r="MK225" s="2"/>
      <c r="ML225" s="4"/>
      <c r="MM225" s="8"/>
      <c r="MN225" s="5" t="str">
        <f t="shared" si="743"/>
        <v>NO APLICA</v>
      </c>
      <c r="MO225" s="5"/>
      <c r="MP225" s="2"/>
      <c r="MQ225" s="4"/>
      <c r="MR225" s="8"/>
      <c r="MS225" s="5" t="str">
        <f t="shared" si="744"/>
        <v>NO APLICA</v>
      </c>
      <c r="MT225" s="5"/>
      <c r="MU225" s="2"/>
      <c r="MV225" s="4"/>
      <c r="MW225" s="2"/>
      <c r="MX225" s="5" t="str">
        <f t="shared" si="745"/>
        <v>NO APLICA</v>
      </c>
      <c r="MY225" s="2"/>
      <c r="MZ225" s="6"/>
      <c r="NA225" s="4"/>
      <c r="NB225" s="8"/>
      <c r="NC225" s="5" t="str">
        <f t="shared" si="746"/>
        <v>NO APLICA</v>
      </c>
      <c r="ND225" s="2"/>
      <c r="NE225" s="6"/>
      <c r="NF225" s="4"/>
      <c r="NG225" s="8"/>
      <c r="NH225" s="5" t="str">
        <f t="shared" si="747"/>
        <v>NO APLICA</v>
      </c>
      <c r="NI225" s="2"/>
      <c r="NJ225" s="6"/>
      <c r="NK225" s="4"/>
      <c r="NL225" s="8"/>
      <c r="NM225" s="5" t="str">
        <f t="shared" si="748"/>
        <v>NO APLICA</v>
      </c>
      <c r="NN225" s="2"/>
      <c r="NO225" s="2"/>
      <c r="NP225" s="4"/>
      <c r="NQ225" s="8"/>
      <c r="NR225" s="5" t="str">
        <f t="shared" si="749"/>
        <v>NO APLICA</v>
      </c>
      <c r="NS225" s="2"/>
      <c r="NT225" s="2"/>
      <c r="NU225" s="4"/>
      <c r="NV225" s="2"/>
      <c r="NW225" s="5" t="str">
        <f t="shared" si="750"/>
        <v>NO APLICA</v>
      </c>
      <c r="NX225" s="6"/>
      <c r="NY225" s="6"/>
      <c r="NZ225" s="4"/>
      <c r="OA225" s="8"/>
      <c r="OB225" s="5" t="str">
        <f t="shared" si="751"/>
        <v>NO APLICA</v>
      </c>
      <c r="OC225" s="6"/>
      <c r="OD225" s="6"/>
      <c r="OE225" s="6"/>
      <c r="OF225" s="6"/>
      <c r="OG225" s="5" t="str">
        <f t="shared" si="752"/>
        <v>NO APLICA</v>
      </c>
      <c r="OH225" s="6"/>
      <c r="OI225" s="6"/>
      <c r="OJ225" s="4"/>
      <c r="OK225" s="8"/>
      <c r="OL225" s="5" t="str">
        <f t="shared" si="753"/>
        <v>NO APLICA</v>
      </c>
      <c r="OM225" s="6"/>
      <c r="ON225" s="6"/>
      <c r="OO225" s="6"/>
      <c r="OP225" s="6"/>
      <c r="OQ225" s="5" t="str">
        <f t="shared" si="754"/>
        <v>NO APLICA</v>
      </c>
      <c r="OR225" s="6"/>
      <c r="OS225" s="6"/>
      <c r="OT225" s="6"/>
      <c r="OU225" s="6"/>
      <c r="OV225" s="5" t="str">
        <f t="shared" si="755"/>
        <v>NO APLICA</v>
      </c>
      <c r="OW225" s="6"/>
      <c r="OX225" s="6"/>
      <c r="OY225" s="6"/>
      <c r="OZ225" s="6"/>
      <c r="PA225" s="5" t="str">
        <f t="shared" si="769"/>
        <v>NO APLICA</v>
      </c>
      <c r="PB225" s="6"/>
      <c r="PC225" s="6"/>
      <c r="PD225" s="6"/>
      <c r="PE225" s="6"/>
      <c r="PF225" s="5" t="str">
        <f t="shared" si="756"/>
        <v>NO APLICA</v>
      </c>
      <c r="PG225" s="6"/>
      <c r="PH225" s="6"/>
      <c r="PI225" s="6"/>
      <c r="PJ225" s="6"/>
      <c r="PK225" s="5" t="str">
        <f t="shared" si="757"/>
        <v>NO APLICA</v>
      </c>
      <c r="PL225" s="5"/>
      <c r="PM225" s="6"/>
      <c r="PN225" s="4"/>
      <c r="PO225" s="8"/>
      <c r="PP225" s="5" t="str">
        <f t="shared" si="766"/>
        <v>NO APLICA</v>
      </c>
      <c r="PQ225" s="6"/>
      <c r="PR225" s="6"/>
      <c r="PS225" s="6"/>
      <c r="PT225" s="6"/>
      <c r="PU225" s="5" t="str">
        <f t="shared" si="758"/>
        <v>NO APLICA</v>
      </c>
      <c r="PV225" s="5"/>
      <c r="PW225" s="4">
        <v>46126</v>
      </c>
      <c r="PX225" s="4">
        <f>DATE(YEAR(PW225)+1,MONTH(PW225),DAY(PW225))</f>
        <v>46491</v>
      </c>
      <c r="PY225" s="8">
        <f ca="1">PX225-TODAY()</f>
        <v>346</v>
      </c>
      <c r="PZ225" s="5" t="str">
        <f t="shared" ca="1" si="759"/>
        <v>VIGENTE</v>
      </c>
    </row>
    <row r="226" spans="1:442" ht="15.6" hidden="1" thickTop="1" thickBot="1" x14ac:dyDescent="0.35">
      <c r="A226" s="26">
        <v>223</v>
      </c>
      <c r="B226" s="31">
        <v>7</v>
      </c>
      <c r="C226" s="28" t="s">
        <v>670</v>
      </c>
      <c r="D226" s="29" t="s">
        <v>604</v>
      </c>
      <c r="E226" s="30" t="s">
        <v>671</v>
      </c>
      <c r="F226" s="3"/>
      <c r="G226" s="4"/>
      <c r="H226" s="4"/>
      <c r="I226" s="8"/>
      <c r="J226" s="5" t="str">
        <f t="shared" si="696"/>
        <v>NO APLICA</v>
      </c>
      <c r="K226" s="2"/>
      <c r="L226" s="2"/>
      <c r="M226" s="2"/>
      <c r="N226" s="2"/>
      <c r="O226" s="5" t="str">
        <f t="shared" si="699"/>
        <v>NO APLICA</v>
      </c>
      <c r="P226" s="6"/>
      <c r="Q226" s="6"/>
      <c r="R226" s="4"/>
      <c r="S226" s="8"/>
      <c r="T226" s="5" t="str">
        <f t="shared" si="697"/>
        <v>NO APLICA</v>
      </c>
      <c r="U226" s="5"/>
      <c r="V226" s="2"/>
      <c r="W226" s="4"/>
      <c r="X226" s="4"/>
      <c r="Y226" s="8"/>
      <c r="Z226" s="5" t="str">
        <f t="shared" si="605"/>
        <v>NO APLICA</v>
      </c>
      <c r="AA226" s="5"/>
      <c r="AB226" s="2"/>
      <c r="AC226" s="6"/>
      <c r="AD226" s="4"/>
      <c r="AE226" s="8"/>
      <c r="AF226" s="5" t="str">
        <f t="shared" si="700"/>
        <v>NO APLICA</v>
      </c>
      <c r="AG226" s="2"/>
      <c r="AH226" s="4"/>
      <c r="AI226" s="4"/>
      <c r="AJ226" s="8"/>
      <c r="AK226" s="5" t="str">
        <f t="shared" si="602"/>
        <v>NO APLICA</v>
      </c>
      <c r="AL226" s="2"/>
      <c r="AM226" s="4"/>
      <c r="AN226" s="4"/>
      <c r="AO226" s="8"/>
      <c r="AP226" s="5" t="str">
        <f t="shared" si="701"/>
        <v>NO APLICA</v>
      </c>
      <c r="AQ226" s="2"/>
      <c r="AR226" s="4"/>
      <c r="AS226" s="4"/>
      <c r="AT226" s="8"/>
      <c r="AU226" s="5" t="str">
        <f t="shared" si="702"/>
        <v>NO APLICA</v>
      </c>
      <c r="AV226" s="2"/>
      <c r="AW226" s="4"/>
      <c r="AX226" s="4"/>
      <c r="AY226" s="8"/>
      <c r="AZ226" s="5" t="str">
        <f t="shared" si="703"/>
        <v>NO APLICA</v>
      </c>
      <c r="BA226" s="3"/>
      <c r="BB226" s="4"/>
      <c r="BC226" s="4"/>
      <c r="BD226" s="8"/>
      <c r="BE226" s="5" t="str">
        <f t="shared" si="704"/>
        <v>NO APLICA</v>
      </c>
      <c r="BF226" s="2"/>
      <c r="BG226" s="4"/>
      <c r="BH226" s="4"/>
      <c r="BI226" s="8"/>
      <c r="BJ226" s="5" t="str">
        <f t="shared" si="705"/>
        <v>NO APLICA</v>
      </c>
      <c r="BK226" s="3"/>
      <c r="BL226" s="4"/>
      <c r="BM226" s="4"/>
      <c r="BN226" s="8"/>
      <c r="BO226" s="5" t="str">
        <f t="shared" si="706"/>
        <v>NO APLICA</v>
      </c>
      <c r="BP226" s="3"/>
      <c r="BQ226" s="39"/>
      <c r="BR226" s="4"/>
      <c r="BS226" s="8"/>
      <c r="BT226" s="5" t="str">
        <f t="shared" si="707"/>
        <v>NO APLICA</v>
      </c>
      <c r="BU226" s="2"/>
      <c r="BV226" s="4"/>
      <c r="BW226" s="4"/>
      <c r="BX226" s="8"/>
      <c r="BY226" s="5" t="str">
        <f t="shared" si="708"/>
        <v>NO APLICA</v>
      </c>
      <c r="BZ226" s="2"/>
      <c r="CA226" s="4"/>
      <c r="CB226" s="4"/>
      <c r="CC226" s="8"/>
      <c r="CD226" s="5" t="str">
        <f t="shared" si="709"/>
        <v>NO APLICA</v>
      </c>
      <c r="CE226" s="6"/>
      <c r="CF226" s="4"/>
      <c r="CG226" s="4"/>
      <c r="CH226" s="8"/>
      <c r="CI226" s="5" t="str">
        <f t="shared" si="770"/>
        <v>NO APLICA</v>
      </c>
      <c r="CJ226" s="6"/>
      <c r="CK226" s="4"/>
      <c r="CL226" s="4"/>
      <c r="CM226" s="8"/>
      <c r="CN226" s="5" t="str">
        <f t="shared" si="710"/>
        <v>NO APLICA</v>
      </c>
      <c r="CO226" s="2"/>
      <c r="CP226" s="39"/>
      <c r="CQ226" s="4"/>
      <c r="CR226" s="8"/>
      <c r="CS226" s="5" t="str">
        <f t="shared" si="711"/>
        <v>NO APLICA</v>
      </c>
      <c r="CT226" s="2"/>
      <c r="CU226" s="4"/>
      <c r="CV226" s="4"/>
      <c r="CW226" s="8"/>
      <c r="CX226" s="5" t="str">
        <f t="shared" si="712"/>
        <v>NO APLICA</v>
      </c>
      <c r="CY226" s="3"/>
      <c r="CZ226" s="4"/>
      <c r="DA226" s="4"/>
      <c r="DB226" s="8"/>
      <c r="DC226" s="5" t="str">
        <f t="shared" si="713"/>
        <v>NO APLICA</v>
      </c>
      <c r="DD226" s="3"/>
      <c r="DE226" s="39"/>
      <c r="DF226" s="4"/>
      <c r="DG226" s="8"/>
      <c r="DH226" s="5" t="str">
        <f t="shared" si="714"/>
        <v>NO APLICA</v>
      </c>
      <c r="DI226" s="2"/>
      <c r="DJ226" s="39"/>
      <c r="DK226" s="4"/>
      <c r="DL226" s="8"/>
      <c r="DM226" s="5" t="str">
        <f t="shared" si="715"/>
        <v>NO APLICA</v>
      </c>
      <c r="DN226" s="3"/>
      <c r="DO226" s="4"/>
      <c r="DP226" s="4"/>
      <c r="DQ226" s="8"/>
      <c r="DR226" s="5" t="str">
        <f t="shared" si="716"/>
        <v>NO APLICA</v>
      </c>
      <c r="DS226" s="2"/>
      <c r="DT226" s="4"/>
      <c r="DU226" s="4"/>
      <c r="DV226" s="8"/>
      <c r="DW226" s="5" t="str">
        <f t="shared" si="717"/>
        <v>NO APLICA</v>
      </c>
      <c r="DX226" s="3"/>
      <c r="DY226" s="4"/>
      <c r="DZ226" s="4"/>
      <c r="EA226" s="8"/>
      <c r="EB226" s="5" t="str">
        <f t="shared" si="718"/>
        <v>NO APLICA</v>
      </c>
      <c r="EC226" s="3"/>
      <c r="ED226" s="39"/>
      <c r="EE226" s="4"/>
      <c r="EF226" s="8"/>
      <c r="EG226" s="5" t="str">
        <f t="shared" si="719"/>
        <v>NO APLICA</v>
      </c>
      <c r="EH226" s="2"/>
      <c r="EI226" s="4"/>
      <c r="EJ226" s="4"/>
      <c r="EK226" s="8"/>
      <c r="EL226" s="5" t="str">
        <f t="shared" si="720"/>
        <v>NO APLICA</v>
      </c>
      <c r="EM226" s="3"/>
      <c r="EN226" s="4"/>
      <c r="EO226" s="4"/>
      <c r="EP226" s="8"/>
      <c r="EQ226" s="5" t="str">
        <f t="shared" si="721"/>
        <v>NO APLICA</v>
      </c>
      <c r="ER226" s="2"/>
      <c r="ES226" s="39"/>
      <c r="ET226" s="4"/>
      <c r="EU226" s="8"/>
      <c r="EV226" s="5" t="str">
        <f t="shared" si="722"/>
        <v>NO APLICA</v>
      </c>
      <c r="EW226" s="2"/>
      <c r="EX226" s="4"/>
      <c r="EY226" s="4"/>
      <c r="EZ226" s="8"/>
      <c r="FA226" s="5" t="str">
        <f t="shared" si="723"/>
        <v>NO APLICA</v>
      </c>
      <c r="FB226" s="2"/>
      <c r="FC226" s="4"/>
      <c r="FD226" s="4"/>
      <c r="FE226" s="8"/>
      <c r="FF226" s="5" t="str">
        <f t="shared" si="724"/>
        <v>NO APLICA</v>
      </c>
      <c r="FG226" s="2"/>
      <c r="FH226" s="4"/>
      <c r="FI226" s="4"/>
      <c r="FJ226" s="8"/>
      <c r="FK226" s="5" t="str">
        <f t="shared" si="725"/>
        <v>NO APLICA</v>
      </c>
      <c r="FL226" s="3"/>
      <c r="FM226" s="39"/>
      <c r="FN226" s="4"/>
      <c r="FO226" s="8"/>
      <c r="FP226" s="5" t="str">
        <f t="shared" si="726"/>
        <v>NO APLICA</v>
      </c>
      <c r="FQ226" s="3"/>
      <c r="FR226" s="39"/>
      <c r="FS226" s="4"/>
      <c r="FT226" s="8"/>
      <c r="FU226" s="5" t="str">
        <f t="shared" si="727"/>
        <v>NO APLICA</v>
      </c>
      <c r="FV226" s="3"/>
      <c r="FW226" s="4"/>
      <c r="FX226" s="4"/>
      <c r="FY226" s="8"/>
      <c r="FZ226" s="5" t="str">
        <f t="shared" si="728"/>
        <v>NO APLICA</v>
      </c>
      <c r="GA226" s="3"/>
      <c r="GB226" s="4"/>
      <c r="GC226" s="4"/>
      <c r="GD226" s="8"/>
      <c r="GE226" s="5" t="str">
        <f t="shared" si="729"/>
        <v>NO APLICA</v>
      </c>
      <c r="GF226" s="3"/>
      <c r="GG226" s="4"/>
      <c r="GH226" s="4"/>
      <c r="GI226" s="8"/>
      <c r="GJ226" s="5" t="str">
        <f t="shared" si="730"/>
        <v>NO APLICA</v>
      </c>
      <c r="GK226" s="3"/>
      <c r="GL226" s="4"/>
      <c r="GM226" s="4"/>
      <c r="GN226" s="8"/>
      <c r="GO226" s="5" t="str">
        <f t="shared" si="731"/>
        <v>NO APLICA</v>
      </c>
      <c r="GP226" s="4"/>
      <c r="GQ226" s="4"/>
      <c r="GR226" s="4"/>
      <c r="GS226" s="8"/>
      <c r="GT226" s="5" t="str">
        <f t="shared" si="610"/>
        <v>NO APLICA</v>
      </c>
      <c r="GU226" s="3"/>
      <c r="GV226" s="4"/>
      <c r="GW226" s="4"/>
      <c r="GX226" s="8"/>
      <c r="GY226" s="5" t="str">
        <f t="shared" si="611"/>
        <v>NO APLICA</v>
      </c>
      <c r="GZ226" s="2"/>
      <c r="HA226" s="4"/>
      <c r="HB226" s="4"/>
      <c r="HC226" s="8"/>
      <c r="HD226" s="5" t="str">
        <f t="shared" si="612"/>
        <v>NO APLICA</v>
      </c>
      <c r="HE226" s="6"/>
      <c r="HF226" s="6"/>
      <c r="HG226" s="4"/>
      <c r="HH226" s="8"/>
      <c r="HI226" s="5" t="str">
        <f t="shared" si="698"/>
        <v>NO APLICA</v>
      </c>
      <c r="HJ226" s="2"/>
      <c r="HK226" s="6"/>
      <c r="HL226" s="4"/>
      <c r="HM226" s="8"/>
      <c r="HN226" s="5" t="str">
        <f t="shared" si="694"/>
        <v>NO APLICA</v>
      </c>
      <c r="HO226" s="2"/>
      <c r="HP226" s="2"/>
      <c r="HQ226" s="4"/>
      <c r="HR226" s="2"/>
      <c r="HS226" s="5" t="str">
        <f t="shared" si="732"/>
        <v>NO APLICA</v>
      </c>
      <c r="HT226" s="2"/>
      <c r="HU226" s="6"/>
      <c r="HV226" s="4"/>
      <c r="HW226" s="8"/>
      <c r="HX226" s="5" t="str">
        <f t="shared" si="733"/>
        <v>NO APLICA</v>
      </c>
      <c r="HY226" s="2"/>
      <c r="HZ226" s="6"/>
      <c r="IA226" s="4"/>
      <c r="IB226" s="8"/>
      <c r="IC226" s="5" t="str">
        <f t="shared" si="734"/>
        <v>NO APLICA</v>
      </c>
      <c r="ID226" s="2"/>
      <c r="IE226" s="6"/>
      <c r="IF226" s="4"/>
      <c r="IG226" s="8"/>
      <c r="IH226" s="5" t="str">
        <f t="shared" si="735"/>
        <v>NO APLICA</v>
      </c>
      <c r="II226" s="6"/>
      <c r="IJ226" s="6"/>
      <c r="IK226" s="4"/>
      <c r="IL226" s="8"/>
      <c r="IM226" s="5" t="str">
        <f t="shared" si="736"/>
        <v>NO APLICA</v>
      </c>
      <c r="IN226" s="2"/>
      <c r="IO226" s="6"/>
      <c r="IP226" s="4"/>
      <c r="IQ226" s="8"/>
      <c r="IR226" s="5" t="str">
        <f t="shared" si="737"/>
        <v>NO APLICA</v>
      </c>
      <c r="IS226" s="2"/>
      <c r="IT226" s="6"/>
      <c r="IU226" s="4"/>
      <c r="IV226" s="8"/>
      <c r="IW226" s="5" t="str">
        <f t="shared" si="738"/>
        <v>NO APLICA</v>
      </c>
      <c r="IX226" s="2"/>
      <c r="IY226" s="6"/>
      <c r="IZ226" s="4"/>
      <c r="JA226" s="8"/>
      <c r="JB226" s="5" t="str">
        <f t="shared" si="739"/>
        <v>NO APLICA</v>
      </c>
      <c r="JC226" s="3" t="s">
        <v>780</v>
      </c>
      <c r="JD226" s="3"/>
      <c r="JE226" s="4"/>
      <c r="JF226" s="8"/>
      <c r="JG226" s="5"/>
      <c r="JH226" s="3" t="s">
        <v>780</v>
      </c>
      <c r="JI226" s="6"/>
      <c r="JJ226" s="6"/>
      <c r="JK226" s="6"/>
      <c r="JL226" s="5"/>
      <c r="JM226" s="6" t="s">
        <v>780</v>
      </c>
      <c r="JN226" s="6"/>
      <c r="JO226" s="6"/>
      <c r="JP226" s="6"/>
      <c r="JQ226" s="5"/>
      <c r="JR226" s="6" t="s">
        <v>780</v>
      </c>
      <c r="JS226" s="6"/>
      <c r="JT226" s="6"/>
      <c r="JU226" s="6"/>
      <c r="JV226" s="5"/>
      <c r="JW226" s="6" t="s">
        <v>780</v>
      </c>
      <c r="JX226" s="5"/>
      <c r="JY226" s="5"/>
      <c r="JZ226" s="5"/>
      <c r="KA226" s="5"/>
      <c r="KB226" s="5"/>
      <c r="KC226" s="2"/>
      <c r="KD226" s="4"/>
      <c r="KE226" s="8"/>
      <c r="KF226" s="5" t="str">
        <f t="shared" si="740"/>
        <v>NO APLICA</v>
      </c>
      <c r="KG226" s="5"/>
      <c r="KH226" s="2"/>
      <c r="KI226" s="4"/>
      <c r="KJ226" s="8"/>
      <c r="KK226" s="5" t="str">
        <f t="shared" si="760"/>
        <v>NO APLICA</v>
      </c>
      <c r="KL226" s="5"/>
      <c r="KM226" s="2"/>
      <c r="KN226" s="4"/>
      <c r="KO226" s="8"/>
      <c r="KP226" s="5" t="str">
        <f t="shared" si="741"/>
        <v>NO APLICA</v>
      </c>
      <c r="KQ226" s="5"/>
      <c r="KR226" s="2"/>
      <c r="KS226" s="4"/>
      <c r="KT226" s="8"/>
      <c r="KU226" s="5" t="str">
        <f t="shared" si="761"/>
        <v>NO APLICA</v>
      </c>
      <c r="KV226" s="2"/>
      <c r="KW226" s="6"/>
      <c r="KX226" s="4"/>
      <c r="KY226" s="8"/>
      <c r="KZ226" s="5" t="str">
        <f t="shared" si="767"/>
        <v>NO APLICA</v>
      </c>
      <c r="LA226" s="5"/>
      <c r="LB226" s="6"/>
      <c r="LC226" s="4"/>
      <c r="LD226" s="8"/>
      <c r="LE226" s="5" t="str">
        <f t="shared" si="762"/>
        <v>NO APLICA</v>
      </c>
      <c r="LF226" s="6"/>
      <c r="LG226" s="6"/>
      <c r="LH226" s="4"/>
      <c r="LI226" s="8"/>
      <c r="LJ226" s="5" t="str">
        <f t="shared" si="600"/>
        <v>NO APLICA</v>
      </c>
      <c r="LK226" s="5"/>
      <c r="LL226" s="5"/>
      <c r="LM226" s="4"/>
      <c r="LN226" s="8"/>
      <c r="LO226" s="5" t="str">
        <f t="shared" si="768"/>
        <v>NO APLICA</v>
      </c>
      <c r="LP226" s="2"/>
      <c r="LQ226" s="6"/>
      <c r="LR226" s="4"/>
      <c r="LS226" s="8"/>
      <c r="LT226" s="5" t="str">
        <f t="shared" si="763"/>
        <v>NO APLICA</v>
      </c>
      <c r="LU226" s="6"/>
      <c r="LV226" s="6"/>
      <c r="LW226" s="4"/>
      <c r="LX226" s="8"/>
      <c r="LY226" s="5" t="str">
        <f t="shared" si="764"/>
        <v>NO APLICA</v>
      </c>
      <c r="LZ226" s="6"/>
      <c r="MA226" s="6"/>
      <c r="MB226" s="4"/>
      <c r="MC226" s="8"/>
      <c r="MD226" s="5" t="str">
        <f t="shared" si="765"/>
        <v>NO APLICA</v>
      </c>
      <c r="ME226" s="2"/>
      <c r="MF226" s="2"/>
      <c r="MG226" s="4"/>
      <c r="MH226" s="8"/>
      <c r="MI226" s="5" t="str">
        <f t="shared" si="742"/>
        <v>NO APLICA</v>
      </c>
      <c r="MJ226" s="2"/>
      <c r="MK226" s="2"/>
      <c r="ML226" s="4"/>
      <c r="MM226" s="8"/>
      <c r="MN226" s="5" t="str">
        <f t="shared" si="743"/>
        <v>NO APLICA</v>
      </c>
      <c r="MO226" s="5"/>
      <c r="MP226" s="2"/>
      <c r="MQ226" s="4"/>
      <c r="MR226" s="8"/>
      <c r="MS226" s="5" t="str">
        <f t="shared" si="744"/>
        <v>NO APLICA</v>
      </c>
      <c r="MT226" s="5"/>
      <c r="MU226" s="2"/>
      <c r="MV226" s="4"/>
      <c r="MW226" s="2"/>
      <c r="MX226" s="5" t="str">
        <f t="shared" si="745"/>
        <v>NO APLICA</v>
      </c>
      <c r="MY226" s="2"/>
      <c r="MZ226" s="6"/>
      <c r="NA226" s="4"/>
      <c r="NB226" s="8"/>
      <c r="NC226" s="5" t="str">
        <f t="shared" si="746"/>
        <v>NO APLICA</v>
      </c>
      <c r="ND226" s="2"/>
      <c r="NE226" s="6"/>
      <c r="NF226" s="4"/>
      <c r="NG226" s="8"/>
      <c r="NH226" s="5" t="str">
        <f t="shared" si="747"/>
        <v>NO APLICA</v>
      </c>
      <c r="NI226" s="2"/>
      <c r="NJ226" s="6"/>
      <c r="NK226" s="4"/>
      <c r="NL226" s="8"/>
      <c r="NM226" s="5" t="str">
        <f t="shared" si="748"/>
        <v>NO APLICA</v>
      </c>
      <c r="NN226" s="2"/>
      <c r="NO226" s="2"/>
      <c r="NP226" s="4"/>
      <c r="NQ226" s="8"/>
      <c r="NR226" s="5" t="str">
        <f t="shared" si="749"/>
        <v>NO APLICA</v>
      </c>
      <c r="NS226" s="2"/>
      <c r="NT226" s="2"/>
      <c r="NU226" s="4"/>
      <c r="NV226" s="2"/>
      <c r="NW226" s="5" t="str">
        <f t="shared" si="750"/>
        <v>NO APLICA</v>
      </c>
      <c r="NX226" s="6"/>
      <c r="NY226" s="6"/>
      <c r="NZ226" s="4"/>
      <c r="OA226" s="8"/>
      <c r="OB226" s="5" t="str">
        <f t="shared" si="751"/>
        <v>NO APLICA</v>
      </c>
      <c r="OC226" s="6"/>
      <c r="OD226" s="6"/>
      <c r="OE226" s="6"/>
      <c r="OF226" s="6"/>
      <c r="OG226" s="5" t="str">
        <f t="shared" si="752"/>
        <v>NO APLICA</v>
      </c>
      <c r="OH226" s="6"/>
      <c r="OI226" s="6"/>
      <c r="OJ226" s="4"/>
      <c r="OK226" s="8"/>
      <c r="OL226" s="5" t="str">
        <f t="shared" si="753"/>
        <v>NO APLICA</v>
      </c>
      <c r="OM226" s="6"/>
      <c r="ON226" s="6"/>
      <c r="OO226" s="6"/>
      <c r="OP226" s="6"/>
      <c r="OQ226" s="5" t="str">
        <f t="shared" si="754"/>
        <v>NO APLICA</v>
      </c>
      <c r="OR226" s="6"/>
      <c r="OS226" s="6"/>
      <c r="OT226" s="6"/>
      <c r="OU226" s="6"/>
      <c r="OV226" s="5" t="str">
        <f t="shared" si="755"/>
        <v>NO APLICA</v>
      </c>
      <c r="OW226" s="4"/>
      <c r="OX226" s="4">
        <v>44770</v>
      </c>
      <c r="OY226" s="4">
        <f>DATE(YEAR(OX226)+5,MONTH(OX226),DAY(OX226))</f>
        <v>46596</v>
      </c>
      <c r="OZ226" s="8">
        <f ca="1">OY226-TODAY()</f>
        <v>451</v>
      </c>
      <c r="PA226" s="5" t="str">
        <f ca="1">IF(OZ226&gt;=61,"VIGENTE",IF(OZ226&gt;=1,"POR VENCER",IF(OZ226&lt;=-1,"VENCIDA",IF(OX226=0,"NO APLICA"))))</f>
        <v>VIGENTE</v>
      </c>
      <c r="PB226" s="6"/>
      <c r="PC226" s="6"/>
      <c r="PD226" s="6"/>
      <c r="PE226" s="6"/>
      <c r="PF226" s="5" t="str">
        <f t="shared" si="756"/>
        <v>NO APLICA</v>
      </c>
      <c r="PG226" s="6"/>
      <c r="PH226" s="6"/>
      <c r="PI226" s="6"/>
      <c r="PJ226" s="6"/>
      <c r="PK226" s="5" t="str">
        <f t="shared" si="757"/>
        <v>NO APLICA</v>
      </c>
      <c r="PL226" s="5"/>
      <c r="PM226" s="6"/>
      <c r="PN226" s="4"/>
      <c r="PO226" s="8"/>
      <c r="PP226" s="5" t="str">
        <f t="shared" si="766"/>
        <v>NO APLICA</v>
      </c>
      <c r="PQ226" s="6"/>
      <c r="PR226" s="6"/>
      <c r="PS226" s="6"/>
      <c r="PT226" s="6"/>
      <c r="PU226" s="5" t="str">
        <f t="shared" si="758"/>
        <v>NO APLICA</v>
      </c>
      <c r="PV226" s="5"/>
      <c r="PW226" s="6"/>
      <c r="PX226" s="6"/>
      <c r="PY226" s="6"/>
      <c r="PZ226" s="5" t="str">
        <f t="shared" si="759"/>
        <v>NO APLICA</v>
      </c>
    </row>
    <row r="227" spans="1:442" ht="15.6" hidden="1" thickTop="1" thickBot="1" x14ac:dyDescent="0.35">
      <c r="A227" s="26">
        <v>224</v>
      </c>
      <c r="B227" s="31">
        <v>11</v>
      </c>
      <c r="C227" s="28" t="s">
        <v>672</v>
      </c>
      <c r="D227" s="29" t="s">
        <v>604</v>
      </c>
      <c r="E227" s="30" t="s">
        <v>673</v>
      </c>
      <c r="F227" s="3"/>
      <c r="G227" s="4"/>
      <c r="H227" s="4"/>
      <c r="I227" s="8"/>
      <c r="J227" s="5" t="str">
        <f t="shared" si="696"/>
        <v>NO APLICA</v>
      </c>
      <c r="K227" s="2"/>
      <c r="L227" s="2"/>
      <c r="M227" s="2"/>
      <c r="N227" s="2"/>
      <c r="O227" s="5" t="str">
        <f t="shared" si="699"/>
        <v>NO APLICA</v>
      </c>
      <c r="P227" s="6"/>
      <c r="Q227" s="6"/>
      <c r="R227" s="4"/>
      <c r="S227" s="8"/>
      <c r="T227" s="5" t="str">
        <f t="shared" si="697"/>
        <v>NO APLICA</v>
      </c>
      <c r="U227" s="5"/>
      <c r="V227" s="2"/>
      <c r="W227" s="4"/>
      <c r="X227" s="4"/>
      <c r="Y227" s="8"/>
      <c r="Z227" s="5" t="str">
        <f t="shared" si="605"/>
        <v>NO APLICA</v>
      </c>
      <c r="AA227" s="5"/>
      <c r="AB227" s="2"/>
      <c r="AC227" s="6"/>
      <c r="AD227" s="4"/>
      <c r="AE227" s="8"/>
      <c r="AF227" s="5" t="str">
        <f t="shared" si="700"/>
        <v>NO APLICA</v>
      </c>
      <c r="AG227" s="2"/>
      <c r="AH227" s="4"/>
      <c r="AI227" s="4"/>
      <c r="AJ227" s="8"/>
      <c r="AK227" s="5" t="str">
        <f t="shared" si="602"/>
        <v>NO APLICA</v>
      </c>
      <c r="AL227" s="2"/>
      <c r="AM227" s="4"/>
      <c r="AN227" s="4"/>
      <c r="AO227" s="8"/>
      <c r="AP227" s="5" t="str">
        <f t="shared" si="701"/>
        <v>NO APLICA</v>
      </c>
      <c r="AQ227" s="2"/>
      <c r="AR227" s="4"/>
      <c r="AS227" s="4"/>
      <c r="AT227" s="8"/>
      <c r="AU227" s="5" t="str">
        <f t="shared" si="702"/>
        <v>NO APLICA</v>
      </c>
      <c r="AV227" s="2"/>
      <c r="AW227" s="4"/>
      <c r="AX227" s="4"/>
      <c r="AY227" s="8"/>
      <c r="AZ227" s="5" t="str">
        <f t="shared" si="703"/>
        <v>NO APLICA</v>
      </c>
      <c r="BA227" s="3"/>
      <c r="BB227" s="4"/>
      <c r="BC227" s="4"/>
      <c r="BD227" s="8"/>
      <c r="BE227" s="5" t="str">
        <f t="shared" si="704"/>
        <v>NO APLICA</v>
      </c>
      <c r="BF227" s="2"/>
      <c r="BG227" s="4"/>
      <c r="BH227" s="4"/>
      <c r="BI227" s="8"/>
      <c r="BJ227" s="5" t="str">
        <f t="shared" si="705"/>
        <v>NO APLICA</v>
      </c>
      <c r="BK227" s="3"/>
      <c r="BL227" s="4"/>
      <c r="BM227" s="4"/>
      <c r="BN227" s="8"/>
      <c r="BO227" s="5" t="str">
        <f t="shared" si="706"/>
        <v>NO APLICA</v>
      </c>
      <c r="BP227" s="3"/>
      <c r="BQ227" s="39"/>
      <c r="BR227" s="4"/>
      <c r="BS227" s="8"/>
      <c r="BT227" s="5" t="str">
        <f t="shared" si="707"/>
        <v>NO APLICA</v>
      </c>
      <c r="BU227" s="2"/>
      <c r="BV227" s="4"/>
      <c r="BW227" s="4"/>
      <c r="BX227" s="8"/>
      <c r="BY227" s="5" t="str">
        <f t="shared" si="708"/>
        <v>NO APLICA</v>
      </c>
      <c r="BZ227" s="2"/>
      <c r="CA227" s="4"/>
      <c r="CB227" s="4"/>
      <c r="CC227" s="8"/>
      <c r="CD227" s="5" t="str">
        <f t="shared" si="709"/>
        <v>NO APLICA</v>
      </c>
      <c r="CE227" s="6"/>
      <c r="CF227" s="4"/>
      <c r="CG227" s="4"/>
      <c r="CH227" s="8"/>
      <c r="CI227" s="5" t="str">
        <f t="shared" si="770"/>
        <v>NO APLICA</v>
      </c>
      <c r="CJ227" s="6"/>
      <c r="CK227" s="4"/>
      <c r="CL227" s="4"/>
      <c r="CM227" s="8"/>
      <c r="CN227" s="5" t="str">
        <f t="shared" si="710"/>
        <v>NO APLICA</v>
      </c>
      <c r="CO227" s="2"/>
      <c r="CP227" s="39"/>
      <c r="CQ227" s="4"/>
      <c r="CR227" s="8"/>
      <c r="CS227" s="5" t="str">
        <f t="shared" si="711"/>
        <v>NO APLICA</v>
      </c>
      <c r="CT227" s="2"/>
      <c r="CU227" s="4"/>
      <c r="CV227" s="4"/>
      <c r="CW227" s="8"/>
      <c r="CX227" s="5" t="str">
        <f t="shared" si="712"/>
        <v>NO APLICA</v>
      </c>
      <c r="CY227" s="3"/>
      <c r="CZ227" s="4"/>
      <c r="DA227" s="4"/>
      <c r="DB227" s="8"/>
      <c r="DC227" s="5" t="str">
        <f t="shared" si="713"/>
        <v>NO APLICA</v>
      </c>
      <c r="DD227" s="3"/>
      <c r="DE227" s="39"/>
      <c r="DF227" s="4"/>
      <c r="DG227" s="8"/>
      <c r="DH227" s="5" t="str">
        <f t="shared" si="714"/>
        <v>NO APLICA</v>
      </c>
      <c r="DI227" s="2"/>
      <c r="DJ227" s="39"/>
      <c r="DK227" s="4"/>
      <c r="DL227" s="8"/>
      <c r="DM227" s="5" t="str">
        <f t="shared" si="715"/>
        <v>NO APLICA</v>
      </c>
      <c r="DN227" s="3"/>
      <c r="DO227" s="4"/>
      <c r="DP227" s="4"/>
      <c r="DQ227" s="8"/>
      <c r="DR227" s="5" t="str">
        <f t="shared" si="716"/>
        <v>NO APLICA</v>
      </c>
      <c r="DS227" s="2"/>
      <c r="DT227" s="4"/>
      <c r="DU227" s="4"/>
      <c r="DV227" s="8"/>
      <c r="DW227" s="5" t="str">
        <f t="shared" si="717"/>
        <v>NO APLICA</v>
      </c>
      <c r="DX227" s="3"/>
      <c r="DY227" s="4"/>
      <c r="DZ227" s="4"/>
      <c r="EA227" s="8"/>
      <c r="EB227" s="5" t="str">
        <f t="shared" si="718"/>
        <v>NO APLICA</v>
      </c>
      <c r="EC227" s="3"/>
      <c r="ED227" s="39"/>
      <c r="EE227" s="4"/>
      <c r="EF227" s="8"/>
      <c r="EG227" s="5" t="str">
        <f t="shared" si="719"/>
        <v>NO APLICA</v>
      </c>
      <c r="EH227" s="2"/>
      <c r="EI227" s="4"/>
      <c r="EJ227" s="4"/>
      <c r="EK227" s="8"/>
      <c r="EL227" s="5" t="str">
        <f t="shared" si="720"/>
        <v>NO APLICA</v>
      </c>
      <c r="EM227" s="3"/>
      <c r="EN227" s="4"/>
      <c r="EO227" s="4"/>
      <c r="EP227" s="8"/>
      <c r="EQ227" s="5" t="str">
        <f t="shared" si="721"/>
        <v>NO APLICA</v>
      </c>
      <c r="ER227" s="2"/>
      <c r="ES227" s="39"/>
      <c r="ET227" s="4"/>
      <c r="EU227" s="8"/>
      <c r="EV227" s="5" t="str">
        <f t="shared" si="722"/>
        <v>NO APLICA</v>
      </c>
      <c r="EW227" s="2"/>
      <c r="EX227" s="4"/>
      <c r="EY227" s="4"/>
      <c r="EZ227" s="8"/>
      <c r="FA227" s="5" t="str">
        <f t="shared" si="723"/>
        <v>NO APLICA</v>
      </c>
      <c r="FB227" s="2"/>
      <c r="FC227" s="4"/>
      <c r="FD227" s="4"/>
      <c r="FE227" s="8"/>
      <c r="FF227" s="5" t="str">
        <f t="shared" si="724"/>
        <v>NO APLICA</v>
      </c>
      <c r="FG227" s="2"/>
      <c r="FH227" s="4"/>
      <c r="FI227" s="4"/>
      <c r="FJ227" s="8"/>
      <c r="FK227" s="5" t="str">
        <f t="shared" si="725"/>
        <v>NO APLICA</v>
      </c>
      <c r="FL227" s="3"/>
      <c r="FM227" s="39"/>
      <c r="FN227" s="4"/>
      <c r="FO227" s="8"/>
      <c r="FP227" s="5" t="str">
        <f t="shared" si="726"/>
        <v>NO APLICA</v>
      </c>
      <c r="FQ227" s="3"/>
      <c r="FR227" s="39"/>
      <c r="FS227" s="4"/>
      <c r="FT227" s="8"/>
      <c r="FU227" s="5" t="str">
        <f t="shared" si="727"/>
        <v>NO APLICA</v>
      </c>
      <c r="FV227" s="3"/>
      <c r="FW227" s="4"/>
      <c r="FX227" s="4"/>
      <c r="FY227" s="8"/>
      <c r="FZ227" s="5" t="str">
        <f t="shared" si="728"/>
        <v>NO APLICA</v>
      </c>
      <c r="GA227" s="3"/>
      <c r="GB227" s="4"/>
      <c r="GC227" s="4"/>
      <c r="GD227" s="8"/>
      <c r="GE227" s="5" t="str">
        <f t="shared" si="729"/>
        <v>NO APLICA</v>
      </c>
      <c r="GF227" s="3"/>
      <c r="GG227" s="4"/>
      <c r="GH227" s="4"/>
      <c r="GI227" s="8"/>
      <c r="GJ227" s="5" t="str">
        <f t="shared" si="730"/>
        <v>NO APLICA</v>
      </c>
      <c r="GK227" s="3"/>
      <c r="GL227" s="4"/>
      <c r="GM227" s="4"/>
      <c r="GN227" s="8"/>
      <c r="GO227" s="5" t="str">
        <f t="shared" si="731"/>
        <v>NO APLICA</v>
      </c>
      <c r="GP227" s="4"/>
      <c r="GQ227" s="4"/>
      <c r="GR227" s="4"/>
      <c r="GS227" s="8"/>
      <c r="GT227" s="5" t="str">
        <f t="shared" si="610"/>
        <v>NO APLICA</v>
      </c>
      <c r="GU227" s="3"/>
      <c r="GV227" s="4"/>
      <c r="GW227" s="4"/>
      <c r="GX227" s="8"/>
      <c r="GY227" s="5" t="str">
        <f t="shared" si="611"/>
        <v>NO APLICA</v>
      </c>
      <c r="GZ227" s="2"/>
      <c r="HA227" s="4"/>
      <c r="HB227" s="4"/>
      <c r="HC227" s="8"/>
      <c r="HD227" s="5" t="str">
        <f t="shared" si="612"/>
        <v>NO APLICA</v>
      </c>
      <c r="HE227" s="6"/>
      <c r="HF227" s="6"/>
      <c r="HG227" s="4"/>
      <c r="HH227" s="8"/>
      <c r="HI227" s="5" t="str">
        <f t="shared" si="698"/>
        <v>NO APLICA</v>
      </c>
      <c r="HJ227" s="2"/>
      <c r="HK227" s="6"/>
      <c r="HL227" s="4"/>
      <c r="HM227" s="8"/>
      <c r="HN227" s="5" t="str">
        <f t="shared" si="694"/>
        <v>NO APLICA</v>
      </c>
      <c r="HO227" s="2"/>
      <c r="HP227" s="2"/>
      <c r="HQ227" s="4"/>
      <c r="HR227" s="2"/>
      <c r="HS227" s="5" t="str">
        <f t="shared" si="732"/>
        <v>NO APLICA</v>
      </c>
      <c r="HT227" s="2"/>
      <c r="HU227" s="6"/>
      <c r="HV227" s="4"/>
      <c r="HW227" s="8"/>
      <c r="HX227" s="5" t="str">
        <f t="shared" si="733"/>
        <v>NO APLICA</v>
      </c>
      <c r="HY227" s="2"/>
      <c r="HZ227" s="6"/>
      <c r="IA227" s="4"/>
      <c r="IB227" s="8"/>
      <c r="IC227" s="5" t="str">
        <f t="shared" si="734"/>
        <v>NO APLICA</v>
      </c>
      <c r="ID227" s="2"/>
      <c r="IE227" s="6"/>
      <c r="IF227" s="4"/>
      <c r="IG227" s="8"/>
      <c r="IH227" s="5" t="str">
        <f t="shared" si="735"/>
        <v>NO APLICA</v>
      </c>
      <c r="II227" s="6"/>
      <c r="IJ227" s="6"/>
      <c r="IK227" s="4"/>
      <c r="IL227" s="8"/>
      <c r="IM227" s="5" t="str">
        <f t="shared" si="736"/>
        <v>NO APLICA</v>
      </c>
      <c r="IN227" s="2"/>
      <c r="IO227" s="6"/>
      <c r="IP227" s="4"/>
      <c r="IQ227" s="8"/>
      <c r="IR227" s="5" t="str">
        <f t="shared" si="737"/>
        <v>NO APLICA</v>
      </c>
      <c r="IS227" s="2"/>
      <c r="IT227" s="6"/>
      <c r="IU227" s="4"/>
      <c r="IV227" s="8"/>
      <c r="IW227" s="5" t="str">
        <f t="shared" si="738"/>
        <v>NO APLICA</v>
      </c>
      <c r="IX227" s="2"/>
      <c r="IY227" s="6"/>
      <c r="IZ227" s="4"/>
      <c r="JA227" s="8"/>
      <c r="JB227" s="5" t="str">
        <f t="shared" si="739"/>
        <v>NO APLICA</v>
      </c>
      <c r="JC227" s="3" t="s">
        <v>780</v>
      </c>
      <c r="JD227" s="3"/>
      <c r="JE227" s="4"/>
      <c r="JF227" s="8"/>
      <c r="JG227" s="5"/>
      <c r="JH227" s="3" t="s">
        <v>780</v>
      </c>
      <c r="JI227" s="6"/>
      <c r="JJ227" s="6"/>
      <c r="JK227" s="6"/>
      <c r="JL227" s="5"/>
      <c r="JM227" s="6" t="s">
        <v>780</v>
      </c>
      <c r="JN227" s="6"/>
      <c r="JO227" s="6"/>
      <c r="JP227" s="6"/>
      <c r="JQ227" s="5"/>
      <c r="JR227" s="6" t="s">
        <v>780</v>
      </c>
      <c r="JS227" s="6"/>
      <c r="JT227" s="6"/>
      <c r="JU227" s="6"/>
      <c r="JV227" s="5"/>
      <c r="JW227" s="6" t="s">
        <v>780</v>
      </c>
      <c r="JX227" s="3"/>
      <c r="JY227" s="4"/>
      <c r="JZ227" s="8"/>
      <c r="KA227" s="5"/>
      <c r="KB227" s="5"/>
      <c r="KC227" s="2"/>
      <c r="KD227" s="4"/>
      <c r="KE227" s="8"/>
      <c r="KF227" s="5" t="str">
        <f t="shared" si="740"/>
        <v>NO APLICA</v>
      </c>
      <c r="KG227" s="5"/>
      <c r="KH227" s="2"/>
      <c r="KI227" s="4"/>
      <c r="KJ227" s="8"/>
      <c r="KK227" s="5" t="str">
        <f t="shared" si="760"/>
        <v>NO APLICA</v>
      </c>
      <c r="KL227" s="5"/>
      <c r="KM227" s="2"/>
      <c r="KN227" s="4"/>
      <c r="KO227" s="8"/>
      <c r="KP227" s="5" t="str">
        <f t="shared" si="741"/>
        <v>NO APLICA</v>
      </c>
      <c r="KQ227" s="5"/>
      <c r="KR227" s="2"/>
      <c r="KS227" s="4"/>
      <c r="KT227" s="8"/>
      <c r="KU227" s="5" t="str">
        <f t="shared" si="761"/>
        <v>NO APLICA</v>
      </c>
      <c r="KV227" s="2"/>
      <c r="KW227" s="6"/>
      <c r="KX227" s="4"/>
      <c r="KY227" s="8"/>
      <c r="KZ227" s="5" t="str">
        <f t="shared" si="767"/>
        <v>NO APLICA</v>
      </c>
      <c r="LA227" s="5"/>
      <c r="LB227" s="6"/>
      <c r="LC227" s="4"/>
      <c r="LD227" s="8"/>
      <c r="LE227" s="5" t="str">
        <f t="shared" si="762"/>
        <v>NO APLICA</v>
      </c>
      <c r="LF227" s="6"/>
      <c r="LG227" s="6"/>
      <c r="LH227" s="4"/>
      <c r="LI227" s="8"/>
      <c r="LJ227" s="5" t="str">
        <f t="shared" si="600"/>
        <v>NO APLICA</v>
      </c>
      <c r="LK227" s="5"/>
      <c r="LL227" s="5"/>
      <c r="LM227" s="4"/>
      <c r="LN227" s="8"/>
      <c r="LO227" s="5" t="str">
        <f t="shared" si="768"/>
        <v>NO APLICA</v>
      </c>
      <c r="LP227" s="2"/>
      <c r="LQ227" s="6"/>
      <c r="LR227" s="4"/>
      <c r="LS227" s="8"/>
      <c r="LT227" s="5" t="str">
        <f t="shared" si="763"/>
        <v>NO APLICA</v>
      </c>
      <c r="LU227" s="6"/>
      <c r="LV227" s="6"/>
      <c r="LW227" s="4"/>
      <c r="LX227" s="8"/>
      <c r="LY227" s="5" t="str">
        <f t="shared" si="764"/>
        <v>NO APLICA</v>
      </c>
      <c r="LZ227" s="6"/>
      <c r="MA227" s="6"/>
      <c r="MB227" s="4"/>
      <c r="MC227" s="8"/>
      <c r="MD227" s="5" t="str">
        <f t="shared" si="765"/>
        <v>NO APLICA</v>
      </c>
      <c r="ME227" s="2"/>
      <c r="MF227" s="2"/>
      <c r="MG227" s="4"/>
      <c r="MH227" s="8"/>
      <c r="MI227" s="5" t="str">
        <f t="shared" si="742"/>
        <v>NO APLICA</v>
      </c>
      <c r="MJ227" s="2"/>
      <c r="MK227" s="2"/>
      <c r="ML227" s="4"/>
      <c r="MM227" s="8"/>
      <c r="MN227" s="5" t="str">
        <f t="shared" si="743"/>
        <v>NO APLICA</v>
      </c>
      <c r="MO227" s="5"/>
      <c r="MP227" s="2"/>
      <c r="MQ227" s="4"/>
      <c r="MR227" s="8"/>
      <c r="MS227" s="5" t="str">
        <f t="shared" si="744"/>
        <v>NO APLICA</v>
      </c>
      <c r="MT227" s="5"/>
      <c r="MU227" s="2"/>
      <c r="MV227" s="4"/>
      <c r="MW227" s="2"/>
      <c r="MX227" s="5" t="str">
        <f t="shared" si="745"/>
        <v>NO APLICA</v>
      </c>
      <c r="MY227" s="2"/>
      <c r="MZ227" s="6"/>
      <c r="NA227" s="4"/>
      <c r="NB227" s="8"/>
      <c r="NC227" s="5" t="str">
        <f t="shared" si="746"/>
        <v>NO APLICA</v>
      </c>
      <c r="ND227" s="2"/>
      <c r="NE227" s="6"/>
      <c r="NF227" s="4"/>
      <c r="NG227" s="8"/>
      <c r="NH227" s="5" t="str">
        <f t="shared" si="747"/>
        <v>NO APLICA</v>
      </c>
      <c r="NI227" s="2"/>
      <c r="NJ227" s="6"/>
      <c r="NK227" s="4"/>
      <c r="NL227" s="8"/>
      <c r="NM227" s="5" t="str">
        <f t="shared" si="748"/>
        <v>NO APLICA</v>
      </c>
      <c r="NN227" s="2"/>
      <c r="NO227" s="2"/>
      <c r="NP227" s="4"/>
      <c r="NQ227" s="8"/>
      <c r="NR227" s="5" t="str">
        <f t="shared" si="749"/>
        <v>NO APLICA</v>
      </c>
      <c r="NS227" s="2"/>
      <c r="NT227" s="2"/>
      <c r="NU227" s="4"/>
      <c r="NV227" s="2"/>
      <c r="NW227" s="5" t="str">
        <f t="shared" si="750"/>
        <v>NO APLICA</v>
      </c>
      <c r="NX227" s="6"/>
      <c r="NY227" s="6"/>
      <c r="NZ227" s="4"/>
      <c r="OA227" s="8"/>
      <c r="OB227" s="5" t="str">
        <f t="shared" si="751"/>
        <v>NO APLICA</v>
      </c>
      <c r="OC227" s="6"/>
      <c r="OD227" s="6"/>
      <c r="OE227" s="6"/>
      <c r="OF227" s="6"/>
      <c r="OG227" s="5" t="str">
        <f t="shared" si="752"/>
        <v>NO APLICA</v>
      </c>
      <c r="OH227" s="6"/>
      <c r="OI227" s="6"/>
      <c r="OJ227" s="4"/>
      <c r="OK227" s="8"/>
      <c r="OL227" s="5" t="str">
        <f t="shared" si="753"/>
        <v>NO APLICA</v>
      </c>
      <c r="OM227" s="6"/>
      <c r="ON227" s="6"/>
      <c r="OO227" s="6"/>
      <c r="OP227" s="6"/>
      <c r="OQ227" s="5" t="str">
        <f t="shared" si="754"/>
        <v>NO APLICA</v>
      </c>
      <c r="OR227" s="6"/>
      <c r="OS227" s="6"/>
      <c r="OT227" s="6"/>
      <c r="OU227" s="6"/>
      <c r="OV227" s="5" t="str">
        <f t="shared" si="755"/>
        <v>NO APLICA</v>
      </c>
      <c r="OW227" s="6"/>
      <c r="OX227" s="6"/>
      <c r="OY227" s="6"/>
      <c r="OZ227" s="6"/>
      <c r="PA227" s="5" t="str">
        <f t="shared" si="769"/>
        <v>NO APLICA</v>
      </c>
      <c r="PB227" s="6"/>
      <c r="PC227" s="6"/>
      <c r="PD227" s="6"/>
      <c r="PE227" s="6"/>
      <c r="PF227" s="5" t="str">
        <f t="shared" si="756"/>
        <v>NO APLICA</v>
      </c>
      <c r="PG227" s="6"/>
      <c r="PH227" s="6"/>
      <c r="PI227" s="6"/>
      <c r="PJ227" s="6"/>
      <c r="PK227" s="5" t="str">
        <f t="shared" si="757"/>
        <v>NO APLICA</v>
      </c>
      <c r="PL227" s="5"/>
      <c r="PM227" s="6"/>
      <c r="PN227" s="4"/>
      <c r="PO227" s="8"/>
      <c r="PP227" s="5" t="str">
        <f t="shared" si="766"/>
        <v>NO APLICA</v>
      </c>
      <c r="PQ227" s="6"/>
      <c r="PR227" s="6"/>
      <c r="PS227" s="6"/>
      <c r="PT227" s="6"/>
      <c r="PU227" s="5" t="str">
        <f t="shared" si="758"/>
        <v>NO APLICA</v>
      </c>
      <c r="PV227" s="5"/>
      <c r="PW227" s="6"/>
      <c r="PX227" s="6"/>
      <c r="PY227" s="6"/>
      <c r="PZ227" s="5" t="str">
        <f t="shared" si="759"/>
        <v>NO APLICA</v>
      </c>
    </row>
    <row r="228" spans="1:442" ht="15.6" hidden="1" thickTop="1" thickBot="1" x14ac:dyDescent="0.35">
      <c r="A228" s="26">
        <v>225</v>
      </c>
      <c r="B228" s="31">
        <v>1720</v>
      </c>
      <c r="C228" s="28" t="s">
        <v>674</v>
      </c>
      <c r="D228" s="29" t="s">
        <v>609</v>
      </c>
      <c r="E228" s="30" t="s">
        <v>778</v>
      </c>
      <c r="F228" s="3"/>
      <c r="G228" s="4"/>
      <c r="H228" s="4"/>
      <c r="I228" s="8"/>
      <c r="J228" s="5" t="str">
        <f t="shared" si="696"/>
        <v>NO APLICA</v>
      </c>
      <c r="K228" s="2"/>
      <c r="L228" s="2"/>
      <c r="M228" s="2"/>
      <c r="N228" s="2"/>
      <c r="O228" s="5" t="str">
        <f t="shared" si="699"/>
        <v>NO APLICA</v>
      </c>
      <c r="P228" s="6"/>
      <c r="Q228" s="6"/>
      <c r="R228" s="4"/>
      <c r="S228" s="8"/>
      <c r="T228" s="5" t="str">
        <f t="shared" si="697"/>
        <v>NO APLICA</v>
      </c>
      <c r="U228" s="5"/>
      <c r="V228" s="2"/>
      <c r="W228" s="4"/>
      <c r="X228" s="4"/>
      <c r="Y228" s="8"/>
      <c r="Z228" s="5" t="str">
        <f t="shared" si="605"/>
        <v>NO APLICA</v>
      </c>
      <c r="AA228" s="5"/>
      <c r="AB228" s="2"/>
      <c r="AC228" s="6"/>
      <c r="AD228" s="4"/>
      <c r="AE228" s="8"/>
      <c r="AF228" s="5" t="str">
        <f t="shared" si="700"/>
        <v>NO APLICA</v>
      </c>
      <c r="AG228" s="2"/>
      <c r="AH228" s="4"/>
      <c r="AI228" s="4"/>
      <c r="AJ228" s="8"/>
      <c r="AK228" s="5" t="str">
        <f t="shared" si="602"/>
        <v>NO APLICA</v>
      </c>
      <c r="AL228" s="2"/>
      <c r="AM228" s="4"/>
      <c r="AN228" s="4"/>
      <c r="AO228" s="8"/>
      <c r="AP228" s="5" t="str">
        <f t="shared" si="701"/>
        <v>NO APLICA</v>
      </c>
      <c r="AQ228" s="2"/>
      <c r="AR228" s="4"/>
      <c r="AS228" s="4"/>
      <c r="AT228" s="8"/>
      <c r="AU228" s="5" t="str">
        <f t="shared" si="702"/>
        <v>NO APLICA</v>
      </c>
      <c r="AV228" s="2"/>
      <c r="AW228" s="4"/>
      <c r="AX228" s="4"/>
      <c r="AY228" s="8"/>
      <c r="AZ228" s="5" t="str">
        <f t="shared" si="703"/>
        <v>NO APLICA</v>
      </c>
      <c r="BA228" s="3"/>
      <c r="BB228" s="4"/>
      <c r="BC228" s="4"/>
      <c r="BD228" s="8"/>
      <c r="BE228" s="5" t="str">
        <f t="shared" si="704"/>
        <v>NO APLICA</v>
      </c>
      <c r="BF228" s="2"/>
      <c r="BG228" s="4"/>
      <c r="BH228" s="4"/>
      <c r="BI228" s="8"/>
      <c r="BJ228" s="5" t="str">
        <f t="shared" si="705"/>
        <v>NO APLICA</v>
      </c>
      <c r="BK228" s="3"/>
      <c r="BL228" s="4"/>
      <c r="BM228" s="4"/>
      <c r="BN228" s="8"/>
      <c r="BO228" s="5" t="str">
        <f t="shared" si="706"/>
        <v>NO APLICA</v>
      </c>
      <c r="BP228" s="3"/>
      <c r="BQ228" s="39"/>
      <c r="BR228" s="4"/>
      <c r="BS228" s="8"/>
      <c r="BT228" s="5" t="str">
        <f t="shared" si="707"/>
        <v>NO APLICA</v>
      </c>
      <c r="BU228" s="2"/>
      <c r="BV228" s="4"/>
      <c r="BW228" s="4"/>
      <c r="BX228" s="8"/>
      <c r="BY228" s="5" t="str">
        <f t="shared" si="708"/>
        <v>NO APLICA</v>
      </c>
      <c r="BZ228" s="2"/>
      <c r="CA228" s="4"/>
      <c r="CB228" s="4"/>
      <c r="CC228" s="8"/>
      <c r="CD228" s="5" t="str">
        <f t="shared" si="709"/>
        <v>NO APLICA</v>
      </c>
      <c r="CE228" s="6"/>
      <c r="CF228" s="4"/>
      <c r="CG228" s="4"/>
      <c r="CH228" s="8"/>
      <c r="CI228" s="5" t="str">
        <f t="shared" si="770"/>
        <v>NO APLICA</v>
      </c>
      <c r="CJ228" s="6"/>
      <c r="CK228" s="4"/>
      <c r="CL228" s="4"/>
      <c r="CM228" s="8"/>
      <c r="CN228" s="5" t="str">
        <f t="shared" si="710"/>
        <v>NO APLICA</v>
      </c>
      <c r="CO228" s="2"/>
      <c r="CP228" s="39"/>
      <c r="CQ228" s="4"/>
      <c r="CR228" s="8"/>
      <c r="CS228" s="5" t="str">
        <f t="shared" si="711"/>
        <v>NO APLICA</v>
      </c>
      <c r="CT228" s="2"/>
      <c r="CU228" s="4"/>
      <c r="CV228" s="4"/>
      <c r="CW228" s="8"/>
      <c r="CX228" s="5" t="str">
        <f t="shared" si="712"/>
        <v>NO APLICA</v>
      </c>
      <c r="CY228" s="3"/>
      <c r="CZ228" s="4"/>
      <c r="DA228" s="4"/>
      <c r="DB228" s="8"/>
      <c r="DC228" s="5" t="str">
        <f t="shared" si="713"/>
        <v>NO APLICA</v>
      </c>
      <c r="DD228" s="3"/>
      <c r="DE228" s="39"/>
      <c r="DF228" s="4"/>
      <c r="DG228" s="8"/>
      <c r="DH228" s="5" t="str">
        <f t="shared" si="714"/>
        <v>NO APLICA</v>
      </c>
      <c r="DI228" s="2"/>
      <c r="DJ228" s="39"/>
      <c r="DK228" s="4"/>
      <c r="DL228" s="8"/>
      <c r="DM228" s="5" t="str">
        <f t="shared" si="715"/>
        <v>NO APLICA</v>
      </c>
      <c r="DN228" s="3"/>
      <c r="DO228" s="4"/>
      <c r="DP228" s="4"/>
      <c r="DQ228" s="8"/>
      <c r="DR228" s="5" t="str">
        <f t="shared" si="716"/>
        <v>NO APLICA</v>
      </c>
      <c r="DS228" s="2"/>
      <c r="DT228" s="4"/>
      <c r="DU228" s="4"/>
      <c r="DV228" s="8"/>
      <c r="DW228" s="5" t="str">
        <f t="shared" si="717"/>
        <v>NO APLICA</v>
      </c>
      <c r="DX228" s="3"/>
      <c r="DY228" s="4"/>
      <c r="DZ228" s="4"/>
      <c r="EA228" s="8"/>
      <c r="EB228" s="5" t="str">
        <f t="shared" si="718"/>
        <v>NO APLICA</v>
      </c>
      <c r="EC228" s="3"/>
      <c r="ED228" s="39"/>
      <c r="EE228" s="4"/>
      <c r="EF228" s="8"/>
      <c r="EG228" s="5" t="str">
        <f t="shared" si="719"/>
        <v>NO APLICA</v>
      </c>
      <c r="EH228" s="2"/>
      <c r="EI228" s="4"/>
      <c r="EJ228" s="4"/>
      <c r="EK228" s="8"/>
      <c r="EL228" s="5" t="str">
        <f t="shared" si="720"/>
        <v>NO APLICA</v>
      </c>
      <c r="EM228" s="3"/>
      <c r="EN228" s="4"/>
      <c r="EO228" s="4"/>
      <c r="EP228" s="8"/>
      <c r="EQ228" s="5" t="str">
        <f t="shared" si="721"/>
        <v>NO APLICA</v>
      </c>
      <c r="ER228" s="2"/>
      <c r="ES228" s="39"/>
      <c r="ET228" s="4"/>
      <c r="EU228" s="8"/>
      <c r="EV228" s="5" t="str">
        <f t="shared" si="722"/>
        <v>NO APLICA</v>
      </c>
      <c r="EW228" s="2"/>
      <c r="EX228" s="4"/>
      <c r="EY228" s="4"/>
      <c r="EZ228" s="8"/>
      <c r="FA228" s="5" t="str">
        <f t="shared" si="723"/>
        <v>NO APLICA</v>
      </c>
      <c r="FB228" s="2"/>
      <c r="FC228" s="4"/>
      <c r="FD228" s="4"/>
      <c r="FE228" s="8"/>
      <c r="FF228" s="5" t="str">
        <f t="shared" si="724"/>
        <v>NO APLICA</v>
      </c>
      <c r="FG228" s="2"/>
      <c r="FH228" s="4"/>
      <c r="FI228" s="4"/>
      <c r="FJ228" s="8"/>
      <c r="FK228" s="5" t="str">
        <f t="shared" si="725"/>
        <v>NO APLICA</v>
      </c>
      <c r="FL228" s="3"/>
      <c r="FM228" s="39"/>
      <c r="FN228" s="4"/>
      <c r="FO228" s="8"/>
      <c r="FP228" s="5" t="str">
        <f t="shared" si="726"/>
        <v>NO APLICA</v>
      </c>
      <c r="FQ228" s="3"/>
      <c r="FR228" s="39"/>
      <c r="FS228" s="4"/>
      <c r="FT228" s="8"/>
      <c r="FU228" s="5" t="str">
        <f t="shared" si="727"/>
        <v>NO APLICA</v>
      </c>
      <c r="FV228" s="3"/>
      <c r="FW228" s="4"/>
      <c r="FX228" s="4"/>
      <c r="FY228" s="8"/>
      <c r="FZ228" s="5" t="str">
        <f t="shared" si="728"/>
        <v>NO APLICA</v>
      </c>
      <c r="GA228" s="3"/>
      <c r="GB228" s="4"/>
      <c r="GC228" s="4"/>
      <c r="GD228" s="8"/>
      <c r="GE228" s="5" t="str">
        <f t="shared" si="729"/>
        <v>NO APLICA</v>
      </c>
      <c r="GF228" s="3"/>
      <c r="GG228" s="4"/>
      <c r="GH228" s="4"/>
      <c r="GI228" s="8"/>
      <c r="GJ228" s="5" t="str">
        <f t="shared" si="730"/>
        <v>NO APLICA</v>
      </c>
      <c r="GK228" s="3"/>
      <c r="GL228" s="4"/>
      <c r="GM228" s="4"/>
      <c r="GN228" s="8"/>
      <c r="GO228" s="5" t="str">
        <f t="shared" si="731"/>
        <v>NO APLICA</v>
      </c>
      <c r="GP228" s="4"/>
      <c r="GQ228" s="4"/>
      <c r="GR228" s="4"/>
      <c r="GS228" s="8"/>
      <c r="GT228" s="5" t="str">
        <f t="shared" si="610"/>
        <v>NO APLICA</v>
      </c>
      <c r="GU228" s="3"/>
      <c r="GV228" s="4"/>
      <c r="GW228" s="4"/>
      <c r="GX228" s="8"/>
      <c r="GY228" s="5" t="str">
        <f t="shared" si="611"/>
        <v>NO APLICA</v>
      </c>
      <c r="GZ228" s="2"/>
      <c r="HA228" s="4"/>
      <c r="HB228" s="4"/>
      <c r="HC228" s="8"/>
      <c r="HD228" s="5" t="str">
        <f t="shared" si="612"/>
        <v>NO APLICA</v>
      </c>
      <c r="HE228" s="6"/>
      <c r="HF228" s="6"/>
      <c r="HG228" s="4"/>
      <c r="HH228" s="8"/>
      <c r="HI228" s="5" t="str">
        <f t="shared" si="698"/>
        <v>NO APLICA</v>
      </c>
      <c r="HJ228" s="2"/>
      <c r="HK228" s="6"/>
      <c r="HL228" s="4"/>
      <c r="HM228" s="8"/>
      <c r="HN228" s="5" t="str">
        <f t="shared" si="694"/>
        <v>NO APLICA</v>
      </c>
      <c r="HO228" s="2"/>
      <c r="HP228" s="2"/>
      <c r="HQ228" s="4"/>
      <c r="HR228" s="2"/>
      <c r="HS228" s="5" t="str">
        <f t="shared" si="732"/>
        <v>NO APLICA</v>
      </c>
      <c r="HT228" s="2"/>
      <c r="HU228" s="6"/>
      <c r="HV228" s="4"/>
      <c r="HW228" s="8"/>
      <c r="HX228" s="5" t="str">
        <f t="shared" si="733"/>
        <v>NO APLICA</v>
      </c>
      <c r="HY228" s="2"/>
      <c r="HZ228" s="6"/>
      <c r="IA228" s="4"/>
      <c r="IB228" s="8"/>
      <c r="IC228" s="5" t="str">
        <f t="shared" si="734"/>
        <v>NO APLICA</v>
      </c>
      <c r="ID228" s="2"/>
      <c r="IE228" s="6"/>
      <c r="IF228" s="4"/>
      <c r="IG228" s="8"/>
      <c r="IH228" s="5" t="str">
        <f t="shared" si="735"/>
        <v>NO APLICA</v>
      </c>
      <c r="II228" s="6"/>
      <c r="IJ228" s="6"/>
      <c r="IK228" s="4"/>
      <c r="IL228" s="8"/>
      <c r="IM228" s="5" t="str">
        <f t="shared" si="736"/>
        <v>NO APLICA</v>
      </c>
      <c r="IN228" s="2"/>
      <c r="IO228" s="6"/>
      <c r="IP228" s="4"/>
      <c r="IQ228" s="8"/>
      <c r="IR228" s="5" t="str">
        <f t="shared" si="737"/>
        <v>NO APLICA</v>
      </c>
      <c r="IS228" s="2"/>
      <c r="IT228" s="6"/>
      <c r="IU228" s="4"/>
      <c r="IV228" s="8"/>
      <c r="IW228" s="5" t="str">
        <f t="shared" si="738"/>
        <v>NO APLICA</v>
      </c>
      <c r="IX228" s="2"/>
      <c r="IY228" s="6"/>
      <c r="IZ228" s="4"/>
      <c r="JA228" s="8"/>
      <c r="JB228" s="5" t="str">
        <f t="shared" si="739"/>
        <v>NO APLICA</v>
      </c>
      <c r="JC228" s="3" t="s">
        <v>780</v>
      </c>
      <c r="JD228" s="3"/>
      <c r="JE228" s="4"/>
      <c r="JF228" s="8"/>
      <c r="JG228" s="5"/>
      <c r="JH228" s="3" t="s">
        <v>780</v>
      </c>
      <c r="JI228" s="6"/>
      <c r="JJ228" s="6"/>
      <c r="JK228" s="6"/>
      <c r="JL228" s="5"/>
      <c r="JM228" s="6" t="s">
        <v>780</v>
      </c>
      <c r="JN228" s="6"/>
      <c r="JO228" s="6"/>
      <c r="JP228" s="6"/>
      <c r="JQ228" s="5"/>
      <c r="JR228" s="6" t="s">
        <v>780</v>
      </c>
      <c r="JS228" s="6"/>
      <c r="JT228" s="6"/>
      <c r="JU228" s="6"/>
      <c r="JV228" s="5"/>
      <c r="JW228" s="6" t="s">
        <v>780</v>
      </c>
      <c r="JX228" s="3"/>
      <c r="JY228" s="4"/>
      <c r="JZ228" s="8"/>
      <c r="KA228" s="38"/>
      <c r="KB228" s="5"/>
      <c r="KC228" s="2"/>
      <c r="KD228" s="4"/>
      <c r="KE228" s="8"/>
      <c r="KF228" s="5" t="str">
        <f t="shared" si="740"/>
        <v>NO APLICA</v>
      </c>
      <c r="KG228" s="5"/>
      <c r="KH228" s="2"/>
      <c r="KI228" s="4"/>
      <c r="KJ228" s="8"/>
      <c r="KK228" s="5" t="str">
        <f t="shared" si="760"/>
        <v>NO APLICA</v>
      </c>
      <c r="KL228" s="5"/>
      <c r="KM228" s="2"/>
      <c r="KN228" s="4"/>
      <c r="KO228" s="8"/>
      <c r="KP228" s="5" t="str">
        <f t="shared" si="741"/>
        <v>NO APLICA</v>
      </c>
      <c r="KQ228" s="5"/>
      <c r="KR228" s="2"/>
      <c r="KS228" s="4"/>
      <c r="KT228" s="8"/>
      <c r="KU228" s="5" t="str">
        <f t="shared" si="761"/>
        <v>NO APLICA</v>
      </c>
      <c r="KV228" s="2"/>
      <c r="KW228" s="6"/>
      <c r="KX228" s="4"/>
      <c r="KY228" s="8"/>
      <c r="KZ228" s="5" t="str">
        <f t="shared" si="767"/>
        <v>NO APLICA</v>
      </c>
      <c r="LA228" s="5"/>
      <c r="LB228" s="6"/>
      <c r="LC228" s="4"/>
      <c r="LD228" s="8"/>
      <c r="LE228" s="5" t="str">
        <f t="shared" si="762"/>
        <v>NO APLICA</v>
      </c>
      <c r="LF228" s="6"/>
      <c r="LG228" s="6"/>
      <c r="LH228" s="4"/>
      <c r="LI228" s="8"/>
      <c r="LJ228" s="5" t="str">
        <f t="shared" si="600"/>
        <v>NO APLICA</v>
      </c>
      <c r="LK228" s="5"/>
      <c r="LL228" s="5"/>
      <c r="LM228" s="4"/>
      <c r="LN228" s="8"/>
      <c r="LO228" s="5" t="str">
        <f t="shared" si="768"/>
        <v>NO APLICA</v>
      </c>
      <c r="LP228" s="2"/>
      <c r="LQ228" s="6"/>
      <c r="LR228" s="4"/>
      <c r="LS228" s="8"/>
      <c r="LT228" s="5" t="str">
        <f t="shared" si="763"/>
        <v>NO APLICA</v>
      </c>
      <c r="LU228" s="6"/>
      <c r="LV228" s="6"/>
      <c r="LW228" s="4"/>
      <c r="LX228" s="8"/>
      <c r="LY228" s="5" t="str">
        <f t="shared" si="764"/>
        <v>NO APLICA</v>
      </c>
      <c r="LZ228" s="6"/>
      <c r="MA228" s="6"/>
      <c r="MB228" s="4"/>
      <c r="MC228" s="8"/>
      <c r="MD228" s="5" t="str">
        <f t="shared" si="765"/>
        <v>NO APLICA</v>
      </c>
      <c r="ME228" s="2"/>
      <c r="MF228" s="2"/>
      <c r="MG228" s="4"/>
      <c r="MH228" s="8"/>
      <c r="MI228" s="5" t="str">
        <f t="shared" si="742"/>
        <v>NO APLICA</v>
      </c>
      <c r="MJ228" s="2"/>
      <c r="MK228" s="2"/>
      <c r="ML228" s="4"/>
      <c r="MM228" s="8"/>
      <c r="MN228" s="5" t="str">
        <f t="shared" si="743"/>
        <v>NO APLICA</v>
      </c>
      <c r="MO228" s="5"/>
      <c r="MP228" s="2"/>
      <c r="MQ228" s="4"/>
      <c r="MR228" s="8"/>
      <c r="MS228" s="5" t="str">
        <f t="shared" si="744"/>
        <v>NO APLICA</v>
      </c>
      <c r="MT228" s="5"/>
      <c r="MU228" s="2"/>
      <c r="MV228" s="4"/>
      <c r="MW228" s="2"/>
      <c r="MX228" s="5" t="str">
        <f t="shared" si="745"/>
        <v>NO APLICA</v>
      </c>
      <c r="MY228" s="2"/>
      <c r="MZ228" s="6"/>
      <c r="NA228" s="4"/>
      <c r="NB228" s="8"/>
      <c r="NC228" s="5" t="str">
        <f t="shared" si="746"/>
        <v>NO APLICA</v>
      </c>
      <c r="ND228" s="2"/>
      <c r="NE228" s="6"/>
      <c r="NF228" s="4"/>
      <c r="NG228" s="8"/>
      <c r="NH228" s="5" t="str">
        <f t="shared" si="747"/>
        <v>NO APLICA</v>
      </c>
      <c r="NI228" s="2"/>
      <c r="NJ228" s="6"/>
      <c r="NK228" s="4"/>
      <c r="NL228" s="8"/>
      <c r="NM228" s="5" t="str">
        <f t="shared" si="748"/>
        <v>NO APLICA</v>
      </c>
      <c r="NN228" s="2"/>
      <c r="NO228" s="2"/>
      <c r="NP228" s="4"/>
      <c r="NQ228" s="8"/>
      <c r="NR228" s="5" t="str">
        <f t="shared" si="749"/>
        <v>NO APLICA</v>
      </c>
      <c r="NS228" s="2"/>
      <c r="NT228" s="2"/>
      <c r="NU228" s="4"/>
      <c r="NV228" s="2"/>
      <c r="NW228" s="5" t="str">
        <f t="shared" si="750"/>
        <v>NO APLICA</v>
      </c>
      <c r="NX228" s="6"/>
      <c r="NY228" s="6"/>
      <c r="NZ228" s="4"/>
      <c r="OA228" s="8"/>
      <c r="OB228" s="5" t="str">
        <f t="shared" si="751"/>
        <v>NO APLICA</v>
      </c>
      <c r="OC228" s="6"/>
      <c r="OD228" s="6"/>
      <c r="OE228" s="6"/>
      <c r="OF228" s="6"/>
      <c r="OG228" s="5" t="str">
        <f t="shared" si="752"/>
        <v>NO APLICA</v>
      </c>
      <c r="OH228" s="6"/>
      <c r="OI228" s="6"/>
      <c r="OJ228" s="4"/>
      <c r="OK228" s="8"/>
      <c r="OL228" s="5" t="str">
        <f t="shared" si="753"/>
        <v>NO APLICA</v>
      </c>
      <c r="OM228" s="6"/>
      <c r="ON228" s="6"/>
      <c r="OO228" s="6"/>
      <c r="OP228" s="6"/>
      <c r="OQ228" s="5" t="str">
        <f t="shared" si="754"/>
        <v>NO APLICA</v>
      </c>
      <c r="OR228" s="6"/>
      <c r="OS228" s="6"/>
      <c r="OT228" s="6"/>
      <c r="OU228" s="6"/>
      <c r="OV228" s="5" t="str">
        <f t="shared" si="755"/>
        <v>NO APLICA</v>
      </c>
      <c r="OW228" s="6"/>
      <c r="OX228" s="6"/>
      <c r="OY228" s="6"/>
      <c r="OZ228" s="6"/>
      <c r="PA228" s="5" t="str">
        <f t="shared" si="769"/>
        <v>NO APLICA</v>
      </c>
      <c r="PB228" s="6"/>
      <c r="PC228" s="6"/>
      <c r="PD228" s="6"/>
      <c r="PE228" s="6"/>
      <c r="PF228" s="5" t="str">
        <f t="shared" si="756"/>
        <v>NO APLICA</v>
      </c>
      <c r="PG228" s="6"/>
      <c r="PH228" s="6"/>
      <c r="PI228" s="6"/>
      <c r="PJ228" s="6"/>
      <c r="PK228" s="5" t="str">
        <f t="shared" si="757"/>
        <v>NO APLICA</v>
      </c>
      <c r="PL228" s="5"/>
      <c r="PM228" s="6"/>
      <c r="PN228" s="4"/>
      <c r="PO228" s="8"/>
      <c r="PP228" s="5" t="str">
        <f t="shared" si="766"/>
        <v>NO APLICA</v>
      </c>
      <c r="PQ228" s="6"/>
      <c r="PR228" s="6"/>
      <c r="PS228" s="6"/>
      <c r="PT228" s="6"/>
      <c r="PU228" s="5" t="str">
        <f t="shared" si="758"/>
        <v>NO APLICA</v>
      </c>
      <c r="PV228" s="5"/>
      <c r="PW228" s="6"/>
      <c r="PX228" s="6"/>
      <c r="PY228" s="6"/>
      <c r="PZ228" s="5" t="str">
        <f t="shared" si="759"/>
        <v>NO APLICA</v>
      </c>
    </row>
    <row r="229" spans="1:442" ht="15.6" hidden="1" thickTop="1" thickBot="1" x14ac:dyDescent="0.35">
      <c r="A229" s="26">
        <v>226</v>
      </c>
      <c r="B229" s="31">
        <v>1122</v>
      </c>
      <c r="C229" s="28" t="s">
        <v>675</v>
      </c>
      <c r="D229" s="29" t="s">
        <v>68</v>
      </c>
      <c r="E229" s="30" t="s">
        <v>615</v>
      </c>
      <c r="F229" s="6"/>
      <c r="G229" s="6"/>
      <c r="H229" s="6"/>
      <c r="I229" s="6"/>
      <c r="J229" s="5" t="str">
        <f t="shared" si="696"/>
        <v>NO APLICA</v>
      </c>
      <c r="K229" s="6"/>
      <c r="L229" s="6"/>
      <c r="M229" s="6"/>
      <c r="N229" s="6"/>
      <c r="O229" s="5" t="str">
        <f t="shared" si="699"/>
        <v>NO APLICA</v>
      </c>
      <c r="P229" s="6"/>
      <c r="Q229" s="6"/>
      <c r="R229" s="6"/>
      <c r="S229" s="6"/>
      <c r="T229" s="5" t="str">
        <f t="shared" si="697"/>
        <v>NO APLICA</v>
      </c>
      <c r="U229" s="5"/>
      <c r="V229" s="6"/>
      <c r="W229" s="4"/>
      <c r="X229" s="4"/>
      <c r="Y229" s="8"/>
      <c r="Z229" s="5" t="str">
        <f t="shared" si="605"/>
        <v>NO APLICA</v>
      </c>
      <c r="AA229" s="5"/>
      <c r="AB229" s="6"/>
      <c r="AC229" s="6"/>
      <c r="AD229" s="6"/>
      <c r="AE229" s="6"/>
      <c r="AF229" s="5" t="str">
        <f t="shared" si="700"/>
        <v>NO APLICA</v>
      </c>
      <c r="AG229" s="4"/>
      <c r="AH229" s="4"/>
      <c r="AI229" s="4"/>
      <c r="AJ229" s="6"/>
      <c r="AK229" s="5" t="str">
        <f t="shared" si="602"/>
        <v>NO APLICA</v>
      </c>
      <c r="AL229" s="4"/>
      <c r="AM229" s="4"/>
      <c r="AN229" s="4"/>
      <c r="AO229" s="6"/>
      <c r="AP229" s="5" t="str">
        <f t="shared" si="701"/>
        <v>NO APLICA</v>
      </c>
      <c r="AQ229" s="4"/>
      <c r="AR229" s="4"/>
      <c r="AS229" s="4"/>
      <c r="AT229" s="6"/>
      <c r="AU229" s="5" t="str">
        <f t="shared" si="702"/>
        <v>NO APLICA</v>
      </c>
      <c r="AV229" s="4"/>
      <c r="AW229" s="4"/>
      <c r="AX229" s="4"/>
      <c r="AY229" s="6"/>
      <c r="AZ229" s="5" t="str">
        <f t="shared" si="703"/>
        <v>NO APLICA</v>
      </c>
      <c r="BA229" s="4"/>
      <c r="BB229" s="4"/>
      <c r="BC229" s="4"/>
      <c r="BD229" s="6"/>
      <c r="BE229" s="5" t="str">
        <f t="shared" si="704"/>
        <v>NO APLICA</v>
      </c>
      <c r="BF229" s="4"/>
      <c r="BG229" s="4"/>
      <c r="BH229" s="4"/>
      <c r="BI229" s="6"/>
      <c r="BJ229" s="5" t="str">
        <f t="shared" si="705"/>
        <v>NO APLICA</v>
      </c>
      <c r="BK229" s="4"/>
      <c r="BL229" s="4"/>
      <c r="BM229" s="4"/>
      <c r="BN229" s="6"/>
      <c r="BO229" s="5" t="str">
        <f t="shared" si="706"/>
        <v>NO APLICA</v>
      </c>
      <c r="BP229" s="4"/>
      <c r="BQ229" s="4"/>
      <c r="BR229" s="4"/>
      <c r="BS229" s="6"/>
      <c r="BT229" s="5" t="str">
        <f t="shared" si="707"/>
        <v>NO APLICA</v>
      </c>
      <c r="BU229" s="4"/>
      <c r="BV229" s="4"/>
      <c r="BW229" s="4"/>
      <c r="BX229" s="6"/>
      <c r="BY229" s="5" t="str">
        <f t="shared" si="708"/>
        <v>NO APLICA</v>
      </c>
      <c r="BZ229" s="4"/>
      <c r="CA229" s="4"/>
      <c r="CB229" s="4"/>
      <c r="CC229" s="6"/>
      <c r="CD229" s="5" t="str">
        <f t="shared" si="709"/>
        <v>NO APLICA</v>
      </c>
      <c r="CE229" s="6"/>
      <c r="CF229" s="6"/>
      <c r="CG229" s="6"/>
      <c r="CH229" s="6"/>
      <c r="CI229" s="5" t="str">
        <f t="shared" si="770"/>
        <v>NO APLICA</v>
      </c>
      <c r="CJ229" s="4"/>
      <c r="CK229" s="4"/>
      <c r="CL229" s="4"/>
      <c r="CM229" s="6"/>
      <c r="CN229" s="5" t="str">
        <f t="shared" si="710"/>
        <v>NO APLICA</v>
      </c>
      <c r="CO229" s="4"/>
      <c r="CP229" s="4"/>
      <c r="CQ229" s="4"/>
      <c r="CR229" s="6"/>
      <c r="CS229" s="5" t="str">
        <f t="shared" si="711"/>
        <v>NO APLICA</v>
      </c>
      <c r="CT229" s="4"/>
      <c r="CU229" s="4"/>
      <c r="CV229" s="4"/>
      <c r="CW229" s="6"/>
      <c r="CX229" s="5" t="str">
        <f t="shared" si="712"/>
        <v>NO APLICA</v>
      </c>
      <c r="CY229" s="4"/>
      <c r="CZ229" s="4"/>
      <c r="DA229" s="4"/>
      <c r="DB229" s="6"/>
      <c r="DC229" s="5" t="str">
        <f t="shared" si="713"/>
        <v>NO APLICA</v>
      </c>
      <c r="DD229" s="4"/>
      <c r="DE229" s="4"/>
      <c r="DF229" s="4"/>
      <c r="DG229" s="6"/>
      <c r="DH229" s="5" t="str">
        <f t="shared" si="714"/>
        <v>NO APLICA</v>
      </c>
      <c r="DI229" s="4"/>
      <c r="DJ229" s="4"/>
      <c r="DK229" s="4"/>
      <c r="DL229" s="6"/>
      <c r="DM229" s="5" t="str">
        <f t="shared" si="715"/>
        <v>NO APLICA</v>
      </c>
      <c r="DN229" s="4"/>
      <c r="DO229" s="4"/>
      <c r="DP229" s="4"/>
      <c r="DQ229" s="6"/>
      <c r="DR229" s="5" t="str">
        <f t="shared" si="716"/>
        <v>NO APLICA</v>
      </c>
      <c r="DS229" s="4"/>
      <c r="DT229" s="4"/>
      <c r="DU229" s="4"/>
      <c r="DV229" s="6"/>
      <c r="DW229" s="5" t="str">
        <f t="shared" si="717"/>
        <v>NO APLICA</v>
      </c>
      <c r="DX229" s="4"/>
      <c r="DY229" s="4"/>
      <c r="DZ229" s="4"/>
      <c r="EA229" s="6"/>
      <c r="EB229" s="5" t="str">
        <f t="shared" si="718"/>
        <v>NO APLICA</v>
      </c>
      <c r="EC229" s="4"/>
      <c r="ED229" s="4"/>
      <c r="EE229" s="4"/>
      <c r="EF229" s="6"/>
      <c r="EG229" s="5" t="str">
        <f t="shared" si="719"/>
        <v>NO APLICA</v>
      </c>
      <c r="EH229" s="4"/>
      <c r="EI229" s="4"/>
      <c r="EJ229" s="4"/>
      <c r="EK229" s="8"/>
      <c r="EL229" s="5" t="str">
        <f t="shared" si="720"/>
        <v>NO APLICA</v>
      </c>
      <c r="EM229" s="4"/>
      <c r="EN229" s="4"/>
      <c r="EO229" s="4"/>
      <c r="EP229" s="8"/>
      <c r="EQ229" s="5" t="str">
        <f t="shared" si="721"/>
        <v>NO APLICA</v>
      </c>
      <c r="ER229" s="4"/>
      <c r="ES229" s="4"/>
      <c r="ET229" s="4"/>
      <c r="EU229" s="8"/>
      <c r="EV229" s="5" t="str">
        <f t="shared" si="722"/>
        <v>NO APLICA</v>
      </c>
      <c r="EW229" s="4"/>
      <c r="EX229" s="4"/>
      <c r="EY229" s="4"/>
      <c r="EZ229" s="6"/>
      <c r="FA229" s="5" t="str">
        <f t="shared" si="723"/>
        <v>NO APLICA</v>
      </c>
      <c r="FB229" s="4"/>
      <c r="FC229" s="4"/>
      <c r="FD229" s="4"/>
      <c r="FE229" s="6"/>
      <c r="FF229" s="5" t="str">
        <f t="shared" si="724"/>
        <v>NO APLICA</v>
      </c>
      <c r="FG229" s="4"/>
      <c r="FH229" s="4"/>
      <c r="FI229" s="4"/>
      <c r="FJ229" s="6"/>
      <c r="FK229" s="5" t="str">
        <f t="shared" si="725"/>
        <v>NO APLICA</v>
      </c>
      <c r="FL229" s="4"/>
      <c r="FM229" s="4"/>
      <c r="FN229" s="4"/>
      <c r="FO229" s="6"/>
      <c r="FP229" s="5" t="str">
        <f t="shared" si="726"/>
        <v>NO APLICA</v>
      </c>
      <c r="FQ229" s="4"/>
      <c r="FR229" s="4"/>
      <c r="FS229" s="4"/>
      <c r="FT229" s="6"/>
      <c r="FU229" s="5" t="str">
        <f t="shared" si="727"/>
        <v>NO APLICA</v>
      </c>
      <c r="FV229" s="4"/>
      <c r="FW229" s="4"/>
      <c r="FX229" s="4"/>
      <c r="FY229" s="6"/>
      <c r="FZ229" s="5" t="str">
        <f t="shared" si="728"/>
        <v>NO APLICA</v>
      </c>
      <c r="GA229" s="4"/>
      <c r="GB229" s="4"/>
      <c r="GC229" s="4"/>
      <c r="GD229" s="6"/>
      <c r="GE229" s="5" t="str">
        <f t="shared" si="729"/>
        <v>NO APLICA</v>
      </c>
      <c r="GF229" s="4"/>
      <c r="GG229" s="4"/>
      <c r="GH229" s="4"/>
      <c r="GI229" s="8"/>
      <c r="GJ229" s="5" t="str">
        <f t="shared" si="730"/>
        <v>NO APLICA</v>
      </c>
      <c r="GK229" s="4"/>
      <c r="GL229" s="6"/>
      <c r="GM229" s="6"/>
      <c r="GN229" s="6"/>
      <c r="GO229" s="5" t="str">
        <f t="shared" si="731"/>
        <v>NO APLICA</v>
      </c>
      <c r="GP229" s="4"/>
      <c r="GQ229" s="6"/>
      <c r="GR229" s="6"/>
      <c r="GS229" s="6"/>
      <c r="GT229" s="5" t="str">
        <f t="shared" si="610"/>
        <v>NO APLICA</v>
      </c>
      <c r="GU229" s="4"/>
      <c r="GV229" s="6"/>
      <c r="GW229" s="6"/>
      <c r="GX229" s="6"/>
      <c r="GY229" s="5" t="str">
        <f t="shared" si="611"/>
        <v>NO APLICA</v>
      </c>
      <c r="GZ229" s="6"/>
      <c r="HA229" s="6"/>
      <c r="HB229" s="6"/>
      <c r="HC229" s="6"/>
      <c r="HD229" s="5" t="str">
        <f t="shared" si="612"/>
        <v>NO APLICA</v>
      </c>
      <c r="HE229" s="6"/>
      <c r="HF229" s="6"/>
      <c r="HG229" s="4"/>
      <c r="HH229" s="8"/>
      <c r="HI229" s="5" t="str">
        <f t="shared" si="698"/>
        <v>NO APLICA</v>
      </c>
      <c r="HJ229" s="6"/>
      <c r="HK229" s="6"/>
      <c r="HL229" s="6"/>
      <c r="HM229" s="6"/>
      <c r="HN229" s="5" t="str">
        <f t="shared" si="694"/>
        <v>NO APLICA</v>
      </c>
      <c r="HO229" s="6"/>
      <c r="HP229" s="6"/>
      <c r="HQ229" s="6"/>
      <c r="HR229" s="6"/>
      <c r="HS229" s="5" t="str">
        <f t="shared" si="732"/>
        <v>NO APLICA</v>
      </c>
      <c r="HT229" s="6"/>
      <c r="HU229" s="6"/>
      <c r="HV229" s="6"/>
      <c r="HW229" s="6"/>
      <c r="HX229" s="5" t="str">
        <f t="shared" si="733"/>
        <v>NO APLICA</v>
      </c>
      <c r="HY229" s="6"/>
      <c r="HZ229" s="6"/>
      <c r="IA229" s="6"/>
      <c r="IB229" s="6"/>
      <c r="IC229" s="5" t="str">
        <f t="shared" si="734"/>
        <v>NO APLICA</v>
      </c>
      <c r="ID229" s="6"/>
      <c r="IE229" s="6"/>
      <c r="IF229" s="6"/>
      <c r="IG229" s="6"/>
      <c r="IH229" s="5" t="str">
        <f t="shared" si="735"/>
        <v>NO APLICA</v>
      </c>
      <c r="II229" s="6"/>
      <c r="IJ229" s="6"/>
      <c r="IK229" s="6"/>
      <c r="IL229" s="6"/>
      <c r="IM229" s="5" t="str">
        <f t="shared" si="736"/>
        <v>NO APLICA</v>
      </c>
      <c r="IN229" s="6"/>
      <c r="IO229" s="6"/>
      <c r="IP229" s="6"/>
      <c r="IQ229" s="6"/>
      <c r="IR229" s="5" t="str">
        <f t="shared" si="737"/>
        <v>NO APLICA</v>
      </c>
      <c r="IS229" s="6"/>
      <c r="IT229" s="6"/>
      <c r="IU229" s="6"/>
      <c r="IV229" s="6"/>
      <c r="IW229" s="5" t="str">
        <f t="shared" si="738"/>
        <v>NO APLICA</v>
      </c>
      <c r="IX229" s="6"/>
      <c r="IY229" s="6"/>
      <c r="IZ229" s="6"/>
      <c r="JA229" s="6"/>
      <c r="JB229" s="5" t="str">
        <f t="shared" si="739"/>
        <v>NO APLICA</v>
      </c>
      <c r="JC229" s="3" t="s">
        <v>780</v>
      </c>
      <c r="JD229" s="6"/>
      <c r="JE229" s="6"/>
      <c r="JF229" s="6"/>
      <c r="JG229" s="5"/>
      <c r="JH229" s="3" t="s">
        <v>780</v>
      </c>
      <c r="JI229" s="6"/>
      <c r="JJ229" s="6"/>
      <c r="JK229" s="6"/>
      <c r="JL229" s="5"/>
      <c r="JM229" s="6" t="s">
        <v>780</v>
      </c>
      <c r="JN229" s="6"/>
      <c r="JO229" s="6"/>
      <c r="JP229" s="6"/>
      <c r="JQ229" s="5"/>
      <c r="JR229" s="6" t="s">
        <v>780</v>
      </c>
      <c r="JS229" s="6"/>
      <c r="JT229" s="6"/>
      <c r="JU229" s="6"/>
      <c r="JV229" s="5"/>
      <c r="JW229" s="6" t="s">
        <v>780</v>
      </c>
      <c r="JX229" s="5"/>
      <c r="JY229" s="5"/>
      <c r="JZ229" s="5"/>
      <c r="KA229" s="5"/>
      <c r="KB229" s="5"/>
      <c r="KC229" s="6"/>
      <c r="KD229" s="6"/>
      <c r="KE229" s="6"/>
      <c r="KF229" s="5" t="str">
        <f t="shared" si="740"/>
        <v>NO APLICA</v>
      </c>
      <c r="KG229" s="5"/>
      <c r="KH229" s="6"/>
      <c r="KI229" s="6"/>
      <c r="KJ229" s="6"/>
      <c r="KK229" s="5" t="str">
        <f t="shared" si="760"/>
        <v>NO APLICA</v>
      </c>
      <c r="KL229" s="5"/>
      <c r="KM229" s="6"/>
      <c r="KN229" s="6"/>
      <c r="KO229" s="6"/>
      <c r="KP229" s="5" t="str">
        <f t="shared" si="741"/>
        <v>NO APLICA</v>
      </c>
      <c r="KQ229" s="5"/>
      <c r="KR229" s="6"/>
      <c r="KS229" s="6"/>
      <c r="KT229" s="6"/>
      <c r="KU229" s="5" t="str">
        <f t="shared" si="761"/>
        <v>NO APLICA</v>
      </c>
      <c r="KV229" s="6"/>
      <c r="KW229" s="6"/>
      <c r="KX229" s="6"/>
      <c r="KY229" s="6"/>
      <c r="KZ229" s="5" t="str">
        <f t="shared" si="767"/>
        <v>NO APLICA</v>
      </c>
      <c r="LA229" s="5"/>
      <c r="LB229" s="6"/>
      <c r="LC229" s="6"/>
      <c r="LD229" s="6"/>
      <c r="LE229" s="5" t="str">
        <f t="shared" si="762"/>
        <v>NO APLICA</v>
      </c>
      <c r="LF229" s="6"/>
      <c r="LG229" s="6"/>
      <c r="LH229" s="6"/>
      <c r="LI229" s="6"/>
      <c r="LJ229" s="5" t="str">
        <f t="shared" si="600"/>
        <v>NO APLICA</v>
      </c>
      <c r="LK229" s="5"/>
      <c r="LL229" s="5"/>
      <c r="LM229" s="4"/>
      <c r="LN229" s="8"/>
      <c r="LO229" s="5" t="str">
        <f t="shared" si="768"/>
        <v>NO APLICA</v>
      </c>
      <c r="LP229" s="6"/>
      <c r="LQ229" s="6"/>
      <c r="LR229" s="6"/>
      <c r="LS229" s="6"/>
      <c r="LT229" s="5" t="str">
        <f t="shared" si="763"/>
        <v>NO APLICA</v>
      </c>
      <c r="LU229" s="6"/>
      <c r="LV229" s="6"/>
      <c r="LW229" s="6"/>
      <c r="LX229" s="6"/>
      <c r="LY229" s="5" t="str">
        <f t="shared" si="764"/>
        <v>NO APLICA</v>
      </c>
      <c r="LZ229" s="6"/>
      <c r="MA229" s="6"/>
      <c r="MB229" s="6"/>
      <c r="MC229" s="6"/>
      <c r="MD229" s="5" t="str">
        <f t="shared" si="765"/>
        <v>NO APLICA</v>
      </c>
      <c r="ME229" s="6"/>
      <c r="MF229" s="6"/>
      <c r="MG229" s="6"/>
      <c r="MH229" s="6"/>
      <c r="MI229" s="5" t="str">
        <f t="shared" si="742"/>
        <v>NO APLICA</v>
      </c>
      <c r="MJ229" s="6"/>
      <c r="MK229" s="6"/>
      <c r="ML229" s="6"/>
      <c r="MM229" s="6"/>
      <c r="MN229" s="5" t="str">
        <f t="shared" si="743"/>
        <v>NO APLICA</v>
      </c>
      <c r="MO229" s="5"/>
      <c r="MP229" s="6"/>
      <c r="MQ229" s="6"/>
      <c r="MR229" s="6"/>
      <c r="MS229" s="5" t="str">
        <f t="shared" si="744"/>
        <v>NO APLICA</v>
      </c>
      <c r="MT229" s="5"/>
      <c r="MU229" s="6"/>
      <c r="MV229" s="6"/>
      <c r="MW229" s="6"/>
      <c r="MX229" s="5" t="str">
        <f t="shared" si="745"/>
        <v>NO APLICA</v>
      </c>
      <c r="MY229" s="6"/>
      <c r="MZ229" s="6"/>
      <c r="NA229" s="6"/>
      <c r="NB229" s="6"/>
      <c r="NC229" s="5" t="str">
        <f t="shared" si="746"/>
        <v>NO APLICA</v>
      </c>
      <c r="ND229" s="6"/>
      <c r="NE229" s="6"/>
      <c r="NF229" s="6"/>
      <c r="NG229" s="6"/>
      <c r="NH229" s="5" t="str">
        <f t="shared" si="747"/>
        <v>NO APLICA</v>
      </c>
      <c r="NI229" s="6"/>
      <c r="NJ229" s="6"/>
      <c r="NK229" s="6"/>
      <c r="NL229" s="6"/>
      <c r="NM229" s="5" t="str">
        <f t="shared" si="748"/>
        <v>NO APLICA</v>
      </c>
      <c r="NN229" s="6"/>
      <c r="NO229" s="6"/>
      <c r="NP229" s="6"/>
      <c r="NQ229" s="6"/>
      <c r="NR229" s="5" t="str">
        <f t="shared" si="749"/>
        <v>NO APLICA</v>
      </c>
      <c r="NS229" s="6"/>
      <c r="NT229" s="6"/>
      <c r="NU229" s="6"/>
      <c r="NV229" s="6"/>
      <c r="NW229" s="5" t="str">
        <f t="shared" si="750"/>
        <v>NO APLICA</v>
      </c>
      <c r="NX229" s="6"/>
      <c r="NY229" s="6"/>
      <c r="NZ229" s="6"/>
      <c r="OA229" s="6"/>
      <c r="OB229" s="5" t="str">
        <f t="shared" si="751"/>
        <v>NO APLICA</v>
      </c>
      <c r="OC229" s="6"/>
      <c r="OD229" s="6"/>
      <c r="OE229" s="6"/>
      <c r="OF229" s="6"/>
      <c r="OG229" s="5" t="str">
        <f t="shared" si="752"/>
        <v>NO APLICA</v>
      </c>
      <c r="OH229" s="6"/>
      <c r="OI229" s="6"/>
      <c r="OJ229" s="6"/>
      <c r="OK229" s="6"/>
      <c r="OL229" s="5" t="str">
        <f t="shared" si="753"/>
        <v>NO APLICA</v>
      </c>
      <c r="OM229" s="6"/>
      <c r="ON229" s="6"/>
      <c r="OO229" s="6"/>
      <c r="OP229" s="6"/>
      <c r="OQ229" s="5" t="str">
        <f t="shared" si="754"/>
        <v>NO APLICA</v>
      </c>
      <c r="OR229" s="6"/>
      <c r="OS229" s="6"/>
      <c r="OT229" s="6"/>
      <c r="OU229" s="6"/>
      <c r="OV229" s="5" t="str">
        <f t="shared" si="755"/>
        <v>NO APLICA</v>
      </c>
      <c r="OW229" s="6"/>
      <c r="OX229" s="6"/>
      <c r="OY229" s="6"/>
      <c r="OZ229" s="6"/>
      <c r="PA229" s="5" t="str">
        <f t="shared" si="769"/>
        <v>NO APLICA</v>
      </c>
      <c r="PB229" s="6"/>
      <c r="PC229" s="6"/>
      <c r="PD229" s="6"/>
      <c r="PE229" s="6"/>
      <c r="PF229" s="5" t="str">
        <f t="shared" si="756"/>
        <v>NO APLICA</v>
      </c>
      <c r="PG229" s="6"/>
      <c r="PH229" s="6"/>
      <c r="PI229" s="6"/>
      <c r="PJ229" s="6"/>
      <c r="PK229" s="5" t="str">
        <f t="shared" si="757"/>
        <v>NO APLICA</v>
      </c>
      <c r="PL229" s="5"/>
      <c r="PM229" s="6"/>
      <c r="PN229" s="6"/>
      <c r="PO229" s="6"/>
      <c r="PP229" s="5" t="str">
        <f t="shared" si="766"/>
        <v>NO APLICA</v>
      </c>
      <c r="PQ229" s="6"/>
      <c r="PR229" s="6"/>
      <c r="PS229" s="6"/>
      <c r="PT229" s="6"/>
      <c r="PU229" s="5" t="str">
        <f t="shared" si="758"/>
        <v>NO APLICA</v>
      </c>
      <c r="PV229" s="5"/>
      <c r="PW229" s="6"/>
      <c r="PX229" s="6"/>
      <c r="PY229" s="6"/>
      <c r="PZ229" s="5" t="str">
        <f t="shared" si="759"/>
        <v>NO APLICA</v>
      </c>
    </row>
    <row r="230" spans="1:442" ht="15.6" hidden="1" thickTop="1" thickBot="1" x14ac:dyDescent="0.35">
      <c r="A230" s="26">
        <v>227</v>
      </c>
      <c r="B230" s="31">
        <v>1374</v>
      </c>
      <c r="C230" s="28" t="s">
        <v>676</v>
      </c>
      <c r="D230" s="29" t="s">
        <v>113</v>
      </c>
      <c r="E230" s="30" t="s">
        <v>602</v>
      </c>
      <c r="F230" s="6"/>
      <c r="G230" s="6"/>
      <c r="H230" s="6"/>
      <c r="I230" s="6"/>
      <c r="J230" s="5" t="str">
        <f t="shared" si="696"/>
        <v>NO APLICA</v>
      </c>
      <c r="K230" s="6"/>
      <c r="L230" s="6"/>
      <c r="M230" s="6"/>
      <c r="N230" s="6"/>
      <c r="O230" s="5" t="str">
        <f t="shared" si="699"/>
        <v>NO APLICA</v>
      </c>
      <c r="P230" s="6"/>
      <c r="Q230" s="6"/>
      <c r="R230" s="6"/>
      <c r="S230" s="6"/>
      <c r="T230" s="5" t="str">
        <f t="shared" si="697"/>
        <v>NO APLICA</v>
      </c>
      <c r="U230" s="5"/>
      <c r="V230" s="6"/>
      <c r="W230" s="4"/>
      <c r="X230" s="4"/>
      <c r="Y230" s="8"/>
      <c r="Z230" s="5" t="str">
        <f t="shared" si="605"/>
        <v>NO APLICA</v>
      </c>
      <c r="AA230" s="5"/>
      <c r="AB230" s="6"/>
      <c r="AC230" s="6"/>
      <c r="AD230" s="6"/>
      <c r="AE230" s="6"/>
      <c r="AF230" s="5" t="str">
        <f t="shared" si="700"/>
        <v>NO APLICA</v>
      </c>
      <c r="AG230" s="4"/>
      <c r="AH230" s="4"/>
      <c r="AI230" s="4"/>
      <c r="AJ230" s="6"/>
      <c r="AK230" s="5" t="str">
        <f t="shared" si="602"/>
        <v>NO APLICA</v>
      </c>
      <c r="AL230" s="4"/>
      <c r="AM230" s="4"/>
      <c r="AN230" s="4"/>
      <c r="AO230" s="6"/>
      <c r="AP230" s="5" t="str">
        <f t="shared" si="701"/>
        <v>NO APLICA</v>
      </c>
      <c r="AQ230" s="4"/>
      <c r="AR230" s="4"/>
      <c r="AS230" s="4"/>
      <c r="AT230" s="6"/>
      <c r="AU230" s="5" t="str">
        <f t="shared" si="702"/>
        <v>NO APLICA</v>
      </c>
      <c r="AV230" s="4"/>
      <c r="AW230" s="4"/>
      <c r="AX230" s="4"/>
      <c r="AY230" s="6"/>
      <c r="AZ230" s="5" t="str">
        <f t="shared" si="703"/>
        <v>NO APLICA</v>
      </c>
      <c r="BA230" s="4"/>
      <c r="BB230" s="4"/>
      <c r="BC230" s="4"/>
      <c r="BD230" s="6"/>
      <c r="BE230" s="5" t="str">
        <f t="shared" si="704"/>
        <v>NO APLICA</v>
      </c>
      <c r="BF230" s="4"/>
      <c r="BG230" s="4"/>
      <c r="BH230" s="4"/>
      <c r="BI230" s="6"/>
      <c r="BJ230" s="5" t="str">
        <f t="shared" si="705"/>
        <v>NO APLICA</v>
      </c>
      <c r="BK230" s="4"/>
      <c r="BL230" s="4"/>
      <c r="BM230" s="4"/>
      <c r="BN230" s="6"/>
      <c r="BO230" s="5" t="str">
        <f t="shared" si="706"/>
        <v>NO APLICA</v>
      </c>
      <c r="BP230" s="4"/>
      <c r="BQ230" s="4"/>
      <c r="BR230" s="4"/>
      <c r="BS230" s="6"/>
      <c r="BT230" s="5" t="str">
        <f t="shared" si="707"/>
        <v>NO APLICA</v>
      </c>
      <c r="BU230" s="4"/>
      <c r="BV230" s="4"/>
      <c r="BW230" s="4"/>
      <c r="BX230" s="6"/>
      <c r="BY230" s="5" t="str">
        <f t="shared" si="708"/>
        <v>NO APLICA</v>
      </c>
      <c r="BZ230" s="4"/>
      <c r="CA230" s="4"/>
      <c r="CB230" s="4"/>
      <c r="CC230" s="6"/>
      <c r="CD230" s="5" t="str">
        <f t="shared" si="709"/>
        <v>NO APLICA</v>
      </c>
      <c r="CE230" s="6"/>
      <c r="CF230" s="6"/>
      <c r="CG230" s="6"/>
      <c r="CH230" s="6"/>
      <c r="CI230" s="5" t="str">
        <f t="shared" si="770"/>
        <v>NO APLICA</v>
      </c>
      <c r="CJ230" s="4"/>
      <c r="CK230" s="4"/>
      <c r="CL230" s="4"/>
      <c r="CM230" s="6"/>
      <c r="CN230" s="5" t="str">
        <f t="shared" si="710"/>
        <v>NO APLICA</v>
      </c>
      <c r="CO230" s="4"/>
      <c r="CP230" s="4"/>
      <c r="CQ230" s="4"/>
      <c r="CR230" s="6"/>
      <c r="CS230" s="5" t="str">
        <f t="shared" si="711"/>
        <v>NO APLICA</v>
      </c>
      <c r="CT230" s="4"/>
      <c r="CU230" s="4"/>
      <c r="CV230" s="4"/>
      <c r="CW230" s="6"/>
      <c r="CX230" s="5" t="str">
        <f t="shared" si="712"/>
        <v>NO APLICA</v>
      </c>
      <c r="CY230" s="4"/>
      <c r="CZ230" s="4"/>
      <c r="DA230" s="4"/>
      <c r="DB230" s="6"/>
      <c r="DC230" s="5" t="str">
        <f t="shared" si="713"/>
        <v>NO APLICA</v>
      </c>
      <c r="DD230" s="4"/>
      <c r="DE230" s="4"/>
      <c r="DF230" s="4"/>
      <c r="DG230" s="6"/>
      <c r="DH230" s="5" t="str">
        <f t="shared" si="714"/>
        <v>NO APLICA</v>
      </c>
      <c r="DI230" s="4"/>
      <c r="DJ230" s="4"/>
      <c r="DK230" s="4"/>
      <c r="DL230" s="6"/>
      <c r="DM230" s="5" t="str">
        <f t="shared" si="715"/>
        <v>NO APLICA</v>
      </c>
      <c r="DN230" s="4"/>
      <c r="DO230" s="4"/>
      <c r="DP230" s="4"/>
      <c r="DQ230" s="6"/>
      <c r="DR230" s="5" t="str">
        <f t="shared" si="716"/>
        <v>NO APLICA</v>
      </c>
      <c r="DS230" s="4"/>
      <c r="DT230" s="4"/>
      <c r="DU230" s="4"/>
      <c r="DV230" s="6"/>
      <c r="DW230" s="5" t="str">
        <f t="shared" si="717"/>
        <v>NO APLICA</v>
      </c>
      <c r="DX230" s="4"/>
      <c r="DY230" s="4"/>
      <c r="DZ230" s="4"/>
      <c r="EA230" s="6"/>
      <c r="EB230" s="5" t="str">
        <f t="shared" si="718"/>
        <v>NO APLICA</v>
      </c>
      <c r="EC230" s="4"/>
      <c r="ED230" s="4"/>
      <c r="EE230" s="4"/>
      <c r="EF230" s="6"/>
      <c r="EG230" s="5" t="str">
        <f t="shared" si="719"/>
        <v>NO APLICA</v>
      </c>
      <c r="EH230" s="4"/>
      <c r="EI230" s="4"/>
      <c r="EJ230" s="4"/>
      <c r="EK230" s="8"/>
      <c r="EL230" s="5" t="str">
        <f t="shared" si="720"/>
        <v>NO APLICA</v>
      </c>
      <c r="EM230" s="4"/>
      <c r="EN230" s="4"/>
      <c r="EO230" s="4"/>
      <c r="EP230" s="8"/>
      <c r="EQ230" s="5" t="str">
        <f t="shared" si="721"/>
        <v>NO APLICA</v>
      </c>
      <c r="ER230" s="4"/>
      <c r="ES230" s="4"/>
      <c r="ET230" s="4"/>
      <c r="EU230" s="8"/>
      <c r="EV230" s="5" t="str">
        <f t="shared" si="722"/>
        <v>NO APLICA</v>
      </c>
      <c r="EW230" s="4"/>
      <c r="EX230" s="4"/>
      <c r="EY230" s="4"/>
      <c r="EZ230" s="6"/>
      <c r="FA230" s="5" t="str">
        <f t="shared" si="723"/>
        <v>NO APLICA</v>
      </c>
      <c r="FB230" s="4"/>
      <c r="FC230" s="4"/>
      <c r="FD230" s="4"/>
      <c r="FE230" s="6"/>
      <c r="FF230" s="5" t="str">
        <f t="shared" si="724"/>
        <v>NO APLICA</v>
      </c>
      <c r="FG230" s="4"/>
      <c r="FH230" s="4"/>
      <c r="FI230" s="4"/>
      <c r="FJ230" s="6"/>
      <c r="FK230" s="5" t="str">
        <f t="shared" si="725"/>
        <v>NO APLICA</v>
      </c>
      <c r="FL230" s="4"/>
      <c r="FM230" s="4"/>
      <c r="FN230" s="4"/>
      <c r="FO230" s="6"/>
      <c r="FP230" s="5" t="str">
        <f t="shared" si="726"/>
        <v>NO APLICA</v>
      </c>
      <c r="FQ230" s="4"/>
      <c r="FR230" s="4"/>
      <c r="FS230" s="4"/>
      <c r="FT230" s="6"/>
      <c r="FU230" s="5" t="str">
        <f t="shared" si="727"/>
        <v>NO APLICA</v>
      </c>
      <c r="FV230" s="4"/>
      <c r="FW230" s="4"/>
      <c r="FX230" s="4"/>
      <c r="FY230" s="6"/>
      <c r="FZ230" s="5" t="str">
        <f t="shared" si="728"/>
        <v>NO APLICA</v>
      </c>
      <c r="GA230" s="4"/>
      <c r="GB230" s="4"/>
      <c r="GC230" s="4"/>
      <c r="GD230" s="6"/>
      <c r="GE230" s="5" t="str">
        <f t="shared" si="729"/>
        <v>NO APLICA</v>
      </c>
      <c r="GF230" s="4"/>
      <c r="GG230" s="4"/>
      <c r="GH230" s="4"/>
      <c r="GI230" s="8"/>
      <c r="GJ230" s="5" t="str">
        <f t="shared" si="730"/>
        <v>NO APLICA</v>
      </c>
      <c r="GK230" s="4"/>
      <c r="GL230" s="6"/>
      <c r="GM230" s="6"/>
      <c r="GN230" s="6"/>
      <c r="GO230" s="5" t="str">
        <f t="shared" si="731"/>
        <v>NO APLICA</v>
      </c>
      <c r="GP230" s="4"/>
      <c r="GQ230" s="6"/>
      <c r="GR230" s="6"/>
      <c r="GS230" s="6"/>
      <c r="GT230" s="5" t="str">
        <f t="shared" si="610"/>
        <v>NO APLICA</v>
      </c>
      <c r="GU230" s="4"/>
      <c r="GV230" s="6"/>
      <c r="GW230" s="6"/>
      <c r="GX230" s="6"/>
      <c r="GY230" s="5" t="str">
        <f t="shared" si="611"/>
        <v>NO APLICA</v>
      </c>
      <c r="GZ230" s="6"/>
      <c r="HA230" s="6"/>
      <c r="HB230" s="6"/>
      <c r="HC230" s="6"/>
      <c r="HD230" s="5" t="str">
        <f t="shared" si="612"/>
        <v>NO APLICA</v>
      </c>
      <c r="HE230" s="6"/>
      <c r="HF230" s="6"/>
      <c r="HG230" s="4"/>
      <c r="HH230" s="8"/>
      <c r="HI230" s="5" t="str">
        <f t="shared" si="698"/>
        <v>NO APLICA</v>
      </c>
      <c r="HJ230" s="6"/>
      <c r="HK230" s="6"/>
      <c r="HL230" s="6"/>
      <c r="HM230" s="6"/>
      <c r="HN230" s="5" t="str">
        <f t="shared" si="694"/>
        <v>NO APLICA</v>
      </c>
      <c r="HO230" s="6"/>
      <c r="HP230" s="6"/>
      <c r="HQ230" s="6"/>
      <c r="HR230" s="6"/>
      <c r="HS230" s="5" t="str">
        <f t="shared" si="732"/>
        <v>NO APLICA</v>
      </c>
      <c r="HT230" s="6"/>
      <c r="HU230" s="6"/>
      <c r="HV230" s="6"/>
      <c r="HW230" s="6"/>
      <c r="HX230" s="5" t="str">
        <f t="shared" si="733"/>
        <v>NO APLICA</v>
      </c>
      <c r="HY230" s="6"/>
      <c r="HZ230" s="6"/>
      <c r="IA230" s="6"/>
      <c r="IB230" s="6"/>
      <c r="IC230" s="5" t="str">
        <f t="shared" si="734"/>
        <v>NO APLICA</v>
      </c>
      <c r="ID230" s="6"/>
      <c r="IE230" s="6"/>
      <c r="IF230" s="6"/>
      <c r="IG230" s="6"/>
      <c r="IH230" s="5" t="str">
        <f t="shared" si="735"/>
        <v>NO APLICA</v>
      </c>
      <c r="II230" s="6"/>
      <c r="IJ230" s="6"/>
      <c r="IK230" s="6"/>
      <c r="IL230" s="6"/>
      <c r="IM230" s="5" t="str">
        <f t="shared" si="736"/>
        <v>NO APLICA</v>
      </c>
      <c r="IN230" s="6"/>
      <c r="IO230" s="6"/>
      <c r="IP230" s="6"/>
      <c r="IQ230" s="6"/>
      <c r="IR230" s="5" t="str">
        <f t="shared" si="737"/>
        <v>NO APLICA</v>
      </c>
      <c r="IS230" s="6"/>
      <c r="IT230" s="6"/>
      <c r="IU230" s="6"/>
      <c r="IV230" s="6"/>
      <c r="IW230" s="5" t="str">
        <f t="shared" si="738"/>
        <v>NO APLICA</v>
      </c>
      <c r="IX230" s="6"/>
      <c r="IY230" s="6"/>
      <c r="IZ230" s="6"/>
      <c r="JA230" s="6"/>
      <c r="JB230" s="5" t="str">
        <f t="shared" si="739"/>
        <v>NO APLICA</v>
      </c>
      <c r="JC230" s="3" t="s">
        <v>780</v>
      </c>
      <c r="JD230" s="6"/>
      <c r="JE230" s="6"/>
      <c r="JF230" s="6"/>
      <c r="JG230" s="5"/>
      <c r="JH230" s="3" t="s">
        <v>780</v>
      </c>
      <c r="JI230" s="6"/>
      <c r="JJ230" s="6"/>
      <c r="JK230" s="6"/>
      <c r="JL230" s="5"/>
      <c r="JM230" s="6" t="s">
        <v>780</v>
      </c>
      <c r="JN230" s="6"/>
      <c r="JO230" s="6"/>
      <c r="JP230" s="6"/>
      <c r="JQ230" s="5"/>
      <c r="JR230" s="6" t="s">
        <v>780</v>
      </c>
      <c r="JS230" s="6"/>
      <c r="JT230" s="6"/>
      <c r="JU230" s="6"/>
      <c r="JV230" s="5"/>
      <c r="JW230" s="6" t="s">
        <v>780</v>
      </c>
      <c r="JX230" s="5"/>
      <c r="JY230" s="5"/>
      <c r="JZ230" s="5"/>
      <c r="KA230" s="5"/>
      <c r="KB230" s="5"/>
      <c r="KC230" s="6"/>
      <c r="KD230" s="6"/>
      <c r="KE230" s="6"/>
      <c r="KF230" s="5" t="str">
        <f t="shared" si="740"/>
        <v>NO APLICA</v>
      </c>
      <c r="KG230" s="5"/>
      <c r="KH230" s="6"/>
      <c r="KI230" s="6"/>
      <c r="KJ230" s="6"/>
      <c r="KK230" s="5" t="str">
        <f t="shared" si="760"/>
        <v>NO APLICA</v>
      </c>
      <c r="KL230" s="5"/>
      <c r="KM230" s="6"/>
      <c r="KN230" s="6"/>
      <c r="KO230" s="6"/>
      <c r="KP230" s="5" t="str">
        <f t="shared" si="741"/>
        <v>NO APLICA</v>
      </c>
      <c r="KQ230" s="5"/>
      <c r="KR230" s="6"/>
      <c r="KS230" s="6"/>
      <c r="KT230" s="6"/>
      <c r="KU230" s="5" t="str">
        <f t="shared" si="761"/>
        <v>NO APLICA</v>
      </c>
      <c r="KV230" s="6"/>
      <c r="KW230" s="6"/>
      <c r="KX230" s="6"/>
      <c r="KY230" s="6"/>
      <c r="KZ230" s="5" t="str">
        <f t="shared" si="767"/>
        <v>NO APLICA</v>
      </c>
      <c r="LA230" s="5"/>
      <c r="LB230" s="6"/>
      <c r="LC230" s="6"/>
      <c r="LD230" s="6"/>
      <c r="LE230" s="5" t="str">
        <f t="shared" si="762"/>
        <v>NO APLICA</v>
      </c>
      <c r="LF230" s="6"/>
      <c r="LG230" s="6"/>
      <c r="LH230" s="6"/>
      <c r="LI230" s="6"/>
      <c r="LJ230" s="5" t="str">
        <f t="shared" si="600"/>
        <v>NO APLICA</v>
      </c>
      <c r="LK230" s="5"/>
      <c r="LL230" s="5"/>
      <c r="LM230" s="4"/>
      <c r="LN230" s="8"/>
      <c r="LO230" s="5" t="str">
        <f t="shared" si="768"/>
        <v>NO APLICA</v>
      </c>
      <c r="LP230" s="6"/>
      <c r="LQ230" s="6"/>
      <c r="LR230" s="6"/>
      <c r="LS230" s="6"/>
      <c r="LT230" s="5" t="str">
        <f t="shared" si="763"/>
        <v>NO APLICA</v>
      </c>
      <c r="LU230" s="6"/>
      <c r="LV230" s="6"/>
      <c r="LW230" s="6"/>
      <c r="LX230" s="6"/>
      <c r="LY230" s="5" t="str">
        <f t="shared" si="764"/>
        <v>NO APLICA</v>
      </c>
      <c r="LZ230" s="6"/>
      <c r="MA230" s="6"/>
      <c r="MB230" s="6"/>
      <c r="MC230" s="6"/>
      <c r="MD230" s="5" t="str">
        <f t="shared" si="765"/>
        <v>NO APLICA</v>
      </c>
      <c r="ME230" s="6"/>
      <c r="MF230" s="6"/>
      <c r="MG230" s="6"/>
      <c r="MH230" s="6"/>
      <c r="MI230" s="5" t="str">
        <f t="shared" si="742"/>
        <v>NO APLICA</v>
      </c>
      <c r="MJ230" s="6"/>
      <c r="MK230" s="6"/>
      <c r="ML230" s="6"/>
      <c r="MM230" s="6"/>
      <c r="MN230" s="5" t="str">
        <f t="shared" si="743"/>
        <v>NO APLICA</v>
      </c>
      <c r="MO230" s="5"/>
      <c r="MP230" s="6"/>
      <c r="MQ230" s="6"/>
      <c r="MR230" s="6"/>
      <c r="MS230" s="5" t="str">
        <f t="shared" si="744"/>
        <v>NO APLICA</v>
      </c>
      <c r="MT230" s="5"/>
      <c r="MU230" s="6"/>
      <c r="MV230" s="6"/>
      <c r="MW230" s="6"/>
      <c r="MX230" s="5" t="str">
        <f t="shared" si="745"/>
        <v>NO APLICA</v>
      </c>
      <c r="MY230" s="6"/>
      <c r="MZ230" s="6"/>
      <c r="NA230" s="6"/>
      <c r="NB230" s="6"/>
      <c r="NC230" s="5" t="str">
        <f t="shared" si="746"/>
        <v>NO APLICA</v>
      </c>
      <c r="ND230" s="6"/>
      <c r="NE230" s="6"/>
      <c r="NF230" s="6"/>
      <c r="NG230" s="6"/>
      <c r="NH230" s="5" t="str">
        <f t="shared" si="747"/>
        <v>NO APLICA</v>
      </c>
      <c r="NI230" s="6"/>
      <c r="NJ230" s="6"/>
      <c r="NK230" s="6"/>
      <c r="NL230" s="6"/>
      <c r="NM230" s="5" t="str">
        <f t="shared" si="748"/>
        <v>NO APLICA</v>
      </c>
      <c r="NN230" s="6"/>
      <c r="NO230" s="6"/>
      <c r="NP230" s="6"/>
      <c r="NQ230" s="6"/>
      <c r="NR230" s="5" t="str">
        <f t="shared" si="749"/>
        <v>NO APLICA</v>
      </c>
      <c r="NS230" s="6"/>
      <c r="NT230" s="6"/>
      <c r="NU230" s="6"/>
      <c r="NV230" s="6"/>
      <c r="NW230" s="5" t="str">
        <f t="shared" si="750"/>
        <v>NO APLICA</v>
      </c>
      <c r="NX230" s="6"/>
      <c r="NY230" s="6"/>
      <c r="NZ230" s="6"/>
      <c r="OA230" s="6"/>
      <c r="OB230" s="5" t="str">
        <f t="shared" si="751"/>
        <v>NO APLICA</v>
      </c>
      <c r="OC230" s="6"/>
      <c r="OD230" s="6"/>
      <c r="OE230" s="6"/>
      <c r="OF230" s="6"/>
      <c r="OG230" s="5" t="str">
        <f t="shared" si="752"/>
        <v>NO APLICA</v>
      </c>
      <c r="OH230" s="6"/>
      <c r="OI230" s="6"/>
      <c r="OJ230" s="6"/>
      <c r="OK230" s="6"/>
      <c r="OL230" s="5" t="str">
        <f t="shared" si="753"/>
        <v>NO APLICA</v>
      </c>
      <c r="OM230" s="6"/>
      <c r="ON230" s="6"/>
      <c r="OO230" s="6"/>
      <c r="OP230" s="6"/>
      <c r="OQ230" s="5" t="str">
        <f t="shared" si="754"/>
        <v>NO APLICA</v>
      </c>
      <c r="OR230" s="6"/>
      <c r="OS230" s="6"/>
      <c r="OT230" s="6"/>
      <c r="OU230" s="6"/>
      <c r="OV230" s="5" t="str">
        <f t="shared" si="755"/>
        <v>NO APLICA</v>
      </c>
      <c r="OW230" s="6"/>
      <c r="OX230" s="6"/>
      <c r="OY230" s="6"/>
      <c r="OZ230" s="6"/>
      <c r="PA230" s="5" t="str">
        <f t="shared" si="769"/>
        <v>NO APLICA</v>
      </c>
      <c r="PB230" s="6"/>
      <c r="PC230" s="6"/>
      <c r="PD230" s="6"/>
      <c r="PE230" s="6"/>
      <c r="PF230" s="5" t="str">
        <f t="shared" si="756"/>
        <v>NO APLICA</v>
      </c>
      <c r="PG230" s="6"/>
      <c r="PH230" s="6"/>
      <c r="PI230" s="6"/>
      <c r="PJ230" s="6"/>
      <c r="PK230" s="5" t="str">
        <f t="shared" si="757"/>
        <v>NO APLICA</v>
      </c>
      <c r="PL230" s="5"/>
      <c r="PM230" s="6"/>
      <c r="PN230" s="6"/>
      <c r="PO230" s="6"/>
      <c r="PP230" s="5" t="str">
        <f t="shared" si="766"/>
        <v>NO APLICA</v>
      </c>
      <c r="PQ230" s="6"/>
      <c r="PR230" s="6"/>
      <c r="PS230" s="6"/>
      <c r="PT230" s="6"/>
      <c r="PU230" s="5" t="str">
        <f t="shared" si="758"/>
        <v>NO APLICA</v>
      </c>
      <c r="PV230" s="5"/>
      <c r="PW230" s="4">
        <v>46126</v>
      </c>
      <c r="PX230" s="4">
        <f>DATE(YEAR(PW230)+1,MONTH(PW230),DAY(PW230))</f>
        <v>46491</v>
      </c>
      <c r="PY230" s="8">
        <f ca="1">PX230-TODAY()</f>
        <v>346</v>
      </c>
      <c r="PZ230" s="5" t="str">
        <f t="shared" ca="1" si="759"/>
        <v>VIGENTE</v>
      </c>
    </row>
    <row r="231" spans="1:442" ht="15.6" hidden="1" thickTop="1" thickBot="1" x14ac:dyDescent="0.35">
      <c r="A231" s="26">
        <v>228</v>
      </c>
      <c r="B231" s="31">
        <v>1542</v>
      </c>
      <c r="C231" s="28" t="s">
        <v>677</v>
      </c>
      <c r="D231" s="29" t="s">
        <v>113</v>
      </c>
      <c r="E231" s="30" t="s">
        <v>678</v>
      </c>
      <c r="F231" s="6"/>
      <c r="G231" s="6"/>
      <c r="H231" s="6"/>
      <c r="I231" s="6"/>
      <c r="J231" s="5" t="str">
        <f t="shared" si="696"/>
        <v>NO APLICA</v>
      </c>
      <c r="K231" s="6"/>
      <c r="L231" s="6"/>
      <c r="M231" s="6"/>
      <c r="N231" s="6"/>
      <c r="O231" s="5" t="str">
        <f t="shared" si="699"/>
        <v>NO APLICA</v>
      </c>
      <c r="P231" s="6"/>
      <c r="Q231" s="6"/>
      <c r="R231" s="6"/>
      <c r="S231" s="6"/>
      <c r="T231" s="5" t="str">
        <f t="shared" si="697"/>
        <v>NO APLICA</v>
      </c>
      <c r="U231" s="5"/>
      <c r="V231" s="6" t="s">
        <v>679</v>
      </c>
      <c r="W231" s="4">
        <v>45426</v>
      </c>
      <c r="X231" s="4">
        <f>DATE(YEAR(W231)+5,MONTH(W231),DAY(W231))</f>
        <v>47252</v>
      </c>
      <c r="Y231" s="8">
        <f ca="1">X231-TODAY()</f>
        <v>1107</v>
      </c>
      <c r="Z231" s="5" t="str">
        <f ca="1">IF(Y231&gt;=90,"VIGENTE",IF(Y231&gt;=1,"POR VENCER",IF(Y231&lt;=-1,"VENCIDA",IF(W231=0,"NO APLICA"))))</f>
        <v>VIGENTE</v>
      </c>
      <c r="AA231" s="5"/>
      <c r="AB231" s="6"/>
      <c r="AC231" s="6"/>
      <c r="AD231" s="6"/>
      <c r="AE231" s="6"/>
      <c r="AF231" s="5" t="str">
        <f t="shared" si="700"/>
        <v>NO APLICA</v>
      </c>
      <c r="AG231" s="4"/>
      <c r="AH231" s="4">
        <v>45721</v>
      </c>
      <c r="AI231" s="4">
        <f>DATE(YEAR(AH231)+2,MONTH(AH231),DAY(AH231)-1)</f>
        <v>46450</v>
      </c>
      <c r="AJ231" s="8">
        <f ca="1">AI231-TODAY()</f>
        <v>305</v>
      </c>
      <c r="AK231" s="5" t="str">
        <f ca="1">IF(AJ231&gt;=91,"VIGENTE",IF(AJ231&gt;=1,"POR VENCER",IF(AJ231&lt;=-1,"VENCIDA",IF(AH231=0,"NO APLICA"))))</f>
        <v>VIGENTE</v>
      </c>
      <c r="AL231" s="4"/>
      <c r="AM231" s="4">
        <v>45710</v>
      </c>
      <c r="AN231" s="4">
        <f>DATE(YEAR(AM231)+2,MONTH(AM231),DAY(AM231)-1)</f>
        <v>46439</v>
      </c>
      <c r="AO231" s="8">
        <f ca="1">AN231-TODAY()</f>
        <v>294</v>
      </c>
      <c r="AP231" s="5" t="str">
        <f ca="1">IF(AO231&gt;=91,"VIGENTE",IF(AO231&gt;=1,"POR VENCER",IF(AO231&lt;=-1,"VENCIDA",IF(AM231=0,"NO APLICA"))))</f>
        <v>VIGENTE</v>
      </c>
      <c r="AQ231" s="4"/>
      <c r="AR231" s="4">
        <v>45775</v>
      </c>
      <c r="AS231" s="4">
        <f>DATE(YEAR(AR231)+2,MONTH(AR231),DAY(AR231))</f>
        <v>46505</v>
      </c>
      <c r="AT231" s="8">
        <f ca="1">AS231-TODAY()</f>
        <v>360</v>
      </c>
      <c r="AU231" s="5" t="str">
        <f ca="1">IF(AT231&gt;=91,"VIGENTE",IF(AT231&gt;=1,"POR VENCER",IF(AT231&lt;=-1,"VENCIDA",IF(AR231=0,"NO APLICA"))))</f>
        <v>VIGENTE</v>
      </c>
      <c r="AV231" s="4"/>
      <c r="AW231" s="4">
        <v>45745</v>
      </c>
      <c r="AX231" s="4">
        <f>DATE(YEAR(AW231)+2,MONTH(AW231),DAY(AW231)-1)</f>
        <v>46474</v>
      </c>
      <c r="AY231" s="8">
        <f ca="1">AX231-TODAY()</f>
        <v>329</v>
      </c>
      <c r="AZ231" s="5" t="str">
        <f ca="1">IF(AY231&gt;=91,"VIGENTE",IF(AY231&gt;=1,"POR VENCER",IF(AY231&lt;=-1,"VENCIDA",IF(AW231=0,"NO APLICA"))))</f>
        <v>VIGENTE</v>
      </c>
      <c r="BA231" s="4"/>
      <c r="BB231" s="4">
        <v>45687</v>
      </c>
      <c r="BC231" s="4">
        <f>DATE(YEAR(BB231)+2,MONTH(BB231),DAY(BB231)-1)</f>
        <v>46416</v>
      </c>
      <c r="BD231" s="8">
        <f ca="1">BC231-TODAY()</f>
        <v>271</v>
      </c>
      <c r="BE231" s="5" t="str">
        <f ca="1">IF(BD231&gt;=91,"VIGENTE",IF(BD231&gt;=1,"POR VENCER",IF(BD231&lt;=-1,"VENCIDA",IF(BB231=0,"NO APLICA"))))</f>
        <v>VIGENTE</v>
      </c>
      <c r="BF231" s="4"/>
      <c r="BG231" s="4">
        <v>45692</v>
      </c>
      <c r="BH231" s="4">
        <f>DATE(YEAR(BG231)+2,MONTH(BG231),DAY(BG231)-1)</f>
        <v>46421</v>
      </c>
      <c r="BI231" s="8">
        <f ca="1">BH231-TODAY()</f>
        <v>276</v>
      </c>
      <c r="BJ231" s="5" t="str">
        <f ca="1">IF(BI231&gt;=91,"VIGENTE",IF(BI231&gt;=1,"POR VENCER",IF(BI231&lt;=-1,"VENCIDA",IF(BG231=0,"NO APLICA"))))</f>
        <v>VIGENTE</v>
      </c>
      <c r="BK231" s="4"/>
      <c r="BL231" s="4">
        <v>45652</v>
      </c>
      <c r="BM231" s="4">
        <f>DATE(YEAR(BL231)+2,MONTH(BL231),DAY(BL231)-1)</f>
        <v>46381</v>
      </c>
      <c r="BN231" s="8">
        <f ca="1">BM231-TODAY()</f>
        <v>236</v>
      </c>
      <c r="BO231" s="5" t="str">
        <f ca="1">IF(BN231&gt;=91,"VIGENTE",IF(BN231&gt;=1,"POR VENCER",IF(BN231&lt;=-1,"VENCIDA",IF(BL231=0,"NO APLICA"))))</f>
        <v>VIGENTE</v>
      </c>
      <c r="BP231" s="4"/>
      <c r="BQ231" s="4">
        <v>45701</v>
      </c>
      <c r="BR231" s="4">
        <f>DATE(YEAR(BQ231)+2,MONTH(BQ231),DAY(BQ231)-1)</f>
        <v>46430</v>
      </c>
      <c r="BS231" s="8">
        <f ca="1">BR231-TODAY()</f>
        <v>285</v>
      </c>
      <c r="BT231" s="5" t="str">
        <f ca="1">IF(BS231&gt;=91,"VIGENTE",IF(BS231&gt;=1,"POR VENCER",IF(BS231&lt;=-1,"VENCIDA",IF(BQ231=0,"NO APLICA"))))</f>
        <v>VIGENTE</v>
      </c>
      <c r="BU231" s="4"/>
      <c r="BV231" s="4">
        <v>45695</v>
      </c>
      <c r="BW231" s="4">
        <f>DATE(YEAR(BV231)+2,MONTH(BV231),DAY(BV231)-1)</f>
        <v>46424</v>
      </c>
      <c r="BX231" s="8">
        <f ca="1">BW231-TODAY()</f>
        <v>279</v>
      </c>
      <c r="BY231" s="5" t="str">
        <f ca="1">IF(BX231&gt;=91,"VIGENTE",IF(BX231&gt;=1,"POR VENCER",IF(BX231&lt;=-1,"VENCIDA",IF(BV231=0,"NO APLICA"))))</f>
        <v>VIGENTE</v>
      </c>
      <c r="BZ231" s="4"/>
      <c r="CA231" s="4">
        <v>45672</v>
      </c>
      <c r="CB231" s="4">
        <f>DATE(YEAR(CA231)+2,MONTH(CA231),DAY(CA231)-1)</f>
        <v>46401</v>
      </c>
      <c r="CC231" s="8">
        <f ca="1">CB231-TODAY()</f>
        <v>256</v>
      </c>
      <c r="CD231" s="5" t="str">
        <f ca="1">IF(CC231&gt;=91,"VIGENTE",IF(CC231&gt;=1,"POR VENCER",IF(CC231&lt;=-1,"VENCIDA",IF(CA231=0,"NO APLICA"))))</f>
        <v>VIGENTE</v>
      </c>
      <c r="CE231" s="6"/>
      <c r="CF231" s="4">
        <v>44690</v>
      </c>
      <c r="CG231" s="4">
        <f>DATE(YEAR(CF231)+4,MONTH(CF231),DAY(CF231))</f>
        <v>46151</v>
      </c>
      <c r="CH231" s="8">
        <f ca="1">CG231-TODAY()</f>
        <v>6</v>
      </c>
      <c r="CI231" s="5" t="str">
        <f ca="1">IF(CH231&gt;=90,"VIGENTE",IF(CH231&gt;=1,"POR VENCER",IF(CH231&lt;=-1,"VENCIDA",IF(CH231=0,"NO APLICA"))))</f>
        <v>POR VENCER</v>
      </c>
      <c r="CJ231" s="4"/>
      <c r="CK231" s="4">
        <v>45688</v>
      </c>
      <c r="CL231" s="4">
        <f>DATE(YEAR(CK231)+2,MONTH(CK231),DAY(CK231)-1)</f>
        <v>46417</v>
      </c>
      <c r="CM231" s="8">
        <f ca="1">CL231-TODAY()</f>
        <v>272</v>
      </c>
      <c r="CN231" s="5" t="str">
        <f ca="1">IF(CM231&gt;=91,"VIGENTE",IF(CM231&gt;=1,"POR VENCER",IF(CM231&lt;=-1,"VENCIDA",IF(CK231=0,"NO APLICA"))))</f>
        <v>VIGENTE</v>
      </c>
      <c r="CO231" s="4"/>
      <c r="CP231" s="4">
        <v>45769</v>
      </c>
      <c r="CQ231" s="4">
        <f>DATE(YEAR(CP231)+2,MONTH(CP231),DAY(CP231))</f>
        <v>46499</v>
      </c>
      <c r="CR231" s="8">
        <f ca="1">CQ231-TODAY()</f>
        <v>354</v>
      </c>
      <c r="CS231" s="5" t="str">
        <f ca="1">IF(CR231&gt;=91,"VIGENTE",IF(CR231&gt;=1,"POR VENCER",IF(CR231&lt;=-1,"VENCIDA",IF(CP231=0,"NO APLICA"))))</f>
        <v>VIGENTE</v>
      </c>
      <c r="CT231" s="4"/>
      <c r="CU231" s="4">
        <v>45805</v>
      </c>
      <c r="CV231" s="4">
        <f>DATE(YEAR(CU231)+2,MONTH(CU231),DAY(CU231))</f>
        <v>46535</v>
      </c>
      <c r="CW231" s="8">
        <f ca="1">CV231-TODAY()</f>
        <v>390</v>
      </c>
      <c r="CX231" s="5" t="str">
        <f ca="1">IF(CW231&gt;=91,"VIGENTE",IF(CW231&gt;=1,"POR VENCER",IF(CW231&lt;=-1,"VENCIDA",IF(CU231=0,"NO APLICA"))))</f>
        <v>VIGENTE</v>
      </c>
      <c r="CY231" s="4"/>
      <c r="CZ231" s="4">
        <v>45744</v>
      </c>
      <c r="DA231" s="4">
        <f>DATE(YEAR(CZ231)+2,MONTH(CZ231),DAY(CZ231)-1)</f>
        <v>46473</v>
      </c>
      <c r="DB231" s="8">
        <f ca="1">DA231-TODAY()</f>
        <v>328</v>
      </c>
      <c r="DC231" s="5" t="str">
        <f ca="1">IF(DB231&gt;=91,"VIGENTE",IF(DB231&gt;=1,"POR VENCER",IF(DB231&lt;=-1,"VENCIDA",IF(CZ231=0,"NO APLICA"))))</f>
        <v>VIGENTE</v>
      </c>
      <c r="DD231" s="4"/>
      <c r="DE231" s="4">
        <v>45689</v>
      </c>
      <c r="DF231" s="4">
        <f>DATE(YEAR(DE231)+2,MONTH(DE231),DAY(DE231)-1)</f>
        <v>46418</v>
      </c>
      <c r="DG231" s="8">
        <f ca="1">DF231-TODAY()</f>
        <v>273</v>
      </c>
      <c r="DH231" s="5" t="str">
        <f ca="1">IF(DG231&gt;=91,"VIGENTE",IF(DG231&gt;=1,"POR VENCER",IF(DG231&lt;=-1,"VENCIDA",IF(DE231=0,"NO APLICA"))))</f>
        <v>VIGENTE</v>
      </c>
      <c r="DI231" s="4"/>
      <c r="DJ231" s="4">
        <v>45734</v>
      </c>
      <c r="DK231" s="4">
        <f>DATE(YEAR(DJ231)+2,MONTH(DJ231),DAY(DJ231)-1)</f>
        <v>46463</v>
      </c>
      <c r="DL231" s="8">
        <f ca="1">DK231-TODAY()</f>
        <v>318</v>
      </c>
      <c r="DM231" s="5" t="str">
        <f ca="1">IF(DL231&gt;=91,"VIGENTE",IF(DL231&gt;=1,"POR VENCER",IF(DL231&lt;=-1,"VENCIDA",IF(DJ231=0,"NO APLICA"))))</f>
        <v>VIGENTE</v>
      </c>
      <c r="DN231" s="4"/>
      <c r="DO231" s="4">
        <v>45731</v>
      </c>
      <c r="DP231" s="4">
        <f>DATE(YEAR(DO231)+2,MONTH(DO231),DAY(DO231)-1)</f>
        <v>46460</v>
      </c>
      <c r="DQ231" s="8">
        <f ca="1">DP231-TODAY()</f>
        <v>315</v>
      </c>
      <c r="DR231" s="5" t="str">
        <f ca="1">IF(DQ231&gt;=91,"VIGENTE",IF(DQ231&gt;=1,"POR VENCER",IF(DQ231&lt;=-1,"VENCIDA",IF(DO231=0,"NO APLICA"))))</f>
        <v>VIGENTE</v>
      </c>
      <c r="DS231" s="4"/>
      <c r="DT231" s="4">
        <v>45770</v>
      </c>
      <c r="DU231" s="4">
        <f>DATE(YEAR(DT231)+2,MONTH(DT231),DAY(DT231))</f>
        <v>46500</v>
      </c>
      <c r="DV231" s="8">
        <f ca="1">DU231-TODAY()</f>
        <v>355</v>
      </c>
      <c r="DW231" s="5" t="str">
        <f ca="1">IF(DV231&gt;=91,"VIGENTE",IF(DV231&gt;=1,"POR VENCER",IF(DV231&lt;=-1,"VENCIDA",IF(DT231=0,"NO APLICA"))))</f>
        <v>VIGENTE</v>
      </c>
      <c r="DX231" s="4"/>
      <c r="DY231" s="4">
        <v>45804</v>
      </c>
      <c r="DZ231" s="4">
        <f>DATE(YEAR(DY231)+2,MONTH(DY231),DAY(DY231))</f>
        <v>46534</v>
      </c>
      <c r="EA231" s="8">
        <f ca="1">DZ231-TODAY()</f>
        <v>389</v>
      </c>
      <c r="EB231" s="5" t="str">
        <f ca="1">IF(EA231&gt;=91,"VIGENTE",IF(EA231&gt;=1,"POR VENCER",IF(EA231&lt;=-1,"VENCIDA",IF(DY231=0,"NO APLICA"))))</f>
        <v>VIGENTE</v>
      </c>
      <c r="EC231" s="4"/>
      <c r="ED231" s="4">
        <v>45674</v>
      </c>
      <c r="EE231" s="4">
        <f>DATE(YEAR(ED231)+2,MONTH(ED231),DAY(ED231)-1)</f>
        <v>46403</v>
      </c>
      <c r="EF231" s="8">
        <f ca="1">EE231-TODAY()</f>
        <v>258</v>
      </c>
      <c r="EG231" s="5" t="str">
        <f ca="1">IF(EF231&gt;=91,"VIGENTE",IF(EF231&gt;=1,"POR VENCER",IF(EF231&lt;=-1,"VENCIDA",IF(ED231=0,"NO APLICA"))))</f>
        <v>VIGENTE</v>
      </c>
      <c r="EH231" s="3"/>
      <c r="EI231" s="3">
        <v>46015</v>
      </c>
      <c r="EJ231" s="4">
        <f t="shared" si="771"/>
        <v>46380</v>
      </c>
      <c r="EK231" s="8">
        <f ca="1">EJ231-TODAY()</f>
        <v>235</v>
      </c>
      <c r="EL231" s="5" t="str">
        <f ca="1">IF(EK231&gt;=91,"VIGENTE",IF(EK231&gt;=1,"POR VENCER",IF(EK231&lt;=-1,"VENCIDA",IF(EI231=0,"NO APLICA"))))</f>
        <v>VIGENTE</v>
      </c>
      <c r="EM231" s="4"/>
      <c r="EN231" s="4">
        <v>45705</v>
      </c>
      <c r="EO231" s="4">
        <f>DATE(YEAR(EN231)+2,MONTH(EN231),DAY(EN231)-1)</f>
        <v>46434</v>
      </c>
      <c r="EP231" s="8">
        <f ca="1">EO231-TODAY()</f>
        <v>289</v>
      </c>
      <c r="EQ231" s="5" t="str">
        <f ca="1">IF(EP231&gt;=91,"VIGENTE",IF(EP231&gt;=1,"POR VENCER",IF(EP231&lt;=-1,"VENCIDA",IF(EN231=0,"NO APLICA"))))</f>
        <v>VIGENTE</v>
      </c>
      <c r="ER231" s="4"/>
      <c r="ES231" s="4">
        <v>45735</v>
      </c>
      <c r="ET231" s="4">
        <f>DATE(YEAR(ES231)+2,MONTH(ES231),DAY(ES231)-1)</f>
        <v>46464</v>
      </c>
      <c r="EU231" s="8">
        <f ca="1">ET231-TODAY()</f>
        <v>319</v>
      </c>
      <c r="EV231" s="5" t="str">
        <f ca="1">IF(EU231&gt;=91,"VIGENTE",IF(EU231&gt;=1,"POR VENCER",IF(EU231&lt;=-1,"VENCIDA",IF(ES231=0,"NO APLICA"))))</f>
        <v>VIGENTE</v>
      </c>
      <c r="EW231" s="4"/>
      <c r="EX231" s="4">
        <v>45630</v>
      </c>
      <c r="EY231" s="4">
        <f>DATE(YEAR(EX231)+2,MONTH(EX231),DAY(EX231)-1)</f>
        <v>46359</v>
      </c>
      <c r="EZ231" s="6">
        <v>593</v>
      </c>
      <c r="FA231" s="5" t="str">
        <f t="shared" si="723"/>
        <v>VIGENTE</v>
      </c>
      <c r="FB231" s="4"/>
      <c r="FC231" s="4">
        <v>45729</v>
      </c>
      <c r="FD231" s="4">
        <f>DATE(YEAR(FC231)+2,MONTH(FC231),DAY(FC231)-1)</f>
        <v>46458</v>
      </c>
      <c r="FE231" s="6">
        <v>692</v>
      </c>
      <c r="FF231" s="5" t="str">
        <f t="shared" si="724"/>
        <v>VIGENTE</v>
      </c>
      <c r="FG231" s="4"/>
      <c r="FH231" s="4">
        <v>45722</v>
      </c>
      <c r="FI231" s="4">
        <f>DATE(YEAR(FH231)+2,MONTH(FH231),DAY(FH231))</f>
        <v>46452</v>
      </c>
      <c r="FJ231" s="8">
        <f ca="1">FI231-TODAY()</f>
        <v>307</v>
      </c>
      <c r="FK231" s="5" t="str">
        <f ca="1">IF(FJ231&gt;=91,"VIGENTE",IF(FJ231&gt;=1,"POR VENCER",IF(FJ231&lt;=-1,"VENCIDA",IF(FH231=0,"NO APLICA"))))</f>
        <v>VIGENTE</v>
      </c>
      <c r="FL231" s="4"/>
      <c r="FM231" s="4">
        <v>45637</v>
      </c>
      <c r="FN231" s="4">
        <f>DATE(YEAR(FM231)+2,MONTH(FM231),DAY(FM231)-1)</f>
        <v>46366</v>
      </c>
      <c r="FO231" s="6">
        <v>600</v>
      </c>
      <c r="FP231" s="5" t="str">
        <f t="shared" si="726"/>
        <v>VIGENTE</v>
      </c>
      <c r="FQ231" s="4"/>
      <c r="FR231" s="4">
        <v>45724</v>
      </c>
      <c r="FS231" s="4">
        <f>DATE(YEAR(FR231)+2,MONTH(FR231),DAY(FR231)-1)</f>
        <v>46453</v>
      </c>
      <c r="FT231" s="8">
        <f ca="1">FS231-TODAY()</f>
        <v>308</v>
      </c>
      <c r="FU231" s="5" t="str">
        <f ca="1">IF(FT231&gt;=91,"VIGENTE",IF(FT231&gt;=1,"POR VENCER",IF(FT231&lt;=-1,"VENCIDA",IF(FR231=0,"NO APLICA"))))</f>
        <v>VIGENTE</v>
      </c>
      <c r="FV231" s="4"/>
      <c r="FW231" s="4">
        <v>45700</v>
      </c>
      <c r="FX231" s="4">
        <f>DATE(YEAR(FW231)+2,MONTH(FW231),DAY(FW231)-1)</f>
        <v>46429</v>
      </c>
      <c r="FY231" s="6">
        <v>663</v>
      </c>
      <c r="FZ231" s="5" t="str">
        <f t="shared" si="728"/>
        <v>VIGENTE</v>
      </c>
      <c r="GA231" s="4"/>
      <c r="GB231" s="4">
        <v>45715</v>
      </c>
      <c r="GC231" s="4">
        <f>DATE(YEAR(GB231)+2,MONTH(GB231),DAY(GB231)-1)</f>
        <v>46444</v>
      </c>
      <c r="GD231" s="6">
        <v>678</v>
      </c>
      <c r="GE231" s="5" t="str">
        <f t="shared" si="729"/>
        <v>VIGENTE</v>
      </c>
      <c r="GF231" s="4"/>
      <c r="GG231" s="4">
        <v>45712</v>
      </c>
      <c r="GH231" s="4">
        <f>DATE(YEAR(GG231)+2,MONTH(GG231),DAY(GG231)-1)</f>
        <v>46441</v>
      </c>
      <c r="GI231" s="8">
        <f ca="1">GH231-TODAY()</f>
        <v>296</v>
      </c>
      <c r="GJ231" s="5" t="str">
        <f ca="1">IF(GI231&gt;=91,"VIGENTE",IF(GI231&gt;=1,"POR VENCER",IF(GI231&lt;=-1,"VENCIDA",IF(GG231=0,"NO APLICA"))))</f>
        <v>VIGENTE</v>
      </c>
      <c r="GK231" s="4"/>
      <c r="GL231" s="4">
        <v>45764</v>
      </c>
      <c r="GM231" s="4">
        <f>DATE(YEAR(GL231)+2,MONTH(GL231),DAY(GL231))</f>
        <v>46494</v>
      </c>
      <c r="GN231" s="8">
        <f ca="1">GM231-TODAY()</f>
        <v>349</v>
      </c>
      <c r="GO231" s="5" t="str">
        <f ca="1">IF(GN231&gt;=61,"VIGENTE",IF(GN231&gt;=1,"POR VENCER",IF(GN231&lt;=-1,"VENCIDA",IF(GL231=0,"NO APLICA"))))</f>
        <v>VIGENTE</v>
      </c>
      <c r="GP231" s="4"/>
      <c r="GQ231" s="6"/>
      <c r="GR231" s="6"/>
      <c r="GS231" s="6"/>
      <c r="GT231" s="5" t="str">
        <f t="shared" si="610"/>
        <v>NO APLICA</v>
      </c>
      <c r="GU231" s="4"/>
      <c r="GV231" s="6"/>
      <c r="GW231" s="6"/>
      <c r="GX231" s="6"/>
      <c r="GY231" s="5" t="str">
        <f t="shared" si="611"/>
        <v>NO APLICA</v>
      </c>
      <c r="GZ231" s="6"/>
      <c r="HA231" s="6"/>
      <c r="HB231" s="6"/>
      <c r="HC231" s="6"/>
      <c r="HD231" s="5" t="str">
        <f t="shared" si="612"/>
        <v>NO APLICA</v>
      </c>
      <c r="HE231" s="6"/>
      <c r="HF231" s="6"/>
      <c r="HG231" s="4"/>
      <c r="HH231" s="8"/>
      <c r="HI231" s="5" t="str">
        <f t="shared" si="698"/>
        <v>NO APLICA</v>
      </c>
      <c r="HJ231" s="6"/>
      <c r="HK231" s="6"/>
      <c r="HL231" s="6"/>
      <c r="HM231" s="6"/>
      <c r="HN231" s="5" t="str">
        <f t="shared" si="694"/>
        <v>NO APLICA</v>
      </c>
      <c r="HO231" s="6"/>
      <c r="HP231" s="6"/>
      <c r="HQ231" s="6"/>
      <c r="HR231" s="6"/>
      <c r="HS231" s="5" t="str">
        <f t="shared" si="732"/>
        <v>NO APLICA</v>
      </c>
      <c r="HT231" s="6"/>
      <c r="HU231" s="6"/>
      <c r="HV231" s="6"/>
      <c r="HW231" s="6"/>
      <c r="HX231" s="5" t="str">
        <f t="shared" si="733"/>
        <v>NO APLICA</v>
      </c>
      <c r="HY231" s="6"/>
      <c r="HZ231" s="6"/>
      <c r="IA231" s="6"/>
      <c r="IB231" s="6"/>
      <c r="IC231" s="5" t="str">
        <f t="shared" si="734"/>
        <v>NO APLICA</v>
      </c>
      <c r="ID231" s="6"/>
      <c r="IE231" s="6"/>
      <c r="IF231" s="6"/>
      <c r="IG231" s="6"/>
      <c r="IH231" s="5" t="str">
        <f t="shared" si="735"/>
        <v>NO APLICA</v>
      </c>
      <c r="II231" s="6"/>
      <c r="IJ231" s="6"/>
      <c r="IK231" s="6"/>
      <c r="IL231" s="6"/>
      <c r="IM231" s="5" t="str">
        <f t="shared" si="736"/>
        <v>NO APLICA</v>
      </c>
      <c r="IN231" s="6"/>
      <c r="IO231" s="6"/>
      <c r="IP231" s="6"/>
      <c r="IQ231" s="6"/>
      <c r="IR231" s="5" t="str">
        <f t="shared" si="737"/>
        <v>NO APLICA</v>
      </c>
      <c r="IS231" s="6"/>
      <c r="IT231" s="6"/>
      <c r="IU231" s="6"/>
      <c r="IV231" s="6"/>
      <c r="IW231" s="5" t="str">
        <f t="shared" si="738"/>
        <v>NO APLICA</v>
      </c>
      <c r="IX231" s="6"/>
      <c r="IY231" s="6"/>
      <c r="IZ231" s="6"/>
      <c r="JA231" s="6"/>
      <c r="JB231" s="5" t="str">
        <f t="shared" si="739"/>
        <v>NO APLICA</v>
      </c>
      <c r="JC231" s="3" t="s">
        <v>780</v>
      </c>
      <c r="JD231" s="6"/>
      <c r="JE231" s="6"/>
      <c r="JF231" s="6"/>
      <c r="JG231" s="5"/>
      <c r="JH231" s="3" t="s">
        <v>780</v>
      </c>
      <c r="JI231" s="6"/>
      <c r="JJ231" s="6"/>
      <c r="JK231" s="6"/>
      <c r="JL231" s="5"/>
      <c r="JM231" s="6" t="s">
        <v>780</v>
      </c>
      <c r="JN231" s="6"/>
      <c r="JO231" s="6"/>
      <c r="JP231" s="6"/>
      <c r="JQ231" s="5"/>
      <c r="JR231" s="6" t="s">
        <v>780</v>
      </c>
      <c r="JS231" s="6"/>
      <c r="JT231" s="6"/>
      <c r="JU231" s="6"/>
      <c r="JV231" s="5"/>
      <c r="JW231" s="6" t="s">
        <v>780</v>
      </c>
      <c r="JX231" s="5"/>
      <c r="JY231" s="5"/>
      <c r="JZ231" s="5"/>
      <c r="KA231" s="5"/>
      <c r="KB231" s="5"/>
      <c r="KC231" s="4">
        <v>45362</v>
      </c>
      <c r="KD231" s="4">
        <f>DATE(YEAR(KC231)+5,MONTH(KC231),DAY(KC231))</f>
        <v>47188</v>
      </c>
      <c r="KE231" s="8">
        <f ca="1">KD231-TODAY()</f>
        <v>1043</v>
      </c>
      <c r="KF231" s="5" t="str">
        <f ca="1">IF(KE231&gt;=61,"VIGENTE",IF(KE231&gt;=1,"POR VENCER",IF(KE231&lt;=-1,"VENCIDA",IF(KC231=0,"NO APLICA"))))</f>
        <v>VIGENTE</v>
      </c>
      <c r="KG231" s="5"/>
      <c r="KH231" s="6"/>
      <c r="KI231" s="6"/>
      <c r="KJ231" s="6"/>
      <c r="KK231" s="5" t="str">
        <f t="shared" si="760"/>
        <v>NO APLICA</v>
      </c>
      <c r="KL231" s="5"/>
      <c r="KM231" s="4">
        <v>45364</v>
      </c>
      <c r="KN231" s="4">
        <f>DATE(YEAR(KM231)+5,MONTH(KM231),DAY(KM231))</f>
        <v>47190</v>
      </c>
      <c r="KO231" s="8">
        <f ca="1">KN231-TODAY()</f>
        <v>1045</v>
      </c>
      <c r="KP231" s="5" t="str">
        <f ca="1">IF(KO231&gt;=61,"VIGENTE",IF(KO231&gt;=1,"POR VENCER",IF(KO231&lt;=-1,"VENCIDA",IF(KM231=0,"NO APLICA"))))</f>
        <v>VIGENTE</v>
      </c>
      <c r="KQ231" s="5"/>
      <c r="KR231" s="4">
        <v>45346</v>
      </c>
      <c r="KS231" s="4">
        <f>DATE(YEAR(KR231)+5,MONTH(KR231),DAY(KR231))</f>
        <v>47173</v>
      </c>
      <c r="KT231" s="8">
        <f ca="1">KS231-TODAY()</f>
        <v>1028</v>
      </c>
      <c r="KU231" s="5" t="str">
        <f ca="1">IF(KT231&gt;=61,"VIGENTE",IF(KT231&gt;=1,"POR VENCER",IF(KT231&lt;=-1,"VENCIDA",IF(KR231=0,"NO APLICA"))))</f>
        <v>VIGENTE</v>
      </c>
      <c r="KV231" s="6"/>
      <c r="KW231" s="6"/>
      <c r="KX231" s="6"/>
      <c r="KY231" s="6"/>
      <c r="KZ231" s="5" t="str">
        <f t="shared" si="767"/>
        <v>NO APLICA</v>
      </c>
      <c r="LA231" s="5"/>
      <c r="LB231" s="4">
        <v>44545</v>
      </c>
      <c r="LC231" s="4">
        <f>DATE(YEAR(LB231)+5,MONTH(LB231),DAY(LB231))</f>
        <v>46371</v>
      </c>
      <c r="LD231" s="8">
        <f ca="1">LC231-TODAY()</f>
        <v>226</v>
      </c>
      <c r="LE231" s="5" t="str">
        <f ca="1">IF(LD231&gt;=61,"VIGENTE",IF(LD231&gt;=1,"POR VENCER",IF(LD231&lt;=-1,"VENCIDA",IF(LB231=0,"NO APLICA"))))</f>
        <v>VIGENTE</v>
      </c>
      <c r="LF231" s="6"/>
      <c r="LG231" s="6"/>
      <c r="LH231" s="6"/>
      <c r="LI231" s="6"/>
      <c r="LJ231" s="5" t="str">
        <f t="shared" si="600"/>
        <v>NO APLICA</v>
      </c>
      <c r="LK231" s="5"/>
      <c r="LL231" s="5"/>
      <c r="LM231" s="4"/>
      <c r="LN231" s="8"/>
      <c r="LO231" s="5" t="str">
        <f t="shared" si="768"/>
        <v>NO APLICA</v>
      </c>
      <c r="LP231" s="6"/>
      <c r="LQ231" s="6"/>
      <c r="LR231" s="6"/>
      <c r="LS231" s="6"/>
      <c r="LT231" s="5" t="str">
        <f t="shared" si="763"/>
        <v>NO APLICA</v>
      </c>
      <c r="LU231" s="6"/>
      <c r="LV231" s="6"/>
      <c r="LW231" s="6"/>
      <c r="LX231" s="6"/>
      <c r="LY231" s="5" t="str">
        <f t="shared" si="764"/>
        <v>NO APLICA</v>
      </c>
      <c r="LZ231" s="6"/>
      <c r="MA231" s="6"/>
      <c r="MB231" s="6"/>
      <c r="MC231" s="6"/>
      <c r="MD231" s="5" t="str">
        <f t="shared" si="765"/>
        <v>NO APLICA</v>
      </c>
      <c r="ME231" s="6"/>
      <c r="MF231" s="6"/>
      <c r="MG231" s="6"/>
      <c r="MH231" s="6"/>
      <c r="MI231" s="5" t="str">
        <f t="shared" si="742"/>
        <v>NO APLICA</v>
      </c>
      <c r="MJ231" s="6"/>
      <c r="MK231" s="6"/>
      <c r="ML231" s="6"/>
      <c r="MM231" s="6"/>
      <c r="MN231" s="5" t="str">
        <f t="shared" si="743"/>
        <v>NO APLICA</v>
      </c>
      <c r="MO231" s="5"/>
      <c r="MP231" s="6"/>
      <c r="MQ231" s="6"/>
      <c r="MR231" s="6"/>
      <c r="MS231" s="5" t="str">
        <f t="shared" si="744"/>
        <v>NO APLICA</v>
      </c>
      <c r="MT231" s="5"/>
      <c r="MU231" s="6"/>
      <c r="MV231" s="6"/>
      <c r="MW231" s="6"/>
      <c r="MX231" s="5" t="str">
        <f t="shared" si="745"/>
        <v>NO APLICA</v>
      </c>
      <c r="MY231" s="6"/>
      <c r="MZ231" s="4">
        <v>44834</v>
      </c>
      <c r="NA231" s="4">
        <f>DATE(YEAR(MZ231)+5,MONTH(MZ231),DAY(MZ231))</f>
        <v>46660</v>
      </c>
      <c r="NB231" s="8">
        <f ca="1">NA231-TODAY()</f>
        <v>515</v>
      </c>
      <c r="NC231" s="5" t="str">
        <f ca="1">IF(NB231&gt;=61,"VIGENTE",IF(NB231&gt;=1,"POR VENCER",IF(NB231&lt;=-1,"VENCIDA",IF(MZ231=0,"NO APLICA"))))</f>
        <v>VIGENTE</v>
      </c>
      <c r="ND231" s="6"/>
      <c r="NE231" s="4">
        <v>44835</v>
      </c>
      <c r="NF231" s="4">
        <f>DATE(YEAR(NE231)+5,MONTH(NE231),DAY(NE231))</f>
        <v>46661</v>
      </c>
      <c r="NG231" s="8">
        <f ca="1">NF231-TODAY()</f>
        <v>516</v>
      </c>
      <c r="NH231" s="5" t="str">
        <f ca="1">IF(NG231&gt;=61,"VIGENTE",IF(NG231&gt;=1,"POR VENCER",IF(NG231&lt;=-1,"VENCIDA",IF(NE231=0,"NO APLICA"))))</f>
        <v>VIGENTE</v>
      </c>
      <c r="NI231" s="4"/>
      <c r="NJ231" s="4">
        <v>44751</v>
      </c>
      <c r="NK231" s="4">
        <f>DATE(YEAR(NJ231)+5,MONTH(NJ231),DAY(NJ231))</f>
        <v>46577</v>
      </c>
      <c r="NL231" s="8">
        <f ca="1">NK231-TODAY()</f>
        <v>432</v>
      </c>
      <c r="NM231" s="5" t="str">
        <f ca="1">IF(NL231&gt;=61,"VIGENTE",IF(NL231&gt;=1,"POR VENCER",IF(NL231&lt;=-1,"VENCIDA",IF(NJ231=0,"NO APLICA"))))</f>
        <v>VIGENTE</v>
      </c>
      <c r="NN231" s="4"/>
      <c r="NO231" s="4">
        <v>45001</v>
      </c>
      <c r="NP231" s="4">
        <f>DATE(YEAR(NO231)+5,MONTH(NO231),DAY(NO231))</f>
        <v>46828</v>
      </c>
      <c r="NQ231" s="8">
        <f ca="1">NP231-TODAY()</f>
        <v>683</v>
      </c>
      <c r="NR231" s="5" t="str">
        <f ca="1">IF(NQ231&gt;=61,"VIGENTE",IF(NQ231&gt;=1,"POR VENCER",IF(NQ231&lt;=-1,"VENCIDA",IF(NO231=0,"NO APLICA"))))</f>
        <v>VIGENTE</v>
      </c>
      <c r="NS231" s="6"/>
      <c r="NT231" s="6"/>
      <c r="NU231" s="6"/>
      <c r="NV231" s="6"/>
      <c r="NW231" s="5" t="str">
        <f t="shared" si="750"/>
        <v>NO APLICA</v>
      </c>
      <c r="NX231" s="6"/>
      <c r="NY231" s="6"/>
      <c r="NZ231" s="6"/>
      <c r="OA231" s="6"/>
      <c r="OB231" s="5" t="str">
        <f t="shared" si="751"/>
        <v>NO APLICA</v>
      </c>
      <c r="OC231" s="6"/>
      <c r="OD231" s="6"/>
      <c r="OE231" s="6"/>
      <c r="OF231" s="6"/>
      <c r="OG231" s="5" t="str">
        <f t="shared" si="752"/>
        <v>NO APLICA</v>
      </c>
      <c r="OH231" s="6"/>
      <c r="OI231" s="6"/>
      <c r="OJ231" s="6"/>
      <c r="OK231" s="6"/>
      <c r="OL231" s="5" t="str">
        <f t="shared" si="753"/>
        <v>NO APLICA</v>
      </c>
      <c r="OM231" s="6"/>
      <c r="ON231" s="6"/>
      <c r="OO231" s="6"/>
      <c r="OP231" s="6"/>
      <c r="OQ231" s="5" t="str">
        <f t="shared" si="754"/>
        <v>NO APLICA</v>
      </c>
      <c r="OR231" s="4"/>
      <c r="OS231" s="4"/>
      <c r="OT231" s="4"/>
      <c r="OU231" s="8"/>
      <c r="OV231" s="5" t="str">
        <f t="shared" si="755"/>
        <v>NO APLICA</v>
      </c>
      <c r="OW231" s="4"/>
      <c r="OX231" s="4">
        <v>44770</v>
      </c>
      <c r="OY231" s="4">
        <f>DATE(YEAR(OX231)+5,MONTH(OX231),DAY(OX231))</f>
        <v>46596</v>
      </c>
      <c r="OZ231" s="8">
        <f ca="1">OY231-TODAY()</f>
        <v>451</v>
      </c>
      <c r="PA231" s="5" t="str">
        <f ca="1">IF(OZ231&gt;=61,"VIGENTE",IF(OZ231&gt;=1,"POR VENCER",IF(OZ231&lt;=-1,"VENCIDA",IF(OX231=0,"NO APLICA"))))</f>
        <v>VIGENTE</v>
      </c>
      <c r="PB231" s="4"/>
      <c r="PC231" s="4">
        <v>45009</v>
      </c>
      <c r="PD231" s="4">
        <f>DATE(YEAR(PC231)+5,MONTH(PC231),DAY(PC231))</f>
        <v>46836</v>
      </c>
      <c r="PE231" s="8">
        <f ca="1">PD231-TODAY()</f>
        <v>691</v>
      </c>
      <c r="PF231" s="5" t="str">
        <f ca="1">IF(PE231&gt;=61,"VIGENTE",IF(PE231&gt;=1,"POR VENCER",IF(PE231&lt;=-1,"VENCIDA",IF(PC231=0,"NO APLICA"))))</f>
        <v>VIGENTE</v>
      </c>
      <c r="PG231" s="4"/>
      <c r="PH231" s="4">
        <v>44979</v>
      </c>
      <c r="PI231" s="4">
        <f>DATE(YEAR(PH231)+5,MONTH(PH231),DAY(PH231))</f>
        <v>46805</v>
      </c>
      <c r="PJ231" s="8">
        <f ca="1">PI231-TODAY()</f>
        <v>660</v>
      </c>
      <c r="PK231" s="5" t="str">
        <f ca="1">IF(PJ231&gt;=61,"VIGENTE",IF(PJ231&gt;=1,"POR VENCER",IF(PJ231&lt;=-1,"VENCIDA",IF(PH231=0,"NO APLICA"))))</f>
        <v>VIGENTE</v>
      </c>
      <c r="PL231" s="5"/>
      <c r="PM231" s="4">
        <v>44627</v>
      </c>
      <c r="PN231" s="4">
        <f>DATE(YEAR(PM231)+5,MONTH(PM231),DAY(PM231))</f>
        <v>46453</v>
      </c>
      <c r="PO231" s="8">
        <f ca="1">PN231-TODAY()</f>
        <v>308</v>
      </c>
      <c r="PP231" s="5" t="str">
        <f ca="1">IF(PO231&gt;=61,"VIGENTE",IF(PO231&gt;=1,"POR VENCER",IF(PO231&lt;=-1,"VENCIDA",IF(PM231=0,"NO APLICA"))))</f>
        <v>VIGENTE</v>
      </c>
      <c r="PQ231" s="4"/>
      <c r="PR231" s="4">
        <v>44981</v>
      </c>
      <c r="PS231" s="4">
        <f>DATE(YEAR(PR231)+5,MONTH(PR231),DAY(PR231))</f>
        <v>46807</v>
      </c>
      <c r="PT231" s="8">
        <f ca="1">PS231-TODAY()</f>
        <v>662</v>
      </c>
      <c r="PU231" s="5" t="str">
        <f ca="1">IF(PT231&gt;=61,"VIGENTE",IF(PT231&gt;=1,"POR VENCER",IF(PT231&lt;=-1,"VENCIDA",IF(PR231=0,"NO APLICA"))))</f>
        <v>VIGENTE</v>
      </c>
      <c r="PV231" s="5"/>
      <c r="PW231" s="6"/>
      <c r="PX231" s="6"/>
      <c r="PY231" s="6"/>
      <c r="PZ231" s="5" t="str">
        <f t="shared" si="759"/>
        <v>NO APLICA</v>
      </c>
    </row>
    <row r="232" spans="1:442" ht="15.6" hidden="1" thickTop="1" thickBot="1" x14ac:dyDescent="0.35">
      <c r="A232" s="26">
        <v>229</v>
      </c>
      <c r="B232" s="31">
        <v>1530</v>
      </c>
      <c r="C232" s="28" t="s">
        <v>680</v>
      </c>
      <c r="D232" s="29" t="s">
        <v>113</v>
      </c>
      <c r="E232" s="30" t="s">
        <v>643</v>
      </c>
      <c r="F232" s="3"/>
      <c r="G232" s="4"/>
      <c r="H232" s="4"/>
      <c r="I232" s="8"/>
      <c r="J232" s="5" t="str">
        <f t="shared" si="696"/>
        <v>NO APLICA</v>
      </c>
      <c r="K232" s="2"/>
      <c r="L232" s="2"/>
      <c r="M232" s="2"/>
      <c r="N232" s="2"/>
      <c r="O232" s="5" t="str">
        <f t="shared" si="699"/>
        <v>NO APLICA</v>
      </c>
      <c r="P232" s="6"/>
      <c r="Q232" s="6"/>
      <c r="R232" s="4"/>
      <c r="S232" s="8"/>
      <c r="T232" s="5" t="str">
        <f t="shared" si="697"/>
        <v>NO APLICA</v>
      </c>
      <c r="U232" s="5"/>
      <c r="V232" s="2"/>
      <c r="W232" s="4"/>
      <c r="X232" s="4"/>
      <c r="Y232" s="8"/>
      <c r="Z232" s="5" t="str">
        <f t="shared" si="605"/>
        <v>NO APLICA</v>
      </c>
      <c r="AA232" s="5"/>
      <c r="AB232" s="2"/>
      <c r="AC232" s="6"/>
      <c r="AD232" s="4"/>
      <c r="AE232" s="8"/>
      <c r="AF232" s="5" t="str">
        <f t="shared" si="700"/>
        <v>NO APLICA</v>
      </c>
      <c r="AG232" s="2"/>
      <c r="AH232" s="4"/>
      <c r="AI232" s="4"/>
      <c r="AJ232" s="8"/>
      <c r="AK232" s="5" t="str">
        <f t="shared" ref="AK232:AK239" si="772">IF(AJ232&gt;=91,"VIGENTE",IF(AJ232&gt;=1,"POR VENCER",IF(AJ232&lt;=-1,"VENCIDA",IF(AH232=0,"NO APLICA"))))</f>
        <v>NO APLICA</v>
      </c>
      <c r="AL232" s="2"/>
      <c r="AM232" s="4"/>
      <c r="AN232" s="4"/>
      <c r="AO232" s="8"/>
      <c r="AP232" s="5" t="str">
        <f t="shared" si="701"/>
        <v>NO APLICA</v>
      </c>
      <c r="AQ232" s="2"/>
      <c r="AR232" s="4"/>
      <c r="AS232" s="4"/>
      <c r="AT232" s="8"/>
      <c r="AU232" s="5" t="str">
        <f t="shared" si="702"/>
        <v>NO APLICA</v>
      </c>
      <c r="AV232" s="2"/>
      <c r="AW232" s="4"/>
      <c r="AX232" s="4"/>
      <c r="AY232" s="8"/>
      <c r="AZ232" s="5" t="str">
        <f t="shared" si="703"/>
        <v>NO APLICA</v>
      </c>
      <c r="BA232" s="3"/>
      <c r="BB232" s="4"/>
      <c r="BC232" s="4"/>
      <c r="BD232" s="8"/>
      <c r="BE232" s="5" t="str">
        <f t="shared" si="704"/>
        <v>NO APLICA</v>
      </c>
      <c r="BF232" s="2"/>
      <c r="BG232" s="4"/>
      <c r="BH232" s="4"/>
      <c r="BI232" s="8"/>
      <c r="BJ232" s="5" t="str">
        <f t="shared" si="705"/>
        <v>NO APLICA</v>
      </c>
      <c r="BK232" s="3"/>
      <c r="BL232" s="4"/>
      <c r="BM232" s="4"/>
      <c r="BN232" s="8"/>
      <c r="BO232" s="5" t="str">
        <f t="shared" si="706"/>
        <v>NO APLICA</v>
      </c>
      <c r="BP232" s="3"/>
      <c r="BQ232" s="39"/>
      <c r="BR232" s="4"/>
      <c r="BS232" s="8"/>
      <c r="BT232" s="5" t="str">
        <f t="shared" si="707"/>
        <v>NO APLICA</v>
      </c>
      <c r="BU232" s="2"/>
      <c r="BV232" s="4"/>
      <c r="BW232" s="4"/>
      <c r="BX232" s="8"/>
      <c r="BY232" s="5" t="str">
        <f t="shared" si="708"/>
        <v>NO APLICA</v>
      </c>
      <c r="BZ232" s="2"/>
      <c r="CA232" s="4"/>
      <c r="CB232" s="4"/>
      <c r="CC232" s="8"/>
      <c r="CD232" s="5" t="str">
        <f t="shared" si="709"/>
        <v>NO APLICA</v>
      </c>
      <c r="CE232" s="6"/>
      <c r="CF232" s="4"/>
      <c r="CG232" s="4"/>
      <c r="CH232" s="8"/>
      <c r="CI232" s="5" t="str">
        <f t="shared" si="770"/>
        <v>NO APLICA</v>
      </c>
      <c r="CJ232" s="6"/>
      <c r="CK232" s="4"/>
      <c r="CL232" s="4"/>
      <c r="CM232" s="8"/>
      <c r="CN232" s="5" t="str">
        <f t="shared" si="710"/>
        <v>NO APLICA</v>
      </c>
      <c r="CO232" s="2"/>
      <c r="CP232" s="39"/>
      <c r="CQ232" s="4"/>
      <c r="CR232" s="8"/>
      <c r="CS232" s="5" t="str">
        <f t="shared" si="711"/>
        <v>NO APLICA</v>
      </c>
      <c r="CT232" s="2"/>
      <c r="CU232" s="4"/>
      <c r="CV232" s="4"/>
      <c r="CW232" s="8"/>
      <c r="CX232" s="5" t="str">
        <f t="shared" si="712"/>
        <v>NO APLICA</v>
      </c>
      <c r="CY232" s="3"/>
      <c r="CZ232" s="4"/>
      <c r="DA232" s="4"/>
      <c r="DB232" s="8"/>
      <c r="DC232" s="5" t="str">
        <f t="shared" si="713"/>
        <v>NO APLICA</v>
      </c>
      <c r="DD232" s="3"/>
      <c r="DE232" s="39"/>
      <c r="DF232" s="4"/>
      <c r="DG232" s="8"/>
      <c r="DH232" s="5" t="str">
        <f t="shared" si="714"/>
        <v>NO APLICA</v>
      </c>
      <c r="DI232" s="2"/>
      <c r="DJ232" s="39"/>
      <c r="DK232" s="4"/>
      <c r="DL232" s="8"/>
      <c r="DM232" s="5" t="str">
        <f t="shared" si="715"/>
        <v>NO APLICA</v>
      </c>
      <c r="DN232" s="3"/>
      <c r="DO232" s="4"/>
      <c r="DP232" s="4"/>
      <c r="DQ232" s="8"/>
      <c r="DR232" s="5" t="str">
        <f t="shared" si="716"/>
        <v>NO APLICA</v>
      </c>
      <c r="DS232" s="2"/>
      <c r="DT232" s="4"/>
      <c r="DU232" s="4"/>
      <c r="DV232" s="8"/>
      <c r="DW232" s="5" t="str">
        <f t="shared" si="717"/>
        <v>NO APLICA</v>
      </c>
      <c r="DX232" s="3"/>
      <c r="DY232" s="4"/>
      <c r="DZ232" s="4"/>
      <c r="EA232" s="8"/>
      <c r="EB232" s="5" t="str">
        <f t="shared" si="718"/>
        <v>NO APLICA</v>
      </c>
      <c r="EC232" s="3"/>
      <c r="ED232" s="39"/>
      <c r="EE232" s="4"/>
      <c r="EF232" s="8"/>
      <c r="EG232" s="5" t="str">
        <f t="shared" si="719"/>
        <v>NO APLICA</v>
      </c>
      <c r="EH232" s="2"/>
      <c r="EI232" s="4"/>
      <c r="EJ232" s="4"/>
      <c r="EK232" s="8"/>
      <c r="EL232" s="5" t="str">
        <f t="shared" si="720"/>
        <v>NO APLICA</v>
      </c>
      <c r="EM232" s="3"/>
      <c r="EN232" s="4"/>
      <c r="EO232" s="4"/>
      <c r="EP232" s="8"/>
      <c r="EQ232" s="5" t="str">
        <f t="shared" si="721"/>
        <v>NO APLICA</v>
      </c>
      <c r="ER232" s="2"/>
      <c r="ES232" s="39"/>
      <c r="ET232" s="4"/>
      <c r="EU232" s="8"/>
      <c r="EV232" s="5" t="str">
        <f t="shared" si="722"/>
        <v>NO APLICA</v>
      </c>
      <c r="EW232" s="2"/>
      <c r="EX232" s="4"/>
      <c r="EY232" s="4"/>
      <c r="EZ232" s="8"/>
      <c r="FA232" s="5" t="str">
        <f t="shared" si="723"/>
        <v>NO APLICA</v>
      </c>
      <c r="FB232" s="2"/>
      <c r="FC232" s="4"/>
      <c r="FD232" s="4"/>
      <c r="FE232" s="8"/>
      <c r="FF232" s="5" t="str">
        <f t="shared" si="724"/>
        <v>NO APLICA</v>
      </c>
      <c r="FG232" s="2"/>
      <c r="FH232" s="4"/>
      <c r="FI232" s="4"/>
      <c r="FJ232" s="8"/>
      <c r="FK232" s="5" t="str">
        <f t="shared" si="725"/>
        <v>NO APLICA</v>
      </c>
      <c r="FL232" s="3"/>
      <c r="FM232" s="39"/>
      <c r="FN232" s="4"/>
      <c r="FO232" s="8"/>
      <c r="FP232" s="5" t="str">
        <f t="shared" si="726"/>
        <v>NO APLICA</v>
      </c>
      <c r="FQ232" s="3"/>
      <c r="FR232" s="39"/>
      <c r="FS232" s="4"/>
      <c r="FT232" s="8"/>
      <c r="FU232" s="5" t="str">
        <f t="shared" si="727"/>
        <v>NO APLICA</v>
      </c>
      <c r="FV232" s="3"/>
      <c r="FW232" s="4"/>
      <c r="FX232" s="4"/>
      <c r="FY232" s="8"/>
      <c r="FZ232" s="5" t="str">
        <f t="shared" si="728"/>
        <v>NO APLICA</v>
      </c>
      <c r="GA232" s="3"/>
      <c r="GB232" s="4"/>
      <c r="GC232" s="4"/>
      <c r="GD232" s="8"/>
      <c r="GE232" s="5" t="str">
        <f t="shared" si="729"/>
        <v>NO APLICA</v>
      </c>
      <c r="GF232" s="3"/>
      <c r="GG232" s="4"/>
      <c r="GH232" s="4"/>
      <c r="GI232" s="8"/>
      <c r="GJ232" s="5" t="str">
        <f t="shared" si="730"/>
        <v>NO APLICA</v>
      </c>
      <c r="GK232" s="3"/>
      <c r="GL232" s="4"/>
      <c r="GM232" s="4"/>
      <c r="GN232" s="8"/>
      <c r="GO232" s="5" t="str">
        <f t="shared" si="731"/>
        <v>NO APLICA</v>
      </c>
      <c r="GP232" s="4"/>
      <c r="GQ232" s="4"/>
      <c r="GR232" s="4"/>
      <c r="GS232" s="8"/>
      <c r="GT232" s="5" t="str">
        <f t="shared" si="610"/>
        <v>NO APLICA</v>
      </c>
      <c r="GU232" s="3"/>
      <c r="GV232" s="4"/>
      <c r="GW232" s="4"/>
      <c r="GX232" s="8"/>
      <c r="GY232" s="5" t="str">
        <f t="shared" si="611"/>
        <v>NO APLICA</v>
      </c>
      <c r="GZ232" s="2"/>
      <c r="HA232" s="4"/>
      <c r="HB232" s="4"/>
      <c r="HC232" s="8"/>
      <c r="HD232" s="5" t="str">
        <f t="shared" si="612"/>
        <v>NO APLICA</v>
      </c>
      <c r="HE232" s="6"/>
      <c r="HF232" s="6"/>
      <c r="HG232" s="4"/>
      <c r="HH232" s="8"/>
      <c r="HI232" s="5" t="str">
        <f t="shared" si="698"/>
        <v>NO APLICA</v>
      </c>
      <c r="HJ232" s="2"/>
      <c r="HK232" s="6"/>
      <c r="HL232" s="4"/>
      <c r="HM232" s="8"/>
      <c r="HN232" s="5" t="str">
        <f t="shared" si="694"/>
        <v>NO APLICA</v>
      </c>
      <c r="HO232" s="2"/>
      <c r="HP232" s="2"/>
      <c r="HQ232" s="4"/>
      <c r="HR232" s="2"/>
      <c r="HS232" s="5" t="str">
        <f t="shared" si="732"/>
        <v>NO APLICA</v>
      </c>
      <c r="HT232" s="2"/>
      <c r="HU232" s="6"/>
      <c r="HV232" s="4"/>
      <c r="HW232" s="8"/>
      <c r="HX232" s="5" t="str">
        <f t="shared" si="733"/>
        <v>NO APLICA</v>
      </c>
      <c r="HY232" s="2"/>
      <c r="HZ232" s="6"/>
      <c r="IA232" s="4"/>
      <c r="IB232" s="8"/>
      <c r="IC232" s="5" t="str">
        <f t="shared" si="734"/>
        <v>NO APLICA</v>
      </c>
      <c r="ID232" s="2"/>
      <c r="IE232" s="6"/>
      <c r="IF232" s="4"/>
      <c r="IG232" s="8"/>
      <c r="IH232" s="5" t="str">
        <f t="shared" si="735"/>
        <v>NO APLICA</v>
      </c>
      <c r="II232" s="6"/>
      <c r="IJ232" s="6"/>
      <c r="IK232" s="4"/>
      <c r="IL232" s="8"/>
      <c r="IM232" s="5" t="str">
        <f t="shared" si="736"/>
        <v>NO APLICA</v>
      </c>
      <c r="IN232" s="2"/>
      <c r="IO232" s="6"/>
      <c r="IP232" s="4"/>
      <c r="IQ232" s="8"/>
      <c r="IR232" s="5" t="str">
        <f t="shared" si="737"/>
        <v>NO APLICA</v>
      </c>
      <c r="IS232" s="2"/>
      <c r="IT232" s="6"/>
      <c r="IU232" s="4"/>
      <c r="IV232" s="8"/>
      <c r="IW232" s="5" t="str">
        <f t="shared" si="738"/>
        <v>NO APLICA</v>
      </c>
      <c r="IX232" s="2"/>
      <c r="IY232" s="6"/>
      <c r="IZ232" s="4"/>
      <c r="JA232" s="8"/>
      <c r="JB232" s="5" t="str">
        <f t="shared" si="739"/>
        <v>NO APLICA</v>
      </c>
      <c r="JC232" s="3" t="s">
        <v>780</v>
      </c>
      <c r="JD232" s="3"/>
      <c r="JE232" s="4"/>
      <c r="JF232" s="8"/>
      <c r="JG232" s="5"/>
      <c r="JH232" s="3" t="s">
        <v>780</v>
      </c>
      <c r="JI232" s="6"/>
      <c r="JJ232" s="6"/>
      <c r="JK232" s="6"/>
      <c r="JL232" s="5"/>
      <c r="JM232" s="6" t="s">
        <v>780</v>
      </c>
      <c r="JN232" s="6"/>
      <c r="JO232" s="6"/>
      <c r="JP232" s="6"/>
      <c r="JQ232" s="5"/>
      <c r="JR232" s="6" t="s">
        <v>780</v>
      </c>
      <c r="JS232" s="6"/>
      <c r="JT232" s="6"/>
      <c r="JU232" s="6"/>
      <c r="JV232" s="5"/>
      <c r="JW232" s="6" t="s">
        <v>780</v>
      </c>
      <c r="JX232" s="5"/>
      <c r="JY232" s="5"/>
      <c r="JZ232" s="5"/>
      <c r="KA232" s="5"/>
      <c r="KB232" s="5"/>
      <c r="KC232" s="2"/>
      <c r="KD232" s="4"/>
      <c r="KE232" s="8"/>
      <c r="KF232" s="5" t="str">
        <f t="shared" si="740"/>
        <v>NO APLICA</v>
      </c>
      <c r="KG232" s="5"/>
      <c r="KH232" s="2"/>
      <c r="KI232" s="4"/>
      <c r="KJ232" s="8"/>
      <c r="KK232" s="5" t="str">
        <f t="shared" si="760"/>
        <v>NO APLICA</v>
      </c>
      <c r="KL232" s="5"/>
      <c r="KM232" s="2"/>
      <c r="KN232" s="4"/>
      <c r="KO232" s="8"/>
      <c r="KP232" s="5" t="str">
        <f t="shared" si="741"/>
        <v>NO APLICA</v>
      </c>
      <c r="KQ232" s="5"/>
      <c r="KR232" s="2"/>
      <c r="KS232" s="4"/>
      <c r="KT232" s="8"/>
      <c r="KU232" s="5" t="str">
        <f t="shared" si="761"/>
        <v>NO APLICA</v>
      </c>
      <c r="KV232" s="2"/>
      <c r="KW232" s="6"/>
      <c r="KX232" s="4"/>
      <c r="KY232" s="8"/>
      <c r="KZ232" s="5" t="str">
        <f t="shared" si="767"/>
        <v>NO APLICA</v>
      </c>
      <c r="LA232" s="5"/>
      <c r="LB232" s="6"/>
      <c r="LC232" s="4"/>
      <c r="LD232" s="8"/>
      <c r="LE232" s="5" t="str">
        <f t="shared" si="762"/>
        <v>NO APLICA</v>
      </c>
      <c r="LF232" s="6"/>
      <c r="LG232" s="6"/>
      <c r="LH232" s="4"/>
      <c r="LI232" s="8"/>
      <c r="LJ232" s="5" t="str">
        <f t="shared" ref="LJ232:LJ240" si="773">IF(LI232&gt;=61,"VIGENTE",IF(LI232&gt;=1,"POR VENCER",IF(LI232&lt;=-1,"VENCIDA",IF(LG232=0,"NO APLICA"))))</f>
        <v>NO APLICA</v>
      </c>
      <c r="LK232" s="5"/>
      <c r="LL232" s="5"/>
      <c r="LM232" s="4"/>
      <c r="LN232" s="8"/>
      <c r="LO232" s="5" t="str">
        <f t="shared" si="768"/>
        <v>NO APLICA</v>
      </c>
      <c r="LP232" s="2"/>
      <c r="LQ232" s="6"/>
      <c r="LR232" s="4"/>
      <c r="LS232" s="8"/>
      <c r="LT232" s="5" t="str">
        <f t="shared" si="763"/>
        <v>NO APLICA</v>
      </c>
      <c r="LU232" s="6"/>
      <c r="LV232" s="6"/>
      <c r="LW232" s="4"/>
      <c r="LX232" s="8"/>
      <c r="LY232" s="5" t="str">
        <f t="shared" si="764"/>
        <v>NO APLICA</v>
      </c>
      <c r="LZ232" s="6"/>
      <c r="MA232" s="6"/>
      <c r="MB232" s="4"/>
      <c r="MC232" s="8"/>
      <c r="MD232" s="5" t="str">
        <f t="shared" si="765"/>
        <v>NO APLICA</v>
      </c>
      <c r="ME232" s="2"/>
      <c r="MF232" s="2"/>
      <c r="MG232" s="4"/>
      <c r="MH232" s="8"/>
      <c r="MI232" s="5" t="str">
        <f t="shared" si="742"/>
        <v>NO APLICA</v>
      </c>
      <c r="MJ232" s="2"/>
      <c r="MK232" s="2"/>
      <c r="ML232" s="4"/>
      <c r="MM232" s="8"/>
      <c r="MN232" s="5" t="str">
        <f t="shared" si="743"/>
        <v>NO APLICA</v>
      </c>
      <c r="MO232" s="5"/>
      <c r="MP232" s="2"/>
      <c r="MQ232" s="4"/>
      <c r="MR232" s="8"/>
      <c r="MS232" s="5" t="str">
        <f t="shared" si="744"/>
        <v>NO APLICA</v>
      </c>
      <c r="MT232" s="5"/>
      <c r="MU232" s="2"/>
      <c r="MV232" s="4"/>
      <c r="MW232" s="2"/>
      <c r="MX232" s="5" t="str">
        <f t="shared" si="745"/>
        <v>NO APLICA</v>
      </c>
      <c r="MY232" s="2"/>
      <c r="MZ232" s="6"/>
      <c r="NA232" s="4"/>
      <c r="NB232" s="8"/>
      <c r="NC232" s="5" t="str">
        <f t="shared" si="746"/>
        <v>NO APLICA</v>
      </c>
      <c r="ND232" s="2"/>
      <c r="NE232" s="6"/>
      <c r="NF232" s="4"/>
      <c r="NG232" s="8"/>
      <c r="NH232" s="5" t="str">
        <f t="shared" si="747"/>
        <v>NO APLICA</v>
      </c>
      <c r="NI232" s="2"/>
      <c r="NJ232" s="6"/>
      <c r="NK232" s="4"/>
      <c r="NL232" s="8"/>
      <c r="NM232" s="5" t="str">
        <f t="shared" si="748"/>
        <v>NO APLICA</v>
      </c>
      <c r="NN232" s="2"/>
      <c r="NO232" s="2"/>
      <c r="NP232" s="4"/>
      <c r="NQ232" s="8"/>
      <c r="NR232" s="5" t="str">
        <f t="shared" si="749"/>
        <v>NO APLICA</v>
      </c>
      <c r="NS232" s="2"/>
      <c r="NT232" s="2"/>
      <c r="NU232" s="4"/>
      <c r="NV232" s="2"/>
      <c r="NW232" s="5" t="str">
        <f t="shared" si="750"/>
        <v>NO APLICA</v>
      </c>
      <c r="NX232" s="6"/>
      <c r="NY232" s="6"/>
      <c r="NZ232" s="4"/>
      <c r="OA232" s="8"/>
      <c r="OB232" s="5" t="str">
        <f t="shared" si="751"/>
        <v>NO APLICA</v>
      </c>
      <c r="OC232" s="6"/>
      <c r="OD232" s="6"/>
      <c r="OE232" s="6"/>
      <c r="OF232" s="6"/>
      <c r="OG232" s="5" t="str">
        <f t="shared" si="752"/>
        <v>NO APLICA</v>
      </c>
      <c r="OH232" s="6"/>
      <c r="OI232" s="6"/>
      <c r="OJ232" s="4"/>
      <c r="OK232" s="8"/>
      <c r="OL232" s="5" t="str">
        <f t="shared" si="753"/>
        <v>NO APLICA</v>
      </c>
      <c r="OM232" s="6"/>
      <c r="ON232" s="6"/>
      <c r="OO232" s="6"/>
      <c r="OP232" s="6"/>
      <c r="OQ232" s="5" t="str">
        <f t="shared" si="754"/>
        <v>NO APLICA</v>
      </c>
      <c r="OR232" s="6"/>
      <c r="OS232" s="6"/>
      <c r="OT232" s="6"/>
      <c r="OU232" s="6"/>
      <c r="OV232" s="5" t="str">
        <f t="shared" si="755"/>
        <v>NO APLICA</v>
      </c>
      <c r="OW232" s="6"/>
      <c r="OX232" s="6"/>
      <c r="OY232" s="6"/>
      <c r="OZ232" s="6"/>
      <c r="PA232" s="5" t="str">
        <f t="shared" si="769"/>
        <v>NO APLICA</v>
      </c>
      <c r="PB232" s="6"/>
      <c r="PC232" s="6"/>
      <c r="PD232" s="6"/>
      <c r="PE232" s="6"/>
      <c r="PF232" s="5" t="str">
        <f t="shared" si="756"/>
        <v>NO APLICA</v>
      </c>
      <c r="PG232" s="6"/>
      <c r="PH232" s="6"/>
      <c r="PI232" s="6"/>
      <c r="PJ232" s="6"/>
      <c r="PK232" s="5" t="str">
        <f t="shared" si="757"/>
        <v>NO APLICA</v>
      </c>
      <c r="PL232" s="5"/>
      <c r="PM232" s="6"/>
      <c r="PN232" s="4"/>
      <c r="PO232" s="8"/>
      <c r="PP232" s="5" t="str">
        <f t="shared" si="766"/>
        <v>NO APLICA</v>
      </c>
      <c r="PQ232" s="6"/>
      <c r="PR232" s="6"/>
      <c r="PS232" s="6"/>
      <c r="PT232" s="6"/>
      <c r="PU232" s="5" t="str">
        <f t="shared" si="758"/>
        <v>NO APLICA</v>
      </c>
      <c r="PV232" s="5"/>
      <c r="PW232" s="6"/>
      <c r="PX232" s="6"/>
      <c r="PY232" s="6"/>
      <c r="PZ232" s="5" t="str">
        <f t="shared" si="759"/>
        <v>NO APLICA</v>
      </c>
    </row>
    <row r="233" spans="1:442" ht="15.6" hidden="1" thickTop="1" thickBot="1" x14ac:dyDescent="0.35">
      <c r="A233" s="26">
        <v>230</v>
      </c>
      <c r="B233" s="31">
        <v>1686</v>
      </c>
      <c r="C233" s="28" t="s">
        <v>681</v>
      </c>
      <c r="D233" s="29" t="s">
        <v>64</v>
      </c>
      <c r="E233" s="30" t="s">
        <v>81</v>
      </c>
      <c r="F233" s="6"/>
      <c r="G233" s="6"/>
      <c r="H233" s="6"/>
      <c r="I233" s="6"/>
      <c r="J233" s="5" t="str">
        <f t="shared" si="696"/>
        <v>NO APLICA</v>
      </c>
      <c r="K233" s="6"/>
      <c r="L233" s="6"/>
      <c r="M233" s="6"/>
      <c r="N233" s="6"/>
      <c r="O233" s="5" t="str">
        <f t="shared" si="699"/>
        <v>NO APLICA</v>
      </c>
      <c r="P233" s="4"/>
      <c r="Q233" s="4">
        <v>45597</v>
      </c>
      <c r="R233" s="6"/>
      <c r="S233" s="6"/>
      <c r="T233" s="5" t="str">
        <f t="shared" si="697"/>
        <v>NO APLICA</v>
      </c>
      <c r="U233" s="5"/>
      <c r="V233" s="6" t="s">
        <v>682</v>
      </c>
      <c r="W233" s="4">
        <v>43880</v>
      </c>
      <c r="X233" s="4"/>
      <c r="Y233" s="8"/>
      <c r="Z233" s="5" t="str">
        <f>IF(Y233&gt;=90,"VIGENTE",IF(Y233&gt;=1,"POR VENCER",IF(Y233&lt;=-1,"VENCIDA",IF(Y233=0,"NO APLICA"))))</f>
        <v>NO APLICA</v>
      </c>
      <c r="AA233" s="5"/>
      <c r="AB233" s="6"/>
      <c r="AC233" s="6"/>
      <c r="AD233" s="6"/>
      <c r="AE233" s="6"/>
      <c r="AF233" s="5" t="str">
        <f t="shared" si="700"/>
        <v>NO APLICA</v>
      </c>
      <c r="AG233" s="4"/>
      <c r="AH233" s="4">
        <v>46085</v>
      </c>
      <c r="AI233" s="4">
        <f>DATE(YEAR(AH233)+2,MONTH(AH233),DAY(AH233))</f>
        <v>46816</v>
      </c>
      <c r="AJ233" s="8">
        <f ca="1">AI233-TODAY()</f>
        <v>671</v>
      </c>
      <c r="AK233" s="5" t="str">
        <f ca="1">IF(AJ233&gt;=91,"VIGENTE",IF(AJ233&gt;=1,"POR VENCER",IF(AJ233&lt;=-1,"VENCIDA",IF(AH233=0,"NO APLICA"))))</f>
        <v>VIGENTE</v>
      </c>
      <c r="AL233" s="4"/>
      <c r="AM233" s="4">
        <v>46062</v>
      </c>
      <c r="AN233" s="4">
        <f>DATE(YEAR(AM233)+2,MONTH(AM233),DAY(AM233))</f>
        <v>46792</v>
      </c>
      <c r="AO233" s="8">
        <f ca="1">AN233-TODAY()</f>
        <v>647</v>
      </c>
      <c r="AP233" s="5" t="str">
        <f ca="1">IF(AO233&gt;=91,"VIGENTE",IF(AO233&gt;=1,"POR VENCER",IF(AO233&lt;=-1,"VENCIDA",IF(AM233=0,"NO APLICA"))))</f>
        <v>VIGENTE</v>
      </c>
      <c r="AQ233" s="4"/>
      <c r="AR233" s="4">
        <v>46048</v>
      </c>
      <c r="AS233" s="4">
        <f>DATE(YEAR(AR233)+2,MONTH(AR233),DAY(AR233))</f>
        <v>46778</v>
      </c>
      <c r="AT233" s="8">
        <f ca="1">AS233-TODAY()</f>
        <v>633</v>
      </c>
      <c r="AU233" s="5" t="str">
        <f ca="1">IF(AT233&gt;=91,"VIGENTE",IF(AT233&gt;=1,"POR VENCER",IF(AT233&lt;=-1,"VENCIDA",IF(AR233=0,"NO APLICA"))))</f>
        <v>VIGENTE</v>
      </c>
      <c r="AV233" s="4"/>
      <c r="AW233" s="4">
        <v>46070</v>
      </c>
      <c r="AX233" s="4">
        <f>DATE(YEAR(AW233)+2,MONTH(AW233),DAY(AW233))</f>
        <v>46800</v>
      </c>
      <c r="AY233" s="8">
        <f ca="1">AX233-TODAY()</f>
        <v>655</v>
      </c>
      <c r="AZ233" s="5" t="str">
        <f ca="1">IF(AY233&gt;=91,"VIGENTE",IF(AY233&gt;=1,"POR VENCER",IF(AY233&lt;=-1,"VENCIDA",IF(AW233=0,"NO APLICA"))))</f>
        <v>VIGENTE</v>
      </c>
      <c r="BA233" s="3"/>
      <c r="BB233" s="4">
        <v>46041</v>
      </c>
      <c r="BC233" s="4">
        <f>DATE(YEAR(BB233)+2,MONTH(BB233),DAY(BB233))</f>
        <v>46771</v>
      </c>
      <c r="BD233" s="8">
        <f ca="1">BC233-TODAY()</f>
        <v>626</v>
      </c>
      <c r="BE233" s="5" t="str">
        <f ca="1">IF(BD233&gt;=91,"VIGENTE",IF(BD233&gt;=1,"POR VENCER",IF(BD233&lt;=-1,"VENCIDA",IF(BB233=0,"NO APLICA"))))</f>
        <v>VIGENTE</v>
      </c>
      <c r="BF233" s="4"/>
      <c r="BG233" s="4">
        <v>46027</v>
      </c>
      <c r="BH233" s="4">
        <f>DATE(YEAR(BG233)+2,MONTH(BG233),DAY(BG233))</f>
        <v>46757</v>
      </c>
      <c r="BI233" s="8">
        <f ca="1">BH233-TODAY()</f>
        <v>612</v>
      </c>
      <c r="BJ233" s="5" t="str">
        <f ca="1">IF(BI233&gt;=91,"VIGENTE",IF(BI233&gt;=1,"POR VENCER",IF(BI233&lt;=-1,"VENCIDA",IF(BG233=0,"NO APLICA"))))</f>
        <v>VIGENTE</v>
      </c>
      <c r="BK233" s="4"/>
      <c r="BL233" s="4">
        <v>46035</v>
      </c>
      <c r="BM233" s="4">
        <f>DATE(YEAR(BL233)+2,MONTH(BL233),DAY(BL233))</f>
        <v>46765</v>
      </c>
      <c r="BN233" s="8">
        <f ca="1">BM233-TODAY()</f>
        <v>620</v>
      </c>
      <c r="BO233" s="5" t="str">
        <f ca="1">IF(BN233&gt;=91,"VIGENTE",IF(BN233&gt;=1,"POR VENCER",IF(BN233&lt;=-1,"VENCIDA",IF(BL233=0,"NO APLICA"))))</f>
        <v>VIGENTE</v>
      </c>
      <c r="BP233" s="4"/>
      <c r="BQ233" s="39">
        <v>46050</v>
      </c>
      <c r="BR233" s="4">
        <f>DATE(YEAR(BQ233)+2,MONTH(BQ233),DAY(BQ233))</f>
        <v>46780</v>
      </c>
      <c r="BS233" s="8">
        <f ca="1">BR233-TODAY()</f>
        <v>635</v>
      </c>
      <c r="BT233" s="5" t="str">
        <f ca="1">IF(BS233&gt;=91,"VIGENTE",IF(BS233&gt;=1,"POR VENCER",IF(BS233&lt;=-1,"VENCIDA",IF(BQ233=0,"NO APLICA"))))</f>
        <v>VIGENTE</v>
      </c>
      <c r="BU233" s="4"/>
      <c r="BV233" s="4">
        <v>46063</v>
      </c>
      <c r="BW233" s="4">
        <f>DATE(YEAR(BV233)+2,MONTH(BV233),DAY(BV233))</f>
        <v>46793</v>
      </c>
      <c r="BX233" s="8">
        <f ca="1">BW233-TODAY()</f>
        <v>648</v>
      </c>
      <c r="BY233" s="5" t="str">
        <f ca="1">IF(BX233&gt;=91,"VIGENTE",IF(BX233&gt;=1,"POR VENCER",IF(BX233&lt;=-1,"VENCIDA",IF(BV233=0,"NO APLICA"))))</f>
        <v>VIGENTE</v>
      </c>
      <c r="BZ233" s="4"/>
      <c r="CA233" s="4">
        <v>45818</v>
      </c>
      <c r="CB233" s="4">
        <f>DATE(YEAR(CA233)+2,MONTH(CA233),DAY(CA233))</f>
        <v>46548</v>
      </c>
      <c r="CC233" s="8">
        <f ca="1">CB233-TODAY()</f>
        <v>403</v>
      </c>
      <c r="CD233" s="5" t="str">
        <f ca="1">IF(CC233&gt;=91,"VIGENTE",IF(CC233&gt;=1,"POR VENCER",IF(CC233&lt;=-1,"VENCIDA",IF(CA233=0,"NO APLICA"))))</f>
        <v>VIGENTE</v>
      </c>
      <c r="CE233" s="6"/>
      <c r="CF233" s="4">
        <v>45126</v>
      </c>
      <c r="CG233" s="4">
        <f>DATE(YEAR(CF233)+4,MONTH(CF233),DAY(CF233))</f>
        <v>46587</v>
      </c>
      <c r="CH233" s="8">
        <f ca="1">CG233-TODAY()</f>
        <v>442</v>
      </c>
      <c r="CI233" s="5" t="str">
        <f ca="1">IF(CH233&gt;=90,"VIGENTE",IF(CH233&gt;=1,"POR VENCER",IF(CH233&lt;=-1,"VENCIDA",IF(CH233=0,"NO APLICA"))))</f>
        <v>VIGENTE</v>
      </c>
      <c r="CJ233" s="4"/>
      <c r="CK233" s="4">
        <v>45787</v>
      </c>
      <c r="CL233" s="4">
        <f>DATE(YEAR(CK233)+2,MONTH(CK233),DAY(CK233)-1)</f>
        <v>46516</v>
      </c>
      <c r="CM233" s="8">
        <f ca="1">CL233-TODAY()</f>
        <v>371</v>
      </c>
      <c r="CN233" s="5" t="str">
        <f ca="1">IF(CM233&gt;=91,"VIGENTE",IF(CM233&gt;=1,"POR VENCER",IF(CM233&lt;=-1,"VENCIDA",IF(CK233=0,"NO APLICA"))))</f>
        <v>VIGENTE</v>
      </c>
      <c r="CO233" s="4"/>
      <c r="CP233" s="39">
        <v>45882</v>
      </c>
      <c r="CQ233" s="4">
        <f>DATE(YEAR(CP233)+2,MONTH(CP233),DAY(CP233))</f>
        <v>46612</v>
      </c>
      <c r="CR233" s="8">
        <f ca="1">CQ233-TODAY()</f>
        <v>467</v>
      </c>
      <c r="CS233" s="5" t="str">
        <f ca="1">IF(CR233&gt;=91,"VIGENTE",IF(CR233&gt;=1,"POR VENCER",IF(CR233&lt;=-1,"VENCIDA",IF(CP233=0,"NO APLICA"))))</f>
        <v>VIGENTE</v>
      </c>
      <c r="CT233" s="4"/>
      <c r="CU233" s="4">
        <v>46043</v>
      </c>
      <c r="CV233" s="4">
        <f>DATE(YEAR(CU233)+2,MONTH(CU233),DAY(CU233))</f>
        <v>46773</v>
      </c>
      <c r="CW233" s="8">
        <f ca="1">CV233-TODAY()</f>
        <v>628</v>
      </c>
      <c r="CX233" s="5" t="str">
        <f ca="1">IF(CW233&gt;=91,"VIGENTE",IF(CW233&gt;=1,"POR VENCER",IF(CW233&lt;=-1,"VENCIDA",IF(CU233=0,"NO APLICA"))))</f>
        <v>VIGENTE</v>
      </c>
      <c r="CY233" s="4"/>
      <c r="CZ233" s="4">
        <v>45835</v>
      </c>
      <c r="DA233" s="4">
        <f>DATE(YEAR(CZ233)+2,MONTH(CZ233),DAY(CZ233))</f>
        <v>46565</v>
      </c>
      <c r="DB233" s="8">
        <f ca="1">DA233-TODAY()</f>
        <v>420</v>
      </c>
      <c r="DC233" s="5" t="str">
        <f ca="1">IF(DB233&gt;=91,"VIGENTE",IF(DB233&gt;=1,"POR VENCER",IF(DB233&lt;=-1,"VENCIDA",IF(CZ233=0,"NO APLICA"))))</f>
        <v>VIGENTE</v>
      </c>
      <c r="DD233" s="4"/>
      <c r="DE233" s="39">
        <v>46045</v>
      </c>
      <c r="DF233" s="4">
        <f>DATE(YEAR(DE233)+2,MONTH(DE233),DAY(DE233))</f>
        <v>46775</v>
      </c>
      <c r="DG233" s="8">
        <f ca="1">DF233-TODAY()</f>
        <v>630</v>
      </c>
      <c r="DH233" s="5" t="str">
        <f ca="1">IF(DG233&gt;=91,"VIGENTE",IF(DG233&gt;=1,"POR VENCER",IF(DG233&lt;=-1,"VENCIDA",IF(DE233=0,"NO APLICA"))))</f>
        <v>VIGENTE</v>
      </c>
      <c r="DI233" s="4"/>
      <c r="DJ233" s="39">
        <v>46029</v>
      </c>
      <c r="DK233" s="4">
        <f>DATE(YEAR(DJ233)+2,MONTH(DJ233),DAY(DJ233))</f>
        <v>46759</v>
      </c>
      <c r="DL233" s="8">
        <f ca="1">DK233-TODAY()</f>
        <v>614</v>
      </c>
      <c r="DM233" s="5" t="str">
        <f ca="1">IF(DL233&gt;=91,"VIGENTE",IF(DL233&gt;=1,"POR VENCER",IF(DL233&lt;=-1,"VENCIDA",IF(DJ233=0,"NO APLICA"))))</f>
        <v>VIGENTE</v>
      </c>
      <c r="DN233" s="4"/>
      <c r="DO233" s="4">
        <v>46046</v>
      </c>
      <c r="DP233" s="4">
        <f>DATE(YEAR(DO233)+2,MONTH(DO233),DAY(DO233))</f>
        <v>46776</v>
      </c>
      <c r="DQ233" s="8">
        <f ca="1">DP233-TODAY()</f>
        <v>631</v>
      </c>
      <c r="DR233" s="5" t="str">
        <f ca="1">IF(DQ233&gt;=91,"VIGENTE",IF(DQ233&gt;=1,"POR VENCER",IF(DQ233&lt;=-1,"VENCIDA",IF(DO233=0,"NO APLICA"))))</f>
        <v>VIGENTE</v>
      </c>
      <c r="DS233" s="4"/>
      <c r="DT233" s="4">
        <v>46053</v>
      </c>
      <c r="DU233" s="4">
        <f>DATE(YEAR(DT233)+2,MONTH(DT233),DAY(DT233))</f>
        <v>46783</v>
      </c>
      <c r="DV233" s="8">
        <f ca="1">DU233-TODAY()</f>
        <v>638</v>
      </c>
      <c r="DW233" s="5" t="str">
        <f ca="1">IF(DV233&gt;=91,"VIGENTE",IF(DV233&gt;=1,"POR VENCER",IF(DV233&lt;=-1,"VENCIDA",IF(DT233=0,"NO APLICA"))))</f>
        <v>VIGENTE</v>
      </c>
      <c r="DX233" s="4"/>
      <c r="DY233" s="4">
        <v>45847</v>
      </c>
      <c r="DZ233" s="4">
        <f>DATE(YEAR(DY233)+2,MONTH(DY233),DAY(DY233))</f>
        <v>46577</v>
      </c>
      <c r="EA233" s="8">
        <f ca="1">DZ233-TODAY()</f>
        <v>432</v>
      </c>
      <c r="EB233" s="5" t="str">
        <f ca="1">IF(EA233&gt;=91,"VIGENTE",IF(EA233&gt;=1,"POR VENCER",IF(EA233&lt;=-1,"VENCIDA",IF(DY233=0,"NO APLICA"))))</f>
        <v>VIGENTE</v>
      </c>
      <c r="EC233" s="4"/>
      <c r="ED233" s="4">
        <v>45829</v>
      </c>
      <c r="EE233" s="4">
        <f>DATE(YEAR(ED233)+2,MONTH(ED233),DAY(ED233))</f>
        <v>46559</v>
      </c>
      <c r="EF233" s="8">
        <f ca="1">EE233-TODAY()</f>
        <v>414</v>
      </c>
      <c r="EG233" s="5" t="str">
        <f ca="1">IF(EF233&gt;=91,"VIGENTE",IF(EF233&gt;=1,"POR VENCER",IF(EF233&lt;=-1,"VENCIDA",IF(ED233=0,"NO APLICA"))))</f>
        <v>VIGENTE</v>
      </c>
      <c r="EH233" s="3"/>
      <c r="EI233" s="3">
        <v>46060</v>
      </c>
      <c r="EJ233" s="4">
        <f t="shared" si="771"/>
        <v>46425</v>
      </c>
      <c r="EK233" s="8">
        <f ca="1">EJ233-TODAY()</f>
        <v>280</v>
      </c>
      <c r="EL233" s="5" t="str">
        <f ca="1">IF(EK233&gt;=91,"VIGENTE",IF(EK233&gt;=1,"POR VENCER",IF(EK233&lt;=-1,"VENCIDA",IF(EI233=0,"NO APLICA"))))</f>
        <v>VIGENTE</v>
      </c>
      <c r="EM233" s="4"/>
      <c r="EN233" s="4"/>
      <c r="EO233" s="4"/>
      <c r="EP233" s="8"/>
      <c r="EQ233" s="5" t="str">
        <f t="shared" si="721"/>
        <v>NO APLICA</v>
      </c>
      <c r="ER233" s="4"/>
      <c r="ES233" s="4"/>
      <c r="ET233" s="4"/>
      <c r="EU233" s="8"/>
      <c r="EV233" s="5" t="str">
        <f t="shared" si="722"/>
        <v>NO APLICA</v>
      </c>
      <c r="EW233" s="4"/>
      <c r="EX233" s="4"/>
      <c r="EY233" s="4"/>
      <c r="EZ233" s="6"/>
      <c r="FA233" s="5" t="str">
        <f t="shared" si="723"/>
        <v>NO APLICA</v>
      </c>
      <c r="FB233" s="4"/>
      <c r="FC233" s="4">
        <v>46091</v>
      </c>
      <c r="FD233" s="4">
        <f>DATE(YEAR(FC233)+2,MONTH(FC233),DAY(FC233))</f>
        <v>46822</v>
      </c>
      <c r="FE233" s="8">
        <f ca="1">FD233-TODAY()</f>
        <v>677</v>
      </c>
      <c r="FF233" s="5" t="str">
        <f ca="1">IF(FE233&gt;=91,"VIGENTE",IF(FE233&gt;=1,"POR VENCER",IF(FE233&lt;=-1,"VENCIDA",IF(FC233=0,"NO APLICA"))))</f>
        <v>VIGENTE</v>
      </c>
      <c r="FG233" s="4"/>
      <c r="FH233" s="4"/>
      <c r="FI233" s="4"/>
      <c r="FJ233" s="6"/>
      <c r="FK233" s="5" t="str">
        <f t="shared" si="725"/>
        <v>NO APLICA</v>
      </c>
      <c r="FL233" s="4"/>
      <c r="FM233" s="39">
        <v>46039</v>
      </c>
      <c r="FN233" s="4">
        <f>DATE(YEAR(FM233)+2,MONTH(FM233),DAY(FM233))</f>
        <v>46769</v>
      </c>
      <c r="FO233" s="8">
        <f ca="1">FN233-TODAY()</f>
        <v>624</v>
      </c>
      <c r="FP233" s="5" t="str">
        <f ca="1">IF(FO233&gt;=91,"VIGENTE",IF(FO233&gt;=1,"POR VENCER",IF(FO233&lt;=-1,"VENCIDA",IF(FM233=0,"NO APLICA"))))</f>
        <v>VIGENTE</v>
      </c>
      <c r="FQ233" s="4"/>
      <c r="FR233" s="4"/>
      <c r="FS233" s="4"/>
      <c r="FT233" s="6"/>
      <c r="FU233" s="5" t="str">
        <f t="shared" si="727"/>
        <v>NO APLICA</v>
      </c>
      <c r="FV233" s="4"/>
      <c r="FW233" s="4"/>
      <c r="FX233" s="4"/>
      <c r="FY233" s="6"/>
      <c r="FZ233" s="5" t="str">
        <f t="shared" si="728"/>
        <v>NO APLICA</v>
      </c>
      <c r="GA233" s="4"/>
      <c r="GB233" s="4">
        <v>46030</v>
      </c>
      <c r="GC233" s="4">
        <f>DATE(YEAR(GB233)+2,MONTH(GB233),DAY(GB233))</f>
        <v>46760</v>
      </c>
      <c r="GD233" s="8">
        <f ca="1">GC233-TODAY()</f>
        <v>615</v>
      </c>
      <c r="GE233" s="5" t="str">
        <f ca="1">IF(GD233&gt;=91,"VIGENTE",IF(GD233&gt;=1,"POR VENCER",IF(GD233&lt;=-1,"VENCIDA",IF(GB233=0,"NO APLICA"))))</f>
        <v>VIGENTE</v>
      </c>
      <c r="GF233" s="4"/>
      <c r="GG233" s="4">
        <v>46036</v>
      </c>
      <c r="GH233" s="4">
        <f>DATE(YEAR(GG233)+2,MONTH(GG233),DAY(GG233))</f>
        <v>46766</v>
      </c>
      <c r="GI233" s="8">
        <f ca="1">GH233-TODAY()</f>
        <v>621</v>
      </c>
      <c r="GJ233" s="5" t="str">
        <f ca="1">IF(GI233&gt;=91,"VIGENTE",IF(GI233&gt;=1,"POR VENCER",IF(GI233&lt;=-1,"VENCIDA",IF(GG233=0,"NO APLICA"))))</f>
        <v>VIGENTE</v>
      </c>
      <c r="GK233" s="4"/>
      <c r="GL233" s="6"/>
      <c r="GM233" s="6"/>
      <c r="GN233" s="6"/>
      <c r="GO233" s="5" t="str">
        <f t="shared" si="731"/>
        <v>NO APLICA</v>
      </c>
      <c r="GP233" s="4"/>
      <c r="GQ233" s="6"/>
      <c r="GR233" s="6"/>
      <c r="GS233" s="6"/>
      <c r="GT233" s="5" t="str">
        <f t="shared" si="610"/>
        <v>NO APLICA</v>
      </c>
      <c r="GU233" s="4"/>
      <c r="GV233" s="6"/>
      <c r="GW233" s="6"/>
      <c r="GX233" s="6"/>
      <c r="GY233" s="5" t="str">
        <f t="shared" si="611"/>
        <v>NO APLICA</v>
      </c>
      <c r="GZ233" s="6"/>
      <c r="HA233" s="6"/>
      <c r="HB233" s="6"/>
      <c r="HC233" s="6"/>
      <c r="HD233" s="5" t="str">
        <f t="shared" si="612"/>
        <v>NO APLICA</v>
      </c>
      <c r="HE233" s="6"/>
      <c r="HF233" s="6"/>
      <c r="HG233" s="4"/>
      <c r="HH233" s="8"/>
      <c r="HI233" s="5" t="str">
        <f t="shared" si="698"/>
        <v>NO APLICA</v>
      </c>
      <c r="HJ233" s="6"/>
      <c r="HK233" s="6"/>
      <c r="HL233" s="6"/>
      <c r="HM233" s="6"/>
      <c r="HN233" s="5" t="str">
        <f t="shared" si="694"/>
        <v>NO APLICA</v>
      </c>
      <c r="HO233" s="6"/>
      <c r="HP233" s="6"/>
      <c r="HQ233" s="6"/>
      <c r="HR233" s="6"/>
      <c r="HS233" s="5" t="str">
        <f t="shared" si="732"/>
        <v>NO APLICA</v>
      </c>
      <c r="HT233" s="6"/>
      <c r="HU233" s="6"/>
      <c r="HV233" s="6"/>
      <c r="HW233" s="6"/>
      <c r="HX233" s="5" t="str">
        <f t="shared" si="733"/>
        <v>NO APLICA</v>
      </c>
      <c r="HY233" s="6"/>
      <c r="HZ233" s="6"/>
      <c r="IA233" s="6"/>
      <c r="IB233" s="6"/>
      <c r="IC233" s="5" t="str">
        <f t="shared" si="734"/>
        <v>NO APLICA</v>
      </c>
      <c r="ID233" s="6"/>
      <c r="IE233" s="6"/>
      <c r="IF233" s="6"/>
      <c r="IG233" s="6"/>
      <c r="IH233" s="5" t="str">
        <f t="shared" si="735"/>
        <v>NO APLICA</v>
      </c>
      <c r="II233" s="6"/>
      <c r="IJ233" s="6"/>
      <c r="IK233" s="6"/>
      <c r="IL233" s="6"/>
      <c r="IM233" s="5" t="str">
        <f t="shared" si="736"/>
        <v>NO APLICA</v>
      </c>
      <c r="IN233" s="6"/>
      <c r="IO233" s="6"/>
      <c r="IP233" s="6"/>
      <c r="IQ233" s="6"/>
      <c r="IR233" s="5" t="str">
        <f t="shared" si="737"/>
        <v>NO APLICA</v>
      </c>
      <c r="IS233" s="6"/>
      <c r="IT233" s="6"/>
      <c r="IU233" s="6"/>
      <c r="IV233" s="6"/>
      <c r="IW233" s="5" t="str">
        <f t="shared" si="738"/>
        <v>NO APLICA</v>
      </c>
      <c r="IX233" s="6"/>
      <c r="IY233" s="6"/>
      <c r="IZ233" s="6"/>
      <c r="JA233" s="6"/>
      <c r="JB233" s="5" t="str">
        <f t="shared" si="739"/>
        <v>NO APLICA</v>
      </c>
      <c r="JC233" s="3" t="s">
        <v>780</v>
      </c>
      <c r="JD233" s="6"/>
      <c r="JE233" s="6"/>
      <c r="JF233" s="6"/>
      <c r="JG233" s="5"/>
      <c r="JH233" s="3" t="s">
        <v>780</v>
      </c>
      <c r="JI233" s="6"/>
      <c r="JJ233" s="6"/>
      <c r="JK233" s="6"/>
      <c r="JL233" s="5"/>
      <c r="JM233" s="6" t="s">
        <v>780</v>
      </c>
      <c r="JN233" s="6"/>
      <c r="JO233" s="6"/>
      <c r="JP233" s="6"/>
      <c r="JQ233" s="5"/>
      <c r="JR233" s="6" t="s">
        <v>780</v>
      </c>
      <c r="JS233" s="6"/>
      <c r="JT233" s="6"/>
      <c r="JU233" s="6"/>
      <c r="JV233" s="5"/>
      <c r="JW233" s="6" t="s">
        <v>780</v>
      </c>
      <c r="JX233" s="5"/>
      <c r="JY233" s="5"/>
      <c r="JZ233" s="5"/>
      <c r="KA233" s="5"/>
      <c r="KB233" s="5"/>
      <c r="KC233" s="6"/>
      <c r="KD233" s="6"/>
      <c r="KE233" s="6"/>
      <c r="KF233" s="5" t="str">
        <f t="shared" si="740"/>
        <v>NO APLICA</v>
      </c>
      <c r="KG233" s="5"/>
      <c r="KH233" s="6"/>
      <c r="KI233" s="6"/>
      <c r="KJ233" s="6"/>
      <c r="KK233" s="5" t="str">
        <f t="shared" si="760"/>
        <v>NO APLICA</v>
      </c>
      <c r="KL233" s="5"/>
      <c r="KM233" s="6"/>
      <c r="KN233" s="6"/>
      <c r="KO233" s="6"/>
      <c r="KP233" s="5" t="str">
        <f t="shared" si="741"/>
        <v>NO APLICA</v>
      </c>
      <c r="KQ233" s="5"/>
      <c r="KR233" s="6"/>
      <c r="KS233" s="6"/>
      <c r="KT233" s="6"/>
      <c r="KU233" s="5" t="str">
        <f t="shared" si="761"/>
        <v>NO APLICA</v>
      </c>
      <c r="KV233" s="6"/>
      <c r="KW233" s="6"/>
      <c r="KX233" s="6"/>
      <c r="KY233" s="6"/>
      <c r="KZ233" s="5" t="str">
        <f t="shared" si="767"/>
        <v>NO APLICA</v>
      </c>
      <c r="LA233" s="5"/>
      <c r="LB233" s="6"/>
      <c r="LC233" s="6"/>
      <c r="LD233" s="6"/>
      <c r="LE233" s="5" t="str">
        <f t="shared" si="762"/>
        <v>NO APLICA</v>
      </c>
      <c r="LF233" s="6"/>
      <c r="LG233" s="6"/>
      <c r="LH233" s="6"/>
      <c r="LI233" s="6"/>
      <c r="LJ233" s="5" t="str">
        <f t="shared" si="773"/>
        <v>NO APLICA</v>
      </c>
      <c r="LK233" s="5"/>
      <c r="LL233" s="5"/>
      <c r="LM233" s="4"/>
      <c r="LN233" s="8"/>
      <c r="LO233" s="5" t="str">
        <f t="shared" si="768"/>
        <v>NO APLICA</v>
      </c>
      <c r="LP233" s="6"/>
      <c r="LQ233" s="6"/>
      <c r="LR233" s="6"/>
      <c r="LS233" s="6"/>
      <c r="LT233" s="5" t="str">
        <f t="shared" si="763"/>
        <v>NO APLICA</v>
      </c>
      <c r="LU233" s="6"/>
      <c r="LV233" s="6"/>
      <c r="LW233" s="6"/>
      <c r="LX233" s="6"/>
      <c r="LY233" s="5" t="str">
        <f t="shared" si="764"/>
        <v>NO APLICA</v>
      </c>
      <c r="LZ233" s="6"/>
      <c r="MA233" s="6"/>
      <c r="MB233" s="6"/>
      <c r="MC233" s="6"/>
      <c r="MD233" s="5" t="str">
        <f t="shared" si="765"/>
        <v>NO APLICA</v>
      </c>
      <c r="ME233" s="6"/>
      <c r="MF233" s="6"/>
      <c r="MG233" s="6"/>
      <c r="MH233" s="6"/>
      <c r="MI233" s="5" t="str">
        <f t="shared" si="742"/>
        <v>NO APLICA</v>
      </c>
      <c r="MJ233" s="6"/>
      <c r="MK233" s="6"/>
      <c r="ML233" s="6"/>
      <c r="MM233" s="6"/>
      <c r="MN233" s="5" t="str">
        <f t="shared" si="743"/>
        <v>NO APLICA</v>
      </c>
      <c r="MO233" s="5"/>
      <c r="MP233" s="6"/>
      <c r="MQ233" s="6"/>
      <c r="MR233" s="6"/>
      <c r="MS233" s="5" t="str">
        <f t="shared" si="744"/>
        <v>NO APLICA</v>
      </c>
      <c r="MT233" s="5"/>
      <c r="MU233" s="6"/>
      <c r="MV233" s="6"/>
      <c r="MW233" s="6"/>
      <c r="MX233" s="5" t="str">
        <f t="shared" si="745"/>
        <v>NO APLICA</v>
      </c>
      <c r="MY233" s="6"/>
      <c r="MZ233" s="6"/>
      <c r="NA233" s="6"/>
      <c r="NB233" s="6"/>
      <c r="NC233" s="5" t="str">
        <f t="shared" si="746"/>
        <v>NO APLICA</v>
      </c>
      <c r="ND233" s="6"/>
      <c r="NE233" s="6"/>
      <c r="NF233" s="6"/>
      <c r="NG233" s="6"/>
      <c r="NH233" s="5" t="str">
        <f t="shared" si="747"/>
        <v>NO APLICA</v>
      </c>
      <c r="NI233" s="6"/>
      <c r="NJ233" s="6"/>
      <c r="NK233" s="6"/>
      <c r="NL233" s="6"/>
      <c r="NM233" s="5" t="str">
        <f t="shared" si="748"/>
        <v>NO APLICA</v>
      </c>
      <c r="NN233" s="6"/>
      <c r="NO233" s="6"/>
      <c r="NP233" s="6"/>
      <c r="NQ233" s="6"/>
      <c r="NR233" s="5" t="str">
        <f t="shared" si="749"/>
        <v>NO APLICA</v>
      </c>
      <c r="NS233" s="6"/>
      <c r="NT233" s="6"/>
      <c r="NU233" s="6"/>
      <c r="NV233" s="6"/>
      <c r="NW233" s="5" t="str">
        <f t="shared" si="750"/>
        <v>NO APLICA</v>
      </c>
      <c r="NX233" s="6"/>
      <c r="NY233" s="6"/>
      <c r="NZ233" s="6"/>
      <c r="OA233" s="6"/>
      <c r="OB233" s="5" t="str">
        <f t="shared" si="751"/>
        <v>NO APLICA</v>
      </c>
      <c r="OC233" s="6"/>
      <c r="OD233" s="6"/>
      <c r="OE233" s="6"/>
      <c r="OF233" s="6"/>
      <c r="OG233" s="5" t="str">
        <f t="shared" si="752"/>
        <v>NO APLICA</v>
      </c>
      <c r="OH233" s="6"/>
      <c r="OI233" s="6"/>
      <c r="OJ233" s="6"/>
      <c r="OK233" s="6"/>
      <c r="OL233" s="5" t="str">
        <f t="shared" si="753"/>
        <v>NO APLICA</v>
      </c>
      <c r="OM233" s="6"/>
      <c r="ON233" s="6"/>
      <c r="OO233" s="6"/>
      <c r="OP233" s="6"/>
      <c r="OQ233" s="5" t="str">
        <f t="shared" si="754"/>
        <v>NO APLICA</v>
      </c>
      <c r="OR233" s="6"/>
      <c r="OS233" s="6"/>
      <c r="OT233" s="6"/>
      <c r="OU233" s="6"/>
      <c r="OV233" s="5" t="str">
        <f t="shared" si="755"/>
        <v>NO APLICA</v>
      </c>
      <c r="OW233" s="6"/>
      <c r="OX233" s="6"/>
      <c r="OY233" s="6"/>
      <c r="OZ233" s="6"/>
      <c r="PA233" s="5" t="str">
        <f t="shared" si="769"/>
        <v>NO APLICA</v>
      </c>
      <c r="PB233" s="6"/>
      <c r="PC233" s="6"/>
      <c r="PD233" s="6"/>
      <c r="PE233" s="6"/>
      <c r="PF233" s="5" t="str">
        <f t="shared" si="756"/>
        <v>NO APLICA</v>
      </c>
      <c r="PG233" s="6"/>
      <c r="PH233" s="6"/>
      <c r="PI233" s="6"/>
      <c r="PJ233" s="6"/>
      <c r="PK233" s="5" t="str">
        <f t="shared" si="757"/>
        <v>NO APLICA</v>
      </c>
      <c r="PL233" s="5"/>
      <c r="PM233" s="6"/>
      <c r="PN233" s="6"/>
      <c r="PO233" s="6"/>
      <c r="PP233" s="5" t="str">
        <f t="shared" si="766"/>
        <v>NO APLICA</v>
      </c>
      <c r="PQ233" s="6"/>
      <c r="PR233" s="6"/>
      <c r="PS233" s="6"/>
      <c r="PT233" s="6"/>
      <c r="PU233" s="5" t="str">
        <f t="shared" si="758"/>
        <v>NO APLICA</v>
      </c>
      <c r="PV233" s="5"/>
      <c r="PW233" s="6"/>
      <c r="PX233" s="6"/>
      <c r="PY233" s="6"/>
      <c r="PZ233" s="5" t="str">
        <f t="shared" si="759"/>
        <v>NO APLICA</v>
      </c>
    </row>
    <row r="234" spans="1:442" ht="15.6" hidden="1" thickTop="1" thickBot="1" x14ac:dyDescent="0.35">
      <c r="A234" s="26">
        <v>231</v>
      </c>
      <c r="B234" s="31">
        <v>382</v>
      </c>
      <c r="C234" s="28" t="s">
        <v>683</v>
      </c>
      <c r="D234" s="29" t="s">
        <v>667</v>
      </c>
      <c r="E234" s="30" t="s">
        <v>684</v>
      </c>
      <c r="F234" s="6"/>
      <c r="G234" s="6"/>
      <c r="H234" s="6"/>
      <c r="I234" s="6"/>
      <c r="J234" s="5" t="str">
        <f t="shared" si="696"/>
        <v>NO APLICA</v>
      </c>
      <c r="K234" s="6"/>
      <c r="L234" s="6"/>
      <c r="M234" s="6"/>
      <c r="N234" s="6"/>
      <c r="O234" s="5" t="str">
        <f t="shared" si="699"/>
        <v>NO APLICA</v>
      </c>
      <c r="P234" s="6"/>
      <c r="Q234" s="6"/>
      <c r="R234" s="6"/>
      <c r="S234" s="6"/>
      <c r="T234" s="5" t="str">
        <f t="shared" si="697"/>
        <v>NO APLICA</v>
      </c>
      <c r="U234" s="5"/>
      <c r="V234" s="6"/>
      <c r="W234" s="4"/>
      <c r="X234" s="4"/>
      <c r="Y234" s="8"/>
      <c r="Z234" s="5" t="str">
        <f>IF(Y234&gt;=90,"VIGENTE",IF(Y234&gt;=1,"POR VENCER",IF(Y234&lt;=-1,"VENCIDA",IF(W234=0,"NO APLICA"))))</f>
        <v>NO APLICA</v>
      </c>
      <c r="AA234" s="5"/>
      <c r="AB234" s="6"/>
      <c r="AC234" s="6"/>
      <c r="AD234" s="6"/>
      <c r="AE234" s="6"/>
      <c r="AF234" s="5" t="str">
        <f t="shared" si="700"/>
        <v>NO APLICA</v>
      </c>
      <c r="AG234" s="4"/>
      <c r="AH234" s="4"/>
      <c r="AI234" s="4"/>
      <c r="AJ234" s="6"/>
      <c r="AK234" s="5" t="str">
        <f t="shared" si="772"/>
        <v>NO APLICA</v>
      </c>
      <c r="AL234" s="4"/>
      <c r="AM234" s="4"/>
      <c r="AN234" s="4"/>
      <c r="AO234" s="6"/>
      <c r="AP234" s="5" t="str">
        <f t="shared" si="701"/>
        <v>NO APLICA</v>
      </c>
      <c r="AQ234" s="4"/>
      <c r="AR234" s="4"/>
      <c r="AS234" s="4"/>
      <c r="AT234" s="6"/>
      <c r="AU234" s="5" t="str">
        <f t="shared" si="702"/>
        <v>NO APLICA</v>
      </c>
      <c r="AV234" s="4"/>
      <c r="AW234" s="4"/>
      <c r="AX234" s="4"/>
      <c r="AY234" s="6"/>
      <c r="AZ234" s="5" t="str">
        <f t="shared" si="703"/>
        <v>NO APLICA</v>
      </c>
      <c r="BA234" s="4"/>
      <c r="BB234" s="4"/>
      <c r="BC234" s="4"/>
      <c r="BD234" s="6"/>
      <c r="BE234" s="5" t="str">
        <f t="shared" si="704"/>
        <v>NO APLICA</v>
      </c>
      <c r="BF234" s="4"/>
      <c r="BG234" s="4"/>
      <c r="BH234" s="4"/>
      <c r="BI234" s="6"/>
      <c r="BJ234" s="5" t="str">
        <f t="shared" si="705"/>
        <v>NO APLICA</v>
      </c>
      <c r="BK234" s="4"/>
      <c r="BL234" s="4"/>
      <c r="BM234" s="4"/>
      <c r="BN234" s="6"/>
      <c r="BO234" s="5" t="str">
        <f t="shared" si="706"/>
        <v>NO APLICA</v>
      </c>
      <c r="BP234" s="4"/>
      <c r="BQ234" s="4"/>
      <c r="BR234" s="4"/>
      <c r="BS234" s="6"/>
      <c r="BT234" s="5" t="str">
        <f t="shared" si="707"/>
        <v>NO APLICA</v>
      </c>
      <c r="BU234" s="4"/>
      <c r="BV234" s="4"/>
      <c r="BW234" s="4"/>
      <c r="BX234" s="6"/>
      <c r="BY234" s="5" t="str">
        <f t="shared" si="708"/>
        <v>NO APLICA</v>
      </c>
      <c r="BZ234" s="4"/>
      <c r="CA234" s="4"/>
      <c r="CB234" s="4"/>
      <c r="CC234" s="6"/>
      <c r="CD234" s="5" t="str">
        <f t="shared" si="709"/>
        <v>NO APLICA</v>
      </c>
      <c r="CE234" s="6"/>
      <c r="CF234" s="6"/>
      <c r="CG234" s="6"/>
      <c r="CH234" s="6"/>
      <c r="CI234" s="5" t="str">
        <f t="shared" si="770"/>
        <v>NO APLICA</v>
      </c>
      <c r="CJ234" s="4"/>
      <c r="CK234" s="4"/>
      <c r="CL234" s="4"/>
      <c r="CM234" s="6"/>
      <c r="CN234" s="5" t="str">
        <f t="shared" si="710"/>
        <v>NO APLICA</v>
      </c>
      <c r="CO234" s="4"/>
      <c r="CP234" s="4"/>
      <c r="CQ234" s="4"/>
      <c r="CR234" s="6"/>
      <c r="CS234" s="5" t="str">
        <f t="shared" si="711"/>
        <v>NO APLICA</v>
      </c>
      <c r="CT234" s="4"/>
      <c r="CU234" s="4"/>
      <c r="CV234" s="4"/>
      <c r="CW234" s="6"/>
      <c r="CX234" s="5" t="str">
        <f t="shared" si="712"/>
        <v>NO APLICA</v>
      </c>
      <c r="CY234" s="4"/>
      <c r="CZ234" s="4"/>
      <c r="DA234" s="4"/>
      <c r="DB234" s="6"/>
      <c r="DC234" s="5" t="str">
        <f t="shared" si="713"/>
        <v>NO APLICA</v>
      </c>
      <c r="DD234" s="4"/>
      <c r="DE234" s="4"/>
      <c r="DF234" s="4"/>
      <c r="DG234" s="6"/>
      <c r="DH234" s="5" t="str">
        <f t="shared" si="714"/>
        <v>NO APLICA</v>
      </c>
      <c r="DI234" s="4"/>
      <c r="DJ234" s="4"/>
      <c r="DK234" s="4"/>
      <c r="DL234" s="6"/>
      <c r="DM234" s="5" t="str">
        <f t="shared" si="715"/>
        <v>NO APLICA</v>
      </c>
      <c r="DN234" s="4"/>
      <c r="DO234" s="4"/>
      <c r="DP234" s="4"/>
      <c r="DQ234" s="6"/>
      <c r="DR234" s="5" t="str">
        <f t="shared" si="716"/>
        <v>NO APLICA</v>
      </c>
      <c r="DS234" s="4"/>
      <c r="DT234" s="4"/>
      <c r="DU234" s="4"/>
      <c r="DV234" s="6"/>
      <c r="DW234" s="5" t="str">
        <f t="shared" si="717"/>
        <v>NO APLICA</v>
      </c>
      <c r="DX234" s="4"/>
      <c r="DY234" s="4"/>
      <c r="DZ234" s="4"/>
      <c r="EA234" s="6"/>
      <c r="EB234" s="5" t="str">
        <f t="shared" si="718"/>
        <v>NO APLICA</v>
      </c>
      <c r="EC234" s="4"/>
      <c r="ED234" s="4"/>
      <c r="EE234" s="4"/>
      <c r="EF234" s="6"/>
      <c r="EG234" s="5" t="str">
        <f t="shared" si="719"/>
        <v>NO APLICA</v>
      </c>
      <c r="EH234" s="4"/>
      <c r="EI234" s="4"/>
      <c r="EJ234" s="4"/>
      <c r="EK234" s="8"/>
      <c r="EL234" s="5" t="str">
        <f t="shared" si="720"/>
        <v>NO APLICA</v>
      </c>
      <c r="EM234" s="4"/>
      <c r="EN234" s="4"/>
      <c r="EO234" s="4"/>
      <c r="EP234" s="8"/>
      <c r="EQ234" s="5" t="str">
        <f t="shared" si="721"/>
        <v>NO APLICA</v>
      </c>
      <c r="ER234" s="4"/>
      <c r="ES234" s="4"/>
      <c r="ET234" s="4"/>
      <c r="EU234" s="8"/>
      <c r="EV234" s="5" t="str">
        <f t="shared" si="722"/>
        <v>NO APLICA</v>
      </c>
      <c r="EW234" s="4"/>
      <c r="EX234" s="4"/>
      <c r="EY234" s="4"/>
      <c r="EZ234" s="6"/>
      <c r="FA234" s="5" t="str">
        <f t="shared" si="723"/>
        <v>NO APLICA</v>
      </c>
      <c r="FB234" s="4"/>
      <c r="FC234" s="4"/>
      <c r="FD234" s="4"/>
      <c r="FE234" s="6"/>
      <c r="FF234" s="5" t="str">
        <f t="shared" si="724"/>
        <v>NO APLICA</v>
      </c>
      <c r="FG234" s="4"/>
      <c r="FH234" s="4"/>
      <c r="FI234" s="4"/>
      <c r="FJ234" s="6"/>
      <c r="FK234" s="5" t="str">
        <f t="shared" si="725"/>
        <v>NO APLICA</v>
      </c>
      <c r="FL234" s="4"/>
      <c r="FM234" s="4"/>
      <c r="FN234" s="4"/>
      <c r="FO234" s="6"/>
      <c r="FP234" s="5" t="str">
        <f t="shared" si="726"/>
        <v>NO APLICA</v>
      </c>
      <c r="FQ234" s="4"/>
      <c r="FR234" s="4"/>
      <c r="FS234" s="4"/>
      <c r="FT234" s="6"/>
      <c r="FU234" s="5" t="str">
        <f t="shared" si="727"/>
        <v>NO APLICA</v>
      </c>
      <c r="FV234" s="4"/>
      <c r="FW234" s="4"/>
      <c r="FX234" s="4"/>
      <c r="FY234" s="6"/>
      <c r="FZ234" s="5" t="str">
        <f t="shared" si="728"/>
        <v>NO APLICA</v>
      </c>
      <c r="GA234" s="4"/>
      <c r="GB234" s="4"/>
      <c r="GC234" s="4"/>
      <c r="GD234" s="6"/>
      <c r="GE234" s="5" t="str">
        <f t="shared" si="729"/>
        <v>NO APLICA</v>
      </c>
      <c r="GF234" s="4"/>
      <c r="GG234" s="4"/>
      <c r="GH234" s="4"/>
      <c r="GI234" s="8"/>
      <c r="GJ234" s="5" t="str">
        <f t="shared" si="730"/>
        <v>NO APLICA</v>
      </c>
      <c r="GK234" s="4"/>
      <c r="GL234" s="6"/>
      <c r="GM234" s="6"/>
      <c r="GN234" s="6"/>
      <c r="GO234" s="5" t="str">
        <f t="shared" si="731"/>
        <v>NO APLICA</v>
      </c>
      <c r="GP234" s="4"/>
      <c r="GQ234" s="6"/>
      <c r="GR234" s="6"/>
      <c r="GS234" s="6"/>
      <c r="GT234" s="5" t="str">
        <f t="shared" si="610"/>
        <v>NO APLICA</v>
      </c>
      <c r="GU234" s="4"/>
      <c r="GV234" s="6"/>
      <c r="GW234" s="6"/>
      <c r="GX234" s="6"/>
      <c r="GY234" s="5" t="str">
        <f t="shared" si="611"/>
        <v>NO APLICA</v>
      </c>
      <c r="GZ234" s="6"/>
      <c r="HA234" s="6"/>
      <c r="HB234" s="6"/>
      <c r="HC234" s="6"/>
      <c r="HD234" s="5" t="str">
        <f t="shared" si="612"/>
        <v>NO APLICA</v>
      </c>
      <c r="HE234" s="6"/>
      <c r="HF234" s="6"/>
      <c r="HG234" s="4"/>
      <c r="HH234" s="8"/>
      <c r="HI234" s="5" t="str">
        <f t="shared" si="698"/>
        <v>NO APLICA</v>
      </c>
      <c r="HJ234" s="6"/>
      <c r="HK234" s="6"/>
      <c r="HL234" s="6"/>
      <c r="HM234" s="6"/>
      <c r="HN234" s="5" t="str">
        <f t="shared" si="694"/>
        <v>NO APLICA</v>
      </c>
      <c r="HO234" s="6"/>
      <c r="HP234" s="6"/>
      <c r="HQ234" s="6"/>
      <c r="HR234" s="6"/>
      <c r="HS234" s="5" t="str">
        <f t="shared" si="732"/>
        <v>NO APLICA</v>
      </c>
      <c r="HT234" s="6"/>
      <c r="HU234" s="6"/>
      <c r="HV234" s="6"/>
      <c r="HW234" s="6"/>
      <c r="HX234" s="5" t="str">
        <f t="shared" si="733"/>
        <v>NO APLICA</v>
      </c>
      <c r="HY234" s="6"/>
      <c r="HZ234" s="6"/>
      <c r="IA234" s="6"/>
      <c r="IB234" s="6"/>
      <c r="IC234" s="5" t="str">
        <f t="shared" si="734"/>
        <v>NO APLICA</v>
      </c>
      <c r="ID234" s="6"/>
      <c r="IE234" s="6"/>
      <c r="IF234" s="6"/>
      <c r="IG234" s="6"/>
      <c r="IH234" s="5" t="str">
        <f t="shared" si="735"/>
        <v>NO APLICA</v>
      </c>
      <c r="II234" s="6"/>
      <c r="IJ234" s="6"/>
      <c r="IK234" s="6"/>
      <c r="IL234" s="6"/>
      <c r="IM234" s="5" t="str">
        <f t="shared" si="736"/>
        <v>NO APLICA</v>
      </c>
      <c r="IN234" s="6"/>
      <c r="IO234" s="6"/>
      <c r="IP234" s="6"/>
      <c r="IQ234" s="6"/>
      <c r="IR234" s="5" t="str">
        <f t="shared" si="737"/>
        <v>NO APLICA</v>
      </c>
      <c r="IS234" s="6"/>
      <c r="IT234" s="6"/>
      <c r="IU234" s="6"/>
      <c r="IV234" s="6"/>
      <c r="IW234" s="5" t="str">
        <f t="shared" si="738"/>
        <v>NO APLICA</v>
      </c>
      <c r="IX234" s="6"/>
      <c r="IY234" s="6"/>
      <c r="IZ234" s="6"/>
      <c r="JA234" s="6"/>
      <c r="JB234" s="5" t="str">
        <f t="shared" si="739"/>
        <v>NO APLICA</v>
      </c>
      <c r="JC234" s="3" t="s">
        <v>780</v>
      </c>
      <c r="JD234" s="10"/>
      <c r="JE234" s="4"/>
      <c r="JF234" s="8"/>
      <c r="JG234" s="5"/>
      <c r="JH234" s="3" t="s">
        <v>780</v>
      </c>
      <c r="JI234" s="10"/>
      <c r="JJ234" s="4"/>
      <c r="JK234" s="8"/>
      <c r="JL234" s="5"/>
      <c r="JM234" s="6" t="s">
        <v>780</v>
      </c>
      <c r="JN234" s="6"/>
      <c r="JO234" s="6"/>
      <c r="JP234" s="6"/>
      <c r="JQ234" s="5"/>
      <c r="JR234" s="6" t="s">
        <v>780</v>
      </c>
      <c r="JS234" s="10"/>
      <c r="JT234" s="4"/>
      <c r="JU234" s="8"/>
      <c r="JV234" s="5"/>
      <c r="JW234" s="6" t="s">
        <v>780</v>
      </c>
      <c r="JX234" s="25"/>
      <c r="JY234" s="4"/>
      <c r="JZ234" s="8"/>
      <c r="KA234" s="5"/>
      <c r="KB234" s="5"/>
      <c r="KC234" s="6"/>
      <c r="KD234" s="6"/>
      <c r="KE234" s="6"/>
      <c r="KF234" s="5" t="str">
        <f t="shared" si="740"/>
        <v>NO APLICA</v>
      </c>
      <c r="KG234" s="5"/>
      <c r="KH234" s="6"/>
      <c r="KI234" s="6"/>
      <c r="KJ234" s="6"/>
      <c r="KK234" s="5" t="str">
        <f t="shared" si="760"/>
        <v>NO APLICA</v>
      </c>
      <c r="KL234" s="5"/>
      <c r="KM234" s="6"/>
      <c r="KN234" s="6"/>
      <c r="KO234" s="6"/>
      <c r="KP234" s="5" t="str">
        <f t="shared" si="741"/>
        <v>NO APLICA</v>
      </c>
      <c r="KQ234" s="5"/>
      <c r="KR234" s="6"/>
      <c r="KS234" s="6"/>
      <c r="KT234" s="6"/>
      <c r="KU234" s="5" t="str">
        <f t="shared" si="761"/>
        <v>NO APLICA</v>
      </c>
      <c r="KV234" s="6"/>
      <c r="KW234" s="6"/>
      <c r="KX234" s="6"/>
      <c r="KY234" s="6"/>
      <c r="KZ234" s="5" t="str">
        <f t="shared" si="767"/>
        <v>NO APLICA</v>
      </c>
      <c r="LA234" s="5"/>
      <c r="LB234" s="6"/>
      <c r="LC234" s="6"/>
      <c r="LD234" s="6"/>
      <c r="LE234" s="5" t="str">
        <f t="shared" si="762"/>
        <v>NO APLICA</v>
      </c>
      <c r="LF234" s="6"/>
      <c r="LG234" s="6"/>
      <c r="LH234" s="6"/>
      <c r="LI234" s="6"/>
      <c r="LJ234" s="5" t="str">
        <f t="shared" si="773"/>
        <v>NO APLICA</v>
      </c>
      <c r="LK234" s="5"/>
      <c r="LL234" s="5"/>
      <c r="LM234" s="4"/>
      <c r="LN234" s="8"/>
      <c r="LO234" s="5" t="str">
        <f t="shared" si="768"/>
        <v>NO APLICA</v>
      </c>
      <c r="LP234" s="6"/>
      <c r="LQ234" s="6"/>
      <c r="LR234" s="6"/>
      <c r="LS234" s="6"/>
      <c r="LT234" s="5" t="str">
        <f t="shared" si="763"/>
        <v>NO APLICA</v>
      </c>
      <c r="LU234" s="6"/>
      <c r="LV234" s="6"/>
      <c r="LW234" s="6"/>
      <c r="LX234" s="6"/>
      <c r="LY234" s="5" t="str">
        <f t="shared" si="764"/>
        <v>NO APLICA</v>
      </c>
      <c r="LZ234" s="6"/>
      <c r="MA234" s="6"/>
      <c r="MB234" s="6"/>
      <c r="MC234" s="6"/>
      <c r="MD234" s="5" t="str">
        <f t="shared" si="765"/>
        <v>NO APLICA</v>
      </c>
      <c r="ME234" s="6"/>
      <c r="MF234" s="6"/>
      <c r="MG234" s="6"/>
      <c r="MH234" s="6"/>
      <c r="MI234" s="5" t="str">
        <f t="shared" si="742"/>
        <v>NO APLICA</v>
      </c>
      <c r="MJ234" s="6"/>
      <c r="MK234" s="6"/>
      <c r="ML234" s="6"/>
      <c r="MM234" s="6"/>
      <c r="MN234" s="5" t="str">
        <f t="shared" si="743"/>
        <v>NO APLICA</v>
      </c>
      <c r="MO234" s="5"/>
      <c r="MP234" s="6"/>
      <c r="MQ234" s="6"/>
      <c r="MR234" s="6"/>
      <c r="MS234" s="5" t="str">
        <f t="shared" si="744"/>
        <v>NO APLICA</v>
      </c>
      <c r="MT234" s="5"/>
      <c r="MU234" s="6"/>
      <c r="MV234" s="6"/>
      <c r="MW234" s="6"/>
      <c r="MX234" s="5" t="str">
        <f t="shared" si="745"/>
        <v>NO APLICA</v>
      </c>
      <c r="MY234" s="6"/>
      <c r="MZ234" s="6"/>
      <c r="NA234" s="6"/>
      <c r="NB234" s="6"/>
      <c r="NC234" s="5" t="str">
        <f t="shared" si="746"/>
        <v>NO APLICA</v>
      </c>
      <c r="ND234" s="6"/>
      <c r="NE234" s="6"/>
      <c r="NF234" s="6"/>
      <c r="NG234" s="6"/>
      <c r="NH234" s="5" t="str">
        <f t="shared" si="747"/>
        <v>NO APLICA</v>
      </c>
      <c r="NI234" s="6"/>
      <c r="NJ234" s="6"/>
      <c r="NK234" s="6"/>
      <c r="NL234" s="6"/>
      <c r="NM234" s="5" t="str">
        <f t="shared" si="748"/>
        <v>NO APLICA</v>
      </c>
      <c r="NN234" s="6"/>
      <c r="NO234" s="6"/>
      <c r="NP234" s="6"/>
      <c r="NQ234" s="6"/>
      <c r="NR234" s="5" t="str">
        <f t="shared" si="749"/>
        <v>NO APLICA</v>
      </c>
      <c r="NS234" s="6"/>
      <c r="NT234" s="6"/>
      <c r="NU234" s="6"/>
      <c r="NV234" s="6"/>
      <c r="NW234" s="5" t="str">
        <f t="shared" si="750"/>
        <v>NO APLICA</v>
      </c>
      <c r="NX234" s="6"/>
      <c r="NY234" s="6"/>
      <c r="NZ234" s="6"/>
      <c r="OA234" s="6"/>
      <c r="OB234" s="5" t="str">
        <f t="shared" si="751"/>
        <v>NO APLICA</v>
      </c>
      <c r="OC234" s="6"/>
      <c r="OD234" s="6"/>
      <c r="OE234" s="6"/>
      <c r="OF234" s="6"/>
      <c r="OG234" s="5" t="str">
        <f t="shared" si="752"/>
        <v>NO APLICA</v>
      </c>
      <c r="OH234" s="6"/>
      <c r="OI234" s="6"/>
      <c r="OJ234" s="6"/>
      <c r="OK234" s="6"/>
      <c r="OL234" s="5" t="str">
        <f t="shared" si="753"/>
        <v>NO APLICA</v>
      </c>
      <c r="OM234" s="6"/>
      <c r="ON234" s="6"/>
      <c r="OO234" s="6"/>
      <c r="OP234" s="6"/>
      <c r="OQ234" s="5" t="str">
        <f t="shared" si="754"/>
        <v>NO APLICA</v>
      </c>
      <c r="OR234" s="6"/>
      <c r="OS234" s="6"/>
      <c r="OT234" s="6"/>
      <c r="OU234" s="6"/>
      <c r="OV234" s="5" t="str">
        <f t="shared" si="755"/>
        <v>NO APLICA</v>
      </c>
      <c r="OW234" s="6"/>
      <c r="OX234" s="6"/>
      <c r="OY234" s="6"/>
      <c r="OZ234" s="6"/>
      <c r="PA234" s="5" t="str">
        <f t="shared" si="769"/>
        <v>NO APLICA</v>
      </c>
      <c r="PB234" s="6"/>
      <c r="PC234" s="6"/>
      <c r="PD234" s="6"/>
      <c r="PE234" s="6"/>
      <c r="PF234" s="5" t="str">
        <f t="shared" si="756"/>
        <v>NO APLICA</v>
      </c>
      <c r="PG234" s="6"/>
      <c r="PH234" s="6"/>
      <c r="PI234" s="6"/>
      <c r="PJ234" s="6"/>
      <c r="PK234" s="5" t="str">
        <f t="shared" si="757"/>
        <v>NO APLICA</v>
      </c>
      <c r="PL234" s="5"/>
      <c r="PM234" s="4">
        <v>44627</v>
      </c>
      <c r="PN234" s="4">
        <f>DATE(YEAR(PM234)+5,MONTH(PM234),DAY(PM234))</f>
        <v>46453</v>
      </c>
      <c r="PO234" s="8">
        <f ca="1">PN234-TODAY()</f>
        <v>308</v>
      </c>
      <c r="PP234" s="5" t="str">
        <f ca="1">IF(PO234&gt;=61,"VIGENTE",IF(PO234&gt;=1,"POR VENCER",IF(PO234&lt;=-1,"VENCIDA",IF(PM234=0,"NO APLICA"))))</f>
        <v>VIGENTE</v>
      </c>
      <c r="PQ234" s="6"/>
      <c r="PR234" s="6"/>
      <c r="PS234" s="6"/>
      <c r="PT234" s="6"/>
      <c r="PU234" s="5" t="str">
        <f t="shared" si="758"/>
        <v>NO APLICA</v>
      </c>
      <c r="PV234" s="5"/>
      <c r="PW234" s="6"/>
      <c r="PX234" s="6"/>
      <c r="PY234" s="6"/>
      <c r="PZ234" s="5" t="str">
        <f t="shared" si="759"/>
        <v>NO APLICA</v>
      </c>
    </row>
    <row r="235" spans="1:442" ht="15.6" hidden="1" thickTop="1" thickBot="1" x14ac:dyDescent="0.35">
      <c r="A235" s="26">
        <v>232</v>
      </c>
      <c r="B235" s="27">
        <v>1575</v>
      </c>
      <c r="C235" s="28" t="s">
        <v>685</v>
      </c>
      <c r="D235" s="29" t="s">
        <v>609</v>
      </c>
      <c r="E235" s="30" t="s">
        <v>778</v>
      </c>
      <c r="F235" s="6"/>
      <c r="G235" s="6"/>
      <c r="H235" s="6"/>
      <c r="I235" s="6"/>
      <c r="J235" s="5" t="str">
        <f t="shared" si="696"/>
        <v>NO APLICA</v>
      </c>
      <c r="K235" s="6"/>
      <c r="L235" s="6"/>
      <c r="M235" s="6"/>
      <c r="N235" s="6"/>
      <c r="O235" s="5" t="str">
        <f t="shared" si="699"/>
        <v>NO APLICA</v>
      </c>
      <c r="P235" s="6"/>
      <c r="Q235" s="6"/>
      <c r="R235" s="6"/>
      <c r="S235" s="6"/>
      <c r="T235" s="5" t="str">
        <f t="shared" si="697"/>
        <v>NO APLICA</v>
      </c>
      <c r="U235" s="5"/>
      <c r="V235" s="6"/>
      <c r="W235" s="4"/>
      <c r="X235" s="4"/>
      <c r="Y235" s="8"/>
      <c r="Z235" s="5" t="str">
        <f>IF(Y235&gt;=90,"VIGENTE",IF(Y235&gt;=1,"POR VENCER",IF(Y235&lt;=-1,"VENCIDA",IF(W235=0,"NO APLICA"))))</f>
        <v>NO APLICA</v>
      </c>
      <c r="AA235" s="5"/>
      <c r="AB235" s="2"/>
      <c r="AC235" s="2"/>
      <c r="AD235" s="2"/>
      <c r="AE235" s="2"/>
      <c r="AF235" s="5" t="str">
        <f t="shared" si="700"/>
        <v>NO APLICA</v>
      </c>
      <c r="AG235" s="4"/>
      <c r="AH235" s="4"/>
      <c r="AI235" s="4"/>
      <c r="AJ235" s="6"/>
      <c r="AK235" s="5" t="str">
        <f t="shared" si="772"/>
        <v>NO APLICA</v>
      </c>
      <c r="AL235" s="4"/>
      <c r="AM235" s="4"/>
      <c r="AN235" s="4"/>
      <c r="AO235" s="8"/>
      <c r="AP235" s="5" t="str">
        <f t="shared" si="701"/>
        <v>NO APLICA</v>
      </c>
      <c r="AQ235" s="4"/>
      <c r="AR235" s="4"/>
      <c r="AS235" s="4"/>
      <c r="AT235" s="8"/>
      <c r="AU235" s="5" t="str">
        <f t="shared" si="702"/>
        <v>NO APLICA</v>
      </c>
      <c r="AV235" s="4"/>
      <c r="AW235" s="4"/>
      <c r="AX235" s="4"/>
      <c r="AY235" s="8"/>
      <c r="AZ235" s="5" t="str">
        <f t="shared" si="703"/>
        <v>NO APLICA</v>
      </c>
      <c r="BA235" s="4"/>
      <c r="BB235" s="4"/>
      <c r="BC235" s="4"/>
      <c r="BD235" s="8"/>
      <c r="BE235" s="5" t="str">
        <f t="shared" si="704"/>
        <v>NO APLICA</v>
      </c>
      <c r="BF235" s="4"/>
      <c r="BG235" s="4"/>
      <c r="BH235" s="4"/>
      <c r="BI235" s="8"/>
      <c r="BJ235" s="5" t="str">
        <f t="shared" si="705"/>
        <v>NO APLICA</v>
      </c>
      <c r="BK235" s="4"/>
      <c r="BL235" s="4"/>
      <c r="BM235" s="4"/>
      <c r="BN235" s="8"/>
      <c r="BO235" s="5" t="str">
        <f t="shared" si="706"/>
        <v>NO APLICA</v>
      </c>
      <c r="BP235" s="4"/>
      <c r="BQ235" s="4"/>
      <c r="BR235" s="4"/>
      <c r="BS235" s="8"/>
      <c r="BT235" s="5" t="str">
        <f t="shared" si="707"/>
        <v>NO APLICA</v>
      </c>
      <c r="BU235" s="4"/>
      <c r="BV235" s="4"/>
      <c r="BW235" s="4"/>
      <c r="BX235" s="8"/>
      <c r="BY235" s="5" t="str">
        <f t="shared" si="708"/>
        <v>NO APLICA</v>
      </c>
      <c r="BZ235" s="4"/>
      <c r="CA235" s="4"/>
      <c r="CB235" s="4"/>
      <c r="CC235" s="8"/>
      <c r="CD235" s="5" t="str">
        <f t="shared" si="709"/>
        <v>NO APLICA</v>
      </c>
      <c r="CE235" s="2"/>
      <c r="CF235" s="2"/>
      <c r="CG235" s="2"/>
      <c r="CH235" s="2"/>
      <c r="CI235" s="5" t="str">
        <f t="shared" si="770"/>
        <v>NO APLICA</v>
      </c>
      <c r="CJ235" s="4"/>
      <c r="CK235" s="4"/>
      <c r="CL235" s="4"/>
      <c r="CM235" s="8"/>
      <c r="CN235" s="5" t="str">
        <f t="shared" si="710"/>
        <v>NO APLICA</v>
      </c>
      <c r="CO235" s="4"/>
      <c r="CP235" s="4"/>
      <c r="CQ235" s="4"/>
      <c r="CR235" s="8"/>
      <c r="CS235" s="5" t="str">
        <f t="shared" si="711"/>
        <v>NO APLICA</v>
      </c>
      <c r="CT235" s="4"/>
      <c r="CU235" s="4"/>
      <c r="CV235" s="4"/>
      <c r="CW235" s="8"/>
      <c r="CX235" s="5" t="str">
        <f t="shared" si="712"/>
        <v>NO APLICA</v>
      </c>
      <c r="CY235" s="4"/>
      <c r="CZ235" s="4"/>
      <c r="DA235" s="4"/>
      <c r="DB235" s="8"/>
      <c r="DC235" s="5" t="str">
        <f t="shared" si="713"/>
        <v>NO APLICA</v>
      </c>
      <c r="DD235" s="4"/>
      <c r="DE235" s="4"/>
      <c r="DF235" s="4"/>
      <c r="DG235" s="8"/>
      <c r="DH235" s="5" t="str">
        <f t="shared" si="714"/>
        <v>NO APLICA</v>
      </c>
      <c r="DI235" s="4"/>
      <c r="DJ235" s="4"/>
      <c r="DK235" s="4"/>
      <c r="DL235" s="8"/>
      <c r="DM235" s="5" t="str">
        <f t="shared" si="715"/>
        <v>NO APLICA</v>
      </c>
      <c r="DN235" s="4"/>
      <c r="DO235" s="4"/>
      <c r="DP235" s="4"/>
      <c r="DQ235" s="8"/>
      <c r="DR235" s="5" t="str">
        <f t="shared" si="716"/>
        <v>NO APLICA</v>
      </c>
      <c r="DS235" s="4"/>
      <c r="DT235" s="4"/>
      <c r="DU235" s="4"/>
      <c r="DV235" s="8"/>
      <c r="DW235" s="5" t="str">
        <f t="shared" si="717"/>
        <v>NO APLICA</v>
      </c>
      <c r="DX235" s="4"/>
      <c r="DY235" s="4"/>
      <c r="DZ235" s="4"/>
      <c r="EA235" s="8"/>
      <c r="EB235" s="5" t="str">
        <f t="shared" si="718"/>
        <v>NO APLICA</v>
      </c>
      <c r="EC235" s="4"/>
      <c r="ED235" s="4"/>
      <c r="EE235" s="4"/>
      <c r="EF235" s="8"/>
      <c r="EG235" s="5" t="str">
        <f t="shared" si="719"/>
        <v>NO APLICA</v>
      </c>
      <c r="EH235" s="4"/>
      <c r="EI235" s="4"/>
      <c r="EJ235" s="4"/>
      <c r="EK235" s="8"/>
      <c r="EL235" s="5" t="str">
        <f t="shared" si="720"/>
        <v>NO APLICA</v>
      </c>
      <c r="EM235" s="4"/>
      <c r="EN235" s="6"/>
      <c r="EO235" s="4"/>
      <c r="EP235" s="8"/>
      <c r="EQ235" s="5" t="str">
        <f t="shared" si="721"/>
        <v>NO APLICA</v>
      </c>
      <c r="ER235" s="4"/>
      <c r="ES235" s="4"/>
      <c r="ET235" s="4"/>
      <c r="EU235" s="8"/>
      <c r="EV235" s="5" t="str">
        <f t="shared" si="722"/>
        <v>NO APLICA</v>
      </c>
      <c r="EW235" s="4"/>
      <c r="EX235" s="4"/>
      <c r="EY235" s="4"/>
      <c r="EZ235" s="8"/>
      <c r="FA235" s="5" t="str">
        <f t="shared" si="723"/>
        <v>NO APLICA</v>
      </c>
      <c r="FB235" s="4"/>
      <c r="FC235" s="4"/>
      <c r="FD235" s="4"/>
      <c r="FE235" s="8"/>
      <c r="FF235" s="5" t="str">
        <f t="shared" si="724"/>
        <v>NO APLICA</v>
      </c>
      <c r="FG235" s="4"/>
      <c r="FH235" s="4"/>
      <c r="FI235" s="4"/>
      <c r="FJ235" s="8"/>
      <c r="FK235" s="5" t="str">
        <f t="shared" si="725"/>
        <v>NO APLICA</v>
      </c>
      <c r="FL235" s="4"/>
      <c r="FM235" s="4"/>
      <c r="FN235" s="4"/>
      <c r="FO235" s="8"/>
      <c r="FP235" s="5" t="str">
        <f t="shared" si="726"/>
        <v>NO APLICA</v>
      </c>
      <c r="FQ235" s="4"/>
      <c r="FR235" s="4"/>
      <c r="FS235" s="4"/>
      <c r="FT235" s="8"/>
      <c r="FU235" s="5" t="str">
        <f t="shared" si="727"/>
        <v>NO APLICA</v>
      </c>
      <c r="FV235" s="4"/>
      <c r="FW235" s="4"/>
      <c r="FX235" s="4"/>
      <c r="FY235" s="8"/>
      <c r="FZ235" s="5" t="str">
        <f t="shared" si="728"/>
        <v>NO APLICA</v>
      </c>
      <c r="GA235" s="4"/>
      <c r="GB235" s="4"/>
      <c r="GC235" s="4"/>
      <c r="GD235" s="8"/>
      <c r="GE235" s="5" t="str">
        <f t="shared" si="729"/>
        <v>NO APLICA</v>
      </c>
      <c r="GF235" s="4"/>
      <c r="GG235" s="4"/>
      <c r="GH235" s="4"/>
      <c r="GI235" s="8"/>
      <c r="GJ235" s="5" t="str">
        <f t="shared" si="730"/>
        <v>NO APLICA</v>
      </c>
      <c r="GK235" s="4"/>
      <c r="GL235" s="6"/>
      <c r="GM235" s="4"/>
      <c r="GN235" s="8"/>
      <c r="GO235" s="5" t="str">
        <f t="shared" si="731"/>
        <v>NO APLICA</v>
      </c>
      <c r="GP235" s="4"/>
      <c r="GQ235" s="6"/>
      <c r="GR235" s="4"/>
      <c r="GS235" s="8"/>
      <c r="GT235" s="5" t="str">
        <f t="shared" si="610"/>
        <v>NO APLICA</v>
      </c>
      <c r="GU235" s="4"/>
      <c r="GV235" s="6"/>
      <c r="GW235" s="4"/>
      <c r="GX235" s="8"/>
      <c r="GY235" s="5" t="str">
        <f t="shared" si="611"/>
        <v>NO APLICA</v>
      </c>
      <c r="GZ235" s="6"/>
      <c r="HA235" s="6"/>
      <c r="HB235" s="4"/>
      <c r="HC235" s="8"/>
      <c r="HD235" s="5" t="str">
        <f t="shared" si="612"/>
        <v>NO APLICA</v>
      </c>
      <c r="HE235" s="6"/>
      <c r="HF235" s="6"/>
      <c r="HG235" s="4"/>
      <c r="HH235" s="8"/>
      <c r="HI235" s="5" t="str">
        <f t="shared" si="698"/>
        <v>NO APLICA</v>
      </c>
      <c r="HJ235" s="6"/>
      <c r="HK235" s="6"/>
      <c r="HL235" s="6"/>
      <c r="HM235" s="6"/>
      <c r="HN235" s="5" t="str">
        <f t="shared" si="694"/>
        <v>NO APLICA</v>
      </c>
      <c r="HO235" s="6"/>
      <c r="HP235" s="6"/>
      <c r="HQ235" s="6"/>
      <c r="HR235" s="6"/>
      <c r="HS235" s="5" t="str">
        <f t="shared" si="732"/>
        <v>NO APLICA</v>
      </c>
      <c r="HT235" s="6"/>
      <c r="HU235" s="6"/>
      <c r="HV235" s="6"/>
      <c r="HW235" s="6"/>
      <c r="HX235" s="5" t="str">
        <f t="shared" si="733"/>
        <v>NO APLICA</v>
      </c>
      <c r="HY235" s="6"/>
      <c r="HZ235" s="6"/>
      <c r="IA235" s="6"/>
      <c r="IB235" s="6"/>
      <c r="IC235" s="5" t="str">
        <f t="shared" si="734"/>
        <v>NO APLICA</v>
      </c>
      <c r="ID235" s="6"/>
      <c r="IE235" s="6"/>
      <c r="IF235" s="6"/>
      <c r="IG235" s="6"/>
      <c r="IH235" s="5" t="str">
        <f t="shared" si="735"/>
        <v>NO APLICA</v>
      </c>
      <c r="II235" s="6"/>
      <c r="IJ235" s="6"/>
      <c r="IK235" s="6"/>
      <c r="IL235" s="6"/>
      <c r="IM235" s="5" t="str">
        <f t="shared" si="736"/>
        <v>NO APLICA</v>
      </c>
      <c r="IN235" s="6"/>
      <c r="IO235" s="6"/>
      <c r="IP235" s="6"/>
      <c r="IQ235" s="6"/>
      <c r="IR235" s="5" t="str">
        <f t="shared" si="737"/>
        <v>NO APLICA</v>
      </c>
      <c r="IS235" s="6"/>
      <c r="IT235" s="6"/>
      <c r="IU235" s="6"/>
      <c r="IV235" s="6"/>
      <c r="IW235" s="5" t="str">
        <f t="shared" si="738"/>
        <v>NO APLICA</v>
      </c>
      <c r="IX235" s="6"/>
      <c r="IY235" s="6"/>
      <c r="IZ235" s="6"/>
      <c r="JA235" s="6"/>
      <c r="JB235" s="5" t="str">
        <f t="shared" si="739"/>
        <v>NO APLICA</v>
      </c>
      <c r="JC235" s="3" t="s">
        <v>780</v>
      </c>
      <c r="JD235" s="6"/>
      <c r="JE235" s="6"/>
      <c r="JF235" s="6"/>
      <c r="JG235" s="5"/>
      <c r="JH235" s="3" t="s">
        <v>780</v>
      </c>
      <c r="JI235" s="6"/>
      <c r="JJ235" s="6"/>
      <c r="JK235" s="6"/>
      <c r="JL235" s="5"/>
      <c r="JM235" s="6" t="s">
        <v>780</v>
      </c>
      <c r="JN235" s="6"/>
      <c r="JO235" s="6"/>
      <c r="JP235" s="6"/>
      <c r="JQ235" s="5"/>
      <c r="JR235" s="6" t="s">
        <v>780</v>
      </c>
      <c r="JS235" s="6"/>
      <c r="JT235" s="6"/>
      <c r="JU235" s="6"/>
      <c r="JV235" s="5"/>
      <c r="JW235" s="6" t="s">
        <v>780</v>
      </c>
      <c r="JX235" s="3"/>
      <c r="JY235" s="4"/>
      <c r="JZ235" s="8"/>
      <c r="KA235" s="38"/>
      <c r="KB235" s="5"/>
      <c r="KC235" s="6"/>
      <c r="KD235" s="6"/>
      <c r="KE235" s="6"/>
      <c r="KF235" s="5" t="str">
        <f t="shared" si="740"/>
        <v>NO APLICA</v>
      </c>
      <c r="KG235" s="5"/>
      <c r="KH235" s="6"/>
      <c r="KI235" s="6"/>
      <c r="KJ235" s="6"/>
      <c r="KK235" s="5" t="str">
        <f t="shared" si="760"/>
        <v>NO APLICA</v>
      </c>
      <c r="KL235" s="5"/>
      <c r="KM235" s="6"/>
      <c r="KN235" s="6"/>
      <c r="KO235" s="6"/>
      <c r="KP235" s="5" t="str">
        <f t="shared" si="741"/>
        <v>NO APLICA</v>
      </c>
      <c r="KQ235" s="5"/>
      <c r="KR235" s="2"/>
      <c r="KS235" s="2"/>
      <c r="KT235" s="2"/>
      <c r="KU235" s="5" t="str">
        <f t="shared" si="761"/>
        <v>NO APLICA</v>
      </c>
      <c r="KV235" s="6"/>
      <c r="KW235" s="6"/>
      <c r="KX235" s="6"/>
      <c r="KY235" s="6"/>
      <c r="KZ235" s="5" t="str">
        <f t="shared" si="767"/>
        <v>NO APLICA</v>
      </c>
      <c r="LA235" s="5"/>
      <c r="LB235" s="6"/>
      <c r="LC235" s="6"/>
      <c r="LD235" s="6"/>
      <c r="LE235" s="5" t="str">
        <f t="shared" si="762"/>
        <v>NO APLICA</v>
      </c>
      <c r="LF235" s="2"/>
      <c r="LG235" s="6"/>
      <c r="LH235" s="6"/>
      <c r="LI235" s="6"/>
      <c r="LJ235" s="5" t="str">
        <f t="shared" si="773"/>
        <v>NO APLICA</v>
      </c>
      <c r="LK235" s="5"/>
      <c r="LL235" s="5"/>
      <c r="LM235" s="4"/>
      <c r="LN235" s="8"/>
      <c r="LO235" s="5" t="str">
        <f t="shared" si="768"/>
        <v>NO APLICA</v>
      </c>
      <c r="LP235" s="6"/>
      <c r="LQ235" s="6"/>
      <c r="LR235" s="6"/>
      <c r="LS235" s="6"/>
      <c r="LT235" s="5" t="str">
        <f t="shared" si="763"/>
        <v>NO APLICA</v>
      </c>
      <c r="LU235" s="6"/>
      <c r="LV235" s="6"/>
      <c r="LW235" s="6"/>
      <c r="LX235" s="6"/>
      <c r="LY235" s="5" t="str">
        <f t="shared" si="764"/>
        <v>NO APLICA</v>
      </c>
      <c r="LZ235" s="6"/>
      <c r="MA235" s="6"/>
      <c r="MB235" s="6"/>
      <c r="MC235" s="6"/>
      <c r="MD235" s="5" t="str">
        <f t="shared" si="765"/>
        <v>NO APLICA</v>
      </c>
      <c r="ME235" s="6"/>
      <c r="MF235" s="6"/>
      <c r="MG235" s="6"/>
      <c r="MH235" s="6"/>
      <c r="MI235" s="5" t="str">
        <f t="shared" si="742"/>
        <v>NO APLICA</v>
      </c>
      <c r="MJ235" s="6"/>
      <c r="MK235" s="6"/>
      <c r="ML235" s="6"/>
      <c r="MM235" s="6"/>
      <c r="MN235" s="5" t="str">
        <f t="shared" si="743"/>
        <v>NO APLICA</v>
      </c>
      <c r="MO235" s="5"/>
      <c r="MP235" s="6"/>
      <c r="MQ235" s="6"/>
      <c r="MR235" s="6"/>
      <c r="MS235" s="5" t="str">
        <f t="shared" si="744"/>
        <v>NO APLICA</v>
      </c>
      <c r="MT235" s="5"/>
      <c r="MU235" s="6"/>
      <c r="MV235" s="6"/>
      <c r="MW235" s="6"/>
      <c r="MX235" s="5" t="str">
        <f t="shared" si="745"/>
        <v>NO APLICA</v>
      </c>
      <c r="MY235" s="6"/>
      <c r="MZ235" s="6"/>
      <c r="NA235" s="6"/>
      <c r="NB235" s="6"/>
      <c r="NC235" s="5" t="str">
        <f t="shared" si="746"/>
        <v>NO APLICA</v>
      </c>
      <c r="ND235" s="6"/>
      <c r="NE235" s="6"/>
      <c r="NF235" s="6"/>
      <c r="NG235" s="6"/>
      <c r="NH235" s="5" t="str">
        <f t="shared" si="747"/>
        <v>NO APLICA</v>
      </c>
      <c r="NI235" s="6"/>
      <c r="NJ235" s="6"/>
      <c r="NK235" s="6"/>
      <c r="NL235" s="6"/>
      <c r="NM235" s="5" t="str">
        <f t="shared" si="748"/>
        <v>NO APLICA</v>
      </c>
      <c r="NN235" s="6"/>
      <c r="NO235" s="6"/>
      <c r="NP235" s="6"/>
      <c r="NQ235" s="6"/>
      <c r="NR235" s="5" t="str">
        <f t="shared" si="749"/>
        <v>NO APLICA</v>
      </c>
      <c r="NS235" s="6"/>
      <c r="NT235" s="6"/>
      <c r="NU235" s="6"/>
      <c r="NV235" s="6"/>
      <c r="NW235" s="5" t="str">
        <f t="shared" si="750"/>
        <v>NO APLICA</v>
      </c>
      <c r="NX235" s="6"/>
      <c r="NY235" s="6"/>
      <c r="NZ235" s="6"/>
      <c r="OA235" s="6"/>
      <c r="OB235" s="5" t="str">
        <f t="shared" si="751"/>
        <v>NO APLICA</v>
      </c>
      <c r="OC235" s="6"/>
      <c r="OD235" s="6"/>
      <c r="OE235" s="6"/>
      <c r="OF235" s="6"/>
      <c r="OG235" s="5" t="str">
        <f t="shared" si="752"/>
        <v>NO APLICA</v>
      </c>
      <c r="OH235" s="6"/>
      <c r="OI235" s="6"/>
      <c r="OJ235" s="6"/>
      <c r="OK235" s="6"/>
      <c r="OL235" s="5" t="str">
        <f t="shared" si="753"/>
        <v>NO APLICA</v>
      </c>
      <c r="OM235" s="6"/>
      <c r="ON235" s="6"/>
      <c r="OO235" s="6"/>
      <c r="OP235" s="6"/>
      <c r="OQ235" s="5" t="str">
        <f t="shared" si="754"/>
        <v>NO APLICA</v>
      </c>
      <c r="OR235" s="4"/>
      <c r="OS235" s="4"/>
      <c r="OT235" s="4"/>
      <c r="OU235" s="8"/>
      <c r="OV235" s="5" t="str">
        <f t="shared" si="755"/>
        <v>NO APLICA</v>
      </c>
      <c r="OW235" s="6"/>
      <c r="OX235" s="6"/>
      <c r="OY235" s="6"/>
      <c r="OZ235" s="6"/>
      <c r="PA235" s="5" t="str">
        <f t="shared" si="769"/>
        <v>NO APLICA</v>
      </c>
      <c r="PB235" s="6"/>
      <c r="PC235" s="6"/>
      <c r="PD235" s="6"/>
      <c r="PE235" s="6"/>
      <c r="PF235" s="5" t="str">
        <f t="shared" si="756"/>
        <v>NO APLICA</v>
      </c>
      <c r="PG235" s="6"/>
      <c r="PH235" s="6"/>
      <c r="PI235" s="6"/>
      <c r="PJ235" s="6"/>
      <c r="PK235" s="5" t="str">
        <f t="shared" si="757"/>
        <v>NO APLICA</v>
      </c>
      <c r="PL235" s="5"/>
      <c r="PM235" s="4">
        <v>44627</v>
      </c>
      <c r="PN235" s="4">
        <f>DATE(YEAR(PM235)+5,MONTH(PM235),DAY(PM235))</f>
        <v>46453</v>
      </c>
      <c r="PO235" s="8">
        <f ca="1">PN235-TODAY()</f>
        <v>308</v>
      </c>
      <c r="PP235" s="5" t="str">
        <f ca="1">IF(PO235&gt;=61,"VIGENTE",IF(PO235&gt;=1,"POR VENCER",IF(PO235&lt;=-1,"VENCIDA",IF(PM235=0,"NO APLICA"))))</f>
        <v>VIGENTE</v>
      </c>
      <c r="PQ235" s="6"/>
      <c r="PR235" s="6"/>
      <c r="PS235" s="6"/>
      <c r="PT235" s="6"/>
      <c r="PU235" s="5" t="str">
        <f t="shared" si="758"/>
        <v>NO APLICA</v>
      </c>
      <c r="PV235" s="5"/>
      <c r="PW235" s="6"/>
      <c r="PX235" s="6"/>
      <c r="PY235" s="6"/>
      <c r="PZ235" s="5" t="str">
        <f t="shared" si="759"/>
        <v>NO APLICA</v>
      </c>
    </row>
    <row r="236" spans="1:442" ht="15.6" hidden="1" thickTop="1" thickBot="1" x14ac:dyDescent="0.35">
      <c r="A236" s="26">
        <v>233</v>
      </c>
      <c r="B236" s="31">
        <v>1719</v>
      </c>
      <c r="C236" s="28" t="s">
        <v>686</v>
      </c>
      <c r="D236" s="29" t="s">
        <v>64</v>
      </c>
      <c r="E236" s="30" t="s">
        <v>687</v>
      </c>
      <c r="F236" s="6"/>
      <c r="G236" s="6"/>
      <c r="H236" s="6"/>
      <c r="I236" s="6"/>
      <c r="J236" s="5" t="str">
        <f t="shared" si="696"/>
        <v>NO APLICA</v>
      </c>
      <c r="K236" s="6"/>
      <c r="L236" s="6"/>
      <c r="M236" s="6"/>
      <c r="N236" s="6"/>
      <c r="O236" s="5" t="str">
        <f t="shared" si="699"/>
        <v>NO APLICA</v>
      </c>
      <c r="P236" s="6"/>
      <c r="Q236" s="6"/>
      <c r="R236" s="6"/>
      <c r="S236" s="6"/>
      <c r="T236" s="5" t="str">
        <f t="shared" si="697"/>
        <v>NO APLICA</v>
      </c>
      <c r="U236" s="5"/>
      <c r="V236" s="6" t="s">
        <v>688</v>
      </c>
      <c r="W236" s="4">
        <v>45309</v>
      </c>
      <c r="X236" s="4">
        <f>DATE(YEAR(W236)+5,MONTH(W236),DAY(W236))</f>
        <v>47136</v>
      </c>
      <c r="Y236" s="8">
        <f ca="1">X236-TODAY()</f>
        <v>991</v>
      </c>
      <c r="Z236" s="5" t="str">
        <f ca="1">IF(Y236&gt;=90,"VIGENTE",IF(Y236&gt;=1,"POR VENCER",IF(Y236&lt;=-1,"VENCIDA",IF(W236=0,"NO APLICA"))))</f>
        <v>VIGENTE</v>
      </c>
      <c r="AA236" s="5"/>
      <c r="AB236" s="6"/>
      <c r="AC236" s="6"/>
      <c r="AD236" s="6"/>
      <c r="AE236" s="6"/>
      <c r="AF236" s="5" t="str">
        <f t="shared" si="700"/>
        <v>NO APLICA</v>
      </c>
      <c r="AG236" s="4"/>
      <c r="AH236" s="4"/>
      <c r="AI236" s="4"/>
      <c r="AJ236" s="6"/>
      <c r="AK236" s="5" t="str">
        <f t="shared" si="772"/>
        <v>NO APLICA</v>
      </c>
      <c r="AL236" s="4"/>
      <c r="AM236" s="4"/>
      <c r="AN236" s="4"/>
      <c r="AO236" s="6"/>
      <c r="AP236" s="5" t="str">
        <f t="shared" si="701"/>
        <v>NO APLICA</v>
      </c>
      <c r="AQ236" s="4"/>
      <c r="AR236" s="4"/>
      <c r="AS236" s="4"/>
      <c r="AT236" s="6"/>
      <c r="AU236" s="5" t="str">
        <f t="shared" si="702"/>
        <v>NO APLICA</v>
      </c>
      <c r="AV236" s="4"/>
      <c r="AW236" s="4"/>
      <c r="AX236" s="4"/>
      <c r="AY236" s="6"/>
      <c r="AZ236" s="5" t="str">
        <f t="shared" si="703"/>
        <v>NO APLICA</v>
      </c>
      <c r="BA236" s="4"/>
      <c r="BB236" s="4"/>
      <c r="BC236" s="4"/>
      <c r="BD236" s="6"/>
      <c r="BE236" s="5" t="str">
        <f t="shared" si="704"/>
        <v>NO APLICA</v>
      </c>
      <c r="BF236" s="4"/>
      <c r="BG236" s="4"/>
      <c r="BH236" s="4"/>
      <c r="BI236" s="6"/>
      <c r="BJ236" s="5" t="str">
        <f t="shared" si="705"/>
        <v>NO APLICA</v>
      </c>
      <c r="BK236" s="4"/>
      <c r="BL236" s="4"/>
      <c r="BM236" s="4"/>
      <c r="BN236" s="6"/>
      <c r="BO236" s="5" t="str">
        <f t="shared" si="706"/>
        <v>NO APLICA</v>
      </c>
      <c r="BP236" s="4"/>
      <c r="BQ236" s="4"/>
      <c r="BR236" s="4"/>
      <c r="BS236" s="6"/>
      <c r="BT236" s="5" t="str">
        <f t="shared" si="707"/>
        <v>NO APLICA</v>
      </c>
      <c r="BU236" s="4"/>
      <c r="BV236" s="4"/>
      <c r="BW236" s="4"/>
      <c r="BX236" s="6"/>
      <c r="BY236" s="5" t="str">
        <f t="shared" si="708"/>
        <v>NO APLICA</v>
      </c>
      <c r="BZ236" s="4"/>
      <c r="CA236" s="4"/>
      <c r="CB236" s="4"/>
      <c r="CC236" s="6"/>
      <c r="CD236" s="5" t="str">
        <f t="shared" si="709"/>
        <v>NO APLICA</v>
      </c>
      <c r="CE236" s="6"/>
      <c r="CF236" s="6"/>
      <c r="CG236" s="6"/>
      <c r="CH236" s="6"/>
      <c r="CI236" s="5" t="str">
        <f t="shared" si="770"/>
        <v>NO APLICA</v>
      </c>
      <c r="CJ236" s="4"/>
      <c r="CK236" s="4"/>
      <c r="CL236" s="4"/>
      <c r="CM236" s="6"/>
      <c r="CN236" s="5" t="str">
        <f t="shared" si="710"/>
        <v>NO APLICA</v>
      </c>
      <c r="CO236" s="4"/>
      <c r="CP236" s="4"/>
      <c r="CQ236" s="4"/>
      <c r="CR236" s="6"/>
      <c r="CS236" s="5" t="str">
        <f t="shared" si="711"/>
        <v>NO APLICA</v>
      </c>
      <c r="CT236" s="4"/>
      <c r="CU236" s="4"/>
      <c r="CV236" s="4"/>
      <c r="CW236" s="6"/>
      <c r="CX236" s="5" t="str">
        <f t="shared" si="712"/>
        <v>NO APLICA</v>
      </c>
      <c r="CY236" s="4"/>
      <c r="CZ236" s="4"/>
      <c r="DA236" s="4"/>
      <c r="DB236" s="6"/>
      <c r="DC236" s="5" t="str">
        <f t="shared" si="713"/>
        <v>NO APLICA</v>
      </c>
      <c r="DD236" s="4"/>
      <c r="DE236" s="4"/>
      <c r="DF236" s="4"/>
      <c r="DG236" s="6"/>
      <c r="DH236" s="5" t="str">
        <f t="shared" si="714"/>
        <v>NO APLICA</v>
      </c>
      <c r="DI236" s="4"/>
      <c r="DJ236" s="4"/>
      <c r="DK236" s="4"/>
      <c r="DL236" s="6"/>
      <c r="DM236" s="5" t="str">
        <f t="shared" si="715"/>
        <v>NO APLICA</v>
      </c>
      <c r="DN236" s="4"/>
      <c r="DO236" s="4"/>
      <c r="DP236" s="4"/>
      <c r="DQ236" s="6"/>
      <c r="DR236" s="5" t="str">
        <f t="shared" si="716"/>
        <v>NO APLICA</v>
      </c>
      <c r="DS236" s="4"/>
      <c r="DT236" s="4"/>
      <c r="DU236" s="4"/>
      <c r="DV236" s="6"/>
      <c r="DW236" s="5" t="str">
        <f t="shared" si="717"/>
        <v>NO APLICA</v>
      </c>
      <c r="DX236" s="4"/>
      <c r="DY236" s="4"/>
      <c r="DZ236" s="4"/>
      <c r="EA236" s="6"/>
      <c r="EB236" s="5" t="str">
        <f t="shared" si="718"/>
        <v>NO APLICA</v>
      </c>
      <c r="EC236" s="4"/>
      <c r="ED236" s="4"/>
      <c r="EE236" s="4"/>
      <c r="EF236" s="6"/>
      <c r="EG236" s="5" t="str">
        <f t="shared" si="719"/>
        <v>NO APLICA</v>
      </c>
      <c r="EH236" s="4"/>
      <c r="EI236" s="4"/>
      <c r="EJ236" s="4"/>
      <c r="EK236" s="8"/>
      <c r="EL236" s="5" t="str">
        <f t="shared" si="720"/>
        <v>NO APLICA</v>
      </c>
      <c r="EM236" s="4"/>
      <c r="EN236" s="4"/>
      <c r="EO236" s="4"/>
      <c r="EP236" s="8"/>
      <c r="EQ236" s="5" t="str">
        <f t="shared" si="721"/>
        <v>NO APLICA</v>
      </c>
      <c r="ER236" s="4"/>
      <c r="ES236" s="4"/>
      <c r="ET236" s="4"/>
      <c r="EU236" s="8"/>
      <c r="EV236" s="5" t="str">
        <f t="shared" si="722"/>
        <v>NO APLICA</v>
      </c>
      <c r="EW236" s="4"/>
      <c r="EX236" s="4"/>
      <c r="EY236" s="4"/>
      <c r="EZ236" s="6"/>
      <c r="FA236" s="5" t="str">
        <f t="shared" si="723"/>
        <v>NO APLICA</v>
      </c>
      <c r="FB236" s="4"/>
      <c r="FC236" s="4"/>
      <c r="FD236" s="4"/>
      <c r="FE236" s="6"/>
      <c r="FF236" s="5" t="str">
        <f t="shared" si="724"/>
        <v>NO APLICA</v>
      </c>
      <c r="FG236" s="4"/>
      <c r="FH236" s="4"/>
      <c r="FI236" s="4"/>
      <c r="FJ236" s="6"/>
      <c r="FK236" s="5" t="str">
        <f t="shared" si="725"/>
        <v>NO APLICA</v>
      </c>
      <c r="FL236" s="4"/>
      <c r="FM236" s="4"/>
      <c r="FN236" s="4"/>
      <c r="FO236" s="6"/>
      <c r="FP236" s="5" t="str">
        <f t="shared" si="726"/>
        <v>NO APLICA</v>
      </c>
      <c r="FQ236" s="4"/>
      <c r="FR236" s="4"/>
      <c r="FS236" s="4"/>
      <c r="FT236" s="6"/>
      <c r="FU236" s="5" t="str">
        <f t="shared" si="727"/>
        <v>NO APLICA</v>
      </c>
      <c r="FV236" s="4"/>
      <c r="FW236" s="4"/>
      <c r="FX236" s="4"/>
      <c r="FY236" s="6"/>
      <c r="FZ236" s="5" t="str">
        <f t="shared" si="728"/>
        <v>NO APLICA</v>
      </c>
      <c r="GA236" s="4"/>
      <c r="GB236" s="4"/>
      <c r="GC236" s="4"/>
      <c r="GD236" s="6"/>
      <c r="GE236" s="5" t="str">
        <f t="shared" si="729"/>
        <v>NO APLICA</v>
      </c>
      <c r="GF236" s="4"/>
      <c r="GG236" s="4"/>
      <c r="GH236" s="4"/>
      <c r="GI236" s="8"/>
      <c r="GJ236" s="5" t="str">
        <f t="shared" si="730"/>
        <v>NO APLICA</v>
      </c>
      <c r="GK236" s="4"/>
      <c r="GL236" s="6"/>
      <c r="GM236" s="6"/>
      <c r="GN236" s="6"/>
      <c r="GO236" s="5" t="str">
        <f t="shared" si="731"/>
        <v>NO APLICA</v>
      </c>
      <c r="GP236" s="4"/>
      <c r="GQ236" s="6"/>
      <c r="GR236" s="6"/>
      <c r="GS236" s="6"/>
      <c r="GT236" s="5" t="str">
        <f t="shared" si="610"/>
        <v>NO APLICA</v>
      </c>
      <c r="GU236" s="4"/>
      <c r="GV236" s="6"/>
      <c r="GW236" s="6"/>
      <c r="GX236" s="6"/>
      <c r="GY236" s="5" t="str">
        <f t="shared" si="611"/>
        <v>NO APLICA</v>
      </c>
      <c r="GZ236" s="6"/>
      <c r="HA236" s="6"/>
      <c r="HB236" s="6"/>
      <c r="HC236" s="6"/>
      <c r="HD236" s="5" t="str">
        <f t="shared" si="612"/>
        <v>NO APLICA</v>
      </c>
      <c r="HE236" s="6"/>
      <c r="HF236" s="6"/>
      <c r="HG236" s="4"/>
      <c r="HH236" s="8"/>
      <c r="HI236" s="5" t="str">
        <f t="shared" si="698"/>
        <v>NO APLICA</v>
      </c>
      <c r="HJ236" s="6"/>
      <c r="HK236" s="6"/>
      <c r="HL236" s="6"/>
      <c r="HM236" s="6"/>
      <c r="HN236" s="5" t="str">
        <f t="shared" si="694"/>
        <v>NO APLICA</v>
      </c>
      <c r="HO236" s="6"/>
      <c r="HP236" s="6"/>
      <c r="HQ236" s="6"/>
      <c r="HR236" s="6"/>
      <c r="HS236" s="5" t="str">
        <f t="shared" si="732"/>
        <v>NO APLICA</v>
      </c>
      <c r="HT236" s="6"/>
      <c r="HU236" s="6"/>
      <c r="HV236" s="6"/>
      <c r="HW236" s="6"/>
      <c r="HX236" s="5" t="str">
        <f t="shared" si="733"/>
        <v>NO APLICA</v>
      </c>
      <c r="HY236" s="6"/>
      <c r="HZ236" s="6"/>
      <c r="IA236" s="6"/>
      <c r="IB236" s="6"/>
      <c r="IC236" s="5" t="str">
        <f t="shared" si="734"/>
        <v>NO APLICA</v>
      </c>
      <c r="ID236" s="6"/>
      <c r="IE236" s="6"/>
      <c r="IF236" s="6"/>
      <c r="IG236" s="6"/>
      <c r="IH236" s="5" t="str">
        <f t="shared" si="735"/>
        <v>NO APLICA</v>
      </c>
      <c r="II236" s="6"/>
      <c r="IJ236" s="6"/>
      <c r="IK236" s="6"/>
      <c r="IL236" s="6"/>
      <c r="IM236" s="5" t="str">
        <f t="shared" si="736"/>
        <v>NO APLICA</v>
      </c>
      <c r="IN236" s="6"/>
      <c r="IO236" s="6"/>
      <c r="IP236" s="6"/>
      <c r="IQ236" s="6"/>
      <c r="IR236" s="5" t="str">
        <f t="shared" si="737"/>
        <v>NO APLICA</v>
      </c>
      <c r="IS236" s="6"/>
      <c r="IT236" s="6"/>
      <c r="IU236" s="6"/>
      <c r="IV236" s="6"/>
      <c r="IW236" s="5" t="str">
        <f t="shared" si="738"/>
        <v>NO APLICA</v>
      </c>
      <c r="IX236" s="6"/>
      <c r="IY236" s="6"/>
      <c r="IZ236" s="6"/>
      <c r="JA236" s="6"/>
      <c r="JB236" s="5" t="str">
        <f t="shared" si="739"/>
        <v>NO APLICA</v>
      </c>
      <c r="JC236" s="3" t="s">
        <v>780</v>
      </c>
      <c r="JD236" s="6"/>
      <c r="JE236" s="6"/>
      <c r="JF236" s="6"/>
      <c r="JG236" s="5"/>
      <c r="JH236" s="3" t="s">
        <v>780</v>
      </c>
      <c r="JI236" s="6"/>
      <c r="JJ236" s="6"/>
      <c r="JK236" s="6"/>
      <c r="JL236" s="5"/>
      <c r="JM236" s="6" t="s">
        <v>780</v>
      </c>
      <c r="JN236" s="6"/>
      <c r="JO236" s="6"/>
      <c r="JP236" s="6"/>
      <c r="JQ236" s="5"/>
      <c r="JR236" s="6" t="s">
        <v>780</v>
      </c>
      <c r="JS236" s="6"/>
      <c r="JT236" s="6"/>
      <c r="JU236" s="6"/>
      <c r="JV236" s="5"/>
      <c r="JW236" s="6" t="s">
        <v>780</v>
      </c>
      <c r="JX236" s="5"/>
      <c r="JY236" s="5"/>
      <c r="JZ236" s="5"/>
      <c r="KA236" s="5"/>
      <c r="KB236" s="5"/>
      <c r="KC236" s="6"/>
      <c r="KD236" s="6"/>
      <c r="KE236" s="6"/>
      <c r="KF236" s="5" t="str">
        <f t="shared" si="740"/>
        <v>NO APLICA</v>
      </c>
      <c r="KG236" s="5"/>
      <c r="KH236" s="6"/>
      <c r="KI236" s="6"/>
      <c r="KJ236" s="6"/>
      <c r="KK236" s="5" t="str">
        <f t="shared" si="760"/>
        <v>NO APLICA</v>
      </c>
      <c r="KL236" s="5"/>
      <c r="KM236" s="6"/>
      <c r="KN236" s="6"/>
      <c r="KO236" s="6"/>
      <c r="KP236" s="5" t="str">
        <f t="shared" si="741"/>
        <v>NO APLICA</v>
      </c>
      <c r="KQ236" s="5"/>
      <c r="KR236" s="6"/>
      <c r="KS236" s="6"/>
      <c r="KT236" s="6"/>
      <c r="KU236" s="5" t="str">
        <f t="shared" si="761"/>
        <v>NO APLICA</v>
      </c>
      <c r="KV236" s="6"/>
      <c r="KW236" s="6"/>
      <c r="KX236" s="6"/>
      <c r="KY236" s="6"/>
      <c r="KZ236" s="5" t="str">
        <f t="shared" si="767"/>
        <v>NO APLICA</v>
      </c>
      <c r="LA236" s="5"/>
      <c r="LB236" s="6"/>
      <c r="LC236" s="6"/>
      <c r="LD236" s="6"/>
      <c r="LE236" s="5" t="str">
        <f t="shared" si="762"/>
        <v>NO APLICA</v>
      </c>
      <c r="LF236" s="6"/>
      <c r="LG236" s="6"/>
      <c r="LH236" s="6"/>
      <c r="LI236" s="6"/>
      <c r="LJ236" s="5" t="str">
        <f t="shared" si="773"/>
        <v>NO APLICA</v>
      </c>
      <c r="LK236" s="5"/>
      <c r="LL236" s="5"/>
      <c r="LM236" s="4"/>
      <c r="LN236" s="8"/>
      <c r="LO236" s="5" t="str">
        <f t="shared" si="768"/>
        <v>NO APLICA</v>
      </c>
      <c r="LP236" s="6"/>
      <c r="LQ236" s="6"/>
      <c r="LR236" s="6"/>
      <c r="LS236" s="6"/>
      <c r="LT236" s="5" t="str">
        <f t="shared" si="763"/>
        <v>NO APLICA</v>
      </c>
      <c r="LU236" s="6"/>
      <c r="LV236" s="6"/>
      <c r="LW236" s="6"/>
      <c r="LX236" s="6"/>
      <c r="LY236" s="5" t="str">
        <f t="shared" si="764"/>
        <v>NO APLICA</v>
      </c>
      <c r="LZ236" s="6"/>
      <c r="MA236" s="6"/>
      <c r="MB236" s="6"/>
      <c r="MC236" s="6"/>
      <c r="MD236" s="5" t="str">
        <f t="shared" si="765"/>
        <v>NO APLICA</v>
      </c>
      <c r="ME236" s="6"/>
      <c r="MF236" s="6"/>
      <c r="MG236" s="6"/>
      <c r="MH236" s="6"/>
      <c r="MI236" s="5" t="str">
        <f t="shared" si="742"/>
        <v>NO APLICA</v>
      </c>
      <c r="MJ236" s="6"/>
      <c r="MK236" s="6"/>
      <c r="ML236" s="6"/>
      <c r="MM236" s="6"/>
      <c r="MN236" s="5" t="str">
        <f t="shared" si="743"/>
        <v>NO APLICA</v>
      </c>
      <c r="MO236" s="5"/>
      <c r="MP236" s="6"/>
      <c r="MQ236" s="6"/>
      <c r="MR236" s="6"/>
      <c r="MS236" s="5" t="str">
        <f t="shared" si="744"/>
        <v>NO APLICA</v>
      </c>
      <c r="MT236" s="5"/>
      <c r="MU236" s="6"/>
      <c r="MV236" s="6"/>
      <c r="MW236" s="6"/>
      <c r="MX236" s="5" t="str">
        <f t="shared" si="745"/>
        <v>NO APLICA</v>
      </c>
      <c r="MY236" s="6"/>
      <c r="MZ236" s="6"/>
      <c r="NA236" s="6"/>
      <c r="NB236" s="6"/>
      <c r="NC236" s="5" t="str">
        <f t="shared" si="746"/>
        <v>NO APLICA</v>
      </c>
      <c r="ND236" s="6"/>
      <c r="NE236" s="6"/>
      <c r="NF236" s="6"/>
      <c r="NG236" s="6"/>
      <c r="NH236" s="5" t="str">
        <f t="shared" si="747"/>
        <v>NO APLICA</v>
      </c>
      <c r="NI236" s="6"/>
      <c r="NJ236" s="6"/>
      <c r="NK236" s="6"/>
      <c r="NL236" s="6"/>
      <c r="NM236" s="5" t="str">
        <f t="shared" si="748"/>
        <v>NO APLICA</v>
      </c>
      <c r="NN236" s="6"/>
      <c r="NO236" s="6"/>
      <c r="NP236" s="6"/>
      <c r="NQ236" s="6"/>
      <c r="NR236" s="5" t="str">
        <f t="shared" si="749"/>
        <v>NO APLICA</v>
      </c>
      <c r="NS236" s="6"/>
      <c r="NT236" s="6"/>
      <c r="NU236" s="6"/>
      <c r="NV236" s="6"/>
      <c r="NW236" s="5" t="str">
        <f t="shared" si="750"/>
        <v>NO APLICA</v>
      </c>
      <c r="NX236" s="6"/>
      <c r="NY236" s="6"/>
      <c r="NZ236" s="6"/>
      <c r="OA236" s="6"/>
      <c r="OB236" s="5" t="str">
        <f t="shared" si="751"/>
        <v>NO APLICA</v>
      </c>
      <c r="OC236" s="6"/>
      <c r="OD236" s="6"/>
      <c r="OE236" s="6"/>
      <c r="OF236" s="6"/>
      <c r="OG236" s="5" t="str">
        <f t="shared" si="752"/>
        <v>NO APLICA</v>
      </c>
      <c r="OH236" s="6"/>
      <c r="OI236" s="6"/>
      <c r="OJ236" s="6"/>
      <c r="OK236" s="6"/>
      <c r="OL236" s="5" t="str">
        <f t="shared" si="753"/>
        <v>NO APLICA</v>
      </c>
      <c r="OM236" s="6"/>
      <c r="ON236" s="6"/>
      <c r="OO236" s="6"/>
      <c r="OP236" s="6"/>
      <c r="OQ236" s="5" t="str">
        <f t="shared" si="754"/>
        <v>NO APLICA</v>
      </c>
      <c r="OR236" s="6"/>
      <c r="OS236" s="6"/>
      <c r="OT236" s="6"/>
      <c r="OU236" s="6"/>
      <c r="OV236" s="5" t="str">
        <f t="shared" si="755"/>
        <v>NO APLICA</v>
      </c>
      <c r="OW236" s="6"/>
      <c r="OX236" s="6"/>
      <c r="OY236" s="6"/>
      <c r="OZ236" s="6"/>
      <c r="PA236" s="5" t="str">
        <f t="shared" si="769"/>
        <v>NO APLICA</v>
      </c>
      <c r="PB236" s="6"/>
      <c r="PC236" s="6"/>
      <c r="PD236" s="6"/>
      <c r="PE236" s="6"/>
      <c r="PF236" s="5" t="str">
        <f t="shared" si="756"/>
        <v>NO APLICA</v>
      </c>
      <c r="PG236" s="6"/>
      <c r="PH236" s="6"/>
      <c r="PI236" s="6"/>
      <c r="PJ236" s="6"/>
      <c r="PK236" s="5" t="str">
        <f t="shared" si="757"/>
        <v>NO APLICA</v>
      </c>
      <c r="PL236" s="5"/>
      <c r="PM236" s="6"/>
      <c r="PN236" s="6"/>
      <c r="PO236" s="6"/>
      <c r="PP236" s="5" t="str">
        <f t="shared" si="766"/>
        <v>NO APLICA</v>
      </c>
      <c r="PQ236" s="6"/>
      <c r="PR236" s="6"/>
      <c r="PS236" s="6"/>
      <c r="PT236" s="6"/>
      <c r="PU236" s="5" t="str">
        <f t="shared" si="758"/>
        <v>NO APLICA</v>
      </c>
      <c r="PV236" s="5"/>
      <c r="PW236" s="6"/>
      <c r="PX236" s="6"/>
      <c r="PY236" s="6"/>
      <c r="PZ236" s="5" t="str">
        <f t="shared" si="759"/>
        <v>NO APLICA</v>
      </c>
    </row>
    <row r="237" spans="1:442" ht="15.6" hidden="1" thickTop="1" thickBot="1" x14ac:dyDescent="0.35">
      <c r="A237" s="26">
        <v>234</v>
      </c>
      <c r="B237" s="31">
        <v>1675</v>
      </c>
      <c r="C237" s="28" t="s">
        <v>689</v>
      </c>
      <c r="D237" s="29" t="s">
        <v>609</v>
      </c>
      <c r="E237" s="30" t="s">
        <v>777</v>
      </c>
      <c r="F237" s="3"/>
      <c r="G237" s="4"/>
      <c r="H237" s="4"/>
      <c r="I237" s="8"/>
      <c r="J237" s="5" t="str">
        <f t="shared" si="696"/>
        <v>NO APLICA</v>
      </c>
      <c r="K237" s="2"/>
      <c r="L237" s="2"/>
      <c r="M237" s="2"/>
      <c r="N237" s="2"/>
      <c r="O237" s="5" t="str">
        <f t="shared" si="699"/>
        <v>NO APLICA</v>
      </c>
      <c r="P237" s="6"/>
      <c r="Q237" s="6"/>
      <c r="R237" s="4"/>
      <c r="S237" s="8"/>
      <c r="T237" s="5" t="str">
        <f t="shared" si="697"/>
        <v>NO APLICA</v>
      </c>
      <c r="U237" s="5"/>
      <c r="V237" s="2"/>
      <c r="W237" s="4"/>
      <c r="X237" s="4"/>
      <c r="Y237" s="8"/>
      <c r="Z237" s="5" t="str">
        <f>IF(Y237&gt;=90,"VIGENTE",IF(Y237&gt;=1,"POR VENCER",IF(Y237&lt;=-1,"VENCIDA",IF(W237=0,"NO APLICA"))))</f>
        <v>NO APLICA</v>
      </c>
      <c r="AA237" s="5"/>
      <c r="AB237" s="2"/>
      <c r="AC237" s="6"/>
      <c r="AD237" s="4"/>
      <c r="AE237" s="8"/>
      <c r="AF237" s="5" t="str">
        <f t="shared" si="700"/>
        <v>NO APLICA</v>
      </c>
      <c r="AG237" s="2"/>
      <c r="AH237" s="4"/>
      <c r="AI237" s="4"/>
      <c r="AJ237" s="6"/>
      <c r="AK237" s="5" t="str">
        <f t="shared" si="772"/>
        <v>NO APLICA</v>
      </c>
      <c r="AL237" s="2"/>
      <c r="AM237" s="4"/>
      <c r="AN237" s="4"/>
      <c r="AO237" s="8"/>
      <c r="AP237" s="5" t="str">
        <f t="shared" si="701"/>
        <v>NO APLICA</v>
      </c>
      <c r="AQ237" s="2"/>
      <c r="AR237" s="4"/>
      <c r="AS237" s="4"/>
      <c r="AT237" s="8"/>
      <c r="AU237" s="5" t="str">
        <f t="shared" si="702"/>
        <v>NO APLICA</v>
      </c>
      <c r="AV237" s="2"/>
      <c r="AW237" s="4"/>
      <c r="AX237" s="4"/>
      <c r="AY237" s="8"/>
      <c r="AZ237" s="5" t="str">
        <f t="shared" si="703"/>
        <v>NO APLICA</v>
      </c>
      <c r="BA237" s="3"/>
      <c r="BB237" s="4"/>
      <c r="BC237" s="4"/>
      <c r="BD237" s="8"/>
      <c r="BE237" s="5" t="str">
        <f t="shared" si="704"/>
        <v>NO APLICA</v>
      </c>
      <c r="BF237" s="2"/>
      <c r="BG237" s="4"/>
      <c r="BH237" s="4"/>
      <c r="BI237" s="8"/>
      <c r="BJ237" s="5" t="str">
        <f t="shared" si="705"/>
        <v>NO APLICA</v>
      </c>
      <c r="BK237" s="3"/>
      <c r="BL237" s="4"/>
      <c r="BM237" s="4"/>
      <c r="BN237" s="8"/>
      <c r="BO237" s="5" t="str">
        <f t="shared" si="706"/>
        <v>NO APLICA</v>
      </c>
      <c r="BP237" s="3"/>
      <c r="BQ237" s="39"/>
      <c r="BR237" s="4"/>
      <c r="BS237" s="8"/>
      <c r="BT237" s="5" t="str">
        <f t="shared" si="707"/>
        <v>NO APLICA</v>
      </c>
      <c r="BU237" s="2"/>
      <c r="BV237" s="4"/>
      <c r="BW237" s="4"/>
      <c r="BX237" s="8"/>
      <c r="BY237" s="5" t="str">
        <f t="shared" si="708"/>
        <v>NO APLICA</v>
      </c>
      <c r="BZ237" s="2"/>
      <c r="CA237" s="4"/>
      <c r="CB237" s="4"/>
      <c r="CC237" s="8"/>
      <c r="CD237" s="5" t="str">
        <f t="shared" si="709"/>
        <v>NO APLICA</v>
      </c>
      <c r="CE237" s="6"/>
      <c r="CF237" s="4"/>
      <c r="CG237" s="4"/>
      <c r="CH237" s="8"/>
      <c r="CI237" s="5" t="str">
        <f t="shared" si="770"/>
        <v>NO APLICA</v>
      </c>
      <c r="CJ237" s="6"/>
      <c r="CK237" s="4"/>
      <c r="CL237" s="4"/>
      <c r="CM237" s="8"/>
      <c r="CN237" s="5" t="str">
        <f t="shared" si="710"/>
        <v>NO APLICA</v>
      </c>
      <c r="CO237" s="2"/>
      <c r="CP237" s="39"/>
      <c r="CQ237" s="4"/>
      <c r="CR237" s="8"/>
      <c r="CS237" s="5" t="str">
        <f t="shared" si="711"/>
        <v>NO APLICA</v>
      </c>
      <c r="CT237" s="2"/>
      <c r="CU237" s="4"/>
      <c r="CV237" s="4"/>
      <c r="CW237" s="8"/>
      <c r="CX237" s="5" t="str">
        <f t="shared" si="712"/>
        <v>NO APLICA</v>
      </c>
      <c r="CY237" s="3"/>
      <c r="CZ237" s="4"/>
      <c r="DA237" s="4"/>
      <c r="DB237" s="8"/>
      <c r="DC237" s="5" t="str">
        <f t="shared" si="713"/>
        <v>NO APLICA</v>
      </c>
      <c r="DD237" s="3"/>
      <c r="DE237" s="39"/>
      <c r="DF237" s="4"/>
      <c r="DG237" s="8"/>
      <c r="DH237" s="5" t="str">
        <f t="shared" si="714"/>
        <v>NO APLICA</v>
      </c>
      <c r="DI237" s="2"/>
      <c r="DJ237" s="39"/>
      <c r="DK237" s="4"/>
      <c r="DL237" s="8"/>
      <c r="DM237" s="5" t="str">
        <f t="shared" si="715"/>
        <v>NO APLICA</v>
      </c>
      <c r="DN237" s="3"/>
      <c r="DO237" s="4"/>
      <c r="DP237" s="4"/>
      <c r="DQ237" s="8"/>
      <c r="DR237" s="5" t="str">
        <f t="shared" si="716"/>
        <v>NO APLICA</v>
      </c>
      <c r="DS237" s="2"/>
      <c r="DT237" s="4"/>
      <c r="DU237" s="4"/>
      <c r="DV237" s="8"/>
      <c r="DW237" s="5" t="str">
        <f t="shared" si="717"/>
        <v>NO APLICA</v>
      </c>
      <c r="DX237" s="3"/>
      <c r="DY237" s="4"/>
      <c r="DZ237" s="4"/>
      <c r="EA237" s="8"/>
      <c r="EB237" s="5" t="str">
        <f t="shared" si="718"/>
        <v>NO APLICA</v>
      </c>
      <c r="EC237" s="3"/>
      <c r="ED237" s="39"/>
      <c r="EE237" s="4"/>
      <c r="EF237" s="8"/>
      <c r="EG237" s="5" t="str">
        <f t="shared" si="719"/>
        <v>NO APLICA</v>
      </c>
      <c r="EH237" s="2"/>
      <c r="EI237" s="4"/>
      <c r="EJ237" s="4"/>
      <c r="EK237" s="8"/>
      <c r="EL237" s="5" t="str">
        <f t="shared" si="720"/>
        <v>NO APLICA</v>
      </c>
      <c r="EM237" s="3"/>
      <c r="EN237" s="4"/>
      <c r="EO237" s="4"/>
      <c r="EP237" s="8"/>
      <c r="EQ237" s="5" t="str">
        <f t="shared" si="721"/>
        <v>NO APLICA</v>
      </c>
      <c r="ER237" s="2"/>
      <c r="ES237" s="39"/>
      <c r="ET237" s="4"/>
      <c r="EU237" s="8"/>
      <c r="EV237" s="5" t="str">
        <f t="shared" si="722"/>
        <v>NO APLICA</v>
      </c>
      <c r="EW237" s="2"/>
      <c r="EX237" s="4"/>
      <c r="EY237" s="4"/>
      <c r="EZ237" s="8"/>
      <c r="FA237" s="5" t="str">
        <f t="shared" si="723"/>
        <v>NO APLICA</v>
      </c>
      <c r="FB237" s="2"/>
      <c r="FC237" s="4"/>
      <c r="FD237" s="4"/>
      <c r="FE237" s="8"/>
      <c r="FF237" s="5" t="str">
        <f t="shared" si="724"/>
        <v>NO APLICA</v>
      </c>
      <c r="FG237" s="2"/>
      <c r="FH237" s="4"/>
      <c r="FI237" s="4"/>
      <c r="FJ237" s="8"/>
      <c r="FK237" s="5" t="str">
        <f t="shared" si="725"/>
        <v>NO APLICA</v>
      </c>
      <c r="FL237" s="3"/>
      <c r="FM237" s="39"/>
      <c r="FN237" s="4"/>
      <c r="FO237" s="8"/>
      <c r="FP237" s="5" t="str">
        <f t="shared" si="726"/>
        <v>NO APLICA</v>
      </c>
      <c r="FQ237" s="3"/>
      <c r="FR237" s="39"/>
      <c r="FS237" s="4"/>
      <c r="FT237" s="8"/>
      <c r="FU237" s="5" t="str">
        <f t="shared" si="727"/>
        <v>NO APLICA</v>
      </c>
      <c r="FV237" s="3"/>
      <c r="FW237" s="4"/>
      <c r="FX237" s="4"/>
      <c r="FY237" s="8"/>
      <c r="FZ237" s="5" t="str">
        <f t="shared" si="728"/>
        <v>NO APLICA</v>
      </c>
      <c r="GA237" s="3"/>
      <c r="GB237" s="4"/>
      <c r="GC237" s="4"/>
      <c r="GD237" s="8"/>
      <c r="GE237" s="5" t="str">
        <f t="shared" si="729"/>
        <v>NO APLICA</v>
      </c>
      <c r="GF237" s="3"/>
      <c r="GG237" s="4"/>
      <c r="GH237" s="4"/>
      <c r="GI237" s="8"/>
      <c r="GJ237" s="5" t="str">
        <f t="shared" si="730"/>
        <v>NO APLICA</v>
      </c>
      <c r="GK237" s="3"/>
      <c r="GL237" s="4"/>
      <c r="GM237" s="4"/>
      <c r="GN237" s="8"/>
      <c r="GO237" s="5" t="str">
        <f t="shared" si="731"/>
        <v>NO APLICA</v>
      </c>
      <c r="GP237" s="4"/>
      <c r="GQ237" s="4"/>
      <c r="GR237" s="4"/>
      <c r="GS237" s="8"/>
      <c r="GT237" s="5" t="str">
        <f t="shared" si="610"/>
        <v>NO APLICA</v>
      </c>
      <c r="GU237" s="3"/>
      <c r="GV237" s="4"/>
      <c r="GW237" s="4"/>
      <c r="GX237" s="8"/>
      <c r="GY237" s="5" t="str">
        <f t="shared" si="611"/>
        <v>NO APLICA</v>
      </c>
      <c r="GZ237" s="2"/>
      <c r="HA237" s="4"/>
      <c r="HB237" s="4"/>
      <c r="HC237" s="8"/>
      <c r="HD237" s="5" t="str">
        <f t="shared" si="612"/>
        <v>NO APLICA</v>
      </c>
      <c r="HE237" s="6"/>
      <c r="HF237" s="6"/>
      <c r="HG237" s="4"/>
      <c r="HH237" s="8"/>
      <c r="HI237" s="5" t="str">
        <f t="shared" si="698"/>
        <v>NO APLICA</v>
      </c>
      <c r="HJ237" s="2"/>
      <c r="HK237" s="6"/>
      <c r="HL237" s="4"/>
      <c r="HM237" s="8"/>
      <c r="HN237" s="5" t="str">
        <f t="shared" si="694"/>
        <v>NO APLICA</v>
      </c>
      <c r="HO237" s="2"/>
      <c r="HP237" s="2"/>
      <c r="HQ237" s="4"/>
      <c r="HR237" s="2"/>
      <c r="HS237" s="5" t="str">
        <f t="shared" si="732"/>
        <v>NO APLICA</v>
      </c>
      <c r="HT237" s="2"/>
      <c r="HU237" s="6"/>
      <c r="HV237" s="4"/>
      <c r="HW237" s="8"/>
      <c r="HX237" s="5" t="str">
        <f t="shared" si="733"/>
        <v>NO APLICA</v>
      </c>
      <c r="HY237" s="2"/>
      <c r="HZ237" s="6"/>
      <c r="IA237" s="4"/>
      <c r="IB237" s="8"/>
      <c r="IC237" s="5" t="str">
        <f t="shared" si="734"/>
        <v>NO APLICA</v>
      </c>
      <c r="ID237" s="2"/>
      <c r="IE237" s="6"/>
      <c r="IF237" s="4"/>
      <c r="IG237" s="8"/>
      <c r="IH237" s="5" t="str">
        <f t="shared" si="735"/>
        <v>NO APLICA</v>
      </c>
      <c r="II237" s="6"/>
      <c r="IJ237" s="6"/>
      <c r="IK237" s="4"/>
      <c r="IL237" s="8"/>
      <c r="IM237" s="5" t="str">
        <f t="shared" si="736"/>
        <v>NO APLICA</v>
      </c>
      <c r="IN237" s="2"/>
      <c r="IO237" s="6"/>
      <c r="IP237" s="4"/>
      <c r="IQ237" s="8"/>
      <c r="IR237" s="5" t="str">
        <f t="shared" si="737"/>
        <v>NO APLICA</v>
      </c>
      <c r="IS237" s="2"/>
      <c r="IT237" s="6"/>
      <c r="IU237" s="4"/>
      <c r="IV237" s="8"/>
      <c r="IW237" s="5" t="str">
        <f t="shared" si="738"/>
        <v>NO APLICA</v>
      </c>
      <c r="IX237" s="2"/>
      <c r="IY237" s="6"/>
      <c r="IZ237" s="4"/>
      <c r="JA237" s="8"/>
      <c r="JB237" s="5" t="str">
        <f t="shared" si="739"/>
        <v>NO APLICA</v>
      </c>
      <c r="JC237" s="3" t="s">
        <v>780</v>
      </c>
      <c r="JD237" s="3"/>
      <c r="JE237" s="4"/>
      <c r="JF237" s="8"/>
      <c r="JG237" s="5"/>
      <c r="JH237" s="3" t="s">
        <v>780</v>
      </c>
      <c r="JI237" s="6"/>
      <c r="JJ237" s="6"/>
      <c r="JK237" s="6"/>
      <c r="JL237" s="5"/>
      <c r="JM237" s="6" t="s">
        <v>780</v>
      </c>
      <c r="JN237" s="6"/>
      <c r="JO237" s="6"/>
      <c r="JP237" s="6"/>
      <c r="JQ237" s="5"/>
      <c r="JR237" s="6" t="s">
        <v>780</v>
      </c>
      <c r="JS237" s="6"/>
      <c r="JT237" s="6"/>
      <c r="JU237" s="6"/>
      <c r="JV237" s="5"/>
      <c r="JW237" s="6" t="s">
        <v>780</v>
      </c>
      <c r="JX237" s="3"/>
      <c r="JY237" s="4"/>
      <c r="JZ237" s="8"/>
      <c r="KA237" s="38"/>
      <c r="KB237" s="5"/>
      <c r="KC237" s="2"/>
      <c r="KD237" s="4"/>
      <c r="KE237" s="8"/>
      <c r="KF237" s="5" t="str">
        <f t="shared" si="740"/>
        <v>NO APLICA</v>
      </c>
      <c r="KG237" s="5"/>
      <c r="KH237" s="2"/>
      <c r="KI237" s="4"/>
      <c r="KJ237" s="8"/>
      <c r="KK237" s="5" t="str">
        <f t="shared" si="760"/>
        <v>NO APLICA</v>
      </c>
      <c r="KL237" s="5"/>
      <c r="KM237" s="2"/>
      <c r="KN237" s="4"/>
      <c r="KO237" s="8"/>
      <c r="KP237" s="5" t="str">
        <f t="shared" si="741"/>
        <v>NO APLICA</v>
      </c>
      <c r="KQ237" s="5"/>
      <c r="KR237" s="2"/>
      <c r="KS237" s="4"/>
      <c r="KT237" s="8"/>
      <c r="KU237" s="5" t="str">
        <f t="shared" si="761"/>
        <v>NO APLICA</v>
      </c>
      <c r="KV237" s="2"/>
      <c r="KW237" s="6"/>
      <c r="KX237" s="4"/>
      <c r="KY237" s="8"/>
      <c r="KZ237" s="5" t="str">
        <f t="shared" si="767"/>
        <v>NO APLICA</v>
      </c>
      <c r="LA237" s="5"/>
      <c r="LB237" s="6"/>
      <c r="LC237" s="4"/>
      <c r="LD237" s="8"/>
      <c r="LE237" s="5" t="str">
        <f t="shared" si="762"/>
        <v>NO APLICA</v>
      </c>
      <c r="LF237" s="6"/>
      <c r="LG237" s="6"/>
      <c r="LH237" s="4"/>
      <c r="LI237" s="8"/>
      <c r="LJ237" s="5" t="str">
        <f t="shared" si="773"/>
        <v>NO APLICA</v>
      </c>
      <c r="LK237" s="5"/>
      <c r="LL237" s="5"/>
      <c r="LM237" s="4"/>
      <c r="LN237" s="8"/>
      <c r="LO237" s="5" t="str">
        <f t="shared" si="768"/>
        <v>NO APLICA</v>
      </c>
      <c r="LP237" s="2"/>
      <c r="LQ237" s="6"/>
      <c r="LR237" s="4"/>
      <c r="LS237" s="8"/>
      <c r="LT237" s="5" t="str">
        <f t="shared" si="763"/>
        <v>NO APLICA</v>
      </c>
      <c r="LU237" s="6"/>
      <c r="LV237" s="6"/>
      <c r="LW237" s="4"/>
      <c r="LX237" s="8"/>
      <c r="LY237" s="5" t="str">
        <f t="shared" si="764"/>
        <v>NO APLICA</v>
      </c>
      <c r="LZ237" s="6"/>
      <c r="MA237" s="6"/>
      <c r="MB237" s="4"/>
      <c r="MC237" s="8"/>
      <c r="MD237" s="5" t="str">
        <f t="shared" si="765"/>
        <v>NO APLICA</v>
      </c>
      <c r="ME237" s="2"/>
      <c r="MF237" s="2"/>
      <c r="MG237" s="4"/>
      <c r="MH237" s="8"/>
      <c r="MI237" s="5" t="str">
        <f t="shared" si="742"/>
        <v>NO APLICA</v>
      </c>
      <c r="MJ237" s="2"/>
      <c r="MK237" s="2"/>
      <c r="ML237" s="4"/>
      <c r="MM237" s="8"/>
      <c r="MN237" s="5" t="str">
        <f t="shared" si="743"/>
        <v>NO APLICA</v>
      </c>
      <c r="MO237" s="5"/>
      <c r="MP237" s="2"/>
      <c r="MQ237" s="4"/>
      <c r="MR237" s="8"/>
      <c r="MS237" s="5" t="str">
        <f t="shared" si="744"/>
        <v>NO APLICA</v>
      </c>
      <c r="MT237" s="5"/>
      <c r="MU237" s="2"/>
      <c r="MV237" s="4"/>
      <c r="MW237" s="2"/>
      <c r="MX237" s="5" t="str">
        <f t="shared" si="745"/>
        <v>NO APLICA</v>
      </c>
      <c r="MY237" s="2"/>
      <c r="MZ237" s="6"/>
      <c r="NA237" s="4"/>
      <c r="NB237" s="8"/>
      <c r="NC237" s="5" t="str">
        <f t="shared" si="746"/>
        <v>NO APLICA</v>
      </c>
      <c r="ND237" s="2"/>
      <c r="NE237" s="6"/>
      <c r="NF237" s="4"/>
      <c r="NG237" s="8"/>
      <c r="NH237" s="5" t="str">
        <f t="shared" si="747"/>
        <v>NO APLICA</v>
      </c>
      <c r="NI237" s="2"/>
      <c r="NJ237" s="6"/>
      <c r="NK237" s="4"/>
      <c r="NL237" s="8"/>
      <c r="NM237" s="5" t="str">
        <f t="shared" si="748"/>
        <v>NO APLICA</v>
      </c>
      <c r="NN237" s="2"/>
      <c r="NO237" s="2"/>
      <c r="NP237" s="4"/>
      <c r="NQ237" s="8"/>
      <c r="NR237" s="5" t="str">
        <f t="shared" si="749"/>
        <v>NO APLICA</v>
      </c>
      <c r="NS237" s="2"/>
      <c r="NT237" s="2"/>
      <c r="NU237" s="4"/>
      <c r="NV237" s="2"/>
      <c r="NW237" s="5" t="str">
        <f t="shared" si="750"/>
        <v>NO APLICA</v>
      </c>
      <c r="NX237" s="6"/>
      <c r="NY237" s="6"/>
      <c r="NZ237" s="4"/>
      <c r="OA237" s="8"/>
      <c r="OB237" s="5" t="str">
        <f t="shared" si="751"/>
        <v>NO APLICA</v>
      </c>
      <c r="OC237" s="6"/>
      <c r="OD237" s="6"/>
      <c r="OE237" s="6"/>
      <c r="OF237" s="6"/>
      <c r="OG237" s="5" t="str">
        <f t="shared" si="752"/>
        <v>NO APLICA</v>
      </c>
      <c r="OH237" s="6"/>
      <c r="OI237" s="6"/>
      <c r="OJ237" s="4"/>
      <c r="OK237" s="8"/>
      <c r="OL237" s="5" t="str">
        <f t="shared" si="753"/>
        <v>NO APLICA</v>
      </c>
      <c r="OM237" s="6"/>
      <c r="ON237" s="6"/>
      <c r="OO237" s="6"/>
      <c r="OP237" s="6"/>
      <c r="OQ237" s="5" t="str">
        <f t="shared" si="754"/>
        <v>NO APLICA</v>
      </c>
      <c r="OR237" s="6"/>
      <c r="OS237" s="6"/>
      <c r="OT237" s="6"/>
      <c r="OU237" s="6"/>
      <c r="OV237" s="5" t="str">
        <f t="shared" si="755"/>
        <v>NO APLICA</v>
      </c>
      <c r="OW237" s="6"/>
      <c r="OX237" s="6"/>
      <c r="OY237" s="6"/>
      <c r="OZ237" s="6"/>
      <c r="PA237" s="5" t="str">
        <f t="shared" si="769"/>
        <v>NO APLICA</v>
      </c>
      <c r="PB237" s="6"/>
      <c r="PC237" s="6"/>
      <c r="PD237" s="6"/>
      <c r="PE237" s="6"/>
      <c r="PF237" s="5" t="str">
        <f t="shared" si="756"/>
        <v>NO APLICA</v>
      </c>
      <c r="PG237" s="6"/>
      <c r="PH237" s="6"/>
      <c r="PI237" s="6"/>
      <c r="PJ237" s="6"/>
      <c r="PK237" s="5" t="str">
        <f t="shared" si="757"/>
        <v>NO APLICA</v>
      </c>
      <c r="PL237" s="5"/>
      <c r="PM237" s="6"/>
      <c r="PN237" s="4"/>
      <c r="PO237" s="8"/>
      <c r="PP237" s="5" t="str">
        <f t="shared" si="766"/>
        <v>NO APLICA</v>
      </c>
      <c r="PQ237" s="6"/>
      <c r="PR237" s="6"/>
      <c r="PS237" s="6"/>
      <c r="PT237" s="6"/>
      <c r="PU237" s="5" t="str">
        <f t="shared" si="758"/>
        <v>NO APLICA</v>
      </c>
      <c r="PV237" s="5"/>
      <c r="PW237" s="4">
        <v>46126</v>
      </c>
      <c r="PX237" s="4">
        <f>DATE(YEAR(PW237)+1,MONTH(PW237),DAY(PW237))</f>
        <v>46491</v>
      </c>
      <c r="PY237" s="8">
        <f ca="1">PX237-TODAY()</f>
        <v>346</v>
      </c>
      <c r="PZ237" s="5" t="str">
        <f t="shared" ca="1" si="759"/>
        <v>VIGENTE</v>
      </c>
    </row>
    <row r="238" spans="1:442" ht="15.6" hidden="1" thickTop="1" thickBot="1" x14ac:dyDescent="0.35">
      <c r="A238" s="26">
        <v>235</v>
      </c>
      <c r="B238" s="31">
        <v>1206</v>
      </c>
      <c r="C238" s="28" t="s">
        <v>690</v>
      </c>
      <c r="D238" s="29" t="s">
        <v>113</v>
      </c>
      <c r="E238" s="30" t="s">
        <v>691</v>
      </c>
      <c r="F238" s="3"/>
      <c r="G238" s="4">
        <v>46119</v>
      </c>
      <c r="H238" s="4">
        <f>DATE(YEAR(G238)+2,MONTH(G238),DAY(G238))</f>
        <v>46850</v>
      </c>
      <c r="I238" s="8">
        <f ca="1">H238-TODAY()</f>
        <v>705</v>
      </c>
      <c r="J238" s="5" t="str">
        <f t="shared" ca="1" si="696"/>
        <v>VIGENTE</v>
      </c>
      <c r="K238" s="2"/>
      <c r="L238" s="2"/>
      <c r="M238" s="2"/>
      <c r="N238" s="2"/>
      <c r="O238" s="5" t="str">
        <f t="shared" si="699"/>
        <v>NO APLICA</v>
      </c>
      <c r="P238" s="6"/>
      <c r="Q238" s="6"/>
      <c r="R238" s="4"/>
      <c r="S238" s="8"/>
      <c r="T238" s="5" t="str">
        <f t="shared" si="697"/>
        <v>NO APLICA</v>
      </c>
      <c r="U238" s="5"/>
      <c r="V238" s="2" t="s">
        <v>692</v>
      </c>
      <c r="W238" s="4">
        <v>46069</v>
      </c>
      <c r="X238" s="4">
        <f>DATE(YEAR(W238)+5,MONTH(W238),DAY(W238))</f>
        <v>47895</v>
      </c>
      <c r="Y238" s="8">
        <f ca="1">X238-TODAY()</f>
        <v>1750</v>
      </c>
      <c r="Z238" s="5" t="str">
        <f ca="1">IF(Y238&gt;=90,"VIGENTE",IF(Y238&gt;=1,"POR VENCER",IF(Y238&lt;=-1,"VENCIDA",IF(W238=0,"NO APLICA"))))</f>
        <v>VIGENTE</v>
      </c>
      <c r="AA238" s="5"/>
      <c r="AB238" s="2"/>
      <c r="AC238" s="6"/>
      <c r="AD238" s="4"/>
      <c r="AE238" s="8"/>
      <c r="AF238" s="5" t="str">
        <f t="shared" si="700"/>
        <v>NO APLICA</v>
      </c>
      <c r="AG238" s="2"/>
      <c r="AH238" s="4">
        <v>46085</v>
      </c>
      <c r="AI238" s="4">
        <f>DATE(YEAR(AH238)+2,MONTH(AH238),DAY(AH238))</f>
        <v>46816</v>
      </c>
      <c r="AJ238" s="8">
        <f ca="1">AI238-TODAY()</f>
        <v>671</v>
      </c>
      <c r="AK238" s="5" t="str">
        <f ca="1">IF(AJ238&gt;=91,"VIGENTE",IF(AJ238&gt;=1,"POR VENCER",IF(AJ238&lt;=-1,"VENCIDA",IF(AH238=0,"NO APLICA"))))</f>
        <v>VIGENTE</v>
      </c>
      <c r="AL238" s="2"/>
      <c r="AM238" s="4">
        <v>46084</v>
      </c>
      <c r="AN238" s="4">
        <f>DATE(YEAR(AM238)+2,MONTH(AM238),DAY(AM238))</f>
        <v>46815</v>
      </c>
      <c r="AO238" s="8">
        <f ca="1">AN238-TODAY()</f>
        <v>670</v>
      </c>
      <c r="AP238" s="5" t="str">
        <f ca="1">IF(AO238&gt;=91,"VIGENTE",IF(AO238&gt;=1,"POR VENCER",IF(AO238&lt;=-1,"VENCIDA",IF(AM238=0,"NO APLICA"))))</f>
        <v>VIGENTE</v>
      </c>
      <c r="AQ238" s="2"/>
      <c r="AR238" s="4">
        <v>46048</v>
      </c>
      <c r="AS238" s="4">
        <f>DATE(YEAR(AR238)+2,MONTH(AR238),DAY(AR238))</f>
        <v>46778</v>
      </c>
      <c r="AT238" s="8">
        <f ca="1">AS238-TODAY()</f>
        <v>633</v>
      </c>
      <c r="AU238" s="5" t="str">
        <f ca="1">IF(AT238&gt;=91,"VIGENTE",IF(AT238&gt;=1,"POR VENCER",IF(AT238&lt;=-1,"VENCIDA",IF(AR238=0,"NO APLICA"))))</f>
        <v>VIGENTE</v>
      </c>
      <c r="AV238" s="2"/>
      <c r="AW238" s="4">
        <v>46070</v>
      </c>
      <c r="AX238" s="4">
        <f>DATE(YEAR(AW238)+2,MONTH(AW238),DAY(AW238))</f>
        <v>46800</v>
      </c>
      <c r="AY238" s="8">
        <f ca="1">AX238-TODAY()</f>
        <v>655</v>
      </c>
      <c r="AZ238" s="5" t="str">
        <f ca="1">IF(AY238&gt;=91,"VIGENTE",IF(AY238&gt;=1,"POR VENCER",IF(AY238&lt;=-1,"VENCIDA",IF(AW238=0,"NO APLICA"))))</f>
        <v>VIGENTE</v>
      </c>
      <c r="BA238" s="3"/>
      <c r="BB238" s="4">
        <v>46041</v>
      </c>
      <c r="BC238" s="4">
        <f>DATE(YEAR(BB238)+2,MONTH(BB238),DAY(BB238))</f>
        <v>46771</v>
      </c>
      <c r="BD238" s="8">
        <f ca="1">BC238-TODAY()</f>
        <v>626</v>
      </c>
      <c r="BE238" s="5" t="str">
        <f ca="1">IF(BD238&gt;=91,"VIGENTE",IF(BD238&gt;=1,"POR VENCER",IF(BD238&lt;=-1,"VENCIDA",IF(BB238=0,"NO APLICA"))))</f>
        <v>VIGENTE</v>
      </c>
      <c r="BF238" s="2"/>
      <c r="BG238" s="4">
        <v>46067</v>
      </c>
      <c r="BH238" s="4">
        <f>DATE(YEAR(BG238)+2,MONTH(BG238),DAY(BG238))</f>
        <v>46797</v>
      </c>
      <c r="BI238" s="8">
        <f ca="1">BH238-TODAY()</f>
        <v>652</v>
      </c>
      <c r="BJ238" s="5" t="str">
        <f ca="1">IF(BI238&gt;=91,"VIGENTE",IF(BI238&gt;=1,"POR VENCER",IF(BI238&lt;=-1,"VENCIDA",IF(BG238=0,"NO APLICA"))))</f>
        <v>VIGENTE</v>
      </c>
      <c r="BK238" s="3"/>
      <c r="BL238" s="4">
        <v>46035</v>
      </c>
      <c r="BM238" s="4">
        <f>DATE(YEAR(BL238)+2,MONTH(BL238),DAY(BL238))</f>
        <v>46765</v>
      </c>
      <c r="BN238" s="8">
        <f ca="1">BM238-TODAY()</f>
        <v>620</v>
      </c>
      <c r="BO238" s="5" t="str">
        <f ca="1">IF(BN238&gt;=91,"VIGENTE",IF(BN238&gt;=1,"POR VENCER",IF(BN238&lt;=-1,"VENCIDA",IF(BL238=0,"NO APLICA"))))</f>
        <v>VIGENTE</v>
      </c>
      <c r="BP238" s="3"/>
      <c r="BQ238" s="39">
        <v>46050</v>
      </c>
      <c r="BR238" s="4">
        <f>DATE(YEAR(BQ238)+2,MONTH(BQ238),DAY(BQ238))</f>
        <v>46780</v>
      </c>
      <c r="BS238" s="8">
        <f ca="1">BR238-TODAY()</f>
        <v>635</v>
      </c>
      <c r="BT238" s="5" t="str">
        <f ca="1">IF(BS238&gt;=91,"VIGENTE",IF(BS238&gt;=1,"POR VENCER",IF(BS238&lt;=-1,"VENCIDA",IF(BQ238=0,"NO APLICA"))))</f>
        <v>VIGENTE</v>
      </c>
      <c r="BU238" s="2"/>
      <c r="BV238" s="4">
        <v>46063</v>
      </c>
      <c r="BW238" s="4">
        <f>DATE(YEAR(BV238)+2,MONTH(BV238),DAY(BV238))</f>
        <v>46793</v>
      </c>
      <c r="BX238" s="8">
        <f ca="1">BW238-TODAY()</f>
        <v>648</v>
      </c>
      <c r="BY238" s="5" t="str">
        <f ca="1">IF(BX238&gt;=91,"VIGENTE",IF(BX238&gt;=1,"POR VENCER",IF(BX238&lt;=-1,"VENCIDA",IF(BV238=0,"NO APLICA"))))</f>
        <v>VIGENTE</v>
      </c>
      <c r="BZ238" s="2"/>
      <c r="CA238" s="4">
        <v>46065</v>
      </c>
      <c r="CB238" s="4">
        <f>DATE(YEAR(CA238)+2,MONTH(CA238),DAY(CA238))</f>
        <v>46795</v>
      </c>
      <c r="CC238" s="8">
        <f ca="1">CB238-TODAY()</f>
        <v>650</v>
      </c>
      <c r="CD238" s="5" t="str">
        <f ca="1">IF(CC238&gt;=91,"VIGENTE",IF(CC238&gt;=1,"POR VENCER",IF(CC238&lt;=-1,"VENCIDA",IF(CA238=0,"NO APLICA"))))</f>
        <v>VIGENTE</v>
      </c>
      <c r="CE238" s="6"/>
      <c r="CF238" s="4">
        <v>46134</v>
      </c>
      <c r="CG238" s="4">
        <f>DATE(YEAR(CF238)+4,MONTH(CF238),DAY(CF238))</f>
        <v>47595</v>
      </c>
      <c r="CH238" s="8">
        <f ca="1">CG238-TODAY()</f>
        <v>1450</v>
      </c>
      <c r="CI238" s="5" t="str">
        <f ca="1">IF(CH238&gt;=90,"VIGENTE",IF(CH238&gt;=1,"POR VENCER",IF(CH238&lt;=-1,"VENCIDA",IF(CH238=0,"NO APLICA"))))</f>
        <v>VIGENTE</v>
      </c>
      <c r="CJ238" s="6"/>
      <c r="CK238" s="4">
        <v>46064</v>
      </c>
      <c r="CL238" s="4">
        <f>DATE(YEAR(CK238)+2,MONTH(CK238),DAY(CK238))</f>
        <v>46794</v>
      </c>
      <c r="CM238" s="8">
        <f ca="1">CL238-TODAY()</f>
        <v>649</v>
      </c>
      <c r="CN238" s="5" t="str">
        <f ca="1">IF(CM238&gt;=91,"VIGENTE",IF(CM238&gt;=1,"POR VENCER",IF(CM238&lt;=-1,"VENCIDA",IF(CK238=0,"NO APLICA"))))</f>
        <v>VIGENTE</v>
      </c>
      <c r="CO238" s="2"/>
      <c r="CP238" s="4">
        <v>46101</v>
      </c>
      <c r="CQ238" s="4">
        <f>DATE(YEAR(CP238)+2,MONTH(CP238),DAY(CP238))</f>
        <v>46832</v>
      </c>
      <c r="CR238" s="8">
        <f ca="1">CQ238-TODAY()</f>
        <v>687</v>
      </c>
      <c r="CS238" s="5" t="str">
        <f ca="1">IF(CR238&gt;=91,"VIGENTE",IF(CR238&gt;=1,"POR VENCER",IF(CR238&lt;=-1,"VENCIDA",IF(CP238=0,"NO APLICA"))))</f>
        <v>VIGENTE</v>
      </c>
      <c r="CT238" s="2"/>
      <c r="CU238" s="4">
        <v>46081</v>
      </c>
      <c r="CV238" s="4">
        <f>DATE(YEAR(CU238)+2,MONTH(CU238),DAY(CU238))</f>
        <v>46811</v>
      </c>
      <c r="CW238" s="8">
        <f ca="1">CV238-TODAY()</f>
        <v>666</v>
      </c>
      <c r="CX238" s="5" t="str">
        <f ca="1">IF(CW238&gt;=91,"VIGENTE",IF(CW238&gt;=1,"POR VENCER",IF(CW238&lt;=-1,"VENCIDA",IF(CU238=0,"NO APLICA"))))</f>
        <v>VIGENTE</v>
      </c>
      <c r="CY238" s="3"/>
      <c r="CZ238" s="4">
        <v>46046</v>
      </c>
      <c r="DA238" s="4">
        <f>DATE(YEAR(CZ238)+2,MONTH(CZ238),DAY(CZ238))</f>
        <v>46776</v>
      </c>
      <c r="DB238" s="8">
        <f ca="1">DA238-TODAY()</f>
        <v>631</v>
      </c>
      <c r="DC238" s="5" t="str">
        <f ca="1">IF(DB238&gt;=91,"VIGENTE",IF(DB238&gt;=1,"POR VENCER",IF(DB238&lt;=-1,"VENCIDA",IF(CZ238=0,"NO APLICA"))))</f>
        <v>VIGENTE</v>
      </c>
      <c r="DD238" s="3"/>
      <c r="DE238" s="4">
        <v>46066</v>
      </c>
      <c r="DF238" s="4">
        <f>DATE(YEAR(DE238)+2,MONTH(DE238),DAY(DE238))</f>
        <v>46796</v>
      </c>
      <c r="DG238" s="8">
        <f ca="1">DF238-TODAY()</f>
        <v>651</v>
      </c>
      <c r="DH238" s="5" t="str">
        <f ca="1">IF(DG238&gt;=91,"VIGENTE",IF(DG238&gt;=1,"POR VENCER",IF(DG238&lt;=-1,"VENCIDA",IF(DE238=0,"NO APLICA"))))</f>
        <v>VIGENTE</v>
      </c>
      <c r="DI238" s="2"/>
      <c r="DJ238" s="39">
        <v>46126</v>
      </c>
      <c r="DK238" s="4">
        <f>DATE(YEAR(DJ238)+2,MONTH(DJ238),DAY(DJ238))</f>
        <v>46857</v>
      </c>
      <c r="DL238" s="8">
        <f ca="1">DK238-TODAY()</f>
        <v>712</v>
      </c>
      <c r="DM238" s="5" t="str">
        <f ca="1">IF(DL238&gt;=91,"VIGENTE",IF(DL238&gt;=1,"POR VENCER",IF(DL238&lt;=-1,"VENCIDA",IF(DJ238=0,"NO APLICA"))))</f>
        <v>VIGENTE</v>
      </c>
      <c r="DN238" s="3"/>
      <c r="DO238" s="4">
        <v>46088</v>
      </c>
      <c r="DP238" s="4">
        <f>DATE(YEAR(DO238)+2,MONTH(DO238),DAY(DO238))</f>
        <v>46819</v>
      </c>
      <c r="DQ238" s="8">
        <f ca="1">DP238-TODAY()</f>
        <v>674</v>
      </c>
      <c r="DR238" s="5" t="str">
        <f ca="1">IF(DQ238&gt;=91,"VIGENTE",IF(DQ238&gt;=1,"POR VENCER",IF(DQ238&lt;=-1,"VENCIDA",IF(DO238=0,"NO APLICA"))))</f>
        <v>VIGENTE</v>
      </c>
      <c r="DS238" s="2"/>
      <c r="DT238" s="4">
        <v>46072</v>
      </c>
      <c r="DU238" s="4">
        <f>DATE(YEAR(DT238)+2,MONTH(DT238),DAY(DT238))</f>
        <v>46802</v>
      </c>
      <c r="DV238" s="8">
        <f ca="1">DU238-TODAY()</f>
        <v>657</v>
      </c>
      <c r="DW238" s="5" t="str">
        <f ca="1">IF(DV238&gt;=91,"VIGENTE",IF(DV238&gt;=1,"POR VENCER",IF(DV238&lt;=-1,"VENCIDA",IF(DT238=0,"NO APLICA"))))</f>
        <v>VIGENTE</v>
      </c>
      <c r="DX238" s="3"/>
      <c r="DY238" s="4">
        <v>46099</v>
      </c>
      <c r="DZ238" s="4">
        <f>DATE(YEAR(DY238)+2,MONTH(DY238),DAY(DY238))</f>
        <v>46830</v>
      </c>
      <c r="EA238" s="8">
        <f ca="1">DZ238-TODAY()</f>
        <v>685</v>
      </c>
      <c r="EB238" s="5" t="str">
        <f ca="1">IF(EA238&gt;=91,"VIGENTE",IF(EA238&gt;=1,"POR VENCER",IF(EA238&lt;=-1,"VENCIDA",IF(DY238=0,"NO APLICA"))))</f>
        <v>VIGENTE</v>
      </c>
      <c r="EC238" s="3"/>
      <c r="ED238" s="39">
        <v>46104</v>
      </c>
      <c r="EE238" s="4">
        <f>DATE(YEAR(ED238)+2,MONTH(ED238),DAY(ED238))</f>
        <v>46835</v>
      </c>
      <c r="EF238" s="8">
        <f ca="1">EE238-TODAY()</f>
        <v>690</v>
      </c>
      <c r="EG238" s="5" t="str">
        <f ca="1">IF(EF238&gt;=91,"VIGENTE",IF(EF238&gt;=1,"POR VENCER",IF(EF238&lt;=-1,"VENCIDA",IF(ED238=0,"NO APLICA"))))</f>
        <v>VIGENTE</v>
      </c>
      <c r="EH238" s="3"/>
      <c r="EI238" s="3">
        <v>46060</v>
      </c>
      <c r="EJ238" s="4">
        <f t="shared" si="771"/>
        <v>46425</v>
      </c>
      <c r="EK238" s="8">
        <f ca="1">EJ238-TODAY()</f>
        <v>280</v>
      </c>
      <c r="EL238" s="5" t="str">
        <f ca="1">IF(EK238&gt;=91,"VIGENTE",IF(EK238&gt;=1,"POR VENCER",IF(EK238&lt;=-1,"VENCIDA",IF(EI238=0,"NO APLICA"))))</f>
        <v>VIGENTE</v>
      </c>
      <c r="EM238" s="3"/>
      <c r="EN238" s="4">
        <v>46100</v>
      </c>
      <c r="EO238" s="4">
        <f>DATE(YEAR(EN238)+2,MONTH(EN238),DAY(EN238))</f>
        <v>46831</v>
      </c>
      <c r="EP238" s="8">
        <f ca="1">EO238-TODAY()</f>
        <v>686</v>
      </c>
      <c r="EQ238" s="5" t="str">
        <f ca="1">IF(EP238&gt;=91,"VIGENTE",IF(EP238&gt;=1,"POR VENCER",IF(EP238&lt;=-1,"VENCIDA",IF(EN238=0,"NO APLICA"))))</f>
        <v>VIGENTE</v>
      </c>
      <c r="ER238" s="2"/>
      <c r="ES238" s="39">
        <v>46062</v>
      </c>
      <c r="ET238" s="4">
        <f>DATE(YEAR(ES238)+2,MONTH(ES238),DAY(ES238))</f>
        <v>46792</v>
      </c>
      <c r="EU238" s="8">
        <f ca="1">ET238-TODAY()</f>
        <v>647</v>
      </c>
      <c r="EV238" s="5" t="str">
        <f ca="1">IF(EU238&gt;=91,"VIGENTE",IF(EU238&gt;=1,"POR VENCER",IF(EU238&lt;=-1,"VENCIDA",IF(ES238=0,"NO APLICA"))))</f>
        <v>VIGENTE</v>
      </c>
      <c r="EW238" s="2"/>
      <c r="EX238" s="4">
        <v>46086</v>
      </c>
      <c r="EY238" s="4">
        <f>DATE(YEAR(EX238)+2,MONTH(EX238),DAY(EX238))</f>
        <v>46817</v>
      </c>
      <c r="EZ238" s="8">
        <f ca="1">EY238-TODAY()</f>
        <v>672</v>
      </c>
      <c r="FA238" s="5" t="str">
        <f ca="1">IF(EZ238&gt;=91,"VIGENTE",IF(EZ238&gt;=1,"POR VENCER",IF(EZ238&lt;=-1,"VENCIDA",IF(EX238=0,"NO APLICA"))))</f>
        <v>VIGENTE</v>
      </c>
      <c r="FB238" s="2"/>
      <c r="FC238" s="4">
        <v>46091</v>
      </c>
      <c r="FD238" s="4">
        <f>DATE(YEAR(FC238)+2,MONTH(FC238),DAY(FC238))</f>
        <v>46822</v>
      </c>
      <c r="FE238" s="8">
        <f ca="1">FD238-TODAY()</f>
        <v>677</v>
      </c>
      <c r="FF238" s="5" t="str">
        <f ca="1">IF(FE238&gt;=91,"VIGENTE",IF(FE238&gt;=1,"POR VENCER",IF(FE238&lt;=-1,"VENCIDA",IF(FC238=0,"NO APLICA"))))</f>
        <v>VIGENTE</v>
      </c>
      <c r="FG238" s="2"/>
      <c r="FH238" s="4">
        <v>46074</v>
      </c>
      <c r="FI238" s="4">
        <f>DATE(YEAR(FH238)+2,MONTH(FH238),DAY(FH238))</f>
        <v>46804</v>
      </c>
      <c r="FJ238" s="8">
        <f ca="1">FI238-TODAY()</f>
        <v>659</v>
      </c>
      <c r="FK238" s="5" t="str">
        <f ca="1">IF(FJ238&gt;=91,"VIGENTE",IF(FJ238&gt;=1,"POR VENCER",IF(FJ238&lt;=-1,"VENCIDA",IF(FH238=0,"NO APLICA"))))</f>
        <v>VIGENTE</v>
      </c>
      <c r="FL238" s="3"/>
      <c r="FM238" s="39">
        <v>46049</v>
      </c>
      <c r="FN238" s="4">
        <f>DATE(YEAR(FM238)+2,MONTH(FM238),DAY(FM238))</f>
        <v>46779</v>
      </c>
      <c r="FO238" s="8">
        <f ca="1">FN238-TODAY()</f>
        <v>634</v>
      </c>
      <c r="FP238" s="5" t="str">
        <f ca="1">IF(FO238&gt;=91,"VIGENTE",IF(FO238&gt;=1,"POR VENCER",IF(FO238&lt;=-1,"VENCIDA",IF(FM238=0,"NO APLICA"))))</f>
        <v>VIGENTE</v>
      </c>
      <c r="FQ238" s="3"/>
      <c r="FR238" s="39">
        <v>46080</v>
      </c>
      <c r="FS238" s="4">
        <f>DATE(YEAR(FR238)+2,MONTH(FR238),DAY(FR238))</f>
        <v>46810</v>
      </c>
      <c r="FT238" s="8">
        <f ca="1">FS238-TODAY()</f>
        <v>665</v>
      </c>
      <c r="FU238" s="5" t="str">
        <f ca="1">IF(FT238&gt;=91,"VIGENTE",IF(FT238&gt;=1,"POR VENCER",IF(FT238&lt;=-1,"VENCIDA",IF(FR238=0,"NO APLICA"))))</f>
        <v>VIGENTE</v>
      </c>
      <c r="FV238" s="3"/>
      <c r="FW238" s="4">
        <v>46087</v>
      </c>
      <c r="FX238" s="4">
        <f>DATE(YEAR(FW238)+2,MONTH(FW238),DAY(FW238))</f>
        <v>46818</v>
      </c>
      <c r="FY238" s="8">
        <f ca="1">FX238-TODAY()</f>
        <v>673</v>
      </c>
      <c r="FZ238" s="5" t="str">
        <f ca="1">IF(FY238&gt;=91,"VIGENTE",IF(FY238&gt;=1,"POR VENCER",IF(FY238&lt;=-1,"VENCIDA",IF(FW238=0,"NO APLICA"))))</f>
        <v>VIGENTE</v>
      </c>
      <c r="GA238" s="3"/>
      <c r="GB238" s="4">
        <v>46073</v>
      </c>
      <c r="GC238" s="4">
        <f>DATE(YEAR(GB238)+2,MONTH(GB238),DAY(GB238))</f>
        <v>46803</v>
      </c>
      <c r="GD238" s="8">
        <f ca="1">GC238-TODAY()</f>
        <v>658</v>
      </c>
      <c r="GE238" s="5" t="str">
        <f ca="1">IF(GD238&gt;=91,"VIGENTE",IF(GD238&gt;=1,"POR VENCER",IF(GD238&lt;=-1,"VENCIDA",IF(GB238=0,"NO APLICA"))))</f>
        <v>VIGENTE</v>
      </c>
      <c r="GF238" s="3"/>
      <c r="GG238" s="4">
        <v>46092</v>
      </c>
      <c r="GH238" s="4">
        <f>DATE(YEAR(GG238)+2,MONTH(GG238),DAY(GG238))</f>
        <v>46823</v>
      </c>
      <c r="GI238" s="8">
        <f ca="1">GH238-TODAY()</f>
        <v>678</v>
      </c>
      <c r="GJ238" s="5" t="str">
        <f ca="1">IF(GI238&gt;=91,"VIGENTE",IF(GI238&gt;=1,"POR VENCER",IF(GI238&lt;=-1,"VENCIDA",IF(GG238=0,"NO APLICA"))))</f>
        <v>VIGENTE</v>
      </c>
      <c r="GK238" s="3"/>
      <c r="GL238" s="4">
        <v>46071</v>
      </c>
      <c r="GM238" s="4">
        <f>DATE(YEAR(GL238)+2,MONTH(GL238),DAY(GL238))</f>
        <v>46801</v>
      </c>
      <c r="GN238" s="8">
        <f ca="1">GM238-TODAY()</f>
        <v>656</v>
      </c>
      <c r="GO238" s="5" t="str">
        <f ca="1">IF(GN238&gt;=61,"VIGENTE",IF(GN238&gt;=1,"POR VENCER",IF(GN238&lt;=-1,"VENCIDA",IF(GL238=0,"NO APLICA"))))</f>
        <v>VIGENTE</v>
      </c>
      <c r="GP238" s="4"/>
      <c r="GQ238" s="4"/>
      <c r="GR238" s="4"/>
      <c r="GS238" s="8"/>
      <c r="GT238" s="5" t="str">
        <f t="shared" si="610"/>
        <v>NO APLICA</v>
      </c>
      <c r="GU238" s="3"/>
      <c r="GV238" s="4"/>
      <c r="GW238" s="4"/>
      <c r="GX238" s="8"/>
      <c r="GY238" s="5" t="str">
        <f t="shared" si="611"/>
        <v>NO APLICA</v>
      </c>
      <c r="GZ238" s="2"/>
      <c r="HA238" s="4"/>
      <c r="HB238" s="4"/>
      <c r="HC238" s="8"/>
      <c r="HD238" s="5" t="str">
        <f t="shared" si="612"/>
        <v>NO APLICA</v>
      </c>
      <c r="HE238" s="6"/>
      <c r="HF238" s="6"/>
      <c r="HG238" s="4"/>
      <c r="HH238" s="8"/>
      <c r="HI238" s="5" t="str">
        <f t="shared" si="698"/>
        <v>NO APLICA</v>
      </c>
      <c r="HJ238" s="2"/>
      <c r="HK238" s="6"/>
      <c r="HL238" s="4"/>
      <c r="HM238" s="8"/>
      <c r="HN238" s="5" t="str">
        <f t="shared" si="694"/>
        <v>NO APLICA</v>
      </c>
      <c r="HO238" s="2"/>
      <c r="HP238" s="2"/>
      <c r="HQ238" s="4"/>
      <c r="HR238" s="2"/>
      <c r="HS238" s="5" t="str">
        <f t="shared" si="732"/>
        <v>NO APLICA</v>
      </c>
      <c r="HT238" s="2"/>
      <c r="HU238" s="6"/>
      <c r="HV238" s="4"/>
      <c r="HW238" s="8"/>
      <c r="HX238" s="5" t="str">
        <f t="shared" si="733"/>
        <v>NO APLICA</v>
      </c>
      <c r="HY238" s="2"/>
      <c r="HZ238" s="6"/>
      <c r="IA238" s="4"/>
      <c r="IB238" s="8"/>
      <c r="IC238" s="5" t="str">
        <f t="shared" si="734"/>
        <v>NO APLICA</v>
      </c>
      <c r="ID238" s="2"/>
      <c r="IE238" s="6"/>
      <c r="IF238" s="4"/>
      <c r="IG238" s="8"/>
      <c r="IH238" s="5" t="str">
        <f t="shared" si="735"/>
        <v>NO APLICA</v>
      </c>
      <c r="II238" s="6"/>
      <c r="IJ238" s="6"/>
      <c r="IK238" s="4"/>
      <c r="IL238" s="8"/>
      <c r="IM238" s="5" t="str">
        <f t="shared" si="736"/>
        <v>NO APLICA</v>
      </c>
      <c r="IN238" s="2"/>
      <c r="IO238" s="6"/>
      <c r="IP238" s="4"/>
      <c r="IQ238" s="8"/>
      <c r="IR238" s="5" t="str">
        <f t="shared" si="737"/>
        <v>NO APLICA</v>
      </c>
      <c r="IS238" s="2"/>
      <c r="IT238" s="6"/>
      <c r="IU238" s="4"/>
      <c r="IV238" s="8"/>
      <c r="IW238" s="5" t="str">
        <f t="shared" si="738"/>
        <v>NO APLICA</v>
      </c>
      <c r="IX238" s="2"/>
      <c r="IY238" s="6"/>
      <c r="IZ238" s="4"/>
      <c r="JA238" s="8"/>
      <c r="JB238" s="5" t="str">
        <f t="shared" si="739"/>
        <v>NO APLICA</v>
      </c>
      <c r="JC238" s="3" t="s">
        <v>780</v>
      </c>
      <c r="JD238" s="3"/>
      <c r="JE238" s="4"/>
      <c r="JF238" s="8"/>
      <c r="JG238" s="5"/>
      <c r="JH238" s="3" t="s">
        <v>780</v>
      </c>
      <c r="JI238" s="6"/>
      <c r="JJ238" s="6"/>
      <c r="JK238" s="6"/>
      <c r="JL238" s="5"/>
      <c r="JM238" s="6" t="s">
        <v>780</v>
      </c>
      <c r="JN238" s="6"/>
      <c r="JO238" s="6"/>
      <c r="JP238" s="6"/>
      <c r="JQ238" s="5"/>
      <c r="JR238" s="6" t="s">
        <v>780</v>
      </c>
      <c r="JS238" s="6"/>
      <c r="JT238" s="6"/>
      <c r="JU238" s="6"/>
      <c r="JV238" s="5"/>
      <c r="JW238" s="6" t="s">
        <v>780</v>
      </c>
      <c r="JX238" s="3"/>
      <c r="JY238" s="4"/>
      <c r="JZ238" s="8"/>
      <c r="KA238" s="5"/>
      <c r="KB238" s="5"/>
      <c r="KC238" s="2"/>
      <c r="KD238" s="4"/>
      <c r="KE238" s="8"/>
      <c r="KF238" s="5" t="str">
        <f t="shared" si="740"/>
        <v>NO APLICA</v>
      </c>
      <c r="KG238" s="5"/>
      <c r="KH238" s="2"/>
      <c r="KI238" s="4"/>
      <c r="KJ238" s="8"/>
      <c r="KK238" s="5" t="str">
        <f t="shared" si="760"/>
        <v>NO APLICA</v>
      </c>
      <c r="KL238" s="5"/>
      <c r="KM238" s="2"/>
      <c r="KN238" s="4"/>
      <c r="KO238" s="8"/>
      <c r="KP238" s="5" t="str">
        <f t="shared" si="741"/>
        <v>NO APLICA</v>
      </c>
      <c r="KQ238" s="5"/>
      <c r="KR238" s="2"/>
      <c r="KS238" s="4"/>
      <c r="KT238" s="8"/>
      <c r="KU238" s="5" t="str">
        <f t="shared" si="761"/>
        <v>NO APLICA</v>
      </c>
      <c r="KV238" s="2"/>
      <c r="KW238" s="6"/>
      <c r="KX238" s="4"/>
      <c r="KY238" s="8"/>
      <c r="KZ238" s="5" t="str">
        <f t="shared" si="767"/>
        <v>NO APLICA</v>
      </c>
      <c r="LA238" s="5"/>
      <c r="LB238" s="6"/>
      <c r="LC238" s="4"/>
      <c r="LD238" s="8"/>
      <c r="LE238" s="5" t="str">
        <f t="shared" si="762"/>
        <v>NO APLICA</v>
      </c>
      <c r="LF238" s="6"/>
      <c r="LG238" s="6"/>
      <c r="LH238" s="4"/>
      <c r="LI238" s="8"/>
      <c r="LJ238" s="5" t="str">
        <f t="shared" si="773"/>
        <v>NO APLICA</v>
      </c>
      <c r="LK238" s="5"/>
      <c r="LL238" s="5"/>
      <c r="LM238" s="4"/>
      <c r="LN238" s="8"/>
      <c r="LO238" s="5" t="str">
        <f t="shared" si="768"/>
        <v>NO APLICA</v>
      </c>
      <c r="LP238" s="2"/>
      <c r="LQ238" s="6"/>
      <c r="LR238" s="4"/>
      <c r="LS238" s="8"/>
      <c r="LT238" s="5" t="str">
        <f t="shared" si="763"/>
        <v>NO APLICA</v>
      </c>
      <c r="LU238" s="6"/>
      <c r="LV238" s="6"/>
      <c r="LW238" s="4"/>
      <c r="LX238" s="8"/>
      <c r="LY238" s="5" t="str">
        <f t="shared" si="764"/>
        <v>NO APLICA</v>
      </c>
      <c r="LZ238" s="6"/>
      <c r="MA238" s="6"/>
      <c r="MB238" s="4"/>
      <c r="MC238" s="8"/>
      <c r="MD238" s="5" t="str">
        <f t="shared" si="765"/>
        <v>NO APLICA</v>
      </c>
      <c r="ME238" s="2"/>
      <c r="MF238" s="2"/>
      <c r="MG238" s="4"/>
      <c r="MH238" s="8"/>
      <c r="MI238" s="5" t="str">
        <f t="shared" si="742"/>
        <v>NO APLICA</v>
      </c>
      <c r="MJ238" s="2"/>
      <c r="MK238" s="2"/>
      <c r="ML238" s="4"/>
      <c r="MM238" s="8"/>
      <c r="MN238" s="5" t="str">
        <f t="shared" si="743"/>
        <v>NO APLICA</v>
      </c>
      <c r="MO238" s="5"/>
      <c r="MP238" s="2"/>
      <c r="MQ238" s="4"/>
      <c r="MR238" s="8"/>
      <c r="MS238" s="5" t="str">
        <f t="shared" si="744"/>
        <v>NO APLICA</v>
      </c>
      <c r="MT238" s="5"/>
      <c r="MU238" s="2"/>
      <c r="MV238" s="4"/>
      <c r="MW238" s="2"/>
      <c r="MX238" s="5" t="str">
        <f t="shared" si="745"/>
        <v>NO APLICA</v>
      </c>
      <c r="MY238" s="2"/>
      <c r="MZ238" s="6"/>
      <c r="NA238" s="4"/>
      <c r="NB238" s="8"/>
      <c r="NC238" s="5" t="str">
        <f t="shared" si="746"/>
        <v>NO APLICA</v>
      </c>
      <c r="ND238" s="2"/>
      <c r="NE238" s="6"/>
      <c r="NF238" s="4"/>
      <c r="NG238" s="8"/>
      <c r="NH238" s="5" t="str">
        <f t="shared" si="747"/>
        <v>NO APLICA</v>
      </c>
      <c r="NI238" s="2"/>
      <c r="NJ238" s="6"/>
      <c r="NK238" s="4"/>
      <c r="NL238" s="8"/>
      <c r="NM238" s="5" t="str">
        <f t="shared" si="748"/>
        <v>NO APLICA</v>
      </c>
      <c r="NN238" s="2"/>
      <c r="NO238" s="2"/>
      <c r="NP238" s="4"/>
      <c r="NQ238" s="8"/>
      <c r="NR238" s="5" t="str">
        <f t="shared" si="749"/>
        <v>NO APLICA</v>
      </c>
      <c r="NS238" s="2"/>
      <c r="NT238" s="2"/>
      <c r="NU238" s="4"/>
      <c r="NV238" s="2"/>
      <c r="NW238" s="5" t="str">
        <f t="shared" si="750"/>
        <v>NO APLICA</v>
      </c>
      <c r="NX238" s="6"/>
      <c r="NY238" s="6"/>
      <c r="NZ238" s="4"/>
      <c r="OA238" s="8"/>
      <c r="OB238" s="5" t="str">
        <f t="shared" si="751"/>
        <v>NO APLICA</v>
      </c>
      <c r="OC238" s="6"/>
      <c r="OD238" s="6"/>
      <c r="OE238" s="6"/>
      <c r="OF238" s="6"/>
      <c r="OG238" s="5" t="str">
        <f t="shared" si="752"/>
        <v>NO APLICA</v>
      </c>
      <c r="OH238" s="6"/>
      <c r="OI238" s="6"/>
      <c r="OJ238" s="4"/>
      <c r="OK238" s="8"/>
      <c r="OL238" s="5" t="str">
        <f t="shared" si="753"/>
        <v>NO APLICA</v>
      </c>
      <c r="OM238" s="6"/>
      <c r="ON238" s="6"/>
      <c r="OO238" s="6"/>
      <c r="OP238" s="6"/>
      <c r="OQ238" s="5" t="str">
        <f t="shared" si="754"/>
        <v>NO APLICA</v>
      </c>
      <c r="OR238" s="6"/>
      <c r="OS238" s="6"/>
      <c r="OT238" s="6"/>
      <c r="OU238" s="6"/>
      <c r="OV238" s="5" t="str">
        <f t="shared" si="755"/>
        <v>NO APLICA</v>
      </c>
      <c r="OW238" s="6"/>
      <c r="OX238" s="6"/>
      <c r="OY238" s="6"/>
      <c r="OZ238" s="6"/>
      <c r="PA238" s="5" t="str">
        <f t="shared" si="769"/>
        <v>NO APLICA</v>
      </c>
      <c r="PB238" s="6"/>
      <c r="PC238" s="6"/>
      <c r="PD238" s="6"/>
      <c r="PE238" s="6"/>
      <c r="PF238" s="5" t="str">
        <f t="shared" si="756"/>
        <v>NO APLICA</v>
      </c>
      <c r="PG238" s="6"/>
      <c r="PH238" s="6"/>
      <c r="PI238" s="6"/>
      <c r="PJ238" s="6"/>
      <c r="PK238" s="5" t="str">
        <f t="shared" si="757"/>
        <v>NO APLICA</v>
      </c>
      <c r="PL238" s="5"/>
      <c r="PM238" s="6"/>
      <c r="PN238" s="4"/>
      <c r="PO238" s="8"/>
      <c r="PP238" s="5" t="str">
        <f t="shared" si="766"/>
        <v>NO APLICA</v>
      </c>
      <c r="PQ238" s="6"/>
      <c r="PR238" s="6"/>
      <c r="PS238" s="6"/>
      <c r="PT238" s="6"/>
      <c r="PU238" s="5" t="str">
        <f t="shared" si="758"/>
        <v>NO APLICA</v>
      </c>
      <c r="PV238" s="5"/>
      <c r="PW238" s="6"/>
      <c r="PX238" s="6"/>
      <c r="PY238" s="6"/>
      <c r="PZ238" s="5" t="str">
        <f t="shared" si="759"/>
        <v>NO APLICA</v>
      </c>
    </row>
    <row r="239" spans="1:442" ht="15.6" hidden="1" thickTop="1" thickBot="1" x14ac:dyDescent="0.35">
      <c r="A239" s="26">
        <v>236</v>
      </c>
      <c r="B239" s="27">
        <v>1162</v>
      </c>
      <c r="C239" s="33" t="s">
        <v>693</v>
      </c>
      <c r="D239" s="29" t="s">
        <v>68</v>
      </c>
      <c r="E239" s="30" t="s">
        <v>73</v>
      </c>
      <c r="F239" s="6"/>
      <c r="G239" s="6"/>
      <c r="H239" s="4"/>
      <c r="I239" s="8"/>
      <c r="J239" s="5" t="str">
        <f t="shared" si="696"/>
        <v>NO APLICA</v>
      </c>
      <c r="K239" s="2"/>
      <c r="L239" s="3"/>
      <c r="M239" s="4"/>
      <c r="N239" s="4"/>
      <c r="O239" s="5" t="str">
        <f t="shared" si="699"/>
        <v>NO APLICA</v>
      </c>
      <c r="P239" s="5"/>
      <c r="Q239" s="2"/>
      <c r="R239" s="3"/>
      <c r="S239" s="4"/>
      <c r="T239" s="5" t="str">
        <f t="shared" si="697"/>
        <v>NO APLICA</v>
      </c>
      <c r="U239" s="5"/>
      <c r="V239" s="8"/>
      <c r="W239" s="4">
        <v>44590</v>
      </c>
      <c r="X239" s="4">
        <f>DATE(YEAR(W239)+5,MONTH(W239),DAY(W239))</f>
        <v>46416</v>
      </c>
      <c r="Y239" s="8">
        <f ca="1">X239-TODAY()</f>
        <v>271</v>
      </c>
      <c r="Z239" s="5" t="str">
        <f t="shared" ref="Z239:Z240" ca="1" si="774">IF(Y239&gt;=90,"VIGENTE",IF(Y239&gt;=1,"POR VENCER",IF(Y239&lt;=-1,"VENCIDA",IF(W239=0,"NO APLICA"))))</f>
        <v>VIGENTE</v>
      </c>
      <c r="AA239" s="5"/>
      <c r="AB239" s="5" t="s">
        <v>694</v>
      </c>
      <c r="AC239" s="4">
        <v>44988</v>
      </c>
      <c r="AD239" s="4">
        <f>DATE(YEAR(AC239)+5,MONTH(AC239),DAY(AC239))</f>
        <v>46815</v>
      </c>
      <c r="AE239" s="8">
        <f ca="1">AD239-TODAY()</f>
        <v>670</v>
      </c>
      <c r="AF239" s="5" t="str">
        <f t="shared" ca="1" si="700"/>
        <v>VIGENTE</v>
      </c>
      <c r="AG239" s="3"/>
      <c r="AH239" s="4"/>
      <c r="AI239" s="4"/>
      <c r="AJ239" s="8"/>
      <c r="AK239" s="5" t="str">
        <f t="shared" si="772"/>
        <v>NO APLICA</v>
      </c>
      <c r="AL239" s="3"/>
      <c r="AM239" s="4"/>
      <c r="AN239" s="4"/>
      <c r="AO239" s="8"/>
      <c r="AP239" s="5" t="str">
        <f t="shared" si="701"/>
        <v>NO APLICA</v>
      </c>
      <c r="AQ239" s="3"/>
      <c r="AR239" s="4"/>
      <c r="AS239" s="4"/>
      <c r="AT239" s="8"/>
      <c r="AU239" s="5" t="str">
        <f t="shared" ref="AU239:AU240" si="775">IF(AT239&gt;=91,"VIGENTE",IF(AT239&gt;=1,"POR VENCER",IF(AT239&lt;=-1,"VENCIDA",IF(AR239=0,"NO APLICA"))))</f>
        <v>NO APLICA</v>
      </c>
      <c r="AV239" s="3"/>
      <c r="AW239" s="4"/>
      <c r="AX239" s="4"/>
      <c r="AY239" s="8"/>
      <c r="AZ239" s="5" t="str">
        <f t="shared" ref="AZ239:AZ240" si="776">IF(AY239&gt;=91,"VIGENTE",IF(AY239&gt;=1,"POR VENCER",IF(AY239&lt;=-1,"VENCIDA",IF(AW239=0,"NO APLICA"))))</f>
        <v>NO APLICA</v>
      </c>
      <c r="BA239" s="3"/>
      <c r="BB239" s="4"/>
      <c r="BC239" s="4"/>
      <c r="BD239" s="8"/>
      <c r="BE239" s="5" t="str">
        <f t="shared" ref="BE239:BE240" si="777">IF(BD239&gt;=91,"VIGENTE",IF(BD239&gt;=1,"POR VENCER",IF(BD239&lt;=-1,"VENCIDA",IF(BB239=0,"NO APLICA"))))</f>
        <v>NO APLICA</v>
      </c>
      <c r="BF239" s="3"/>
      <c r="BG239" s="4"/>
      <c r="BH239" s="4"/>
      <c r="BI239" s="8"/>
      <c r="BJ239" s="5" t="str">
        <f t="shared" ref="BJ239:BJ240" si="778">IF(BI239&gt;=91,"VIGENTE",IF(BI239&gt;=1,"POR VENCER",IF(BI239&lt;=-1,"VENCIDA",IF(BG239=0,"NO APLICA"))))</f>
        <v>NO APLICA</v>
      </c>
      <c r="BK239" s="3"/>
      <c r="BL239" s="4"/>
      <c r="BM239" s="4"/>
      <c r="BN239" s="8"/>
      <c r="BO239" s="5" t="str">
        <f t="shared" ref="BO239:BO240" si="779">IF(BN239&gt;=91,"VIGENTE",IF(BN239&gt;=1,"POR VENCER",IF(BN239&lt;=-1,"VENCIDA",IF(BL239=0,"NO APLICA"))))</f>
        <v>NO APLICA</v>
      </c>
      <c r="BP239" s="3"/>
      <c r="BQ239" s="39"/>
      <c r="BR239" s="4"/>
      <c r="BS239" s="8"/>
      <c r="BT239" s="5" t="str">
        <f t="shared" ref="BT239:BT240" si="780">IF(BS239&gt;=91,"VIGENTE",IF(BS239&gt;=1,"POR VENCER",IF(BS239&lt;=-1,"VENCIDA",IF(BQ239=0,"NO APLICA"))))</f>
        <v>NO APLICA</v>
      </c>
      <c r="BU239" s="4"/>
      <c r="BV239" s="4"/>
      <c r="BW239" s="4"/>
      <c r="BX239" s="8"/>
      <c r="BY239" s="5" t="str">
        <f t="shared" ref="BY239:BY240" si="781">IF(BX239&gt;=91,"VIGENTE",IF(BX239&gt;=1,"POR VENCER",IF(BX239&lt;=-1,"VENCIDA",IF(BV239=0,"NO APLICA"))))</f>
        <v>NO APLICA</v>
      </c>
      <c r="BZ239" s="4"/>
      <c r="CA239" s="4"/>
      <c r="CB239" s="4"/>
      <c r="CC239" s="8"/>
      <c r="CD239" s="5" t="str">
        <f t="shared" ref="CD239:CD240" si="782">IF(CC239&gt;=91,"VIGENTE",IF(CC239&gt;=1,"POR VENCER",IF(CC239&lt;=-1,"VENCIDA",IF(CA239=0,"NO APLICA"))))</f>
        <v>NO APLICA</v>
      </c>
      <c r="CE239" s="3"/>
      <c r="CF239" s="4">
        <v>45247</v>
      </c>
      <c r="CG239" s="4">
        <f>DATE(YEAR(CF239)+4,MONTH(CF239),DAY(CF239))</f>
        <v>46708</v>
      </c>
      <c r="CH239" s="8">
        <f ca="1">CG239-TODAY()</f>
        <v>563</v>
      </c>
      <c r="CI239" s="5" t="str">
        <f t="shared" ref="CI239:CI240" ca="1" si="783">IF(CH239&gt;=90,"VIGENTE",IF(CH239&gt;=1,"POR VENCER",IF(CH239&lt;=-1,"VENCIDA",IF(CH239=0,"NO APLICA"))))</f>
        <v>VIGENTE</v>
      </c>
      <c r="CJ239" s="4"/>
      <c r="CK239" s="4"/>
      <c r="CL239" s="8"/>
      <c r="CM239" s="5"/>
      <c r="CN239" s="5" t="str">
        <f t="shared" ref="CN239:CN240" si="784">IF(CM239&gt;=91,"VIGENTE",IF(CM239&gt;=1,"POR VENCER",IF(CM239&lt;=-1,"VENCIDA",IF(CK239=0,"NO APLICA"))))</f>
        <v>NO APLICA</v>
      </c>
      <c r="CO239" s="4"/>
      <c r="CP239" s="39"/>
      <c r="CQ239" s="8"/>
      <c r="CR239" s="5"/>
      <c r="CS239" s="5" t="str">
        <f t="shared" ref="CS239:CS240" si="785">IF(CR239&gt;=91,"VIGENTE",IF(CR239&gt;=1,"POR VENCER",IF(CR239&lt;=-1,"VENCIDA",IF(CP239=0,"NO APLICA"))))</f>
        <v>NO APLICA</v>
      </c>
      <c r="CT239" s="4"/>
      <c r="CU239" s="4"/>
      <c r="CV239" s="8"/>
      <c r="CW239" s="5"/>
      <c r="CX239" s="5" t="str">
        <f t="shared" ref="CX239:CX240" si="786">IF(CW239&gt;=91,"VIGENTE",IF(CW239&gt;=1,"POR VENCER",IF(CW239&lt;=-1,"VENCIDA",IF(CU239=0,"NO APLICA"))))</f>
        <v>NO APLICA</v>
      </c>
      <c r="CY239" s="4"/>
      <c r="CZ239" s="4"/>
      <c r="DA239" s="8"/>
      <c r="DB239" s="5"/>
      <c r="DC239" s="5" t="str">
        <f t="shared" ref="DC239:DC240" si="787">IF(DB239&gt;=91,"VIGENTE",IF(DB239&gt;=1,"POR VENCER",IF(DB239&lt;=-1,"VENCIDA",IF(CZ239=0,"NO APLICA"))))</f>
        <v>NO APLICA</v>
      </c>
      <c r="DD239" s="4"/>
      <c r="DE239" s="39"/>
      <c r="DF239" s="8"/>
      <c r="DG239" s="5"/>
      <c r="DH239" s="5" t="str">
        <f t="shared" ref="DH239:DH240" si="788">IF(DG239&gt;=91,"VIGENTE",IF(DG239&gt;=1,"POR VENCER",IF(DG239&lt;=-1,"VENCIDA",IF(DE239=0,"NO APLICA"))))</f>
        <v>NO APLICA</v>
      </c>
      <c r="DI239" s="4"/>
      <c r="DJ239" s="39"/>
      <c r="DK239" s="8"/>
      <c r="DL239" s="5"/>
      <c r="DM239" s="5" t="str">
        <f t="shared" ref="DM239:DM240" si="789">IF(DL239&gt;=91,"VIGENTE",IF(DL239&gt;=1,"POR VENCER",IF(DL239&lt;=-1,"VENCIDA",IF(DJ239=0,"NO APLICA"))))</f>
        <v>NO APLICA</v>
      </c>
      <c r="DN239" s="4"/>
      <c r="DO239" s="4"/>
      <c r="DP239" s="8"/>
      <c r="DQ239" s="5"/>
      <c r="DR239" s="5" t="str">
        <f t="shared" ref="DR239:DR240" si="790">IF(DQ239&gt;=91,"VIGENTE",IF(DQ239&gt;=1,"POR VENCER",IF(DQ239&lt;=-1,"VENCIDA",IF(DO239=0,"NO APLICA"))))</f>
        <v>NO APLICA</v>
      </c>
      <c r="DS239" s="4"/>
      <c r="DT239" s="4"/>
      <c r="DU239" s="8"/>
      <c r="DV239" s="5"/>
      <c r="DW239" s="5" t="str">
        <f t="shared" ref="DW239:DW240" si="791">IF(DV239&gt;=91,"VIGENTE",IF(DV239&gt;=1,"POR VENCER",IF(DV239&lt;=-1,"VENCIDA",IF(DT239=0,"NO APLICA"))))</f>
        <v>NO APLICA</v>
      </c>
      <c r="DX239" s="3"/>
      <c r="DY239" s="3"/>
      <c r="DZ239" s="4"/>
      <c r="EA239" s="4"/>
      <c r="EB239" s="5" t="str">
        <f t="shared" ref="EB239:EB240" si="792">IF(EA239&gt;=91,"VIGENTE",IF(EA239&gt;=1,"POR VENCER",IF(EA239&lt;=-1,"VENCIDA",IF(DY239=0,"NO APLICA"))))</f>
        <v>NO APLICA</v>
      </c>
      <c r="EC239" s="5"/>
      <c r="ED239" s="40"/>
      <c r="EE239" s="4"/>
      <c r="EF239" s="4"/>
      <c r="EG239" s="5" t="str">
        <f t="shared" ref="EG239:EG240" si="793">IF(EF239&gt;=91,"VIGENTE",IF(EF239&gt;=1,"POR VENCER",IF(EF239&lt;=-1,"VENCIDA",IF(ED239=0,"NO APLICA"))))</f>
        <v>NO APLICA</v>
      </c>
      <c r="EH239" s="4"/>
      <c r="EI239" s="4"/>
      <c r="EJ239" s="8"/>
      <c r="EK239" s="5"/>
      <c r="EL239" s="5" t="str">
        <f t="shared" ref="EL239:EL240" si="794">IF(EK239&gt;=91,"VIGENTE",IF(EK239&gt;=1,"POR VENCER",IF(EK239&lt;=-1,"VENCIDA",IF(EI239=0,"NO APLICA"))))</f>
        <v>NO APLICA</v>
      </c>
      <c r="EM239" s="4"/>
      <c r="EN239" s="4"/>
      <c r="EO239" s="8"/>
      <c r="EP239" s="5"/>
      <c r="EQ239" s="5" t="str">
        <f t="shared" ref="EQ239:EQ240" si="795">IF(EP239&gt;=91,"VIGENTE",IF(EP239&gt;=1,"POR VENCER",IF(EP239&lt;=-1,"VENCIDA",IF(EN239=0,"NO APLICA"))))</f>
        <v>NO APLICA</v>
      </c>
      <c r="ER239" s="4"/>
      <c r="ES239" s="39"/>
      <c r="ET239" s="8"/>
      <c r="EU239" s="5"/>
      <c r="EV239" s="5" t="str">
        <f t="shared" ref="EV239:EV240" si="796">IF(EU239&gt;=91,"VIGENTE",IF(EU239&gt;=1,"POR VENCER",IF(EU239&lt;=-1,"VENCIDA",IF(ES239=0,"NO APLICA"))))</f>
        <v>NO APLICA</v>
      </c>
      <c r="EW239" s="4"/>
      <c r="EX239" s="4"/>
      <c r="EY239" s="8"/>
      <c r="EZ239" s="5"/>
      <c r="FA239" s="5" t="str">
        <f t="shared" ref="FA239:FA240" si="797">IF(EZ239&gt;=91,"VIGENTE",IF(EZ239&gt;=1,"POR VENCER",IF(EZ239&lt;=-1,"VENCIDA",IF(EX239=0,"NO APLICA"))))</f>
        <v>NO APLICA</v>
      </c>
      <c r="FB239" s="4"/>
      <c r="FC239" s="4"/>
      <c r="FD239" s="8"/>
      <c r="FE239" s="5"/>
      <c r="FF239" s="5" t="str">
        <f t="shared" ref="FF239:FF240" si="798">IF(FE239&gt;=91,"VIGENTE",IF(FE239&gt;=1,"POR VENCER",IF(FE239&lt;=-1,"VENCIDA",IF(FC239=0,"NO APLICA"))))</f>
        <v>NO APLICA</v>
      </c>
      <c r="FG239" s="4"/>
      <c r="FH239" s="4"/>
      <c r="FI239" s="8"/>
      <c r="FJ239" s="5"/>
      <c r="FK239" s="5" t="str">
        <f t="shared" ref="FK239:FK240" si="799">IF(FJ239&gt;=91,"VIGENTE",IF(FJ239&gt;=1,"POR VENCER",IF(FJ239&lt;=-1,"VENCIDA",IF(FH239=0,"NO APLICA"))))</f>
        <v>NO APLICA</v>
      </c>
      <c r="FL239" s="4"/>
      <c r="FM239" s="39"/>
      <c r="FN239" s="8"/>
      <c r="FO239" s="5"/>
      <c r="FP239" s="5" t="str">
        <f t="shared" ref="FP239:FP240" si="800">IF(FO239&gt;=91,"VIGENTE",IF(FO239&gt;=1,"POR VENCER",IF(FO239&lt;=-1,"VENCIDA",IF(FM239=0,"NO APLICA"))))</f>
        <v>NO APLICA</v>
      </c>
      <c r="FQ239" s="4"/>
      <c r="FR239" s="39"/>
      <c r="FS239" s="8"/>
      <c r="FT239" s="5"/>
      <c r="FU239" s="5" t="str">
        <f t="shared" ref="FU239:FU240" si="801">IF(FT239&gt;=91,"VIGENTE",IF(FT239&gt;=1,"POR VENCER",IF(FT239&lt;=-1,"VENCIDA",IF(FR239=0,"NO APLICA"))))</f>
        <v>NO APLICA</v>
      </c>
      <c r="FV239" s="4"/>
      <c r="FW239" s="4"/>
      <c r="FX239" s="8"/>
      <c r="FY239" s="5"/>
      <c r="FZ239" s="5" t="str">
        <f t="shared" ref="FZ239:FZ240" si="802">IF(FY239&gt;=91,"VIGENTE",IF(FY239&gt;=1,"POR VENCER",IF(FY239&lt;=-1,"VENCIDA",IF(FW239=0,"NO APLICA"))))</f>
        <v>NO APLICA</v>
      </c>
      <c r="GA239" s="4"/>
      <c r="GB239" s="4"/>
      <c r="GC239" s="8"/>
      <c r="GD239" s="5"/>
      <c r="GE239" s="5" t="str">
        <f t="shared" ref="GE239:GE240" si="803">IF(GD239&gt;=91,"VIGENTE",IF(GD239&gt;=1,"POR VENCER",IF(GD239&lt;=-1,"VENCIDA",IF(GB239=0,"NO APLICA"))))</f>
        <v>NO APLICA</v>
      </c>
      <c r="GF239" s="4"/>
      <c r="GG239" s="4"/>
      <c r="GH239" s="8"/>
      <c r="GI239" s="5"/>
      <c r="GJ239" s="5" t="str">
        <f t="shared" ref="GJ239:GJ240" si="804">IF(GI239&gt;=91,"VIGENTE",IF(GI239&gt;=1,"POR VENCER",IF(GI239&lt;=-1,"VENCIDA",IF(GG239=0,"NO APLICA"))))</f>
        <v>NO APLICA</v>
      </c>
      <c r="GK239" s="4"/>
      <c r="GL239" s="4"/>
      <c r="GM239" s="8"/>
      <c r="GN239" s="5"/>
      <c r="GO239" s="5" t="str">
        <f t="shared" ref="GO239:GO240" si="805">IF(GN239&gt;=61,"VIGENTE",IF(GN239&gt;=1,"POR VENCER",IF(GN239&lt;=-1,"VENCIDA",IF(GL239=0,"NO APLICA"))))</f>
        <v>NO APLICA</v>
      </c>
      <c r="GP239" s="4"/>
      <c r="GQ239" s="4"/>
      <c r="GR239" s="8"/>
      <c r="GS239" s="5"/>
      <c r="GT239" s="5" t="str">
        <f t="shared" si="610"/>
        <v>NO APLICA</v>
      </c>
      <c r="GU239" s="4"/>
      <c r="GV239" s="4"/>
      <c r="GW239" s="8"/>
      <c r="GX239" s="5"/>
      <c r="GY239" s="5" t="str">
        <f t="shared" si="611"/>
        <v>NO APLICA</v>
      </c>
      <c r="GZ239" s="6"/>
      <c r="HA239" s="4"/>
      <c r="HB239" s="8"/>
      <c r="HC239" s="5"/>
      <c r="HD239" s="5" t="str">
        <f t="shared" si="612"/>
        <v>NO APLICA</v>
      </c>
      <c r="HE239" s="2"/>
      <c r="HF239" s="4"/>
      <c r="HG239" s="2"/>
      <c r="HH239" s="5"/>
      <c r="HI239" s="5" t="str">
        <f t="shared" si="698"/>
        <v>NO APLICA</v>
      </c>
      <c r="HJ239" s="4"/>
      <c r="HK239" s="4"/>
      <c r="HL239" s="8"/>
      <c r="HM239" s="5"/>
      <c r="HN239" s="5" t="str">
        <f t="shared" si="694"/>
        <v>NO APLICA</v>
      </c>
      <c r="HO239" s="4"/>
      <c r="HP239" s="4"/>
      <c r="HQ239" s="8"/>
      <c r="HR239" s="5"/>
      <c r="HS239" s="5" t="str">
        <f t="shared" si="732"/>
        <v>NO APLICA</v>
      </c>
      <c r="HT239" s="4"/>
      <c r="HU239" s="4"/>
      <c r="HV239" s="8"/>
      <c r="HW239" s="5"/>
      <c r="HX239" s="5" t="str">
        <f t="shared" si="733"/>
        <v>NO APLICA</v>
      </c>
      <c r="HY239" s="4"/>
      <c r="HZ239" s="4"/>
      <c r="IA239" s="8"/>
      <c r="IB239" s="5"/>
      <c r="IC239" s="5" t="str">
        <f t="shared" si="734"/>
        <v>NO APLICA</v>
      </c>
      <c r="ID239" s="4"/>
      <c r="IE239" s="4"/>
      <c r="IF239" s="8"/>
      <c r="IG239" s="5"/>
      <c r="IH239" s="5" t="str">
        <f t="shared" si="735"/>
        <v>NO APLICA</v>
      </c>
      <c r="II239" s="4"/>
      <c r="IJ239" s="4"/>
      <c r="IK239" s="8"/>
      <c r="IL239" s="5"/>
      <c r="IM239" s="5" t="str">
        <f t="shared" si="736"/>
        <v>NO APLICA</v>
      </c>
      <c r="IN239" s="4"/>
      <c r="IO239" s="4"/>
      <c r="IP239" s="8"/>
      <c r="IQ239" s="5"/>
      <c r="IR239" s="5" t="str">
        <f t="shared" si="737"/>
        <v>NO APLICA</v>
      </c>
      <c r="IS239" s="3"/>
      <c r="IT239" s="4"/>
      <c r="IU239" s="8"/>
      <c r="IV239" s="5"/>
      <c r="IW239" s="5" t="str">
        <f t="shared" si="738"/>
        <v>NO APLICA</v>
      </c>
      <c r="IX239" s="6"/>
      <c r="IY239" s="6"/>
      <c r="IZ239" s="5"/>
      <c r="JA239" s="6"/>
      <c r="JB239" s="5" t="str">
        <f t="shared" si="739"/>
        <v>NO APLICA</v>
      </c>
      <c r="JC239" s="3" t="s">
        <v>780</v>
      </c>
      <c r="JD239" s="5"/>
      <c r="JE239" s="6"/>
      <c r="JF239" s="6"/>
      <c r="JG239" s="5"/>
      <c r="JH239" s="3" t="s">
        <v>780</v>
      </c>
      <c r="JI239" s="6"/>
      <c r="JJ239" s="5"/>
      <c r="JK239" s="2"/>
      <c r="JL239" s="5"/>
      <c r="JM239" s="6" t="s">
        <v>780</v>
      </c>
      <c r="JN239" s="8"/>
      <c r="JO239" s="5"/>
      <c r="JP239" s="2"/>
      <c r="JQ239" s="5"/>
      <c r="JR239" s="6" t="s">
        <v>780</v>
      </c>
      <c r="JS239" s="5"/>
      <c r="JT239" s="2"/>
      <c r="JU239" s="4"/>
      <c r="JV239" s="5"/>
      <c r="JW239" s="6" t="s">
        <v>780</v>
      </c>
      <c r="JX239" s="2"/>
      <c r="JY239" s="4"/>
      <c r="JZ239" s="8"/>
      <c r="KA239" s="5"/>
      <c r="KB239" s="5"/>
      <c r="KC239" s="2"/>
      <c r="KD239" s="6"/>
      <c r="KE239" s="4"/>
      <c r="KF239" s="5" t="str">
        <f t="shared" si="740"/>
        <v>NO APLICA</v>
      </c>
      <c r="KG239" s="5"/>
      <c r="KH239" s="5"/>
      <c r="KI239" s="4"/>
      <c r="KJ239" s="4"/>
      <c r="KK239" s="5" t="str">
        <f t="shared" si="760"/>
        <v>NO APLICA</v>
      </c>
      <c r="KL239" s="5"/>
      <c r="KM239" s="5"/>
      <c r="KN239" s="6"/>
      <c r="KO239" s="6"/>
      <c r="KP239" s="5" t="str">
        <f t="shared" si="741"/>
        <v>NO APLICA</v>
      </c>
      <c r="KQ239" s="5"/>
      <c r="KR239" s="8"/>
      <c r="KS239" s="5"/>
      <c r="KT239" s="5"/>
      <c r="KU239" s="5" t="str">
        <f t="shared" si="761"/>
        <v>NO APLICA</v>
      </c>
      <c r="KV239" s="5"/>
      <c r="KW239" s="5"/>
      <c r="KX239" s="5"/>
      <c r="KY239" s="2"/>
      <c r="KZ239" s="5" t="str">
        <f t="shared" si="767"/>
        <v>NO APLICA</v>
      </c>
      <c r="LA239" s="5"/>
      <c r="LB239" s="4"/>
      <c r="LC239" s="8"/>
      <c r="LD239" s="5"/>
      <c r="LE239" s="5" t="str">
        <f t="shared" si="762"/>
        <v>NO APLICA</v>
      </c>
      <c r="LF239" s="6"/>
      <c r="LG239" s="4"/>
      <c r="LH239" s="8"/>
      <c r="LI239" s="5"/>
      <c r="LJ239" s="5" t="str">
        <f t="shared" si="773"/>
        <v>NO APLICA</v>
      </c>
      <c r="LK239" s="6"/>
      <c r="LL239" s="4"/>
      <c r="LM239" s="8"/>
      <c r="LN239" s="5"/>
      <c r="LO239" s="5" t="str">
        <f t="shared" si="768"/>
        <v>NO APLICA</v>
      </c>
      <c r="LP239" s="2"/>
      <c r="LQ239" s="4"/>
      <c r="LR239" s="8"/>
      <c r="LS239" s="5"/>
      <c r="LT239" s="5" t="str">
        <f t="shared" si="763"/>
        <v>NO APLICA</v>
      </c>
      <c r="LU239" s="2"/>
      <c r="LV239" s="4"/>
      <c r="LW239" s="8"/>
      <c r="LX239" s="5"/>
      <c r="LY239" s="5" t="str">
        <f t="shared" si="764"/>
        <v>NO APLICA</v>
      </c>
      <c r="LZ239" s="4"/>
      <c r="MA239" s="8"/>
      <c r="MB239" s="5"/>
      <c r="MC239" s="2"/>
      <c r="MD239" s="5" t="str">
        <f t="shared" si="765"/>
        <v>NO APLICA</v>
      </c>
      <c r="ME239" s="2"/>
      <c r="MF239" s="5"/>
      <c r="MG239" s="2"/>
      <c r="MH239" s="6"/>
      <c r="MI239" s="5" t="str">
        <f t="shared" si="742"/>
        <v>NO APLICA</v>
      </c>
      <c r="MJ239" s="8"/>
      <c r="MK239" s="5"/>
      <c r="ML239" s="2"/>
      <c r="MM239" s="6"/>
      <c r="MN239" s="5" t="str">
        <f t="shared" si="743"/>
        <v>NO APLICA</v>
      </c>
      <c r="MO239" s="5"/>
      <c r="MP239" s="8"/>
      <c r="MQ239" s="5"/>
      <c r="MR239" s="2"/>
      <c r="MS239" s="5" t="str">
        <f t="shared" si="744"/>
        <v>NO APLICA</v>
      </c>
      <c r="MT239" s="5"/>
      <c r="MU239" s="4"/>
      <c r="MV239" s="8"/>
      <c r="MW239" s="5"/>
      <c r="MX239" s="5" t="str">
        <f t="shared" si="745"/>
        <v>NO APLICA</v>
      </c>
      <c r="MY239" s="2"/>
      <c r="MZ239" s="4"/>
      <c r="NA239" s="2"/>
      <c r="NB239" s="5"/>
      <c r="NC239" s="5" t="str">
        <f t="shared" si="746"/>
        <v>NO APLICA</v>
      </c>
      <c r="ND239" s="2"/>
      <c r="NE239" s="4"/>
      <c r="NF239" s="2"/>
      <c r="NG239" s="5"/>
      <c r="NH239" s="5" t="str">
        <f t="shared" si="747"/>
        <v>NO APLICA</v>
      </c>
      <c r="NI239" s="6"/>
      <c r="NJ239" s="4"/>
      <c r="NK239" s="8"/>
      <c r="NL239" s="5"/>
      <c r="NM239" s="5" t="str">
        <f t="shared" si="748"/>
        <v>NO APLICA</v>
      </c>
      <c r="NN239" s="6"/>
      <c r="NO239" s="6"/>
      <c r="NP239" s="6"/>
      <c r="NQ239" s="5"/>
      <c r="NR239" s="5" t="str">
        <f t="shared" si="749"/>
        <v>NO APLICA</v>
      </c>
      <c r="NS239" s="6"/>
      <c r="NT239" s="4"/>
      <c r="NU239" s="8"/>
      <c r="NV239" s="5"/>
      <c r="NW239" s="5" t="str">
        <f t="shared" si="750"/>
        <v>NO APLICA</v>
      </c>
      <c r="NX239" s="6"/>
      <c r="NY239" s="6"/>
      <c r="NZ239" s="6"/>
      <c r="OA239" s="5"/>
      <c r="OB239" s="5" t="str">
        <f t="shared" si="751"/>
        <v>NO APLICA</v>
      </c>
      <c r="OC239" s="6"/>
      <c r="OD239" s="6"/>
      <c r="OE239" s="6"/>
      <c r="OF239" s="5"/>
      <c r="OG239" s="5" t="str">
        <f t="shared" si="752"/>
        <v>NO APLICA</v>
      </c>
      <c r="OH239" s="6"/>
      <c r="OI239" s="6"/>
      <c r="OJ239" s="6"/>
      <c r="OK239" s="5"/>
      <c r="OL239" s="5" t="str">
        <f t="shared" si="753"/>
        <v>NO APLICA</v>
      </c>
      <c r="OM239" s="6"/>
      <c r="ON239" s="6"/>
      <c r="OO239" s="6"/>
      <c r="OP239" s="5"/>
      <c r="OQ239" s="5" t="str">
        <f t="shared" si="754"/>
        <v>NO APLICA</v>
      </c>
      <c r="OR239" s="6"/>
      <c r="OS239" s="6"/>
      <c r="OT239" s="6"/>
      <c r="OU239" s="5"/>
      <c r="OV239" s="5" t="str">
        <f t="shared" si="755"/>
        <v>NO APLICA</v>
      </c>
      <c r="OW239" s="4"/>
      <c r="OX239" s="8"/>
      <c r="OY239" s="5"/>
      <c r="OZ239" s="6"/>
      <c r="PA239" s="5" t="str">
        <f t="shared" si="769"/>
        <v>NO APLICA</v>
      </c>
      <c r="PB239" s="6"/>
      <c r="PC239" s="6"/>
      <c r="PD239" s="5"/>
      <c r="PE239" s="6"/>
      <c r="PF239" s="5" t="str">
        <f t="shared" si="756"/>
        <v>NO APLICA</v>
      </c>
      <c r="PG239" s="6"/>
      <c r="PH239" s="5"/>
      <c r="PI239" s="6"/>
      <c r="PJ239" s="4"/>
      <c r="PK239" s="5" t="str">
        <f t="shared" si="757"/>
        <v>NO APLICA</v>
      </c>
      <c r="PL239" s="5"/>
      <c r="PM239" s="6"/>
      <c r="PN239" s="6"/>
      <c r="PO239" s="6"/>
      <c r="PP239" s="5" t="str">
        <f t="shared" si="766"/>
        <v>NO APLICA</v>
      </c>
      <c r="PQ239" s="6"/>
      <c r="PR239" s="6"/>
      <c r="PS239" s="6"/>
      <c r="PT239" s="6"/>
      <c r="PU239" s="5" t="str">
        <f t="shared" si="758"/>
        <v>NO APLICA</v>
      </c>
      <c r="PV239" s="5"/>
      <c r="PW239" s="4">
        <v>46126</v>
      </c>
      <c r="PX239" s="4">
        <f>DATE(YEAR(PW239)+1,MONTH(PW239),DAY(PW239))</f>
        <v>46491</v>
      </c>
      <c r="PY239" s="8">
        <f ca="1">PX239-TODAY()</f>
        <v>346</v>
      </c>
      <c r="PZ239" s="5" t="str">
        <f t="shared" ca="1" si="759"/>
        <v>VIGENTE</v>
      </c>
    </row>
    <row r="240" spans="1:442" ht="15.6" hidden="1" thickTop="1" thickBot="1" x14ac:dyDescent="0.35">
      <c r="A240" s="26">
        <v>237</v>
      </c>
      <c r="B240" s="27">
        <v>914</v>
      </c>
      <c r="C240" s="33" t="s">
        <v>695</v>
      </c>
      <c r="D240" s="29" t="s">
        <v>113</v>
      </c>
      <c r="E240" s="30" t="s">
        <v>696</v>
      </c>
      <c r="F240" s="6"/>
      <c r="G240" s="6"/>
      <c r="H240" s="4"/>
      <c r="I240" s="8"/>
      <c r="J240" s="5" t="str">
        <f t="shared" si="696"/>
        <v>NO APLICA</v>
      </c>
      <c r="K240" s="2"/>
      <c r="L240" s="3"/>
      <c r="M240" s="4"/>
      <c r="N240" s="4"/>
      <c r="O240" s="5" t="str">
        <f t="shared" si="699"/>
        <v>NO APLICA</v>
      </c>
      <c r="P240" s="5"/>
      <c r="Q240" s="2"/>
      <c r="R240" s="3"/>
      <c r="S240" s="4"/>
      <c r="T240" s="5" t="str">
        <f t="shared" si="697"/>
        <v>NO APLICA</v>
      </c>
      <c r="U240" s="5"/>
      <c r="V240" s="8"/>
      <c r="W240" s="4"/>
      <c r="X240" s="4"/>
      <c r="Y240" s="4"/>
      <c r="Z240" s="5" t="str">
        <f t="shared" si="774"/>
        <v>NO APLICA</v>
      </c>
      <c r="AA240" s="5"/>
      <c r="AB240" s="5"/>
      <c r="AC240" s="4"/>
      <c r="AD240" s="4"/>
      <c r="AE240" s="8"/>
      <c r="AF240" s="5" t="str">
        <f t="shared" si="700"/>
        <v>NO APLICA</v>
      </c>
      <c r="AG240" s="3"/>
      <c r="AH240" s="4"/>
      <c r="AI240" s="4"/>
      <c r="AJ240" s="8"/>
      <c r="AK240" s="5" t="str">
        <f>IF(AJ240&gt;=91,"VIGENTE",IF(AJ240&gt;=1,"POR VENCER",IF(AJ240&lt;=-1,"VENCIDA",IF(AH240=0,"NO APLICA"))))</f>
        <v>NO APLICA</v>
      </c>
      <c r="AL240" s="3"/>
      <c r="AM240" s="4"/>
      <c r="AN240" s="4"/>
      <c r="AO240" s="8"/>
      <c r="AP240" s="5" t="str">
        <f>IF(AO240&gt;=91,"VIGENTE",IF(AO240&gt;=1,"POR VENCER",IF(AO240&lt;=-1,"VENCIDA",IF(AM240=0,"NO APLICA"))))</f>
        <v>NO APLICA</v>
      </c>
      <c r="AQ240" s="3"/>
      <c r="AR240" s="4"/>
      <c r="AS240" s="4"/>
      <c r="AT240" s="8"/>
      <c r="AU240" s="5" t="str">
        <f t="shared" si="775"/>
        <v>NO APLICA</v>
      </c>
      <c r="AV240" s="3"/>
      <c r="AW240" s="4"/>
      <c r="AX240" s="4"/>
      <c r="AY240" s="8"/>
      <c r="AZ240" s="5" t="str">
        <f t="shared" si="776"/>
        <v>NO APLICA</v>
      </c>
      <c r="BA240" s="3"/>
      <c r="BB240" s="4"/>
      <c r="BC240" s="4"/>
      <c r="BD240" s="8"/>
      <c r="BE240" s="5" t="str">
        <f t="shared" si="777"/>
        <v>NO APLICA</v>
      </c>
      <c r="BF240" s="3"/>
      <c r="BG240" s="4"/>
      <c r="BH240" s="4"/>
      <c r="BI240" s="8"/>
      <c r="BJ240" s="5" t="str">
        <f t="shared" si="778"/>
        <v>NO APLICA</v>
      </c>
      <c r="BK240" s="3"/>
      <c r="BL240" s="4"/>
      <c r="BM240" s="4"/>
      <c r="BN240" s="8"/>
      <c r="BO240" s="5" t="str">
        <f t="shared" si="779"/>
        <v>NO APLICA</v>
      </c>
      <c r="BP240" s="3"/>
      <c r="BQ240" s="39"/>
      <c r="BR240" s="4"/>
      <c r="BS240" s="8"/>
      <c r="BT240" s="5" t="str">
        <f t="shared" si="780"/>
        <v>NO APLICA</v>
      </c>
      <c r="BU240" s="4"/>
      <c r="BV240" s="4"/>
      <c r="BW240" s="4"/>
      <c r="BX240" s="8"/>
      <c r="BY240" s="5" t="str">
        <f t="shared" si="781"/>
        <v>NO APLICA</v>
      </c>
      <c r="BZ240" s="4"/>
      <c r="CA240" s="4"/>
      <c r="CB240" s="4"/>
      <c r="CC240" s="8"/>
      <c r="CD240" s="5" t="str">
        <f t="shared" si="782"/>
        <v>NO APLICA</v>
      </c>
      <c r="CE240" s="3"/>
      <c r="CF240" s="4"/>
      <c r="CG240" s="8"/>
      <c r="CH240" s="5"/>
      <c r="CI240" s="5" t="str">
        <f t="shared" si="783"/>
        <v>NO APLICA</v>
      </c>
      <c r="CJ240" s="4"/>
      <c r="CK240" s="4"/>
      <c r="CL240" s="8"/>
      <c r="CM240" s="5"/>
      <c r="CN240" s="5" t="str">
        <f t="shared" si="784"/>
        <v>NO APLICA</v>
      </c>
      <c r="CO240" s="4"/>
      <c r="CP240" s="39"/>
      <c r="CQ240" s="8"/>
      <c r="CR240" s="5"/>
      <c r="CS240" s="5" t="str">
        <f t="shared" si="785"/>
        <v>NO APLICA</v>
      </c>
      <c r="CT240" s="4"/>
      <c r="CU240" s="4"/>
      <c r="CV240" s="8"/>
      <c r="CW240" s="5"/>
      <c r="CX240" s="5" t="str">
        <f t="shared" si="786"/>
        <v>NO APLICA</v>
      </c>
      <c r="CY240" s="4"/>
      <c r="CZ240" s="4"/>
      <c r="DA240" s="8"/>
      <c r="DB240" s="5"/>
      <c r="DC240" s="5" t="str">
        <f t="shared" si="787"/>
        <v>NO APLICA</v>
      </c>
      <c r="DD240" s="4"/>
      <c r="DE240" s="39"/>
      <c r="DF240" s="8"/>
      <c r="DG240" s="5"/>
      <c r="DH240" s="5" t="str">
        <f t="shared" si="788"/>
        <v>NO APLICA</v>
      </c>
      <c r="DI240" s="4"/>
      <c r="DJ240" s="39"/>
      <c r="DK240" s="8"/>
      <c r="DL240" s="5"/>
      <c r="DM240" s="5" t="str">
        <f t="shared" si="789"/>
        <v>NO APLICA</v>
      </c>
      <c r="DN240" s="4"/>
      <c r="DO240" s="4"/>
      <c r="DP240" s="8"/>
      <c r="DQ240" s="5"/>
      <c r="DR240" s="5" t="str">
        <f t="shared" si="790"/>
        <v>NO APLICA</v>
      </c>
      <c r="DS240" s="4"/>
      <c r="DT240" s="4"/>
      <c r="DU240" s="8"/>
      <c r="DV240" s="5"/>
      <c r="DW240" s="5" t="str">
        <f t="shared" si="791"/>
        <v>NO APLICA</v>
      </c>
      <c r="DX240" s="3"/>
      <c r="DY240" s="3"/>
      <c r="DZ240" s="4"/>
      <c r="EA240" s="4"/>
      <c r="EB240" s="5" t="str">
        <f t="shared" si="792"/>
        <v>NO APLICA</v>
      </c>
      <c r="EC240" s="5"/>
      <c r="ED240" s="40"/>
      <c r="EE240" s="4"/>
      <c r="EF240" s="4"/>
      <c r="EG240" s="5" t="str">
        <f t="shared" si="793"/>
        <v>NO APLICA</v>
      </c>
      <c r="EH240" s="4"/>
      <c r="EI240" s="4"/>
      <c r="EJ240" s="8"/>
      <c r="EK240" s="5"/>
      <c r="EL240" s="5" t="str">
        <f t="shared" si="794"/>
        <v>NO APLICA</v>
      </c>
      <c r="EM240" s="4"/>
      <c r="EN240" s="4"/>
      <c r="EO240" s="8"/>
      <c r="EP240" s="5"/>
      <c r="EQ240" s="5" t="str">
        <f t="shared" si="795"/>
        <v>NO APLICA</v>
      </c>
      <c r="ER240" s="4"/>
      <c r="ES240" s="39"/>
      <c r="ET240" s="8"/>
      <c r="EU240" s="5"/>
      <c r="EV240" s="5" t="str">
        <f t="shared" si="796"/>
        <v>NO APLICA</v>
      </c>
      <c r="EW240" s="4"/>
      <c r="EX240" s="4"/>
      <c r="EY240" s="8"/>
      <c r="EZ240" s="5"/>
      <c r="FA240" s="5" t="str">
        <f t="shared" si="797"/>
        <v>NO APLICA</v>
      </c>
      <c r="FB240" s="4"/>
      <c r="FC240" s="4"/>
      <c r="FD240" s="8"/>
      <c r="FE240" s="5"/>
      <c r="FF240" s="5" t="str">
        <f t="shared" si="798"/>
        <v>NO APLICA</v>
      </c>
      <c r="FG240" s="4"/>
      <c r="FH240" s="4"/>
      <c r="FI240" s="8"/>
      <c r="FJ240" s="5"/>
      <c r="FK240" s="5" t="str">
        <f t="shared" si="799"/>
        <v>NO APLICA</v>
      </c>
      <c r="FL240" s="4"/>
      <c r="FM240" s="39"/>
      <c r="FN240" s="8"/>
      <c r="FO240" s="5"/>
      <c r="FP240" s="5" t="str">
        <f t="shared" si="800"/>
        <v>NO APLICA</v>
      </c>
      <c r="FQ240" s="4"/>
      <c r="FR240" s="39"/>
      <c r="FS240" s="8"/>
      <c r="FT240" s="5"/>
      <c r="FU240" s="5" t="str">
        <f t="shared" si="801"/>
        <v>NO APLICA</v>
      </c>
      <c r="FV240" s="4"/>
      <c r="FW240" s="4"/>
      <c r="FX240" s="8"/>
      <c r="FY240" s="5"/>
      <c r="FZ240" s="5" t="str">
        <f t="shared" si="802"/>
        <v>NO APLICA</v>
      </c>
      <c r="GA240" s="4"/>
      <c r="GB240" s="4"/>
      <c r="GC240" s="8"/>
      <c r="GD240" s="5"/>
      <c r="GE240" s="5" t="str">
        <f t="shared" si="803"/>
        <v>NO APLICA</v>
      </c>
      <c r="GF240" s="4"/>
      <c r="GG240" s="4"/>
      <c r="GH240" s="8"/>
      <c r="GI240" s="5"/>
      <c r="GJ240" s="5" t="str">
        <f t="shared" si="804"/>
        <v>NO APLICA</v>
      </c>
      <c r="GK240" s="4"/>
      <c r="GL240" s="4"/>
      <c r="GM240" s="8"/>
      <c r="GN240" s="5"/>
      <c r="GO240" s="5" t="str">
        <f t="shared" si="805"/>
        <v>NO APLICA</v>
      </c>
      <c r="GP240" s="4"/>
      <c r="GQ240" s="4"/>
      <c r="GR240" s="8"/>
      <c r="GS240" s="5"/>
      <c r="GT240" s="5" t="str">
        <f t="shared" si="610"/>
        <v>NO APLICA</v>
      </c>
      <c r="GU240" s="4"/>
      <c r="GV240" s="4"/>
      <c r="GW240" s="8"/>
      <c r="GX240" s="5"/>
      <c r="GY240" s="5" t="str">
        <f t="shared" si="611"/>
        <v>NO APLICA</v>
      </c>
      <c r="GZ240" s="6"/>
      <c r="HA240" s="4"/>
      <c r="HB240" s="8"/>
      <c r="HC240" s="5"/>
      <c r="HD240" s="5" t="str">
        <f t="shared" si="612"/>
        <v>NO APLICA</v>
      </c>
      <c r="HE240" s="2"/>
      <c r="HF240" s="4"/>
      <c r="HG240" s="2"/>
      <c r="HH240" s="5"/>
      <c r="HI240" s="5" t="str">
        <f t="shared" si="698"/>
        <v>NO APLICA</v>
      </c>
      <c r="HJ240" s="4"/>
      <c r="HK240" s="4"/>
      <c r="HL240" s="8"/>
      <c r="HM240" s="5"/>
      <c r="HN240" s="5" t="str">
        <f t="shared" si="694"/>
        <v>NO APLICA</v>
      </c>
      <c r="HO240" s="4"/>
      <c r="HP240" s="4"/>
      <c r="HQ240" s="8"/>
      <c r="HR240" s="5"/>
      <c r="HS240" s="5" t="str">
        <f t="shared" si="732"/>
        <v>NO APLICA</v>
      </c>
      <c r="HT240" s="4"/>
      <c r="HU240" s="4"/>
      <c r="HV240" s="8"/>
      <c r="HW240" s="5"/>
      <c r="HX240" s="5" t="str">
        <f t="shared" si="733"/>
        <v>NO APLICA</v>
      </c>
      <c r="HY240" s="4"/>
      <c r="HZ240" s="4"/>
      <c r="IA240" s="8"/>
      <c r="IB240" s="5"/>
      <c r="IC240" s="5" t="str">
        <f t="shared" si="734"/>
        <v>NO APLICA</v>
      </c>
      <c r="ID240" s="4"/>
      <c r="IE240" s="4"/>
      <c r="IF240" s="8"/>
      <c r="IG240" s="5"/>
      <c r="IH240" s="5" t="str">
        <f t="shared" si="735"/>
        <v>NO APLICA</v>
      </c>
      <c r="II240" s="4"/>
      <c r="IJ240" s="4"/>
      <c r="IK240" s="8"/>
      <c r="IL240" s="5"/>
      <c r="IM240" s="5" t="str">
        <f t="shared" si="736"/>
        <v>NO APLICA</v>
      </c>
      <c r="IN240" s="4"/>
      <c r="IO240" s="4"/>
      <c r="IP240" s="8"/>
      <c r="IQ240" s="5"/>
      <c r="IR240" s="5" t="str">
        <f t="shared" si="737"/>
        <v>NO APLICA</v>
      </c>
      <c r="IS240" s="3"/>
      <c r="IT240" s="4"/>
      <c r="IU240" s="8"/>
      <c r="IV240" s="5"/>
      <c r="IW240" s="5" t="str">
        <f t="shared" si="738"/>
        <v>NO APLICA</v>
      </c>
      <c r="IX240" s="6"/>
      <c r="IY240" s="6"/>
      <c r="IZ240" s="5"/>
      <c r="JA240" s="6"/>
      <c r="JB240" s="5" t="str">
        <f t="shared" si="739"/>
        <v>NO APLICA</v>
      </c>
      <c r="JC240" s="3" t="s">
        <v>780</v>
      </c>
      <c r="JD240" s="5"/>
      <c r="JE240" s="6"/>
      <c r="JF240" s="6"/>
      <c r="JG240" s="5"/>
      <c r="JH240" s="3" t="s">
        <v>780</v>
      </c>
      <c r="JI240" s="6"/>
      <c r="JJ240" s="5"/>
      <c r="JK240" s="2"/>
      <c r="JL240" s="5"/>
      <c r="JM240" s="6" t="s">
        <v>780</v>
      </c>
      <c r="JN240" s="8"/>
      <c r="JO240" s="5"/>
      <c r="JP240" s="2"/>
      <c r="JQ240" s="5"/>
      <c r="JR240" s="6" t="s">
        <v>780</v>
      </c>
      <c r="JS240" s="5"/>
      <c r="JT240" s="2"/>
      <c r="JU240" s="4"/>
      <c r="JV240" s="5"/>
      <c r="JW240" s="6" t="s">
        <v>780</v>
      </c>
      <c r="JX240" s="2"/>
      <c r="JY240" s="4"/>
      <c r="JZ240" s="8"/>
      <c r="KA240" s="5"/>
      <c r="KB240" s="5"/>
      <c r="KC240" s="2"/>
      <c r="KD240" s="6"/>
      <c r="KE240" s="4"/>
      <c r="KF240" s="5" t="str">
        <f t="shared" si="740"/>
        <v>NO APLICA</v>
      </c>
      <c r="KG240" s="5"/>
      <c r="KH240" s="5"/>
      <c r="KI240" s="4"/>
      <c r="KJ240" s="4"/>
      <c r="KK240" s="5" t="str">
        <f t="shared" si="760"/>
        <v>NO APLICA</v>
      </c>
      <c r="KL240" s="5"/>
      <c r="KM240" s="5"/>
      <c r="KN240" s="6"/>
      <c r="KO240" s="6"/>
      <c r="KP240" s="5" t="str">
        <f t="shared" si="741"/>
        <v>NO APLICA</v>
      </c>
      <c r="KQ240" s="5"/>
      <c r="KR240" s="8"/>
      <c r="KS240" s="5"/>
      <c r="KT240" s="5"/>
      <c r="KU240" s="5" t="str">
        <f t="shared" si="761"/>
        <v>NO APLICA</v>
      </c>
      <c r="KV240" s="5"/>
      <c r="KW240" s="5"/>
      <c r="KX240" s="5"/>
      <c r="KY240" s="2"/>
      <c r="KZ240" s="5" t="str">
        <f t="shared" si="767"/>
        <v>NO APLICA</v>
      </c>
      <c r="LA240" s="5"/>
      <c r="LB240" s="4"/>
      <c r="LC240" s="8"/>
      <c r="LD240" s="5"/>
      <c r="LE240" s="5" t="str">
        <f t="shared" si="762"/>
        <v>NO APLICA</v>
      </c>
      <c r="LF240" s="6"/>
      <c r="LG240" s="4"/>
      <c r="LH240" s="8"/>
      <c r="LI240" s="5"/>
      <c r="LJ240" s="5" t="str">
        <f t="shared" si="773"/>
        <v>NO APLICA</v>
      </c>
      <c r="LK240" s="6"/>
      <c r="LL240" s="4"/>
      <c r="LM240" s="8"/>
      <c r="LN240" s="5"/>
      <c r="LO240" s="5" t="str">
        <f t="shared" si="768"/>
        <v>NO APLICA</v>
      </c>
      <c r="LP240" s="2"/>
      <c r="LQ240" s="4"/>
      <c r="LR240" s="8"/>
      <c r="LS240" s="5"/>
      <c r="LT240" s="5" t="str">
        <f t="shared" si="763"/>
        <v>NO APLICA</v>
      </c>
      <c r="LU240" s="2"/>
      <c r="LV240" s="4"/>
      <c r="LW240" s="8"/>
      <c r="LX240" s="5"/>
      <c r="LY240" s="5" t="str">
        <f t="shared" si="764"/>
        <v>NO APLICA</v>
      </c>
      <c r="LZ240" s="4"/>
      <c r="MA240" s="8"/>
      <c r="MB240" s="5"/>
      <c r="MC240" s="2"/>
      <c r="MD240" s="5" t="str">
        <f t="shared" si="765"/>
        <v>NO APLICA</v>
      </c>
      <c r="ME240" s="2"/>
      <c r="MF240" s="5"/>
      <c r="MG240" s="2"/>
      <c r="MH240" s="6"/>
      <c r="MI240" s="5" t="str">
        <f t="shared" si="742"/>
        <v>NO APLICA</v>
      </c>
      <c r="MJ240" s="8"/>
      <c r="MK240" s="5"/>
      <c r="ML240" s="2"/>
      <c r="MM240" s="6"/>
      <c r="MN240" s="5" t="str">
        <f t="shared" si="743"/>
        <v>NO APLICA</v>
      </c>
      <c r="MO240" s="5"/>
      <c r="MP240" s="8"/>
      <c r="MQ240" s="5"/>
      <c r="MR240" s="2"/>
      <c r="MS240" s="5" t="str">
        <f t="shared" si="744"/>
        <v>NO APLICA</v>
      </c>
      <c r="MT240" s="5"/>
      <c r="MU240" s="4"/>
      <c r="MV240" s="8"/>
      <c r="MW240" s="5"/>
      <c r="MX240" s="5" t="str">
        <f t="shared" si="745"/>
        <v>NO APLICA</v>
      </c>
      <c r="MY240" s="2"/>
      <c r="MZ240" s="4"/>
      <c r="NA240" s="2"/>
      <c r="NB240" s="5"/>
      <c r="NC240" s="5" t="str">
        <f t="shared" si="746"/>
        <v>NO APLICA</v>
      </c>
      <c r="ND240" s="2"/>
      <c r="NE240" s="4"/>
      <c r="NF240" s="2"/>
      <c r="NG240" s="5"/>
      <c r="NH240" s="5" t="str">
        <f t="shared" si="747"/>
        <v>NO APLICA</v>
      </c>
      <c r="NI240" s="6"/>
      <c r="NJ240" s="4"/>
      <c r="NK240" s="8"/>
      <c r="NL240" s="5"/>
      <c r="NM240" s="5" t="str">
        <f t="shared" si="748"/>
        <v>NO APLICA</v>
      </c>
      <c r="NN240" s="6"/>
      <c r="NO240" s="6"/>
      <c r="NP240" s="6"/>
      <c r="NQ240" s="5"/>
      <c r="NR240" s="5" t="str">
        <f t="shared" si="749"/>
        <v>NO APLICA</v>
      </c>
      <c r="NS240" s="6"/>
      <c r="NT240" s="4"/>
      <c r="NU240" s="8"/>
      <c r="NV240" s="5"/>
      <c r="NW240" s="5" t="str">
        <f t="shared" si="750"/>
        <v>NO APLICA</v>
      </c>
      <c r="NX240" s="6"/>
      <c r="NY240" s="6"/>
      <c r="NZ240" s="6"/>
      <c r="OA240" s="5"/>
      <c r="OB240" s="5" t="str">
        <f t="shared" si="751"/>
        <v>NO APLICA</v>
      </c>
      <c r="OC240" s="6"/>
      <c r="OD240" s="6"/>
      <c r="OE240" s="6"/>
      <c r="OF240" s="5"/>
      <c r="OG240" s="5" t="str">
        <f t="shared" si="752"/>
        <v>NO APLICA</v>
      </c>
      <c r="OH240" s="6"/>
      <c r="OI240" s="6"/>
      <c r="OJ240" s="6"/>
      <c r="OK240" s="5"/>
      <c r="OL240" s="5" t="str">
        <f t="shared" si="753"/>
        <v>NO APLICA</v>
      </c>
      <c r="OM240" s="6"/>
      <c r="ON240" s="6"/>
      <c r="OO240" s="6"/>
      <c r="OP240" s="5"/>
      <c r="OQ240" s="5" t="str">
        <f t="shared" si="754"/>
        <v>NO APLICA</v>
      </c>
      <c r="OR240" s="6"/>
      <c r="OS240" s="6"/>
      <c r="OT240" s="6"/>
      <c r="OU240" s="5"/>
      <c r="OV240" s="5" t="str">
        <f t="shared" si="755"/>
        <v>NO APLICA</v>
      </c>
      <c r="OW240" s="4"/>
      <c r="OX240" s="8"/>
      <c r="OY240" s="5"/>
      <c r="OZ240" s="6"/>
      <c r="PA240" s="5" t="str">
        <f t="shared" si="769"/>
        <v>NO APLICA</v>
      </c>
      <c r="PB240" s="6"/>
      <c r="PC240" s="6"/>
      <c r="PD240" s="5"/>
      <c r="PE240" s="6"/>
      <c r="PF240" s="5" t="str">
        <f t="shared" si="756"/>
        <v>NO APLICA</v>
      </c>
      <c r="PG240" s="6"/>
      <c r="PH240" s="5"/>
      <c r="PI240" s="6"/>
      <c r="PJ240" s="4"/>
      <c r="PK240" s="5" t="str">
        <f t="shared" si="757"/>
        <v>NO APLICA</v>
      </c>
      <c r="PL240" s="5"/>
      <c r="PM240" s="6"/>
      <c r="PN240" s="6"/>
      <c r="PO240" s="6"/>
      <c r="PP240" s="5" t="str">
        <f t="shared" si="766"/>
        <v>NO APLICA</v>
      </c>
      <c r="PQ240" s="6"/>
      <c r="PR240" s="6"/>
      <c r="PS240" s="6"/>
      <c r="PT240" s="6"/>
      <c r="PU240" s="5" t="str">
        <f t="shared" si="758"/>
        <v>NO APLICA</v>
      </c>
      <c r="PV240" s="5"/>
      <c r="PW240" s="4">
        <v>46126</v>
      </c>
      <c r="PX240" s="4">
        <f>DATE(YEAR(PW240)+1,MONTH(PW240),DAY(PW240))</f>
        <v>46491</v>
      </c>
      <c r="PY240" s="8">
        <f ca="1">PX240-TODAY()</f>
        <v>346</v>
      </c>
      <c r="PZ240" s="5" t="str">
        <f t="shared" ca="1" si="759"/>
        <v>VIGENTE</v>
      </c>
    </row>
    <row r="241" spans="1:443" ht="15" thickTop="1" x14ac:dyDescent="0.3"/>
    <row r="242" spans="1:443" x14ac:dyDescent="0.3">
      <c r="A242">
        <v>1</v>
      </c>
      <c r="B242">
        <v>2</v>
      </c>
      <c r="C242">
        <v>3</v>
      </c>
      <c r="D242">
        <v>4</v>
      </c>
      <c r="E242">
        <v>5</v>
      </c>
      <c r="F242">
        <v>6</v>
      </c>
      <c r="G242">
        <v>7</v>
      </c>
      <c r="H242">
        <v>8</v>
      </c>
      <c r="I242">
        <v>9</v>
      </c>
      <c r="J242">
        <v>10</v>
      </c>
      <c r="K242">
        <v>11</v>
      </c>
      <c r="L242">
        <v>12</v>
      </c>
      <c r="M242">
        <v>13</v>
      </c>
      <c r="N242">
        <v>14</v>
      </c>
      <c r="O242">
        <v>15</v>
      </c>
      <c r="P242">
        <v>16</v>
      </c>
      <c r="Q242">
        <v>17</v>
      </c>
      <c r="R242">
        <v>18</v>
      </c>
      <c r="S242">
        <v>19</v>
      </c>
      <c r="T242">
        <v>20</v>
      </c>
      <c r="V242">
        <v>21</v>
      </c>
      <c r="W242">
        <v>23</v>
      </c>
      <c r="X242">
        <v>24</v>
      </c>
      <c r="Y242">
        <v>25</v>
      </c>
      <c r="Z242">
        <v>26</v>
      </c>
      <c r="AB242">
        <v>27</v>
      </c>
      <c r="AC242">
        <v>29</v>
      </c>
      <c r="AD242">
        <v>30</v>
      </c>
      <c r="AE242">
        <v>31</v>
      </c>
      <c r="AF242">
        <v>32</v>
      </c>
      <c r="AG242">
        <v>33</v>
      </c>
      <c r="AH242">
        <v>34</v>
      </c>
      <c r="AI242">
        <v>35</v>
      </c>
      <c r="AJ242">
        <v>36</v>
      </c>
      <c r="AK242">
        <v>37</v>
      </c>
      <c r="AL242">
        <v>38</v>
      </c>
      <c r="AM242">
        <v>39</v>
      </c>
      <c r="AN242">
        <v>40</v>
      </c>
      <c r="AO242">
        <v>41</v>
      </c>
      <c r="AP242">
        <v>42</v>
      </c>
      <c r="AQ242">
        <v>43</v>
      </c>
      <c r="AR242">
        <v>44</v>
      </c>
      <c r="AS242">
        <v>45</v>
      </c>
      <c r="AT242">
        <v>46</v>
      </c>
      <c r="AU242">
        <v>47</v>
      </c>
      <c r="AV242">
        <v>48</v>
      </c>
      <c r="AW242">
        <v>49</v>
      </c>
      <c r="AX242">
        <v>50</v>
      </c>
      <c r="AY242">
        <v>51</v>
      </c>
      <c r="AZ242">
        <v>52</v>
      </c>
      <c r="BA242">
        <v>53</v>
      </c>
      <c r="BB242">
        <v>54</v>
      </c>
      <c r="BC242">
        <v>55</v>
      </c>
      <c r="BD242">
        <v>56</v>
      </c>
      <c r="BE242">
        <v>57</v>
      </c>
      <c r="BF242">
        <v>58</v>
      </c>
      <c r="BG242">
        <v>59</v>
      </c>
      <c r="BH242">
        <v>60</v>
      </c>
      <c r="BI242">
        <v>61</v>
      </c>
      <c r="BJ242">
        <v>62</v>
      </c>
      <c r="BK242">
        <v>63</v>
      </c>
      <c r="BL242">
        <v>64</v>
      </c>
      <c r="BM242">
        <v>65</v>
      </c>
      <c r="BN242">
        <v>66</v>
      </c>
      <c r="BO242">
        <v>67</v>
      </c>
      <c r="BP242">
        <v>68</v>
      </c>
      <c r="BQ242">
        <v>69</v>
      </c>
      <c r="BR242">
        <v>70</v>
      </c>
      <c r="BS242">
        <v>71</v>
      </c>
      <c r="BT242">
        <v>72</v>
      </c>
      <c r="BU242">
        <v>73</v>
      </c>
      <c r="BV242">
        <v>74</v>
      </c>
      <c r="BW242">
        <v>75</v>
      </c>
      <c r="BX242">
        <v>76</v>
      </c>
      <c r="BY242">
        <v>77</v>
      </c>
      <c r="BZ242">
        <v>78</v>
      </c>
      <c r="CA242">
        <v>79</v>
      </c>
      <c r="CB242">
        <v>80</v>
      </c>
      <c r="CC242">
        <v>81</v>
      </c>
      <c r="CD242">
        <v>82</v>
      </c>
      <c r="CE242">
        <v>83</v>
      </c>
      <c r="CF242">
        <v>85</v>
      </c>
      <c r="CG242">
        <v>86</v>
      </c>
      <c r="CH242">
        <v>87</v>
      </c>
      <c r="CI242">
        <v>88</v>
      </c>
      <c r="CJ242">
        <v>89</v>
      </c>
      <c r="CK242">
        <v>90</v>
      </c>
      <c r="CL242">
        <v>91</v>
      </c>
      <c r="CM242">
        <v>92</v>
      </c>
      <c r="CN242">
        <v>93</v>
      </c>
      <c r="CO242">
        <v>94</v>
      </c>
      <c r="CP242">
        <v>95</v>
      </c>
      <c r="CQ242">
        <v>96</v>
      </c>
      <c r="CR242">
        <v>97</v>
      </c>
      <c r="CS242">
        <v>98</v>
      </c>
      <c r="CT242">
        <v>99</v>
      </c>
      <c r="CU242">
        <v>100</v>
      </c>
      <c r="CV242">
        <v>101</v>
      </c>
      <c r="CW242">
        <v>102</v>
      </c>
      <c r="CX242">
        <v>103</v>
      </c>
      <c r="CY242">
        <v>104</v>
      </c>
      <c r="CZ242">
        <v>105</v>
      </c>
      <c r="DA242">
        <v>106</v>
      </c>
      <c r="DB242">
        <v>107</v>
      </c>
      <c r="DC242">
        <v>108</v>
      </c>
      <c r="DD242">
        <v>109</v>
      </c>
      <c r="DE242">
        <v>110</v>
      </c>
      <c r="DF242">
        <v>111</v>
      </c>
      <c r="DG242">
        <v>112</v>
      </c>
      <c r="DH242">
        <v>113</v>
      </c>
      <c r="DI242">
        <v>114</v>
      </c>
      <c r="DJ242">
        <v>115</v>
      </c>
      <c r="DK242">
        <v>116</v>
      </c>
      <c r="DL242">
        <v>117</v>
      </c>
      <c r="DM242">
        <v>118</v>
      </c>
      <c r="DN242">
        <v>119</v>
      </c>
      <c r="DO242">
        <v>120</v>
      </c>
      <c r="DP242">
        <v>121</v>
      </c>
      <c r="DQ242">
        <v>122</v>
      </c>
      <c r="DR242">
        <v>123</v>
      </c>
      <c r="DS242">
        <v>124</v>
      </c>
      <c r="DT242">
        <v>125</v>
      </c>
      <c r="DU242">
        <v>126</v>
      </c>
      <c r="DV242">
        <v>127</v>
      </c>
      <c r="DW242">
        <v>128</v>
      </c>
      <c r="DX242">
        <v>129</v>
      </c>
      <c r="DY242">
        <v>130</v>
      </c>
      <c r="DZ242">
        <v>131</v>
      </c>
      <c r="EA242">
        <v>132</v>
      </c>
      <c r="EB242">
        <v>133</v>
      </c>
      <c r="EC242">
        <v>134</v>
      </c>
      <c r="ED242">
        <v>135</v>
      </c>
      <c r="EE242">
        <v>136</v>
      </c>
      <c r="EF242">
        <v>137</v>
      </c>
      <c r="EG242">
        <v>138</v>
      </c>
      <c r="EH242">
        <v>141</v>
      </c>
      <c r="EI242">
        <v>142</v>
      </c>
      <c r="EJ242">
        <v>143</v>
      </c>
      <c r="EK242">
        <v>144</v>
      </c>
      <c r="EL242">
        <v>145</v>
      </c>
      <c r="EM242">
        <v>146</v>
      </c>
      <c r="EN242">
        <v>147</v>
      </c>
      <c r="EO242">
        <v>148</v>
      </c>
      <c r="EP242">
        <v>149</v>
      </c>
      <c r="EQ242">
        <v>150</v>
      </c>
      <c r="ER242">
        <v>151</v>
      </c>
      <c r="ES242">
        <v>152</v>
      </c>
      <c r="ET242">
        <v>153</v>
      </c>
      <c r="EU242">
        <v>154</v>
      </c>
      <c r="EV242">
        <v>155</v>
      </c>
      <c r="EW242">
        <v>156</v>
      </c>
      <c r="EX242">
        <v>157</v>
      </c>
      <c r="EY242">
        <v>158</v>
      </c>
      <c r="EZ242">
        <v>159</v>
      </c>
      <c r="FA242">
        <v>160</v>
      </c>
      <c r="FB242">
        <v>161</v>
      </c>
      <c r="FC242">
        <v>162</v>
      </c>
      <c r="FD242">
        <v>163</v>
      </c>
      <c r="FE242">
        <v>164</v>
      </c>
      <c r="FF242">
        <v>165</v>
      </c>
      <c r="FG242">
        <v>166</v>
      </c>
      <c r="FH242">
        <v>167</v>
      </c>
      <c r="FI242">
        <v>168</v>
      </c>
      <c r="FJ242">
        <v>169</v>
      </c>
      <c r="FK242">
        <v>170</v>
      </c>
      <c r="FL242">
        <v>171</v>
      </c>
      <c r="FM242">
        <v>172</v>
      </c>
      <c r="FN242">
        <v>173</v>
      </c>
      <c r="FO242">
        <v>174</v>
      </c>
      <c r="FP242">
        <v>175</v>
      </c>
      <c r="FQ242">
        <v>176</v>
      </c>
      <c r="FR242">
        <v>177</v>
      </c>
      <c r="FS242">
        <v>178</v>
      </c>
      <c r="FT242">
        <v>179</v>
      </c>
      <c r="FU242">
        <v>180</v>
      </c>
      <c r="FV242">
        <v>181</v>
      </c>
      <c r="FW242">
        <v>182</v>
      </c>
      <c r="FX242">
        <v>183</v>
      </c>
      <c r="FY242">
        <v>184</v>
      </c>
      <c r="FZ242">
        <v>185</v>
      </c>
      <c r="GA242">
        <v>186</v>
      </c>
      <c r="GB242">
        <v>187</v>
      </c>
      <c r="GC242">
        <v>188</v>
      </c>
      <c r="GD242">
        <v>189</v>
      </c>
      <c r="GE242">
        <v>190</v>
      </c>
      <c r="GF242">
        <v>191</v>
      </c>
      <c r="GG242">
        <v>192</v>
      </c>
      <c r="GH242">
        <v>193</v>
      </c>
      <c r="GI242">
        <v>194</v>
      </c>
      <c r="GJ242">
        <v>195</v>
      </c>
      <c r="GK242">
        <v>196</v>
      </c>
      <c r="GL242">
        <v>197</v>
      </c>
      <c r="GM242">
        <v>198</v>
      </c>
      <c r="GN242">
        <v>199</v>
      </c>
      <c r="GO242">
        <v>200</v>
      </c>
      <c r="GP242">
        <v>201</v>
      </c>
      <c r="GQ242">
        <v>202</v>
      </c>
      <c r="GR242">
        <v>203</v>
      </c>
      <c r="GS242">
        <v>204</v>
      </c>
      <c r="GT242">
        <v>205</v>
      </c>
      <c r="GU242">
        <v>206</v>
      </c>
      <c r="GV242">
        <v>207</v>
      </c>
      <c r="GW242">
        <v>208</v>
      </c>
      <c r="GX242">
        <v>209</v>
      </c>
      <c r="GY242">
        <v>210</v>
      </c>
      <c r="GZ242">
        <v>211</v>
      </c>
      <c r="HA242">
        <v>212</v>
      </c>
      <c r="HB242">
        <v>213</v>
      </c>
      <c r="HC242">
        <v>214</v>
      </c>
      <c r="HD242">
        <v>215</v>
      </c>
      <c r="HE242">
        <v>216</v>
      </c>
      <c r="HF242">
        <v>217</v>
      </c>
      <c r="HG242">
        <v>218</v>
      </c>
      <c r="HH242">
        <v>219</v>
      </c>
      <c r="HI242">
        <v>220</v>
      </c>
      <c r="HJ242">
        <v>221</v>
      </c>
      <c r="HK242">
        <v>222</v>
      </c>
      <c r="HL242">
        <v>223</v>
      </c>
      <c r="HM242">
        <v>224</v>
      </c>
      <c r="HN242">
        <v>225</v>
      </c>
      <c r="HO242">
        <v>226</v>
      </c>
      <c r="HP242">
        <v>227</v>
      </c>
      <c r="HQ242">
        <v>228</v>
      </c>
      <c r="HR242">
        <v>229</v>
      </c>
      <c r="HS242">
        <v>230</v>
      </c>
      <c r="HT242">
        <v>231</v>
      </c>
      <c r="HU242">
        <v>232</v>
      </c>
      <c r="HV242">
        <v>233</v>
      </c>
      <c r="HW242">
        <v>234</v>
      </c>
      <c r="HX242">
        <v>235</v>
      </c>
      <c r="HY242">
        <v>236</v>
      </c>
      <c r="HZ242">
        <v>237</v>
      </c>
      <c r="IA242">
        <v>238</v>
      </c>
      <c r="IB242">
        <v>239</v>
      </c>
      <c r="IC242">
        <v>240</v>
      </c>
      <c r="ID242">
        <v>241</v>
      </c>
      <c r="IE242">
        <v>242</v>
      </c>
      <c r="IF242">
        <v>243</v>
      </c>
      <c r="IG242">
        <v>244</v>
      </c>
      <c r="IH242">
        <v>245</v>
      </c>
      <c r="II242">
        <v>246</v>
      </c>
      <c r="IJ242">
        <v>247</v>
      </c>
      <c r="IK242">
        <v>248</v>
      </c>
      <c r="IL242">
        <v>249</v>
      </c>
      <c r="IM242">
        <v>250</v>
      </c>
      <c r="IN242">
        <v>251</v>
      </c>
      <c r="IO242">
        <v>252</v>
      </c>
      <c r="IP242">
        <v>253</v>
      </c>
      <c r="IQ242">
        <v>254</v>
      </c>
      <c r="IR242">
        <v>255</v>
      </c>
      <c r="IS242">
        <v>256</v>
      </c>
      <c r="IT242">
        <v>257</v>
      </c>
      <c r="IU242">
        <v>258</v>
      </c>
      <c r="IV242">
        <v>259</v>
      </c>
      <c r="IW242">
        <v>260</v>
      </c>
      <c r="IX242">
        <v>261</v>
      </c>
      <c r="IY242">
        <v>262</v>
      </c>
      <c r="IZ242">
        <v>263</v>
      </c>
      <c r="JA242">
        <v>264</v>
      </c>
      <c r="JB242">
        <v>265</v>
      </c>
      <c r="JC242">
        <v>266</v>
      </c>
      <c r="JD242">
        <v>267</v>
      </c>
      <c r="JE242">
        <v>268</v>
      </c>
      <c r="JF242">
        <v>269</v>
      </c>
      <c r="JG242">
        <v>270</v>
      </c>
      <c r="JH242">
        <v>271</v>
      </c>
      <c r="JJ242">
        <v>272</v>
      </c>
      <c r="JK242">
        <v>273</v>
      </c>
      <c r="JL242">
        <v>274</v>
      </c>
      <c r="JM242">
        <v>275</v>
      </c>
      <c r="JO242">
        <v>276</v>
      </c>
      <c r="JP242">
        <v>277</v>
      </c>
      <c r="JQ242">
        <v>278</v>
      </c>
      <c r="JR242">
        <v>279</v>
      </c>
      <c r="JS242">
        <v>280</v>
      </c>
      <c r="JT242">
        <v>281</v>
      </c>
      <c r="JU242">
        <v>282</v>
      </c>
      <c r="JV242">
        <v>283</v>
      </c>
      <c r="JW242">
        <v>284</v>
      </c>
      <c r="JX242">
        <v>285</v>
      </c>
      <c r="JY242">
        <v>286</v>
      </c>
      <c r="JZ242">
        <v>287</v>
      </c>
      <c r="KA242">
        <v>288</v>
      </c>
      <c r="KC242">
        <v>289</v>
      </c>
      <c r="KD242">
        <v>290</v>
      </c>
      <c r="KE242">
        <v>291</v>
      </c>
      <c r="KF242">
        <v>292</v>
      </c>
      <c r="KH242">
        <v>293</v>
      </c>
      <c r="KI242">
        <v>294</v>
      </c>
      <c r="KJ242">
        <v>295</v>
      </c>
      <c r="KK242">
        <v>296</v>
      </c>
      <c r="KM242">
        <v>297</v>
      </c>
      <c r="KN242">
        <v>298</v>
      </c>
      <c r="KO242">
        <v>299</v>
      </c>
      <c r="KP242">
        <v>300</v>
      </c>
      <c r="KR242">
        <v>301</v>
      </c>
      <c r="KS242">
        <v>302</v>
      </c>
      <c r="KT242">
        <v>303</v>
      </c>
      <c r="KU242">
        <v>304</v>
      </c>
      <c r="KV242">
        <v>305</v>
      </c>
      <c r="KW242">
        <v>306</v>
      </c>
      <c r="KX242">
        <v>307</v>
      </c>
      <c r="KY242">
        <v>308</v>
      </c>
      <c r="KZ242">
        <v>309</v>
      </c>
      <c r="LB242">
        <v>310</v>
      </c>
      <c r="LC242">
        <v>311</v>
      </c>
      <c r="LD242">
        <v>312</v>
      </c>
      <c r="LE242">
        <v>313</v>
      </c>
      <c r="LF242">
        <v>314</v>
      </c>
      <c r="LG242">
        <v>315</v>
      </c>
      <c r="LH242">
        <v>316</v>
      </c>
      <c r="LI242">
        <v>317</v>
      </c>
      <c r="LJ242">
        <v>318</v>
      </c>
      <c r="LK242">
        <v>319</v>
      </c>
      <c r="LL242">
        <v>320</v>
      </c>
      <c r="LM242">
        <v>321</v>
      </c>
      <c r="LN242">
        <v>322</v>
      </c>
      <c r="LO242">
        <v>323</v>
      </c>
      <c r="LP242">
        <v>324</v>
      </c>
      <c r="LQ242">
        <v>325</v>
      </c>
      <c r="LR242">
        <v>326</v>
      </c>
      <c r="LS242">
        <v>327</v>
      </c>
      <c r="LT242">
        <v>328</v>
      </c>
      <c r="LU242">
        <v>329</v>
      </c>
      <c r="LV242">
        <v>330</v>
      </c>
      <c r="LW242">
        <v>331</v>
      </c>
      <c r="LX242">
        <v>332</v>
      </c>
      <c r="LY242">
        <v>333</v>
      </c>
      <c r="LZ242">
        <v>334</v>
      </c>
      <c r="MA242">
        <v>335</v>
      </c>
      <c r="MB242">
        <v>336</v>
      </c>
      <c r="MC242">
        <v>337</v>
      </c>
      <c r="MD242">
        <v>338</v>
      </c>
      <c r="ME242">
        <v>339</v>
      </c>
      <c r="MF242">
        <v>340</v>
      </c>
      <c r="MG242">
        <v>341</v>
      </c>
      <c r="MH242">
        <v>342</v>
      </c>
      <c r="MI242">
        <v>343</v>
      </c>
      <c r="MJ242">
        <v>344</v>
      </c>
      <c r="MK242">
        <v>345</v>
      </c>
      <c r="ML242">
        <v>346</v>
      </c>
      <c r="MM242">
        <v>347</v>
      </c>
      <c r="MN242">
        <v>348</v>
      </c>
      <c r="MP242">
        <v>349</v>
      </c>
      <c r="MQ242">
        <v>350</v>
      </c>
      <c r="MR242">
        <v>351</v>
      </c>
      <c r="MS242">
        <v>352</v>
      </c>
      <c r="MU242">
        <v>353</v>
      </c>
      <c r="MV242">
        <v>354</v>
      </c>
      <c r="MW242">
        <v>355</v>
      </c>
      <c r="MX242">
        <v>356</v>
      </c>
      <c r="MY242">
        <v>357</v>
      </c>
      <c r="MZ242">
        <v>358</v>
      </c>
      <c r="NA242">
        <v>359</v>
      </c>
      <c r="NB242">
        <v>360</v>
      </c>
      <c r="NC242">
        <v>361</v>
      </c>
      <c r="ND242">
        <v>362</v>
      </c>
      <c r="NE242">
        <v>363</v>
      </c>
      <c r="NF242">
        <v>364</v>
      </c>
      <c r="NG242">
        <v>365</v>
      </c>
      <c r="NH242">
        <v>366</v>
      </c>
      <c r="NI242">
        <v>367</v>
      </c>
      <c r="NJ242">
        <v>368</v>
      </c>
      <c r="NK242">
        <v>369</v>
      </c>
      <c r="NL242">
        <v>370</v>
      </c>
      <c r="NM242">
        <v>371</v>
      </c>
      <c r="NN242">
        <v>372</v>
      </c>
      <c r="NO242">
        <v>373</v>
      </c>
      <c r="NP242">
        <v>374</v>
      </c>
      <c r="NQ242">
        <v>375</v>
      </c>
      <c r="NR242">
        <v>376</v>
      </c>
      <c r="NS242">
        <v>377</v>
      </c>
      <c r="NT242">
        <v>378</v>
      </c>
      <c r="NU242">
        <v>379</v>
      </c>
      <c r="NV242">
        <v>380</v>
      </c>
      <c r="NW242">
        <v>381</v>
      </c>
      <c r="NX242">
        <v>382</v>
      </c>
      <c r="NY242">
        <v>383</v>
      </c>
      <c r="NZ242">
        <v>384</v>
      </c>
      <c r="OA242">
        <v>385</v>
      </c>
      <c r="OB242">
        <v>386</v>
      </c>
      <c r="OC242">
        <v>387</v>
      </c>
      <c r="OD242">
        <v>388</v>
      </c>
      <c r="OE242">
        <v>389</v>
      </c>
      <c r="OF242">
        <v>390</v>
      </c>
      <c r="OG242">
        <v>391</v>
      </c>
      <c r="OH242">
        <v>392</v>
      </c>
      <c r="OI242">
        <v>393</v>
      </c>
      <c r="OJ242">
        <v>394</v>
      </c>
      <c r="OK242">
        <v>395</v>
      </c>
      <c r="OL242">
        <v>396</v>
      </c>
      <c r="OM242">
        <v>397</v>
      </c>
      <c r="ON242">
        <v>398</v>
      </c>
      <c r="OO242">
        <v>399</v>
      </c>
      <c r="OP242">
        <v>400</v>
      </c>
      <c r="OQ242">
        <v>401</v>
      </c>
      <c r="OR242">
        <v>402</v>
      </c>
      <c r="OS242">
        <v>403</v>
      </c>
      <c r="OT242">
        <v>404</v>
      </c>
      <c r="OU242">
        <v>405</v>
      </c>
      <c r="OV242">
        <v>406</v>
      </c>
      <c r="OW242">
        <v>407</v>
      </c>
      <c r="OX242">
        <v>408</v>
      </c>
      <c r="OY242">
        <v>409</v>
      </c>
      <c r="OZ242">
        <v>410</v>
      </c>
      <c r="PA242">
        <v>411</v>
      </c>
      <c r="PB242">
        <v>412</v>
      </c>
      <c r="PC242">
        <v>413</v>
      </c>
      <c r="PD242">
        <v>414</v>
      </c>
      <c r="PE242">
        <v>415</v>
      </c>
      <c r="PF242">
        <v>416</v>
      </c>
      <c r="PG242">
        <v>417</v>
      </c>
      <c r="PH242">
        <v>418</v>
      </c>
      <c r="PI242">
        <v>419</v>
      </c>
      <c r="PJ242">
        <v>420</v>
      </c>
      <c r="PK242">
        <v>421</v>
      </c>
      <c r="PM242">
        <v>422</v>
      </c>
      <c r="PN242">
        <v>423</v>
      </c>
      <c r="PO242">
        <v>424</v>
      </c>
      <c r="PP242">
        <v>425</v>
      </c>
      <c r="PQ242">
        <v>426</v>
      </c>
      <c r="PR242">
        <v>427</v>
      </c>
      <c r="PS242">
        <v>428</v>
      </c>
      <c r="PT242">
        <v>429</v>
      </c>
      <c r="PU242">
        <v>430</v>
      </c>
      <c r="PW242">
        <v>431</v>
      </c>
      <c r="PX242">
        <v>432</v>
      </c>
      <c r="PY242">
        <v>433</v>
      </c>
      <c r="PZ242">
        <v>434</v>
      </c>
      <c r="QA242">
        <v>435</v>
      </c>
    </row>
    <row r="243" spans="1:443" x14ac:dyDescent="0.3">
      <c r="A243">
        <v>2</v>
      </c>
      <c r="B243">
        <v>3</v>
      </c>
      <c r="C243">
        <v>4</v>
      </c>
      <c r="D243">
        <v>5</v>
      </c>
      <c r="E243">
        <v>6</v>
      </c>
      <c r="F243">
        <v>7</v>
      </c>
      <c r="G243">
        <v>8</v>
      </c>
      <c r="H243">
        <v>9</v>
      </c>
      <c r="I243">
        <v>10</v>
      </c>
      <c r="J243">
        <v>11</v>
      </c>
      <c r="K243">
        <v>12</v>
      </c>
      <c r="L243">
        <v>13</v>
      </c>
      <c r="M243">
        <v>14</v>
      </c>
      <c r="N243">
        <v>15</v>
      </c>
      <c r="O243">
        <v>16</v>
      </c>
      <c r="P243">
        <v>17</v>
      </c>
      <c r="Q243">
        <v>18</v>
      </c>
      <c r="R243">
        <v>19</v>
      </c>
      <c r="S243">
        <v>20</v>
      </c>
      <c r="T243">
        <v>21</v>
      </c>
      <c r="V243">
        <v>22</v>
      </c>
      <c r="W243">
        <v>24</v>
      </c>
      <c r="X243">
        <v>25</v>
      </c>
      <c r="Y243">
        <v>26</v>
      </c>
      <c r="Z243">
        <v>27</v>
      </c>
      <c r="AB243">
        <v>28</v>
      </c>
      <c r="AC243">
        <v>30</v>
      </c>
      <c r="AD243">
        <v>31</v>
      </c>
      <c r="AE243">
        <v>32</v>
      </c>
      <c r="AF243">
        <v>33</v>
      </c>
      <c r="AG243">
        <v>34</v>
      </c>
      <c r="AH243">
        <v>35</v>
      </c>
      <c r="AI243">
        <v>36</v>
      </c>
      <c r="AJ243">
        <v>37</v>
      </c>
      <c r="AK243">
        <v>38</v>
      </c>
      <c r="AL243">
        <v>39</v>
      </c>
      <c r="AM243">
        <v>40</v>
      </c>
      <c r="AN243">
        <v>41</v>
      </c>
      <c r="AO243">
        <v>42</v>
      </c>
      <c r="AP243">
        <v>43</v>
      </c>
      <c r="AQ243">
        <v>44</v>
      </c>
      <c r="AR243">
        <v>45</v>
      </c>
      <c r="AS243">
        <v>46</v>
      </c>
      <c r="AT243">
        <v>47</v>
      </c>
      <c r="AU243">
        <v>48</v>
      </c>
      <c r="AV243">
        <v>49</v>
      </c>
      <c r="AW243">
        <v>50</v>
      </c>
      <c r="AX243">
        <v>51</v>
      </c>
      <c r="AY243">
        <v>52</v>
      </c>
      <c r="AZ243">
        <v>53</v>
      </c>
      <c r="BA243">
        <v>54</v>
      </c>
      <c r="BB243">
        <v>55</v>
      </c>
      <c r="BC243">
        <v>56</v>
      </c>
      <c r="BD243">
        <v>57</v>
      </c>
      <c r="BE243">
        <v>58</v>
      </c>
      <c r="BF243">
        <v>59</v>
      </c>
      <c r="BG243">
        <v>60</v>
      </c>
      <c r="BH243">
        <v>61</v>
      </c>
      <c r="BI243">
        <v>62</v>
      </c>
      <c r="BJ243">
        <v>63</v>
      </c>
      <c r="BK243">
        <v>64</v>
      </c>
      <c r="BL243">
        <v>65</v>
      </c>
      <c r="BM243">
        <v>66</v>
      </c>
      <c r="BN243">
        <v>67</v>
      </c>
      <c r="BO243">
        <v>68</v>
      </c>
      <c r="BP243">
        <v>69</v>
      </c>
      <c r="BQ243">
        <v>70</v>
      </c>
      <c r="BR243">
        <v>71</v>
      </c>
      <c r="BS243">
        <v>72</v>
      </c>
      <c r="BT243">
        <v>73</v>
      </c>
      <c r="BU243">
        <v>74</v>
      </c>
      <c r="BV243">
        <v>75</v>
      </c>
      <c r="BW243">
        <v>76</v>
      </c>
      <c r="BX243">
        <v>77</v>
      </c>
      <c r="BY243">
        <v>78</v>
      </c>
      <c r="BZ243">
        <v>79</v>
      </c>
      <c r="CA243">
        <v>80</v>
      </c>
      <c r="CB243">
        <v>81</v>
      </c>
      <c r="CC243">
        <v>82</v>
      </c>
      <c r="CD243">
        <v>83</v>
      </c>
      <c r="CE243">
        <v>84</v>
      </c>
      <c r="CF243">
        <v>85</v>
      </c>
      <c r="CG243">
        <v>86</v>
      </c>
      <c r="CH243">
        <v>87</v>
      </c>
      <c r="CI243">
        <v>88</v>
      </c>
      <c r="CJ243">
        <v>89</v>
      </c>
      <c r="CK243">
        <v>90</v>
      </c>
      <c r="CL243">
        <v>91</v>
      </c>
      <c r="CM243">
        <v>92</v>
      </c>
      <c r="CN243">
        <v>93</v>
      </c>
      <c r="CO243">
        <v>94</v>
      </c>
      <c r="CP243">
        <v>95</v>
      </c>
      <c r="CQ243">
        <v>96</v>
      </c>
      <c r="CR243">
        <v>97</v>
      </c>
      <c r="CS243">
        <v>98</v>
      </c>
      <c r="CT243">
        <v>99</v>
      </c>
      <c r="CU243">
        <v>100</v>
      </c>
      <c r="CV243">
        <v>101</v>
      </c>
      <c r="CW243">
        <v>102</v>
      </c>
      <c r="CX243">
        <v>103</v>
      </c>
      <c r="CY243">
        <v>104</v>
      </c>
      <c r="CZ243">
        <v>105</v>
      </c>
      <c r="DA243">
        <v>106</v>
      </c>
      <c r="DB243">
        <v>107</v>
      </c>
      <c r="DC243">
        <v>108</v>
      </c>
      <c r="DD243">
        <v>109</v>
      </c>
      <c r="DE243">
        <v>110</v>
      </c>
      <c r="DF243">
        <v>111</v>
      </c>
      <c r="DG243">
        <v>112</v>
      </c>
      <c r="DH243">
        <v>113</v>
      </c>
      <c r="DI243">
        <v>114</v>
      </c>
      <c r="DJ243">
        <v>115</v>
      </c>
      <c r="DK243">
        <v>116</v>
      </c>
      <c r="DL243">
        <v>117</v>
      </c>
      <c r="DM243">
        <v>118</v>
      </c>
      <c r="DN243">
        <v>119</v>
      </c>
      <c r="DO243">
        <v>120</v>
      </c>
      <c r="DP243">
        <v>121</v>
      </c>
      <c r="DQ243">
        <v>122</v>
      </c>
      <c r="DR243">
        <v>123</v>
      </c>
      <c r="DS243">
        <v>124</v>
      </c>
      <c r="DT243">
        <v>125</v>
      </c>
      <c r="DU243">
        <v>126</v>
      </c>
      <c r="DV243">
        <v>127</v>
      </c>
      <c r="DW243">
        <v>128</v>
      </c>
      <c r="DX243">
        <v>129</v>
      </c>
      <c r="DY243">
        <v>130</v>
      </c>
      <c r="DZ243">
        <v>131</v>
      </c>
      <c r="EA243">
        <v>132</v>
      </c>
      <c r="EB243">
        <v>133</v>
      </c>
      <c r="EC243">
        <v>134</v>
      </c>
      <c r="ED243">
        <v>135</v>
      </c>
      <c r="EE243">
        <v>136</v>
      </c>
      <c r="EF243">
        <v>137</v>
      </c>
      <c r="EG243">
        <v>138</v>
      </c>
      <c r="EH243">
        <v>139</v>
      </c>
      <c r="EI243">
        <v>140</v>
      </c>
      <c r="EJ243">
        <v>141</v>
      </c>
      <c r="EK243">
        <v>142</v>
      </c>
      <c r="EL243">
        <v>143</v>
      </c>
      <c r="EM243">
        <v>144</v>
      </c>
      <c r="EN243">
        <v>145</v>
      </c>
      <c r="EO243">
        <v>146</v>
      </c>
      <c r="EP243">
        <v>147</v>
      </c>
      <c r="EQ243">
        <v>148</v>
      </c>
      <c r="ER243">
        <v>149</v>
      </c>
      <c r="ES243">
        <v>150</v>
      </c>
      <c r="ET243">
        <v>151</v>
      </c>
      <c r="EU243">
        <v>152</v>
      </c>
      <c r="EV243">
        <v>153</v>
      </c>
      <c r="EW243">
        <v>154</v>
      </c>
      <c r="EX243">
        <v>155</v>
      </c>
      <c r="EY243">
        <v>156</v>
      </c>
      <c r="EZ243">
        <v>157</v>
      </c>
      <c r="FA243">
        <v>158</v>
      </c>
      <c r="FB243">
        <v>159</v>
      </c>
      <c r="FC243">
        <v>160</v>
      </c>
      <c r="FD243">
        <v>161</v>
      </c>
      <c r="FE243">
        <v>162</v>
      </c>
      <c r="FF243">
        <v>163</v>
      </c>
      <c r="FG243">
        <v>164</v>
      </c>
      <c r="FH243">
        <v>165</v>
      </c>
      <c r="FI243">
        <v>166</v>
      </c>
      <c r="FJ243">
        <v>167</v>
      </c>
      <c r="FK243">
        <v>168</v>
      </c>
      <c r="FL243">
        <v>169</v>
      </c>
      <c r="FM243">
        <v>170</v>
      </c>
      <c r="FN243">
        <v>171</v>
      </c>
      <c r="FO243">
        <v>172</v>
      </c>
      <c r="FP243">
        <v>173</v>
      </c>
      <c r="FQ243">
        <v>174</v>
      </c>
      <c r="FR243">
        <v>175</v>
      </c>
      <c r="FS243">
        <v>176</v>
      </c>
      <c r="FT243">
        <v>177</v>
      </c>
      <c r="FU243">
        <v>178</v>
      </c>
      <c r="FV243">
        <v>179</v>
      </c>
      <c r="FW243">
        <v>180</v>
      </c>
      <c r="FX243">
        <v>181</v>
      </c>
      <c r="FY243">
        <v>182</v>
      </c>
      <c r="FZ243">
        <v>183</v>
      </c>
      <c r="GA243">
        <v>184</v>
      </c>
      <c r="GB243">
        <v>185</v>
      </c>
      <c r="GC243">
        <v>186</v>
      </c>
      <c r="GD243">
        <v>187</v>
      </c>
      <c r="GE243">
        <v>188</v>
      </c>
      <c r="GF243">
        <v>189</v>
      </c>
      <c r="GG243">
        <v>190</v>
      </c>
      <c r="GH243">
        <v>191</v>
      </c>
      <c r="GI243">
        <v>192</v>
      </c>
      <c r="GJ243">
        <v>193</v>
      </c>
      <c r="GK243">
        <v>194</v>
      </c>
      <c r="GL243">
        <v>195</v>
      </c>
      <c r="GM243">
        <v>196</v>
      </c>
      <c r="GN243">
        <v>197</v>
      </c>
      <c r="GO243">
        <v>198</v>
      </c>
      <c r="GP243">
        <v>199</v>
      </c>
      <c r="GQ243">
        <v>200</v>
      </c>
      <c r="GR243">
        <v>201</v>
      </c>
      <c r="GS243">
        <v>202</v>
      </c>
      <c r="GT243">
        <v>203</v>
      </c>
      <c r="GU243">
        <v>204</v>
      </c>
      <c r="GV243">
        <v>205</v>
      </c>
      <c r="GW243">
        <v>206</v>
      </c>
      <c r="GX243">
        <v>207</v>
      </c>
      <c r="GY243">
        <v>208</v>
      </c>
      <c r="GZ243">
        <v>209</v>
      </c>
      <c r="HA243">
        <v>210</v>
      </c>
      <c r="HB243">
        <v>211</v>
      </c>
      <c r="HC243">
        <v>212</v>
      </c>
      <c r="HD243">
        <v>213</v>
      </c>
      <c r="HE243">
        <v>214</v>
      </c>
      <c r="HF243">
        <v>215</v>
      </c>
      <c r="HG243">
        <v>216</v>
      </c>
      <c r="HH243">
        <v>217</v>
      </c>
      <c r="HI243">
        <v>218</v>
      </c>
      <c r="HJ243">
        <v>219</v>
      </c>
      <c r="HK243">
        <v>220</v>
      </c>
      <c r="HL243">
        <v>221</v>
      </c>
      <c r="HM243">
        <v>222</v>
      </c>
      <c r="HN243">
        <v>223</v>
      </c>
      <c r="HO243">
        <v>224</v>
      </c>
      <c r="HP243">
        <v>225</v>
      </c>
      <c r="HQ243">
        <v>226</v>
      </c>
      <c r="HR243">
        <v>227</v>
      </c>
      <c r="HS243">
        <v>228</v>
      </c>
      <c r="HT243">
        <v>229</v>
      </c>
      <c r="HU243">
        <v>230</v>
      </c>
      <c r="HV243">
        <v>231</v>
      </c>
      <c r="HW243">
        <v>232</v>
      </c>
      <c r="HX243">
        <v>233</v>
      </c>
      <c r="HY243">
        <v>234</v>
      </c>
      <c r="HZ243">
        <v>235</v>
      </c>
      <c r="IA243">
        <v>236</v>
      </c>
      <c r="IB243">
        <v>237</v>
      </c>
      <c r="IC243">
        <v>238</v>
      </c>
      <c r="ID243">
        <v>239</v>
      </c>
      <c r="IE243">
        <v>240</v>
      </c>
      <c r="IF243">
        <v>241</v>
      </c>
      <c r="IG243">
        <v>242</v>
      </c>
      <c r="IH243">
        <v>243</v>
      </c>
      <c r="II243">
        <v>244</v>
      </c>
      <c r="IJ243">
        <v>245</v>
      </c>
      <c r="IK243">
        <v>246</v>
      </c>
      <c r="IL243">
        <v>247</v>
      </c>
      <c r="IM243">
        <v>248</v>
      </c>
      <c r="IN243">
        <v>249</v>
      </c>
      <c r="IO243">
        <v>250</v>
      </c>
      <c r="IP243">
        <v>251</v>
      </c>
      <c r="IQ243">
        <v>252</v>
      </c>
      <c r="IR243">
        <v>253</v>
      </c>
      <c r="IS243">
        <v>254</v>
      </c>
      <c r="IT243">
        <v>255</v>
      </c>
      <c r="IU243">
        <v>256</v>
      </c>
      <c r="IV243">
        <v>257</v>
      </c>
      <c r="IW243">
        <v>258</v>
      </c>
      <c r="IX243">
        <v>259</v>
      </c>
      <c r="IY243">
        <v>260</v>
      </c>
      <c r="IZ243">
        <v>261</v>
      </c>
      <c r="JA243">
        <v>262</v>
      </c>
      <c r="JB243">
        <v>263</v>
      </c>
      <c r="JC243">
        <v>264</v>
      </c>
      <c r="JD243">
        <v>265</v>
      </c>
      <c r="JE243">
        <v>266</v>
      </c>
      <c r="JF243">
        <v>267</v>
      </c>
      <c r="JG243">
        <v>268</v>
      </c>
      <c r="JH243">
        <v>269</v>
      </c>
      <c r="JI243">
        <v>270</v>
      </c>
      <c r="JJ243">
        <v>271</v>
      </c>
      <c r="JK243">
        <v>272</v>
      </c>
      <c r="JL243">
        <v>273</v>
      </c>
      <c r="JM243">
        <v>274</v>
      </c>
      <c r="JN243">
        <v>275</v>
      </c>
      <c r="JO243">
        <v>276</v>
      </c>
      <c r="JP243">
        <v>277</v>
      </c>
      <c r="JQ243">
        <v>278</v>
      </c>
      <c r="JR243">
        <v>279</v>
      </c>
      <c r="JS243">
        <v>280</v>
      </c>
      <c r="JT243">
        <v>281</v>
      </c>
      <c r="JU243">
        <v>282</v>
      </c>
      <c r="JV243">
        <v>283</v>
      </c>
      <c r="JW243">
        <v>284</v>
      </c>
      <c r="JX243">
        <v>285</v>
      </c>
      <c r="JY243">
        <v>286</v>
      </c>
      <c r="JZ243">
        <v>287</v>
      </c>
      <c r="KA243">
        <v>288</v>
      </c>
      <c r="KB243">
        <v>289</v>
      </c>
      <c r="KC243">
        <v>290</v>
      </c>
      <c r="KD243">
        <v>291</v>
      </c>
      <c r="KE243">
        <v>292</v>
      </c>
      <c r="KF243">
        <v>293</v>
      </c>
      <c r="KG243">
        <v>294</v>
      </c>
      <c r="KH243">
        <v>295</v>
      </c>
      <c r="KI243">
        <v>296</v>
      </c>
      <c r="KJ243">
        <v>297</v>
      </c>
      <c r="KK243">
        <v>298</v>
      </c>
      <c r="KL243">
        <v>299</v>
      </c>
      <c r="KM243">
        <v>300</v>
      </c>
      <c r="KN243">
        <v>301</v>
      </c>
      <c r="KO243">
        <v>302</v>
      </c>
      <c r="KP243">
        <v>303</v>
      </c>
      <c r="KQ243">
        <v>304</v>
      </c>
      <c r="KR243">
        <v>305</v>
      </c>
      <c r="KS243">
        <v>306</v>
      </c>
      <c r="KT243">
        <v>307</v>
      </c>
      <c r="KU243">
        <v>308</v>
      </c>
      <c r="KV243">
        <v>309</v>
      </c>
      <c r="KW243">
        <v>310</v>
      </c>
      <c r="KX243">
        <v>311</v>
      </c>
      <c r="KY243">
        <v>312</v>
      </c>
      <c r="KZ243">
        <v>313</v>
      </c>
      <c r="LA243">
        <v>314</v>
      </c>
      <c r="LB243">
        <v>315</v>
      </c>
      <c r="LC243">
        <v>316</v>
      </c>
      <c r="LD243">
        <v>317</v>
      </c>
      <c r="LE243">
        <v>318</v>
      </c>
      <c r="LF243">
        <v>319</v>
      </c>
      <c r="LG243">
        <v>320</v>
      </c>
      <c r="LH243">
        <v>321</v>
      </c>
      <c r="LI243">
        <v>322</v>
      </c>
      <c r="LJ243">
        <v>323</v>
      </c>
      <c r="LK243">
        <v>324</v>
      </c>
      <c r="LL243">
        <v>325</v>
      </c>
      <c r="LM243">
        <v>326</v>
      </c>
      <c r="LN243">
        <v>327</v>
      </c>
      <c r="LO243">
        <v>328</v>
      </c>
      <c r="LP243">
        <v>329</v>
      </c>
      <c r="LQ243">
        <v>330</v>
      </c>
      <c r="LR243">
        <v>331</v>
      </c>
      <c r="LS243">
        <v>332</v>
      </c>
      <c r="LT243">
        <v>333</v>
      </c>
      <c r="LU243">
        <v>334</v>
      </c>
      <c r="LV243">
        <v>335</v>
      </c>
      <c r="LW243">
        <v>336</v>
      </c>
      <c r="LX243">
        <v>337</v>
      </c>
      <c r="LY243">
        <v>338</v>
      </c>
      <c r="LZ243">
        <v>339</v>
      </c>
      <c r="MA243">
        <v>340</v>
      </c>
      <c r="MB243">
        <v>341</v>
      </c>
      <c r="MC243">
        <v>342</v>
      </c>
      <c r="MD243">
        <v>343</v>
      </c>
      <c r="ME243">
        <v>344</v>
      </c>
      <c r="MF243">
        <v>345</v>
      </c>
      <c r="MG243">
        <v>346</v>
      </c>
      <c r="MH243">
        <v>347</v>
      </c>
      <c r="MI243">
        <v>348</v>
      </c>
      <c r="MJ243">
        <v>349</v>
      </c>
      <c r="MK243">
        <v>350</v>
      </c>
      <c r="ML243">
        <v>351</v>
      </c>
      <c r="MM243">
        <v>352</v>
      </c>
      <c r="MN243">
        <v>353</v>
      </c>
      <c r="MO243">
        <v>354</v>
      </c>
      <c r="MP243">
        <v>355</v>
      </c>
      <c r="MQ243">
        <v>356</v>
      </c>
      <c r="MR243">
        <v>357</v>
      </c>
      <c r="MS243">
        <v>358</v>
      </c>
      <c r="MT243">
        <v>359</v>
      </c>
      <c r="MU243">
        <v>360</v>
      </c>
      <c r="MV243">
        <v>361</v>
      </c>
      <c r="MW243">
        <v>362</v>
      </c>
      <c r="MX243">
        <v>363</v>
      </c>
      <c r="MY243">
        <v>364</v>
      </c>
      <c r="MZ243">
        <v>365</v>
      </c>
      <c r="NA243">
        <v>366</v>
      </c>
      <c r="NB243">
        <v>367</v>
      </c>
      <c r="NC243">
        <v>368</v>
      </c>
      <c r="ND243">
        <v>369</v>
      </c>
      <c r="NE243">
        <v>370</v>
      </c>
      <c r="NF243">
        <v>371</v>
      </c>
      <c r="NG243">
        <v>372</v>
      </c>
      <c r="NH243">
        <v>373</v>
      </c>
      <c r="NI243">
        <v>374</v>
      </c>
      <c r="NJ243">
        <v>375</v>
      </c>
      <c r="NK243">
        <v>376</v>
      </c>
      <c r="NL243">
        <v>377</v>
      </c>
      <c r="NM243">
        <v>378</v>
      </c>
      <c r="NN243">
        <v>379</v>
      </c>
      <c r="NO243">
        <v>380</v>
      </c>
      <c r="NP243">
        <v>381</v>
      </c>
      <c r="NQ243">
        <v>382</v>
      </c>
      <c r="NR243">
        <v>383</v>
      </c>
      <c r="NS243">
        <v>384</v>
      </c>
      <c r="NT243">
        <v>385</v>
      </c>
      <c r="NU243">
        <v>386</v>
      </c>
      <c r="NV243">
        <v>387</v>
      </c>
      <c r="NW243">
        <v>388</v>
      </c>
      <c r="NX243">
        <v>389</v>
      </c>
      <c r="NY243">
        <v>390</v>
      </c>
      <c r="NZ243">
        <v>391</v>
      </c>
      <c r="OA243">
        <v>392</v>
      </c>
      <c r="OB243">
        <v>393</v>
      </c>
      <c r="OC243">
        <v>394</v>
      </c>
      <c r="OD243">
        <v>395</v>
      </c>
      <c r="OE243">
        <v>396</v>
      </c>
      <c r="OF243">
        <v>397</v>
      </c>
      <c r="OG243">
        <v>398</v>
      </c>
      <c r="OH243">
        <v>399</v>
      </c>
      <c r="OI243">
        <v>400</v>
      </c>
      <c r="OJ243">
        <v>401</v>
      </c>
      <c r="OK243">
        <v>402</v>
      </c>
      <c r="OL243">
        <v>403</v>
      </c>
      <c r="OM243">
        <v>404</v>
      </c>
      <c r="ON243">
        <v>405</v>
      </c>
      <c r="OO243">
        <v>406</v>
      </c>
      <c r="OP243">
        <v>407</v>
      </c>
      <c r="OQ243">
        <v>408</v>
      </c>
      <c r="OR243">
        <v>409</v>
      </c>
      <c r="OS243">
        <v>410</v>
      </c>
      <c r="OT243">
        <v>411</v>
      </c>
      <c r="OU243">
        <v>412</v>
      </c>
      <c r="OV243">
        <v>413</v>
      </c>
      <c r="OW243">
        <v>414</v>
      </c>
      <c r="OX243">
        <v>415</v>
      </c>
      <c r="OY243">
        <v>416</v>
      </c>
      <c r="OZ243">
        <v>417</v>
      </c>
      <c r="PA243">
        <v>418</v>
      </c>
      <c r="PB243">
        <v>419</v>
      </c>
      <c r="PC243">
        <v>420</v>
      </c>
      <c r="PD243">
        <v>421</v>
      </c>
      <c r="PE243">
        <v>422</v>
      </c>
      <c r="PF243">
        <v>423</v>
      </c>
      <c r="PG243">
        <v>424</v>
      </c>
      <c r="PH243">
        <v>425</v>
      </c>
      <c r="PI243">
        <v>426</v>
      </c>
      <c r="PJ243">
        <v>427</v>
      </c>
      <c r="PK243">
        <v>428</v>
      </c>
      <c r="PL243">
        <v>429</v>
      </c>
      <c r="PM243">
        <v>430</v>
      </c>
      <c r="PN243">
        <v>431</v>
      </c>
      <c r="PO243">
        <v>432</v>
      </c>
      <c r="PP243">
        <v>433</v>
      </c>
      <c r="PQ243">
        <v>434</v>
      </c>
      <c r="PR243">
        <v>435</v>
      </c>
      <c r="PS243">
        <v>436</v>
      </c>
      <c r="PT243">
        <v>437</v>
      </c>
      <c r="PU243">
        <v>438</v>
      </c>
      <c r="PV243">
        <v>439</v>
      </c>
      <c r="PW243">
        <v>440</v>
      </c>
      <c r="PX243">
        <v>441</v>
      </c>
      <c r="PY243">
        <v>442</v>
      </c>
      <c r="PZ243">
        <v>443</v>
      </c>
      <c r="QA243">
        <v>444</v>
      </c>
    </row>
    <row r="244" spans="1:443" x14ac:dyDescent="0.3">
      <c r="B244">
        <v>2</v>
      </c>
      <c r="C244">
        <v>3</v>
      </c>
      <c r="D244">
        <v>4</v>
      </c>
      <c r="E244">
        <v>5</v>
      </c>
      <c r="F244">
        <v>6</v>
      </c>
      <c r="G244">
        <v>7</v>
      </c>
      <c r="H244">
        <v>8</v>
      </c>
      <c r="I244">
        <v>9</v>
      </c>
      <c r="J244">
        <v>10</v>
      </c>
      <c r="K244">
        <v>11</v>
      </c>
      <c r="L244">
        <v>12</v>
      </c>
      <c r="M244">
        <v>13</v>
      </c>
      <c r="N244">
        <v>14</v>
      </c>
      <c r="O244">
        <v>15</v>
      </c>
      <c r="P244">
        <v>16</v>
      </c>
      <c r="Q244">
        <v>17</v>
      </c>
      <c r="R244">
        <v>18</v>
      </c>
      <c r="S244">
        <v>19</v>
      </c>
      <c r="T244">
        <v>20</v>
      </c>
      <c r="V244">
        <v>21</v>
      </c>
      <c r="W244">
        <v>23</v>
      </c>
      <c r="X244">
        <v>24</v>
      </c>
      <c r="Y244">
        <v>25</v>
      </c>
      <c r="Z244">
        <v>26</v>
      </c>
      <c r="AB244">
        <v>27</v>
      </c>
      <c r="AC244">
        <v>29</v>
      </c>
      <c r="AD244">
        <v>30</v>
      </c>
      <c r="AE244">
        <v>31</v>
      </c>
      <c r="AF244">
        <v>32</v>
      </c>
      <c r="AG244">
        <v>33</v>
      </c>
      <c r="AH244">
        <v>34</v>
      </c>
      <c r="AI244">
        <v>35</v>
      </c>
      <c r="AJ244">
        <v>36</v>
      </c>
      <c r="AK244">
        <v>37</v>
      </c>
      <c r="AL244">
        <v>38</v>
      </c>
      <c r="AM244">
        <v>39</v>
      </c>
      <c r="AN244">
        <v>40</v>
      </c>
      <c r="AO244">
        <v>41</v>
      </c>
      <c r="AP244">
        <v>42</v>
      </c>
      <c r="AQ244">
        <v>43</v>
      </c>
      <c r="AR244">
        <v>44</v>
      </c>
      <c r="AS244">
        <v>45</v>
      </c>
      <c r="AT244">
        <v>46</v>
      </c>
      <c r="AU244">
        <v>47</v>
      </c>
      <c r="AV244">
        <v>48</v>
      </c>
      <c r="AW244">
        <v>49</v>
      </c>
      <c r="AX244">
        <v>50</v>
      </c>
      <c r="AY244">
        <v>51</v>
      </c>
      <c r="AZ244">
        <v>52</v>
      </c>
      <c r="BA244">
        <v>53</v>
      </c>
      <c r="BB244">
        <v>54</v>
      </c>
      <c r="BC244">
        <v>55</v>
      </c>
      <c r="BD244">
        <v>56</v>
      </c>
      <c r="BE244">
        <v>57</v>
      </c>
      <c r="BF244">
        <v>58</v>
      </c>
      <c r="BG244">
        <v>59</v>
      </c>
      <c r="BH244">
        <v>60</v>
      </c>
      <c r="BI244">
        <v>61</v>
      </c>
      <c r="BJ244">
        <v>62</v>
      </c>
      <c r="BK244">
        <v>63</v>
      </c>
      <c r="BL244">
        <v>64</v>
      </c>
      <c r="BM244">
        <v>65</v>
      </c>
      <c r="BN244">
        <v>66</v>
      </c>
      <c r="BO244">
        <v>67</v>
      </c>
      <c r="BP244">
        <v>68</v>
      </c>
      <c r="BQ244">
        <v>69</v>
      </c>
      <c r="BR244">
        <v>70</v>
      </c>
      <c r="BS244">
        <v>71</v>
      </c>
      <c r="BT244">
        <v>72</v>
      </c>
      <c r="BU244">
        <v>73</v>
      </c>
      <c r="BV244">
        <v>74</v>
      </c>
      <c r="BW244">
        <v>75</v>
      </c>
      <c r="BX244">
        <v>76</v>
      </c>
      <c r="BY244">
        <v>77</v>
      </c>
      <c r="BZ244">
        <v>78</v>
      </c>
      <c r="CA244">
        <v>79</v>
      </c>
      <c r="CB244">
        <v>80</v>
      </c>
      <c r="CC244">
        <v>81</v>
      </c>
      <c r="CD244">
        <v>82</v>
      </c>
      <c r="CE244">
        <v>83</v>
      </c>
      <c r="CF244">
        <v>84</v>
      </c>
      <c r="CG244">
        <v>85</v>
      </c>
      <c r="CH244">
        <v>86</v>
      </c>
      <c r="CI244">
        <v>87</v>
      </c>
      <c r="CJ244">
        <v>88</v>
      </c>
      <c r="CK244">
        <v>89</v>
      </c>
      <c r="CL244">
        <v>90</v>
      </c>
      <c r="CM244">
        <v>91</v>
      </c>
      <c r="CN244">
        <v>92</v>
      </c>
      <c r="CO244">
        <v>93</v>
      </c>
      <c r="CP244">
        <v>94</v>
      </c>
      <c r="CQ244">
        <v>95</v>
      </c>
      <c r="CR244">
        <v>96</v>
      </c>
      <c r="CS244">
        <v>97</v>
      </c>
      <c r="CT244">
        <v>98</v>
      </c>
      <c r="CU244">
        <v>99</v>
      </c>
      <c r="CV244">
        <v>100</v>
      </c>
      <c r="CW244">
        <v>101</v>
      </c>
      <c r="CX244">
        <v>102</v>
      </c>
      <c r="CY244">
        <v>103</v>
      </c>
      <c r="CZ244">
        <v>104</v>
      </c>
      <c r="DA244">
        <v>105</v>
      </c>
      <c r="DB244">
        <v>106</v>
      </c>
      <c r="DC244">
        <v>107</v>
      </c>
      <c r="DD244">
        <v>108</v>
      </c>
      <c r="DE244">
        <v>109</v>
      </c>
      <c r="DF244">
        <v>110</v>
      </c>
      <c r="DG244">
        <v>111</v>
      </c>
      <c r="DH244">
        <v>112</v>
      </c>
      <c r="DI244">
        <v>113</v>
      </c>
      <c r="DJ244">
        <v>114</v>
      </c>
      <c r="DK244">
        <v>115</v>
      </c>
      <c r="DL244">
        <v>116</v>
      </c>
      <c r="DM244">
        <v>117</v>
      </c>
      <c r="DN244">
        <v>118</v>
      </c>
      <c r="DO244">
        <v>119</v>
      </c>
      <c r="DP244">
        <v>120</v>
      </c>
      <c r="DQ244">
        <v>121</v>
      </c>
      <c r="DR244">
        <v>122</v>
      </c>
      <c r="DS244">
        <v>123</v>
      </c>
      <c r="DT244">
        <v>124</v>
      </c>
      <c r="DU244">
        <v>125</v>
      </c>
      <c r="DV244">
        <v>126</v>
      </c>
      <c r="DW244">
        <v>127</v>
      </c>
      <c r="DX244">
        <v>128</v>
      </c>
      <c r="DY244">
        <v>129</v>
      </c>
      <c r="DZ244">
        <v>130</v>
      </c>
      <c r="EA244">
        <v>131</v>
      </c>
      <c r="EB244">
        <v>132</v>
      </c>
      <c r="EC244">
        <v>133</v>
      </c>
      <c r="ED244">
        <v>134</v>
      </c>
      <c r="EE244">
        <v>135</v>
      </c>
      <c r="EF244">
        <v>136</v>
      </c>
      <c r="EG244">
        <v>137</v>
      </c>
      <c r="EH244">
        <v>138</v>
      </c>
      <c r="EI244">
        <v>139</v>
      </c>
      <c r="EJ244">
        <v>140</v>
      </c>
      <c r="EK244">
        <v>141</v>
      </c>
      <c r="EL244">
        <v>142</v>
      </c>
      <c r="EM244">
        <v>143</v>
      </c>
      <c r="EN244">
        <v>144</v>
      </c>
      <c r="EO244">
        <v>145</v>
      </c>
      <c r="EP244">
        <v>146</v>
      </c>
      <c r="EQ244">
        <v>147</v>
      </c>
      <c r="ER244">
        <v>148</v>
      </c>
      <c r="ES244">
        <v>149</v>
      </c>
      <c r="ET244">
        <v>150</v>
      </c>
      <c r="EU244">
        <v>151</v>
      </c>
      <c r="EV244">
        <v>152</v>
      </c>
      <c r="EW244">
        <v>153</v>
      </c>
      <c r="EX244">
        <v>154</v>
      </c>
      <c r="EY244">
        <v>155</v>
      </c>
      <c r="EZ244">
        <v>156</v>
      </c>
      <c r="FA244">
        <v>157</v>
      </c>
      <c r="FB244">
        <v>158</v>
      </c>
      <c r="FC244">
        <v>159</v>
      </c>
      <c r="FD244">
        <v>160</v>
      </c>
      <c r="FE244">
        <v>161</v>
      </c>
      <c r="FF244">
        <v>162</v>
      </c>
      <c r="FG244">
        <v>163</v>
      </c>
      <c r="FH244">
        <v>164</v>
      </c>
      <c r="FI244">
        <v>165</v>
      </c>
      <c r="FJ244">
        <v>166</v>
      </c>
      <c r="FK244">
        <v>167</v>
      </c>
      <c r="FL244">
        <v>168</v>
      </c>
      <c r="FM244">
        <v>169</v>
      </c>
      <c r="FN244">
        <v>170</v>
      </c>
      <c r="FO244">
        <v>171</v>
      </c>
      <c r="FP244">
        <v>172</v>
      </c>
      <c r="FQ244">
        <v>173</v>
      </c>
      <c r="FR244">
        <v>174</v>
      </c>
      <c r="FS244">
        <v>175</v>
      </c>
      <c r="FT244">
        <v>176</v>
      </c>
      <c r="FU244">
        <v>177</v>
      </c>
      <c r="FV244">
        <v>178</v>
      </c>
      <c r="FW244">
        <v>179</v>
      </c>
      <c r="FX244">
        <v>180</v>
      </c>
      <c r="FY244">
        <v>181</v>
      </c>
      <c r="FZ244">
        <v>182</v>
      </c>
      <c r="GA244">
        <v>183</v>
      </c>
      <c r="GB244">
        <v>184</v>
      </c>
      <c r="GC244">
        <v>185</v>
      </c>
      <c r="GD244">
        <v>186</v>
      </c>
      <c r="GE244">
        <v>187</v>
      </c>
      <c r="GF244">
        <v>188</v>
      </c>
      <c r="GG244">
        <v>189</v>
      </c>
      <c r="GH244">
        <v>190</v>
      </c>
      <c r="GI244">
        <v>191</v>
      </c>
      <c r="GJ244">
        <v>192</v>
      </c>
      <c r="GK244">
        <v>193</v>
      </c>
      <c r="GL244">
        <v>194</v>
      </c>
      <c r="GM244">
        <v>195</v>
      </c>
      <c r="GN244">
        <v>196</v>
      </c>
      <c r="GO244">
        <v>197</v>
      </c>
      <c r="GP244">
        <v>198</v>
      </c>
      <c r="GQ244">
        <v>199</v>
      </c>
      <c r="GR244">
        <v>200</v>
      </c>
      <c r="GS244">
        <v>201</v>
      </c>
      <c r="GT244">
        <v>202</v>
      </c>
      <c r="GU244">
        <v>203</v>
      </c>
      <c r="GV244">
        <v>204</v>
      </c>
      <c r="GW244">
        <v>205</v>
      </c>
      <c r="GX244">
        <v>206</v>
      </c>
      <c r="GY244">
        <v>207</v>
      </c>
      <c r="GZ244">
        <v>208</v>
      </c>
      <c r="HA244">
        <v>209</v>
      </c>
      <c r="HB244">
        <v>210</v>
      </c>
      <c r="HC244">
        <v>211</v>
      </c>
      <c r="HD244">
        <v>212</v>
      </c>
      <c r="HE244">
        <v>213</v>
      </c>
      <c r="HF244">
        <v>214</v>
      </c>
      <c r="HG244">
        <v>215</v>
      </c>
      <c r="HH244">
        <v>216</v>
      </c>
      <c r="HI244">
        <v>217</v>
      </c>
      <c r="HJ244">
        <v>218</v>
      </c>
      <c r="HK244">
        <v>219</v>
      </c>
      <c r="HL244">
        <v>220</v>
      </c>
      <c r="HM244">
        <v>221</v>
      </c>
      <c r="HN244">
        <v>222</v>
      </c>
      <c r="HO244">
        <v>223</v>
      </c>
      <c r="HP244">
        <v>224</v>
      </c>
      <c r="HQ244">
        <v>225</v>
      </c>
      <c r="HR244">
        <v>226</v>
      </c>
      <c r="HS244">
        <v>227</v>
      </c>
      <c r="HT244">
        <v>228</v>
      </c>
      <c r="HU244">
        <v>229</v>
      </c>
      <c r="HV244">
        <v>230</v>
      </c>
      <c r="HW244">
        <v>231</v>
      </c>
      <c r="HX244">
        <v>232</v>
      </c>
      <c r="HY244">
        <v>233</v>
      </c>
      <c r="HZ244">
        <v>234</v>
      </c>
      <c r="IA244">
        <v>235</v>
      </c>
      <c r="IB244">
        <v>236</v>
      </c>
      <c r="IC244">
        <v>237</v>
      </c>
      <c r="ID244">
        <v>238</v>
      </c>
      <c r="IE244">
        <v>239</v>
      </c>
      <c r="IF244">
        <v>240</v>
      </c>
      <c r="IG244">
        <v>241</v>
      </c>
      <c r="IH244">
        <v>242</v>
      </c>
      <c r="II244">
        <v>243</v>
      </c>
      <c r="IJ244">
        <v>244</v>
      </c>
      <c r="IK244">
        <v>245</v>
      </c>
      <c r="IL244">
        <v>246</v>
      </c>
      <c r="IM244">
        <v>247</v>
      </c>
      <c r="IN244">
        <v>248</v>
      </c>
      <c r="IO244">
        <v>249</v>
      </c>
      <c r="IP244">
        <v>250</v>
      </c>
      <c r="IQ244">
        <v>251</v>
      </c>
      <c r="IR244">
        <v>252</v>
      </c>
      <c r="IS244">
        <v>253</v>
      </c>
      <c r="IT244">
        <v>254</v>
      </c>
      <c r="IU244">
        <v>255</v>
      </c>
      <c r="IV244">
        <v>256</v>
      </c>
      <c r="IW244">
        <v>257</v>
      </c>
      <c r="IX244">
        <v>258</v>
      </c>
      <c r="IY244">
        <v>259</v>
      </c>
      <c r="IZ244">
        <v>260</v>
      </c>
      <c r="JA244">
        <v>261</v>
      </c>
      <c r="JB244">
        <v>262</v>
      </c>
      <c r="JC244">
        <v>263</v>
      </c>
      <c r="JD244">
        <v>264</v>
      </c>
      <c r="JE244">
        <v>265</v>
      </c>
      <c r="JF244">
        <v>266</v>
      </c>
      <c r="JG244">
        <v>267</v>
      </c>
      <c r="JH244">
        <v>268</v>
      </c>
      <c r="JI244">
        <v>269</v>
      </c>
      <c r="JJ244">
        <v>270</v>
      </c>
      <c r="JK244">
        <v>271</v>
      </c>
      <c r="JL244">
        <v>272</v>
      </c>
      <c r="JM244">
        <v>273</v>
      </c>
      <c r="JN244">
        <v>274</v>
      </c>
      <c r="JO244">
        <v>275</v>
      </c>
      <c r="JP244">
        <v>276</v>
      </c>
      <c r="JQ244">
        <v>277</v>
      </c>
      <c r="JR244">
        <v>278</v>
      </c>
      <c r="JS244">
        <v>279</v>
      </c>
      <c r="JT244">
        <v>280</v>
      </c>
      <c r="JU244">
        <v>281</v>
      </c>
      <c r="JV244">
        <v>282</v>
      </c>
      <c r="JW244">
        <v>283</v>
      </c>
      <c r="JX244">
        <v>284</v>
      </c>
      <c r="JY244">
        <v>285</v>
      </c>
      <c r="JZ244">
        <v>286</v>
      </c>
      <c r="KA244">
        <v>287</v>
      </c>
      <c r="KB244">
        <v>288</v>
      </c>
      <c r="KC244">
        <v>289</v>
      </c>
      <c r="KD244">
        <v>290</v>
      </c>
      <c r="KE244">
        <v>291</v>
      </c>
      <c r="KF244">
        <v>292</v>
      </c>
      <c r="KG244">
        <v>293</v>
      </c>
      <c r="KH244">
        <v>294</v>
      </c>
      <c r="KI244">
        <v>295</v>
      </c>
      <c r="KJ244">
        <v>296</v>
      </c>
      <c r="KK244">
        <v>297</v>
      </c>
      <c r="KL244">
        <v>298</v>
      </c>
      <c r="KM244">
        <v>299</v>
      </c>
      <c r="KN244">
        <v>300</v>
      </c>
      <c r="KO244">
        <v>301</v>
      </c>
      <c r="KP244">
        <v>302</v>
      </c>
      <c r="KQ244">
        <v>303</v>
      </c>
      <c r="KR244">
        <v>304</v>
      </c>
      <c r="KS244">
        <v>305</v>
      </c>
      <c r="KT244">
        <v>306</v>
      </c>
      <c r="KU244">
        <v>307</v>
      </c>
      <c r="KV244">
        <v>308</v>
      </c>
      <c r="KW244">
        <v>309</v>
      </c>
      <c r="KX244">
        <v>310</v>
      </c>
      <c r="KY244">
        <v>311</v>
      </c>
      <c r="KZ244">
        <v>312</v>
      </c>
      <c r="LA244">
        <v>313</v>
      </c>
      <c r="LB244">
        <v>314</v>
      </c>
      <c r="LC244">
        <v>315</v>
      </c>
      <c r="LD244">
        <v>316</v>
      </c>
      <c r="LE244">
        <v>317</v>
      </c>
      <c r="LF244">
        <v>318</v>
      </c>
      <c r="LG244">
        <v>319</v>
      </c>
      <c r="LH244">
        <v>320</v>
      </c>
      <c r="LI244">
        <v>321</v>
      </c>
      <c r="LJ244">
        <v>322</v>
      </c>
      <c r="LK244">
        <v>323</v>
      </c>
      <c r="LL244">
        <v>324</v>
      </c>
      <c r="LM244">
        <v>325</v>
      </c>
      <c r="LN244">
        <v>326</v>
      </c>
      <c r="LO244">
        <v>327</v>
      </c>
      <c r="LP244">
        <v>328</v>
      </c>
      <c r="LQ244">
        <v>329</v>
      </c>
      <c r="LR244">
        <v>330</v>
      </c>
      <c r="LS244">
        <v>331</v>
      </c>
      <c r="LT244">
        <v>332</v>
      </c>
      <c r="LU244">
        <v>333</v>
      </c>
      <c r="LV244">
        <v>334</v>
      </c>
      <c r="LW244">
        <v>335</v>
      </c>
      <c r="LX244">
        <v>336</v>
      </c>
      <c r="LY244">
        <v>337</v>
      </c>
      <c r="LZ244">
        <v>338</v>
      </c>
      <c r="MA244">
        <v>339</v>
      </c>
      <c r="MB244">
        <v>340</v>
      </c>
      <c r="MC244">
        <v>341</v>
      </c>
      <c r="MD244">
        <v>342</v>
      </c>
      <c r="ME244">
        <v>343</v>
      </c>
      <c r="MF244">
        <v>344</v>
      </c>
      <c r="MG244">
        <v>345</v>
      </c>
      <c r="MH244">
        <v>346</v>
      </c>
      <c r="MI244">
        <v>347</v>
      </c>
      <c r="MJ244">
        <v>348</v>
      </c>
      <c r="MK244">
        <v>349</v>
      </c>
      <c r="ML244">
        <v>350</v>
      </c>
      <c r="MM244">
        <v>351</v>
      </c>
      <c r="MN244">
        <v>352</v>
      </c>
      <c r="MO244">
        <v>353</v>
      </c>
      <c r="MP244">
        <v>354</v>
      </c>
      <c r="MQ244">
        <v>355</v>
      </c>
      <c r="MR244">
        <v>356</v>
      </c>
      <c r="MS244">
        <v>357</v>
      </c>
      <c r="MT244">
        <v>358</v>
      </c>
      <c r="MU244">
        <v>359</v>
      </c>
      <c r="MV244">
        <v>360</v>
      </c>
      <c r="MW244">
        <v>361</v>
      </c>
      <c r="MX244">
        <v>362</v>
      </c>
      <c r="MY244">
        <v>363</v>
      </c>
      <c r="MZ244">
        <v>364</v>
      </c>
      <c r="NA244">
        <v>365</v>
      </c>
      <c r="NB244">
        <v>366</v>
      </c>
      <c r="NC244">
        <v>367</v>
      </c>
      <c r="ND244">
        <v>368</v>
      </c>
      <c r="NE244">
        <v>369</v>
      </c>
      <c r="NF244">
        <v>370</v>
      </c>
      <c r="NG244">
        <v>371</v>
      </c>
      <c r="NH244">
        <v>372</v>
      </c>
      <c r="NI244">
        <v>373</v>
      </c>
      <c r="NJ244">
        <v>374</v>
      </c>
      <c r="NK244">
        <v>375</v>
      </c>
      <c r="NL244">
        <v>376</v>
      </c>
      <c r="NM244">
        <v>377</v>
      </c>
      <c r="NN244">
        <v>378</v>
      </c>
      <c r="NO244">
        <v>379</v>
      </c>
      <c r="NP244">
        <v>380</v>
      </c>
      <c r="NQ244">
        <v>381</v>
      </c>
      <c r="NR244">
        <v>382</v>
      </c>
      <c r="NS244">
        <v>383</v>
      </c>
      <c r="NT244">
        <v>384</v>
      </c>
      <c r="NU244">
        <v>385</v>
      </c>
      <c r="NV244">
        <v>386</v>
      </c>
      <c r="NW244">
        <v>387</v>
      </c>
      <c r="NX244">
        <v>388</v>
      </c>
      <c r="NY244">
        <v>389</v>
      </c>
      <c r="NZ244">
        <v>390</v>
      </c>
      <c r="OA244">
        <v>391</v>
      </c>
      <c r="OB244">
        <v>392</v>
      </c>
      <c r="OC244">
        <v>393</v>
      </c>
      <c r="OD244">
        <v>394</v>
      </c>
      <c r="OE244">
        <v>395</v>
      </c>
      <c r="OF244">
        <v>396</v>
      </c>
      <c r="OG244">
        <v>397</v>
      </c>
      <c r="OH244">
        <v>398</v>
      </c>
      <c r="OI244">
        <v>399</v>
      </c>
      <c r="OJ244">
        <v>400</v>
      </c>
      <c r="OK244">
        <v>401</v>
      </c>
      <c r="OL244">
        <v>402</v>
      </c>
      <c r="OM244">
        <v>403</v>
      </c>
      <c r="ON244">
        <v>404</v>
      </c>
      <c r="OO244">
        <v>405</v>
      </c>
      <c r="OP244">
        <v>406</v>
      </c>
      <c r="OQ244">
        <v>407</v>
      </c>
      <c r="OR244">
        <v>408</v>
      </c>
      <c r="OS244">
        <v>409</v>
      </c>
      <c r="OT244">
        <v>410</v>
      </c>
      <c r="OU244">
        <v>411</v>
      </c>
      <c r="OV244">
        <v>412</v>
      </c>
      <c r="OW244">
        <v>413</v>
      </c>
      <c r="OX244">
        <v>414</v>
      </c>
      <c r="OY244">
        <v>415</v>
      </c>
      <c r="OZ244">
        <v>416</v>
      </c>
      <c r="PA244">
        <v>417</v>
      </c>
      <c r="PB244">
        <v>418</v>
      </c>
      <c r="PC244">
        <v>419</v>
      </c>
      <c r="PD244">
        <v>420</v>
      </c>
      <c r="PE244">
        <v>421</v>
      </c>
      <c r="PF244">
        <v>422</v>
      </c>
      <c r="PG244">
        <v>423</v>
      </c>
      <c r="PH244">
        <v>424</v>
      </c>
      <c r="PI244">
        <v>425</v>
      </c>
      <c r="PJ244">
        <v>426</v>
      </c>
      <c r="PK244">
        <v>427</v>
      </c>
      <c r="PL244">
        <v>428</v>
      </c>
      <c r="PM244">
        <v>429</v>
      </c>
      <c r="PN244">
        <v>430</v>
      </c>
      <c r="PO244">
        <v>431</v>
      </c>
      <c r="PP244">
        <v>432</v>
      </c>
      <c r="PQ244">
        <v>433</v>
      </c>
      <c r="PR244">
        <v>434</v>
      </c>
      <c r="PS244">
        <v>435</v>
      </c>
      <c r="PT244">
        <v>436</v>
      </c>
      <c r="PU244">
        <v>437</v>
      </c>
      <c r="PV244">
        <v>438</v>
      </c>
      <c r="PW244">
        <v>439</v>
      </c>
      <c r="PX244">
        <v>440</v>
      </c>
      <c r="PY244">
        <v>441</v>
      </c>
      <c r="PZ244">
        <v>442</v>
      </c>
      <c r="QA244">
        <v>443</v>
      </c>
    </row>
    <row r="245" spans="1:443" x14ac:dyDescent="0.3">
      <c r="F245" s="37">
        <v>5</v>
      </c>
      <c r="G245" s="37">
        <v>6</v>
      </c>
      <c r="H245" s="37">
        <v>7</v>
      </c>
      <c r="I245" s="37">
        <v>8</v>
      </c>
      <c r="J245" s="37">
        <v>9</v>
      </c>
      <c r="K245" s="37">
        <v>10</v>
      </c>
      <c r="L245" s="37">
        <v>11</v>
      </c>
      <c r="M245" s="37">
        <v>12</v>
      </c>
      <c r="N245" s="37">
        <v>13</v>
      </c>
      <c r="O245" s="37">
        <v>14</v>
      </c>
      <c r="P245" s="37">
        <v>15</v>
      </c>
      <c r="Q245" s="37">
        <v>16</v>
      </c>
      <c r="R245" s="37">
        <v>17</v>
      </c>
      <c r="S245" s="37">
        <v>18</v>
      </c>
      <c r="T245" s="37">
        <v>19</v>
      </c>
      <c r="U245" s="37">
        <v>20</v>
      </c>
      <c r="V245" s="37">
        <v>21</v>
      </c>
      <c r="W245" s="37">
        <v>22</v>
      </c>
      <c r="X245" s="37">
        <v>23</v>
      </c>
      <c r="Y245" s="37">
        <v>24</v>
      </c>
      <c r="Z245" s="37">
        <v>25</v>
      </c>
      <c r="AA245" s="37">
        <v>26</v>
      </c>
      <c r="AB245" s="37">
        <v>27</v>
      </c>
      <c r="AC245" s="37">
        <v>28</v>
      </c>
      <c r="AD245" s="37">
        <v>29</v>
      </c>
      <c r="AE245" s="37">
        <v>30</v>
      </c>
      <c r="AF245" s="37">
        <v>31</v>
      </c>
      <c r="AG245" s="37">
        <v>32</v>
      </c>
      <c r="AH245" s="37">
        <v>33</v>
      </c>
      <c r="AI245" s="37">
        <v>34</v>
      </c>
      <c r="AJ245" s="37">
        <v>35</v>
      </c>
      <c r="AK245" s="37">
        <v>36</v>
      </c>
      <c r="AL245" s="37">
        <v>37</v>
      </c>
      <c r="AM245" s="37">
        <v>38</v>
      </c>
      <c r="AN245" s="37">
        <v>39</v>
      </c>
      <c r="AO245" s="37">
        <v>40</v>
      </c>
      <c r="AP245" s="37">
        <v>41</v>
      </c>
      <c r="AQ245" s="37">
        <v>42</v>
      </c>
      <c r="AR245" s="37">
        <v>43</v>
      </c>
      <c r="AS245" s="37">
        <v>44</v>
      </c>
      <c r="AT245" s="37">
        <v>45</v>
      </c>
      <c r="AU245" s="37">
        <v>46</v>
      </c>
      <c r="AV245" s="37">
        <v>47</v>
      </c>
      <c r="AW245" s="37">
        <v>48</v>
      </c>
      <c r="AX245" s="37">
        <v>49</v>
      </c>
      <c r="AY245" s="37">
        <v>50</v>
      </c>
      <c r="AZ245" s="37">
        <v>51</v>
      </c>
      <c r="BA245" s="37">
        <v>52</v>
      </c>
      <c r="BB245" s="37">
        <v>53</v>
      </c>
      <c r="BC245" s="37">
        <v>54</v>
      </c>
      <c r="BD245" s="37">
        <v>55</v>
      </c>
      <c r="BE245" s="37">
        <v>56</v>
      </c>
      <c r="BF245" s="37">
        <v>57</v>
      </c>
      <c r="BG245" s="37">
        <v>58</v>
      </c>
      <c r="BH245" s="37">
        <v>59</v>
      </c>
      <c r="BI245" s="37">
        <v>60</v>
      </c>
      <c r="BJ245" s="37">
        <v>61</v>
      </c>
      <c r="BK245" s="37">
        <v>62</v>
      </c>
      <c r="BL245" s="37">
        <v>63</v>
      </c>
      <c r="BM245" s="37">
        <v>64</v>
      </c>
      <c r="BN245" s="37">
        <v>65</v>
      </c>
      <c r="BO245" s="37">
        <v>66</v>
      </c>
      <c r="BP245" s="37">
        <v>67</v>
      </c>
      <c r="BQ245" s="37">
        <v>68</v>
      </c>
      <c r="BR245" s="37">
        <v>69</v>
      </c>
      <c r="BS245" s="37">
        <v>70</v>
      </c>
      <c r="BT245" s="37">
        <v>71</v>
      </c>
      <c r="BU245" s="37">
        <v>72</v>
      </c>
      <c r="BV245" s="37">
        <v>73</v>
      </c>
      <c r="BW245" s="37">
        <v>74</v>
      </c>
      <c r="BX245" s="37">
        <v>75</v>
      </c>
      <c r="BY245" s="37">
        <v>76</v>
      </c>
      <c r="BZ245" s="37">
        <v>77</v>
      </c>
      <c r="CA245" s="37">
        <v>78</v>
      </c>
      <c r="CB245" s="37">
        <v>79</v>
      </c>
      <c r="CC245" s="37">
        <v>80</v>
      </c>
      <c r="CD245" s="37">
        <v>81</v>
      </c>
      <c r="CE245" s="37">
        <v>82</v>
      </c>
      <c r="CF245" s="37">
        <v>83</v>
      </c>
      <c r="CG245" s="37">
        <v>84</v>
      </c>
      <c r="CH245" s="37">
        <v>85</v>
      </c>
      <c r="CI245" s="37">
        <v>86</v>
      </c>
      <c r="CJ245" s="37">
        <v>87</v>
      </c>
      <c r="CK245" s="37">
        <v>88</v>
      </c>
      <c r="CL245" s="37">
        <v>89</v>
      </c>
      <c r="CM245" s="37">
        <v>90</v>
      </c>
      <c r="CN245" s="37">
        <v>91</v>
      </c>
      <c r="CO245" s="37">
        <v>92</v>
      </c>
      <c r="CP245" s="37">
        <v>93</v>
      </c>
      <c r="CQ245" s="37">
        <v>94</v>
      </c>
      <c r="CR245" s="37">
        <v>95</v>
      </c>
      <c r="CS245" s="37">
        <v>96</v>
      </c>
      <c r="CT245" s="37">
        <v>97</v>
      </c>
      <c r="CU245" s="37">
        <v>98</v>
      </c>
      <c r="CV245" s="37">
        <v>99</v>
      </c>
      <c r="CW245" s="37">
        <v>100</v>
      </c>
      <c r="CX245" s="37">
        <v>101</v>
      </c>
      <c r="CY245" s="37">
        <v>102</v>
      </c>
      <c r="CZ245" s="37">
        <v>103</v>
      </c>
      <c r="DA245" s="37">
        <v>104</v>
      </c>
      <c r="DB245" s="37">
        <v>105</v>
      </c>
      <c r="DC245" s="37">
        <v>106</v>
      </c>
      <c r="DD245" s="37">
        <v>107</v>
      </c>
      <c r="DE245" s="37">
        <v>108</v>
      </c>
      <c r="DF245" s="37">
        <v>109</v>
      </c>
      <c r="DG245" s="37">
        <v>110</v>
      </c>
      <c r="DH245" s="37">
        <v>111</v>
      </c>
      <c r="DI245" s="37">
        <v>112</v>
      </c>
      <c r="DJ245" s="37">
        <v>113</v>
      </c>
      <c r="DK245" s="37">
        <v>114</v>
      </c>
      <c r="DL245" s="37">
        <v>115</v>
      </c>
      <c r="DM245" s="37">
        <v>116</v>
      </c>
      <c r="DN245" s="37">
        <v>117</v>
      </c>
      <c r="DO245" s="37">
        <v>118</v>
      </c>
      <c r="DP245" s="37">
        <v>119</v>
      </c>
      <c r="DQ245" s="37">
        <v>120</v>
      </c>
      <c r="DR245" s="37">
        <v>121</v>
      </c>
      <c r="DS245" s="37">
        <v>122</v>
      </c>
      <c r="DT245" s="37">
        <v>123</v>
      </c>
      <c r="DU245" s="37">
        <v>124</v>
      </c>
      <c r="DV245" s="37">
        <v>125</v>
      </c>
      <c r="DW245" s="37">
        <v>126</v>
      </c>
      <c r="DX245" s="37">
        <v>127</v>
      </c>
      <c r="DY245" s="37">
        <v>128</v>
      </c>
      <c r="DZ245" s="37">
        <v>129</v>
      </c>
      <c r="EA245" s="37">
        <v>130</v>
      </c>
      <c r="EB245" s="37">
        <v>131</v>
      </c>
      <c r="EC245" s="37">
        <v>132</v>
      </c>
      <c r="ED245" s="37">
        <v>133</v>
      </c>
      <c r="EE245" s="37">
        <v>134</v>
      </c>
      <c r="EF245" s="37">
        <v>135</v>
      </c>
      <c r="EG245" s="37">
        <v>136</v>
      </c>
      <c r="EH245" s="37">
        <v>137</v>
      </c>
      <c r="EI245" s="37">
        <v>138</v>
      </c>
      <c r="EJ245" s="37">
        <v>139</v>
      </c>
      <c r="EK245" s="37">
        <v>140</v>
      </c>
      <c r="EL245" s="37">
        <v>141</v>
      </c>
      <c r="EM245" s="37">
        <v>142</v>
      </c>
      <c r="EN245" s="37">
        <v>143</v>
      </c>
      <c r="EO245" s="37">
        <v>144</v>
      </c>
      <c r="EP245" s="37">
        <v>145</v>
      </c>
      <c r="EQ245" s="37">
        <v>146</v>
      </c>
      <c r="ER245" s="37">
        <v>147</v>
      </c>
      <c r="ES245" s="37">
        <v>148</v>
      </c>
      <c r="ET245" s="37">
        <v>149</v>
      </c>
      <c r="EU245" s="37">
        <v>150</v>
      </c>
      <c r="EV245" s="37">
        <v>151</v>
      </c>
      <c r="EW245" s="37">
        <v>152</v>
      </c>
      <c r="EX245" s="37">
        <v>153</v>
      </c>
      <c r="EY245" s="37">
        <v>154</v>
      </c>
      <c r="EZ245" s="37">
        <v>155</v>
      </c>
      <c r="FA245" s="37">
        <v>156</v>
      </c>
      <c r="FB245" s="37">
        <v>157</v>
      </c>
      <c r="FC245" s="37">
        <v>158</v>
      </c>
      <c r="FD245" s="37">
        <v>159</v>
      </c>
      <c r="FE245" s="37">
        <v>160</v>
      </c>
      <c r="FF245" s="37">
        <v>161</v>
      </c>
      <c r="FG245" s="37">
        <v>162</v>
      </c>
      <c r="FH245" s="37">
        <v>163</v>
      </c>
      <c r="FI245" s="37">
        <v>164</v>
      </c>
      <c r="FJ245" s="37">
        <v>165</v>
      </c>
      <c r="FK245" s="37">
        <v>166</v>
      </c>
      <c r="FL245" s="37">
        <v>167</v>
      </c>
      <c r="FM245" s="37">
        <v>168</v>
      </c>
      <c r="FN245" s="37">
        <v>169</v>
      </c>
      <c r="FO245" s="37">
        <v>170</v>
      </c>
      <c r="FP245" s="37">
        <v>171</v>
      </c>
      <c r="FQ245" s="37">
        <v>172</v>
      </c>
      <c r="FR245" s="37">
        <v>173</v>
      </c>
      <c r="FS245" s="37">
        <v>174</v>
      </c>
      <c r="FT245" s="37">
        <v>175</v>
      </c>
      <c r="FU245" s="37">
        <v>176</v>
      </c>
      <c r="FV245" s="37">
        <v>177</v>
      </c>
      <c r="FW245" s="37">
        <v>178</v>
      </c>
      <c r="FX245" s="37">
        <v>179</v>
      </c>
      <c r="FY245" s="37">
        <v>180</v>
      </c>
      <c r="FZ245" s="37">
        <v>181</v>
      </c>
      <c r="GA245" s="37">
        <v>182</v>
      </c>
      <c r="GB245" s="37">
        <v>183</v>
      </c>
      <c r="GC245" s="37">
        <v>184</v>
      </c>
      <c r="GD245" s="37">
        <v>185</v>
      </c>
      <c r="GE245" s="37">
        <v>186</v>
      </c>
      <c r="GF245" s="37">
        <v>187</v>
      </c>
      <c r="GG245" s="37">
        <v>188</v>
      </c>
      <c r="GH245" s="37">
        <v>189</v>
      </c>
      <c r="GI245" s="37">
        <v>190</v>
      </c>
      <c r="GJ245" s="37">
        <v>191</v>
      </c>
      <c r="GK245" s="37">
        <v>192</v>
      </c>
      <c r="GL245" s="37">
        <v>193</v>
      </c>
      <c r="GM245" s="37">
        <v>194</v>
      </c>
      <c r="GN245" s="37">
        <v>195</v>
      </c>
      <c r="GO245" s="37">
        <v>196</v>
      </c>
      <c r="GP245" s="37">
        <v>197</v>
      </c>
      <c r="GQ245" s="37">
        <v>198</v>
      </c>
      <c r="GR245" s="37">
        <v>199</v>
      </c>
      <c r="GS245" s="37">
        <v>200</v>
      </c>
      <c r="GT245" s="37">
        <v>201</v>
      </c>
      <c r="GU245" s="37">
        <v>202</v>
      </c>
      <c r="GV245" s="37">
        <v>203</v>
      </c>
      <c r="GW245" s="37">
        <v>204</v>
      </c>
      <c r="GX245" s="37">
        <v>205</v>
      </c>
      <c r="GY245" s="37">
        <v>206</v>
      </c>
      <c r="GZ245" s="37">
        <v>207</v>
      </c>
      <c r="HA245" s="37">
        <v>208</v>
      </c>
      <c r="HB245" s="37">
        <v>209</v>
      </c>
      <c r="HC245" s="37">
        <v>210</v>
      </c>
      <c r="HD245" s="37">
        <v>211</v>
      </c>
      <c r="HE245" s="37">
        <v>212</v>
      </c>
      <c r="HF245" s="37">
        <v>213</v>
      </c>
      <c r="HG245" s="37">
        <v>214</v>
      </c>
      <c r="HH245" s="37">
        <v>215</v>
      </c>
      <c r="HI245" s="37">
        <v>216</v>
      </c>
      <c r="HJ245" s="37">
        <v>217</v>
      </c>
      <c r="HK245" s="37">
        <v>218</v>
      </c>
      <c r="HL245" s="37">
        <v>219</v>
      </c>
      <c r="HM245" s="37">
        <v>220</v>
      </c>
      <c r="HN245" s="37">
        <v>221</v>
      </c>
      <c r="HO245" s="37">
        <v>222</v>
      </c>
      <c r="HP245" s="37">
        <v>223</v>
      </c>
      <c r="HQ245" s="37">
        <v>224</v>
      </c>
      <c r="HR245" s="37">
        <v>225</v>
      </c>
      <c r="HS245" s="37">
        <v>226</v>
      </c>
      <c r="HT245" s="37">
        <v>227</v>
      </c>
      <c r="HU245" s="37">
        <v>228</v>
      </c>
      <c r="HV245" s="37">
        <v>229</v>
      </c>
      <c r="HW245" s="37">
        <v>230</v>
      </c>
      <c r="HX245" s="37">
        <v>231</v>
      </c>
      <c r="HY245" s="37">
        <v>232</v>
      </c>
      <c r="HZ245" s="37">
        <v>233</v>
      </c>
      <c r="IA245" s="37">
        <v>234</v>
      </c>
      <c r="IB245" s="37">
        <v>235</v>
      </c>
      <c r="IC245" s="37">
        <v>236</v>
      </c>
      <c r="ID245" s="37">
        <v>237</v>
      </c>
      <c r="IE245" s="37">
        <v>238</v>
      </c>
      <c r="IF245" s="37">
        <v>239</v>
      </c>
      <c r="IG245" s="37">
        <v>240</v>
      </c>
      <c r="IH245" s="37">
        <v>241</v>
      </c>
      <c r="II245" s="37">
        <v>242</v>
      </c>
      <c r="IJ245" s="37">
        <v>243</v>
      </c>
      <c r="IK245" s="37">
        <v>244</v>
      </c>
      <c r="IL245" s="37">
        <v>245</v>
      </c>
      <c r="IM245" s="37">
        <v>246</v>
      </c>
      <c r="IN245" s="37">
        <v>247</v>
      </c>
      <c r="IO245" s="37">
        <v>248</v>
      </c>
      <c r="IP245" s="37">
        <v>249</v>
      </c>
      <c r="IQ245" s="37">
        <v>250</v>
      </c>
      <c r="IR245" s="37">
        <v>251</v>
      </c>
      <c r="IS245" s="37">
        <v>252</v>
      </c>
      <c r="IT245" s="37">
        <v>253</v>
      </c>
      <c r="IU245" s="37">
        <v>254</v>
      </c>
      <c r="IV245" s="37">
        <v>255</v>
      </c>
      <c r="IW245" s="37">
        <v>256</v>
      </c>
      <c r="IX245" s="37">
        <v>257</v>
      </c>
      <c r="IY245" s="37">
        <v>258</v>
      </c>
      <c r="IZ245" s="37">
        <v>259</v>
      </c>
      <c r="JA245" s="37">
        <v>260</v>
      </c>
      <c r="JB245" s="37">
        <v>261</v>
      </c>
      <c r="JC245" s="37">
        <v>262</v>
      </c>
      <c r="JD245" s="37">
        <v>263</v>
      </c>
      <c r="JE245" s="37">
        <v>264</v>
      </c>
      <c r="JF245" s="37">
        <v>265</v>
      </c>
      <c r="JG245" s="37">
        <v>266</v>
      </c>
      <c r="JH245" s="37">
        <v>267</v>
      </c>
      <c r="JI245" s="37">
        <v>268</v>
      </c>
      <c r="JJ245" s="37">
        <v>269</v>
      </c>
      <c r="JK245" s="37">
        <v>270</v>
      </c>
      <c r="JL245" s="37">
        <v>271</v>
      </c>
      <c r="JM245" s="37">
        <v>272</v>
      </c>
      <c r="JN245" s="37">
        <v>273</v>
      </c>
      <c r="JO245" s="37">
        <v>274</v>
      </c>
      <c r="JP245" s="37">
        <v>275</v>
      </c>
      <c r="JQ245" s="37">
        <v>276</v>
      </c>
      <c r="JR245" s="37">
        <v>277</v>
      </c>
      <c r="JS245" s="37">
        <v>278</v>
      </c>
      <c r="JT245" s="37">
        <v>279</v>
      </c>
      <c r="JU245" s="37">
        <v>280</v>
      </c>
      <c r="JV245" s="37">
        <v>281</v>
      </c>
      <c r="JW245" s="37">
        <v>282</v>
      </c>
      <c r="JX245" s="37">
        <v>283</v>
      </c>
      <c r="JY245" s="37">
        <v>284</v>
      </c>
      <c r="JZ245" s="37">
        <v>285</v>
      </c>
      <c r="KA245" s="37">
        <v>286</v>
      </c>
      <c r="KB245" s="37">
        <v>287</v>
      </c>
      <c r="KC245" s="37">
        <v>288</v>
      </c>
      <c r="KD245" s="37">
        <v>289</v>
      </c>
      <c r="KE245" s="37">
        <v>290</v>
      </c>
      <c r="KF245" s="37">
        <v>291</v>
      </c>
      <c r="KG245" s="37">
        <v>292</v>
      </c>
      <c r="KH245" s="37">
        <v>293</v>
      </c>
      <c r="KI245" s="37">
        <v>294</v>
      </c>
      <c r="KJ245" s="37">
        <v>295</v>
      </c>
      <c r="KK245" s="37">
        <v>296</v>
      </c>
      <c r="KL245" s="37">
        <v>297</v>
      </c>
      <c r="KM245" s="37">
        <v>298</v>
      </c>
      <c r="KN245" s="37">
        <v>299</v>
      </c>
      <c r="KO245" s="37">
        <v>300</v>
      </c>
      <c r="KP245" s="37">
        <v>301</v>
      </c>
      <c r="KQ245" s="37">
        <v>302</v>
      </c>
      <c r="KR245" s="37">
        <v>303</v>
      </c>
      <c r="KS245" s="37">
        <v>304</v>
      </c>
      <c r="KT245" s="37">
        <v>305</v>
      </c>
      <c r="KU245" s="37">
        <v>306</v>
      </c>
      <c r="KV245" s="37">
        <v>307</v>
      </c>
      <c r="KW245" s="37">
        <v>308</v>
      </c>
      <c r="KX245" s="37">
        <v>309</v>
      </c>
      <c r="KY245" s="37">
        <v>310</v>
      </c>
      <c r="KZ245" s="37">
        <v>311</v>
      </c>
      <c r="LA245" s="37">
        <v>312</v>
      </c>
      <c r="LB245" s="37">
        <v>313</v>
      </c>
      <c r="LC245" s="37">
        <v>314</v>
      </c>
      <c r="LD245" s="37">
        <v>315</v>
      </c>
      <c r="LE245" s="37">
        <v>316</v>
      </c>
      <c r="LF245" s="37">
        <v>317</v>
      </c>
      <c r="LG245" s="37">
        <v>318</v>
      </c>
      <c r="LH245" s="37">
        <v>319</v>
      </c>
      <c r="LI245" s="37">
        <v>320</v>
      </c>
      <c r="LJ245" s="37">
        <v>321</v>
      </c>
      <c r="LK245" s="37">
        <v>322</v>
      </c>
      <c r="LL245" s="37">
        <v>323</v>
      </c>
      <c r="LM245" s="37">
        <v>324</v>
      </c>
      <c r="LN245" s="37">
        <v>325</v>
      </c>
      <c r="LO245" s="37">
        <v>326</v>
      </c>
      <c r="LP245" s="37">
        <v>327</v>
      </c>
      <c r="LQ245" s="37">
        <v>328</v>
      </c>
      <c r="LR245" s="37">
        <v>329</v>
      </c>
      <c r="LS245" s="37">
        <v>330</v>
      </c>
      <c r="LT245" s="37">
        <v>331</v>
      </c>
      <c r="LU245" s="37">
        <v>332</v>
      </c>
      <c r="LV245" s="37">
        <v>333</v>
      </c>
      <c r="LW245" s="37">
        <v>334</v>
      </c>
      <c r="LX245" s="37">
        <v>335</v>
      </c>
      <c r="LY245" s="37">
        <v>336</v>
      </c>
      <c r="LZ245" s="37">
        <v>337</v>
      </c>
      <c r="MA245" s="37">
        <v>338</v>
      </c>
      <c r="MB245" s="37">
        <v>339</v>
      </c>
      <c r="MC245" s="37">
        <v>340</v>
      </c>
      <c r="MD245" s="37">
        <v>341</v>
      </c>
      <c r="ME245" s="37">
        <v>342</v>
      </c>
      <c r="MF245" s="37">
        <v>343</v>
      </c>
      <c r="MG245" s="37">
        <v>344</v>
      </c>
      <c r="MH245" s="37">
        <v>345</v>
      </c>
      <c r="MI245" s="37">
        <v>346</v>
      </c>
      <c r="MJ245" s="37">
        <v>347</v>
      </c>
      <c r="MK245" s="37">
        <v>348</v>
      </c>
      <c r="ML245" s="37">
        <v>349</v>
      </c>
      <c r="MM245" s="37">
        <v>350</v>
      </c>
      <c r="MN245" s="37">
        <v>351</v>
      </c>
      <c r="MO245" s="37">
        <v>352</v>
      </c>
      <c r="MP245" s="37">
        <v>353</v>
      </c>
      <c r="MQ245" s="37">
        <v>354</v>
      </c>
      <c r="MR245" s="37">
        <v>355</v>
      </c>
      <c r="MS245" s="37">
        <v>356</v>
      </c>
      <c r="MT245" s="37">
        <v>357</v>
      </c>
      <c r="MU245" s="37">
        <v>358</v>
      </c>
      <c r="MV245" s="37">
        <v>359</v>
      </c>
      <c r="MW245" s="37">
        <v>360</v>
      </c>
      <c r="MX245" s="37">
        <v>361</v>
      </c>
      <c r="MY245" s="37">
        <v>362</v>
      </c>
      <c r="MZ245" s="37">
        <v>363</v>
      </c>
      <c r="NA245" s="37">
        <v>364</v>
      </c>
      <c r="NB245" s="37">
        <v>365</v>
      </c>
      <c r="NC245" s="37">
        <v>366</v>
      </c>
      <c r="ND245" s="37">
        <v>367</v>
      </c>
      <c r="NE245" s="37">
        <v>368</v>
      </c>
      <c r="NF245" s="37">
        <v>369</v>
      </c>
      <c r="NG245" s="37">
        <v>370</v>
      </c>
      <c r="NH245" s="37">
        <v>371</v>
      </c>
      <c r="NI245" s="37">
        <v>372</v>
      </c>
      <c r="NJ245" s="37">
        <v>373</v>
      </c>
      <c r="NK245" s="37">
        <v>374</v>
      </c>
      <c r="NL245" s="37">
        <v>375</v>
      </c>
      <c r="NM245" s="37">
        <v>376</v>
      </c>
      <c r="NN245" s="37">
        <v>377</v>
      </c>
      <c r="NO245" s="37">
        <v>378</v>
      </c>
      <c r="NP245" s="37">
        <v>379</v>
      </c>
      <c r="NQ245" s="37">
        <v>380</v>
      </c>
      <c r="NR245" s="37">
        <v>381</v>
      </c>
      <c r="NS245" s="37">
        <v>382</v>
      </c>
      <c r="NT245" s="37">
        <v>383</v>
      </c>
      <c r="NU245" s="37">
        <v>384</v>
      </c>
      <c r="NV245" s="37">
        <v>385</v>
      </c>
      <c r="NW245" s="37">
        <v>386</v>
      </c>
      <c r="NX245" s="37">
        <v>387</v>
      </c>
      <c r="NY245" s="37">
        <v>388</v>
      </c>
      <c r="NZ245" s="37">
        <v>389</v>
      </c>
      <c r="OA245" s="37">
        <v>390</v>
      </c>
      <c r="OB245" s="37">
        <v>391</v>
      </c>
      <c r="OC245" s="37">
        <v>392</v>
      </c>
      <c r="OD245" s="37">
        <v>393</v>
      </c>
      <c r="OE245" s="37">
        <v>394</v>
      </c>
      <c r="OF245" s="37">
        <v>395</v>
      </c>
      <c r="OG245" s="37">
        <v>396</v>
      </c>
      <c r="OH245" s="37">
        <v>397</v>
      </c>
      <c r="OI245" s="37">
        <v>398</v>
      </c>
      <c r="OJ245" s="37">
        <v>399</v>
      </c>
      <c r="OK245" s="37">
        <v>400</v>
      </c>
      <c r="OL245" s="37">
        <v>401</v>
      </c>
      <c r="OM245" s="37">
        <v>402</v>
      </c>
      <c r="ON245" s="37">
        <v>403</v>
      </c>
      <c r="OO245" s="37">
        <v>404</v>
      </c>
      <c r="OP245" s="37">
        <v>405</v>
      </c>
      <c r="OQ245" s="37">
        <v>406</v>
      </c>
      <c r="OR245" s="37">
        <v>407</v>
      </c>
      <c r="OS245" s="37">
        <v>408</v>
      </c>
      <c r="OT245" s="37">
        <v>409</v>
      </c>
      <c r="OU245" s="37">
        <v>410</v>
      </c>
      <c r="OV245" s="37">
        <v>411</v>
      </c>
      <c r="OW245" s="37">
        <v>412</v>
      </c>
      <c r="OX245" s="37">
        <v>413</v>
      </c>
      <c r="OY245" s="37">
        <v>414</v>
      </c>
      <c r="OZ245" s="37">
        <v>415</v>
      </c>
      <c r="PA245" s="37">
        <v>416</v>
      </c>
      <c r="PB245" s="37">
        <v>417</v>
      </c>
      <c r="PC245" s="37">
        <v>418</v>
      </c>
      <c r="PD245" s="37">
        <v>419</v>
      </c>
      <c r="PE245" s="37">
        <v>420</v>
      </c>
      <c r="PF245" s="37">
        <v>421</v>
      </c>
      <c r="PG245" s="37">
        <v>422</v>
      </c>
      <c r="PH245" s="37">
        <v>423</v>
      </c>
      <c r="PI245" s="37">
        <v>424</v>
      </c>
      <c r="PJ245" s="37">
        <v>425</v>
      </c>
      <c r="PK245" s="37">
        <v>426</v>
      </c>
      <c r="PL245" s="37">
        <v>427</v>
      </c>
      <c r="PM245" s="37">
        <v>428</v>
      </c>
      <c r="PN245" s="37">
        <v>429</v>
      </c>
      <c r="PO245" s="37">
        <v>430</v>
      </c>
      <c r="PP245" s="37">
        <v>431</v>
      </c>
      <c r="PQ245" s="37">
        <v>432</v>
      </c>
      <c r="PR245" s="37">
        <v>433</v>
      </c>
      <c r="PS245" s="37">
        <v>434</v>
      </c>
      <c r="PT245" s="37">
        <v>435</v>
      </c>
      <c r="PU245" s="37">
        <v>436</v>
      </c>
      <c r="PV245" s="37">
        <v>437</v>
      </c>
      <c r="PW245" s="37">
        <v>438</v>
      </c>
      <c r="PX245" s="37">
        <v>439</v>
      </c>
      <c r="PY245" s="37">
        <v>440</v>
      </c>
      <c r="PZ245" s="37">
        <v>441</v>
      </c>
      <c r="QA245" s="37">
        <v>442</v>
      </c>
    </row>
    <row r="246" spans="1:443" x14ac:dyDescent="0.3">
      <c r="GQ246">
        <v>1</v>
      </c>
      <c r="GT246">
        <v>6</v>
      </c>
    </row>
    <row r="247" spans="1:443" x14ac:dyDescent="0.3">
      <c r="D247">
        <v>1</v>
      </c>
      <c r="E247">
        <v>2</v>
      </c>
      <c r="F247">
        <v>3</v>
      </c>
      <c r="G247">
        <v>4</v>
      </c>
      <c r="H247">
        <v>5</v>
      </c>
      <c r="I247">
        <v>6</v>
      </c>
      <c r="J247">
        <v>7</v>
      </c>
      <c r="K247">
        <v>8</v>
      </c>
      <c r="L247">
        <v>9</v>
      </c>
      <c r="M247">
        <v>10</v>
      </c>
      <c r="N247">
        <v>11</v>
      </c>
      <c r="O247">
        <v>12</v>
      </c>
      <c r="P247">
        <v>13</v>
      </c>
      <c r="Q247">
        <v>14</v>
      </c>
      <c r="R247">
        <v>15</v>
      </c>
      <c r="S247">
        <v>16</v>
      </c>
      <c r="T247">
        <v>17</v>
      </c>
      <c r="U247">
        <v>18</v>
      </c>
      <c r="V247">
        <v>19</v>
      </c>
      <c r="W247">
        <v>20</v>
      </c>
      <c r="X247">
        <v>21</v>
      </c>
      <c r="Y247">
        <v>22</v>
      </c>
      <c r="Z247">
        <v>23</v>
      </c>
      <c r="AA247">
        <v>24</v>
      </c>
      <c r="AB247">
        <v>25</v>
      </c>
      <c r="AC247">
        <v>26</v>
      </c>
      <c r="AD247">
        <v>27</v>
      </c>
      <c r="AE247">
        <v>28</v>
      </c>
      <c r="AF247">
        <v>29</v>
      </c>
      <c r="AG247">
        <v>30</v>
      </c>
      <c r="AH247">
        <v>31</v>
      </c>
      <c r="AI247">
        <v>32</v>
      </c>
      <c r="AJ247">
        <v>33</v>
      </c>
      <c r="AK247">
        <v>34</v>
      </c>
      <c r="AL247">
        <v>35</v>
      </c>
      <c r="AM247">
        <v>36</v>
      </c>
      <c r="AN247">
        <v>37</v>
      </c>
      <c r="AO247">
        <v>38</v>
      </c>
      <c r="AP247">
        <v>39</v>
      </c>
      <c r="AQ247">
        <v>40</v>
      </c>
      <c r="AR247">
        <v>41</v>
      </c>
      <c r="AS247">
        <v>42</v>
      </c>
      <c r="AT247">
        <v>43</v>
      </c>
      <c r="AU247">
        <v>44</v>
      </c>
      <c r="AV247">
        <v>45</v>
      </c>
      <c r="AW247">
        <v>46</v>
      </c>
      <c r="AX247">
        <v>47</v>
      </c>
      <c r="AY247">
        <v>48</v>
      </c>
      <c r="AZ247">
        <v>49</v>
      </c>
      <c r="BA247">
        <v>50</v>
      </c>
      <c r="BB247">
        <v>51</v>
      </c>
      <c r="BC247">
        <v>52</v>
      </c>
      <c r="BD247">
        <v>53</v>
      </c>
      <c r="BE247">
        <v>54</v>
      </c>
      <c r="BF247">
        <v>55</v>
      </c>
      <c r="BG247">
        <v>56</v>
      </c>
      <c r="BH247">
        <v>57</v>
      </c>
      <c r="BI247">
        <v>58</v>
      </c>
      <c r="BJ247">
        <v>59</v>
      </c>
      <c r="BK247">
        <v>60</v>
      </c>
      <c r="BL247">
        <v>61</v>
      </c>
      <c r="BM247">
        <v>62</v>
      </c>
      <c r="BN247">
        <v>63</v>
      </c>
      <c r="BO247">
        <v>64</v>
      </c>
      <c r="BP247">
        <v>65</v>
      </c>
      <c r="BQ247">
        <v>66</v>
      </c>
      <c r="BR247">
        <v>67</v>
      </c>
      <c r="BS247">
        <v>68</v>
      </c>
      <c r="BT247">
        <v>69</v>
      </c>
      <c r="BU247">
        <v>70</v>
      </c>
      <c r="BV247">
        <v>71</v>
      </c>
      <c r="BW247">
        <v>72</v>
      </c>
      <c r="BX247">
        <v>73</v>
      </c>
      <c r="BY247">
        <v>74</v>
      </c>
      <c r="BZ247">
        <v>75</v>
      </c>
      <c r="CA247">
        <v>76</v>
      </c>
      <c r="CB247">
        <v>77</v>
      </c>
      <c r="CC247">
        <v>78</v>
      </c>
      <c r="CD247">
        <v>79</v>
      </c>
      <c r="CE247">
        <v>80</v>
      </c>
      <c r="CF247">
        <v>81</v>
      </c>
      <c r="CG247">
        <v>82</v>
      </c>
      <c r="CH247">
        <v>83</v>
      </c>
      <c r="CI247">
        <v>84</v>
      </c>
      <c r="CJ247">
        <v>85</v>
      </c>
      <c r="CK247">
        <v>86</v>
      </c>
      <c r="CL247">
        <v>87</v>
      </c>
      <c r="CM247">
        <v>88</v>
      </c>
      <c r="CN247">
        <v>89</v>
      </c>
      <c r="CO247">
        <v>90</v>
      </c>
      <c r="CP247">
        <v>91</v>
      </c>
      <c r="CQ247">
        <v>92</v>
      </c>
      <c r="CR247">
        <v>93</v>
      </c>
      <c r="CS247">
        <v>94</v>
      </c>
      <c r="CT247">
        <v>95</v>
      </c>
      <c r="CU247">
        <v>96</v>
      </c>
      <c r="CV247">
        <v>97</v>
      </c>
      <c r="CW247">
        <v>98</v>
      </c>
      <c r="CX247">
        <v>99</v>
      </c>
      <c r="CY247">
        <v>100</v>
      </c>
      <c r="CZ247">
        <v>101</v>
      </c>
      <c r="DA247">
        <v>102</v>
      </c>
      <c r="DB247">
        <v>103</v>
      </c>
      <c r="DC247">
        <v>104</v>
      </c>
      <c r="DD247">
        <v>105</v>
      </c>
      <c r="DE247">
        <v>106</v>
      </c>
      <c r="DF247">
        <v>107</v>
      </c>
      <c r="DG247">
        <v>108</v>
      </c>
      <c r="DH247">
        <v>109</v>
      </c>
      <c r="DI247">
        <v>110</v>
      </c>
      <c r="DJ247">
        <v>111</v>
      </c>
      <c r="DK247">
        <v>112</v>
      </c>
      <c r="DL247">
        <v>113</v>
      </c>
      <c r="DM247">
        <v>114</v>
      </c>
      <c r="DN247">
        <v>115</v>
      </c>
      <c r="DO247">
        <v>116</v>
      </c>
      <c r="DP247">
        <v>117</v>
      </c>
      <c r="DQ247">
        <v>118</v>
      </c>
      <c r="DR247">
        <v>119</v>
      </c>
      <c r="DS247">
        <v>120</v>
      </c>
      <c r="DT247">
        <v>121</v>
      </c>
      <c r="DU247">
        <v>122</v>
      </c>
      <c r="DV247">
        <v>123</v>
      </c>
      <c r="DW247">
        <v>124</v>
      </c>
      <c r="DX247">
        <v>125</v>
      </c>
      <c r="DY247">
        <v>126</v>
      </c>
      <c r="DZ247">
        <v>127</v>
      </c>
      <c r="EA247">
        <v>128</v>
      </c>
      <c r="EB247">
        <v>129</v>
      </c>
      <c r="EC247">
        <v>130</v>
      </c>
      <c r="ED247">
        <v>131</v>
      </c>
      <c r="EE247">
        <v>132</v>
      </c>
      <c r="EF247">
        <v>133</v>
      </c>
      <c r="EG247">
        <v>134</v>
      </c>
      <c r="EH247">
        <v>135</v>
      </c>
      <c r="EI247">
        <v>136</v>
      </c>
      <c r="EJ247">
        <v>137</v>
      </c>
      <c r="EK247">
        <v>138</v>
      </c>
      <c r="EL247">
        <v>139</v>
      </c>
      <c r="EM247">
        <v>140</v>
      </c>
      <c r="EN247">
        <v>141</v>
      </c>
      <c r="EO247">
        <v>142</v>
      </c>
      <c r="EP247">
        <v>143</v>
      </c>
      <c r="EQ247">
        <v>144</v>
      </c>
      <c r="ER247">
        <v>145</v>
      </c>
      <c r="ES247">
        <v>146</v>
      </c>
      <c r="ET247">
        <v>147</v>
      </c>
      <c r="EU247">
        <v>148</v>
      </c>
      <c r="EV247">
        <v>149</v>
      </c>
      <c r="EW247">
        <v>150</v>
      </c>
      <c r="EX247">
        <v>151</v>
      </c>
      <c r="EY247">
        <v>152</v>
      </c>
      <c r="EZ247">
        <v>153</v>
      </c>
      <c r="FA247">
        <v>154</v>
      </c>
      <c r="FB247">
        <v>155</v>
      </c>
      <c r="FC247">
        <v>156</v>
      </c>
      <c r="FD247">
        <v>157</v>
      </c>
      <c r="FE247">
        <v>158</v>
      </c>
      <c r="FF247">
        <v>159</v>
      </c>
      <c r="FG247">
        <v>160</v>
      </c>
      <c r="FH247">
        <v>161</v>
      </c>
      <c r="FI247">
        <v>162</v>
      </c>
      <c r="FJ247">
        <v>163</v>
      </c>
      <c r="FK247">
        <v>164</v>
      </c>
      <c r="FL247">
        <v>165</v>
      </c>
      <c r="FM247">
        <v>166</v>
      </c>
      <c r="FN247">
        <v>167</v>
      </c>
      <c r="FO247">
        <v>168</v>
      </c>
      <c r="FP247">
        <v>169</v>
      </c>
      <c r="FQ247">
        <v>170</v>
      </c>
      <c r="FR247">
        <v>171</v>
      </c>
      <c r="FS247">
        <v>172</v>
      </c>
      <c r="FT247">
        <v>173</v>
      </c>
      <c r="FU247">
        <v>174</v>
      </c>
      <c r="FV247">
        <v>175</v>
      </c>
      <c r="FW247">
        <v>176</v>
      </c>
      <c r="FX247">
        <v>177</v>
      </c>
      <c r="FY247">
        <v>178</v>
      </c>
      <c r="FZ247">
        <v>179</v>
      </c>
      <c r="GA247">
        <v>180</v>
      </c>
      <c r="GB247">
        <v>181</v>
      </c>
      <c r="GC247">
        <v>182</v>
      </c>
      <c r="GD247">
        <v>183</v>
      </c>
      <c r="GE247">
        <v>184</v>
      </c>
      <c r="GF247">
        <v>185</v>
      </c>
      <c r="GG247">
        <v>186</v>
      </c>
      <c r="GH247">
        <v>187</v>
      </c>
      <c r="GI247">
        <v>188</v>
      </c>
      <c r="GJ247">
        <v>189</v>
      </c>
      <c r="GK247">
        <v>190</v>
      </c>
      <c r="GL247">
        <v>191</v>
      </c>
      <c r="GM247">
        <v>192</v>
      </c>
      <c r="GN247">
        <v>193</v>
      </c>
      <c r="GO247">
        <v>194</v>
      </c>
      <c r="GP247">
        <v>195</v>
      </c>
      <c r="GQ247">
        <v>196</v>
      </c>
      <c r="GR247">
        <v>197</v>
      </c>
      <c r="GS247">
        <v>198</v>
      </c>
      <c r="GT247">
        <v>199</v>
      </c>
      <c r="GU247">
        <v>200</v>
      </c>
      <c r="GV247">
        <v>201</v>
      </c>
      <c r="GW247">
        <v>202</v>
      </c>
      <c r="GX247">
        <v>203</v>
      </c>
      <c r="GY247">
        <v>204</v>
      </c>
      <c r="GZ247">
        <v>205</v>
      </c>
      <c r="HA247">
        <v>206</v>
      </c>
      <c r="HB247">
        <v>207</v>
      </c>
      <c r="HC247">
        <v>208</v>
      </c>
      <c r="HD247">
        <v>209</v>
      </c>
      <c r="HE247">
        <v>210</v>
      </c>
      <c r="HF247">
        <v>211</v>
      </c>
      <c r="HG247">
        <v>212</v>
      </c>
      <c r="HH247">
        <v>213</v>
      </c>
      <c r="HI247">
        <v>214</v>
      </c>
      <c r="HJ247">
        <v>215</v>
      </c>
      <c r="HK247">
        <v>216</v>
      </c>
      <c r="HL247">
        <v>217</v>
      </c>
      <c r="HM247">
        <v>218</v>
      </c>
      <c r="HN247">
        <v>219</v>
      </c>
      <c r="HO247">
        <v>220</v>
      </c>
      <c r="HP247">
        <v>221</v>
      </c>
      <c r="HQ247">
        <v>222</v>
      </c>
      <c r="HR247">
        <v>223</v>
      </c>
      <c r="HS247">
        <v>224</v>
      </c>
      <c r="HT247">
        <v>225</v>
      </c>
      <c r="HU247">
        <v>226</v>
      </c>
      <c r="HV247">
        <v>227</v>
      </c>
      <c r="HW247">
        <v>228</v>
      </c>
      <c r="HX247">
        <v>229</v>
      </c>
      <c r="HY247">
        <v>230</v>
      </c>
      <c r="HZ247">
        <v>231</v>
      </c>
      <c r="IA247">
        <v>232</v>
      </c>
      <c r="IB247">
        <v>233</v>
      </c>
      <c r="IC247">
        <v>234</v>
      </c>
      <c r="ID247">
        <v>235</v>
      </c>
      <c r="IE247">
        <v>236</v>
      </c>
      <c r="IF247">
        <v>237</v>
      </c>
      <c r="IG247">
        <v>238</v>
      </c>
      <c r="IH247">
        <v>239</v>
      </c>
      <c r="II247">
        <v>240</v>
      </c>
      <c r="IJ247">
        <v>241</v>
      </c>
      <c r="IK247">
        <v>242</v>
      </c>
      <c r="IL247">
        <v>243</v>
      </c>
      <c r="IM247">
        <v>244</v>
      </c>
      <c r="IN247">
        <v>245</v>
      </c>
      <c r="IO247">
        <v>246</v>
      </c>
      <c r="IP247">
        <v>247</v>
      </c>
      <c r="IQ247">
        <v>248</v>
      </c>
      <c r="IR247">
        <v>249</v>
      </c>
      <c r="IS247">
        <v>250</v>
      </c>
      <c r="IT247">
        <v>251</v>
      </c>
      <c r="IU247">
        <v>252</v>
      </c>
      <c r="IV247">
        <v>253</v>
      </c>
      <c r="IW247">
        <v>254</v>
      </c>
      <c r="IX247">
        <v>255</v>
      </c>
      <c r="IY247">
        <v>256</v>
      </c>
      <c r="IZ247">
        <v>257</v>
      </c>
      <c r="JA247">
        <v>258</v>
      </c>
      <c r="JB247">
        <v>259</v>
      </c>
      <c r="JC247">
        <v>260</v>
      </c>
      <c r="JD247">
        <v>261</v>
      </c>
      <c r="JE247">
        <v>262</v>
      </c>
      <c r="JF247">
        <v>263</v>
      </c>
      <c r="JG247">
        <v>264</v>
      </c>
      <c r="JH247">
        <v>265</v>
      </c>
      <c r="JI247">
        <v>266</v>
      </c>
      <c r="JJ247">
        <v>267</v>
      </c>
      <c r="JK247">
        <v>268</v>
      </c>
      <c r="JL247">
        <v>269</v>
      </c>
      <c r="JM247">
        <v>270</v>
      </c>
      <c r="JN247">
        <v>271</v>
      </c>
      <c r="JO247">
        <v>272</v>
      </c>
      <c r="JP247">
        <v>273</v>
      </c>
      <c r="JQ247">
        <v>274</v>
      </c>
      <c r="JR247">
        <v>275</v>
      </c>
      <c r="JS247">
        <v>276</v>
      </c>
      <c r="JT247">
        <v>277</v>
      </c>
      <c r="JU247">
        <v>278</v>
      </c>
      <c r="JV247">
        <v>279</v>
      </c>
      <c r="JW247">
        <v>280</v>
      </c>
      <c r="JX247">
        <v>281</v>
      </c>
      <c r="JY247">
        <v>282</v>
      </c>
      <c r="JZ247">
        <v>283</v>
      </c>
      <c r="KA247">
        <v>284</v>
      </c>
      <c r="KB247">
        <v>285</v>
      </c>
      <c r="KC247">
        <v>286</v>
      </c>
      <c r="KD247">
        <v>287</v>
      </c>
      <c r="KE247">
        <v>288</v>
      </c>
      <c r="KF247">
        <v>289</v>
      </c>
      <c r="KG247">
        <v>290</v>
      </c>
      <c r="KH247">
        <v>291</v>
      </c>
      <c r="KI247">
        <v>292</v>
      </c>
      <c r="KJ247">
        <v>293</v>
      </c>
      <c r="KK247">
        <v>294</v>
      </c>
      <c r="KL247">
        <v>295</v>
      </c>
      <c r="KM247">
        <v>296</v>
      </c>
      <c r="KN247">
        <v>297</v>
      </c>
      <c r="KO247">
        <v>298</v>
      </c>
      <c r="KP247">
        <v>299</v>
      </c>
      <c r="KQ247">
        <v>300</v>
      </c>
      <c r="KR247">
        <v>301</v>
      </c>
      <c r="KS247">
        <v>302</v>
      </c>
      <c r="KT247">
        <v>303</v>
      </c>
      <c r="KU247">
        <v>304</v>
      </c>
      <c r="KV247">
        <v>305</v>
      </c>
      <c r="KW247">
        <v>306</v>
      </c>
      <c r="KX247">
        <v>307</v>
      </c>
      <c r="KY247">
        <v>308</v>
      </c>
      <c r="KZ247">
        <v>309</v>
      </c>
      <c r="LA247">
        <v>310</v>
      </c>
      <c r="LB247">
        <v>311</v>
      </c>
      <c r="LC247">
        <v>312</v>
      </c>
      <c r="LD247">
        <v>313</v>
      </c>
      <c r="LE247">
        <v>314</v>
      </c>
      <c r="LF247">
        <v>315</v>
      </c>
      <c r="LG247">
        <v>316</v>
      </c>
      <c r="LH247">
        <v>317</v>
      </c>
      <c r="LI247">
        <v>318</v>
      </c>
      <c r="LJ247">
        <v>319</v>
      </c>
      <c r="LK247">
        <v>320</v>
      </c>
      <c r="LL247">
        <v>321</v>
      </c>
      <c r="LM247">
        <v>322</v>
      </c>
      <c r="LN247">
        <v>323</v>
      </c>
      <c r="LO247">
        <v>324</v>
      </c>
      <c r="LP247">
        <v>325</v>
      </c>
      <c r="LQ247">
        <v>326</v>
      </c>
      <c r="LR247">
        <v>327</v>
      </c>
      <c r="LS247">
        <v>328</v>
      </c>
      <c r="LT247">
        <v>329</v>
      </c>
      <c r="LU247">
        <v>330</v>
      </c>
      <c r="LV247">
        <v>331</v>
      </c>
      <c r="LW247">
        <v>332</v>
      </c>
      <c r="LX247">
        <v>333</v>
      </c>
      <c r="LY247">
        <v>334</v>
      </c>
      <c r="LZ247">
        <v>335</v>
      </c>
      <c r="MA247">
        <v>336</v>
      </c>
      <c r="MB247">
        <v>337</v>
      </c>
      <c r="MC247">
        <v>338</v>
      </c>
      <c r="MD247">
        <v>339</v>
      </c>
      <c r="ME247">
        <v>340</v>
      </c>
      <c r="MF247">
        <v>341</v>
      </c>
      <c r="MG247">
        <v>342</v>
      </c>
      <c r="MH247">
        <v>343</v>
      </c>
      <c r="MI247">
        <v>344</v>
      </c>
      <c r="MJ247">
        <v>345</v>
      </c>
      <c r="MK247">
        <v>346</v>
      </c>
      <c r="ML247">
        <v>347</v>
      </c>
      <c r="MM247">
        <v>348</v>
      </c>
      <c r="MN247">
        <v>349</v>
      </c>
      <c r="MO247">
        <v>350</v>
      </c>
      <c r="MP247">
        <v>351</v>
      </c>
      <c r="MQ247">
        <v>352</v>
      </c>
      <c r="MR247">
        <v>353</v>
      </c>
      <c r="MS247">
        <v>354</v>
      </c>
      <c r="MT247">
        <v>355</v>
      </c>
      <c r="MU247">
        <v>356</v>
      </c>
      <c r="MV247">
        <v>357</v>
      </c>
      <c r="MW247">
        <v>358</v>
      </c>
      <c r="MX247">
        <v>359</v>
      </c>
      <c r="MY247">
        <v>360</v>
      </c>
      <c r="MZ247">
        <v>361</v>
      </c>
      <c r="NA247">
        <v>362</v>
      </c>
      <c r="NB247">
        <v>363</v>
      </c>
      <c r="NC247">
        <v>364</v>
      </c>
      <c r="ND247">
        <v>365</v>
      </c>
      <c r="NE247">
        <v>366</v>
      </c>
      <c r="NF247">
        <v>367</v>
      </c>
      <c r="NG247">
        <v>368</v>
      </c>
      <c r="NH247">
        <v>369</v>
      </c>
      <c r="NI247">
        <v>370</v>
      </c>
      <c r="NJ247">
        <v>371</v>
      </c>
      <c r="NK247">
        <v>372</v>
      </c>
      <c r="NL247">
        <v>373</v>
      </c>
      <c r="NM247">
        <v>374</v>
      </c>
      <c r="NN247">
        <v>375</v>
      </c>
      <c r="NO247">
        <v>376</v>
      </c>
      <c r="NP247">
        <v>377</v>
      </c>
      <c r="NQ247">
        <v>378</v>
      </c>
      <c r="NR247">
        <v>379</v>
      </c>
      <c r="NS247">
        <v>380</v>
      </c>
      <c r="NT247">
        <v>381</v>
      </c>
      <c r="NU247">
        <v>382</v>
      </c>
      <c r="NV247">
        <v>383</v>
      </c>
      <c r="NW247">
        <v>384</v>
      </c>
      <c r="NX247">
        <v>385</v>
      </c>
      <c r="NY247">
        <v>386</v>
      </c>
      <c r="NZ247">
        <v>387</v>
      </c>
      <c r="OA247">
        <v>388</v>
      </c>
      <c r="OB247">
        <v>389</v>
      </c>
      <c r="OC247">
        <v>390</v>
      </c>
      <c r="OD247">
        <v>391</v>
      </c>
      <c r="OE247">
        <v>392</v>
      </c>
      <c r="OF247">
        <v>393</v>
      </c>
      <c r="OG247">
        <v>394</v>
      </c>
      <c r="OH247">
        <v>395</v>
      </c>
      <c r="OI247">
        <v>396</v>
      </c>
      <c r="OJ247">
        <v>397</v>
      </c>
      <c r="OK247">
        <v>398</v>
      </c>
      <c r="OL247">
        <v>399</v>
      </c>
      <c r="OM247">
        <v>400</v>
      </c>
      <c r="ON247">
        <v>401</v>
      </c>
      <c r="OO247">
        <v>402</v>
      </c>
      <c r="OP247">
        <v>403</v>
      </c>
      <c r="OQ247">
        <v>404</v>
      </c>
      <c r="OR247">
        <v>405</v>
      </c>
      <c r="OS247">
        <v>406</v>
      </c>
      <c r="OT247">
        <v>407</v>
      </c>
      <c r="OU247">
        <v>408</v>
      </c>
      <c r="OV247">
        <v>409</v>
      </c>
      <c r="OW247">
        <v>410</v>
      </c>
      <c r="OX247">
        <v>411</v>
      </c>
      <c r="OY247">
        <v>412</v>
      </c>
      <c r="OZ247">
        <v>413</v>
      </c>
      <c r="PA247">
        <v>414</v>
      </c>
      <c r="PB247">
        <v>415</v>
      </c>
      <c r="PC247">
        <v>416</v>
      </c>
      <c r="PD247">
        <v>417</v>
      </c>
      <c r="PE247">
        <v>418</v>
      </c>
      <c r="PF247">
        <v>419</v>
      </c>
      <c r="PG247">
        <v>420</v>
      </c>
      <c r="PH247">
        <v>421</v>
      </c>
      <c r="PI247">
        <v>422</v>
      </c>
      <c r="PJ247">
        <v>423</v>
      </c>
      <c r="PK247">
        <v>424</v>
      </c>
      <c r="PL247">
        <v>425</v>
      </c>
      <c r="PM247">
        <v>426</v>
      </c>
      <c r="PN247">
        <v>427</v>
      </c>
      <c r="PO247">
        <v>428</v>
      </c>
      <c r="PP247">
        <v>429</v>
      </c>
      <c r="PQ247">
        <v>430</v>
      </c>
      <c r="PR247">
        <v>431</v>
      </c>
      <c r="PS247">
        <v>432</v>
      </c>
      <c r="PT247">
        <v>433</v>
      </c>
      <c r="PU247">
        <v>434</v>
      </c>
      <c r="PV247">
        <v>435</v>
      </c>
      <c r="PW247">
        <v>436</v>
      </c>
      <c r="PX247">
        <v>437</v>
      </c>
      <c r="PY247">
        <v>438</v>
      </c>
      <c r="PZ247">
        <v>439</v>
      </c>
      <c r="QA247">
        <v>440</v>
      </c>
    </row>
  </sheetData>
  <autoFilter ref="A3:PZ240" xr:uid="{E4A1A6B3-4CA2-47DD-990D-ABC92D8C82CF}">
    <filterColumn colId="287">
      <customFilters>
        <customFilter operator="notEqual" val=" "/>
      </customFilters>
    </filterColumn>
  </autoFilter>
  <mergeCells count="117">
    <mergeCell ref="AA2:AF2"/>
    <mergeCell ref="U2:Z2"/>
    <mergeCell ref="U1:AF1"/>
    <mergeCell ref="AG1:CD1"/>
    <mergeCell ref="CE1:CI1"/>
    <mergeCell ref="CJ1:GJ1"/>
    <mergeCell ref="CE2:CI2"/>
    <mergeCell ref="OR1:PZ1"/>
    <mergeCell ref="A2:A3"/>
    <mergeCell ref="B2:B3"/>
    <mergeCell ref="C2:C3"/>
    <mergeCell ref="D2:D3"/>
    <mergeCell ref="E2:E3"/>
    <mergeCell ref="LU1:MN1"/>
    <mergeCell ref="MY1:NH1"/>
    <mergeCell ref="NI1:NW1"/>
    <mergeCell ref="NX1:OG1"/>
    <mergeCell ref="OH1:OQ1"/>
    <mergeCell ref="II1:JB1"/>
    <mergeCell ref="JC1:JV1"/>
    <mergeCell ref="JW1:KA1"/>
    <mergeCell ref="LK1:LT1"/>
    <mergeCell ref="GK1:GO1"/>
    <mergeCell ref="GP1:HI1"/>
    <mergeCell ref="HJ1:HN1"/>
    <mergeCell ref="HO1:HS1"/>
    <mergeCell ref="HT1:IC1"/>
    <mergeCell ref="ID1:IH1"/>
    <mergeCell ref="F1:T1"/>
    <mergeCell ref="AG2:AK2"/>
    <mergeCell ref="AL2:AP2"/>
    <mergeCell ref="AQ2:AU2"/>
    <mergeCell ref="AV2:AZ2"/>
    <mergeCell ref="BA2:BE2"/>
    <mergeCell ref="BF2:BJ2"/>
    <mergeCell ref="F2:J2"/>
    <mergeCell ref="K2:O2"/>
    <mergeCell ref="P2:T2"/>
    <mergeCell ref="CO2:CS2"/>
    <mergeCell ref="CT2:CX2"/>
    <mergeCell ref="CY2:DC2"/>
    <mergeCell ref="DD2:DH2"/>
    <mergeCell ref="DI2:DM2"/>
    <mergeCell ref="DN2:DR2"/>
    <mergeCell ref="BK2:BO2"/>
    <mergeCell ref="BP2:BT2"/>
    <mergeCell ref="BU2:BY2"/>
    <mergeCell ref="BZ2:CD2"/>
    <mergeCell ref="CJ2:CN2"/>
    <mergeCell ref="EW2:FA2"/>
    <mergeCell ref="FB2:FF2"/>
    <mergeCell ref="FG2:FK2"/>
    <mergeCell ref="FL2:FP2"/>
    <mergeCell ref="FQ2:FU2"/>
    <mergeCell ref="FV2:FZ2"/>
    <mergeCell ref="DS2:DW2"/>
    <mergeCell ref="DX2:EB2"/>
    <mergeCell ref="EC2:EG2"/>
    <mergeCell ref="EH2:EL2"/>
    <mergeCell ref="EM2:EQ2"/>
    <mergeCell ref="ER2:EV2"/>
    <mergeCell ref="HE2:HI2"/>
    <mergeCell ref="HJ2:HN2"/>
    <mergeCell ref="HO2:HS2"/>
    <mergeCell ref="HT2:HX2"/>
    <mergeCell ref="HY2:IC2"/>
    <mergeCell ref="ID2:IH2"/>
    <mergeCell ref="GA2:GE2"/>
    <mergeCell ref="GF2:GJ2"/>
    <mergeCell ref="GK2:GO2"/>
    <mergeCell ref="GP2:GT2"/>
    <mergeCell ref="GU2:GY2"/>
    <mergeCell ref="GZ2:HD2"/>
    <mergeCell ref="JM2:JQ2"/>
    <mergeCell ref="JR2:JV2"/>
    <mergeCell ref="JW2:KA2"/>
    <mergeCell ref="II2:IM2"/>
    <mergeCell ref="IN2:IR2"/>
    <mergeCell ref="IS2:IW2"/>
    <mergeCell ref="IX2:JB2"/>
    <mergeCell ref="JC2:JG2"/>
    <mergeCell ref="JH2:JL2"/>
    <mergeCell ref="NN2:NR2"/>
    <mergeCell ref="NS2:NW2"/>
    <mergeCell ref="NX2:OB2"/>
    <mergeCell ref="LU2:LY2"/>
    <mergeCell ref="LZ2:MD2"/>
    <mergeCell ref="ME2:MI2"/>
    <mergeCell ref="MJ2:MN2"/>
    <mergeCell ref="KV2:KZ2"/>
    <mergeCell ref="LF2:LJ2"/>
    <mergeCell ref="LK2:LO2"/>
    <mergeCell ref="LP2:LT2"/>
    <mergeCell ref="KL1:LJ1"/>
    <mergeCell ref="PV2:PZ2"/>
    <mergeCell ref="A1:E1"/>
    <mergeCell ref="KB1:KK1"/>
    <mergeCell ref="KB2:KF2"/>
    <mergeCell ref="KG2:KK2"/>
    <mergeCell ref="KQ2:KU2"/>
    <mergeCell ref="KL2:KP2"/>
    <mergeCell ref="LA2:LE2"/>
    <mergeCell ref="MO1:MX1"/>
    <mergeCell ref="MO2:MS2"/>
    <mergeCell ref="MT2:MX2"/>
    <mergeCell ref="PG2:PK2"/>
    <mergeCell ref="PQ2:PU2"/>
    <mergeCell ref="OC2:OG2"/>
    <mergeCell ref="OH2:OL2"/>
    <mergeCell ref="OM2:OQ2"/>
    <mergeCell ref="OR2:OV2"/>
    <mergeCell ref="OW2:PA2"/>
    <mergeCell ref="PB2:PF2"/>
    <mergeCell ref="PL2:PP2"/>
    <mergeCell ref="MY2:NC2"/>
    <mergeCell ref="ND2:NH2"/>
    <mergeCell ref="NI2:NM2"/>
  </mergeCells>
  <conditionalFormatting sqref="B174">
    <cfRule type="duplicateValues" dxfId="863" priority="1088"/>
  </conditionalFormatting>
  <conditionalFormatting sqref="B175">
    <cfRule type="duplicateValues" dxfId="862" priority="1087"/>
  </conditionalFormatting>
  <conditionalFormatting sqref="B188:B214">
    <cfRule type="duplicateValues" dxfId="861" priority="1086"/>
  </conditionalFormatting>
  <conditionalFormatting sqref="B215:B237">
    <cfRule type="duplicateValues" dxfId="860" priority="564"/>
  </conditionalFormatting>
  <conditionalFormatting sqref="B238">
    <cfRule type="duplicateValues" dxfId="859" priority="422"/>
  </conditionalFormatting>
  <conditionalFormatting sqref="E2:E3">
    <cfRule type="duplicateValues" dxfId="858" priority="1089"/>
  </conditionalFormatting>
  <conditionalFormatting sqref="F4:F134">
    <cfRule type="containsText" dxfId="857" priority="1070" operator="containsText" text="NO APLICA">
      <formula>NOT(ISERROR(SEARCH("NO APLICA",F4)))</formula>
    </cfRule>
    <cfRule type="containsText" dxfId="856" priority="1069" operator="containsText" text="VENCIDA">
      <formula>NOT(ISERROR(SEARCH("VENCIDA",F4)))</formula>
    </cfRule>
    <cfRule type="containsText" dxfId="855" priority="1068" operator="containsText" text="POR VENCER">
      <formula>NOT(ISERROR(SEARCH("POR VENCER",F4)))</formula>
    </cfRule>
    <cfRule type="containsText" dxfId="854" priority="1067" operator="containsText" text="VIGENTE">
      <formula>NOT(ISERROR(SEARCH("VIGENTE",F4)))</formula>
    </cfRule>
  </conditionalFormatting>
  <conditionalFormatting sqref="F136">
    <cfRule type="containsText" dxfId="853" priority="153" operator="containsText" text="VIGENTE">
      <formula>NOT(ISERROR(SEARCH("VIGENTE",F136)))</formula>
    </cfRule>
    <cfRule type="containsText" dxfId="852" priority="154" operator="containsText" text="POR VENCER">
      <formula>NOT(ISERROR(SEARCH("POR VENCER",F136)))</formula>
    </cfRule>
    <cfRule type="containsText" dxfId="851" priority="155" operator="containsText" text="VENCIDA">
      <formula>NOT(ISERROR(SEARCH("VENCIDA",F136)))</formula>
    </cfRule>
    <cfRule type="containsText" dxfId="850" priority="156" operator="containsText" text="NO APLICA">
      <formula>NOT(ISERROR(SEARCH("NO APLICA",F136)))</formula>
    </cfRule>
  </conditionalFormatting>
  <conditionalFormatting sqref="F141">
    <cfRule type="containsText" dxfId="849" priority="180" operator="containsText" text="NO APLICA">
      <formula>NOT(ISERROR(SEARCH("NO APLICA",F141)))</formula>
    </cfRule>
    <cfRule type="containsText" dxfId="848" priority="177" operator="containsText" text="VIGENTE">
      <formula>NOT(ISERROR(SEARCH("VIGENTE",F141)))</formula>
    </cfRule>
    <cfRule type="containsText" dxfId="847" priority="179" operator="containsText" text="VENCIDA">
      <formula>NOT(ISERROR(SEARCH("VENCIDA",F141)))</formula>
    </cfRule>
    <cfRule type="containsText" dxfId="846" priority="178" operator="containsText" text="POR VENCER">
      <formula>NOT(ISERROR(SEARCH("POR VENCER",F141)))</formula>
    </cfRule>
  </conditionalFormatting>
  <conditionalFormatting sqref="F146">
    <cfRule type="containsText" dxfId="845" priority="157" operator="containsText" text="VIGENTE">
      <formula>NOT(ISERROR(SEARCH("VIGENTE",F146)))</formula>
    </cfRule>
    <cfRule type="containsText" dxfId="844" priority="158" operator="containsText" text="POR VENCER">
      <formula>NOT(ISERROR(SEARCH("POR VENCER",F146)))</formula>
    </cfRule>
    <cfRule type="containsText" dxfId="843" priority="159" operator="containsText" text="VENCIDA">
      <formula>NOT(ISERROR(SEARCH("VENCIDA",F146)))</formula>
    </cfRule>
    <cfRule type="containsText" dxfId="842" priority="160" operator="containsText" text="NO APLICA">
      <formula>NOT(ISERROR(SEARCH("NO APLICA",F146)))</formula>
    </cfRule>
  </conditionalFormatting>
  <conditionalFormatting sqref="F153">
    <cfRule type="containsText" dxfId="841" priority="31" operator="containsText" text="VIGENTE">
      <formula>NOT(ISERROR(SEARCH("VIGENTE",F153)))</formula>
    </cfRule>
    <cfRule type="containsText" dxfId="840" priority="32" operator="containsText" text="POR VENCER">
      <formula>NOT(ISERROR(SEARCH("POR VENCER",F153)))</formula>
    </cfRule>
    <cfRule type="containsText" dxfId="839" priority="33" operator="containsText" text="VENCIDA">
      <formula>NOT(ISERROR(SEARCH("VENCIDA",F153)))</formula>
    </cfRule>
    <cfRule type="containsText" dxfId="838" priority="34" operator="containsText" text="NO APLICA">
      <formula>NOT(ISERROR(SEARCH("NO APLICA",F153)))</formula>
    </cfRule>
  </conditionalFormatting>
  <conditionalFormatting sqref="F163">
    <cfRule type="containsText" dxfId="837" priority="176" operator="containsText" text="NO APLICA">
      <formula>NOT(ISERROR(SEARCH("NO APLICA",F163)))</formula>
    </cfRule>
    <cfRule type="containsText" dxfId="836" priority="175" operator="containsText" text="VENCIDA">
      <formula>NOT(ISERROR(SEARCH("VENCIDA",F163)))</formula>
    </cfRule>
    <cfRule type="containsText" dxfId="835" priority="174" operator="containsText" text="POR VENCER">
      <formula>NOT(ISERROR(SEARCH("POR VENCER",F163)))</formula>
    </cfRule>
    <cfRule type="containsText" dxfId="834" priority="173" operator="containsText" text="VIGENTE">
      <formula>NOT(ISERROR(SEARCH("VIGENTE",F163)))</formula>
    </cfRule>
  </conditionalFormatting>
  <conditionalFormatting sqref="F165">
    <cfRule type="containsText" dxfId="833" priority="170" operator="containsText" text="POR VENCER">
      <formula>NOT(ISERROR(SEARCH("POR VENCER",F165)))</formula>
    </cfRule>
    <cfRule type="containsText" dxfId="832" priority="171" operator="containsText" text="VENCIDA">
      <formula>NOT(ISERROR(SEARCH("VENCIDA",F165)))</formula>
    </cfRule>
    <cfRule type="containsText" dxfId="831" priority="169" operator="containsText" text="VIGENTE">
      <formula>NOT(ISERROR(SEARCH("VIGENTE",F165)))</formula>
    </cfRule>
    <cfRule type="containsText" dxfId="830" priority="172" operator="containsText" text="NO APLICA">
      <formula>NOT(ISERROR(SEARCH("NO APLICA",F165)))</formula>
    </cfRule>
  </conditionalFormatting>
  <conditionalFormatting sqref="F179">
    <cfRule type="containsText" dxfId="829" priority="168" operator="containsText" text="NO APLICA">
      <formula>NOT(ISERROR(SEARCH("NO APLICA",F179)))</formula>
    </cfRule>
    <cfRule type="containsText" dxfId="828" priority="166" operator="containsText" text="POR VENCER">
      <formula>NOT(ISERROR(SEARCH("POR VENCER",F179)))</formula>
    </cfRule>
    <cfRule type="containsText" dxfId="827" priority="165" operator="containsText" text="VIGENTE">
      <formula>NOT(ISERROR(SEARCH("VIGENTE",F179)))</formula>
    </cfRule>
    <cfRule type="containsText" dxfId="826" priority="167" operator="containsText" text="VENCIDA">
      <formula>NOT(ISERROR(SEARCH("VENCIDA",F179)))</formula>
    </cfRule>
  </conditionalFormatting>
  <conditionalFormatting sqref="F186">
    <cfRule type="containsText" dxfId="825" priority="1062" operator="containsText" text="VIGENTE">
      <formula>NOT(ISERROR(SEARCH("VIGENTE",F186)))</formula>
    </cfRule>
    <cfRule type="containsText" dxfId="824" priority="1063" operator="containsText" text="POR VENCER">
      <formula>NOT(ISERROR(SEARCH("POR VENCER",F186)))</formula>
    </cfRule>
    <cfRule type="containsText" dxfId="823" priority="1064" operator="containsText" text="VENCIDA">
      <formula>NOT(ISERROR(SEARCH("VENCIDA",F186)))</formula>
    </cfRule>
    <cfRule type="containsText" dxfId="822" priority="1065" operator="containsText" text="NO APLICA">
      <formula>NOT(ISERROR(SEARCH("NO APLICA",F186)))</formula>
    </cfRule>
  </conditionalFormatting>
  <conditionalFormatting sqref="F190">
    <cfRule type="containsText" dxfId="821" priority="161" operator="containsText" text="VIGENTE">
      <formula>NOT(ISERROR(SEARCH("VIGENTE",F190)))</formula>
    </cfRule>
    <cfRule type="containsText" dxfId="820" priority="164" operator="containsText" text="NO APLICA">
      <formula>NOT(ISERROR(SEARCH("NO APLICA",F190)))</formula>
    </cfRule>
    <cfRule type="containsText" dxfId="819" priority="163" operator="containsText" text="VENCIDA">
      <formula>NOT(ISERROR(SEARCH("VENCIDA",F190)))</formula>
    </cfRule>
    <cfRule type="containsText" dxfId="818" priority="162" operator="containsText" text="POR VENCER">
      <formula>NOT(ISERROR(SEARCH("POR VENCER",F190)))</formula>
    </cfRule>
  </conditionalFormatting>
  <conditionalFormatting sqref="G72">
    <cfRule type="containsText" dxfId="817" priority="1058" operator="containsText" text="VIGENTE">
      <formula>NOT(ISERROR(SEARCH("VIGENTE",G72)))</formula>
    </cfRule>
    <cfRule type="containsText" dxfId="816" priority="1059" operator="containsText" text="POR VENCER">
      <formula>NOT(ISERROR(SEARCH("POR VENCER",G72)))</formula>
    </cfRule>
    <cfRule type="containsText" dxfId="815" priority="1061" operator="containsText" text="NO APLICA">
      <formula>NOT(ISERROR(SEARCH("NO APLICA",G72)))</formula>
    </cfRule>
    <cfRule type="containsText" dxfId="814" priority="1060" operator="containsText" text="VENCIDA">
      <formula>NOT(ISERROR(SEARCH("VENCIDA",G72)))</formula>
    </cfRule>
  </conditionalFormatting>
  <conditionalFormatting sqref="J4:J240">
    <cfRule type="containsText" dxfId="813" priority="1057" operator="containsText" text="POR VENCER">
      <formula>NOT(ISERROR(SEARCH("POR VENCER",J4)))</formula>
    </cfRule>
    <cfRule type="containsText" dxfId="812" priority="1056" operator="containsText" text="VIGENTE">
      <formula>NOT(ISERROR(SEARCH("VIGENTE",J4)))</formula>
    </cfRule>
    <cfRule type="containsText" dxfId="811" priority="1055" operator="containsText" text="NO APLICA">
      <formula>NOT(ISERROR(SEARCH("NO APLICA",J4)))</formula>
    </cfRule>
  </conditionalFormatting>
  <conditionalFormatting sqref="J4:K129 AF4:AF240 AB183:AF187 CD185:CH185 JX4:KC4 EH4:EI5 LJ4:LN59 MN4:MP152 MS4:MU152 KK4:KM164 KP4:KR164 KH4:KH166 CD4:CD184 Z4:AA240 AP4:AP240 AU4:AU240 AZ4:AZ240 BO4:BO240 BT4:BT240 CN4:CN240 DR4:DR240 DW4:DW240 EB4:EB240 EG4:EG240 EL4:EL240 EQ4:EQ240 FK4:FK240 FP4:FP240 FZ4:FZ240 GE4:GE240 GJ4:GJ240 GO4:GO240 HD4:HD240 HN4:HN240 HX4:HX240 IC4:IC240 IH4:IH240 IR4:IR240 IW4:IW240 JB4:JB240 JG4:JG240 JQ4:JQ240 JV4:JV240 KU4:KU240 KZ4:LA240 LE4:LE240 LT4:LT240 LY4:LY240 MD4:MD240 MX4:MX240 OG4:OG240 OL4:OL240 JX5 KA5:KB5 JL5:JL240 EH6 JX6:KB6 JX7 KA7:KB7 EH8:EI9 JX8:KB18 MI8:MK158 AK8:AK179 BE8:BE240 BJ8:BJ240 BY8:BY240 CI8:CI240 CS8:CS240 CX8:CX240 DC8:DC240 DH8:DH240 DM8:DM240 EV8:EV240 FA8:FA240 FF8:FF240 FU8:FU240 GT8:GT240 GY8:GY240 KF8:KG240 EH10:EH11 HO11:HP172 HS11:HS240 EH12:EI12 EH13 EH14:EI14 EH15 HI15:HI240 JX19 KA19:KB19 EH19:EH20 JX20:KB21 EH21:EI21 EH22 JX22 KA22:KB22 JX23:KB25 EH25 EH26:EI26 JX26:JX27 KA26:KB27 EH27 EH28:EI29 JX28:KB35 NP28:NP179 EH30 EH32:EI33 EH34 EH35:EI35 JX36 KA36:KB36 EH37 JX37:KB39 EH38:EI40 NH38:NH240 EW39:EW42 CO39:CO44 FB39:FB44 GK39:GK44 DX39:DX45 EC39:EC45 FQ39:FQ45 DN39:DN46 BU39:BU50 GF39:GF50 FG39:FG53 BA39:BA63 BP39:BP63 DS39:DS66 AG39:AG78 AL39:AL85 AV39:AV85 GZ39:GZ96 AQ39:AQ129 BF39:BF129 BK39:BK129 BZ39:BZ129 GU39:GU129 HJ39:HJ129 HT39:HT129 HY39:HY129 ID39:ID129 IM39:IN129 IS39:IS129 IX39:IX129 LP39:LP129 MY39:MY129 NC39:ND129 NI39:NI129 JX40 KA40:KB40 DD40:DD44 CT40:CT48 EH41 JX41:KB49 EH42:EI44 FL43:FL44 EM43:EM45 ER43:ER45 GA43:GA45 AB43:AB50 DI43:DI50 KV43:KV59 HR44:HR45 FV44:FV46 EW44:EW53 EH45 CO46:CO48 FL46:FL48 GK46:GK78 FB46:FB129 EH48:EH50 DN48:DN78 CO50 FL50 JX50 KA50:KB50 JX51:KB52 EH51:EI53 JX53 KA53:KB53 EH54 JX54:KB60 EH55:EI55 EW55:EW64 FG55:FG93 EH56:EH57 EH58:EI58 EH59 EH60:EI61 LJ60:LL237 JX61 KA61:KB61 NU61:NU180 EH62 JX62:KB67 EH63:EI64 EH65 EH66:EI68 EW66:EW112 JX68 KA68:KB68 DS68:DS81 EH69 JX69:KB69 JX70 KA70:KB70 EH70:EI71 JX71:KB83 EH72:EH73 EH74:EI76 EH77 EH78:EI78 EH79:EH80 EH81:EI84 JX84 KA84:KB84 DS84:DS90 EH85 JX85:KB85 EH86:EI86 JX86 KA86:KB86 EH87 JX87:KB101 EH88:EI88 EH89:EH91 DS92:DS93 EH92:EI94 EH95:EH97 DS96:DS103 EH98:EI98 EH99 EH100:EI100 EH102:EI102 JX102 KA102:KB102 EH103 JX103:KB110 EH104:EI106 DS105:DS106 EH108:EI109 DS108:DS111 EH110 JX111 KA111:KB111 EH111:EI112 JX112:KB140 EH113:EH114 DS113:DS119 EH115:EI115 EW115:EW129 EH116:EH118 EH119:EI122 DS121:DS129 EH123 EH124:EI124 EH125:EH126 EH127:EI127 EH128 EH129:EI129 IM130:IM240 NC130:NC240 EH132 JX141 KA141:KB141 JX142:KB143 EH144:EI144 JX144 KA144:KB144 JX145:KB148 EH146:EI146 EH148:EI151 JX149 KA149:KB149 JX150:KB160 EH153:EI153 MN153:MO240 EH154 EH155:EI155 EH158:EI158 EH159 MI159:MI240 MS159:MT240 NM159:NM240 NR159:NR240 JX161 KA161:KB161 EH162:EI163 JX162:KB171 EH165:EI165 KK165:KL240 KP165:KQ240 JX172 KA172:KB172 JX173:KB177 EH175:EI175 JX178:JX179 KA178:KB179 KR179:KT187 JX180:KC180 JX181 KA181:KB181 AK181:AK240 JX182:KB198 EH184:EH185 CD188:CD240 EH190:EI191 KA199:KB199 JX200:KB200 JX201 KA201:KB201 JX202:KB204 JX205:JX206 KA205:KB206 JX207:KB207 JX208:JX209 KA208:KB209 JX210:KB216 JX217 KA217:KB217 JX218:KB218 JX219 KA219:KB219 JX220:KB220 EH221:EI221 JX221:JX222 KA221:KB222 JX223:KB223 JX224 KA224:KB224 JX225:KB226 JX227:JX228 KA227:KB228 JX229:KB233 EH231:EI231 EH233:EI233 JX234:JX235 KA234:KB235 JX236:KB236 JX237:JX240 KA237:KB240 EH238:EI238 LK238:LL238 LJ238:LJ240 EH107 EH152 EH174 EH180:EH181 EH188:EH189 EH193 EH202 EH208 EH219 EH223 EH227 EH232 EH237 EH16:EI18 EH23:EI24 EH167:EI171 EH173:EI173 EH187:EI187 EH133:EI134 EH136:EI138 EH179:EI179 J181:J240">
    <cfRule type="containsText" dxfId="810" priority="1054" operator="containsText" text="VENCIDA">
      <formula>NOT(ISERROR(SEARCH("VENCIDA",J4)))</formula>
    </cfRule>
  </conditionalFormatting>
  <conditionalFormatting sqref="J180:K180 ME4:MK7 KC5:KC170 MW29:MW77 CY39:CY78 DD46:DD90 CT50:CT93 IM4:IN35 HT4:HT37 HY4:HY37 IS4:IS37 IX4:IX37 LP4:LP37 MY4:MY37 NC4:ND37 NH4:NI37 DX8 EC8 FL8 DD8:DD10 DN8:DN17 BZ8:BZ27 EM8:EM27 EW8:EW27 FB8:FB27 FG8:FG27 FQ8:FQ27 BA8:BA28 BF8:BF28 DS8:DS28 ER8:ER28 GA8:GA28 GF8:GF28 AL8:AL31 AV8:AV34 DI8:DI34 AQ8:AQ37 BK8:BK37 BP8:BP37 CT8:CT37 CY8:CY37 GU8:GU37 GZ8:GZ37 ME9:MF37 DX10 FL10 EC10:EC27 DX12:DX28 FL12:FL34 DD12:DD37 NM15:NV27 HJ15:HJ37 DN19:DN20 HR20:HR27 CO21:CO26 BU21:BU28 DN22:DN36 MW24:MW26 GK24:GK28 ID24:ID37 FV28:FV33 NR28:NV34 NM28:NO37 NQ28:NQ37 FB29:FB34 BZ29:BZ37 EW29:EW37 FG29:FG37 HR30:HR33 CO30:CO34 DX30:DX34 EC30:EC34 ER30:ER34 GA30:GA34 BA30:BA37 BF30:BF37 DS30:DS37 EM30:EM37 FQ30:FQ37 GF30:GF37 DX36:DX37 EC36:EC37 FB36:FB37 FL36:FL37 ME46:MF89 EC52:EC82 FL52:FL82 FQ52:FQ82 GA52:GA129 OH55:OI129 CO61:CO81 BU65:BU82 BP65:BP90 BA65:BA129 DI65:DI129 ER65:ER129 NM68:NO76 NR68:NT158 NV68:NV158 KV73:KV127 HR74:HR76 FV74:FV82 EM75:EM129 GF75:GF129 DX77:DX81 MW79:MW95 DN80:DN81 CY80:CY129 DN83:DN129 BU84:BU89 CO84:CO89 FL84:FL90 DX84:DX93 EC84:EC93 FQ84:FQ93 AL87:AL96 AV87:AV129 FV91:FV93 ME91:MF117 BU92:BU93 CO92:CO93 FL92:FL93 BP92:BP96 DD92:DD96 EC95:EC96 BU95:BU98 DX95:DX98 FV95:FV101 CT95:CT103 FL95:FL103 FQ95:FQ103 CO96 CO98:CO103 EC98:EC103 DD98:DD106 BP98:BP111 BU100:BU103 DX100:DX103 BU105:BU106 CO105:CO106 DX105:DX106 EC105:EC106 FQ105:FQ106 FL105:FL111 CT105:CT119 BU108:BU111 CO108:CO111 DX108:DX111 EC108:EC111 FQ108:FQ111 DD108:DD129 BP113:BP114 BU113:BU114 CO113:CO114 DX113:DX114 EC113:EC114 FL113:FL114 FQ113:FQ114 DX116:DX119 EC116:EC119 FL116:FL119 FQ116:FQ119 BP116:BP129 BU117:BU119 CO117:CO119 FL121:FL127 BU121:BU129 CO121:CO129 CT121:CT129 DX121:DX129 EC121:EC129 FQ121:FQ129 HR122:HR172 FL129 MP153:MP158 KR165:KR172 BA180 GA180 GU180 GZ180 HJ180 IN180 IS180 IX180 KM180 BF180 BK180 BZ180 CT180 CY180 DN180 DS180 DX180 EC180 FB180 FG180 AK180:AL180 AQ180 AV180 BP180 BU180 DD180 DI180 EM180 ER180 EW180 FL180 FQ180 GF180 GK180 HT180 HY180 ID180 KV180 LP180 ME180:MF180 MJ180:MK180 MP180 MU180:MW180 MY180 ND180 NI180 NN180:NQ180 NS180:NT180 NV180 CG184:CH184 CD186:CE187 CG186:CH187 LF187 ME39:MF44 NM91:NO158 ME119:MF124 ME125 ME126:MF158 BU30:BU34 KM165:KM170 KH180 J130:J179">
    <cfRule type="containsText" dxfId="809" priority="1053" operator="containsText" text="VENCIDA">
      <formula>NOT(ISERROR(SEARCH("VENCIDA",J4)))</formula>
    </cfRule>
  </conditionalFormatting>
  <conditionalFormatting sqref="K4:K129">
    <cfRule type="containsText" dxfId="808" priority="1052" operator="containsText" text="NO APLICA">
      <formula>NOT(ISERROR(SEARCH("NO APLICA",K4)))</formula>
    </cfRule>
    <cfRule type="containsText" dxfId="807" priority="1051" operator="containsText" text="VIGENTE">
      <formula>NOT(ISERROR(SEARCH("VIGENTE",K4)))</formula>
    </cfRule>
    <cfRule type="containsText" dxfId="806" priority="1050" operator="containsText" text="POR VENCER">
      <formula>NOT(ISERROR(SEARCH("POR VENCER",K4)))</formula>
    </cfRule>
  </conditionalFormatting>
  <conditionalFormatting sqref="K141 K165 K221">
    <cfRule type="containsText" dxfId="805" priority="183" operator="containsText" text="VIGENTE">
      <formula>NOT(ISERROR(SEARCH("VIGENTE",K141)))</formula>
    </cfRule>
    <cfRule type="containsText" dxfId="804" priority="185" operator="containsText" text="VENCIDA">
      <formula>NOT(ISERROR(SEARCH("VENCIDA",K141)))</formula>
    </cfRule>
    <cfRule type="containsText" dxfId="803" priority="182" operator="containsText" text="POR VENCER">
      <formula>NOT(ISERROR(SEARCH("POR VENCER",K141)))</formula>
    </cfRule>
    <cfRule type="containsText" dxfId="802" priority="184" operator="containsText" text="NO APLICA">
      <formula>NOT(ISERROR(SEARCH("NO APLICA",K141)))</formula>
    </cfRule>
  </conditionalFormatting>
  <conditionalFormatting sqref="K180">
    <cfRule type="containsText" dxfId="801" priority="1047" operator="containsText" text="POR VENCER">
      <formula>NOT(ISERROR(SEARCH("POR VENCER",K180)))</formula>
    </cfRule>
    <cfRule type="containsText" dxfId="800" priority="1048" operator="containsText" text="VIGENTE">
      <formula>NOT(ISERROR(SEARCH("VIGENTE",K180)))</formula>
    </cfRule>
    <cfRule type="containsText" dxfId="799" priority="1049" operator="containsText" text="NO APLICA">
      <formula>NOT(ISERROR(SEARCH("NO APLICA",K180)))</formula>
    </cfRule>
  </conditionalFormatting>
  <conditionalFormatting sqref="K239:K240">
    <cfRule type="containsText" dxfId="798" priority="102" operator="containsText" text="NO APLICA">
      <formula>NOT(ISERROR(SEARCH("NO APLICA",K239)))</formula>
    </cfRule>
    <cfRule type="containsText" dxfId="797" priority="103" operator="containsText" text="POR VENCER">
      <formula>NOT(ISERROR(SEARCH("POR VENCER",K239)))</formula>
    </cfRule>
  </conditionalFormatting>
  <conditionalFormatting sqref="K239:L239">
    <cfRule type="containsText" dxfId="796" priority="101" operator="containsText" text="VENCIDA">
      <formula>NOT(ISERROR(SEARCH("VENCIDA",K239)))</formula>
    </cfRule>
    <cfRule type="containsText" dxfId="795" priority="100" operator="containsText" text="VIGENTE">
      <formula>NOT(ISERROR(SEARCH("VIGENTE",K239)))</formula>
    </cfRule>
  </conditionalFormatting>
  <conditionalFormatting sqref="K240:L240">
    <cfRule type="containsText" dxfId="794" priority="48" operator="containsText" text="VIGENTE">
      <formula>NOT(ISERROR(SEARCH("VIGENTE",K240)))</formula>
    </cfRule>
    <cfRule type="containsText" dxfId="793" priority="49" operator="containsText" text="VENCIDA">
      <formula>NOT(ISERROR(SEARCH("VENCIDA",K240)))</formula>
    </cfRule>
  </conditionalFormatting>
  <conditionalFormatting sqref="L239:L240">
    <cfRule type="containsText" dxfId="792" priority="99" operator="containsText" text="POR VENCER">
      <formula>NOT(ISERROR(SEARCH("POR VENCER",L239)))</formula>
    </cfRule>
    <cfRule type="containsText" dxfId="791" priority="98" operator="containsText" text="NO APLICA">
      <formula>NOT(ISERROR(SEARCH("NO APLICA",L239)))</formula>
    </cfRule>
  </conditionalFormatting>
  <conditionalFormatting sqref="P239:P240 CM239:CM240 CR239:CR240 CW239:CW240 DL239:DL240 DQ239:DQ240 DV239:DV240 EC239:EC240 EZ239:EZ240 FE239:FE240 FJ239:FJ240 FO239:FO240 FT239:FT240 GD239:GD240 GS239:GS240 HW239:HW240 IQ239:IQ240 IV239:IV240 IZ239:IZ240 JD239:JD240 KH239:KH240 KM239:KM240 LD239:LD240 LI239:LI240 MZ239:MZ240 NQ239:NQ240 NV239:NV240 CH240">
    <cfRule type="containsText" dxfId="790" priority="116" operator="containsText" text="VENCIDA">
      <formula>NOT(ISERROR(SEARCH("VENCIDA",P239)))</formula>
    </cfRule>
  </conditionalFormatting>
  <conditionalFormatting sqref="P239:P240 CM239:CM240 CR239:CR240 CW239:CW240 DL239:DL240 DQ239:DQ240 DV239:DV240 EZ239:EZ240 FE239:FE240 FJ239:FJ240 FO239:FO240 FT239:FT240 GD239:GD240 GS239:GS240 HW239:HW240 IQ239:IQ240 IV239:IV240 IZ239:IZ240 JD239:JD240 KH239:KH240 KM239:KM240 LD239:LD240 LI239:LI240 MZ239:MZ240 NQ239:NQ240 NV239:NV240 CH240 EC239:EC240">
    <cfRule type="containsText" dxfId="789" priority="111" operator="containsText" text="POR VENCER">
      <formula>NOT(ISERROR(SEARCH("POR VENCER",P239)))</formula>
    </cfRule>
  </conditionalFormatting>
  <conditionalFormatting sqref="Q239:R240 AB183:AF187 CD185:CH185">
    <cfRule type="containsText" dxfId="788" priority="47" operator="containsText" text="POR VENCER">
      <formula>NOT(ISERROR(SEARCH("POR VENCER",Q183)))</formula>
    </cfRule>
  </conditionalFormatting>
  <conditionalFormatting sqref="Q239:R240">
    <cfRule type="containsText" dxfId="787" priority="45" operator="containsText" text="VENCIDA">
      <formula>NOT(ISERROR(SEARCH("VENCIDA",Q239)))</formula>
    </cfRule>
    <cfRule type="containsText" dxfId="786" priority="46" operator="containsText" text="NO APLICA">
      <formula>NOT(ISERROR(SEARCH("NO APLICA",Q239)))</formula>
    </cfRule>
  </conditionalFormatting>
  <conditionalFormatting sqref="T4:U240">
    <cfRule type="containsText" dxfId="785" priority="1044" operator="containsText" text="VIGENTE">
      <formula>NOT(ISERROR(SEARCH("VIGENTE",T4)))</formula>
    </cfRule>
    <cfRule type="containsText" dxfId="784" priority="1046" operator="containsText" text="VENCIDA">
      <formula>NOT(ISERROR(SEARCH("VENCIDA",T4)))</formula>
    </cfRule>
    <cfRule type="containsText" dxfId="783" priority="1045" operator="containsText" text="NO APLICA">
      <formula>NOT(ISERROR(SEARCH("NO APLICA",T4)))</formula>
    </cfRule>
    <cfRule type="containsText" dxfId="782" priority="1043" operator="containsText" text="POR VENCER">
      <formula>NOT(ISERROR(SEARCH("POR VENCER",T4)))</formula>
    </cfRule>
  </conditionalFormatting>
  <conditionalFormatting sqref="V4:V96 O4:O240 V98:V158">
    <cfRule type="containsText" dxfId="781" priority="1038" operator="containsText" text="VENCIDA">
      <formula>NOT(ISERROR(SEARCH("VENCIDA",O4)))</formula>
    </cfRule>
    <cfRule type="containsText" dxfId="780" priority="1041" operator="containsText" text="NO APLICA">
      <formula>NOT(ISERROR(SEARCH("NO APLICA",O4)))</formula>
    </cfRule>
    <cfRule type="containsText" dxfId="779" priority="1042" operator="containsText" text="POR VENCER">
      <formula>NOT(ISERROR(SEARCH("POR VENCER",O4)))</formula>
    </cfRule>
  </conditionalFormatting>
  <conditionalFormatting sqref="V180">
    <cfRule type="containsText" dxfId="778" priority="1036" operator="containsText" text="VENCIDA">
      <formula>NOT(ISERROR(SEARCH("VENCIDA",V180)))</formula>
    </cfRule>
    <cfRule type="containsText" dxfId="777" priority="1035" operator="containsText" text="VIGENTE">
      <formula>NOT(ISERROR(SEARCH("VIGENTE",V180)))</formula>
    </cfRule>
    <cfRule type="containsText" dxfId="776" priority="1039" operator="containsText" text="NO APLICA">
      <formula>NOT(ISERROR(SEARCH("NO APLICA",V180)))</formula>
    </cfRule>
    <cfRule type="containsText" dxfId="775" priority="1040" operator="containsText" text="POR VENCER">
      <formula>NOT(ISERROR(SEARCH("POR VENCER",V180)))</formula>
    </cfRule>
  </conditionalFormatting>
  <conditionalFormatting sqref="W239">
    <cfRule type="containsText" dxfId="774" priority="87" operator="containsText" text="NO APLICA">
      <formula>NOT(ISERROR(SEARCH("NO APLICA",W239)))</formula>
    </cfRule>
    <cfRule type="containsText" dxfId="773" priority="89" operator="containsText" text="VIGENTE">
      <formula>NOT(ISERROR(SEARCH("VIGENTE",W239)))</formula>
    </cfRule>
    <cfRule type="containsText" dxfId="772" priority="88" operator="containsText" text="POR VENCER">
      <formula>NOT(ISERROR(SEARCH("POR VENCER",W239)))</formula>
    </cfRule>
  </conditionalFormatting>
  <conditionalFormatting sqref="W239:W240">
    <cfRule type="containsText" dxfId="771" priority="90" operator="containsText" text="VENCIDA">
      <formula>NOT(ISERROR(SEARCH("VENCIDA",W239)))</formula>
    </cfRule>
  </conditionalFormatting>
  <conditionalFormatting sqref="W240:X240">
    <cfRule type="containsText" dxfId="770" priority="44" operator="containsText" text="VIGENTE">
      <formula>NOT(ISERROR(SEARCH("VIGENTE",W240)))</formula>
    </cfRule>
    <cfRule type="containsText" dxfId="769" priority="42" operator="containsText" text="NO APLICA">
      <formula>NOT(ISERROR(SEARCH("NO APLICA",W240)))</formula>
    </cfRule>
    <cfRule type="containsText" dxfId="768" priority="43" operator="containsText" text="POR VENCER">
      <formula>NOT(ISERROR(SEARCH("POR VENCER",W240)))</formula>
    </cfRule>
  </conditionalFormatting>
  <conditionalFormatting sqref="X240">
    <cfRule type="containsText" dxfId="767" priority="86" operator="containsText" text="VENCIDA">
      <formula>NOT(ISERROR(SEARCH("VENCIDA",X240)))</formula>
    </cfRule>
  </conditionalFormatting>
  <conditionalFormatting sqref="AB4:AB7 AB38:AB79 AB128:AB158 AK4:AK179 BE4:BE240 BJ4:BJ240 BY4:BY240 CS4:CS240 CX4:CX240 DC4:DC240 DH4:DH240 DM4:DM240 EV4:EV240 FA4:FA240 FF4:FF240 GT4:GT240 GY4:GY240 DD39:DD44 CT39:CT48 MN4:MP158 IR4:IR240 NH4:NH240 IS39:IS129 CI4:CI240 EH95:EH97 EH101 EH107 EH116:EH118 KU4:KU240 IH4:IH129 JX180:KC180 KF4:KH164 MX4:MX240 MS4:MU152 PP4:PP240 HI15:HI240 HN4:HN240 HD4:HD240 EH66:EI68 EH31:EI33 EH35:EI36 EH47:EI47 BK39:BK129 DN48:DN78 HS11:HS240 EH4:EI5 JX5 JV5:JV240 EH6 JX6:KB6 JX7 EH8:EI9 JX8:KB18 EH10:EH11 EH12:EI12 EH13 EH14:EI14 EH15 JX19 EH19:EH20 JX20:KB21 EH21:EI21 EH22 JX22 JX23:KB25 EH25 EH26:EI26 JX26:JX27 EH27 EH28:EI29 JX28:KB35 EH30 EH34 JX36 EH37 JX37:KB39 EH38:EI40 JX40 EH41 JX41:KB49 EH42:EI44 EH45 EH48:EH50 JX50 JX51:KB52 EH51:EI53 JX53 EH54 JX54:KB60 EH55:EI55 EH56:EH57 EH58:EI58 EH59 EH60:EI61 JX61 EH62 JX62:KB67 EH63:EI64 EH65 JX68 EH69 JX69:KB69 JX70 EH70:EI71 JX71:KB83 EH72:EH73 EH74:EI76 EH77 EH78:EI78 EH79:EH80 EH81:EI84 JX84 EH85 JX85:KB85 EH86:EI86 JX86 EH87 JX87:KB101 EH88:EI88 EH89:EH91 EH92:EI94 EH98:EI98 EH99 EH100:EI100 EH102:EI102 JX102 EH103 JX103:KB110 EH104:EI106 EH108:EI109 EH110 JX111 EH111:EI112 JX112:KB140 EH113:EH114 EH115:EI115 EH119:EI122 EH123 EH124:EI124 EH125:EH126 EH127:EI127 EH128 EH129:EI129 EH132 JX141 JX142:KB143 EH144:EI144 JX144 JX145:KB148 EH146:EI146 EH148:EI151 JX149 JX150:KB160 EH153:EI153 EH154 EH155:EI155 EH158:EI158 EH159 JX161 EH162:EI163 JX162:KB171 EH165:EI165 JX172 JX173:KB177 EH175:EI175 JX178:JX179 JX181 JX182:KB198 EH184:EH185 EH190:EI191 KA199:KB199 JX200:KB200 JX201 JX202:KB204 JX205:JX206 JX207:KB207 JX208:JX209 JX210:KB216 JX217 JX218:KB218 JX219 JX220:KB220 EH221:EI221 JX221:JX222 JX223:KB223 JX224 JX225:KB226 JX227:JX228 JX229:KB233 EH231:EI231 EH233:EI233 JX234:JX235 JX236:KB236 JX237:JX240 EH238:EI238 AF4:AF240 KA208:KB209 KA227:KB228 KA234:KB235 KA237:KB240 LJ4:LN59 KP4:KR164 Z4:AA240 AP4:AP240 AU4:AU240 AZ4:AZ240 BO4:BO240 BT4:BT240 CN4:CN240 DR4:DR240 DW4:DW240 EB4:EB240 EG4:EG240 EL4:EL240 EQ4:EQ240 FK4:FK240 FP4:FP240 FZ4:FZ240 GE4:GE240 GJ4:GJ240 JG4:JG240 LE4:LE240 LY4:LY240 MD4:MD240 OG4:OG240 OL4:OL240 KA5:KB5 KA7:KB7 MI8:MK158 FU8:FU240 KA19:KB19 KA22:KB22 KA26:KB27 NP28:NP179 KA36:KB36 CO39:CO44 FB39:FB44 DX39:DX45 EC39:EC45 FQ39:FQ45 BU39:BU50 GF39:GF50 BA39:BA63 BP39:BP63 DS39:DS66 AL39:AL85 AV39:AV85 GZ39:GZ96 AQ39:AQ129 BF39:BF129 BZ39:BZ129 GU39:GU129 HJ39:HJ129 HT39:HT129 IM39:IN129 LP39:LP129 MY39:MY129 NC39:ND129 NI39:NI129 KA40:KB40 FL43:FL44 EM43:EM45 ER43:ER45 DI43:DI50 KV43:KV59 HX43:HY129 IC43:ID129 IW43:IX129 HR44:HR45 FV44:FV46 CO46:CO48 FL46:FL48 FB46:FB129 CO50 FL50 KA50:KB50 KA53:KB53 LJ60:LL237 KA61:KB61 NU61:NU180 KA68:KB68 DS68:DS81 KA70:KB70 KA84:KB84 DS84:DS90 KA86:KB86 DS92:DS93 DS96:DS103 KA102:KB102 DS105:DS106 DS108:DS111 KA111:KB111 DS113:DS119 DS121:DS129 IM130:IM240 KA141:KB141 KA144:KB144 KA149:KB149 MI159:MI240 MN159:MO240 MS159:MT240 NM159:NM240 NR159:NR240 KA161:KB161 KF165:KG240 KP165:KQ240 KA172:KB172 KA178:KB179 KR179:KT187 KA181:KB181 AK181:AK240 CD188:CD240 KA201:KB201 KA205:KB206 KA217:KB217 KA219:KB219 KA221:KB222 KA224:KB224 LK238:LL238 LJ238:LJ240">
    <cfRule type="containsText" dxfId="766" priority="1026" operator="containsText" text="NO APLICA">
      <formula>NOT(ISERROR(SEARCH("NO APLICA",Z4)))</formula>
    </cfRule>
  </conditionalFormatting>
  <conditionalFormatting sqref="AB4:AB19 AB38:AB41 AB52:AB55 AB57:AB59 AB61:AB68 AB72 AB76:AB78 AB130:AB158">
    <cfRule type="containsText" dxfId="765" priority="1025" operator="containsText" text="VENCIDA">
      <formula>NOT(ISERROR(SEARCH("VENCIDA",AB4)))</formula>
    </cfRule>
  </conditionalFormatting>
  <conditionalFormatting sqref="AB20:AB21 AB38:AB71 AB73:AB79 AB128:AB158 AB4:AB7 LJ4:LN59 KM4:KM132 MN4:MP152 MI4:MK158 KF4:KH164 KP4:KR164 AK4:AK179 CD4:CD184 Z4:AA240 AF4:AF240 AP4:AP240 AU4:AU240 AZ4:AZ240 BE4:BE240 BJ4:BJ240 BO4:BO240 BT4:BT240 BY4:BY240 CI4:CI240 CN4:CN240 CS4:CS240 CX4:CX240 DC4:DC240 DH4:DH240 DM4:DM240 DR4:DR240 DW4:DW240 EB4:EB240 EG4:EG240 EL4:EL240 EQ4:EQ240 EV4:EV240 FA4:FA240 FF4:FF240 FK4:FK240 FP4:FP240 FU4:FU240 FZ4:FZ240 GE4:GE240 GJ4:GJ240 GT4:GT240 GY4:GY240 HD4:HD240 HN4:HN240 JG4:JG240 JQ4:JQ240 JV4:JV240 KU4:KU240 LE4:LE240 LY4:LY240 MD4:MD240 MX4:MX240 OG4:OG240 OL4:OL240 KA5:KB5 KC5:KC80 JL5:JL240 KA7:KB7 HS11:HS240 HI15:HI240 KA19:KB19 HO19:HP67 KK19:KL67 MS19:MU152 KA22:KB22 KA26:KB27 NP28:NP179 MW29:MW64 KA36:KB36 NR36:NV55 NH38:NH240 EW39:EW42 CO39:CO44 DD39:DD44 FB39:FB44 DX39:DX45 EC39:EC45 FQ39:FQ45 DN39:DN46 CT39:CT48 BU39:BU50 GF39:GF50 CY39:CY51 FG39:FG53 NQ39:NQ57 BA39:BA63 BP39:BP63 DS39:DS66 NM39:NO66 AG39:AG78 IR39:IS80 AL39:AL85 AV39:AV85 GZ39:GZ96 AQ39:AQ129 BF39:BF129 BK39:BK129 BZ39:BZ129 GU39:GU129 HJ39:HJ129 HT39:HT129 HX39:HY129 IC39:ID129 IH39:IH129 IM39:IN129 IW39:IX129 LP39:LP129 MY39:MY129 NC39:ND129 NI39:NI129 GO39:GO240 KZ39:LA240 KA40:KB40 FL43:FL44 EM43:EM45 ER43:ER45 DI43:DI50 KV43:KV59 HR44:HR45 FV44:FV46 EW44:EW53 CO46:CO48 FL46:FL48 DD46:DD51 FB46:FB129 DN48:DN78 CO50 FL50 KA50:KB50 CT50:CT51 KA53:KB53 EW55:EW64 FG55:FG93 LJ60:LL237 KA61:KB61 NU61:NU180 EW66:EW112 KA68:KB68 DS68:DS81 KA70:KB70 KK73:KL240 IR81:IR240 KA84:KB84 DS84:DS90 KA86:KB86 DS92:DS93 DS96:DS103 KA102:KB102 DS105:DS106 DS108:DS111 KA111:KB111 DS113:DS119 EW115:EW129 DS121:DS129 IM130:IM240 NC130:NC240 HX138:HX240 IC138:IC240 IH138:IH240 KA141:KB141 KA144:KB144 KA149:KB149 MN153:MO240 MI159:MI240 MS159:MT240 NM159:NM240 NR159:NR240 KA161:KB161 KF165:KG240 KP165:KQ240 KA172:KB172 KA178:KB179 KR179:KT187 KA181:KB181 AK181:AK240 CD188:CD240 KA201:KB201 KA205:KB206 KA208:KB209 KA217:KB217 KA219:KB219 KA221:KB222 KA224:KB224 KA227:KB228 KA234:KB235 KA237:KB240 LK238:LL238 LJ238:LJ240 EH4:EI5 JX5 EH6 JX6:KB6 JX7 EH8:EI9 JX8:KB18 EH10:EH11 EH12:EI12 EH13 EH14:EI14 EH15 JX19 EH19:EH20 JX20:KB21 EH21:EI21 EH22 JX22 JX23:KB25 EH25 EH26:EI26 JX26:JX27 EH27 EH28:EI29 JX28:KB35 EH30 EH31:EI33 EH34 EH35:EI36 JX36 EH37 JX37:KB39 EH38:EI40 JX40 EH41 JX41:KB49 EH42:EI44 EH45 EH47:EI47 EH48:EH50 JX50 JX51:KB52 EH51:EI53 JX53 EH54 JX54:KB60 EH55:EI55 EH56:EH57 EH58:EI58 EH59 EH60:EI61 JX61 EH62 JX62:KB67 EH63:EI64 EH65 EH67:EI68 JX68 EH69 JX69:KB69 JX70 EH70:EI71 JX71:KB83 EH72:EH73 EH74:EI76 EH77 EH78:EI78 EH79:EH80 EH81:EI84 JX84 EH85 JX85:KB85 EH86:EI86 JX86 EH87 JX87:KB101 EH88:EI88 EH89:EH91 EH92:EI94 EH96:EH97 EH98:EI98 EH99 EH100:EI100 EH101 EH102:EI102 JX102 EH103 JX103:KB110 EH104:EI106 EH108:EI109 EH110 JX111 EH111:EI112 JX112:KB140 EH113:EH114 EH115:EI115 EH116:EH117 EH119:EI122 EH123 EH124:EI124 EH125:EH126 EH127:EI127 EH128 EH129:EI129 EH132 JX141 JX142:KB143 EH144:EI144 JX144 JX145:KB148 EH146:EI146 EH148:EI151 JX149 JX150:KB160 EH153:EI153 EH154 EH155:EI155 EH158:EI158 EH159 JX161 EH162:EI163 JX162:KB171 EH165:EI165 JX172 JX173:KB177 EH175:EI175 JX178:JX179 JX180:KB180 JX181 JX182:KB198 EH184:EH185 EH190:EI191 KA199:KB199 JX200:KB200 JX201 JX202:KB204 JX205:JX206 JX207:KB207 JX208:JX209 JX210:KB216 JX217 JX218:KB218 JX219 JX220:KB220 EH221:EI221 JX221:JX222 JX223:KB223 JX224 JX225:KB226 JX227:JX228 JX229:KB233 EH231:EI231 EH233:EI233 JX234:JX235 JX236:KB236 JX237:JX240 EH238:EI238 LT15:LT240 GA43:GA45 IW138:IW240 JB4:JB132 JB138:JB240 GK39:GK44 GK46:GK78 JX4:KC4">
    <cfRule type="containsText" dxfId="764" priority="1030" operator="containsText" text="POR VENCER">
      <formula>NOT(ISERROR(SEARCH("POR VENCER",Z4)))</formula>
    </cfRule>
  </conditionalFormatting>
  <conditionalFormatting sqref="AB20:AB37 AB42 AB51 AB56 AB60 AB69:AB71 AB73:AB75 AB79:AB129">
    <cfRule type="containsText" dxfId="763" priority="1029" operator="containsText" text="VENCIDA">
      <formula>NOT(ISERROR(SEARCH("VENCIDA",AB20)))</formula>
    </cfRule>
  </conditionalFormatting>
  <conditionalFormatting sqref="AB72">
    <cfRule type="containsText" dxfId="762" priority="1028" operator="containsText" text="POR VENCER">
      <formula>NOT(ISERROR(SEARCH("POR VENCER",AB72)))</formula>
    </cfRule>
  </conditionalFormatting>
  <conditionalFormatting sqref="AB180">
    <cfRule type="containsText" dxfId="761" priority="1020" operator="containsText" text="POR VENCER">
      <formula>NOT(ISERROR(SEARCH("POR VENCER",AB180)))</formula>
    </cfRule>
    <cfRule type="containsText" dxfId="760" priority="1021" operator="containsText" text="VIGENTE">
      <formula>NOT(ISERROR(SEARCH("VIGENTE",AB180)))</formula>
    </cfRule>
    <cfRule type="containsText" dxfId="759" priority="1022" operator="containsText" text="NO APLICA">
      <formula>NOT(ISERROR(SEARCH("NO APLICA",AB180)))</formula>
    </cfRule>
    <cfRule type="containsText" dxfId="758" priority="1023" operator="containsText" text="VENCIDA">
      <formula>NOT(ISERROR(SEARCH("VENCIDA",AB180)))</formula>
    </cfRule>
  </conditionalFormatting>
  <conditionalFormatting sqref="AB239:AB240 AG239:AG240 AL239:AL240 AV239:AV240 BA239:BA240 BP239:BP240 DB239:DB240 DG239:DG240 EK239:EK240 EP239:EP240 EU239:EU240 FY239:FY240 GI239:GI240 GN239:GN240 GX239:GX240 HC239:HC240 HE239:HE240 HM239:HM240 HR239:HR240 IB239:IB240 IG239:IG240 IL239:IL240 JJ239:JK240 JO239:JP240 JS239:JT240 KS239:KT240 KV239:KW240 KY239:KY240 LS239:LS240 LU239:LU240 LX239:LX240 MB239:MC240 ME239:MG240 MK239:ML240 MQ239:MR240 LN239:LN240 LP239:LP240 HH239:HH240">
    <cfRule type="containsText" dxfId="757" priority="85" operator="containsText" text="POR VENCER">
      <formula>NOT(ISERROR(SEARCH("POR VENCER",AB239)))</formula>
    </cfRule>
  </conditionalFormatting>
  <conditionalFormatting sqref="AB239:AB240 AG239:AG240 AL239:AL240 AV239:AV240 BA239:BA240 BP239:BP240 DB239:DB240 DG239:DG240 EK239:EK240 EP239:EP240 EU239:EU240 FY239:FY240 GI239:GI240 GN239:GN240 GX239:GX240 HC239:HC240 HE239:HE240 HM239:HM240 HR239:HR240 IB239:IB240 IG239:IG240 IL239:IL240 JJ239:JK240 JO239:JP240 JS239:JT240 KS239:KT240 LS239:LS240 LU239:LU240 LX239:LX240 MB239:MC240 ME239:MG240 MK239:ML240 MQ239:MR240 KV239:KW240 KY239:KY240">
    <cfRule type="containsText" dxfId="756" priority="84" operator="containsText" text="NO APLICA">
      <formula>NOT(ISERROR(SEARCH("NO APLICA",AB239)))</formula>
    </cfRule>
  </conditionalFormatting>
  <conditionalFormatting sqref="AB183:AF187 CD185:CH185 V4:V96 O4:O240 V98:V158">
    <cfRule type="containsText" dxfId="755" priority="1037" operator="containsText" text="VIGENTE">
      <formula>NOT(ISERROR(SEARCH("VIGENTE",O4)))</formula>
    </cfRule>
  </conditionalFormatting>
  <conditionalFormatting sqref="AG4:AG37 AG80:AG129">
    <cfRule type="containsText" dxfId="754" priority="1005" operator="containsText" text="POR VENCER">
      <formula>NOT(ISERROR(SEARCH("POR VENCER",AG4)))</formula>
    </cfRule>
    <cfRule type="containsText" dxfId="753" priority="1007" operator="containsText" text="VENCIDA">
      <formula>NOT(ISERROR(SEARCH("VENCIDA",AG4)))</formula>
    </cfRule>
    <cfRule type="containsText" dxfId="752" priority="1006" operator="containsText" text="VIGENTE">
      <formula>NOT(ISERROR(SEARCH("VIGENTE",AG4)))</formula>
    </cfRule>
  </conditionalFormatting>
  <conditionalFormatting sqref="AG180">
    <cfRule type="containsText" dxfId="751" priority="1003" operator="containsText" text="VENCIDA">
      <formula>NOT(ISERROR(SEARCH("VENCIDA",AG180)))</formula>
    </cfRule>
  </conditionalFormatting>
  <conditionalFormatting sqref="AH11:AH12">
    <cfRule type="containsText" dxfId="750" priority="1002" operator="containsText" text="VENCIDA">
      <formula>NOT(ISERROR(SEARCH("VENCIDA",AH11)))</formula>
    </cfRule>
    <cfRule type="containsText" dxfId="749" priority="1001" operator="containsText" text="VIGENTE">
      <formula>NOT(ISERROR(SEARCH("VIGENTE",AH11)))</formula>
    </cfRule>
    <cfRule type="containsText" dxfId="748" priority="1000" operator="containsText" text="POR VENCER">
      <formula>NOT(ISERROR(SEARCH("POR VENCER",AH11)))</formula>
    </cfRule>
    <cfRule type="containsText" dxfId="747" priority="999" operator="containsText" text="NO APLICA">
      <formula>NOT(ISERROR(SEARCH("NO APLICA",AH11)))</formula>
    </cfRule>
  </conditionalFormatting>
  <conditionalFormatting sqref="AH15">
    <cfRule type="containsText" dxfId="746" priority="998" operator="containsText" text="VENCIDA">
      <formula>NOT(ISERROR(SEARCH("VENCIDA",AH15)))</formula>
    </cfRule>
    <cfRule type="containsText" dxfId="745" priority="997" operator="containsText" text="VIGENTE">
      <formula>NOT(ISERROR(SEARCH("VIGENTE",AH15)))</formula>
    </cfRule>
    <cfRule type="containsText" dxfId="744" priority="996" operator="containsText" text="POR VENCER">
      <formula>NOT(ISERROR(SEARCH("POR VENCER",AH15)))</formula>
    </cfRule>
    <cfRule type="containsText" dxfId="743" priority="995" operator="containsText" text="NO APLICA">
      <formula>NOT(ISERROR(SEARCH("NO APLICA",AH15)))</formula>
    </cfRule>
  </conditionalFormatting>
  <conditionalFormatting sqref="AH19">
    <cfRule type="containsText" dxfId="742" priority="992" operator="containsText" text="POR VENCER">
      <formula>NOT(ISERROR(SEARCH("POR VENCER",AH19)))</formula>
    </cfRule>
    <cfRule type="containsText" dxfId="741" priority="991" operator="containsText" text="NO APLICA">
      <formula>NOT(ISERROR(SEARCH("NO APLICA",AH19)))</formula>
    </cfRule>
    <cfRule type="containsText" dxfId="740" priority="993" operator="containsText" text="VIGENTE">
      <formula>NOT(ISERROR(SEARCH("VIGENTE",AH19)))</formula>
    </cfRule>
    <cfRule type="containsText" dxfId="739" priority="994" operator="containsText" text="VENCIDA">
      <formula>NOT(ISERROR(SEARCH("VENCIDA",AH19)))</formula>
    </cfRule>
  </conditionalFormatting>
  <conditionalFormatting sqref="AH23">
    <cfRule type="containsText" dxfId="738" priority="987" operator="containsText" text="NO APLICA">
      <formula>NOT(ISERROR(SEARCH("NO APLICA",AH23)))</formula>
    </cfRule>
    <cfRule type="containsText" dxfId="737" priority="988" operator="containsText" text="POR VENCER">
      <formula>NOT(ISERROR(SEARCH("POR VENCER",AH23)))</formula>
    </cfRule>
    <cfRule type="containsText" dxfId="736" priority="989" operator="containsText" text="VIGENTE">
      <formula>NOT(ISERROR(SEARCH("VIGENTE",AH23)))</formula>
    </cfRule>
    <cfRule type="containsText" dxfId="735" priority="990" operator="containsText" text="VENCIDA">
      <formula>NOT(ISERROR(SEARCH("VENCIDA",AH23)))</formula>
    </cfRule>
  </conditionalFormatting>
  <conditionalFormatting sqref="AH25:AH26">
    <cfRule type="containsText" dxfId="734" priority="986" operator="containsText" text="VENCIDA">
      <formula>NOT(ISERROR(SEARCH("VENCIDA",AH25)))</formula>
    </cfRule>
    <cfRule type="containsText" dxfId="733" priority="985" operator="containsText" text="VIGENTE">
      <formula>NOT(ISERROR(SEARCH("VIGENTE",AH25)))</formula>
    </cfRule>
    <cfRule type="containsText" dxfId="732" priority="984" operator="containsText" text="POR VENCER">
      <formula>NOT(ISERROR(SEARCH("POR VENCER",AH25)))</formula>
    </cfRule>
    <cfRule type="containsText" dxfId="731" priority="983" operator="containsText" text="NO APLICA">
      <formula>NOT(ISERROR(SEARCH("NO APLICA",AH25)))</formula>
    </cfRule>
  </conditionalFormatting>
  <conditionalFormatting sqref="AH32">
    <cfRule type="containsText" dxfId="730" priority="980" operator="containsText" text="POR VENCER">
      <formula>NOT(ISERROR(SEARCH("POR VENCER",AH32)))</formula>
    </cfRule>
    <cfRule type="containsText" dxfId="729" priority="982" operator="containsText" text="VENCIDA">
      <formula>NOT(ISERROR(SEARCH("VENCIDA",AH32)))</formula>
    </cfRule>
    <cfRule type="containsText" dxfId="728" priority="979" operator="containsText" text="NO APLICA">
      <formula>NOT(ISERROR(SEARCH("NO APLICA",AH32)))</formula>
    </cfRule>
    <cfRule type="containsText" dxfId="727" priority="981" operator="containsText" text="VIGENTE">
      <formula>NOT(ISERROR(SEARCH("VIGENTE",AH32)))</formula>
    </cfRule>
  </conditionalFormatting>
  <conditionalFormatting sqref="AH36:AH37">
    <cfRule type="containsText" dxfId="726" priority="976" operator="containsText" text="POR VENCER">
      <formula>NOT(ISERROR(SEARCH("POR VENCER",AH36)))</formula>
    </cfRule>
    <cfRule type="containsText" dxfId="725" priority="975" operator="containsText" text="NO APLICA">
      <formula>NOT(ISERROR(SEARCH("NO APLICA",AH36)))</formula>
    </cfRule>
    <cfRule type="containsText" dxfId="724" priority="978" operator="containsText" text="VENCIDA">
      <formula>NOT(ISERROR(SEARCH("VENCIDA",AH36)))</formula>
    </cfRule>
    <cfRule type="containsText" dxfId="723" priority="977" operator="containsText" text="VIGENTE">
      <formula>NOT(ISERROR(SEARCH("VIGENTE",AH36)))</formula>
    </cfRule>
  </conditionalFormatting>
  <conditionalFormatting sqref="AH43">
    <cfRule type="containsText" dxfId="722" priority="972" operator="containsText" text="POR VENCER">
      <formula>NOT(ISERROR(SEARCH("POR VENCER",AH43)))</formula>
    </cfRule>
    <cfRule type="containsText" dxfId="721" priority="973" operator="containsText" text="VIGENTE">
      <formula>NOT(ISERROR(SEARCH("VIGENTE",AH43)))</formula>
    </cfRule>
    <cfRule type="containsText" dxfId="720" priority="974" operator="containsText" text="VENCIDA">
      <formula>NOT(ISERROR(SEARCH("VENCIDA",AH43)))</formula>
    </cfRule>
    <cfRule type="containsText" dxfId="719" priority="971" operator="containsText" text="NO APLICA">
      <formula>NOT(ISERROR(SEARCH("NO APLICA",AH43)))</formula>
    </cfRule>
  </conditionalFormatting>
  <conditionalFormatting sqref="AH48:AH49 AH144 AH147 AH196 AH233 AH238">
    <cfRule type="containsText" dxfId="718" priority="146" operator="containsText" text="NO APLICA">
      <formula>NOT(ISERROR(SEARCH("NO APLICA",AH48)))</formula>
    </cfRule>
    <cfRule type="containsText" dxfId="717" priority="147" operator="containsText" text="POR VENCER">
      <formula>NOT(ISERROR(SEARCH("POR VENCER",AH48)))</formula>
    </cfRule>
    <cfRule type="containsText" dxfId="716" priority="148" operator="containsText" text="VIGENTE">
      <formula>NOT(ISERROR(SEARCH("VIGENTE",AH48)))</formula>
    </cfRule>
    <cfRule type="containsText" dxfId="715" priority="149" operator="containsText" text="VENCIDA">
      <formula>NOT(ISERROR(SEARCH("VENCIDA",AH48)))</formula>
    </cfRule>
  </conditionalFormatting>
  <conditionalFormatting sqref="AH52">
    <cfRule type="containsText" dxfId="714" priority="963" operator="containsText" text="NO APLICA">
      <formula>NOT(ISERROR(SEARCH("NO APLICA",AH52)))</formula>
    </cfRule>
    <cfRule type="containsText" dxfId="713" priority="966" operator="containsText" text="VENCIDA">
      <formula>NOT(ISERROR(SEARCH("VENCIDA",AH52)))</formula>
    </cfRule>
    <cfRule type="containsText" dxfId="712" priority="964" operator="containsText" text="POR VENCER">
      <formula>NOT(ISERROR(SEARCH("POR VENCER",AH52)))</formula>
    </cfRule>
    <cfRule type="containsText" dxfId="711" priority="965" operator="containsText" text="VIGENTE">
      <formula>NOT(ISERROR(SEARCH("VIGENTE",AH52)))</formula>
    </cfRule>
  </conditionalFormatting>
  <conditionalFormatting sqref="AH64">
    <cfRule type="containsText" dxfId="710" priority="960" operator="containsText" text="POR VENCER">
      <formula>NOT(ISERROR(SEARCH("POR VENCER",AH64)))</formula>
    </cfRule>
    <cfRule type="containsText" dxfId="709" priority="959" operator="containsText" text="NO APLICA">
      <formula>NOT(ISERROR(SEARCH("NO APLICA",AH64)))</formula>
    </cfRule>
    <cfRule type="containsText" dxfId="708" priority="961" operator="containsText" text="VIGENTE">
      <formula>NOT(ISERROR(SEARCH("VIGENTE",AH64)))</formula>
    </cfRule>
    <cfRule type="containsText" dxfId="707" priority="962" operator="containsText" text="VENCIDA">
      <formula>NOT(ISERROR(SEARCH("VENCIDA",AH64)))</formula>
    </cfRule>
  </conditionalFormatting>
  <conditionalFormatting sqref="AH69">
    <cfRule type="containsText" dxfId="706" priority="955" operator="containsText" text="NO APLICA">
      <formula>NOT(ISERROR(SEARCH("NO APLICA",AH69)))</formula>
    </cfRule>
    <cfRule type="containsText" dxfId="705" priority="956" operator="containsText" text="POR VENCER">
      <formula>NOT(ISERROR(SEARCH("POR VENCER",AH69)))</formula>
    </cfRule>
    <cfRule type="containsText" dxfId="704" priority="957" operator="containsText" text="VIGENTE">
      <formula>NOT(ISERROR(SEARCH("VIGENTE",AH69)))</formula>
    </cfRule>
    <cfRule type="containsText" dxfId="703" priority="958" operator="containsText" text="VENCIDA">
      <formula>NOT(ISERROR(SEARCH("VENCIDA",AH69)))</formula>
    </cfRule>
  </conditionalFormatting>
  <conditionalFormatting sqref="AH77:AH78">
    <cfRule type="containsText" dxfId="702" priority="951" operator="containsText" text="NO APLICA">
      <formula>NOT(ISERROR(SEARCH("NO APLICA",AH77)))</formula>
    </cfRule>
    <cfRule type="containsText" dxfId="701" priority="952" operator="containsText" text="POR VENCER">
      <formula>NOT(ISERROR(SEARCH("POR VENCER",AH77)))</formula>
    </cfRule>
    <cfRule type="containsText" dxfId="700" priority="953" operator="containsText" text="VIGENTE">
      <formula>NOT(ISERROR(SEARCH("VIGENTE",AH77)))</formula>
    </cfRule>
    <cfRule type="containsText" dxfId="699" priority="954" operator="containsText" text="VENCIDA">
      <formula>NOT(ISERROR(SEARCH("VENCIDA",AH77)))</formula>
    </cfRule>
  </conditionalFormatting>
  <conditionalFormatting sqref="AH90">
    <cfRule type="containsText" dxfId="698" priority="950" operator="containsText" text="VENCIDA">
      <formula>NOT(ISERROR(SEARCH("VENCIDA",AH90)))</formula>
    </cfRule>
    <cfRule type="containsText" dxfId="697" priority="948" operator="containsText" text="POR VENCER">
      <formula>NOT(ISERROR(SEARCH("POR VENCER",AH90)))</formula>
    </cfRule>
    <cfRule type="containsText" dxfId="696" priority="947" operator="containsText" text="NO APLICA">
      <formula>NOT(ISERROR(SEARCH("NO APLICA",AH90)))</formula>
    </cfRule>
    <cfRule type="containsText" dxfId="695" priority="949" operator="containsText" text="VIGENTE">
      <formula>NOT(ISERROR(SEARCH("VIGENTE",AH90)))</formula>
    </cfRule>
  </conditionalFormatting>
  <conditionalFormatting sqref="AQ239:AQ240 BF239:BF240 BK239:BK240 CE239:CE240 DX239:DY240">
    <cfRule type="containsText" dxfId="694" priority="83" operator="containsText" text="NO APLICA">
      <formula>NOT(ISERROR(SEARCH("NO APLICA",AQ239)))</formula>
    </cfRule>
  </conditionalFormatting>
  <conditionalFormatting sqref="AQ239:AQ240">
    <cfRule type="containsText" dxfId="693" priority="82" operator="containsText" text="VIGENTE">
      <formula>NOT(ISERROR(SEARCH("VIGENTE",AQ239)))</formula>
    </cfRule>
    <cfRule type="containsText" dxfId="692" priority="81" operator="containsText" text="POR VENCER">
      <formula>NOT(ISERROR(SEARCH("POR VENCER",AQ239)))</formula>
    </cfRule>
  </conditionalFormatting>
  <conditionalFormatting sqref="AV4:AV6 BA4:BA6 AV36:AV37 FQ4 AQ4:AQ6 BP4:BP6 BU4:BU6 CO4:CO6 DS4:DS6 DX4:DX6 EC4:EC6 EM4:EM6 ER4:ER6 FL4:FL6 GA4:GA6 GF4:GF6 FU4:FV7 HI4:HJ14 FQ6 FV8 FV10 FV24:FV25 AL33:AL37 GA36 FV36:FV37 IN36:IN37 IM36:IM38 GA39 DI39:DI41 EM39:EM41 ER39:ER41 FL39:FL41 FV39:FV42 GA47:GA50 EM47:EM63 CO52:CO59 BU52:BU63 DI52:DI63 ER52:ER63 FV65:FV67 FV84:FV85 FV87:FV88 FG94:FG119 AL98:AL129 GZ98:GZ129 FV103 FV105:FV111 FV113:FV114 FV116:FV117 FV119 FV121:FV125 FG121:FG129 FV127:FV129 AK4:AL7 BE4:BF7 BJ4:BK7 BY4:BZ7 CS4:CT7 CX4:CY7 DC4:DD7 DH4:DI7 DM4:DN7 EV4:EW7 FA4:FB7 FF4:FG7 GT4:GU7 GY4:GZ7 FV90 DX52:DX73 GF52:GF73 EM65:EM73 FV69:FV72 CO8 BU8:BU19 CO10:CO19 FV12:FV22 KV4:KV34 KV39:KV41 KV61:KV71">
    <cfRule type="containsText" dxfId="691" priority="946" operator="containsText" text="VENCIDA">
      <formula>NOT(ISERROR(SEARCH("VENCIDA",AK4)))</formula>
    </cfRule>
  </conditionalFormatting>
  <conditionalFormatting sqref="AV36:AV37 AV4:AV6 BA4:BA6">
    <cfRule type="containsText" dxfId="690" priority="945" operator="containsText" text="VIGENTE">
      <formula>NOT(ISERROR(SEARCH("VIGENTE",AV4)))</formula>
    </cfRule>
  </conditionalFormatting>
  <conditionalFormatting sqref="AV36:AV37 DX52:DX73 GF52:GF73 EM65:EM73 FV69:FV72">
    <cfRule type="containsText" dxfId="689" priority="925" operator="containsText" text="POR VENCER">
      <formula>NOT(ISERROR(SEARCH("POR VENCER",AV36)))</formula>
    </cfRule>
  </conditionalFormatting>
  <conditionalFormatting sqref="BA90">
    <cfRule type="containsText" dxfId="688" priority="252" operator="containsText" text="NO APLICA">
      <formula>NOT(ISERROR(SEARCH("NO APLICA",BA90)))</formula>
    </cfRule>
    <cfRule type="containsText" dxfId="687" priority="254" operator="containsText" text="VENCIDA">
      <formula>NOT(ISERROR(SEARCH("VENCIDA",BA90)))</formula>
    </cfRule>
    <cfRule type="containsText" dxfId="686" priority="253" operator="containsText" text="POR VENCER">
      <formula>NOT(ISERROR(SEARCH("POR VENCER",BA90)))</formula>
    </cfRule>
  </conditionalFormatting>
  <conditionalFormatting sqref="BA123:BA125 BA127">
    <cfRule type="containsText" dxfId="685" priority="246" operator="containsText" text="NO APLICA">
      <formula>NOT(ISERROR(SEARCH("NO APLICA",BA123)))</formula>
    </cfRule>
    <cfRule type="containsText" dxfId="684" priority="247" operator="containsText" text="POR VENCER">
      <formula>NOT(ISERROR(SEARCH("POR VENCER",BA123)))</formula>
    </cfRule>
    <cfRule type="containsText" dxfId="683" priority="248" operator="containsText" text="VENCIDA">
      <formula>NOT(ISERROR(SEARCH("VENCIDA",BA123)))</formula>
    </cfRule>
  </conditionalFormatting>
  <conditionalFormatting sqref="BA133">
    <cfRule type="containsText" dxfId="682" priority="227" operator="containsText" text="POR VENCER">
      <formula>NOT(ISERROR(SEARCH("POR VENCER",BA133)))</formula>
    </cfRule>
    <cfRule type="containsText" dxfId="681" priority="229" operator="containsText" text="VENCIDA">
      <formula>NOT(ISERROR(SEARCH("VENCIDA",BA133)))</formula>
    </cfRule>
  </conditionalFormatting>
  <conditionalFormatting sqref="BA133:BA134">
    <cfRule type="containsText" dxfId="680" priority="226" operator="containsText" text="NO APLICA">
      <formula>NOT(ISERROR(SEARCH("NO APLICA",BA133)))</formula>
    </cfRule>
    <cfRule type="containsText" dxfId="679" priority="228" operator="containsText" text="VIGENTE">
      <formula>NOT(ISERROR(SEARCH("VIGENTE",BA133)))</formula>
    </cfRule>
  </conditionalFormatting>
  <conditionalFormatting sqref="BA134">
    <cfRule type="containsText" dxfId="678" priority="244" operator="containsText" text="POR VENCER">
      <formula>NOT(ISERROR(SEARCH("POR VENCER",BA134)))</formula>
    </cfRule>
    <cfRule type="containsText" dxfId="677" priority="245" operator="containsText" text="VENCIDA">
      <formula>NOT(ISERROR(SEARCH("VENCIDA",BA134)))</formula>
    </cfRule>
  </conditionalFormatting>
  <conditionalFormatting sqref="BA142">
    <cfRule type="containsText" dxfId="676" priority="225" operator="containsText" text="VENCIDA">
      <formula>NOT(ISERROR(SEARCH("VENCIDA",BA142)))</formula>
    </cfRule>
    <cfRule type="containsText" dxfId="675" priority="224" operator="containsText" text="VIGENTE">
      <formula>NOT(ISERROR(SEARCH("VIGENTE",BA142)))</formula>
    </cfRule>
    <cfRule type="containsText" dxfId="674" priority="223" operator="containsText" text="POR VENCER">
      <formula>NOT(ISERROR(SEARCH("POR VENCER",BA142)))</formula>
    </cfRule>
    <cfRule type="containsText" dxfId="673" priority="222" operator="containsText" text="NO APLICA">
      <formula>NOT(ISERROR(SEARCH("NO APLICA",BA142)))</formula>
    </cfRule>
  </conditionalFormatting>
  <conditionalFormatting sqref="BA147 BA150">
    <cfRule type="containsText" dxfId="672" priority="220" operator="containsText" text="VIGENTE">
      <formula>NOT(ISERROR(SEARCH("VIGENTE",BA147)))</formula>
    </cfRule>
    <cfRule type="containsText" dxfId="671" priority="221" operator="containsText" text="VENCIDA">
      <formula>NOT(ISERROR(SEARCH("VENCIDA",BA147)))</formula>
    </cfRule>
    <cfRule type="containsText" dxfId="670" priority="218" operator="containsText" text="NO APLICA">
      <formula>NOT(ISERROR(SEARCH("NO APLICA",BA147)))</formula>
    </cfRule>
    <cfRule type="containsText" dxfId="669" priority="219" operator="containsText" text="POR VENCER">
      <formula>NOT(ISERROR(SEARCH("POR VENCER",BA147)))</formula>
    </cfRule>
  </conditionalFormatting>
  <conditionalFormatting sqref="BA152">
    <cfRule type="containsText" dxfId="668" priority="239" operator="containsText" text="VIGENTE">
      <formula>NOT(ISERROR(SEARCH("VIGENTE",BA152)))</formula>
    </cfRule>
    <cfRule type="containsText" dxfId="667" priority="240" operator="containsText" text="POR VENCER">
      <formula>NOT(ISERROR(SEARCH("POR VENCER",BA152)))</formula>
    </cfRule>
    <cfRule type="containsText" dxfId="666" priority="241" operator="containsText" text="VENCIDA">
      <formula>NOT(ISERROR(SEARCH("VENCIDA",BA152)))</formula>
    </cfRule>
    <cfRule type="containsText" dxfId="665" priority="238" operator="containsText" text="NO APLICA">
      <formula>NOT(ISERROR(SEARCH("NO APLICA",BA152)))</formula>
    </cfRule>
  </conditionalFormatting>
  <conditionalFormatting sqref="BA155">
    <cfRule type="containsText" dxfId="664" priority="215" operator="containsText" text="POR VENCER">
      <formula>NOT(ISERROR(SEARCH("POR VENCER",BA155)))</formula>
    </cfRule>
    <cfRule type="containsText" dxfId="663" priority="216" operator="containsText" text="VIGENTE">
      <formula>NOT(ISERROR(SEARCH("VIGENTE",BA155)))</formula>
    </cfRule>
    <cfRule type="containsText" dxfId="662" priority="214" operator="containsText" text="NO APLICA">
      <formula>NOT(ISERROR(SEARCH("NO APLICA",BA155)))</formula>
    </cfRule>
    <cfRule type="containsText" dxfId="661" priority="217" operator="containsText" text="VENCIDA">
      <formula>NOT(ISERROR(SEARCH("VENCIDA",BA155)))</formula>
    </cfRule>
  </conditionalFormatting>
  <conditionalFormatting sqref="BA166">
    <cfRule type="containsText" dxfId="660" priority="237" operator="containsText" text="VENCIDA">
      <formula>NOT(ISERROR(SEARCH("VENCIDA",BA166)))</formula>
    </cfRule>
    <cfRule type="containsText" dxfId="659" priority="234" operator="containsText" text="NO APLICA">
      <formula>NOT(ISERROR(SEARCH("NO APLICA",BA166)))</formula>
    </cfRule>
    <cfRule type="containsText" dxfId="658" priority="235" operator="containsText" text="VIGENTE">
      <formula>NOT(ISERROR(SEARCH("VIGENTE",BA166)))</formula>
    </cfRule>
    <cfRule type="containsText" dxfId="657" priority="236" operator="containsText" text="POR VENCER">
      <formula>NOT(ISERROR(SEARCH("POR VENCER",BA166)))</formula>
    </cfRule>
  </conditionalFormatting>
  <conditionalFormatting sqref="BA177">
    <cfRule type="containsText" dxfId="656" priority="208" operator="containsText" text="VIGENTE">
      <formula>NOT(ISERROR(SEARCH("VIGENTE",BA177)))</formula>
    </cfRule>
    <cfRule type="containsText" dxfId="655" priority="206" operator="containsText" text="NO APLICA">
      <formula>NOT(ISERROR(SEARCH("NO APLICA",BA177)))</formula>
    </cfRule>
    <cfRule type="containsText" dxfId="654" priority="207" operator="containsText" text="POR VENCER">
      <formula>NOT(ISERROR(SEARCH("POR VENCER",BA177)))</formula>
    </cfRule>
    <cfRule type="containsText" dxfId="653" priority="209" operator="containsText" text="VENCIDA">
      <formula>NOT(ISERROR(SEARCH("VENCIDA",BA177)))</formula>
    </cfRule>
  </conditionalFormatting>
  <conditionalFormatting sqref="BA180 GA180 GU180 GZ180 HJ180 IN180 IS180 IX180 KM180 FV180">
    <cfRule type="containsText" dxfId="652" priority="943" operator="containsText" text="POR VENCER">
      <formula>NOT(ISERROR(SEARCH("POR VENCER",BA180)))</formula>
    </cfRule>
  </conditionalFormatting>
  <conditionalFormatting sqref="BA180">
    <cfRule type="containsText" dxfId="651" priority="942" operator="containsText" text="VIGENTE">
      <formula>NOT(ISERROR(SEARCH("VIGENTE",BA180)))</formula>
    </cfRule>
  </conditionalFormatting>
  <conditionalFormatting sqref="BA182">
    <cfRule type="containsText" dxfId="650" priority="232" operator="containsText" text="POR VENCER">
      <formula>NOT(ISERROR(SEARCH("POR VENCER",BA182)))</formula>
    </cfRule>
    <cfRule type="containsText" dxfId="649" priority="230" operator="containsText" text="NO APLICA">
      <formula>NOT(ISERROR(SEARCH("NO APLICA",BA182)))</formula>
    </cfRule>
    <cfRule type="containsText" dxfId="648" priority="231" operator="containsText" text="VIGENTE">
      <formula>NOT(ISERROR(SEARCH("VIGENTE",BA182)))</formula>
    </cfRule>
    <cfRule type="containsText" dxfId="647" priority="233" operator="containsText" text="VENCIDA">
      <formula>NOT(ISERROR(SEARCH("VENCIDA",BA182)))</formula>
    </cfRule>
  </conditionalFormatting>
  <conditionalFormatting sqref="BA189 BA191 BA233">
    <cfRule type="containsText" dxfId="646" priority="211" operator="containsText" text="POR VENCER">
      <formula>NOT(ISERROR(SEARCH("POR VENCER",BA189)))</formula>
    </cfRule>
    <cfRule type="containsText" dxfId="645" priority="212" operator="containsText" text="VIGENTE">
      <formula>NOT(ISERROR(SEARCH("VIGENTE",BA189)))</formula>
    </cfRule>
    <cfRule type="containsText" dxfId="644" priority="213" operator="containsText" text="VENCIDA">
      <formula>NOT(ISERROR(SEARCH("VENCIDA",BA189)))</formula>
    </cfRule>
    <cfRule type="containsText" dxfId="643" priority="210" operator="containsText" text="NO APLICA">
      <formula>NOT(ISERROR(SEARCH("NO APLICA",BA189)))</formula>
    </cfRule>
  </conditionalFormatting>
  <conditionalFormatting sqref="BF180 BK180 BZ180 CT180 CY180 DN180 DS180 DX180 EC180 FB180 FG180">
    <cfRule type="containsText" dxfId="642" priority="941" operator="containsText" text="VIGENTE">
      <formula>NOT(ISERROR(SEARCH("VIGENTE",BF180)))</formula>
    </cfRule>
    <cfRule type="containsText" dxfId="641" priority="940" operator="containsText" text="POR VENCER">
      <formula>NOT(ISERROR(SEARCH("POR VENCER",BF180)))</formula>
    </cfRule>
  </conditionalFormatting>
  <conditionalFormatting sqref="BF239:BF240 BK239:BK240 CE239:CE240 DX239:DY240 KC239:KC240">
    <cfRule type="containsText" dxfId="640" priority="80" operator="containsText" text="VIGENTE">
      <formula>NOT(ISERROR(SEARCH("VIGENTE",BF239)))</formula>
    </cfRule>
  </conditionalFormatting>
  <conditionalFormatting sqref="BF239:BF240 BK239:BK240 CE239:CE240 DX239:DY240">
    <cfRule type="containsText" dxfId="639" priority="79" operator="containsText" text="POR VENCER">
      <formula>NOT(ISERROR(SEARCH("POR VENCER",BF239)))</formula>
    </cfRule>
  </conditionalFormatting>
  <conditionalFormatting sqref="BK67 BK82 BK95 BK97 BK131:BK132 BK135 BK137 BK139 BK164 BK172">
    <cfRule type="containsText" dxfId="638" priority="356" operator="containsText" text="VENCIDA">
      <formula>NOT(ISERROR(SEARCH("VENCIDA",BK67)))</formula>
    </cfRule>
    <cfRule type="containsText" dxfId="637" priority="355" operator="containsText" text="POR VENCER">
      <formula>NOT(ISERROR(SEARCH("POR VENCER",BK67)))</formula>
    </cfRule>
  </conditionalFormatting>
  <conditionalFormatting sqref="BK131:BK132 BK135 BK137 BK139 BK164 BK172 BK67 BK82 BK95 BK97">
    <cfRule type="containsText" dxfId="636" priority="354" operator="containsText" text="NO APLICA">
      <formula>NOT(ISERROR(SEARCH("NO APLICA",BK67)))</formula>
    </cfRule>
  </conditionalFormatting>
  <conditionalFormatting sqref="BK131:BK132 BK135 BK137 BK139 BK164 BK172">
    <cfRule type="containsText" dxfId="635" priority="353" operator="containsText" text="VIGENTE">
      <formula>NOT(ISERROR(SEARCH("VIGENTE",BK131)))</formula>
    </cfRule>
  </conditionalFormatting>
  <conditionalFormatting sqref="BP180 BU180 DI180 EM180 ER180 GA180 GU180 GZ180 HJ180 IN180 IS180 IX180 KM180">
    <cfRule type="containsText" dxfId="634" priority="763" operator="containsText" text="VIGENTE">
      <formula>NOT(ISERROR(SEARCH("VIGENTE",BP180)))</formula>
    </cfRule>
  </conditionalFormatting>
  <conditionalFormatting sqref="BP180 DI180 EM180 ER180 AK180:AL180 AQ180 AV180 BU180 DD180 EW180 FL180 FQ180 GF180 CG184:CH184 CD186:CE187 CG186:CH187 LF187 GA180 GU180 GZ180 HJ180 IN180 IS180 IX180 KM180 GK180 HT180 HY180 ID180 KV180 LP180 ME180:MF180 MJ180:MK180 MP180 MU180:MW180 CD4:CD184 MY180 ND180 NI180 NN180:NQ180 NS180:NT180 NV180 BA180 BF180 BK180 BZ180 CT180 CY180 DN180 DS180 DX180 EC180 FB180 FG180">
    <cfRule type="containsText" dxfId="633" priority="939" operator="containsText" text="NO APLICA">
      <formula>NOT(ISERROR(SEARCH("NO APLICA",AK4)))</formula>
    </cfRule>
  </conditionalFormatting>
  <conditionalFormatting sqref="BP180 DI180 EM180 ER180">
    <cfRule type="containsText" dxfId="632" priority="938" operator="containsText" text="POR VENCER">
      <formula>NOT(ISERROR(SEARCH("POR VENCER",BP180)))</formula>
    </cfRule>
  </conditionalFormatting>
  <conditionalFormatting sqref="BU30:BU35">
    <cfRule type="containsText" dxfId="631" priority="269" operator="containsText" text="POR VENCER">
      <formula>NOT(ISERROR(SEARCH("POR VENCER",BU30)))</formula>
    </cfRule>
    <cfRule type="containsText" dxfId="630" priority="268" operator="containsText" text="NO APLICA">
      <formula>NOT(ISERROR(SEARCH("NO APLICA",BU30)))</formula>
    </cfRule>
  </conditionalFormatting>
  <conditionalFormatting sqref="BU35">
    <cfRule type="containsText" dxfId="629" priority="270" operator="containsText" text="VENCIDA">
      <formula>NOT(ISERROR(SEARCH("VENCIDA",BU35)))</formula>
    </cfRule>
  </conditionalFormatting>
  <conditionalFormatting sqref="BU36:BU37 CO36:CO37 DI36:DI37 ER36:ER37 DX47:DX50 EC47:EC50 ER47:ER50 FQ47:FQ50 DX75 CT39 DD39">
    <cfRule type="containsText" dxfId="628" priority="937" operator="containsText" text="VENCIDA">
      <formula>NOT(ISERROR(SEARCH("VENCIDA",BU36)))</formula>
    </cfRule>
  </conditionalFormatting>
  <conditionalFormatting sqref="BU65:BU89 BU91:BU129 BU133 BU137 BU142 BU144 BU150 BU155 BU175 BU177 BU189 BU191">
    <cfRule type="containsText" dxfId="627" priority="265" operator="containsText" text="NO APLICA">
      <formula>NOT(ISERROR(SEARCH("NO APLICA",BU65)))</formula>
    </cfRule>
    <cfRule type="containsText" dxfId="626" priority="266" operator="containsText" text="POR VENCER">
      <formula>NOT(ISERROR(SEARCH("POR VENCER",BU65)))</formula>
    </cfRule>
  </conditionalFormatting>
  <conditionalFormatting sqref="BU83 BU91 BU94 BU99 BU104 BU107 BU112 BU115:BU116 BU120 BU133 BU137 BU142 BU144 BU150 BU155 BU175 BU177 BU189 BU191">
    <cfRule type="containsText" dxfId="625" priority="267" operator="containsText" text="VENCIDA">
      <formula>NOT(ISERROR(SEARCH("VENCIDA",BU83)))</formula>
    </cfRule>
    <cfRule type="containsText" dxfId="624" priority="264" operator="containsText" text="VIGENTE">
      <formula>NOT(ISERROR(SEARCH("VIGENTE",BU83)))</formula>
    </cfRule>
  </conditionalFormatting>
  <conditionalFormatting sqref="CI4:CI240">
    <cfRule type="containsText" dxfId="623" priority="927" operator="containsText" text="VENCIDA">
      <formula>NOT(ISERROR(SEARCH("VENCIDA",CI4)))</formula>
    </cfRule>
    <cfRule type="containsText" dxfId="622" priority="928" operator="containsText" text="VIGENTE">
      <formula>NOT(ISERROR(SEARCH("VIGENTE",CI4)))</formula>
    </cfRule>
  </conditionalFormatting>
  <conditionalFormatting sqref="CJ180">
    <cfRule type="expression" dxfId="621" priority="926">
      <formula>"O7&gt;=91"</formula>
    </cfRule>
  </conditionalFormatting>
  <conditionalFormatting sqref="CM239:CM240 CR239:CR240 CW239:CW240 DL239:DL240 DQ239:DQ240 DV239:DV240 EZ239:EZ240 FE239:FE240 FJ239:FJ240 FO239:FO240 FT239:FT240 GD239:GD240 GS239:GS240 IQ239:IQ240 IV239:IV240 IZ239:IZ240 JD239:JD240 KH239:KH240 KM239:KM240 LD239:LD240 LI239:LI240 LN239:LN240 NQ239:NQ240 NV239:NV240 CH240 OY239:OY240 P239:P240 HW239:HW240 AB183:AF187 CD185:CH185 MZ239:MZ240">
    <cfRule type="containsText" dxfId="620" priority="110" operator="containsText" text="NO APLICA">
      <formula>NOT(ISERROR(SEARCH("NO APLICA",P183)))</formula>
    </cfRule>
  </conditionalFormatting>
  <conditionalFormatting sqref="CO8 BU8:BU19 CO10:CO19 IW4:IW42 AV36:AV37">
    <cfRule type="containsText" dxfId="619" priority="917" operator="containsText" text="NO APLICA">
      <formula>NOT(ISERROR(SEARCH("NO APLICA",AV4)))</formula>
    </cfRule>
  </conditionalFormatting>
  <conditionalFormatting sqref="CT47">
    <cfRule type="containsText" dxfId="618" priority="371" operator="containsText" text="VENCIDA">
      <formula>NOT(ISERROR(SEARCH("VENCIDA",CT47)))</formula>
    </cfRule>
    <cfRule type="containsText" dxfId="617" priority="369" operator="containsText" text="NO APLICA">
      <formula>NOT(ISERROR(SEARCH("NO APLICA",CT47)))</formula>
    </cfRule>
    <cfRule type="containsText" dxfId="616" priority="370" operator="containsText" text="POR VENCER">
      <formula>NOT(ISERROR(SEARCH("POR VENCER",CT47)))</formula>
    </cfRule>
  </conditionalFormatting>
  <conditionalFormatting sqref="CT164">
    <cfRule type="containsText" dxfId="615" priority="367" operator="containsText" text="VIGENTE">
      <formula>NOT(ISERROR(SEARCH("VIGENTE",CT164)))</formula>
    </cfRule>
    <cfRule type="containsText" dxfId="614" priority="365" operator="containsText" text="NO APLICA">
      <formula>NOT(ISERROR(SEARCH("NO APLICA",CT164)))</formula>
    </cfRule>
    <cfRule type="containsText" dxfId="613" priority="366" operator="containsText" text="POR VENCER">
      <formula>NOT(ISERROR(SEARCH("POR VENCER",CT164)))</formula>
    </cfRule>
    <cfRule type="containsText" dxfId="612" priority="368" operator="containsText" text="VENCIDA">
      <formula>NOT(ISERROR(SEARCH("VENCIDA",CT164)))</formula>
    </cfRule>
  </conditionalFormatting>
  <conditionalFormatting sqref="CT172">
    <cfRule type="containsText" dxfId="611" priority="361" operator="containsText" text="NO APLICA">
      <formula>NOT(ISERROR(SEARCH("NO APLICA",CT172)))</formula>
    </cfRule>
    <cfRule type="containsText" dxfId="610" priority="362" operator="containsText" text="POR VENCER">
      <formula>NOT(ISERROR(SEARCH("POR VENCER",CT172)))</formula>
    </cfRule>
    <cfRule type="containsText" dxfId="609" priority="363" operator="containsText" text="VIGENTE">
      <formula>NOT(ISERROR(SEARCH("VIGENTE",CT172)))</formula>
    </cfRule>
    <cfRule type="containsText" dxfId="608" priority="364" operator="containsText" text="VENCIDA">
      <formula>NOT(ISERROR(SEARCH("VENCIDA",CT172)))</formula>
    </cfRule>
  </conditionalFormatting>
  <conditionalFormatting sqref="DD4:DD10 DN4:DN17 BZ4:BZ27 EW4:EW27 FB4:FB27 FG4:FG27 BF4:BF28 AL4:AL31 DI4:DI34 BK4:BK37 CT4:CT37 CY4:CY37 GU4:GU37 GZ4:GZ37 HX38:HX42 IC4:IC42 AB8:AB37 MY4:MY37 AG180 BA65:BA129 IM4:IN35 AG4:AG37 HX4:HY37 IS4:IS37 IX4:IX37 LP4:LP37 NC4:ND37 DX8 EC8 FL8 EM8:EM27 FQ8:FQ27 BA8:BA28 DS8:DS28 ER8:ER28 GA8:GA28 GF8:GF28 AV8:AV34 AQ8:AQ37 BP8:BP37 DX10 FL10 EC10:EC27 DX12:DX28 FL12:FL34 DD12:DD37 HJ15:HJ37 DN19:DN20 HR20:HR27 CO21:CO26 BU21:BU28 DN22:DN36 GK24:GK28 ID24:ID37 FV28:FV33 NR28:NV34 NM28:NO37 NQ28:NQ37 FB29:FB34 BZ29:BZ37 EW29:EW37 FG29:FG37 MW29:MW77 HR30:HR33 CO30:CO34 DX30:DX34 EC30:EC34 ER30:ER34 GA30:GA34 BA30:BA37 BF30:BF37 DS30:DS37 EM30:EM37 FQ30:FQ37 GF30:GF37 DX36:DX37 EC36:EC37 FB36:FB37 FL36:FL37 HY39:HY42 ID39:ID42 IX39:IX42 AG39:AG78 CY39:CY78 ME46:MF89 DD46:DD90 CT50:CT93 EC52:EC82 FL52:FL82 FQ52:FQ82 GA52:GA129 OH55:OI129 CO61:CO81 BP65:BP90 DI65:DI129 ER65:ER129 NM68:NO76 NR68:NT158 NV68:NV158 KV73:KV127 HR74:HR76 FV74:FV82 EM75:EM129 GF75:GF129 DX77:DX81 MW79:MW95 DN80:DN81 AB80:AB127 AG80:AG129 CY80:CY129 DN83:DN129 CO84:CO89 FL84:FL90 DX84:DX93 EC84:EC93 FQ84:FQ93 AL87:AL96 AV87:AV129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H165:KH166">
    <cfRule type="containsText" dxfId="607" priority="929" operator="containsText" text="NO APLICA">
      <formula>NOT(ISERROR(SEARCH("NO APLICA",AB4)))</formula>
    </cfRule>
  </conditionalFormatting>
  <conditionalFormatting sqref="DD4:DD10 DN4:DN17 IC4:IC26 BZ4:BZ27 EW4:EW27 FB4:FB27 FG4:FG27 IR4:IS27 BF4:BF28 AL4:AL31 DI4:DI34 IM4:IN35 BK4:BK37 CT4:CT37 CY4:CY37 GU4:GU37 GZ4:GZ37 HX4:HY37 IX4:IX37 LP4:LP37 MY4:MY37 NC4:ND37 DX8 EC8 FL8 EM8:EM27 FQ8:FQ27 BA8:BA28 DS8:DS28 ER8:ER28 GA8:GA28 GF8:GF28 AV8:AV34 AQ8:AQ37 BP8:BP37 DX10 FL10 EC10:EC27 DX12:DX28 FL12:FL34 DD12:DD37 HJ15:HJ37 DN19:DN20 HR20:HR27 CO21:CO26 BU21:BU28 DN22:DN36 AB22:AB37 ID24:ID26 GK24:GK28 IC27:ID37 FV28:FV33 NR28:NV34 IS28:IS37 NM28:NO37 NQ28:NQ37 FB29:FB34 BZ29:BZ37 EW29:EW37 FG29:FG37 HR30:HR33 CO30:CO34 DX30:DX34 EC30:EC34 ER30:ER34 GA30:GA34 BA30:BA37 BF30:BF37 DS30:DS37 EM30:EM37 FQ30:FQ37 GF30:GF37 DX36:DX37 EC36:EC37 FB36:FB37 FL36:FL37 ME46:MF89 CY52:CY78 EC52:EC82 FL52:FL82 FQ52:FQ82 DD52:DD90 CT52:CT93 GA52:GA129 OH55:OI129 CO61:CO81 MW65:MW77 BP65:BP90 BA65:BA129 DI65:DI129 ER65:ER129 NM68:NO76 NR68:NT158 NV68:NV158 KV73:KV127 HR74:HR76 FV74:FV82 EM75:EM129 GF75:GF129 DX77:DX81 MW79:MW95 DN80:DN81 AB80:AB127 CY80:CY129 DN83:DN129 CO84:CO89 FL84:FL90 DX84:DX93 EC84:EC93 FQ84:FQ93 AL87:AL96 AV87:AV129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H165:KH166 AG180 FV90:FV93 BU180 KR165:KR172 ME4:MH7 ME9:MF37 ME39:MF44 ME91:MF117 ME119:MF124 ME125 ME126:MF158 AK180:AL180 AQ180 AV180 DD180 EW180 FL180 FQ180 GF180 CG184:CH184 CD186:CE187 CG186:CH187 LF187 NH4:NI37 NM91:NO158 IR28:IR38 IS81:IS129 MP153:MP158">
    <cfRule type="containsText" dxfId="606" priority="935" operator="containsText" text="POR VENCER">
      <formula>NOT(ISERROR(SEARCH("POR VENCER",AB4)))</formula>
    </cfRule>
  </conditionalFormatting>
  <conditionalFormatting sqref="DD131 DD133 DD135 DD150 DD155 DD172 DD191">
    <cfRule type="containsText" dxfId="605" priority="306" operator="containsText" text="NO APLICA">
      <formula>NOT(ISERROR(SEARCH("NO APLICA",DD131)))</formula>
    </cfRule>
    <cfRule type="containsText" dxfId="604" priority="308" operator="containsText" text="VIGENTE">
      <formula>NOT(ISERROR(SEARCH("VIGENTE",DD131)))</formula>
    </cfRule>
    <cfRule type="containsText" dxfId="603" priority="309" operator="containsText" text="VENCIDA">
      <formula>NOT(ISERROR(SEARCH("VENCIDA",DD131)))</formula>
    </cfRule>
    <cfRule type="containsText" dxfId="602" priority="307" operator="containsText" text="POR VENCER">
      <formula>NOT(ISERROR(SEARCH("POR VENCER",DD131)))</formula>
    </cfRule>
  </conditionalFormatting>
  <conditionalFormatting sqref="DI133 DI150 DI155">
    <cfRule type="containsText" dxfId="601" priority="351" operator="containsText" text="VIGENTE">
      <formula>NOT(ISERROR(SEARCH("VIGENTE",DI133)))</formula>
    </cfRule>
    <cfRule type="containsText" dxfId="600" priority="352" operator="containsText" text="VENCIDA">
      <formula>NOT(ISERROR(SEARCH("VENCIDA",DI133)))</formula>
    </cfRule>
    <cfRule type="containsText" dxfId="599" priority="350" operator="containsText" text="POR VENCER">
      <formula>NOT(ISERROR(SEARCH("POR VENCER",DI133)))</formula>
    </cfRule>
    <cfRule type="containsText" dxfId="598" priority="349" operator="containsText" text="NO APLICA">
      <formula>NOT(ISERROR(SEARCH("NO APLICA",DI133)))</formula>
    </cfRule>
  </conditionalFormatting>
  <conditionalFormatting sqref="DN38">
    <cfRule type="containsText" dxfId="597" priority="348" operator="containsText" text="VENCIDA">
      <formula>NOT(ISERROR(SEARCH("VENCIDA",DN38)))</formula>
    </cfRule>
    <cfRule type="containsText" dxfId="596" priority="347" operator="containsText" text="POR VENCER">
      <formula>NOT(ISERROR(SEARCH("POR VENCER",DN38)))</formula>
    </cfRule>
  </conditionalFormatting>
  <conditionalFormatting sqref="DN38:DN46">
    <cfRule type="containsText" dxfId="595" priority="346" operator="containsText" text="NO APLICA">
      <formula>NOT(ISERROR(SEARCH("NO APLICA",DN38)))</formula>
    </cfRule>
  </conditionalFormatting>
  <conditionalFormatting sqref="DN42">
    <cfRule type="containsText" dxfId="594" priority="331" operator="containsText" text="VENCIDA">
      <formula>NOT(ISERROR(SEARCH("VENCIDA",DN42)))</formula>
    </cfRule>
    <cfRule type="containsText" dxfId="593" priority="326" operator="containsText" text="NO APLICA">
      <formula>NOT(ISERROR(SEARCH("NO APLICA",DN42)))</formula>
    </cfRule>
    <cfRule type="containsText" dxfId="592" priority="328" operator="containsText" text="VENCIDA">
      <formula>NOT(ISERROR(SEARCH("VENCIDA",DN42)))</formula>
    </cfRule>
    <cfRule type="containsText" dxfId="591" priority="329" operator="containsText" text="NO APLICA">
      <formula>NOT(ISERROR(SEARCH("NO APLICA",DN42)))</formula>
    </cfRule>
    <cfRule type="containsText" dxfId="590" priority="327" operator="containsText" text="POR VENCER">
      <formula>NOT(ISERROR(SEARCH("POR VENCER",DN42)))</formula>
    </cfRule>
    <cfRule type="containsText" dxfId="589" priority="330" operator="containsText" text="POR VENCER">
      <formula>NOT(ISERROR(SEARCH("POR VENCER",DN42)))</formula>
    </cfRule>
  </conditionalFormatting>
  <conditionalFormatting sqref="DN64">
    <cfRule type="containsText" dxfId="588" priority="344" operator="containsText" text="POR VENCER">
      <formula>NOT(ISERROR(SEARCH("POR VENCER",DN64)))</formula>
    </cfRule>
    <cfRule type="containsText" dxfId="587" priority="345" operator="containsText" text="VENCIDA">
      <formula>NOT(ISERROR(SEARCH("VENCIDA",DN64)))</formula>
    </cfRule>
    <cfRule type="containsText" dxfId="586" priority="343" operator="containsText" text="NO APLICA">
      <formula>NOT(ISERROR(SEARCH("NO APLICA",DN64)))</formula>
    </cfRule>
  </conditionalFormatting>
  <conditionalFormatting sqref="DN72">
    <cfRule type="containsText" dxfId="585" priority="341" operator="containsText" text="POR VENCER">
      <formula>NOT(ISERROR(SEARCH("POR VENCER",DN72)))</formula>
    </cfRule>
    <cfRule type="containsText" dxfId="584" priority="340" operator="containsText" text="NO APLICA">
      <formula>NOT(ISERROR(SEARCH("NO APLICA",DN72)))</formula>
    </cfRule>
    <cfRule type="containsText" dxfId="583" priority="342" operator="containsText" text="VENCIDA">
      <formula>NOT(ISERROR(SEARCH("VENCIDA",DN72)))</formula>
    </cfRule>
  </conditionalFormatting>
  <conditionalFormatting sqref="DN152">
    <cfRule type="containsText" dxfId="582" priority="337" operator="containsText" text="POR VENCER">
      <formula>NOT(ISERROR(SEARCH("POR VENCER",DN152)))</formula>
    </cfRule>
    <cfRule type="containsText" dxfId="581" priority="336" operator="containsText" text="NO APLICA">
      <formula>NOT(ISERROR(SEARCH("NO APLICA",DN152)))</formula>
    </cfRule>
    <cfRule type="containsText" dxfId="580" priority="338" operator="containsText" text="VIGENTE">
      <formula>NOT(ISERROR(SEARCH("VIGENTE",DN152)))</formula>
    </cfRule>
    <cfRule type="containsText" dxfId="579" priority="339" operator="containsText" text="VENCIDA">
      <formula>NOT(ISERROR(SEARCH("VENCIDA",DN152)))</formula>
    </cfRule>
  </conditionalFormatting>
  <conditionalFormatting sqref="DN173">
    <cfRule type="containsText" dxfId="578" priority="334" operator="containsText" text="VIGENTE">
      <formula>NOT(ISERROR(SEARCH("VIGENTE",DN173)))</formula>
    </cfRule>
    <cfRule type="containsText" dxfId="577" priority="335" operator="containsText" text="VENCIDA">
      <formula>NOT(ISERROR(SEARCH("VENCIDA",DN173)))</formula>
    </cfRule>
    <cfRule type="containsText" dxfId="576" priority="333" operator="containsText" text="POR VENCER">
      <formula>NOT(ISERROR(SEARCH("POR VENCER",DN173)))</formula>
    </cfRule>
    <cfRule type="containsText" dxfId="575" priority="332" operator="containsText" text="NO APLICA">
      <formula>NOT(ISERROR(SEARCH("NO APLICA",DN173)))</formula>
    </cfRule>
  </conditionalFormatting>
  <conditionalFormatting sqref="DT9">
    <cfRule type="containsText" dxfId="574" priority="305" operator="containsText" text="VENCIDA">
      <formula>NOT(ISERROR(SEARCH("VENCIDA",DT9)))</formula>
    </cfRule>
    <cfRule type="containsText" dxfId="573" priority="304" operator="containsText" text="VIGENTE">
      <formula>NOT(ISERROR(SEARCH("VIGENTE",DT9)))</formula>
    </cfRule>
    <cfRule type="containsText" dxfId="572" priority="303" operator="containsText" text="POR VENCER">
      <formula>NOT(ISERROR(SEARCH("POR VENCER",DT9)))</formula>
    </cfRule>
    <cfRule type="containsText" dxfId="571" priority="302" operator="containsText" text="NO APLICA">
      <formula>NOT(ISERROR(SEARCH("NO APLICA",DT9)))</formula>
    </cfRule>
  </conditionalFormatting>
  <conditionalFormatting sqref="DT35 DT83 DT94 DT104 DT112 DT120 DT133 DT150 DT155 DT191 DT221">
    <cfRule type="containsText" dxfId="570" priority="298" operator="containsText" text="NO APLICA">
      <formula>NOT(ISERROR(SEARCH("NO APLICA",DT35)))</formula>
    </cfRule>
    <cfRule type="containsText" dxfId="569" priority="300" operator="containsText" text="VIGENTE">
      <formula>NOT(ISERROR(SEARCH("VIGENTE",DT35)))</formula>
    </cfRule>
    <cfRule type="containsText" dxfId="568" priority="299" operator="containsText" text="POR VENCER">
      <formula>NOT(ISERROR(SEARCH("POR VENCER",DT35)))</formula>
    </cfRule>
    <cfRule type="containsText" dxfId="567" priority="301" operator="containsText" text="VENCIDA">
      <formula>NOT(ISERROR(SEARCH("VENCIDA",DT35)))</formula>
    </cfRule>
  </conditionalFormatting>
  <conditionalFormatting sqref="DX9 DX11 DX35">
    <cfRule type="expression" dxfId="566" priority="262">
      <formula>"O7&gt;=91"</formula>
    </cfRule>
  </conditionalFormatting>
  <conditionalFormatting sqref="DX82:DX83 DX94 DX99 DX104 DX107 DX112 DX115 DX120">
    <cfRule type="expression" dxfId="565" priority="261">
      <formula>"O7&gt;=91"</formula>
    </cfRule>
  </conditionalFormatting>
  <conditionalFormatting sqref="DX189 DX191">
    <cfRule type="expression" dxfId="564" priority="263">
      <formula>"O7&gt;=91"</formula>
    </cfRule>
  </conditionalFormatting>
  <conditionalFormatting sqref="DY53">
    <cfRule type="containsText" dxfId="563" priority="924" operator="containsText" text="VIGENTE">
      <formula>NOT(ISERROR(SEARCH("VIGENTE",DY53)))</formula>
    </cfRule>
    <cfRule type="containsText" dxfId="562" priority="922" operator="containsText" text="NO APLICA">
      <formula>NOT(ISERROR(SEARCH("NO APLICA",DY53)))</formula>
    </cfRule>
    <cfRule type="containsText" dxfId="561" priority="921" operator="containsText" text="VENCIDA">
      <formula>NOT(ISERROR(SEARCH("VENCIDA",DY53)))</formula>
    </cfRule>
    <cfRule type="containsText" dxfId="560" priority="923" operator="containsText" text="POR VENCER">
      <formula>NOT(ISERROR(SEARCH("POR VENCER",DY53)))</formula>
    </cfRule>
  </conditionalFormatting>
  <conditionalFormatting sqref="EC239:ED240">
    <cfRule type="containsText" dxfId="559" priority="4" operator="containsText" text="NO APLICA">
      <formula>NOT(ISERROR(SEARCH("NO APLICA",EC239)))</formula>
    </cfRule>
    <cfRule type="containsText" dxfId="558" priority="3" operator="containsText" text="VIGENTE">
      <formula>NOT(ISERROR(SEARCH("VIGENTE",EC239)))</formula>
    </cfRule>
  </conditionalFormatting>
  <conditionalFormatting sqref="ED239:ED240">
    <cfRule type="containsText" dxfId="557" priority="2" operator="containsText" text="POR VENCER">
      <formula>NOT(ISERROR(SEARCH("POR VENCER",ED239)))</formula>
    </cfRule>
    <cfRule type="containsText" dxfId="556" priority="1" operator="containsText" text="VENCIDA">
      <formula>NOT(ISERROR(SEARCH("VENCIDA",ED239)))</formula>
    </cfRule>
  </conditionalFormatting>
  <conditionalFormatting sqref="EH89 EH114 EH116 EH126">
    <cfRule type="containsText" dxfId="555" priority="93" operator="containsText" text="POR VENCER">
      <formula>NOT(ISERROR(SEARCH("POR VENCER",EH89)))</formula>
    </cfRule>
    <cfRule type="containsText" dxfId="554" priority="92" operator="containsText" text="NO APLICA">
      <formula>NOT(ISERROR(SEARCH("NO APLICA",EH89)))</formula>
    </cfRule>
  </conditionalFormatting>
  <conditionalFormatting sqref="EH89:EH91 EH113:EH114 EH116:EH118 EH125:EH126 KS238:KT240 AB239:AB240 AG239:AG240 AL239:AL240 AV239:AV240 BA239:BA240 BP239:BP240 DB239:DB240 DG239:DG240 EK239:EK240 EP239:EP240 EU239:EU240 FY239:FY240 GI239:GI240 GN239:GN240 GX239:GX240 HC239:HC240 HE239:HE240 HM239:HM240 HR239:HR240 IB239:IB240 IG239:IG240 IL239:IL240 JO239:JP240 JS239:JT240 KV239:KW240 KY239:KY240 LS239:LS240 LU239:LU240 LX239:LX240 MB239:MC240 ME239:MG240 MK239:ML240 MQ239:MR240 P239:R240 EH4:EI5 JX5 JV5:JV237 EH6 JX6:KB6 JX7 EH8:EI9 JX8:KB18 EH10:EH11 EH12:EI12 EH13 EH14:EI14 EH15 EH16:EI18 JX19 EH19:EH20 JX20:KB21 EH21:EI21 EH22 JX22 EH23:EI24 JX23:KB25 EH25 EH26:EI26 JX26:JX27 EH27 EH28:EI29 JX28:KB35 EH30 EH31:EI33 EH34 EH35:EI36 JX36 EH37 JX37:KB39 EH38:EI40 JX40 EH41 JX41:KB49 EH42:EI44 EH45 EH47:EI47 EH48:EH50 JX50 JX51:KB52 EH51:EI53 JX53 EH54 JX54:KB60 EH55:EI55 EH56:EH57 EH58:EI58 EH59 EH60:EI61 JX61 EH62 JX62:KB67 EH63:EI64 EH65 EH66:EI68 JX68 EH69 JX69:KB69 JX70 EH70:EI71 JX71:KB83 EH72:EH73 EH74:EI76 EH77 EH78:EI78 EH79:EH80 EH81:EI84 JX84 EH85 JX85:KB85 EH86:EI86 JX86 EH87 JX87:KB101 EH88:EI88 EH92:EI94 EH95:EH97 EH98:EI98 EH99 EH100:EI100 EH102:EI102 JX102 EH103 JX103:KB110 EH104:EI106 EH107 EH108:EI109 EH110 JX111 EH111:EI112 JX112:KB140 EH115:EI115 EH119:EI122 EH123 EH124:EI124 EH127:EI127 EH128 EH129:EI129 EH131:EI131 EH132 EH133:EI139 JX141 JX142:KB143 EH144:EI144 JX144 JX145:KB148 EH146:EI146 EH148:EI151 JX149 JX150:KB160 EH153:EI153 EH154 EH155:EI155 EH158:EI158 EH159 JX161 EH162:EI163 JX162:KB171 EH165:EI165 EH167:EI173 JX172 JX173:KB177 EH175:EI175 EH178:EI179 JX178:JX179 EH180 JX180:KB180 JX181 JX182:KB198 EH184:EH185 EH186:EI187 EH188 EH190:EI191 KA199:KB199 JX200:KB200 JX201 JX202:KB204 JX205:JX206 JX207:KB207 JX208:JX209 JX210:KB216 JX217 JX218:KB218 JX219 JX220:KB220 EH221:EI221 JX221:JX222 JX223:KB223 JX224 JX225:KB226 JX227:JX228 JX229:KB233 EH231:EI231 EH233:EI233 JX234:JX235 JX236:KB236 JX237:JX240 EH238:EI238 HW239:HW240">
    <cfRule type="containsText" dxfId="553" priority="94" operator="containsText" text="VIGENTE">
      <formula>NOT(ISERROR(SEARCH("VIGENTE",P4)))</formula>
    </cfRule>
  </conditionalFormatting>
  <conditionalFormatting sqref="EH95">
    <cfRule type="containsText" dxfId="552" priority="857" operator="containsText" text="POR VENCER">
      <formula>NOT(ISERROR(SEARCH("POR VENCER",EH95)))</formula>
    </cfRule>
    <cfRule type="containsText" dxfId="551" priority="856" operator="containsText" text="NO APLICA">
      <formula>NOT(ISERROR(SEARCH("NO APLICA",EH95)))</formula>
    </cfRule>
    <cfRule type="containsText" dxfId="550" priority="855" operator="containsText" text="POR VENCER">
      <formula>NOT(ISERROR(SEARCH("POR VENCER",EH95)))</formula>
    </cfRule>
  </conditionalFormatting>
  <conditionalFormatting sqref="EH101">
    <cfRule type="containsText" dxfId="549" priority="827" operator="containsText" text="VENCIDA">
      <formula>NOT(ISERROR(SEARCH("VENCIDA",EH101)))</formula>
    </cfRule>
    <cfRule type="containsText" dxfId="548" priority="828" operator="containsText" text="VIGENTE">
      <formula>NOT(ISERROR(SEARCH("VIGENTE",EH101)))</formula>
    </cfRule>
  </conditionalFormatting>
  <conditionalFormatting sqref="EH107 EH118">
    <cfRule type="containsText" dxfId="547" priority="826" operator="containsText" text="POR VENCER">
      <formula>NOT(ISERROR(SEARCH("POR VENCER",EH107)))</formula>
    </cfRule>
  </conditionalFormatting>
  <conditionalFormatting sqref="EH130 EH140 EH142:EH143 EH145 EH147 EH156:EH157">
    <cfRule type="expression" dxfId="546" priority="930">
      <formula>"O7&gt;=91"</formula>
    </cfRule>
  </conditionalFormatting>
  <conditionalFormatting sqref="EH152">
    <cfRule type="containsText" dxfId="545" priority="822" operator="containsText" text="NO APLICA">
      <formula>NOT(ISERROR(SEARCH("NO APLICA",EH152)))</formula>
    </cfRule>
    <cfRule type="containsText" dxfId="544" priority="824" operator="containsText" text="VIGENTE">
      <formula>NOT(ISERROR(SEARCH("VIGENTE",EH152)))</formula>
    </cfRule>
    <cfRule type="containsText" dxfId="543" priority="823" operator="containsText" text="POR VENCER">
      <formula>NOT(ISERROR(SEARCH("POR VENCER",EH152)))</formula>
    </cfRule>
  </conditionalFormatting>
  <conditionalFormatting sqref="EH174">
    <cfRule type="containsText" dxfId="542" priority="819" operator="containsText" text="NO APLICA">
      <formula>NOT(ISERROR(SEARCH("NO APLICA",EH174)))</formula>
    </cfRule>
    <cfRule type="containsText" dxfId="541" priority="820" operator="containsText" text="POR VENCER">
      <formula>NOT(ISERROR(SEARCH("POR VENCER",EH174)))</formula>
    </cfRule>
    <cfRule type="containsText" dxfId="540" priority="821" operator="containsText" text="VIGENTE">
      <formula>NOT(ISERROR(SEARCH("VIGENTE",EH174)))</formula>
    </cfRule>
  </conditionalFormatting>
  <conditionalFormatting sqref="EH180:EH181">
    <cfRule type="containsText" dxfId="539" priority="816" operator="containsText" text="NO APLICA">
      <formula>NOT(ISERROR(SEARCH("NO APLICA",EH180)))</formula>
    </cfRule>
    <cfRule type="containsText" dxfId="538" priority="818" operator="containsText" text="POR VENCER">
      <formula>NOT(ISERROR(SEARCH("POR VENCER",EH180)))</formula>
    </cfRule>
  </conditionalFormatting>
  <conditionalFormatting sqref="EH181">
    <cfRule type="containsText" dxfId="537" priority="817" operator="containsText" text="VIGENTE">
      <formula>NOT(ISERROR(SEARCH("VIGENTE",EH181)))</formula>
    </cfRule>
  </conditionalFormatting>
  <conditionalFormatting sqref="EH188:EH189">
    <cfRule type="containsText" dxfId="536" priority="376" operator="containsText" text="POR VENCER">
      <formula>NOT(ISERROR(SEARCH("POR VENCER",EH188)))</formula>
    </cfRule>
    <cfRule type="containsText" dxfId="535" priority="375" operator="containsText" text="NO APLICA">
      <formula>NOT(ISERROR(SEARCH("NO APLICA",EH188)))</formula>
    </cfRule>
  </conditionalFormatting>
  <conditionalFormatting sqref="EH189">
    <cfRule type="containsText" dxfId="534" priority="815" operator="containsText" text="VIGENTE">
      <formula>NOT(ISERROR(SEARCH("VIGENTE",EH189)))</formula>
    </cfRule>
  </conditionalFormatting>
  <conditionalFormatting sqref="EH193">
    <cfRule type="containsText" dxfId="533" priority="811" operator="containsText" text="POR VENCER">
      <formula>NOT(ISERROR(SEARCH("POR VENCER",EH193)))</formula>
    </cfRule>
    <cfRule type="containsText" dxfId="532" priority="810" operator="containsText" text="NO APLICA">
      <formula>NOT(ISERROR(SEARCH("NO APLICA",EH193)))</formula>
    </cfRule>
    <cfRule type="containsText" dxfId="531" priority="812" operator="containsText" text="VIGENTE">
      <formula>NOT(ISERROR(SEARCH("VIGENTE",EH193)))</formula>
    </cfRule>
  </conditionalFormatting>
  <conditionalFormatting sqref="EH202">
    <cfRule type="containsText" dxfId="530" priority="809" operator="containsText" text="VIGENTE">
      <formula>NOT(ISERROR(SEARCH("VIGENTE",EH202)))</formula>
    </cfRule>
    <cfRule type="containsText" dxfId="529" priority="807" operator="containsText" text="NO APLICA">
      <formula>NOT(ISERROR(SEARCH("NO APLICA",EH202)))</formula>
    </cfRule>
    <cfRule type="containsText" dxfId="528" priority="808" operator="containsText" text="POR VENCER">
      <formula>NOT(ISERROR(SEARCH("POR VENCER",EH202)))</formula>
    </cfRule>
  </conditionalFormatting>
  <conditionalFormatting sqref="EH208">
    <cfRule type="containsText" dxfId="527" priority="806" operator="containsText" text="VIGENTE">
      <formula>NOT(ISERROR(SEARCH("VIGENTE",EH208)))</formula>
    </cfRule>
    <cfRule type="containsText" dxfId="526" priority="805" operator="containsText" text="POR VENCER">
      <formula>NOT(ISERROR(SEARCH("POR VENCER",EH208)))</formula>
    </cfRule>
    <cfRule type="containsText" dxfId="525" priority="804" operator="containsText" text="NO APLICA">
      <formula>NOT(ISERROR(SEARCH("NO APLICA",EH208)))</formula>
    </cfRule>
  </conditionalFormatting>
  <conditionalFormatting sqref="EH219">
    <cfRule type="containsText" dxfId="524" priority="803" operator="containsText" text="VIGENTE">
      <formula>NOT(ISERROR(SEARCH("VIGENTE",EH219)))</formula>
    </cfRule>
    <cfRule type="containsText" dxfId="523" priority="802" operator="containsText" text="POR VENCER">
      <formula>NOT(ISERROR(SEARCH("POR VENCER",EH219)))</formula>
    </cfRule>
    <cfRule type="containsText" dxfId="522" priority="801" operator="containsText" text="NO APLICA">
      <formula>NOT(ISERROR(SEARCH("NO APLICA",EH219)))</formula>
    </cfRule>
  </conditionalFormatting>
  <conditionalFormatting sqref="EH223">
    <cfRule type="containsText" dxfId="521" priority="800" operator="containsText" text="VIGENTE">
      <formula>NOT(ISERROR(SEARCH("VIGENTE",EH223)))</formula>
    </cfRule>
    <cfRule type="containsText" dxfId="520" priority="799" operator="containsText" text="POR VENCER">
      <formula>NOT(ISERROR(SEARCH("POR VENCER",EH223)))</formula>
    </cfRule>
    <cfRule type="containsText" dxfId="519" priority="798" operator="containsText" text="NO APLICA">
      <formula>NOT(ISERROR(SEARCH("NO APLICA",EH223)))</formula>
    </cfRule>
  </conditionalFormatting>
  <conditionalFormatting sqref="EH227">
    <cfRule type="containsText" dxfId="518" priority="797" operator="containsText" text="VIGENTE">
      <formula>NOT(ISERROR(SEARCH("VIGENTE",EH227)))</formula>
    </cfRule>
    <cfRule type="containsText" dxfId="517" priority="796" operator="containsText" text="POR VENCER">
      <formula>NOT(ISERROR(SEARCH("POR VENCER",EH227)))</formula>
    </cfRule>
    <cfRule type="containsText" dxfId="516" priority="795" operator="containsText" text="NO APLICA">
      <formula>NOT(ISERROR(SEARCH("NO APLICA",EH227)))</formula>
    </cfRule>
  </conditionalFormatting>
  <conditionalFormatting sqref="EH232">
    <cfRule type="containsText" dxfId="515" priority="792" operator="containsText" text="NO APLICA">
      <formula>NOT(ISERROR(SEARCH("NO APLICA",EH232)))</formula>
    </cfRule>
    <cfRule type="containsText" dxfId="514" priority="794" operator="containsText" text="VIGENTE">
      <formula>NOT(ISERROR(SEARCH("VIGENTE",EH232)))</formula>
    </cfRule>
    <cfRule type="containsText" dxfId="513" priority="793" operator="containsText" text="POR VENCER">
      <formula>NOT(ISERROR(SEARCH("POR VENCER",EH232)))</formula>
    </cfRule>
  </conditionalFormatting>
  <conditionalFormatting sqref="EH237">
    <cfRule type="containsText" dxfId="512" priority="791" operator="containsText" text="VIGENTE">
      <formula>NOT(ISERROR(SEARCH("VIGENTE",EH237)))</formula>
    </cfRule>
    <cfRule type="containsText" dxfId="511" priority="790" operator="containsText" text="POR VENCER">
      <formula>NOT(ISERROR(SEARCH("POR VENCER",EH237)))</formula>
    </cfRule>
    <cfRule type="containsText" dxfId="510" priority="789" operator="containsText" text="NO APLICA">
      <formula>NOT(ISERROR(SEARCH("NO APLICA",EH237)))</formula>
    </cfRule>
  </conditionalFormatting>
  <conditionalFormatting sqref="EH16:EI18 EH23:EI24 EH141:EI141 EH160:EI160 EH167:EI173 EH182:EI182 EH186:EI187 EH66:EI66">
    <cfRule type="containsText" dxfId="509" priority="429" operator="containsText" text="POR VENCER">
      <formula>NOT(ISERROR(SEARCH("POR VENCER",EH16)))</formula>
    </cfRule>
  </conditionalFormatting>
  <conditionalFormatting sqref="EH131:EI131 EH133:EI139 EH178:EI179">
    <cfRule type="containsText" dxfId="508" priority="315" operator="containsText" text="NO APLICA">
      <formula>NOT(ISERROR(SEARCH("NO APLICA",EH131)))</formula>
    </cfRule>
    <cfRule type="containsText" dxfId="507" priority="317" operator="containsText" text="POR VENCER">
      <formula>NOT(ISERROR(SEARCH("POR VENCER",EH131)))</formula>
    </cfRule>
  </conditionalFormatting>
  <conditionalFormatting sqref="EH131:EI131 EH135:EI135 EH139:EI139 EH178:EI178">
    <cfRule type="containsText" dxfId="506" priority="316" operator="containsText" text="VENCIDA">
      <formula>NOT(ISERROR(SEARCH("VENCIDA",EH131)))</formula>
    </cfRule>
  </conditionalFormatting>
  <conditionalFormatting sqref="EH141:EI141 EH160:EI160 EH167:EI173 EH182:EI182 EH186:EI187 EH16:EI18 EH23:EI24">
    <cfRule type="containsText" dxfId="505" priority="428" operator="containsText" text="NO APLICA">
      <formula>NOT(ISERROR(SEARCH("NO APLICA",EH16)))</formula>
    </cfRule>
  </conditionalFormatting>
  <conditionalFormatting sqref="EH141:EI141 EH160:EI160 EH182:EI182 EH31:EI31 EH36:EI36 EH47:EI47 EH172:EI172 EH186:EI186">
    <cfRule type="containsText" dxfId="504" priority="427" operator="containsText" text="VENCIDA">
      <formula>NOT(ISERROR(SEARCH("VENCIDA",EH31)))</formula>
    </cfRule>
  </conditionalFormatting>
  <conditionalFormatting sqref="EH141:EI141 EH160:EI160 EH182:EI182">
    <cfRule type="containsText" dxfId="503" priority="426" operator="containsText" text="VIGENTE">
      <formula>NOT(ISERROR(SEARCH("VIGENTE",EH141)))</formula>
    </cfRule>
  </conditionalFormatting>
  <conditionalFormatting sqref="EM133 EM144 EM150 EM155">
    <cfRule type="containsText" dxfId="502" priority="322" operator="containsText" text="NO APLICA">
      <formula>NOT(ISERROR(SEARCH("NO APLICA",EM133)))</formula>
    </cfRule>
    <cfRule type="containsText" dxfId="501" priority="323" operator="containsText" text="POR VENCER">
      <formula>NOT(ISERROR(SEARCH("POR VENCER",EM133)))</formula>
    </cfRule>
    <cfRule type="containsText" dxfId="500" priority="324" operator="containsText" text="VIGENTE">
      <formula>NOT(ISERROR(SEARCH("VIGENTE",EM133)))</formula>
    </cfRule>
    <cfRule type="containsText" dxfId="499" priority="325" operator="containsText" text="VENCIDA">
      <formula>NOT(ISERROR(SEARCH("VENCIDA",EM133)))</formula>
    </cfRule>
  </conditionalFormatting>
  <conditionalFormatting sqref="EM191 EM221">
    <cfRule type="containsText" dxfId="498" priority="320" operator="containsText" text="VIGENTE">
      <formula>NOT(ISERROR(SEARCH("VIGENTE",EM191)))</formula>
    </cfRule>
    <cfRule type="containsText" dxfId="497" priority="318" operator="containsText" text="NO APLICA">
      <formula>NOT(ISERROR(SEARCH("NO APLICA",EM191)))</formula>
    </cfRule>
    <cfRule type="containsText" dxfId="496" priority="319" operator="containsText" text="POR VENCER">
      <formula>NOT(ISERROR(SEARCH("POR VENCER",EM191)))</formula>
    </cfRule>
    <cfRule type="containsText" dxfId="495" priority="321" operator="containsText" text="VENCIDA">
      <formula>NOT(ISERROR(SEARCH("VENCIDA",EM191)))</formula>
    </cfRule>
  </conditionalFormatting>
  <conditionalFormatting sqref="EN93">
    <cfRule type="containsText" dxfId="494" priority="785" operator="containsText" text="VENCIDA">
      <formula>NOT(ISERROR(SEARCH("VENCIDA",EN93)))</formula>
    </cfRule>
    <cfRule type="containsText" dxfId="493" priority="786" operator="containsText" text="NO APLICA">
      <formula>NOT(ISERROR(SEARCH("NO APLICA",EN93)))</formula>
    </cfRule>
    <cfRule type="containsText" dxfId="492" priority="787" operator="containsText" text="POR VENCER">
      <formula>NOT(ISERROR(SEARCH("POR VENCER",EN93)))</formula>
    </cfRule>
    <cfRule type="containsText" dxfId="491" priority="788" operator="containsText" text="VIGENTE">
      <formula>NOT(ISERROR(SEARCH("VIGENTE",EN93)))</formula>
    </cfRule>
  </conditionalFormatting>
  <conditionalFormatting sqref="EN109:EN110">
    <cfRule type="containsText" dxfId="490" priority="784" operator="containsText" text="VIGENTE">
      <formula>NOT(ISERROR(SEARCH("VIGENTE",EN109)))</formula>
    </cfRule>
    <cfRule type="containsText" dxfId="489" priority="782" operator="containsText" text="NO APLICA">
      <formula>NOT(ISERROR(SEARCH("NO APLICA",EN109)))</formula>
    </cfRule>
    <cfRule type="containsText" dxfId="488" priority="781" operator="containsText" text="VENCIDA">
      <formula>NOT(ISERROR(SEARCH("VENCIDA",EN109)))</formula>
    </cfRule>
    <cfRule type="containsText" dxfId="487" priority="783" operator="containsText" text="POR VENCER">
      <formula>NOT(ISERROR(SEARCH("POR VENCER",EN109)))</formula>
    </cfRule>
  </conditionalFormatting>
  <conditionalFormatting sqref="EN113">
    <cfRule type="containsText" dxfId="486" priority="780" operator="containsText" text="VIGENTE">
      <formula>NOT(ISERROR(SEARCH("VIGENTE",EN113)))</formula>
    </cfRule>
    <cfRule type="containsText" dxfId="485" priority="779" operator="containsText" text="POR VENCER">
      <formula>NOT(ISERROR(SEARCH("POR VENCER",EN113)))</formula>
    </cfRule>
    <cfRule type="containsText" dxfId="484" priority="778" operator="containsText" text="NO APLICA">
      <formula>NOT(ISERROR(SEARCH("NO APLICA",EN113)))</formula>
    </cfRule>
    <cfRule type="containsText" dxfId="483" priority="777" operator="containsText" text="VENCIDA">
      <formula>NOT(ISERROR(SEARCH("VENCIDA",EN113)))</formula>
    </cfRule>
  </conditionalFormatting>
  <conditionalFormatting sqref="EN141">
    <cfRule type="expression" dxfId="482" priority="776">
      <formula>"O7&gt;=91"</formula>
    </cfRule>
  </conditionalFormatting>
  <conditionalFormatting sqref="ER152 ER166 ER174 ER182:ER183">
    <cfRule type="containsText" dxfId="481" priority="202" operator="containsText" text="NO APLICA">
      <formula>NOT(ISERROR(SEARCH("NO APLICA",ER152)))</formula>
    </cfRule>
    <cfRule type="containsText" dxfId="480" priority="204" operator="containsText" text="VIGENTE">
      <formula>NOT(ISERROR(SEARCH("VIGENTE",ER152)))</formula>
    </cfRule>
    <cfRule type="containsText" dxfId="479" priority="205" operator="containsText" text="VENCIDA">
      <formula>NOT(ISERROR(SEARCH("VENCIDA",ER152)))</formula>
    </cfRule>
    <cfRule type="containsText" dxfId="478" priority="203" operator="containsText" text="POR VENCER">
      <formula>NOT(ISERROR(SEARCH("POR VENCER",ER152)))</formula>
    </cfRule>
  </conditionalFormatting>
  <conditionalFormatting sqref="EW16">
    <cfRule type="containsText" dxfId="477" priority="415" operator="containsText" text="VIGENTE">
      <formula>NOT(ISERROR(SEARCH("VIGENTE",EW16)))</formula>
    </cfRule>
    <cfRule type="containsText" dxfId="476" priority="416" operator="containsText" text="VENCIDA">
      <formula>NOT(ISERROR(SEARCH("VENCIDA",EW16)))</formula>
    </cfRule>
  </conditionalFormatting>
  <conditionalFormatting sqref="EW23">
    <cfRule type="containsText" dxfId="475" priority="413" operator="containsText" text="VIGENTE">
      <formula>NOT(ISERROR(SEARCH("VIGENTE",EW23)))</formula>
    </cfRule>
    <cfRule type="containsText" dxfId="474" priority="414" operator="containsText" text="VENCIDA">
      <formula>NOT(ISERROR(SEARCH("VENCIDA",EW23)))</formula>
    </cfRule>
  </conditionalFormatting>
  <conditionalFormatting sqref="EW39:EW53">
    <cfRule type="containsText" dxfId="473" priority="410" operator="containsText" text="NO APLICA">
      <formula>NOT(ISERROR(SEARCH("NO APLICA",EW39)))</formula>
    </cfRule>
  </conditionalFormatting>
  <conditionalFormatting sqref="EW43">
    <cfRule type="containsText" dxfId="472" priority="411" operator="containsText" text="POR VENCER">
      <formula>NOT(ISERROR(SEARCH("POR VENCER",EW43)))</formula>
    </cfRule>
    <cfRule type="containsText" dxfId="471" priority="412" operator="containsText" text="VENCIDA">
      <formula>NOT(ISERROR(SEARCH("VENCIDA",EW43)))</formula>
    </cfRule>
    <cfRule type="containsText" dxfId="470" priority="409" operator="containsText" text="VIGENTE">
      <formula>NOT(ISERROR(SEARCH("VIGENTE",EW43)))</formula>
    </cfRule>
  </conditionalFormatting>
  <conditionalFormatting sqref="EW45 EW83 EW91">
    <cfRule type="containsText" dxfId="469" priority="258" operator="containsText" text="NO APLICA">
      <formula>NOT(ISERROR(SEARCH("NO APLICA",EW45)))</formula>
    </cfRule>
    <cfRule type="containsText" dxfId="468" priority="259" operator="containsText" text="POR VENCER">
      <formula>NOT(ISERROR(SEARCH("POR VENCER",EW45)))</formula>
    </cfRule>
    <cfRule type="containsText" dxfId="467" priority="260" operator="containsText" text="VENCIDA">
      <formula>NOT(ISERROR(SEARCH("VENCIDA",EW45)))</formula>
    </cfRule>
  </conditionalFormatting>
  <conditionalFormatting sqref="EW54">
    <cfRule type="containsText" dxfId="466" priority="405" operator="containsText" text="VIGENTE">
      <formula>NOT(ISERROR(SEARCH("VIGENTE",EW54)))</formula>
    </cfRule>
    <cfRule type="containsText" dxfId="465" priority="408" operator="containsText" text="VENCIDA">
      <formula>NOT(ISERROR(SEARCH("VENCIDA",EW54)))</formula>
    </cfRule>
    <cfRule type="containsText" dxfId="464" priority="407" operator="containsText" text="POR VENCER">
      <formula>NOT(ISERROR(SEARCH("POR VENCER",EW54)))</formula>
    </cfRule>
  </conditionalFormatting>
  <conditionalFormatting sqref="EW54:EW64">
    <cfRule type="containsText" dxfId="463" priority="406" operator="containsText" text="NO APLICA">
      <formula>NOT(ISERROR(SEARCH("NO APLICA",EW54)))</formula>
    </cfRule>
  </conditionalFormatting>
  <conditionalFormatting sqref="EW65">
    <cfRule type="containsText" dxfId="462" priority="403" operator="containsText" text="POR VENCER">
      <formula>NOT(ISERROR(SEARCH("POR VENCER",EW65)))</formula>
    </cfRule>
    <cfRule type="containsText" dxfId="461" priority="404" operator="containsText" text="VENCIDA">
      <formula>NOT(ISERROR(SEARCH("VENCIDA",EW65)))</formula>
    </cfRule>
    <cfRule type="containsText" dxfId="460" priority="401" operator="containsText" text="VIGENTE">
      <formula>NOT(ISERROR(SEARCH("VIGENTE",EW65)))</formula>
    </cfRule>
  </conditionalFormatting>
  <conditionalFormatting sqref="EW65:EW112">
    <cfRule type="containsText" dxfId="459" priority="402" operator="containsText" text="NO APLICA">
      <formula>NOT(ISERROR(SEARCH("NO APLICA",EW65)))</formula>
    </cfRule>
  </conditionalFormatting>
  <conditionalFormatting sqref="EW99 EW112 EW115">
    <cfRule type="containsText" dxfId="458" priority="255" operator="containsText" text="NO APLICA">
      <formula>NOT(ISERROR(SEARCH("NO APLICA",EW99)))</formula>
    </cfRule>
    <cfRule type="containsText" dxfId="457" priority="257" operator="containsText" text="VENCIDA">
      <formula>NOT(ISERROR(SEARCH("VENCIDA",EW99)))</formula>
    </cfRule>
    <cfRule type="containsText" dxfId="456" priority="256" operator="containsText" text="POR VENCER">
      <formula>NOT(ISERROR(SEARCH("POR VENCER",EW99)))</formula>
    </cfRule>
  </conditionalFormatting>
  <conditionalFormatting sqref="EW113:EW114">
    <cfRule type="containsText" dxfId="455" priority="395" operator="containsText" text="POR VENCER">
      <formula>NOT(ISERROR(SEARCH("POR VENCER",EW113)))</formula>
    </cfRule>
    <cfRule type="containsText" dxfId="454" priority="393" operator="containsText" text="VIGENTE">
      <formula>NOT(ISERROR(SEARCH("VIGENTE",EW113)))</formula>
    </cfRule>
    <cfRule type="containsText" dxfId="453" priority="396" operator="containsText" text="VENCIDA">
      <formula>NOT(ISERROR(SEARCH("VENCIDA",EW113)))</formula>
    </cfRule>
  </conditionalFormatting>
  <conditionalFormatting sqref="EW113:EW129">
    <cfRule type="containsText" dxfId="452" priority="394" operator="containsText" text="NO APLICA">
      <formula>NOT(ISERROR(SEARCH("NO APLICA",EW113)))</formula>
    </cfRule>
  </conditionalFormatting>
  <conditionalFormatting sqref="EW152">
    <cfRule type="containsText" dxfId="451" priority="389" operator="containsText" text="VIGENTE">
      <formula>NOT(ISERROR(SEARCH("VIGENTE",EW152)))</formula>
    </cfRule>
    <cfRule type="containsText" dxfId="450" priority="392" operator="containsText" text="VENCIDA">
      <formula>NOT(ISERROR(SEARCH("VENCIDA",EW152)))</formula>
    </cfRule>
    <cfRule type="containsText" dxfId="449" priority="391" operator="containsText" text="POR VENCER">
      <formula>NOT(ISERROR(SEARCH("POR VENCER",EW152)))</formula>
    </cfRule>
    <cfRule type="containsText" dxfId="448" priority="390" operator="containsText" text="NO APLICA">
      <formula>NOT(ISERROR(SEARCH("NO APLICA",EW152)))</formula>
    </cfRule>
  </conditionalFormatting>
  <conditionalFormatting sqref="EW159">
    <cfRule type="containsText" dxfId="447" priority="387" operator="containsText" text="POR VENCER">
      <formula>NOT(ISERROR(SEARCH("POR VENCER",EW159)))</formula>
    </cfRule>
    <cfRule type="containsText" dxfId="446" priority="388" operator="containsText" text="VENCIDA">
      <formula>NOT(ISERROR(SEARCH("VENCIDA",EW159)))</formula>
    </cfRule>
    <cfRule type="containsText" dxfId="445" priority="386" operator="containsText" text="NO APLICA">
      <formula>NOT(ISERROR(SEARCH("NO APLICA",EW159)))</formula>
    </cfRule>
    <cfRule type="containsText" dxfId="444" priority="385" operator="containsText" text="VIGENTE">
      <formula>NOT(ISERROR(SEARCH("VIGENTE",EW159)))</formula>
    </cfRule>
  </conditionalFormatting>
  <conditionalFormatting sqref="EW173">
    <cfRule type="containsText" dxfId="443" priority="383" operator="containsText" text="POR VENCER">
      <formula>NOT(ISERROR(SEARCH("POR VENCER",EW173)))</formula>
    </cfRule>
    <cfRule type="containsText" dxfId="442" priority="384" operator="containsText" text="VENCIDA">
      <formula>NOT(ISERROR(SEARCH("VENCIDA",EW173)))</formula>
    </cfRule>
    <cfRule type="containsText" dxfId="441" priority="381" operator="containsText" text="VIGENTE">
      <formula>NOT(ISERROR(SEARCH("VIGENTE",EW173)))</formula>
    </cfRule>
    <cfRule type="containsText" dxfId="440" priority="382" operator="containsText" text="NO APLICA">
      <formula>NOT(ISERROR(SEARCH("NO APLICA",EW173)))</formula>
    </cfRule>
  </conditionalFormatting>
  <conditionalFormatting sqref="FG39:FG54">
    <cfRule type="containsText" dxfId="439" priority="358" operator="containsText" text="NO APLICA">
      <formula>NOT(ISERROR(SEARCH("NO APLICA",FG39)))</formula>
    </cfRule>
  </conditionalFormatting>
  <conditionalFormatting sqref="FG54">
    <cfRule type="containsText" dxfId="438" priority="357" operator="containsText" text="VIGENTE">
      <formula>NOT(ISERROR(SEARCH("VIGENTE",FG54)))</formula>
    </cfRule>
    <cfRule type="containsText" dxfId="437" priority="360" operator="containsText" text="VENCIDA">
      <formula>NOT(ISERROR(SEARCH("VENCIDA",FG54)))</formula>
    </cfRule>
    <cfRule type="containsText" dxfId="436" priority="359" operator="containsText" text="POR VENCER">
      <formula>NOT(ISERROR(SEARCH("POR VENCER",FG54)))</formula>
    </cfRule>
  </conditionalFormatting>
  <conditionalFormatting sqref="FQ4 AQ4:AQ6 BP4:BP6 BU4:BU6 CO4:CO6 DS4:DS6 DX4:DX6 EC4:EC6 EM4:EM6 ER4:ER6 FL4:FL6 GA4:GA6 GF4:GF6 FU4:FV7 HI4:HJ14 FQ6 FV8 FV10 FV12:FV22 FV24:FV25 AL33:AL37 BU36:BU37 CO36:CO37 DI36:DI37 ER36:ER37 FV36:FV37 IN36:IN37 IM36:IM38 DI39:DI41 EM39:EM41 ER39:ER41 FL39:FL41 FV39:FV42 DX47:DX50 EC47:EC50 ER47:ER50 FQ47:FQ50 GA47:GA50 EM47:EM63 FV48:FV62 CO52:CO59 BU52:BU63 DI52:DI63 ER52:ER63 DX52:DX73 GF52:GF73 FG55:FG119 FV65:FV67 EM65:EM73 FV69:FV72 DX75 FV84:FV85 FV87:FV88 FV90:FV93 AL98:AL129 GZ98:GZ129 FV103 FV105:FV111 FV113:FV114 FV116:FV117 FV119 FV121:FV125 FG121:FG129 FV127:FV129 GA36 GA39 AV4:AV6 BA4:BA6">
    <cfRule type="containsText" dxfId="435" priority="775" operator="containsText" text="NO APLICA">
      <formula>NOT(ISERROR(SEARCH("NO APLICA",AL4)))</formula>
    </cfRule>
  </conditionalFormatting>
  <conditionalFormatting sqref="FQ4 AQ4:AQ6 BP4:BP6 BU4:BU6 CO4:CO6 DS4:DS6 DX4:DX6 EC4:EC6 EM4:EM6 ER4:ER6 FL4:FL6 GA4:GA6 GF4:GF6 FV4:FV8 HI4:HJ14 FQ6 FV10 FV24:FV25 AL33:AL37 GA36 BU36:BU37 CO36:CO37 DI36:DI37 ER36:ER37 FV36:FV37 IN36:IN37 IM36:IM38 GA39 DI39:DI41 EM39:EM41 ER39:ER41 FL39:FL41 FV39:FV42 DX47:DX50 EC47:EC50 ER47:ER50 FQ47:FQ50 GA47:GA50 EM47:EM63 FV48:FV62 CO52:CO59 BU52:BU63 DI52:DI63 ER52:ER63 FV65:FV67 DX75 FV84:FV85 FV87:FV88 FG94:FG119 AL98:AL129 GZ98:GZ129 FV103 FV105:FV111 FV113:FV114 FV116:FV117 FV119 FV121:FV125 FG121:FG129 FV127:FV129">
    <cfRule type="containsText" dxfId="434" priority="936" operator="containsText" text="POR VENCER">
      <formula>NOT(ISERROR(SEARCH("POR VENCER",AL4)))</formula>
    </cfRule>
  </conditionalFormatting>
  <conditionalFormatting sqref="FV48:FV62 KV4:KV34 KV36:KV37 KV39:KV41 KV61:KV71 KV129 LT4:LT240 HI4:HJ14 GA43:GA50 BU30:BU37 FQ4 AQ4:AQ6 BP4:BP6 BU4:BU6 CO4:CO6 DS4:DS6 DX4:DX6 EC4:EC6 EM4:EM6 ER4:ER6 FL4:FL6 GA4:GA6 GF4:GF6 AK4:AL7 BE4:BF7 BJ4:BK7 BY4:BZ7 CS4:CT7 CX4:CY7 DC4:DD7 DH4:DI7 DM4:DN7 EV4:EW7 FA4:FB7 FF4:FG7 FU4:FV7 GT4:GU7 GY4:GZ7 KU4:KU7 FQ6 CO8 FV8 BU8:BU19 FV10 CO10:CO19 FV12:FV22 FV24:FV25 AL33:AL37 CO36:CO37 DI36:DI37 ER36:ER37 FV36:FV37 IN36:IN37 IM36:IM38 DI39:DI41 EM39:EM41 ER39:ER41 FL39:FL41 FV39:FV42 DX47:DX50 EC47:EC50 ER47:ER50 FQ47:FQ50 EM47:EM63 CO52:CO59 BU52:BU63 DI52:DI63 ER52:ER63 DX52:DX73 GF52:GF73 FV65:FV67 EM65:EM73 FV69:FV72 DX75 FV84:FV85 FV87:FV88 FV90 FG94:FG119 AL98:AL129 GZ98:GZ129 FV103 FV105:FV111 FV113:FV114 FV116:FV117 FV119 FV121:FV125 FG121:FG129 FV127:FV129">
    <cfRule type="containsText" dxfId="433" priority="774" operator="containsText" text="VIGENTE">
      <formula>NOT(ISERROR(SEARCH("VIGENTE",AK4)))</formula>
    </cfRule>
  </conditionalFormatting>
  <conditionalFormatting sqref="FV48:FV62">
    <cfRule type="containsText" dxfId="432" priority="773" operator="containsText" text="VENCIDA">
      <formula>NOT(ISERROR(SEARCH("VENCIDA",FV48)))</formula>
    </cfRule>
  </conditionalFormatting>
  <conditionalFormatting sqref="FV102 BK130 DD130 BA130:BA132 BU130:BU132 CO130:CO132 CT130:CT132 DI130:DI132 DS130:DS132 EC130:EC132 EM130:EM132 FG130:FG132 FL130:FL132 FQ130:FQ132 GA130:GA133 BP130:BP136 DN130:DN138 K130:K140 FB130:FB141 ER130:ER151 EW130:EW151 AG130:AG158 AL130:AL158 AQ130:AQ158 AV130:AV158 BF130:BF158 BZ130:BZ158 CY130:CY158 DX130:DX158 GF130:GF158 GU130:GU158 GZ130:GZ158 HJ130:HJ158 IN130:IN158 IS130:IS158 IX130:IX158 DD132 BK133:BK134 DD134 DS134 BU134:BU136 CO134:CO136 EC134:EC136 FG134:FG136 FL134:FL136 CT134:CT141 EM134:EM143 FQ134:FQ143 DI134:DI149 BA135:BA141 GA135:GA151 BK136 DD136 DS136:DS138 BK138 BU138:BU141 CO138:CO141 FL138:FL141 EC138:EC143 DD138:DD146 FG138:FG149 BP138:BP158 DN140 DS140:DS149 BK140:BK158 DN142 K142:K158 BU143 CT143 FB143 FL143 BA143:BA146 CO143:CO146 DN144:DN151 CT145:CT146 FL145:FL146 BU145:BU149 EC145:EC149 EM145:EM149 FB145:FB149 FQ145:FQ149 BA148:BA149 CO148:CO149 DD148:DD149 FL148:FL149 CT148:CT154 BA151 BU151:BU154 CO151:CO154 DD151:DD154 DI151:DI154 DS151:DS154 EC151:EC154 EM151:EM154 FG151:FG154 FL151:FL154 FQ151:FQ154 FB151:FB158 BA153:BA154 DN153:DN158 ER153:ER158 EW153:EW158 GA153:GA158 CO156 DD156 FL156 BA156:BA158 BU156:BU158 CT156:CT158 DI156:DI158 DS156:DS158 EC156:EC158 EM156:EM158 FG156:FG158 FQ156:FQ158 CO158 DD158 FL158">
    <cfRule type="expression" dxfId="431" priority="772">
      <formula>"O7&gt;=91"</formula>
    </cfRule>
  </conditionalFormatting>
  <conditionalFormatting sqref="FV115">
    <cfRule type="expression" dxfId="430" priority="771">
      <formula>"O7&gt;=91"</formula>
    </cfRule>
  </conditionalFormatting>
  <conditionalFormatting sqref="FV118">
    <cfRule type="expression" dxfId="429" priority="770">
      <formula>"O7&gt;=91"</formula>
    </cfRule>
  </conditionalFormatting>
  <conditionalFormatting sqref="FV126">
    <cfRule type="expression" dxfId="428" priority="769">
      <formula>"O7&gt;=91"</formula>
    </cfRule>
  </conditionalFormatting>
  <conditionalFormatting sqref="FV141 FV143">
    <cfRule type="containsText" dxfId="427" priority="562" operator="containsText" text="VIGENTE">
      <formula>NOT(ISERROR(SEARCH("VIGENTE",FV141)))</formula>
    </cfRule>
    <cfRule type="containsText" dxfId="426" priority="563" operator="containsText" text="VENCIDA">
      <formula>NOT(ISERROR(SEARCH("VENCIDA",FV141)))</formula>
    </cfRule>
    <cfRule type="containsText" dxfId="425" priority="561" operator="containsText" text="POR VENCER">
      <formula>NOT(ISERROR(SEARCH("POR VENCER",FV141)))</formula>
    </cfRule>
    <cfRule type="containsText" dxfId="424" priority="560" operator="containsText" text="NO APLICA">
      <formula>NOT(ISERROR(SEARCH("NO APLICA",FV141)))</formula>
    </cfRule>
  </conditionalFormatting>
  <conditionalFormatting sqref="FV180">
    <cfRule type="containsText" dxfId="423" priority="766" operator="containsText" text="VENCIDA">
      <formula>NOT(ISERROR(SEARCH("VENCIDA",FV180)))</formula>
    </cfRule>
    <cfRule type="containsText" dxfId="422" priority="768" operator="containsText" text="NO APLICA">
      <formula>NOT(ISERROR(SEARCH("NO APLICA",FV180)))</formula>
    </cfRule>
    <cfRule type="containsText" dxfId="421" priority="767" operator="containsText" text="VIGENTE">
      <formula>NOT(ISERROR(SEARCH("VIGENTE",FV180)))</formula>
    </cfRule>
  </conditionalFormatting>
  <conditionalFormatting sqref="FW103 FW106 FW113:FW114 FW127">
    <cfRule type="expression" dxfId="420" priority="765">
      <formula>"O7&gt;=91"</formula>
    </cfRule>
  </conditionalFormatting>
  <conditionalFormatting sqref="FW116 FW119 FW122 FW124:FW125 FV130:FV132 FV134:FV136 FV137:FW138 FV139:FV140 FV142 FV144:FV149 FV151:FV154 FV156:FV158">
    <cfRule type="expression" dxfId="419" priority="764">
      <formula>"O7&gt;=91"</formula>
    </cfRule>
  </conditionalFormatting>
  <conditionalFormatting sqref="GA36:GA37 GA172">
    <cfRule type="containsText" dxfId="418" priority="558" operator="containsText" text="VIGENTE">
      <formula>NOT(ISERROR(SEARCH("VIGENTE",GA36)))</formula>
    </cfRule>
  </conditionalFormatting>
  <conditionalFormatting sqref="GA37 GA172">
    <cfRule type="containsText" dxfId="417" priority="559" operator="containsText" text="VENCIDA">
      <formula>NOT(ISERROR(SEARCH("VENCIDA",GA37)))</formula>
    </cfRule>
    <cfRule type="containsText" dxfId="416" priority="556" operator="containsText" text="NO APLICA">
      <formula>NOT(ISERROR(SEARCH("NO APLICA",GA37)))</formula>
    </cfRule>
    <cfRule type="containsText" dxfId="415" priority="557" operator="containsText" text="POR VENCER">
      <formula>NOT(ISERROR(SEARCH("POR VENCER",GA37)))</formula>
    </cfRule>
  </conditionalFormatting>
  <conditionalFormatting sqref="GA39:GA41">
    <cfRule type="containsText" dxfId="414" priority="288" operator="containsText" text="VIGENTE">
      <formula>NOT(ISERROR(SEARCH("VIGENTE",GA39)))</formula>
    </cfRule>
  </conditionalFormatting>
  <conditionalFormatting sqref="GA40:GA41">
    <cfRule type="containsText" dxfId="413" priority="289" operator="containsText" text="VENCIDA">
      <formula>NOT(ISERROR(SEARCH("VENCIDA",GA40)))</formula>
    </cfRule>
    <cfRule type="containsText" dxfId="412" priority="287" operator="containsText" text="POR VENCER">
      <formula>NOT(ISERROR(SEARCH("POR VENCER",GA40)))</formula>
    </cfRule>
    <cfRule type="containsText" dxfId="411" priority="286" operator="containsText" text="NO APLICA">
      <formula>NOT(ISERROR(SEARCH("NO APLICA",GA40)))</formula>
    </cfRule>
  </conditionalFormatting>
  <conditionalFormatting sqref="GA43:GA46">
    <cfRule type="containsText" dxfId="410" priority="283" operator="containsText" text="NO APLICA">
      <formula>NOT(ISERROR(SEARCH("NO APLICA",GA43)))</formula>
    </cfRule>
  </conditionalFormatting>
  <conditionalFormatting sqref="GA46">
    <cfRule type="containsText" dxfId="409" priority="285" operator="containsText" text="VENCIDA">
      <formula>NOT(ISERROR(SEARCH("VENCIDA",GA46)))</formula>
    </cfRule>
    <cfRule type="containsText" dxfId="408" priority="284" operator="containsText" text="POR VENCER">
      <formula>NOT(ISERROR(SEARCH("POR VENCER",GA46)))</formula>
    </cfRule>
  </conditionalFormatting>
  <conditionalFormatting sqref="GA134">
    <cfRule type="containsText" dxfId="407" priority="280" operator="containsText" text="POR VENCER">
      <formula>NOT(ISERROR(SEARCH("POR VENCER",GA134)))</formula>
    </cfRule>
    <cfRule type="containsText" dxfId="406" priority="279" operator="containsText" text="NO APLICA">
      <formula>NOT(ISERROR(SEARCH("NO APLICA",GA134)))</formula>
    </cfRule>
    <cfRule type="containsText" dxfId="405" priority="281" operator="containsText" text="VIGENTE">
      <formula>NOT(ISERROR(SEARCH("VIGENTE",GA134)))</formula>
    </cfRule>
    <cfRule type="containsText" dxfId="404" priority="282" operator="containsText" text="VENCIDA">
      <formula>NOT(ISERROR(SEARCH("VENCIDA",GA134)))</formula>
    </cfRule>
  </conditionalFormatting>
  <conditionalFormatting sqref="GA152">
    <cfRule type="containsText" dxfId="403" priority="275" operator="containsText" text="NO APLICA">
      <formula>NOT(ISERROR(SEARCH("NO APLICA",GA152)))</formula>
    </cfRule>
    <cfRule type="containsText" dxfId="402" priority="276" operator="containsText" text="POR VENCER">
      <formula>NOT(ISERROR(SEARCH("POR VENCER",GA152)))</formula>
    </cfRule>
    <cfRule type="containsText" dxfId="401" priority="277" operator="containsText" text="VIGENTE">
      <formula>NOT(ISERROR(SEARCH("VIGENTE",GA152)))</formula>
    </cfRule>
    <cfRule type="containsText" dxfId="400" priority="278" operator="containsText" text="VENCIDA">
      <formula>NOT(ISERROR(SEARCH("VENCIDA",GA152)))</formula>
    </cfRule>
  </conditionalFormatting>
  <conditionalFormatting sqref="GA182">
    <cfRule type="containsText" dxfId="399" priority="274" operator="containsText" text="VENCIDA">
      <formula>NOT(ISERROR(SEARCH("VENCIDA",GA182)))</formula>
    </cfRule>
    <cfRule type="containsText" dxfId="398" priority="271" operator="containsText" text="NO APLICA">
      <formula>NOT(ISERROR(SEARCH("NO APLICA",GA182)))</formula>
    </cfRule>
    <cfRule type="containsText" dxfId="397" priority="272" operator="containsText" text="POR VENCER">
      <formula>NOT(ISERROR(SEARCH("POR VENCER",GA182)))</formula>
    </cfRule>
    <cfRule type="containsText" dxfId="396" priority="273" operator="containsText" text="VIGENTE">
      <formula>NOT(ISERROR(SEARCH("VIGENTE",GA182)))</formula>
    </cfRule>
  </conditionalFormatting>
  <conditionalFormatting sqref="GA239:GA240">
    <cfRule type="expression" dxfId="395" priority="73">
      <formula>"O7&gt;=91"</formula>
    </cfRule>
  </conditionalFormatting>
  <conditionalFormatting sqref="GK4 GK6:GK22 GK30:GK31 GK33:GK37 GK80:GK85">
    <cfRule type="containsText" dxfId="394" priority="762" operator="containsText" text="VENCIDA">
      <formula>NOT(ISERROR(SEARCH("VENCIDA",GK4)))</formula>
    </cfRule>
  </conditionalFormatting>
  <conditionalFormatting sqref="GK4 GK30:GK31 GK33:GK37 GK80:GK85 GK6:GK22">
    <cfRule type="containsText" dxfId="393" priority="761" operator="containsText" text="VIGENTE">
      <formula>NOT(ISERROR(SEARCH("VIGENTE",GK4)))</formula>
    </cfRule>
  </conditionalFormatting>
  <conditionalFormatting sqref="GK4 GK30:GK31 GK33:GK37 GK80:GK85">
    <cfRule type="containsText" dxfId="392" priority="760" operator="containsText" text="POR VENCER">
      <formula>NOT(ISERROR(SEARCH("POR VENCER",GK4)))</formula>
    </cfRule>
    <cfRule type="containsText" dxfId="391" priority="759" operator="containsText" text="NO APLICA">
      <formula>NOT(ISERROR(SEARCH("NO APLICA",GK4)))</formula>
    </cfRule>
  </conditionalFormatting>
  <conditionalFormatting sqref="GK6:GK22">
    <cfRule type="containsText" dxfId="390" priority="758" operator="containsText" text="POR VENCER">
      <formula>NOT(ISERROR(SEARCH("POR VENCER",GK6)))</formula>
    </cfRule>
    <cfRule type="containsText" dxfId="389" priority="757" operator="containsText" text="NO APLICA">
      <formula>NOT(ISERROR(SEARCH("NO APLICA",GK6)))</formula>
    </cfRule>
  </conditionalFormatting>
  <conditionalFormatting sqref="GK23">
    <cfRule type="expression" dxfId="388" priority="756">
      <formula>"O7&gt;=91"</formula>
    </cfRule>
  </conditionalFormatting>
  <conditionalFormatting sqref="GK29 GK79 GK143:GL143 GK145:GK150 GK151:GL156 GK158:GL158">
    <cfRule type="expression" dxfId="387" priority="755">
      <formula>"O7&gt;=91"</formula>
    </cfRule>
  </conditionalFormatting>
  <conditionalFormatting sqref="GK32">
    <cfRule type="expression" dxfId="386" priority="754">
      <formula>"O7&gt;=91"</formula>
    </cfRule>
  </conditionalFormatting>
  <conditionalFormatting sqref="GK39:GK78">
    <cfRule type="containsText" dxfId="385" priority="200" operator="containsText" text="VIGENTE">
      <formula>NOT(ISERROR(SEARCH("VIGENTE",GK39)))</formula>
    </cfRule>
    <cfRule type="containsText" dxfId="384" priority="198" operator="containsText" text="NO APLICA">
      <formula>NOT(ISERROR(SEARCH("NO APLICA",GK39)))</formula>
    </cfRule>
  </conditionalFormatting>
  <conditionalFormatting sqref="GK45">
    <cfRule type="containsText" dxfId="383" priority="201" operator="containsText" text="VENCIDA">
      <formula>NOT(ISERROR(SEARCH("VENCIDA",GK45)))</formula>
    </cfRule>
    <cfRule type="containsText" dxfId="382" priority="199" operator="containsText" text="POR VENCER">
      <formula>NOT(ISERROR(SEARCH("POR VENCER",GK45)))</formula>
    </cfRule>
  </conditionalFormatting>
  <conditionalFormatting sqref="GK86">
    <cfRule type="expression" dxfId="381" priority="753">
      <formula>"O7&gt;=91"</formula>
    </cfRule>
  </conditionalFormatting>
  <conditionalFormatting sqref="GK87:GK129">
    <cfRule type="containsText" dxfId="380" priority="194" operator="containsText" text="NO APLICA">
      <formula>NOT(ISERROR(SEARCH("NO APLICA",GK87)))</formula>
    </cfRule>
    <cfRule type="containsText" dxfId="379" priority="195" operator="containsText" text="POR VENCER">
      <formula>NOT(ISERROR(SEARCH("POR VENCER",GK87)))</formula>
    </cfRule>
    <cfRule type="containsText" dxfId="378" priority="196" operator="containsText" text="VIGENTE">
      <formula>NOT(ISERROR(SEARCH("VIGENTE",GK87)))</formula>
    </cfRule>
    <cfRule type="containsText" dxfId="377" priority="197" operator="containsText" text="VENCIDA">
      <formula>NOT(ISERROR(SEARCH("VENCIDA",GK87)))</formula>
    </cfRule>
  </conditionalFormatting>
  <conditionalFormatting sqref="GK142 GK144">
    <cfRule type="containsText" dxfId="376" priority="191" operator="containsText" text="POR VENCER">
      <formula>NOT(ISERROR(SEARCH("POR VENCER",GK142)))</formula>
    </cfRule>
    <cfRule type="containsText" dxfId="375" priority="192" operator="containsText" text="VIGENTE">
      <formula>NOT(ISERROR(SEARCH("VIGENTE",GK142)))</formula>
    </cfRule>
    <cfRule type="containsText" dxfId="374" priority="193" operator="containsText" text="VENCIDA">
      <formula>NOT(ISERROR(SEARCH("VENCIDA",GK142)))</formula>
    </cfRule>
    <cfRule type="containsText" dxfId="373" priority="190" operator="containsText" text="NO APLICA">
      <formula>NOT(ISERROR(SEARCH("NO APLICA",GK142)))</formula>
    </cfRule>
  </conditionalFormatting>
  <conditionalFormatting sqref="GK157 GK175 GK191">
    <cfRule type="containsText" dxfId="372" priority="189" operator="containsText" text="VENCIDA">
      <formula>NOT(ISERROR(SEARCH("VENCIDA",GK157)))</formula>
    </cfRule>
    <cfRule type="containsText" dxfId="371" priority="188" operator="containsText" text="VIGENTE">
      <formula>NOT(ISERROR(SEARCH("VIGENTE",GK157)))</formula>
    </cfRule>
    <cfRule type="containsText" dxfId="370" priority="187" operator="containsText" text="POR VENCER">
      <formula>NOT(ISERROR(SEARCH("POR VENCER",GK157)))</formula>
    </cfRule>
    <cfRule type="containsText" dxfId="369" priority="186" operator="containsText" text="NO APLICA">
      <formula>NOT(ISERROR(SEARCH("NO APLICA",GK157)))</formula>
    </cfRule>
  </conditionalFormatting>
  <conditionalFormatting sqref="GK180">
    <cfRule type="containsText" dxfId="368" priority="752" operator="containsText" text="VIGENTE">
      <formula>NOT(ISERROR(SEARCH("VIGENTE",GK180)))</formula>
    </cfRule>
    <cfRule type="containsText" dxfId="367" priority="751" operator="containsText" text="POR VENCER">
      <formula>NOT(ISERROR(SEARCH("POR VENCER",GK180)))</formula>
    </cfRule>
  </conditionalFormatting>
  <conditionalFormatting sqref="GL13:GL14 GK130:GK133">
    <cfRule type="expression" dxfId="366" priority="750">
      <formula>"O7&gt;=91"</formula>
    </cfRule>
  </conditionalFormatting>
  <conditionalFormatting sqref="GL16:GL24 GL26:GL37 GL52:GL96 CJ57:CJ158 GL98 GL101 GL103:GL106 GL108:GL109 GL111 GL113:GL115">
    <cfRule type="expression" dxfId="365" priority="749">
      <formula>"O7&gt;=91"</formula>
    </cfRule>
  </conditionalFormatting>
  <conditionalFormatting sqref="GL39:GL44 GL117:GL127 GL131:GL132 GK134:GL141 GL145 GL172:GL173 GL178 GL182 GL186">
    <cfRule type="expression" dxfId="364" priority="372">
      <formula>"O7&gt;=91"</formula>
    </cfRule>
  </conditionalFormatting>
  <conditionalFormatting sqref="GL46 GL48:GL50 F135 F137:F140 F142:F145 F147:F152 F154:F162">
    <cfRule type="expression" dxfId="363" priority="1066">
      <formula>"O7&gt;=91"</formula>
    </cfRule>
  </conditionalFormatting>
  <conditionalFormatting sqref="GL129">
    <cfRule type="expression" dxfId="362" priority="748">
      <formula>"O7&gt;=91"</formula>
    </cfRule>
  </conditionalFormatting>
  <conditionalFormatting sqref="GL147 GL180">
    <cfRule type="expression" dxfId="361" priority="129">
      <formula>"O7&gt;=91"</formula>
    </cfRule>
  </conditionalFormatting>
  <conditionalFormatting sqref="GL149:GL150 GL238">
    <cfRule type="expression" dxfId="360" priority="181">
      <formula>"O7&gt;=91"</formula>
    </cfRule>
  </conditionalFormatting>
  <conditionalFormatting sqref="GO4:GO240">
    <cfRule type="containsText" dxfId="359" priority="747" operator="containsText" text="NO APLICA">
      <formula>NOT(ISERROR(SEARCH("NO APLICA",GO4)))</formula>
    </cfRule>
  </conditionalFormatting>
  <conditionalFormatting sqref="GP132:GP133">
    <cfRule type="expression" dxfId="358" priority="746">
      <formula>"O7&gt;=91"</formula>
    </cfRule>
  </conditionalFormatting>
  <conditionalFormatting sqref="GT73">
    <cfRule type="containsText" dxfId="357" priority="455" operator="containsText" text="VIGENTE">
      <formula>NOT(ISERROR(SEARCH("VIGENTE",GT73)))</formula>
    </cfRule>
    <cfRule type="containsText" dxfId="356" priority="454" operator="containsText" text="PROGRAMAR">
      <formula>NOT(ISERROR(SEARCH("PROGRAMAR",GT73)))</formula>
    </cfRule>
    <cfRule type="containsText" dxfId="355" priority="453" operator="containsText" text="VENCIDA">
      <formula>NOT(ISERROR(SEARCH("VENCIDA",GT73)))</formula>
    </cfRule>
    <cfRule type="containsText" dxfId="354" priority="458" operator="containsText" text="VENCIDA">
      <formula>NOT(ISERROR(SEARCH("VENCIDA",GT73)))</formula>
    </cfRule>
    <cfRule type="containsText" dxfId="353" priority="456" operator="containsText" text="NO APLICA">
      <formula>NOT(ISERROR(SEARCH("NO APLICA",GT73)))</formula>
    </cfRule>
    <cfRule type="containsText" dxfId="352" priority="457" operator="containsText" text="POR VENCER">
      <formula>NOT(ISERROR(SEARCH("POR VENCER",GT73)))</formula>
    </cfRule>
    <cfRule type="containsText" dxfId="351" priority="452" operator="containsText" text="POR VENCER">
      <formula>NOT(ISERROR(SEARCH("POR VENCER",GT73)))</formula>
    </cfRule>
    <cfRule type="containsText" dxfId="350" priority="451" operator="containsText" text="NO APLICA">
      <formula>NOT(ISERROR(SEARCH("NO APLICA",GT73)))</formula>
    </cfRule>
    <cfRule type="containsText" dxfId="349" priority="450" operator="containsText" text="VIGENTE">
      <formula>NOT(ISERROR(SEARCH("VIGENTE",GT73)))</formula>
    </cfRule>
    <cfRule type="containsText" dxfId="348" priority="459" operator="containsText" text="PROGRAMAR">
      <formula>NOT(ISERROR(SEARCH("PROGRAMAR",GT73)))</formula>
    </cfRule>
  </conditionalFormatting>
  <conditionalFormatting sqref="GT109 GT176">
    <cfRule type="containsText" dxfId="347" priority="431" operator="containsText" text="NO APLICA">
      <formula>NOT(ISERROR(SEARCH("NO APLICA",GT109)))</formula>
    </cfRule>
    <cfRule type="containsText" dxfId="346" priority="432" operator="containsText" text="POR VENCER">
      <formula>NOT(ISERROR(SEARCH("POR VENCER",GT109)))</formula>
    </cfRule>
    <cfRule type="containsText" dxfId="345" priority="433" operator="containsText" text="VENCIDA">
      <formula>NOT(ISERROR(SEARCH("VENCIDA",GT109)))</formula>
    </cfRule>
    <cfRule type="containsText" dxfId="344" priority="434" operator="containsText" text="PROGRAMAR">
      <formula>NOT(ISERROR(SEARCH("PROGRAMAR",GT109)))</formula>
    </cfRule>
    <cfRule type="containsText" dxfId="343" priority="435" operator="containsText" text="VIGENTE">
      <formula>NOT(ISERROR(SEARCH("VIGENTE",GT109)))</formula>
    </cfRule>
    <cfRule type="containsText" dxfId="342" priority="436" operator="containsText" text="NO APLICA">
      <formula>NOT(ISERROR(SEARCH("NO APLICA",GT109)))</formula>
    </cfRule>
    <cfRule type="containsText" dxfId="341" priority="437" operator="containsText" text="POR VENCER">
      <formula>NOT(ISERROR(SEARCH("POR VENCER",GT109)))</formula>
    </cfRule>
    <cfRule type="containsText" dxfId="340" priority="438" operator="containsText" text="VENCIDA">
      <formula>NOT(ISERROR(SEARCH("VENCIDA",GT109)))</formula>
    </cfRule>
    <cfRule type="containsText" dxfId="339" priority="439" operator="containsText" text="PROGRAMAR">
      <formula>NOT(ISERROR(SEARCH("PROGRAMAR",GT109)))</formula>
    </cfRule>
    <cfRule type="containsText" dxfId="338" priority="440" operator="containsText" text="VIGENTE">
      <formula>NOT(ISERROR(SEARCH("VIGENTE",GT109)))</formula>
    </cfRule>
    <cfRule type="containsText" dxfId="337" priority="441" operator="containsText" text="NO APLICA">
      <formula>NOT(ISERROR(SEARCH("NO APLICA",GT109)))</formula>
    </cfRule>
    <cfRule type="containsText" dxfId="336" priority="443" operator="containsText" text="VENCIDA">
      <formula>NOT(ISERROR(SEARCH("VENCIDA",GT109)))</formula>
    </cfRule>
    <cfRule type="containsText" dxfId="335" priority="444" operator="containsText" text="PROGRAMAR">
      <formula>NOT(ISERROR(SEARCH("PROGRAMAR",GT109)))</formula>
    </cfRule>
    <cfRule type="containsText" dxfId="334" priority="445" operator="containsText" text="VIGENTE">
      <formula>NOT(ISERROR(SEARCH("VIGENTE",GT109)))</formula>
    </cfRule>
    <cfRule type="containsText" dxfId="333" priority="447" operator="containsText" text="POR VENCER">
      <formula>NOT(ISERROR(SEARCH("POR VENCER",GT109)))</formula>
    </cfRule>
    <cfRule type="containsText" dxfId="332" priority="446" operator="containsText" text="NO APLICA">
      <formula>NOT(ISERROR(SEARCH("NO APLICA",GT109)))</formula>
    </cfRule>
    <cfRule type="containsText" dxfId="331" priority="430" operator="containsText" text="VIGENTE">
      <formula>NOT(ISERROR(SEARCH("VIGENTE",GT109)))</formula>
    </cfRule>
    <cfRule type="containsText" dxfId="330" priority="449" operator="containsText" text="PROGRAMAR">
      <formula>NOT(ISERROR(SEARCH("PROGRAMAR",GT109)))</formula>
    </cfRule>
    <cfRule type="containsText" dxfId="329" priority="448" operator="containsText" text="VENCIDA">
      <formula>NOT(ISERROR(SEARCH("VENCIDA",GT109)))</formula>
    </cfRule>
    <cfRule type="containsText" dxfId="328" priority="442" operator="containsText" text="POR VENCER">
      <formula>NOT(ISERROR(SEARCH("POR VENCER",GT109)))</formula>
    </cfRule>
  </conditionalFormatting>
  <conditionalFormatting sqref="GY73">
    <cfRule type="containsText" dxfId="327" priority="484" operator="containsText" text="PROGRAMAR">
      <formula>NOT(ISERROR(SEARCH("PROGRAMAR",GY73)))</formula>
    </cfRule>
    <cfRule type="containsText" dxfId="326" priority="489" operator="containsText" text="PROGRAMAR">
      <formula>NOT(ISERROR(SEARCH("PROGRAMAR",GY73)))</formula>
    </cfRule>
    <cfRule type="containsText" dxfId="325" priority="488" operator="containsText" text="VENCIDA">
      <formula>NOT(ISERROR(SEARCH("VENCIDA",GY73)))</formula>
    </cfRule>
    <cfRule type="containsText" dxfId="324" priority="487" operator="containsText" text="POR VENCER">
      <formula>NOT(ISERROR(SEARCH("POR VENCER",GY73)))</formula>
    </cfRule>
    <cfRule type="containsText" dxfId="323" priority="486" operator="containsText" text="NO APLICA">
      <formula>NOT(ISERROR(SEARCH("NO APLICA",GY73)))</formula>
    </cfRule>
    <cfRule type="containsText" dxfId="322" priority="483" operator="containsText" text="VENCIDA">
      <formula>NOT(ISERROR(SEARCH("VENCIDA",GY73)))</formula>
    </cfRule>
    <cfRule type="containsText" dxfId="321" priority="482" operator="containsText" text="POR VENCER">
      <formula>NOT(ISERROR(SEARCH("POR VENCER",GY73)))</formula>
    </cfRule>
    <cfRule type="containsText" dxfId="320" priority="481" operator="containsText" text="NO APLICA">
      <formula>NOT(ISERROR(SEARCH("NO APLICA",GY73)))</formula>
    </cfRule>
    <cfRule type="containsText" dxfId="319" priority="480" operator="containsText" text="VIGENTE">
      <formula>NOT(ISERROR(SEARCH("VIGENTE",GY73)))</formula>
    </cfRule>
    <cfRule type="containsText" dxfId="318" priority="485" operator="containsText" text="VIGENTE">
      <formula>NOT(ISERROR(SEARCH("VIGENTE",GY73)))</formula>
    </cfRule>
  </conditionalFormatting>
  <conditionalFormatting sqref="GY106 GY109 GY116 GY176">
    <cfRule type="containsText" dxfId="317" priority="463" operator="containsText" text="VENCIDA">
      <formula>NOT(ISERROR(SEARCH("VENCIDA",GY106)))</formula>
    </cfRule>
    <cfRule type="containsText" dxfId="316" priority="467" operator="containsText" text="POR VENCER">
      <formula>NOT(ISERROR(SEARCH("POR VENCER",GY106)))</formula>
    </cfRule>
    <cfRule type="containsText" dxfId="315" priority="478" operator="containsText" text="VENCIDA">
      <formula>NOT(ISERROR(SEARCH("VENCIDA",GY106)))</formula>
    </cfRule>
    <cfRule type="containsText" dxfId="314" priority="464" operator="containsText" text="PROGRAMAR">
      <formula>NOT(ISERROR(SEARCH("PROGRAMAR",GY106)))</formula>
    </cfRule>
    <cfRule type="containsText" dxfId="313" priority="479" operator="containsText" text="PROGRAMAR">
      <formula>NOT(ISERROR(SEARCH("PROGRAMAR",GY106)))</formula>
    </cfRule>
    <cfRule type="containsText" dxfId="312" priority="465" operator="containsText" text="VIGENTE">
      <formula>NOT(ISERROR(SEARCH("VIGENTE",GY106)))</formula>
    </cfRule>
    <cfRule type="containsText" dxfId="311" priority="477" operator="containsText" text="POR VENCER">
      <formula>NOT(ISERROR(SEARCH("POR VENCER",GY106)))</formula>
    </cfRule>
    <cfRule type="containsText" dxfId="310" priority="476" operator="containsText" text="NO APLICA">
      <formula>NOT(ISERROR(SEARCH("NO APLICA",GY106)))</formula>
    </cfRule>
    <cfRule type="containsText" dxfId="309" priority="475" operator="containsText" text="VIGENTE">
      <formula>NOT(ISERROR(SEARCH("VIGENTE",GY106)))</formula>
    </cfRule>
    <cfRule type="containsText" dxfId="308" priority="474" operator="containsText" text="PROGRAMAR">
      <formula>NOT(ISERROR(SEARCH("PROGRAMAR",GY106)))</formula>
    </cfRule>
    <cfRule type="containsText" dxfId="307" priority="473" operator="containsText" text="VENCIDA">
      <formula>NOT(ISERROR(SEARCH("VENCIDA",GY106)))</formula>
    </cfRule>
    <cfRule type="containsText" dxfId="306" priority="472" operator="containsText" text="POR VENCER">
      <formula>NOT(ISERROR(SEARCH("POR VENCER",GY106)))</formula>
    </cfRule>
    <cfRule type="containsText" dxfId="305" priority="471" operator="containsText" text="NO APLICA">
      <formula>NOT(ISERROR(SEARCH("NO APLICA",GY106)))</formula>
    </cfRule>
    <cfRule type="containsText" dxfId="304" priority="470" operator="containsText" text="VIGENTE">
      <formula>NOT(ISERROR(SEARCH("VIGENTE",GY106)))</formula>
    </cfRule>
    <cfRule type="containsText" dxfId="303" priority="460" operator="containsText" text="VIGENTE">
      <formula>NOT(ISERROR(SEARCH("VIGENTE",GY106)))</formula>
    </cfRule>
    <cfRule type="containsText" dxfId="302" priority="461" operator="containsText" text="NO APLICA">
      <formula>NOT(ISERROR(SEARCH("NO APLICA",GY106)))</formula>
    </cfRule>
    <cfRule type="containsText" dxfId="301" priority="462" operator="containsText" text="POR VENCER">
      <formula>NOT(ISERROR(SEARCH("POR VENCER",GY106)))</formula>
    </cfRule>
    <cfRule type="containsText" dxfId="300" priority="466" operator="containsText" text="NO APLICA">
      <formula>NOT(ISERROR(SEARCH("NO APLICA",GY106)))</formula>
    </cfRule>
    <cfRule type="containsText" dxfId="299" priority="468" operator="containsText" text="VENCIDA">
      <formula>NOT(ISERROR(SEARCH("VENCIDA",GY106)))</formula>
    </cfRule>
    <cfRule type="containsText" dxfId="298" priority="469" operator="containsText" text="PROGRAMAR">
      <formula>NOT(ISERROR(SEARCH("PROGRAMAR",GY106)))</formula>
    </cfRule>
  </conditionalFormatting>
  <conditionalFormatting sqref="HD73 HD99 HD106 HD109 HD176">
    <cfRule type="containsText" dxfId="297" priority="499" operator="containsText" text="PROGRAMAR">
      <formula>NOT(ISERROR(SEARCH("PROGRAMAR",HD73)))</formula>
    </cfRule>
    <cfRule type="containsText" dxfId="296" priority="490" operator="containsText" text="VIGENTE">
      <formula>NOT(ISERROR(SEARCH("VIGENTE",HD73)))</formula>
    </cfRule>
    <cfRule type="containsText" dxfId="295" priority="492" operator="containsText" text="POR VENCER">
      <formula>NOT(ISERROR(SEARCH("POR VENCER",HD73)))</formula>
    </cfRule>
    <cfRule type="containsText" dxfId="294" priority="498" operator="containsText" text="VENCIDA">
      <formula>NOT(ISERROR(SEARCH("VENCIDA",HD73)))</formula>
    </cfRule>
    <cfRule type="containsText" dxfId="293" priority="497" operator="containsText" text="POR VENCER">
      <formula>NOT(ISERROR(SEARCH("POR VENCER",HD73)))</formula>
    </cfRule>
    <cfRule type="containsText" dxfId="292" priority="496" operator="containsText" text="NO APLICA">
      <formula>NOT(ISERROR(SEARCH("NO APLICA",HD73)))</formula>
    </cfRule>
    <cfRule type="containsText" dxfId="291" priority="495" operator="containsText" text="VIGENTE">
      <formula>NOT(ISERROR(SEARCH("VIGENTE",HD73)))</formula>
    </cfRule>
    <cfRule type="containsText" dxfId="290" priority="494" operator="containsText" text="PROGRAMAR">
      <formula>NOT(ISERROR(SEARCH("PROGRAMAR",HD73)))</formula>
    </cfRule>
    <cfRule type="containsText" dxfId="289" priority="491" operator="containsText" text="NO APLICA">
      <formula>NOT(ISERROR(SEARCH("NO APLICA",HD73)))</formula>
    </cfRule>
    <cfRule type="containsText" dxfId="288" priority="493" operator="containsText" text="VENCIDA">
      <formula>NOT(ISERROR(SEARCH("VENCIDA",HD73)))</formula>
    </cfRule>
  </conditionalFormatting>
  <conditionalFormatting sqref="HG239:HG240">
    <cfRule type="containsText" dxfId="287" priority="69" operator="containsText" text="POR VENCER">
      <formula>NOT(ISERROR(SEARCH("POR VENCER",HG239)))</formula>
    </cfRule>
  </conditionalFormatting>
  <conditionalFormatting sqref="HG239:HH240">
    <cfRule type="containsText" dxfId="286" priority="70" operator="containsText" text="VENCIDA">
      <formula>NOT(ISERROR(SEARCH("VENCIDA",HG239)))</formula>
    </cfRule>
    <cfRule type="containsText" dxfId="285" priority="71" operator="containsText" text="NO APLICA">
      <formula>NOT(ISERROR(SEARCH("NO APLICA",HG239)))</formula>
    </cfRule>
    <cfRule type="containsText" dxfId="284" priority="41" operator="containsText" text="VIGENTE">
      <formula>NOT(ISERROR(SEARCH("VIGENTE",HG239)))</formula>
    </cfRule>
  </conditionalFormatting>
  <conditionalFormatting sqref="HI4:HI240 HI1:HI2">
    <cfRule type="containsText" dxfId="283" priority="555" operator="containsText" text="PROGRAMAR">
      <formula>NOT(ISERROR(SEARCH("PROGRAMAR",HI1)))</formula>
    </cfRule>
  </conditionalFormatting>
  <conditionalFormatting sqref="HI23">
    <cfRule type="containsText" dxfId="282" priority="551" operator="containsText" text="VIGENTE">
      <formula>NOT(ISERROR(SEARCH("VIGENTE",HI23)))</formula>
    </cfRule>
    <cfRule type="containsText" dxfId="281" priority="552" operator="containsText" text="NO APLICA">
      <formula>NOT(ISERROR(SEARCH("NO APLICA",HI23)))</formula>
    </cfRule>
    <cfRule type="containsText" dxfId="280" priority="553" operator="containsText" text="POR VENCER">
      <formula>NOT(ISERROR(SEARCH("POR VENCER",HI23)))</formula>
    </cfRule>
    <cfRule type="containsText" dxfId="279" priority="554" operator="containsText" text="VENCIDA">
      <formula>NOT(ISERROR(SEARCH("VENCIDA",HI23)))</formula>
    </cfRule>
  </conditionalFormatting>
  <conditionalFormatting sqref="HI45">
    <cfRule type="containsText" dxfId="278" priority="550" operator="containsText" text="VENCIDA">
      <formula>NOT(ISERROR(SEARCH("VENCIDA",HI45)))</formula>
    </cfRule>
    <cfRule type="containsText" dxfId="277" priority="548" operator="containsText" text="NO APLICA">
      <formula>NOT(ISERROR(SEARCH("NO APLICA",HI45)))</formula>
    </cfRule>
    <cfRule type="containsText" dxfId="276" priority="547" operator="containsText" text="VIGENTE">
      <formula>NOT(ISERROR(SEARCH("VIGENTE",HI45)))</formula>
    </cfRule>
    <cfRule type="containsText" dxfId="275" priority="549" operator="containsText" text="POR VENCER">
      <formula>NOT(ISERROR(SEARCH("POR VENCER",HI45)))</formula>
    </cfRule>
  </conditionalFormatting>
  <conditionalFormatting sqref="HI73">
    <cfRule type="containsText" dxfId="274" priority="543" operator="containsText" text="VIGENTE">
      <formula>NOT(ISERROR(SEARCH("VIGENTE",HI73)))</formula>
    </cfRule>
    <cfRule type="containsText" dxfId="273" priority="546" operator="containsText" text="VENCIDA">
      <formula>NOT(ISERROR(SEARCH("VENCIDA",HI73)))</formula>
    </cfRule>
    <cfRule type="containsText" dxfId="272" priority="545" operator="containsText" text="POR VENCER">
      <formula>NOT(ISERROR(SEARCH("POR VENCER",HI73)))</formula>
    </cfRule>
    <cfRule type="containsText" dxfId="271" priority="544" operator="containsText" text="NO APLICA">
      <formula>NOT(ISERROR(SEARCH("NO APLICA",HI73)))</formula>
    </cfRule>
  </conditionalFormatting>
  <conditionalFormatting sqref="HI85">
    <cfRule type="containsText" dxfId="270" priority="539" operator="containsText" text="VIGENTE">
      <formula>NOT(ISERROR(SEARCH("VIGENTE",HI85)))</formula>
    </cfRule>
    <cfRule type="containsText" dxfId="269" priority="540" operator="containsText" text="NO APLICA">
      <formula>NOT(ISERROR(SEARCH("NO APLICA",HI85)))</formula>
    </cfRule>
    <cfRule type="containsText" dxfId="268" priority="541" operator="containsText" text="POR VENCER">
      <formula>NOT(ISERROR(SEARCH("POR VENCER",HI85)))</formula>
    </cfRule>
    <cfRule type="containsText" dxfId="267" priority="542" operator="containsText" text="VENCIDA">
      <formula>NOT(ISERROR(SEARCH("VENCIDA",HI85)))</formula>
    </cfRule>
  </conditionalFormatting>
  <conditionalFormatting sqref="HI99">
    <cfRule type="containsText" dxfId="266" priority="538" operator="containsText" text="VENCIDA">
      <formula>NOT(ISERROR(SEARCH("VENCIDA",HI99)))</formula>
    </cfRule>
    <cfRule type="containsText" dxfId="265" priority="537" operator="containsText" text="POR VENCER">
      <formula>NOT(ISERROR(SEARCH("POR VENCER",HI99)))</formula>
    </cfRule>
    <cfRule type="containsText" dxfId="264" priority="535" operator="containsText" text="VIGENTE">
      <formula>NOT(ISERROR(SEARCH("VIGENTE",HI99)))</formula>
    </cfRule>
    <cfRule type="containsText" dxfId="263" priority="536" operator="containsText" text="NO APLICA">
      <formula>NOT(ISERROR(SEARCH("NO APLICA",HI99)))</formula>
    </cfRule>
  </conditionalFormatting>
  <conditionalFormatting sqref="HI106">
    <cfRule type="containsText" dxfId="262" priority="534" operator="containsText" text="VENCIDA">
      <formula>NOT(ISERROR(SEARCH("VENCIDA",HI106)))</formula>
    </cfRule>
    <cfRule type="containsText" dxfId="261" priority="533" operator="containsText" text="POR VENCER">
      <formula>NOT(ISERROR(SEARCH("POR VENCER",HI106)))</formula>
    </cfRule>
    <cfRule type="containsText" dxfId="260" priority="532" operator="containsText" text="NO APLICA">
      <formula>NOT(ISERROR(SEARCH("NO APLICA",HI106)))</formula>
    </cfRule>
    <cfRule type="containsText" dxfId="259" priority="531" operator="containsText" text="VIGENTE">
      <formula>NOT(ISERROR(SEARCH("VIGENTE",HI106)))</formula>
    </cfRule>
  </conditionalFormatting>
  <conditionalFormatting sqref="HI109">
    <cfRule type="containsText" dxfId="258" priority="530" operator="containsText" text="VENCIDA">
      <formula>NOT(ISERROR(SEARCH("VENCIDA",HI109)))</formula>
    </cfRule>
    <cfRule type="containsText" dxfId="257" priority="529" operator="containsText" text="POR VENCER">
      <formula>NOT(ISERROR(SEARCH("POR VENCER",HI109)))</formula>
    </cfRule>
    <cfRule type="containsText" dxfId="256" priority="528" operator="containsText" text="NO APLICA">
      <formula>NOT(ISERROR(SEARCH("NO APLICA",HI109)))</formula>
    </cfRule>
    <cfRule type="containsText" dxfId="255" priority="527" operator="containsText" text="VIGENTE">
      <formula>NOT(ISERROR(SEARCH("VIGENTE",HI109)))</formula>
    </cfRule>
  </conditionalFormatting>
  <conditionalFormatting sqref="HI116">
    <cfRule type="containsText" dxfId="254" priority="524" operator="containsText" text="NO APLICA">
      <formula>NOT(ISERROR(SEARCH("NO APLICA",HI116)))</formula>
    </cfRule>
    <cfRule type="containsText" dxfId="253" priority="526" operator="containsText" text="VENCIDA">
      <formula>NOT(ISERROR(SEARCH("VENCIDA",HI116)))</formula>
    </cfRule>
    <cfRule type="containsText" dxfId="252" priority="523" operator="containsText" text="VIGENTE">
      <formula>NOT(ISERROR(SEARCH("VIGENTE",HI116)))</formula>
    </cfRule>
    <cfRule type="containsText" dxfId="251" priority="525" operator="containsText" text="POR VENCER">
      <formula>NOT(ISERROR(SEARCH("POR VENCER",HI116)))</formula>
    </cfRule>
  </conditionalFormatting>
  <conditionalFormatting sqref="HI176">
    <cfRule type="containsText" dxfId="250" priority="515" operator="containsText" text="VIGENTE">
      <formula>NOT(ISERROR(SEARCH("VIGENTE",HI176)))</formula>
    </cfRule>
    <cfRule type="containsText" dxfId="249" priority="518" operator="containsText" text="VENCIDA">
      <formula>NOT(ISERROR(SEARCH("VENCIDA",HI176)))</formula>
    </cfRule>
    <cfRule type="containsText" dxfId="248" priority="521" operator="containsText" text="POR VENCER">
      <formula>NOT(ISERROR(SEARCH("POR VENCER",HI176)))</formula>
    </cfRule>
    <cfRule type="containsText" dxfId="247" priority="519" operator="containsText" text="VIGENTE">
      <formula>NOT(ISERROR(SEARCH("VIGENTE",HI176)))</formula>
    </cfRule>
    <cfRule type="containsText" dxfId="246" priority="517" operator="containsText" text="POR VENCER">
      <formula>NOT(ISERROR(SEARCH("POR VENCER",HI176)))</formula>
    </cfRule>
    <cfRule type="containsText" dxfId="245" priority="522" operator="containsText" text="VENCIDA">
      <formula>NOT(ISERROR(SEARCH("VENCIDA",HI176)))</formula>
    </cfRule>
    <cfRule type="containsText" dxfId="244" priority="516" operator="containsText" text="NO APLICA">
      <formula>NOT(ISERROR(SEARCH("NO APLICA",HI176)))</formula>
    </cfRule>
    <cfRule type="containsText" dxfId="243" priority="520" operator="containsText" text="NO APLICA">
      <formula>NOT(ISERROR(SEARCH("NO APLICA",HI176)))</formula>
    </cfRule>
  </conditionalFormatting>
  <conditionalFormatting sqref="HN31">
    <cfRule type="containsText" dxfId="242" priority="511" operator="containsText" text="NO APLICA">
      <formula>NOT(ISERROR(SEARCH("NO APLICA",HN31)))</formula>
    </cfRule>
    <cfRule type="containsText" dxfId="241" priority="513" operator="containsText" text="VENCIDA">
      <formula>NOT(ISERROR(SEARCH("VENCIDA",HN31)))</formula>
    </cfRule>
    <cfRule type="containsText" dxfId="240" priority="512" operator="containsText" text="POR VENCER">
      <formula>NOT(ISERROR(SEARCH("POR VENCER",HN31)))</formula>
    </cfRule>
    <cfRule type="containsText" dxfId="239" priority="510" operator="containsText" text="VIGENTE">
      <formula>NOT(ISERROR(SEARCH("VIGENTE",HN31)))</formula>
    </cfRule>
    <cfRule type="containsText" dxfId="238" priority="514" operator="containsText" text="PROGRAMAR">
      <formula>NOT(ISERROR(SEARCH("PROGRAMAR",HN31)))</formula>
    </cfRule>
  </conditionalFormatting>
  <conditionalFormatting sqref="HN49 HN80 HN82 HN106 HN108 HN124">
    <cfRule type="containsText" dxfId="237" priority="504" operator="containsText" text="PROGRAMAR">
      <formula>NOT(ISERROR(SEARCH("PROGRAMAR",HN49)))</formula>
    </cfRule>
    <cfRule type="containsText" dxfId="236" priority="503" operator="containsText" text="VENCIDA">
      <formula>NOT(ISERROR(SEARCH("VENCIDA",HN49)))</formula>
    </cfRule>
    <cfRule type="containsText" dxfId="235" priority="502" operator="containsText" text="POR VENCER">
      <formula>NOT(ISERROR(SEARCH("POR VENCER",HN49)))</formula>
    </cfRule>
    <cfRule type="containsText" dxfId="234" priority="501" operator="containsText" text="NO APLICA">
      <formula>NOT(ISERROR(SEARCH("NO APLICA",HN49)))</formula>
    </cfRule>
    <cfRule type="containsText" dxfId="233" priority="500" operator="containsText" text="VIGENTE">
      <formula>NOT(ISERROR(SEARCH("VIGENTE",HN49)))</formula>
    </cfRule>
    <cfRule type="containsText" dxfId="232" priority="509" operator="containsText" text="PROGRAMAR">
      <formula>NOT(ISERROR(SEARCH("PROGRAMAR",HN49)))</formula>
    </cfRule>
    <cfRule type="containsText" dxfId="231" priority="508" operator="containsText" text="VENCIDA">
      <formula>NOT(ISERROR(SEARCH("VENCIDA",HN49)))</formula>
    </cfRule>
    <cfRule type="containsText" dxfId="230" priority="507" operator="containsText" text="POR VENCER">
      <formula>NOT(ISERROR(SEARCH("POR VENCER",HN49)))</formula>
    </cfRule>
    <cfRule type="containsText" dxfId="229" priority="505" operator="containsText" text="VIGENTE">
      <formula>NOT(ISERROR(SEARCH("VIGENTE",HN49)))</formula>
    </cfRule>
    <cfRule type="containsText" dxfId="228" priority="506" operator="containsText" text="NO APLICA">
      <formula>NOT(ISERROR(SEARCH("NO APLICA",HN49)))</formula>
    </cfRule>
  </conditionalFormatting>
  <conditionalFormatting sqref="HN238:HN240">
    <cfRule type="containsText" dxfId="227" priority="152" operator="containsText" text="PROGRAMAR">
      <formula>NOT(ISERROR(SEARCH("PROGRAMAR",HN238)))</formula>
    </cfRule>
  </conditionalFormatting>
  <conditionalFormatting sqref="HO180:HP180">
    <cfRule type="containsText" dxfId="226" priority="741" operator="containsText" text="POR VENCER">
      <formula>NOT(ISERROR(SEARCH("POR VENCER",HO180)))</formula>
    </cfRule>
    <cfRule type="containsText" dxfId="225" priority="742" operator="containsText" text="VIGENTE">
      <formula>NOT(ISERROR(SEARCH("VIGENTE",HO180)))</formula>
    </cfRule>
    <cfRule type="containsText" dxfId="224" priority="743" operator="containsText" text="NO APLICA">
      <formula>NOT(ISERROR(SEARCH("NO APLICA",HO180)))</formula>
    </cfRule>
    <cfRule type="containsText" dxfId="223" priority="744" operator="containsText" text="VENCIDA">
      <formula>NOT(ISERROR(SEARCH("VENCIDA",HO180)))</formula>
    </cfRule>
  </conditionalFormatting>
  <conditionalFormatting sqref="HO4:HS10 HR13:HR14 HR35:HR36 HR40 HR42 HR47 HR49:HR51 HR53:HR60 HR62:HR63 HR65:HR66 HR79:HR80 HR82:HR89 HR91 HR93 HR95:HR96 HR98:HR102 HR104:HR119 HO11:HP18">
    <cfRule type="containsText" dxfId="222" priority="745" operator="containsText" text="POR VENCER">
      <formula>NOT(ISERROR(SEARCH("POR VENCER",HO4)))</formula>
    </cfRule>
  </conditionalFormatting>
  <conditionalFormatting sqref="HO4:HS10 HR35:HR36 HR40 HR42 HR47 HR49:HR51 HR53:HR60 HR62:HR63 HR65:HR66 HR68:HR72 HR79:HR80 HR82:HR89 HR91 HR93 HR95:HR96 HR98:HR102 HR104:HR119 HR13:HR18">
    <cfRule type="containsText" dxfId="221" priority="740" operator="containsText" text="VIGENTE">
      <formula>NOT(ISERROR(SEARCH("VIGENTE",HO4)))</formula>
    </cfRule>
  </conditionalFormatting>
  <conditionalFormatting sqref="HO4:HS10 HR35:HR36 HR40 HR42 HR47 HR49:HR51 HR53:HR60 HR62:HR63 HR65:HR66 HR68:HR72 HR79:HR80 HR82:HR89 HR91 HR93 HR95:HR96 HR98:HR102 HR104:HR119">
    <cfRule type="containsText" dxfId="220" priority="739" operator="containsText" text="NO APLICA">
      <formula>NOT(ISERROR(SEARCH("NO APLICA",HO4)))</formula>
    </cfRule>
  </conditionalFormatting>
  <conditionalFormatting sqref="HR13:HR18 HO11:HP172">
    <cfRule type="containsText" dxfId="219" priority="738" operator="containsText" text="NO APLICA">
      <formula>NOT(ISERROR(SEARCH("NO APLICA",HO11)))</formula>
    </cfRule>
  </conditionalFormatting>
  <conditionalFormatting sqref="HR13:HR18 HR68:HR72 HO4:HS10 HR35:HR36 HR40 HR42 HR47 HR49:HR51 HR53:HR60 HR62:HR63 HR65:HR66 HR79:HR80 HR82:HR89 HR91 HR93 HR95:HR96 HR98:HR102 HR104:HR119">
    <cfRule type="containsText" dxfId="218" priority="737" operator="containsText" text="VENCIDA">
      <formula>NOT(ISERROR(SEARCH("VENCIDA",HO4)))</formula>
    </cfRule>
  </conditionalFormatting>
  <conditionalFormatting sqref="HR15:HR18">
    <cfRule type="containsText" dxfId="217" priority="735" operator="containsText" text="POR VENCER">
      <formula>NOT(ISERROR(SEARCH("POR VENCER",HR15)))</formula>
    </cfRule>
  </conditionalFormatting>
  <conditionalFormatting sqref="HR18">
    <cfRule type="containsText" dxfId="216" priority="733" operator="containsText" text="POR VENCER">
      <formula>NOT(ISERROR(SEARCH("POR VENCER",HR18)))</formula>
    </cfRule>
    <cfRule type="containsText" dxfId="215" priority="732" operator="containsText" text="NO APLICA">
      <formula>NOT(ISERROR(SEARCH("NO APLICA",HR18)))</formula>
    </cfRule>
    <cfRule type="containsText" dxfId="214" priority="734" operator="containsText" text="NO APLICA">
      <formula>NOT(ISERROR(SEARCH("NO APLICA",HR18)))</formula>
    </cfRule>
  </conditionalFormatting>
  <conditionalFormatting sqref="HR68:HR72 HO68:HP172">
    <cfRule type="containsText" dxfId="213" priority="731" operator="containsText" text="POR VENCER">
      <formula>NOT(ISERROR(SEARCH("POR VENCER",HO68)))</formula>
    </cfRule>
  </conditionalFormatting>
  <conditionalFormatting sqref="HS238:HS240">
    <cfRule type="containsText" dxfId="212" priority="150" operator="containsText" text="PROGRAMAR">
      <formula>NOT(ISERROR(SEARCH("PROGRAMAR",HS238)))</formula>
    </cfRule>
  </conditionalFormatting>
  <conditionalFormatting sqref="HT4:HT37 HX38">
    <cfRule type="containsText" dxfId="211" priority="730" operator="containsText" text="POR VENCER">
      <formula>NOT(ISERROR(SEARCH("POR VENCER",HT4)))</formula>
    </cfRule>
  </conditionalFormatting>
  <conditionalFormatting sqref="HT4:HT37">
    <cfRule type="containsText" dxfId="210" priority="729" operator="containsText" text="NO APLICA">
      <formula>NOT(ISERROR(SEARCH("NO APLICA",HT4)))</formula>
    </cfRule>
  </conditionalFormatting>
  <conditionalFormatting sqref="HT130:HT158">
    <cfRule type="expression" dxfId="209" priority="728">
      <formula>"O7&gt;=91"</formula>
    </cfRule>
  </conditionalFormatting>
  <conditionalFormatting sqref="HT180">
    <cfRule type="containsText" dxfId="208" priority="727" operator="containsText" text="VIGENTE">
      <formula>NOT(ISERROR(SEARCH("VIGENTE",HT180)))</formula>
    </cfRule>
    <cfRule type="containsText" dxfId="207" priority="726" operator="containsText" text="POR VENCER">
      <formula>NOT(ISERROR(SEARCH("POR VENCER",HT180)))</formula>
    </cfRule>
  </conditionalFormatting>
  <conditionalFormatting sqref="HX130:HX137">
    <cfRule type="containsText" dxfId="206" priority="725" operator="containsText" text="POR VENCER">
      <formula>NOT(ISERROR(SEARCH("POR VENCER",HX130)))</formula>
    </cfRule>
  </conditionalFormatting>
  <conditionalFormatting sqref="HX130:HX240">
    <cfRule type="containsText" dxfId="205" priority="724" operator="containsText" text="NO APLICA">
      <formula>NOT(ISERROR(SEARCH("NO APLICA",HX130)))</formula>
    </cfRule>
  </conditionalFormatting>
  <conditionalFormatting sqref="HY130:HY158">
    <cfRule type="expression" dxfId="204" priority="723">
      <formula>"O7&gt;=91"</formula>
    </cfRule>
  </conditionalFormatting>
  <conditionalFormatting sqref="HY180">
    <cfRule type="containsText" dxfId="203" priority="721" operator="containsText" text="POR VENCER">
      <formula>NOT(ISERROR(SEARCH("POR VENCER",HY180)))</formula>
    </cfRule>
    <cfRule type="containsText" dxfId="202" priority="722" operator="containsText" text="VIGENTE">
      <formula>NOT(ISERROR(SEARCH("VIGENTE",HY180)))</formula>
    </cfRule>
  </conditionalFormatting>
  <conditionalFormatting sqref="IC38">
    <cfRule type="containsText" dxfId="201" priority="720" operator="containsText" text="POR VENCER">
      <formula>NOT(ISERROR(SEARCH("POR VENCER",IC38)))</formula>
    </cfRule>
  </conditionalFormatting>
  <conditionalFormatting sqref="IC130:IC137">
    <cfRule type="containsText" dxfId="200" priority="719" operator="containsText" text="POR VENCER">
      <formula>NOT(ISERROR(SEARCH("POR VENCER",IC130)))</formula>
    </cfRule>
  </conditionalFormatting>
  <conditionalFormatting sqref="IC130:IC240">
    <cfRule type="containsText" dxfId="199" priority="718" operator="containsText" text="NO APLICA">
      <formula>NOT(ISERROR(SEARCH("NO APLICA",IC130)))</formula>
    </cfRule>
  </conditionalFormatting>
  <conditionalFormatting sqref="ID4:ID22">
    <cfRule type="containsText" dxfId="198" priority="714" operator="containsText" text="VENCIDA">
      <formula>NOT(ISERROR(SEARCH("VENCIDA",ID4)))</formula>
    </cfRule>
    <cfRule type="containsText" dxfId="197" priority="716" operator="containsText" text="VIGENTE">
      <formula>NOT(ISERROR(SEARCH("VIGENTE",ID4)))</formula>
    </cfRule>
    <cfRule type="containsText" dxfId="196" priority="715" operator="containsText" text="NO APLICA">
      <formula>NOT(ISERROR(SEARCH("NO APLICA",ID4)))</formula>
    </cfRule>
    <cfRule type="containsText" dxfId="195" priority="717" operator="containsText" text="POR VENCER">
      <formula>NOT(ISERROR(SEARCH("POR VENCER",ID4)))</formula>
    </cfRule>
  </conditionalFormatting>
  <conditionalFormatting sqref="ID130:ID158">
    <cfRule type="expression" dxfId="194" priority="713">
      <formula>"O7&gt;=91"</formula>
    </cfRule>
  </conditionalFormatting>
  <conditionalFormatting sqref="ID180">
    <cfRule type="containsText" dxfId="193" priority="711" operator="containsText" text="POR VENCER">
      <formula>NOT(ISERROR(SEARCH("POR VENCER",ID180)))</formula>
    </cfRule>
    <cfRule type="containsText" dxfId="192" priority="712" operator="containsText" text="VIGENTE">
      <formula>NOT(ISERROR(SEARCH("VIGENTE",ID180)))</formula>
    </cfRule>
  </conditionalFormatting>
  <conditionalFormatting sqref="IH4:IH38">
    <cfRule type="containsText" dxfId="191" priority="710" operator="containsText" text="POR VENCER">
      <formula>NOT(ISERROR(SEARCH("POR VENCER",IH4)))</formula>
    </cfRule>
  </conditionalFormatting>
  <conditionalFormatting sqref="IH130:IH137">
    <cfRule type="containsText" dxfId="190" priority="709" operator="containsText" text="POR VENCER">
      <formula>NOT(ISERROR(SEARCH("POR VENCER",IH130)))</formula>
    </cfRule>
  </conditionalFormatting>
  <conditionalFormatting sqref="IH130:IH240">
    <cfRule type="containsText" dxfId="189" priority="708" operator="containsText" text="NO APLICA">
      <formula>NOT(ISERROR(SEARCH("NO APLICA",IH130)))</formula>
    </cfRule>
  </conditionalFormatting>
  <conditionalFormatting sqref="II132:II133">
    <cfRule type="expression" dxfId="188" priority="707">
      <formula>"O7&gt;=91"</formula>
    </cfRule>
  </conditionalFormatting>
  <conditionalFormatting sqref="IR4:IS27 LJ4:LN59 MS4:MU152 AB4:AB158 MN4:MP158 KF4:KH162 KP4:KR164 Z4:AA240 AF4:AF240 AP4:AP240 AU4:AU240 AZ4:AZ240 BO4:BO240 BT4:BT240 CN4:CN240 DR4:DR240 DW4:DW240 EB4:EB240 EG4:EG240 EL4:EL240 EQ4:EQ240 FK4:FK240 FP4:FP240 FZ4:FZ240 GE4:GE240 GJ4:GJ240 HD4:HD240 HN4:HN240 IH4:IH240 JG4:JG240 LE4:LE240 LY4:LY240 MD4:MD240 MX4:MX240 NH4:NH240 OG4:OG240 OL4:OL240 KA5:KB5 KA7:KB7 DC8:DD10 DM8:DN17 AK8:AL27 BE8:BF27 BJ8:BK27 BY8:BZ27 CS8:CT27 CX8:CY27 DH8:DI27 EV8:EW27 FA8:FB27 FF8:FG27 GT8:GU27 GY8:GZ27 MI8:MK158 CI8:CI240 FU8:FU240 KU8:KU240 DC11 HS11:HS240 DC12:DD27 HI15:HJ27 DM18 KA19:KB19 DM19:DN20 DM21 KA22:KB22 DM22:DN27 KA26:KB27 AK28:AK179 NP28:NP179 BE28:BE240 BJ28:BJ240 BY28:BY240 CS28:CS240 CX28:CX240 DC28:DC240 DH28:DH240 DM28:DM240 EV28:EV240 FA28:FA240 FF28:FF240 GT28:GT240 GY28:GY240 HI28:HI240 IR28:IR240 KA36:KB36 CO39:CO44 DD39:DD44 FB39:FB44 DX39:DX45 EC39:EC45 FQ39:FQ45 CT39:CT48 BU39:BU50 GF39:GF50 BA39:BA63 BP39:BP63 DS39:DS66 AL39:AL85 AV39:AV85 GZ39:GZ96 AQ39:AQ129 BF39:BF129 BK39:BK129 BZ39:BZ129 GU39:GU129 HJ39:HJ129 HT39:HT129 IM39:IN129 IS39:IS129 LP39:LP129 MY39:MY129 NC39:ND129 NI39:NI129 KA40:KB40 FL43:FL44 EM43:EM45 ER43:ER45 DI43:DI50 KV43:KV59 HX43:HY129 IC43:ID129 IW43:IX129 HR44:HR45 FV44:FV46 CO46:CO48 FL46:FL48 FB46:FB129 DN48:DN78 CO50 FL50 KA50:KB50 KA53:KB53 LJ60:LL237 KA61:KB61 NU61:NU180 KA68:KB68 DS68:DS81 KA70:KB70 KA84:KB84 DS84:DS90 KA86:KB86 DS92:DS93 DS96:DS103 KA102:KB102 DS105:DS106 DS108:DS111 KA111:KB111 DS113:DS119 DS121:DS129 IM130:IM240 KA141:KB141 KA144:KB144 KA149:KB149 MI159:MI240 MN159:MO240 MS159:MT240 NM159:NM240 NR159:NR240 KA161:KB161 KH163:KH166 KF163:KG240 KP165:KQ240 KA172:KB172 KA178:KB179 KR179:KT187 KA181:KB181 AK181:AK240 CD188:CD240 KA201:KB201 KA205:KB206 KA208:KB209 KA217:KB217 KA219:KB219 KA221:KB222 KA224:KB224 KA227:KB228 KA234:KB235 KA237:KB240 LK238:LL238 JV238:JV240 LJ238:LJ240 KZ4:LA240 CD4:CD183 HX4:HY27 IW4:IX27 IM4:IN35 LP4:LP37 NC4:ND37 IC4:IC42 DX8 EC8 FL8 EM8:EM27 FQ8:FQ27 BA8:BA28 DS8:DS28 ER8:ER28 GA8:GA28 GF8:GF28 AV8:AV34 AQ8:AQ37 BP8:BP37 MY8:MY37 DX10 FL10 EC10:EC27 DX12:DX28 FL12:FL34 ME15:MF37 HR20:HR27 CO21:CO26 BU21:BU28 GK24:GK28 ID24:ID37 BF28 AL28:AL31 FV28:FV33 DI28:DI34 NR28:NV34 DN28:DN36 BK28:BK37 CT28:CT37 CY28:CY37 DD28:DD37 GU28:GU37 GZ28:GZ37 HJ28:HJ37 HY28:HY37 IS28:IS37 IX28:IX37 NM28:NO37 NQ28:NQ37 HX28:HX42 FB29:FB34 BZ29:BZ37 EW29:EW37 FG29:FG37 MW29:MW77 HR30:HR33 CO30:CO34 DX30:DX34 EC30:EC34 ER30:ER34 GA30:GA34 BA30:BA37 BF30:BF37 DS30:DS37 EM30:EM37 FQ30:FQ37 GF30:GF37 DX36:DX37 EC36:EC37 FB36:FB37 FL36:FL37 CY39:CY78 ME46:MF89 DD46:DD90 CT50:CT93 EC52:EC82 FL52:FL82 FQ52:FQ82 GA52:GA129 OH55:OI129 CO61:CO81 BP65:BP90 BA65:BA129 DI65:DI129 ER65:ER129 NM68:NO76 NR68:NT158 NV68:NV158 KV73:KV127 HR74:HR76 FV74:FV82 EM75:EM129 GF75:GF129 DX77:DX81 MW79:MW95 DN80:DN81 CY80:CY129 DN83:DN129 CO84:CO89 FL84:FL90 DX84:DX93 EC84:EC93 FQ84:FQ93 AL87:AL96 AV87:AV129 FV91:FV93 ME91:MF93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R165:KR172 HY39:HY42 ID39:ID42 IX39:IX42 AG39:AG78 IW28:IW42 FG55:FG93 GO4:GO240 HO11:HP172 HT4:HT37 HX130:HX240 IC130:IC240 KK4:KM124 JL4:JL240 KC5:KC170 KK125:KL240 MW24:MW26 NC130:NC240 NM15:NV27 NR36:NV55 NQ39:NQ57 NM39:NO66 EW39:EW42 EW44:EW53 EW55:EW64 EW66:EW112 EW115:EW129 FG39:FG53 DN38:DN46 BU65:BU82 BU84:BU89 BU92:BU93 BU95:BU98 BU100:BU103 BU105:BU106 BU108:BU111 BU113:BU114 BU117:BU119 BU121:BU129 JQ4:JQ240">
    <cfRule type="containsText" dxfId="187" priority="1027" operator="containsText" text="VIGENTE">
      <formula>NOT(ISERROR(SEARCH("VIGENTE",Z4)))</formula>
    </cfRule>
  </conditionalFormatting>
  <conditionalFormatting sqref="IT73">
    <cfRule type="containsText" dxfId="186" priority="703" operator="containsText" text="VENCIDA">
      <formula>NOT(ISERROR(SEARCH("VENCIDA",IT73)))</formula>
    </cfRule>
    <cfRule type="containsText" dxfId="185" priority="704" operator="containsText" text="NO APLICA">
      <formula>NOT(ISERROR(SEARCH("NO APLICA",IT73)))</formula>
    </cfRule>
    <cfRule type="containsText" dxfId="184" priority="705" operator="containsText" text="POR VENCER">
      <formula>NOT(ISERROR(SEARCH("POR VENCER",IT73)))</formula>
    </cfRule>
    <cfRule type="containsText" dxfId="183" priority="706" operator="containsText" text="VIGENTE">
      <formula>NOT(ISERROR(SEARCH("VIGENTE",IT73)))</formula>
    </cfRule>
  </conditionalFormatting>
  <conditionalFormatting sqref="IW4:IW38 CO8 BU8:BU19 CO10:CO19 AV4:AV6 BA4:BA6 FV12:FV22">
    <cfRule type="containsText" dxfId="182" priority="918" operator="containsText" text="POR VENCER">
      <formula>NOT(ISERROR(SEARCH("POR VENCER",AV4)))</formula>
    </cfRule>
  </conditionalFormatting>
  <conditionalFormatting sqref="IW130:IW137">
    <cfRule type="containsText" dxfId="181" priority="701" operator="containsText" text="POR VENCER">
      <formula>NOT(ISERROR(SEARCH("POR VENCER",IW130)))</formula>
    </cfRule>
  </conditionalFormatting>
  <conditionalFormatting sqref="IW130:IW240">
    <cfRule type="containsText" dxfId="180" priority="702" operator="containsText" text="VIGENTE">
      <formula>NOT(ISERROR(SEARCH("VIGENTE",IW130)))</formula>
    </cfRule>
    <cfRule type="containsText" dxfId="179" priority="700" operator="containsText" text="NO APLICA">
      <formula>NOT(ISERROR(SEARCH("NO APLICA",IW130)))</formula>
    </cfRule>
  </conditionalFormatting>
  <conditionalFormatting sqref="JB4:JB240 KM125:KM170">
    <cfRule type="containsText" dxfId="178" priority="699" operator="containsText" text="VIGENTE">
      <formula>NOT(ISERROR(SEARCH("VIGENTE",JB4)))</formula>
    </cfRule>
  </conditionalFormatting>
  <conditionalFormatting sqref="JB133:JB137 KM133:KM170">
    <cfRule type="containsText" dxfId="177" priority="698" operator="containsText" text="POR VENCER">
      <formula>NOT(ISERROR(SEARCH("POR VENCER",JB133)))</formula>
    </cfRule>
  </conditionalFormatting>
  <conditionalFormatting sqref="JD4">
    <cfRule type="containsText" dxfId="176" priority="696" operator="containsText" text="VIGENTE">
      <formula>NOT(ISERROR(SEARCH("VIGENTE",JD4)))</formula>
    </cfRule>
    <cfRule type="containsText" dxfId="175" priority="693" operator="containsText" text="VENCIDA">
      <formula>NOT(ISERROR(SEARCH("VENCIDA",JD4)))</formula>
    </cfRule>
    <cfRule type="containsText" dxfId="174" priority="694" operator="containsText" text="NO APLICA">
      <formula>NOT(ISERROR(SEARCH("NO APLICA",JD4)))</formula>
    </cfRule>
    <cfRule type="containsText" dxfId="173" priority="695" operator="containsText" text="POR VENCER">
      <formula>NOT(ISERROR(SEARCH("POR VENCER",JD4)))</formula>
    </cfRule>
  </conditionalFormatting>
  <conditionalFormatting sqref="JI4 JL4">
    <cfRule type="containsText" dxfId="172" priority="692" operator="containsText" text="POR VENCER">
      <formula>NOT(ISERROR(SEARCH("POR VENCER",JI4)))</formula>
    </cfRule>
  </conditionalFormatting>
  <conditionalFormatting sqref="JI4">
    <cfRule type="containsText" dxfId="171" priority="690" operator="containsText" text="NO APLICA">
      <formula>NOT(ISERROR(SEARCH("NO APLICA",JI4)))</formula>
    </cfRule>
    <cfRule type="containsText" dxfId="170" priority="691" operator="containsText" text="VIGENTE">
      <formula>NOT(ISERROR(SEARCH("VIGENTE",JI4)))</formula>
    </cfRule>
  </conditionalFormatting>
  <conditionalFormatting sqref="JJ239:JJ240 LN239:LN240 CM239:CM240 CR239:CR240 CW239:CW240 DL239:DL240 DQ239:DQ240 DV239:DV240 EZ239:EZ240 FE239:FE240 FJ239:FJ240 FO239:FO240 FT239:FT240 GD239:GD240 GS239:GS240 IQ239:IQ240 IV239:IV240 IZ239:IZ240 JD239:JD240 KH239:KH240 KM239:KM240 LD239:LD240 LI239:LI240 NQ239:NQ240 NV239:NV240 CH240">
    <cfRule type="containsText" dxfId="169" priority="109" operator="containsText" text="VIGENTE">
      <formula>NOT(ISERROR(SEARCH("VIGENTE",CH239)))</formula>
    </cfRule>
  </conditionalFormatting>
  <conditionalFormatting sqref="JJ239:JK240 LP239:LP240 AB239:AB240 AG239:AG240 AL239:AL240 AV239:AV240 BA239:BA240 BP239:BP240 DB239:DB240 DG239:DG240 EK239:EK240 EP239:EP240 EU239:EU240 FY239:FY240 GI239:GI240 GN239:GN240 GX239:GX240 HC239:HC240 HE239:HE240 HM239:HM240 HR239:HR240 IB239:IB240 IG239:IG240 IL239:IL240 JO239:JP240 JS239:JT240 KS239:KT240 LN239:LN240 LS239:LS240 LU239:LU240 LX239:LX240 MB239:MC240 ME239:MG240 MK239:ML240 MQ239:MR240">
    <cfRule type="containsText" dxfId="168" priority="72" operator="containsText" text="VENCIDA">
      <formula>NOT(ISERROR(SEARCH("VENCIDA",AB239)))</formula>
    </cfRule>
  </conditionalFormatting>
  <conditionalFormatting sqref="JK239:JK240">
    <cfRule type="containsText" dxfId="167" priority="67" operator="containsText" text="VIGENTE">
      <formula>NOT(ISERROR(SEARCH("VIGENTE",JK239)))</formula>
    </cfRule>
  </conditionalFormatting>
  <conditionalFormatting sqref="JL4:JL240">
    <cfRule type="containsText" dxfId="166" priority="689" operator="containsText" text="NO APLICA">
      <formula>NOT(ISERROR(SEARCH("NO APLICA",JL4)))</formula>
    </cfRule>
  </conditionalFormatting>
  <conditionalFormatting sqref="JL199">
    <cfRule type="containsText" dxfId="165" priority="30" operator="containsText" text="NO APLICA">
      <formula>NOT(ISERROR(SEARCH("NO APLICA",JL199)))</formula>
    </cfRule>
  </conditionalFormatting>
  <conditionalFormatting sqref="JL202 JL204 JL209 JL228 JL235 JL237">
    <cfRule type="containsText" dxfId="164" priority="29" operator="containsText" text="NO APLICA">
      <formula>NOT(ISERROR(SEARCH("NO APLICA",JL202)))</formula>
    </cfRule>
  </conditionalFormatting>
  <conditionalFormatting sqref="JL207">
    <cfRule type="containsText" dxfId="163" priority="9" operator="containsText" text="NO APLICA">
      <formula>NOT(ISERROR(SEARCH("NO APLICA",JL207)))</formula>
    </cfRule>
  </conditionalFormatting>
  <conditionalFormatting sqref="JL4:JN4 JM5:JM240 JI4">
    <cfRule type="containsText" dxfId="162" priority="688" operator="containsText" text="VENCIDA">
      <formula>NOT(ISERROR(SEARCH("VENCIDA",JI4)))</formula>
    </cfRule>
  </conditionalFormatting>
  <conditionalFormatting sqref="JM4:JN4 JM5:JM240">
    <cfRule type="containsText" dxfId="161" priority="685" operator="containsText" text="POR VENCER">
      <formula>NOT(ISERROR(SEARCH("POR VENCER",JM4)))</formula>
    </cfRule>
    <cfRule type="containsText" dxfId="160" priority="686" operator="containsText" text="VIGENTE">
      <formula>NOT(ISERROR(SEARCH("VIGENTE",JM4)))</formula>
    </cfRule>
    <cfRule type="containsText" dxfId="159" priority="687" operator="containsText" text="NO APLICA">
      <formula>NOT(ISERROR(SEARCH("NO APLICA",JM4)))</formula>
    </cfRule>
  </conditionalFormatting>
  <conditionalFormatting sqref="JQ4:JR240">
    <cfRule type="containsText" dxfId="158" priority="17" operator="containsText" text="NO APLICA">
      <formula>NOT(ISERROR(SEARCH("NO APLICA",JQ4)))</formula>
    </cfRule>
  </conditionalFormatting>
  <conditionalFormatting sqref="JR4:JR240">
    <cfRule type="containsText" dxfId="157" priority="16" operator="containsText" text="VIGENTE">
      <formula>NOT(ISERROR(SEARCH("VIGENTE",JR4)))</formula>
    </cfRule>
    <cfRule type="containsText" dxfId="156" priority="15" operator="containsText" text="POR VENCER">
      <formula>NOT(ISERROR(SEARCH("POR VENCER",JR4)))</formula>
    </cfRule>
  </conditionalFormatting>
  <conditionalFormatting sqref="JR4:JS4 JR5:JR240">
    <cfRule type="containsText" dxfId="155" priority="18" operator="containsText" text="VENCIDA">
      <formula>NOT(ISERROR(SEARCH("VENCIDA",JR4)))</formula>
    </cfRule>
  </conditionalFormatting>
  <conditionalFormatting sqref="JS4">
    <cfRule type="containsText" dxfId="154" priority="683" operator="containsText" text="VIGENTE">
      <formula>NOT(ISERROR(SEARCH("VIGENTE",JS4)))</formula>
    </cfRule>
    <cfRule type="containsText" dxfId="153" priority="681" operator="containsText" text="NO APLICA">
      <formula>NOT(ISERROR(SEARCH("NO APLICA",JS4)))</formula>
    </cfRule>
    <cfRule type="containsText" dxfId="152" priority="682" operator="containsText" text="POR VENCER">
      <formula>NOT(ISERROR(SEARCH("POR VENCER",JS4)))</formula>
    </cfRule>
  </conditionalFormatting>
  <conditionalFormatting sqref="JV4:KC4">
    <cfRule type="containsText" dxfId="151" priority="13" operator="containsText" text="NO APLICA">
      <formula>NOT(ISERROR(SEARCH("NO APLICA",JV4)))</formula>
    </cfRule>
    <cfRule type="containsText" dxfId="150" priority="12" operator="containsText" text="VIGENTE">
      <formula>NOT(ISERROR(SEARCH("VIGENTE",JV4)))</formula>
    </cfRule>
  </conditionalFormatting>
  <conditionalFormatting sqref="JW4:JW240">
    <cfRule type="containsText" dxfId="149" priority="14" operator="containsText" text="VENCIDA">
      <formula>NOT(ISERROR(SEARCH("VENCIDA",JW4)))</formula>
    </cfRule>
    <cfRule type="containsText" dxfId="148" priority="11" operator="containsText" text="POR VENCER">
      <formula>NOT(ISERROR(SEARCH("POR VENCER",JW4)))</formula>
    </cfRule>
  </conditionalFormatting>
  <conditionalFormatting sqref="JW5:JW240">
    <cfRule type="containsText" dxfId="147" priority="6" operator="containsText" text="NO APLICA">
      <formula>NOT(ISERROR(SEARCH("NO APLICA",JW5)))</formula>
    </cfRule>
    <cfRule type="containsText" dxfId="146" priority="5" operator="containsText" text="VIGENTE">
      <formula>NOT(ISERROR(SEARCH("VIGENTE",JW5)))</formula>
    </cfRule>
  </conditionalFormatting>
  <conditionalFormatting sqref="KA209 KA228 KA235 KA237">
    <cfRule type="containsText" dxfId="145" priority="23" operator="containsText" text="VIGENTE">
      <formula>NOT(ISERROR(SEARCH("VIGENTE",KA209)))</formula>
    </cfRule>
  </conditionalFormatting>
  <conditionalFormatting sqref="KC5:KC170">
    <cfRule type="containsText" dxfId="144" priority="678" operator="containsText" text="NO APLICA">
      <formula>NOT(ISERROR(SEARCH("NO APLICA",KC5)))</formula>
    </cfRule>
  </conditionalFormatting>
  <conditionalFormatting sqref="KC81:KC170">
    <cfRule type="containsText" dxfId="143" priority="679" operator="containsText" text="POR VENCER">
      <formula>NOT(ISERROR(SEARCH("POR VENCER",KC81)))</formula>
    </cfRule>
  </conditionalFormatting>
  <conditionalFormatting sqref="KC180">
    <cfRule type="containsText" dxfId="142" priority="675" operator="containsText" text="POR VENCER">
      <formula>NOT(ISERROR(SEARCH("POR VENCER",KC180)))</formula>
    </cfRule>
    <cfRule type="containsText" dxfId="141" priority="676" operator="containsText" text="VIGENTE">
      <formula>NOT(ISERROR(SEARCH("VIGENTE",KC180)))</formula>
    </cfRule>
  </conditionalFormatting>
  <conditionalFormatting sqref="KC239:KC240 AQ239:AQ240 BF239:BF240 BK239:BK240 CE239:CE240 DX239:DY240">
    <cfRule type="containsText" dxfId="140" priority="78" operator="containsText" text="VENCIDA">
      <formula>NOT(ISERROR(SEARCH("VENCIDA",AQ239)))</formula>
    </cfRule>
  </conditionalFormatting>
  <conditionalFormatting sqref="KC239:KC240">
    <cfRule type="containsText" dxfId="139" priority="62" operator="containsText" text="POR VENCER">
      <formula>NOT(ISERROR(SEARCH("POR VENCER",KC239)))</formula>
    </cfRule>
    <cfRule type="containsText" dxfId="138" priority="61" operator="containsText" text="NO APLICA">
      <formula>NOT(ISERROR(SEARCH("NO APLICA",KC239)))</formula>
    </cfRule>
  </conditionalFormatting>
  <conditionalFormatting sqref="KF4:KG7">
    <cfRule type="containsText" dxfId="137" priority="674" operator="containsText" text="VENCIDA">
      <formula>NOT(ISERROR(SEARCH("VENCIDA",KF4)))</formula>
    </cfRule>
  </conditionalFormatting>
  <conditionalFormatting sqref="KH180">
    <cfRule type="containsText" dxfId="136" priority="671" operator="containsText" text="POR VENCER">
      <formula>NOT(ISERROR(SEARCH("POR VENCER",KH180)))</formula>
    </cfRule>
    <cfRule type="containsText" dxfId="135" priority="672" operator="containsText" text="VIGENTE">
      <formula>NOT(ISERROR(SEARCH("VIGENTE",KH180)))</formula>
    </cfRule>
    <cfRule type="containsText" dxfId="134" priority="673" operator="containsText" text="NO APLICA">
      <formula>NOT(ISERROR(SEARCH("NO APLICA",KH180)))</formula>
    </cfRule>
  </conditionalFormatting>
  <conditionalFormatting sqref="KK4:KL18">
    <cfRule type="containsText" dxfId="133" priority="670" operator="containsText" text="POR VENCER">
      <formula>NOT(ISERROR(SEARCH("POR VENCER",KK4)))</formula>
    </cfRule>
  </conditionalFormatting>
  <conditionalFormatting sqref="KK4:KL240">
    <cfRule type="containsText" dxfId="132" priority="669" operator="containsText" text="NO APLICA">
      <formula>NOT(ISERROR(SEARCH("NO APLICA",KK4)))</formula>
    </cfRule>
  </conditionalFormatting>
  <conditionalFormatting sqref="KK68:KL72">
    <cfRule type="containsText" dxfId="131" priority="668" operator="containsText" text="POR VENCER">
      <formula>NOT(ISERROR(SEARCH("POR VENCER",KK68)))</formula>
    </cfRule>
  </conditionalFormatting>
  <conditionalFormatting sqref="KM4:KM170 JB4:JB240">
    <cfRule type="containsText" dxfId="130" priority="697" operator="containsText" text="NO APLICA">
      <formula>NOT(ISERROR(SEARCH("NO APLICA",JB4)))</formula>
    </cfRule>
  </conditionalFormatting>
  <conditionalFormatting sqref="KR130">
    <cfRule type="containsText" dxfId="129" priority="667" operator="containsText" text="NO APLICA">
      <formula>NOT(ISERROR(SEARCH("NO APLICA",KR130)))</formula>
    </cfRule>
  </conditionalFormatting>
  <conditionalFormatting sqref="KR140">
    <cfRule type="containsText" dxfId="128" priority="666" operator="containsText" text="NO APLICA">
      <formula>NOT(ISERROR(SEARCH("NO APLICA",KR140)))</formula>
    </cfRule>
  </conditionalFormatting>
  <conditionalFormatting sqref="KR145">
    <cfRule type="containsText" dxfId="127" priority="665" operator="containsText" text="NO APLICA">
      <formula>NOT(ISERROR(SEARCH("NO APLICA",KR145)))</formula>
    </cfRule>
  </conditionalFormatting>
  <conditionalFormatting sqref="KR151">
    <cfRule type="containsText" dxfId="126" priority="664" operator="containsText" text="NO APLICA">
      <formula>NOT(ISERROR(SEARCH("NO APLICA",KR151)))</formula>
    </cfRule>
  </conditionalFormatting>
  <conditionalFormatting sqref="KR154">
    <cfRule type="containsText" dxfId="125" priority="663" operator="containsText" text="NO APLICA">
      <formula>NOT(ISERROR(SEARCH("NO APLICA",KR154)))</formula>
    </cfRule>
  </conditionalFormatting>
  <conditionalFormatting sqref="KR161">
    <cfRule type="containsText" dxfId="124" priority="662" operator="containsText" text="NO APLICA">
      <formula>NOT(ISERROR(SEARCH("NO APLICA",KR161)))</formula>
    </cfRule>
  </conditionalFormatting>
  <conditionalFormatting sqref="KR165:KR172">
    <cfRule type="containsText" dxfId="123" priority="661" operator="containsText" text="NO APLICA">
      <formula>NOT(ISERROR(SEARCH("NO APLICA",KR165)))</formula>
    </cfRule>
  </conditionalFormatting>
  <conditionalFormatting sqref="KR175 KR177">
    <cfRule type="containsText" dxfId="122" priority="297" operator="containsText" text="VENCIDA">
      <formula>NOT(ISERROR(SEARCH("VENCIDA",KR175)))</formula>
    </cfRule>
    <cfRule type="containsText" dxfId="121" priority="296" operator="containsText" text="POR VENCER">
      <formula>NOT(ISERROR(SEARCH("POR VENCER",KR175)))</formula>
    </cfRule>
    <cfRule type="containsText" dxfId="120" priority="294" operator="containsText" text="NO APLICA">
      <formula>NOT(ISERROR(SEARCH("NO APLICA",KR175)))</formula>
    </cfRule>
    <cfRule type="containsText" dxfId="119" priority="295" operator="containsText" text="VIGENTE">
      <formula>NOT(ISERROR(SEARCH("VIGENTE",KR175)))</formula>
    </cfRule>
  </conditionalFormatting>
  <conditionalFormatting sqref="KS209">
    <cfRule type="containsText" dxfId="118" priority="660" operator="containsText" text="VENCIDA">
      <formula>NOT(ISERROR(SEARCH("VENCIDA",KS209)))</formula>
    </cfRule>
  </conditionalFormatting>
  <conditionalFormatting sqref="KS213">
    <cfRule type="containsText" dxfId="117" priority="659" operator="containsText" text="VENCIDA">
      <formula>NOT(ISERROR(SEARCH("VENCIDA",KS213)))</formula>
    </cfRule>
  </conditionalFormatting>
  <conditionalFormatting sqref="KS220">
    <cfRule type="containsText" dxfId="116" priority="658" operator="containsText" text="VENCIDA">
      <formula>NOT(ISERROR(SEARCH("VENCIDA",KS220)))</formula>
    </cfRule>
  </conditionalFormatting>
  <conditionalFormatting sqref="KS237:KS238">
    <cfRule type="containsText" dxfId="115" priority="657" operator="containsText" text="VENCIDA">
      <formula>NOT(ISERROR(SEARCH("VENCIDA",KS237)))</formula>
    </cfRule>
  </conditionalFormatting>
  <conditionalFormatting sqref="KS209:KT209">
    <cfRule type="containsText" dxfId="114" priority="655" operator="containsText" text="NO APLICA">
      <formula>NOT(ISERROR(SEARCH("NO APLICA",KS209)))</formula>
    </cfRule>
    <cfRule type="containsText" dxfId="113" priority="656" operator="containsText" text="POR VENCER">
      <formula>NOT(ISERROR(SEARCH("POR VENCER",KS209)))</formula>
    </cfRule>
    <cfRule type="containsText" dxfId="112" priority="654" operator="containsText" text="VIGENTE">
      <formula>NOT(ISERROR(SEARCH("VIGENTE",KS209)))</formula>
    </cfRule>
  </conditionalFormatting>
  <conditionalFormatting sqref="KS213:KT213">
    <cfRule type="containsText" dxfId="111" priority="653" operator="containsText" text="POR VENCER">
      <formula>NOT(ISERROR(SEARCH("POR VENCER",KS213)))</formula>
    </cfRule>
    <cfRule type="containsText" dxfId="110" priority="652" operator="containsText" text="NO APLICA">
      <formula>NOT(ISERROR(SEARCH("NO APLICA",KS213)))</formula>
    </cfRule>
    <cfRule type="containsText" dxfId="109" priority="651" operator="containsText" text="VIGENTE">
      <formula>NOT(ISERROR(SEARCH("VIGENTE",KS213)))</formula>
    </cfRule>
  </conditionalFormatting>
  <conditionalFormatting sqref="KS220:KT220">
    <cfRule type="containsText" dxfId="108" priority="650" operator="containsText" text="POR VENCER">
      <formula>NOT(ISERROR(SEARCH("POR VENCER",KS220)))</formula>
    </cfRule>
    <cfRule type="containsText" dxfId="107" priority="649" operator="containsText" text="NO APLICA">
      <formula>NOT(ISERROR(SEARCH("NO APLICA",KS220)))</formula>
    </cfRule>
    <cfRule type="containsText" dxfId="106" priority="648" operator="containsText" text="VIGENTE">
      <formula>NOT(ISERROR(SEARCH("VIGENTE",KS220)))</formula>
    </cfRule>
  </conditionalFormatting>
  <conditionalFormatting sqref="KS237:KT237">
    <cfRule type="containsText" dxfId="105" priority="647" operator="containsText" text="POR VENCER">
      <formula>NOT(ISERROR(SEARCH("POR VENCER",KS237)))</formula>
    </cfRule>
    <cfRule type="containsText" dxfId="104" priority="646" operator="containsText" text="NO APLICA">
      <formula>NOT(ISERROR(SEARCH("NO APLICA",KS237)))</formula>
    </cfRule>
    <cfRule type="containsText" dxfId="103" priority="645" operator="containsText" text="VIGENTE">
      <formula>NOT(ISERROR(SEARCH("VIGENTE",KS237)))</formula>
    </cfRule>
  </conditionalFormatting>
  <conditionalFormatting sqref="KS238:KT238">
    <cfRule type="containsText" dxfId="102" priority="424" operator="containsText" text="NO APLICA">
      <formula>NOT(ISERROR(SEARCH("NO APLICA",KS238)))</formula>
    </cfRule>
    <cfRule type="containsText" dxfId="101" priority="425" operator="containsText" text="POR VENCER">
      <formula>NOT(ISERROR(SEARCH("POR VENCER",KS238)))</formula>
    </cfRule>
  </conditionalFormatting>
  <conditionalFormatting sqref="KT209">
    <cfRule type="containsText" dxfId="100" priority="644" operator="containsText" text="VENCIDA">
      <formula>NOT(ISERROR(SEARCH("VENCIDA",KT209)))</formula>
    </cfRule>
  </conditionalFormatting>
  <conditionalFormatting sqref="KT213">
    <cfRule type="containsText" dxfId="99" priority="643" operator="containsText" text="VENCIDA">
      <formula>NOT(ISERROR(SEARCH("VENCIDA",KT213)))</formula>
    </cfRule>
  </conditionalFormatting>
  <conditionalFormatting sqref="KT220">
    <cfRule type="containsText" dxfId="98" priority="642" operator="containsText" text="VENCIDA">
      <formula>NOT(ISERROR(SEARCH("VENCIDA",KT220)))</formula>
    </cfRule>
  </conditionalFormatting>
  <conditionalFormatting sqref="KT237:KT238">
    <cfRule type="containsText" dxfId="97" priority="641" operator="containsText" text="VENCIDA">
      <formula>NOT(ISERROR(SEARCH("VENCIDA",KT237)))</formula>
    </cfRule>
  </conditionalFormatting>
  <conditionalFormatting sqref="KV4:KV34 GO4:GO38 KZ4:LA38 AB8:AB19">
    <cfRule type="containsText" dxfId="96" priority="634" operator="containsText" text="POR VENCER">
      <formula>NOT(ISERROR(SEARCH("POR VENCER",AB4)))</formula>
    </cfRule>
  </conditionalFormatting>
  <conditionalFormatting sqref="KV36:KV37 KV39:KV41 KV61:KV71 KV129 KV4:KV34">
    <cfRule type="containsText" dxfId="95" priority="640" operator="containsText" text="NO APLICA">
      <formula>NOT(ISERROR(SEARCH("NO APLICA",KV4)))</formula>
    </cfRule>
  </conditionalFormatting>
  <conditionalFormatting sqref="KV36:KV37 KV129 KV39:KV41 KV61:KV71">
    <cfRule type="containsText" dxfId="94" priority="639" operator="containsText" text="POR VENCER">
      <formula>NOT(ISERROR(SEARCH("POR VENCER",KV36)))</formula>
    </cfRule>
  </conditionalFormatting>
  <conditionalFormatting sqref="KV36:KV37 KV129">
    <cfRule type="containsText" dxfId="93" priority="638" operator="containsText" text="VENCIDA">
      <formula>NOT(ISERROR(SEARCH("VENCIDA",KV36)))</formula>
    </cfRule>
  </conditionalFormatting>
  <conditionalFormatting sqref="KV130:KV158">
    <cfRule type="expression" dxfId="92" priority="637">
      <formula>"O7&gt;=91"</formula>
    </cfRule>
  </conditionalFormatting>
  <conditionalFormatting sqref="KV180">
    <cfRule type="containsText" dxfId="91" priority="636" operator="containsText" text="VIGENTE">
      <formula>NOT(ISERROR(SEARCH("VIGENTE",KV180)))</formula>
    </cfRule>
    <cfRule type="containsText" dxfId="90" priority="635" operator="containsText" text="POR VENCER">
      <formula>NOT(ISERROR(SEARCH("POR VENCER",KV180)))</formula>
    </cfRule>
  </conditionalFormatting>
  <conditionalFormatting sqref="KV239:KY240">
    <cfRule type="containsText" dxfId="89" priority="59" operator="containsText" text="VENCIDA">
      <formula>NOT(ISERROR(SEARCH("VENCIDA",KV239)))</formula>
    </cfRule>
  </conditionalFormatting>
  <conditionalFormatting sqref="KX239:KX240">
    <cfRule type="containsText" dxfId="88" priority="60" operator="containsText" text="VIGENTE">
      <formula>NOT(ISERROR(SEARCH("VIGENTE",KX239)))</formula>
    </cfRule>
    <cfRule type="containsText" dxfId="87" priority="58" operator="containsText" text="POR VENCER">
      <formula>NOT(ISERROR(SEARCH("POR VENCER",KX239)))</formula>
    </cfRule>
    <cfRule type="containsText" dxfId="86" priority="57" operator="containsText" text="NO APLICA">
      <formula>NOT(ISERROR(SEARCH("NO APLICA",KX239)))</formula>
    </cfRule>
  </conditionalFormatting>
  <conditionalFormatting sqref="KZ4:LA240">
    <cfRule type="containsText" dxfId="85" priority="1024" operator="containsText" text="NO APLICA">
      <formula>NOT(ISERROR(SEARCH("NO APLICA",KZ4)))</formula>
    </cfRule>
  </conditionalFormatting>
  <conditionalFormatting sqref="LF175:LI175">
    <cfRule type="containsText" dxfId="84" priority="633" operator="containsText" text="POR VENCER">
      <formula>NOT(ISERROR(SEARCH("POR VENCER",LF175)))</formula>
    </cfRule>
    <cfRule type="containsText" dxfId="83" priority="632" operator="containsText" text="VIGENTE">
      <formula>NOT(ISERROR(SEARCH("VIGENTE",LF175)))</formula>
    </cfRule>
    <cfRule type="containsText" dxfId="82" priority="631" operator="containsText" text="NO APLICA">
      <formula>NOT(ISERROR(SEARCH("NO APLICA",LF175)))</formula>
    </cfRule>
    <cfRule type="containsText" dxfId="81" priority="630" operator="containsText" text="VENCIDA">
      <formula>NOT(ISERROR(SEARCH("VENCIDA",LF175)))</formula>
    </cfRule>
  </conditionalFormatting>
  <conditionalFormatting sqref="LO4:LO240">
    <cfRule type="containsText" dxfId="80" priority="629" operator="containsText" text="VIGENTE">
      <formula>NOT(ISERROR(SEARCH("VIGENTE",LO4)))</formula>
    </cfRule>
    <cfRule type="containsText" dxfId="79" priority="627" operator="containsText" text="POR VENCER">
      <formula>NOT(ISERROR(SEARCH("POR VENCER",LO4)))</formula>
    </cfRule>
    <cfRule type="containsText" dxfId="78" priority="626" operator="containsText" text="NO APLICA">
      <formula>NOT(ISERROR(SEARCH("NO APLICA",LO4)))</formula>
    </cfRule>
    <cfRule type="containsText" dxfId="77" priority="628" operator="containsText" text="VENCIDA">
      <formula>NOT(ISERROR(SEARCH("VENCIDA",LO4)))</formula>
    </cfRule>
  </conditionalFormatting>
  <conditionalFormatting sqref="LP130:LP158">
    <cfRule type="expression" dxfId="76" priority="625">
      <formula>"O7&gt;=91"</formula>
    </cfRule>
  </conditionalFormatting>
  <conditionalFormatting sqref="LP180">
    <cfRule type="containsText" dxfId="75" priority="624" operator="containsText" text="VIGENTE">
      <formula>NOT(ISERROR(SEARCH("VIGENTE",LP180)))</formula>
    </cfRule>
    <cfRule type="containsText" dxfId="74" priority="623" operator="containsText" text="POR VENCER">
      <formula>NOT(ISERROR(SEARCH("POR VENCER",LP180)))</formula>
    </cfRule>
  </conditionalFormatting>
  <conditionalFormatting sqref="LP239:LP240">
    <cfRule type="containsText" dxfId="73" priority="39" operator="containsText" text="VIGENTE">
      <formula>NOT(ISERROR(SEARCH("VIGENTE",LP239)))</formula>
    </cfRule>
    <cfRule type="containsText" dxfId="72" priority="40" operator="containsText" text="NO APLICA">
      <formula>NOT(ISERROR(SEARCH("NO APLICA",LP239)))</formula>
    </cfRule>
  </conditionalFormatting>
  <conditionalFormatting sqref="LT4:LT14">
    <cfRule type="containsText" dxfId="71" priority="622" operator="containsText" text="POR VENCER">
      <formula>NOT(ISERROR(SEARCH("POR VENCER",LT4)))</formula>
    </cfRule>
  </conditionalFormatting>
  <conditionalFormatting sqref="LT4:LT240">
    <cfRule type="containsText" dxfId="70" priority="621" operator="containsText" text="NO APLICA">
      <formula>NOT(ISERROR(SEARCH("NO APLICA",LT4)))</formula>
    </cfRule>
  </conditionalFormatting>
  <conditionalFormatting sqref="ME180:MF180 MJ180:MK180">
    <cfRule type="containsText" dxfId="69" priority="619" operator="containsText" text="POR VENCER">
      <formula>NOT(ISERROR(SEARCH("POR VENCER",ME180)))</formula>
    </cfRule>
    <cfRule type="containsText" dxfId="68" priority="620" operator="containsText" text="VIGENTE">
      <formula>NOT(ISERROR(SEARCH("VIGENTE",ME180)))</formula>
    </cfRule>
  </conditionalFormatting>
  <conditionalFormatting sqref="ME4:MK7 ME9:MF14 ME39:MF44 ME94:MF117 ME119:MF124 ME125 ME126:MF158">
    <cfRule type="containsText" dxfId="67" priority="617" operator="containsText" text="VIGENTE">
      <formula>NOT(ISERROR(SEARCH("VIGENTE",ME4)))</formula>
    </cfRule>
  </conditionalFormatting>
  <conditionalFormatting sqref="ME4:MK7 ME9:MF37 ME39:MF44 ME91:MF117 ME119:MF124 ME125 ME126:MF158">
    <cfRule type="containsText" dxfId="66" priority="618" operator="containsText" text="NO APLICA">
      <formula>NOT(ISERROR(SEARCH("NO APLICA",ME4)))</formula>
    </cfRule>
  </conditionalFormatting>
  <conditionalFormatting sqref="MP180 MU180:MW180">
    <cfRule type="containsText" dxfId="65" priority="616" operator="containsText" text="VIGENTE">
      <formula>NOT(ISERROR(SEARCH("VIGENTE",MP180)))</formula>
    </cfRule>
  </conditionalFormatting>
  <conditionalFormatting sqref="MP180">
    <cfRule type="containsText" dxfId="64" priority="615" operator="containsText" text="POR VENCER">
      <formula>NOT(ISERROR(SEARCH("POR VENCER",MP180)))</formula>
    </cfRule>
  </conditionalFormatting>
  <conditionalFormatting sqref="MU180:MW180">
    <cfRule type="containsText" dxfId="63" priority="614" operator="containsText" text="POR VENCER">
      <formula>NOT(ISERROR(SEARCH("POR VENCER",MU180)))</formula>
    </cfRule>
  </conditionalFormatting>
  <conditionalFormatting sqref="MW15:MW18">
    <cfRule type="containsText" dxfId="62" priority="613" operator="containsText" text="POR VENCER">
      <formula>NOT(ISERROR(SEARCH("POR VENCER",MW15)))</formula>
    </cfRule>
    <cfRule type="containsText" dxfId="61" priority="612" operator="containsText" text="NO APLICA">
      <formula>NOT(ISERROR(SEARCH("NO APLICA",MW15)))</formula>
    </cfRule>
  </conditionalFormatting>
  <conditionalFormatting sqref="MW239:MW240 MY239:MY240 NA239:NB240 ND239:NF240">
    <cfRule type="containsText" dxfId="60" priority="35" operator="containsText" text="VENCIDA">
      <formula>NOT(ISERROR(SEARCH("VENCIDA",MW239)))</formula>
    </cfRule>
    <cfRule type="containsText" dxfId="59" priority="37" operator="containsText" text="POR VENCER">
      <formula>NOT(ISERROR(SEARCH("POR VENCER",MW239)))</formula>
    </cfRule>
  </conditionalFormatting>
  <conditionalFormatting sqref="MW239:MW240 MY239:MY240 NA239:NB240 ND239:NG240">
    <cfRule type="containsText" dxfId="58" priority="36" operator="containsText" text="NO APLICA">
      <formula>NOT(ISERROR(SEARCH("NO APLICA",MW239)))</formula>
    </cfRule>
  </conditionalFormatting>
  <conditionalFormatting sqref="MW239:MW240 MY239:NB240 ND239:NF240">
    <cfRule type="containsText" dxfId="57" priority="38" operator="containsText" text="VIGENTE">
      <formula>NOT(ISERROR(SEARCH("VIGENTE",MW239)))</formula>
    </cfRule>
  </conditionalFormatting>
  <conditionalFormatting sqref="MW5:MX13 MW20:MW22 MW24:MW27 MW97:MW141 MW143:MW152 MS153:MW158 MS4:MU18">
    <cfRule type="containsText" dxfId="56" priority="610" operator="containsText" text="POR VENCER">
      <formula>NOT(ISERROR(SEARCH("POR VENCER",MS4)))</formula>
    </cfRule>
  </conditionalFormatting>
  <conditionalFormatting sqref="MW5:MX13 MW20:MW22 MW24:MW27 MW97:MW141 MW143:MW152 MS153:MW158">
    <cfRule type="containsText" dxfId="55" priority="608" operator="containsText" text="NO APLICA">
      <formula>NOT(ISERROR(SEARCH("NO APLICA",MS5)))</formula>
    </cfRule>
  </conditionalFormatting>
  <conditionalFormatting sqref="MW5:MX13 MW20:MW22 MW27 MW97:MW141 MW143:MW152 MS153:MW158 MW15:MW18">
    <cfRule type="containsText" dxfId="54" priority="611" operator="containsText" text="VENCIDA">
      <formula>NOT(ISERROR(SEARCH("VENCIDA",MS5)))</formula>
    </cfRule>
    <cfRule type="containsText" dxfId="53" priority="609" operator="containsText" text="VIGENTE">
      <formula>NOT(ISERROR(SEARCH("VIGENTE",MS5)))</formula>
    </cfRule>
  </conditionalFormatting>
  <conditionalFormatting sqref="MY4:MY7 AG180 AK180:AL180 AQ180 AV180 DD180 EW180 FL180 FQ180 GF180 CD184 CG184:CH184 CD186:CE187 CG186:CH187 LF187">
    <cfRule type="containsText" dxfId="52" priority="607" operator="containsText" text="VIGENTE">
      <formula>NOT(ISERROR(SEARCH("VIGENTE",AG4)))</formula>
    </cfRule>
  </conditionalFormatting>
  <conditionalFormatting sqref="MY130:MY158 ND130:ND158 NI130:NI158">
    <cfRule type="expression" dxfId="51" priority="606">
      <formula>"O7&gt;=91"</formula>
    </cfRule>
  </conditionalFormatting>
  <conditionalFormatting sqref="MY180 ND180 NI180">
    <cfRule type="containsText" dxfId="50" priority="605" operator="containsText" text="VIGENTE">
      <formula>NOT(ISERROR(SEARCH("VIGENTE",MY180)))</formula>
    </cfRule>
    <cfRule type="containsText" dxfId="49" priority="604" operator="containsText" text="POR VENCER">
      <formula>NOT(ISERROR(SEARCH("POR VENCER",MY180)))</formula>
    </cfRule>
  </conditionalFormatting>
  <conditionalFormatting sqref="NC130:NC240">
    <cfRule type="containsText" dxfId="48" priority="603" operator="containsText" text="NO APLICA">
      <formula>NOT(ISERROR(SEARCH("NO APLICA",NC130)))</formula>
    </cfRule>
  </conditionalFormatting>
  <conditionalFormatting sqref="NG239:NG240">
    <cfRule type="containsText" dxfId="47" priority="66" operator="containsText" text="VIGENTE">
      <formula>NOT(ISERROR(SEARCH("VIGENTE",NG239)))</formula>
    </cfRule>
    <cfRule type="containsText" dxfId="46" priority="65" operator="containsText" text="POR VENCER">
      <formula>NOT(ISERROR(SEARCH("POR VENCER",NG239)))</formula>
    </cfRule>
    <cfRule type="containsText" dxfId="45" priority="64" operator="containsText" text="VENCIDA">
      <formula>NOT(ISERROR(SEARCH("VENCIDA",NG239)))</formula>
    </cfRule>
  </conditionalFormatting>
  <conditionalFormatting sqref="NI4:NI37">
    <cfRule type="containsText" dxfId="44" priority="601" operator="containsText" text="VIGENTE">
      <formula>NOT(ISERROR(SEARCH("VIGENTE",NI4)))</formula>
    </cfRule>
    <cfRule type="containsText" dxfId="43" priority="602" operator="containsText" text="NO APLICA">
      <formula>NOT(ISERROR(SEARCH("NO APLICA",NI4)))</formula>
    </cfRule>
  </conditionalFormatting>
  <conditionalFormatting sqref="NL239:NL240 OA239:OA240 OF239:OF240 OK239:OK240 OP239:OP240 OU239:OU240 PD239:PD240 PH239:PH240">
    <cfRule type="containsText" dxfId="42" priority="74" operator="containsText" text="VENCIDA">
      <formula>NOT(ISERROR(SEARCH("VENCIDA",NL239)))</formula>
    </cfRule>
    <cfRule type="containsText" dxfId="41" priority="75" operator="containsText" text="NO APLICA">
      <formula>NOT(ISERROR(SEARCH("NO APLICA",NL239)))</formula>
    </cfRule>
    <cfRule type="containsText" dxfId="40" priority="76" operator="containsText" text="POR VENCER">
      <formula>NOT(ISERROR(SEARCH("POR VENCER",NL239)))</formula>
    </cfRule>
    <cfRule type="containsText" dxfId="39" priority="77" operator="containsText" text="VIGENTE">
      <formula>NOT(ISERROR(SEARCH("VIGENTE",NL239)))</formula>
    </cfRule>
  </conditionalFormatting>
  <conditionalFormatting sqref="NM67 NM77:NN77 NM4:NV5 NN6:NO6 NR6:NV6 NM6:NM7 NN7:NV7 NM8:NV9 NM10:NR10 NM11:NV27 NR35 NC38 NM38 NR56 NR57:NV57 NQ58:NV60 NQ61:NT63 NV61:NV64 NR64:NT64 NR65 NR66:NT66 NV66 NR67 NM78:NO87 NM88:NN88 NM89:NO89 NM90:NN90">
    <cfRule type="containsText" dxfId="38" priority="600" operator="containsText" text="POR VENCER">
      <formula>NOT(ISERROR(SEARCH("POR VENCER",NC4)))</formula>
    </cfRule>
  </conditionalFormatting>
  <conditionalFormatting sqref="NM67 NM77:NN77">
    <cfRule type="containsText" dxfId="37" priority="599" operator="containsText" text="VENCIDA">
      <formula>NOT(ISERROR(SEARCH("VENCIDA",NM67)))</formula>
    </cfRule>
    <cfRule type="containsText" dxfId="36" priority="598" operator="containsText" text="NO APLICA">
      <formula>NOT(ISERROR(SEARCH("NO APLICA",NM67)))</formula>
    </cfRule>
  </conditionalFormatting>
  <conditionalFormatting sqref="NM91:NO158">
    <cfRule type="containsText" dxfId="35" priority="597" operator="containsText" text="NO APLICA">
      <formula>NOT(ISERROR(SEARCH("NO APLICA",NM91)))</formula>
    </cfRule>
  </conditionalFormatting>
  <conditionalFormatting sqref="NM4:NV5 NN6:NO6 NR6:NV6 NM6:NM7 NN7:NV7 NM8:NV9 NM10:NR10 NM11:NV14 NR35 NC38 NM38 NR56 NR57:NV57 NQ58:NV60 NQ61:NT63 NV61:NV64 NR64:NT64 NR65 NR66:NT66 NV66 NR67 NM78:NO87 NM88:NN88 NM89:NO89 NM90:NN90 NM67 NM77:NN77 NM91:NO158">
    <cfRule type="containsText" dxfId="34" priority="596" operator="containsText" text="VIGENTE">
      <formula>NOT(ISERROR(SEARCH("VIGENTE",NC4)))</formula>
    </cfRule>
  </conditionalFormatting>
  <conditionalFormatting sqref="NM4:NV5 NN6:NO6 NR6:NV6 NM6:NM7 NN7:NV7 NM8:NV9 NM10:NR10 NM11:NV14 NR35 NR36:NV55 NC38 NM38 NQ39:NQ57 NM39:NO66 NR56 NR57:NV57 NQ58:NV60 NQ61:NT63 NV61:NV64 NR64:NT64 NR65 NR66:NT66 NV66 NR67 NM78:NO87 NM88:NN88 NM89:NO89 NM90:NN90">
    <cfRule type="containsText" dxfId="33" priority="594" operator="containsText" text="VENCIDA">
      <formula>NOT(ISERROR(SEARCH("VENCIDA",NC4)))</formula>
    </cfRule>
  </conditionalFormatting>
  <conditionalFormatting sqref="NM4:NV5 NN6:NO6 NR6:NV6 NM6:NM7 NN7:NV7 NM8:NV9 NM10:NR10 NM11:NV27 NR35 NR36:NV55 NC38 NM38 NQ39:NQ57 NM39:NO66 NR56 NR57:NV57 NQ58:NV60 NQ61:NT63 NV61:NV64 NR64:NT64 NR65 NR66:NT66 NV66 NR67 NM78:NO87 NM88:NN88 NM89:NO89 NM90:NN90">
    <cfRule type="containsText" dxfId="32" priority="595" operator="containsText" text="NO APLICA">
      <formula>NOT(ISERROR(SEARCH("NO APLICA",NC4)))</formula>
    </cfRule>
  </conditionalFormatting>
  <conditionalFormatting sqref="NN180:NQ180 NS180:NT180 NV180">
    <cfRule type="containsText" dxfId="31" priority="593" operator="containsText" text="VIGENTE">
      <formula>NOT(ISERROR(SEARCH("VIGENTE",NN180)))</formula>
    </cfRule>
    <cfRule type="containsText" dxfId="30" priority="592" operator="containsText" text="POR VENCER">
      <formula>NOT(ISERROR(SEARCH("POR VENCER",NN180)))</formula>
    </cfRule>
  </conditionalFormatting>
  <conditionalFormatting sqref="NP200">
    <cfRule type="containsText" dxfId="29" priority="591" operator="containsText" text="VENCIDA">
      <formula>NOT(ISERROR(SEARCH("VENCIDA",NP200)))</formula>
    </cfRule>
    <cfRule type="containsText" dxfId="28" priority="588" operator="containsText" text="VIGENTE">
      <formula>NOT(ISERROR(SEARCH("VIGENTE",NP200)))</formula>
    </cfRule>
    <cfRule type="containsText" dxfId="27" priority="589" operator="containsText" text="NO APLICA">
      <formula>NOT(ISERROR(SEARCH("NO APLICA",NP200)))</formula>
    </cfRule>
    <cfRule type="containsText" dxfId="26" priority="590" operator="containsText" text="POR VENCER">
      <formula>NOT(ISERROR(SEARCH("POR VENCER",NP200)))</formula>
    </cfRule>
  </conditionalFormatting>
  <conditionalFormatting sqref="NP213">
    <cfRule type="containsText" dxfId="25" priority="585" operator="containsText" text="NO APLICA">
      <formula>NOT(ISERROR(SEARCH("NO APLICA",NP213)))</formula>
    </cfRule>
    <cfRule type="containsText" dxfId="24" priority="584" operator="containsText" text="VIGENTE">
      <formula>NOT(ISERROR(SEARCH("VIGENTE",NP213)))</formula>
    </cfRule>
    <cfRule type="containsText" dxfId="23" priority="586" operator="containsText" text="POR VENCER">
      <formula>NOT(ISERROR(SEARCH("POR VENCER",NP213)))</formula>
    </cfRule>
    <cfRule type="containsText" dxfId="22" priority="587" operator="containsText" text="VENCIDA">
      <formula>NOT(ISERROR(SEARCH("VENCIDA",NP213)))</formula>
    </cfRule>
  </conditionalFormatting>
  <conditionalFormatting sqref="NW4:NW240 AC36">
    <cfRule type="containsText" dxfId="21" priority="581" operator="containsText" text="VENCIDA">
      <formula>NOT(ISERROR(SEARCH("VENCIDA",AC4)))</formula>
    </cfRule>
    <cfRule type="containsText" dxfId="20" priority="582" operator="containsText" text="POR VENCER">
      <formula>NOT(ISERROR(SEARCH("POR VENCER",AC4)))</formula>
    </cfRule>
    <cfRule type="containsText" dxfId="19" priority="583" operator="containsText" text="VIGENTE">
      <formula>NOT(ISERROR(SEARCH("VIGENTE",AC4)))</formula>
    </cfRule>
    <cfRule type="containsText" dxfId="18" priority="580" operator="containsText" text="NO APLICA">
      <formula>NOT(ISERROR(SEARCH("NO APLICA",AC4)))</formula>
    </cfRule>
  </conditionalFormatting>
  <conditionalFormatting sqref="OB4:OB240 OQ4:OQ240 OV4:OV240 PA4:PA240 PF4:PF240 PK4:PL240 PU4:PV240 PZ4:PZ240">
    <cfRule type="containsText" dxfId="17" priority="1019" operator="containsText" text="VIGENTE">
      <formula>NOT(ISERROR(SEARCH("VIGENTE",OB4)))</formula>
    </cfRule>
    <cfRule type="containsText" dxfId="16" priority="1018" operator="containsText" text="POR VENCER">
      <formula>NOT(ISERROR(SEARCH("POR VENCER",OB4)))</formula>
    </cfRule>
    <cfRule type="containsText" dxfId="15" priority="1017" operator="containsText" text="NO APLICA">
      <formula>NOT(ISERROR(SEARCH("NO APLICA",OB4)))</formula>
    </cfRule>
    <cfRule type="containsText" dxfId="14" priority="1016" operator="containsText" text="VENCIDA">
      <formula>NOT(ISERROR(SEARCH("VENCIDA",OB4)))</formula>
    </cfRule>
  </conditionalFormatting>
  <conditionalFormatting sqref="OH54">
    <cfRule type="containsText" dxfId="13" priority="574" operator="containsText" text="POR VENCER">
      <formula>NOT(ISERROR(SEARCH("POR VENCER",OH54)))</formula>
    </cfRule>
    <cfRule type="containsText" dxfId="12" priority="575" operator="containsText" text="VIGENTE">
      <formula>NOT(ISERROR(SEARCH("VIGENTE",OH54)))</formula>
    </cfRule>
    <cfRule type="containsText" dxfId="11" priority="572" operator="containsText" text="VENCIDA">
      <formula>NOT(ISERROR(SEARCH("VENCIDA",OH54)))</formula>
    </cfRule>
    <cfRule type="containsText" dxfId="10" priority="573" operator="containsText" text="NO APLICA">
      <formula>NOT(ISERROR(SEARCH("NO APLICA",OH54)))</formula>
    </cfRule>
  </conditionalFormatting>
  <conditionalFormatting sqref="OH180:OI180">
    <cfRule type="containsText" dxfId="9" priority="569" operator="containsText" text="VIGENTE">
      <formula>NOT(ISERROR(SEARCH("VIGENTE",OH180)))</formula>
    </cfRule>
    <cfRule type="containsText" dxfId="8" priority="571" operator="containsText" text="VENCIDA">
      <formula>NOT(ISERROR(SEARCH("VENCIDA",OH180)))</formula>
    </cfRule>
    <cfRule type="containsText" dxfId="7" priority="570" operator="containsText" text="NO APLICA">
      <formula>NOT(ISERROR(SEARCH("NO APLICA",OH180)))</formula>
    </cfRule>
    <cfRule type="containsText" dxfId="6" priority="568" operator="containsText" text="POR VENCER">
      <formula>NOT(ISERROR(SEARCH("POR VENCER",OH180)))</formula>
    </cfRule>
  </conditionalFormatting>
  <conditionalFormatting sqref="OY239:OY240">
    <cfRule type="containsText" dxfId="5" priority="95" operator="containsText" text="VENCIDA">
      <formula>NOT(ISERROR(SEARCH("VENCIDA",OY239)))</formula>
    </cfRule>
    <cfRule type="containsText" dxfId="4" priority="96" operator="containsText" text="POR VENCER">
      <formula>NOT(ISERROR(SEARCH("POR VENCER",OY239)))</formula>
    </cfRule>
    <cfRule type="containsText" dxfId="3" priority="97" operator="containsText" text="VIGENTE">
      <formula>NOT(ISERROR(SEARCH("VIGENTE",OY239)))</formula>
    </cfRule>
  </conditionalFormatting>
  <conditionalFormatting sqref="PP4:PP240">
    <cfRule type="containsText" dxfId="2" priority="567" operator="containsText" text="VIGENTE">
      <formula>NOT(ISERROR(SEARCH("VIGENTE",PP4)))</formula>
    </cfRule>
    <cfRule type="containsText" dxfId="1" priority="566" operator="containsText" text="POR VENCER">
      <formula>NOT(ISERROR(SEARCH("POR VENCER",PP4)))</formula>
    </cfRule>
    <cfRule type="containsText" dxfId="0" priority="565" operator="containsText" text="VENCIDA">
      <formula>NOT(ISERROR(SEARCH("VENCIDA",PP4)))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CH VSA</dc:creator>
  <cp:lastModifiedBy>Office CH VSA</cp:lastModifiedBy>
  <dcterms:created xsi:type="dcterms:W3CDTF">2026-04-20T17:00:58Z</dcterms:created>
  <dcterms:modified xsi:type="dcterms:W3CDTF">2026-05-04T02:24:30Z</dcterms:modified>
</cp:coreProperties>
</file>